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Havaianas\"/>
    </mc:Choice>
  </mc:AlternateContent>
  <xr:revisionPtr revIDLastSave="0" documentId="8_{D8849E00-920C-42E6-8DA9-684516BDA221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dados'!$A$1:$J$4160</definedName>
    <definedName name="_xlnm._FilterDatabase" localSheetId="2" hidden="1">'Report DCM'!$A:$N</definedName>
    <definedName name="_xlnm._FilterDatabase" localSheetId="3" hidden="1">Resumo!$A$19:$O$1228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6" l="1"/>
  <c r="B2" i="6"/>
  <c r="C2" i="6"/>
  <c r="D2" i="6"/>
  <c r="F2" i="6"/>
  <c r="G2" i="6"/>
  <c r="H2" i="6"/>
  <c r="I2" i="6"/>
  <c r="E2" i="6" s="1"/>
  <c r="J2" i="6"/>
  <c r="A3" i="6"/>
  <c r="B3" i="6"/>
  <c r="C3" i="6"/>
  <c r="D3" i="6"/>
  <c r="F3" i="6"/>
  <c r="G3" i="6"/>
  <c r="H3" i="6"/>
  <c r="I3" i="6"/>
  <c r="E3" i="6" s="1"/>
  <c r="J3" i="6"/>
  <c r="A4" i="6"/>
  <c r="B4" i="6"/>
  <c r="C4" i="6"/>
  <c r="D4" i="6"/>
  <c r="F4" i="6"/>
  <c r="G4" i="6"/>
  <c r="H4" i="6"/>
  <c r="I4" i="6"/>
  <c r="E4" i="6" s="1"/>
  <c r="J4" i="6"/>
  <c r="A5" i="6"/>
  <c r="B5" i="6"/>
  <c r="C5" i="6"/>
  <c r="D5" i="6"/>
  <c r="F5" i="6"/>
  <c r="G5" i="6"/>
  <c r="H5" i="6"/>
  <c r="I5" i="6"/>
  <c r="J5" i="6"/>
  <c r="E5" i="6" s="1"/>
  <c r="A6" i="6"/>
  <c r="B6" i="6"/>
  <c r="C6" i="6"/>
  <c r="D6" i="6"/>
  <c r="F6" i="6"/>
  <c r="G6" i="6"/>
  <c r="H6" i="6"/>
  <c r="I6" i="6"/>
  <c r="E6" i="6" s="1"/>
  <c r="J6" i="6"/>
  <c r="A7" i="6"/>
  <c r="B7" i="6"/>
  <c r="C7" i="6"/>
  <c r="D7" i="6"/>
  <c r="F7" i="6"/>
  <c r="G7" i="6"/>
  <c r="H7" i="6"/>
  <c r="I7" i="6"/>
  <c r="E7" i="6" s="1"/>
  <c r="J7" i="6"/>
  <c r="L5" i="6" l="1"/>
  <c r="N5" i="6" s="1"/>
  <c r="L2" i="6"/>
  <c r="N2" i="6" s="1"/>
  <c r="K2" i="6"/>
  <c r="M2" i="6" s="1"/>
  <c r="K7" i="6"/>
  <c r="M7" i="6" s="1"/>
  <c r="K3" i="6"/>
  <c r="M3" i="6" s="1"/>
  <c r="L6" i="6"/>
  <c r="N6" i="6"/>
  <c r="K6" i="6"/>
  <c r="M6" i="6" s="1"/>
  <c r="K4" i="6"/>
  <c r="M4" i="6" s="1"/>
  <c r="L4" i="6"/>
  <c r="N4" i="6" s="1"/>
  <c r="L7" i="6"/>
  <c r="N7" i="6" s="1"/>
  <c r="K5" i="6"/>
  <c r="M5" i="6" s="1"/>
  <c r="L3" i="6"/>
  <c r="N3" i="6" s="1"/>
  <c r="H5" i="8"/>
  <c r="D6" i="8"/>
  <c r="D4" i="8"/>
  <c r="D5" i="8"/>
  <c r="D7" i="8"/>
  <c r="D8" i="8"/>
  <c r="D9" i="8"/>
  <c r="E7" i="8" l="1"/>
  <c r="E9" i="8"/>
  <c r="E4" i="8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F5926" i="6"/>
  <c r="G5926" i="6"/>
  <c r="H5926" i="6"/>
  <c r="I5926" i="6"/>
  <c r="J5926" i="6"/>
  <c r="A5927" i="6"/>
  <c r="B5927" i="6"/>
  <c r="C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F6082" i="6"/>
  <c r="G6082" i="6"/>
  <c r="H6082" i="6"/>
  <c r="I6082" i="6"/>
  <c r="J6082" i="6"/>
  <c r="A6083" i="6"/>
  <c r="B6083" i="6"/>
  <c r="C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J6122" i="6"/>
  <c r="A6123" i="6"/>
  <c r="B6123" i="6"/>
  <c r="C6123" i="6"/>
  <c r="F6123" i="6"/>
  <c r="G6123" i="6"/>
  <c r="H6123" i="6"/>
  <c r="I6123" i="6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F6505" i="6"/>
  <c r="G6505" i="6"/>
  <c r="H6505" i="6"/>
  <c r="I6505" i="6"/>
  <c r="J6505" i="6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C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F6554" i="6"/>
  <c r="G6554" i="6"/>
  <c r="H6554" i="6"/>
  <c r="I6554" i="6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F6564" i="6"/>
  <c r="G6564" i="6"/>
  <c r="H6564" i="6"/>
  <c r="I6564" i="6"/>
  <c r="J6564" i="6"/>
  <c r="A6565" i="6"/>
  <c r="B6565" i="6"/>
  <c r="C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F6668" i="6"/>
  <c r="G6668" i="6"/>
  <c r="H6668" i="6"/>
  <c r="I6668" i="6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F6735" i="6"/>
  <c r="G6735" i="6"/>
  <c r="H6735" i="6"/>
  <c r="I6735" i="6"/>
  <c r="J6735" i="6"/>
  <c r="A6736" i="6"/>
  <c r="B6736" i="6"/>
  <c r="C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8" i="6"/>
  <c r="I9" i="6"/>
  <c r="I10" i="6"/>
  <c r="I11" i="6"/>
  <c r="E11" i="6" s="1"/>
  <c r="L11" i="6" s="1"/>
  <c r="N11" i="6" s="1"/>
  <c r="I12" i="6"/>
  <c r="I13" i="6"/>
  <c r="I14" i="6"/>
  <c r="I15" i="6"/>
  <c r="E15" i="6" s="1"/>
  <c r="L15" i="6" s="1"/>
  <c r="N15" i="6" s="1"/>
  <c r="I16" i="6"/>
  <c r="I17" i="6"/>
  <c r="I18" i="6"/>
  <c r="I19" i="6"/>
  <c r="E19" i="6" s="1"/>
  <c r="L19" i="6" s="1"/>
  <c r="I20" i="6"/>
  <c r="I21" i="6"/>
  <c r="I22" i="6"/>
  <c r="I23" i="6"/>
  <c r="E23" i="6" s="1"/>
  <c r="L23" i="6" s="1"/>
  <c r="I24" i="6"/>
  <c r="I25" i="6"/>
  <c r="I26" i="6"/>
  <c r="I27" i="6"/>
  <c r="E27" i="6" s="1"/>
  <c r="L27" i="6" s="1"/>
  <c r="I28" i="6"/>
  <c r="I29" i="6"/>
  <c r="I30" i="6"/>
  <c r="I31" i="6"/>
  <c r="E31" i="6" s="1"/>
  <c r="L31" i="6" s="1"/>
  <c r="I32" i="6"/>
  <c r="I33" i="6"/>
  <c r="I34" i="6"/>
  <c r="I35" i="6"/>
  <c r="E35" i="6" s="1"/>
  <c r="L35" i="6" s="1"/>
  <c r="I36" i="6"/>
  <c r="I37" i="6"/>
  <c r="I38" i="6"/>
  <c r="I39" i="6"/>
  <c r="E39" i="6" s="1"/>
  <c r="L39" i="6" s="1"/>
  <c r="I40" i="6"/>
  <c r="I41" i="6"/>
  <c r="I42" i="6"/>
  <c r="I43" i="6"/>
  <c r="E43" i="6" s="1"/>
  <c r="L43" i="6" s="1"/>
  <c r="I44" i="6"/>
  <c r="I45" i="6"/>
  <c r="I46" i="6"/>
  <c r="I47" i="6"/>
  <c r="E47" i="6" s="1"/>
  <c r="L47" i="6" s="1"/>
  <c r="I48" i="6"/>
  <c r="I49" i="6"/>
  <c r="I50" i="6"/>
  <c r="I51" i="6"/>
  <c r="E51" i="6" s="1"/>
  <c r="L51" i="6" s="1"/>
  <c r="I52" i="6"/>
  <c r="I53" i="6"/>
  <c r="I54" i="6"/>
  <c r="I55" i="6"/>
  <c r="E55" i="6" s="1"/>
  <c r="I56" i="6"/>
  <c r="I57" i="6"/>
  <c r="I58" i="6"/>
  <c r="I59" i="6"/>
  <c r="E59" i="6" s="1"/>
  <c r="L59" i="6" s="1"/>
  <c r="I60" i="6"/>
  <c r="I61" i="6"/>
  <c r="I62" i="6"/>
  <c r="I63" i="6"/>
  <c r="E63" i="6" s="1"/>
  <c r="L63" i="6" s="1"/>
  <c r="N63" i="6" s="1"/>
  <c r="I64" i="6"/>
  <c r="I65" i="6"/>
  <c r="I66" i="6"/>
  <c r="I67" i="6"/>
  <c r="E67" i="6" s="1"/>
  <c r="L67" i="6" s="1"/>
  <c r="N67" i="6" s="1"/>
  <c r="I68" i="6"/>
  <c r="I69" i="6"/>
  <c r="I70" i="6"/>
  <c r="I71" i="6"/>
  <c r="E71" i="6" s="1"/>
  <c r="L71" i="6" s="1"/>
  <c r="N71" i="6" s="1"/>
  <c r="I72" i="6"/>
  <c r="I73" i="6"/>
  <c r="I74" i="6"/>
  <c r="I75" i="6"/>
  <c r="E75" i="6" s="1"/>
  <c r="L75" i="6" s="1"/>
  <c r="I76" i="6"/>
  <c r="I77" i="6"/>
  <c r="I78" i="6"/>
  <c r="I79" i="6"/>
  <c r="E79" i="6" s="1"/>
  <c r="L79" i="6" s="1"/>
  <c r="I80" i="6"/>
  <c r="I81" i="6"/>
  <c r="I82" i="6"/>
  <c r="I83" i="6"/>
  <c r="E83" i="6" s="1"/>
  <c r="L83" i="6" s="1"/>
  <c r="I84" i="6"/>
  <c r="I85" i="6"/>
  <c r="I86" i="6"/>
  <c r="I87" i="6"/>
  <c r="E87" i="6" s="1"/>
  <c r="L87" i="6" s="1"/>
  <c r="I88" i="6"/>
  <c r="I89" i="6"/>
  <c r="I90" i="6"/>
  <c r="I91" i="6"/>
  <c r="E91" i="6" s="1"/>
  <c r="L91" i="6" s="1"/>
  <c r="I92" i="6"/>
  <c r="I93" i="6"/>
  <c r="I94" i="6"/>
  <c r="I95" i="6"/>
  <c r="E95" i="6" s="1"/>
  <c r="L95" i="6" s="1"/>
  <c r="I96" i="6"/>
  <c r="I97" i="6"/>
  <c r="I98" i="6"/>
  <c r="I99" i="6"/>
  <c r="E99" i="6" s="1"/>
  <c r="L99" i="6" s="1"/>
  <c r="I100" i="6"/>
  <c r="I101" i="6"/>
  <c r="I102" i="6"/>
  <c r="I103" i="6"/>
  <c r="E103" i="6" s="1"/>
  <c r="L103" i="6" s="1"/>
  <c r="I104" i="6"/>
  <c r="I105" i="6"/>
  <c r="I106" i="6"/>
  <c r="I107" i="6"/>
  <c r="E107" i="6" s="1"/>
  <c r="L107" i="6" s="1"/>
  <c r="I108" i="6"/>
  <c r="I109" i="6"/>
  <c r="I110" i="6"/>
  <c r="I111" i="6"/>
  <c r="E111" i="6" s="1"/>
  <c r="L111" i="6" s="1"/>
  <c r="I112" i="6"/>
  <c r="I113" i="6"/>
  <c r="I114" i="6"/>
  <c r="I115" i="6"/>
  <c r="E115" i="6" s="1"/>
  <c r="L115" i="6" s="1"/>
  <c r="I116" i="6"/>
  <c r="I117" i="6"/>
  <c r="I118" i="6"/>
  <c r="I119" i="6"/>
  <c r="E119" i="6" s="1"/>
  <c r="L119" i="6" s="1"/>
  <c r="I120" i="6"/>
  <c r="I121" i="6"/>
  <c r="I122" i="6"/>
  <c r="I123" i="6"/>
  <c r="E123" i="6" s="1"/>
  <c r="L123" i="6" s="1"/>
  <c r="I124" i="6"/>
  <c r="I125" i="6"/>
  <c r="I126" i="6"/>
  <c r="I127" i="6"/>
  <c r="E127" i="6" s="1"/>
  <c r="L127" i="6" s="1"/>
  <c r="I128" i="6"/>
  <c r="I129" i="6"/>
  <c r="I130" i="6"/>
  <c r="I131" i="6"/>
  <c r="E131" i="6" s="1"/>
  <c r="L131" i="6" s="1"/>
  <c r="I132" i="6"/>
  <c r="I133" i="6"/>
  <c r="I134" i="6"/>
  <c r="I135" i="6"/>
  <c r="E135" i="6" s="1"/>
  <c r="L135" i="6" s="1"/>
  <c r="I136" i="6"/>
  <c r="I137" i="6"/>
  <c r="I138" i="6"/>
  <c r="I139" i="6"/>
  <c r="E139" i="6" s="1"/>
  <c r="L139" i="6" s="1"/>
  <c r="I140" i="6"/>
  <c r="I141" i="6"/>
  <c r="I142" i="6"/>
  <c r="I143" i="6"/>
  <c r="E143" i="6" s="1"/>
  <c r="L143" i="6" s="1"/>
  <c r="I144" i="6"/>
  <c r="I145" i="6"/>
  <c r="I146" i="6"/>
  <c r="I147" i="6"/>
  <c r="E147" i="6" s="1"/>
  <c r="L147" i="6" s="1"/>
  <c r="I148" i="6"/>
  <c r="I149" i="6"/>
  <c r="I150" i="6"/>
  <c r="I151" i="6"/>
  <c r="E151" i="6" s="1"/>
  <c r="L151" i="6" s="1"/>
  <c r="I152" i="6"/>
  <c r="I153" i="6"/>
  <c r="I154" i="6"/>
  <c r="I155" i="6"/>
  <c r="E155" i="6" s="1"/>
  <c r="L155" i="6" s="1"/>
  <c r="I156" i="6"/>
  <c r="I157" i="6"/>
  <c r="I158" i="6"/>
  <c r="I159" i="6"/>
  <c r="E159" i="6" s="1"/>
  <c r="L159" i="6" s="1"/>
  <c r="I160" i="6"/>
  <c r="I161" i="6"/>
  <c r="I162" i="6"/>
  <c r="I163" i="6"/>
  <c r="E163" i="6" s="1"/>
  <c r="L163" i="6" s="1"/>
  <c r="N163" i="6" s="1"/>
  <c r="I164" i="6"/>
  <c r="I165" i="6"/>
  <c r="I166" i="6"/>
  <c r="I167" i="6"/>
  <c r="E167" i="6" s="1"/>
  <c r="L167" i="6" s="1"/>
  <c r="I168" i="6"/>
  <c r="I169" i="6"/>
  <c r="I170" i="6"/>
  <c r="I171" i="6"/>
  <c r="E171" i="6" s="1"/>
  <c r="L171" i="6" s="1"/>
  <c r="I172" i="6"/>
  <c r="I173" i="6"/>
  <c r="I174" i="6"/>
  <c r="I175" i="6"/>
  <c r="E175" i="6" s="1"/>
  <c r="L175" i="6" s="1"/>
  <c r="I176" i="6"/>
  <c r="I177" i="6"/>
  <c r="I178" i="6"/>
  <c r="I179" i="6"/>
  <c r="E179" i="6" s="1"/>
  <c r="L179" i="6" s="1"/>
  <c r="I180" i="6"/>
  <c r="I181" i="6"/>
  <c r="I182" i="6"/>
  <c r="I183" i="6"/>
  <c r="E183" i="6" s="1"/>
  <c r="L183" i="6" s="1"/>
  <c r="I184" i="6"/>
  <c r="I185" i="6"/>
  <c r="I186" i="6"/>
  <c r="I187" i="6"/>
  <c r="E187" i="6" s="1"/>
  <c r="L187" i="6" s="1"/>
  <c r="I188" i="6"/>
  <c r="I189" i="6"/>
  <c r="I190" i="6"/>
  <c r="I191" i="6"/>
  <c r="E191" i="6" s="1"/>
  <c r="L191" i="6" s="1"/>
  <c r="I192" i="6"/>
  <c r="I193" i="6"/>
  <c r="I194" i="6"/>
  <c r="I195" i="6"/>
  <c r="E195" i="6" s="1"/>
  <c r="L195" i="6" s="1"/>
  <c r="I196" i="6"/>
  <c r="I197" i="6"/>
  <c r="I198" i="6"/>
  <c r="I199" i="6"/>
  <c r="E199" i="6" s="1"/>
  <c r="L199" i="6" s="1"/>
  <c r="I200" i="6"/>
  <c r="I201" i="6"/>
  <c r="I202" i="6"/>
  <c r="I203" i="6"/>
  <c r="E203" i="6" s="1"/>
  <c r="L203" i="6" s="1"/>
  <c r="N203" i="6" s="1"/>
  <c r="I204" i="6"/>
  <c r="I205" i="6"/>
  <c r="I206" i="6"/>
  <c r="I207" i="6"/>
  <c r="E207" i="6" s="1"/>
  <c r="L207" i="6" s="1"/>
  <c r="N207" i="6" s="1"/>
  <c r="I208" i="6"/>
  <c r="I209" i="6"/>
  <c r="I210" i="6"/>
  <c r="I211" i="6"/>
  <c r="E211" i="6" s="1"/>
  <c r="L211" i="6" s="1"/>
  <c r="N211" i="6" s="1"/>
  <c r="I212" i="6"/>
  <c r="I213" i="6"/>
  <c r="I214" i="6"/>
  <c r="I215" i="6"/>
  <c r="E215" i="6" s="1"/>
  <c r="L215" i="6" s="1"/>
  <c r="N215" i="6" s="1"/>
  <c r="I216" i="6"/>
  <c r="I217" i="6"/>
  <c r="I218" i="6"/>
  <c r="I219" i="6"/>
  <c r="E219" i="6" s="1"/>
  <c r="L219" i="6" s="1"/>
  <c r="N219" i="6" s="1"/>
  <c r="I220" i="6"/>
  <c r="I221" i="6"/>
  <c r="I222" i="6"/>
  <c r="I223" i="6"/>
  <c r="E223" i="6" s="1"/>
  <c r="L223" i="6" s="1"/>
  <c r="N223" i="6" s="1"/>
  <c r="I224" i="6"/>
  <c r="I225" i="6"/>
  <c r="I226" i="6"/>
  <c r="I227" i="6"/>
  <c r="E227" i="6" s="1"/>
  <c r="L227" i="6" s="1"/>
  <c r="N227" i="6" s="1"/>
  <c r="I228" i="6"/>
  <c r="I229" i="6"/>
  <c r="I230" i="6"/>
  <c r="I231" i="6"/>
  <c r="E231" i="6" s="1"/>
  <c r="L231" i="6" s="1"/>
  <c r="N231" i="6" s="1"/>
  <c r="I232" i="6"/>
  <c r="I233" i="6"/>
  <c r="I234" i="6"/>
  <c r="I235" i="6"/>
  <c r="E235" i="6" s="1"/>
  <c r="L235" i="6" s="1"/>
  <c r="N235" i="6" s="1"/>
  <c r="I236" i="6"/>
  <c r="I237" i="6"/>
  <c r="I238" i="6"/>
  <c r="I239" i="6"/>
  <c r="E239" i="6" s="1"/>
  <c r="L239" i="6" s="1"/>
  <c r="N239" i="6" s="1"/>
  <c r="I240" i="6"/>
  <c r="I241" i="6"/>
  <c r="I242" i="6"/>
  <c r="I243" i="6"/>
  <c r="E243" i="6" s="1"/>
  <c r="L243" i="6" s="1"/>
  <c r="N243" i="6" s="1"/>
  <c r="I244" i="6"/>
  <c r="I245" i="6"/>
  <c r="I246" i="6"/>
  <c r="I247" i="6"/>
  <c r="E247" i="6" s="1"/>
  <c r="L247" i="6" s="1"/>
  <c r="N247" i="6" s="1"/>
  <c r="I248" i="6"/>
  <c r="I249" i="6"/>
  <c r="I250" i="6"/>
  <c r="I251" i="6"/>
  <c r="E251" i="6" s="1"/>
  <c r="L251" i="6" s="1"/>
  <c r="N251" i="6" s="1"/>
  <c r="I252" i="6"/>
  <c r="I253" i="6"/>
  <c r="I254" i="6"/>
  <c r="I255" i="6"/>
  <c r="E255" i="6" s="1"/>
  <c r="L255" i="6" s="1"/>
  <c r="N255" i="6" s="1"/>
  <c r="I256" i="6"/>
  <c r="I257" i="6"/>
  <c r="I258" i="6"/>
  <c r="I259" i="6"/>
  <c r="E259" i="6" s="1"/>
  <c r="L259" i="6" s="1"/>
  <c r="N259" i="6" s="1"/>
  <c r="I260" i="6"/>
  <c r="I261" i="6"/>
  <c r="I262" i="6"/>
  <c r="I263" i="6"/>
  <c r="E263" i="6" s="1"/>
  <c r="L263" i="6" s="1"/>
  <c r="N263" i="6" s="1"/>
  <c r="I264" i="6"/>
  <c r="I265" i="6"/>
  <c r="I266" i="6"/>
  <c r="I267" i="6"/>
  <c r="E267" i="6" s="1"/>
  <c r="L267" i="6" s="1"/>
  <c r="N267" i="6" s="1"/>
  <c r="I268" i="6"/>
  <c r="I269" i="6"/>
  <c r="I270" i="6"/>
  <c r="I271" i="6"/>
  <c r="E271" i="6" s="1"/>
  <c r="L271" i="6" s="1"/>
  <c r="N271" i="6" s="1"/>
  <c r="I272" i="6"/>
  <c r="I273" i="6"/>
  <c r="I274" i="6"/>
  <c r="I275" i="6"/>
  <c r="E275" i="6" s="1"/>
  <c r="I276" i="6"/>
  <c r="I277" i="6"/>
  <c r="I278" i="6"/>
  <c r="I279" i="6"/>
  <c r="E279" i="6" s="1"/>
  <c r="I280" i="6"/>
  <c r="I281" i="6"/>
  <c r="I282" i="6"/>
  <c r="I283" i="6"/>
  <c r="E283" i="6" s="1"/>
  <c r="L283" i="6" s="1"/>
  <c r="I284" i="6"/>
  <c r="I285" i="6"/>
  <c r="I286" i="6"/>
  <c r="I287" i="6"/>
  <c r="E287" i="6" s="1"/>
  <c r="L287" i="6" s="1"/>
  <c r="I288" i="6"/>
  <c r="I289" i="6"/>
  <c r="I290" i="6"/>
  <c r="I291" i="6"/>
  <c r="E291" i="6" s="1"/>
  <c r="I292" i="6"/>
  <c r="I293" i="6"/>
  <c r="I294" i="6"/>
  <c r="I295" i="6"/>
  <c r="E295" i="6" s="1"/>
  <c r="I296" i="6"/>
  <c r="I297" i="6"/>
  <c r="I298" i="6"/>
  <c r="I299" i="6"/>
  <c r="E299" i="6" s="1"/>
  <c r="L299" i="6" s="1"/>
  <c r="I300" i="6"/>
  <c r="I301" i="6"/>
  <c r="I302" i="6"/>
  <c r="I303" i="6"/>
  <c r="E303" i="6" s="1"/>
  <c r="I304" i="6"/>
  <c r="I305" i="6"/>
  <c r="I306" i="6"/>
  <c r="I307" i="6"/>
  <c r="E307" i="6" s="1"/>
  <c r="I308" i="6"/>
  <c r="I309" i="6"/>
  <c r="I310" i="6"/>
  <c r="I311" i="6"/>
  <c r="E311" i="6" s="1"/>
  <c r="I312" i="6"/>
  <c r="I313" i="6"/>
  <c r="I314" i="6"/>
  <c r="I315" i="6"/>
  <c r="E315" i="6" s="1"/>
  <c r="L315" i="6" s="1"/>
  <c r="I316" i="6"/>
  <c r="I317" i="6"/>
  <c r="I318" i="6"/>
  <c r="I319" i="6"/>
  <c r="E319" i="6" s="1"/>
  <c r="L319" i="6" s="1"/>
  <c r="I320" i="6"/>
  <c r="I321" i="6"/>
  <c r="I322" i="6"/>
  <c r="I323" i="6"/>
  <c r="E323" i="6" s="1"/>
  <c r="I324" i="6"/>
  <c r="I325" i="6"/>
  <c r="I326" i="6"/>
  <c r="I327" i="6"/>
  <c r="E327" i="6" s="1"/>
  <c r="I328" i="6"/>
  <c r="I329" i="6"/>
  <c r="I330" i="6"/>
  <c r="I331" i="6"/>
  <c r="E331" i="6" s="1"/>
  <c r="L331" i="6" s="1"/>
  <c r="I332" i="6"/>
  <c r="I333" i="6"/>
  <c r="I334" i="6"/>
  <c r="I335" i="6"/>
  <c r="E335" i="6" s="1"/>
  <c r="I336" i="6"/>
  <c r="I337" i="6"/>
  <c r="I338" i="6"/>
  <c r="I339" i="6"/>
  <c r="E339" i="6" s="1"/>
  <c r="I340" i="6"/>
  <c r="I341" i="6"/>
  <c r="I342" i="6"/>
  <c r="I343" i="6"/>
  <c r="E343" i="6" s="1"/>
  <c r="I344" i="6"/>
  <c r="I345" i="6"/>
  <c r="I346" i="6"/>
  <c r="I347" i="6"/>
  <c r="E347" i="6" s="1"/>
  <c r="L347" i="6" s="1"/>
  <c r="I348" i="6"/>
  <c r="I349" i="6"/>
  <c r="I350" i="6"/>
  <c r="I351" i="6"/>
  <c r="E351" i="6" s="1"/>
  <c r="L351" i="6" s="1"/>
  <c r="I352" i="6"/>
  <c r="I353" i="6"/>
  <c r="I354" i="6"/>
  <c r="I355" i="6"/>
  <c r="E355" i="6" s="1"/>
  <c r="I356" i="6"/>
  <c r="I357" i="6"/>
  <c r="I358" i="6"/>
  <c r="I359" i="6"/>
  <c r="E359" i="6" s="1"/>
  <c r="I360" i="6"/>
  <c r="I361" i="6"/>
  <c r="I362" i="6"/>
  <c r="I363" i="6"/>
  <c r="E363" i="6" s="1"/>
  <c r="L363" i="6" s="1"/>
  <c r="I364" i="6"/>
  <c r="I365" i="6"/>
  <c r="I366" i="6"/>
  <c r="I367" i="6"/>
  <c r="E367" i="6" s="1"/>
  <c r="I368" i="6"/>
  <c r="I369" i="6"/>
  <c r="I370" i="6"/>
  <c r="I371" i="6"/>
  <c r="E371" i="6" s="1"/>
  <c r="I372" i="6"/>
  <c r="I373" i="6"/>
  <c r="I374" i="6"/>
  <c r="I375" i="6"/>
  <c r="E375" i="6" s="1"/>
  <c r="I376" i="6"/>
  <c r="I377" i="6"/>
  <c r="I378" i="6"/>
  <c r="I379" i="6"/>
  <c r="E379" i="6" s="1"/>
  <c r="L379" i="6" s="1"/>
  <c r="I380" i="6"/>
  <c r="I381" i="6"/>
  <c r="I382" i="6"/>
  <c r="I383" i="6"/>
  <c r="E383" i="6" s="1"/>
  <c r="L383" i="6" s="1"/>
  <c r="I384" i="6"/>
  <c r="I385" i="6"/>
  <c r="I386" i="6"/>
  <c r="I387" i="6"/>
  <c r="E387" i="6" s="1"/>
  <c r="I388" i="6"/>
  <c r="I389" i="6"/>
  <c r="I390" i="6"/>
  <c r="I391" i="6"/>
  <c r="E391" i="6" s="1"/>
  <c r="I392" i="6"/>
  <c r="I393" i="6"/>
  <c r="I394" i="6"/>
  <c r="I395" i="6"/>
  <c r="E395" i="6" s="1"/>
  <c r="I396" i="6"/>
  <c r="I397" i="6"/>
  <c r="I398" i="6"/>
  <c r="I399" i="6"/>
  <c r="E399" i="6" s="1"/>
  <c r="I400" i="6"/>
  <c r="I401" i="6"/>
  <c r="I402" i="6"/>
  <c r="I403" i="6"/>
  <c r="E403" i="6" s="1"/>
  <c r="L403" i="6" s="1"/>
  <c r="I404" i="6"/>
  <c r="E404" i="6" s="1"/>
  <c r="M404" i="6" s="1"/>
  <c r="I405" i="6"/>
  <c r="I406" i="6"/>
  <c r="I407" i="6"/>
  <c r="E407" i="6" s="1"/>
  <c r="L407" i="6" s="1"/>
  <c r="I408" i="6"/>
  <c r="E408" i="6" s="1"/>
  <c r="L408" i="6" s="1"/>
  <c r="I409" i="6"/>
  <c r="I410" i="6"/>
  <c r="I411" i="6"/>
  <c r="E411" i="6" s="1"/>
  <c r="N411" i="6" s="1"/>
  <c r="I412" i="6"/>
  <c r="E412" i="6" s="1"/>
  <c r="N412" i="6" s="1"/>
  <c r="I413" i="6"/>
  <c r="I414" i="6"/>
  <c r="I415" i="6"/>
  <c r="E415" i="6" s="1"/>
  <c r="L415" i="6" s="1"/>
  <c r="I416" i="6"/>
  <c r="E416" i="6" s="1"/>
  <c r="M416" i="6" s="1"/>
  <c r="I417" i="6"/>
  <c r="I418" i="6"/>
  <c r="I419" i="6"/>
  <c r="E419" i="6" s="1"/>
  <c r="L419" i="6" s="1"/>
  <c r="I420" i="6"/>
  <c r="E420" i="6" s="1"/>
  <c r="N420" i="6" s="1"/>
  <c r="I421" i="6"/>
  <c r="I422" i="6"/>
  <c r="I423" i="6"/>
  <c r="E423" i="6" s="1"/>
  <c r="L423" i="6" s="1"/>
  <c r="I424" i="6"/>
  <c r="E424" i="6" s="1"/>
  <c r="M424" i="6" s="1"/>
  <c r="I425" i="6"/>
  <c r="I426" i="6"/>
  <c r="I427" i="6"/>
  <c r="E427" i="6" s="1"/>
  <c r="L427" i="6" s="1"/>
  <c r="I428" i="6"/>
  <c r="E428" i="6" s="1"/>
  <c r="L428" i="6" s="1"/>
  <c r="I429" i="6"/>
  <c r="I430" i="6"/>
  <c r="I431" i="6"/>
  <c r="E431" i="6" s="1"/>
  <c r="L431" i="6" s="1"/>
  <c r="I432" i="6"/>
  <c r="E432" i="6" s="1"/>
  <c r="I433" i="6"/>
  <c r="I434" i="6"/>
  <c r="I435" i="6"/>
  <c r="E435" i="6" s="1"/>
  <c r="L435" i="6" s="1"/>
  <c r="I436" i="6"/>
  <c r="E436" i="6" s="1"/>
  <c r="N436" i="6" s="1"/>
  <c r="I437" i="6"/>
  <c r="I438" i="6"/>
  <c r="I439" i="6"/>
  <c r="E439" i="6" s="1"/>
  <c r="I440" i="6"/>
  <c r="E440" i="6" s="1"/>
  <c r="L440" i="6" s="1"/>
  <c r="I441" i="6"/>
  <c r="I442" i="6"/>
  <c r="I443" i="6"/>
  <c r="E443" i="6" s="1"/>
  <c r="L443" i="6" s="1"/>
  <c r="I444" i="6"/>
  <c r="E444" i="6" s="1"/>
  <c r="N444" i="6" s="1"/>
  <c r="I445" i="6"/>
  <c r="I446" i="6"/>
  <c r="I447" i="6"/>
  <c r="E447" i="6" s="1"/>
  <c r="L447" i="6" s="1"/>
  <c r="I448" i="6"/>
  <c r="E448" i="6" s="1"/>
  <c r="M448" i="6" s="1"/>
  <c r="I449" i="6"/>
  <c r="I450" i="6"/>
  <c r="I451" i="6"/>
  <c r="E451" i="6" s="1"/>
  <c r="L451" i="6" s="1"/>
  <c r="I452" i="6"/>
  <c r="E452" i="6" s="1"/>
  <c r="N452" i="6" s="1"/>
  <c r="I453" i="6"/>
  <c r="I454" i="6"/>
  <c r="I455" i="6"/>
  <c r="E455" i="6" s="1"/>
  <c r="L455" i="6" s="1"/>
  <c r="I456" i="6"/>
  <c r="E456" i="6" s="1"/>
  <c r="L456" i="6" s="1"/>
  <c r="I457" i="6"/>
  <c r="I458" i="6"/>
  <c r="I459" i="6"/>
  <c r="E459" i="6" s="1"/>
  <c r="L459" i="6" s="1"/>
  <c r="I460" i="6"/>
  <c r="E460" i="6" s="1"/>
  <c r="N460" i="6" s="1"/>
  <c r="I461" i="6"/>
  <c r="I462" i="6"/>
  <c r="I463" i="6"/>
  <c r="E463" i="6" s="1"/>
  <c r="L463" i="6" s="1"/>
  <c r="I464" i="6"/>
  <c r="E464" i="6" s="1"/>
  <c r="I465" i="6"/>
  <c r="I466" i="6"/>
  <c r="I467" i="6"/>
  <c r="E467" i="6" s="1"/>
  <c r="L467" i="6" s="1"/>
  <c r="I468" i="6"/>
  <c r="E468" i="6" s="1"/>
  <c r="I469" i="6"/>
  <c r="I470" i="6"/>
  <c r="I471" i="6"/>
  <c r="E471" i="6" s="1"/>
  <c r="L471" i="6" s="1"/>
  <c r="I472" i="6"/>
  <c r="E472" i="6" s="1"/>
  <c r="I473" i="6"/>
  <c r="I474" i="6"/>
  <c r="I475" i="6"/>
  <c r="E475" i="6" s="1"/>
  <c r="L475" i="6" s="1"/>
  <c r="I476" i="6"/>
  <c r="E476" i="6" s="1"/>
  <c r="L476" i="6" s="1"/>
  <c r="I477" i="6"/>
  <c r="I478" i="6"/>
  <c r="I479" i="6"/>
  <c r="E479" i="6" s="1"/>
  <c r="L479" i="6" s="1"/>
  <c r="I480" i="6"/>
  <c r="E480" i="6" s="1"/>
  <c r="I481" i="6"/>
  <c r="I482" i="6"/>
  <c r="I483" i="6"/>
  <c r="E483" i="6" s="1"/>
  <c r="L483" i="6" s="1"/>
  <c r="I484" i="6"/>
  <c r="E484" i="6" s="1"/>
  <c r="I485" i="6"/>
  <c r="I486" i="6"/>
  <c r="I487" i="6"/>
  <c r="E487" i="6" s="1"/>
  <c r="L487" i="6" s="1"/>
  <c r="I488" i="6"/>
  <c r="E488" i="6" s="1"/>
  <c r="I489" i="6"/>
  <c r="I490" i="6"/>
  <c r="I491" i="6"/>
  <c r="E491" i="6" s="1"/>
  <c r="L491" i="6" s="1"/>
  <c r="I492" i="6"/>
  <c r="E492" i="6" s="1"/>
  <c r="I493" i="6"/>
  <c r="I494" i="6"/>
  <c r="I495" i="6"/>
  <c r="E495" i="6" s="1"/>
  <c r="L495" i="6" s="1"/>
  <c r="I496" i="6"/>
  <c r="E496" i="6" s="1"/>
  <c r="N496" i="6" s="1"/>
  <c r="I497" i="6"/>
  <c r="I498" i="6"/>
  <c r="I499" i="6"/>
  <c r="E499" i="6" s="1"/>
  <c r="L499" i="6" s="1"/>
  <c r="I500" i="6"/>
  <c r="E500" i="6" s="1"/>
  <c r="I501" i="6"/>
  <c r="I502" i="6"/>
  <c r="I503" i="6"/>
  <c r="E503" i="6" s="1"/>
  <c r="L503" i="6" s="1"/>
  <c r="I504" i="6"/>
  <c r="E504" i="6" s="1"/>
  <c r="I505" i="6"/>
  <c r="I506" i="6"/>
  <c r="I507" i="6"/>
  <c r="E507" i="6" s="1"/>
  <c r="L507" i="6" s="1"/>
  <c r="I508" i="6"/>
  <c r="E508" i="6" s="1"/>
  <c r="L508" i="6" s="1"/>
  <c r="I509" i="6"/>
  <c r="I510" i="6"/>
  <c r="I511" i="6"/>
  <c r="E511" i="6" s="1"/>
  <c r="M511" i="6" s="1"/>
  <c r="I512" i="6"/>
  <c r="E512" i="6" s="1"/>
  <c r="I513" i="6"/>
  <c r="I514" i="6"/>
  <c r="I515" i="6"/>
  <c r="E515" i="6" s="1"/>
  <c r="L515" i="6" s="1"/>
  <c r="I516" i="6"/>
  <c r="E516" i="6" s="1"/>
  <c r="I517" i="6"/>
  <c r="I518" i="6"/>
  <c r="I519" i="6"/>
  <c r="E519" i="6" s="1"/>
  <c r="L519" i="6" s="1"/>
  <c r="I520" i="6"/>
  <c r="E520" i="6" s="1"/>
  <c r="I521" i="6"/>
  <c r="I522" i="6"/>
  <c r="I523" i="6"/>
  <c r="E523" i="6" s="1"/>
  <c r="L523" i="6" s="1"/>
  <c r="I524" i="6"/>
  <c r="E524" i="6" s="1"/>
  <c r="I525" i="6"/>
  <c r="I526" i="6"/>
  <c r="I527" i="6"/>
  <c r="E527" i="6" s="1"/>
  <c r="L527" i="6" s="1"/>
  <c r="I528" i="6"/>
  <c r="E528" i="6" s="1"/>
  <c r="N528" i="6" s="1"/>
  <c r="I529" i="6"/>
  <c r="I530" i="6"/>
  <c r="I531" i="6"/>
  <c r="E531" i="6" s="1"/>
  <c r="L531" i="6" s="1"/>
  <c r="I532" i="6"/>
  <c r="E532" i="6" s="1"/>
  <c r="I533" i="6"/>
  <c r="I534" i="6"/>
  <c r="I535" i="6"/>
  <c r="E535" i="6" s="1"/>
  <c r="L535" i="6" s="1"/>
  <c r="I536" i="6"/>
  <c r="E536" i="6" s="1"/>
  <c r="I537" i="6"/>
  <c r="I538" i="6"/>
  <c r="I539" i="6"/>
  <c r="E539" i="6" s="1"/>
  <c r="L539" i="6" s="1"/>
  <c r="I540" i="6"/>
  <c r="E540" i="6" s="1"/>
  <c r="L540" i="6" s="1"/>
  <c r="I541" i="6"/>
  <c r="I542" i="6"/>
  <c r="I543" i="6"/>
  <c r="E543" i="6" s="1"/>
  <c r="L543" i="6" s="1"/>
  <c r="I544" i="6"/>
  <c r="E544" i="6" s="1"/>
  <c r="I545" i="6"/>
  <c r="I546" i="6"/>
  <c r="I547" i="6"/>
  <c r="E547" i="6" s="1"/>
  <c r="L547" i="6" s="1"/>
  <c r="I548" i="6"/>
  <c r="E548" i="6" s="1"/>
  <c r="I549" i="6"/>
  <c r="I550" i="6"/>
  <c r="I551" i="6"/>
  <c r="E551" i="6" s="1"/>
  <c r="M551" i="6" s="1"/>
  <c r="I552" i="6"/>
  <c r="E552" i="6" s="1"/>
  <c r="M552" i="6" s="1"/>
  <c r="I553" i="6"/>
  <c r="I554" i="6"/>
  <c r="I555" i="6"/>
  <c r="E555" i="6" s="1"/>
  <c r="L555" i="6" s="1"/>
  <c r="I556" i="6"/>
  <c r="E556" i="6" s="1"/>
  <c r="I557" i="6"/>
  <c r="I558" i="6"/>
  <c r="I559" i="6"/>
  <c r="E559" i="6" s="1"/>
  <c r="L559" i="6" s="1"/>
  <c r="I560" i="6"/>
  <c r="E560" i="6" s="1"/>
  <c r="N560" i="6" s="1"/>
  <c r="I561" i="6"/>
  <c r="I562" i="6"/>
  <c r="I563" i="6"/>
  <c r="E563" i="6" s="1"/>
  <c r="L563" i="6" s="1"/>
  <c r="I564" i="6"/>
  <c r="E564" i="6" s="1"/>
  <c r="I565" i="6"/>
  <c r="I566" i="6"/>
  <c r="I567" i="6"/>
  <c r="E567" i="6" s="1"/>
  <c r="L567" i="6" s="1"/>
  <c r="I568" i="6"/>
  <c r="E568" i="6" s="1"/>
  <c r="I569" i="6"/>
  <c r="I570" i="6"/>
  <c r="I571" i="6"/>
  <c r="E571" i="6" s="1"/>
  <c r="L571" i="6" s="1"/>
  <c r="I572" i="6"/>
  <c r="E572" i="6" s="1"/>
  <c r="L572" i="6" s="1"/>
  <c r="I573" i="6"/>
  <c r="I574" i="6"/>
  <c r="I575" i="6"/>
  <c r="E575" i="6" s="1"/>
  <c r="L575" i="6" s="1"/>
  <c r="I576" i="6"/>
  <c r="E576" i="6" s="1"/>
  <c r="I577" i="6"/>
  <c r="I578" i="6"/>
  <c r="I579" i="6"/>
  <c r="E579" i="6" s="1"/>
  <c r="L579" i="6" s="1"/>
  <c r="I580" i="6"/>
  <c r="E580" i="6" s="1"/>
  <c r="I581" i="6"/>
  <c r="I582" i="6"/>
  <c r="I583" i="6"/>
  <c r="E583" i="6" s="1"/>
  <c r="L583" i="6" s="1"/>
  <c r="I584" i="6"/>
  <c r="E584" i="6" s="1"/>
  <c r="I585" i="6"/>
  <c r="I586" i="6"/>
  <c r="I587" i="6"/>
  <c r="E587" i="6" s="1"/>
  <c r="L587" i="6" s="1"/>
  <c r="I588" i="6"/>
  <c r="E588" i="6" s="1"/>
  <c r="I589" i="6"/>
  <c r="I590" i="6"/>
  <c r="I591" i="6"/>
  <c r="E591" i="6" s="1"/>
  <c r="L591" i="6" s="1"/>
  <c r="I592" i="6"/>
  <c r="E592" i="6" s="1"/>
  <c r="N592" i="6" s="1"/>
  <c r="I593" i="6"/>
  <c r="I594" i="6"/>
  <c r="I595" i="6"/>
  <c r="E595" i="6" s="1"/>
  <c r="L595" i="6" s="1"/>
  <c r="I596" i="6"/>
  <c r="E596" i="6" s="1"/>
  <c r="I597" i="6"/>
  <c r="I598" i="6"/>
  <c r="I599" i="6"/>
  <c r="E599" i="6" s="1"/>
  <c r="L599" i="6" s="1"/>
  <c r="I600" i="6"/>
  <c r="E600" i="6" s="1"/>
  <c r="I601" i="6"/>
  <c r="I602" i="6"/>
  <c r="I603" i="6"/>
  <c r="E603" i="6" s="1"/>
  <c r="N603" i="6" s="1"/>
  <c r="I604" i="6"/>
  <c r="E604" i="6" s="1"/>
  <c r="N604" i="6" s="1"/>
  <c r="I605" i="6"/>
  <c r="I606" i="6"/>
  <c r="I607" i="6"/>
  <c r="E607" i="6" s="1"/>
  <c r="I608" i="6"/>
  <c r="E608" i="6" s="1"/>
  <c r="L608" i="6" s="1"/>
  <c r="I609" i="6"/>
  <c r="I610" i="6"/>
  <c r="I611" i="6"/>
  <c r="E611" i="6" s="1"/>
  <c r="N611" i="6" s="1"/>
  <c r="I612" i="6"/>
  <c r="E612" i="6" s="1"/>
  <c r="I613" i="6"/>
  <c r="I614" i="6"/>
  <c r="I615" i="6"/>
  <c r="E615" i="6" s="1"/>
  <c r="N615" i="6" s="1"/>
  <c r="I616" i="6"/>
  <c r="E616" i="6" s="1"/>
  <c r="I617" i="6"/>
  <c r="I618" i="6"/>
  <c r="I619" i="6"/>
  <c r="E619" i="6" s="1"/>
  <c r="I620" i="6"/>
  <c r="E620" i="6" s="1"/>
  <c r="N620" i="6" s="1"/>
  <c r="I621" i="6"/>
  <c r="I622" i="6"/>
  <c r="I623" i="6"/>
  <c r="E623" i="6" s="1"/>
  <c r="I624" i="6"/>
  <c r="E624" i="6" s="1"/>
  <c r="L624" i="6" s="1"/>
  <c r="I625" i="6"/>
  <c r="I626" i="6"/>
  <c r="I627" i="6"/>
  <c r="E627" i="6" s="1"/>
  <c r="N627" i="6" s="1"/>
  <c r="I628" i="6"/>
  <c r="E628" i="6" s="1"/>
  <c r="I629" i="6"/>
  <c r="I630" i="6"/>
  <c r="I631" i="6"/>
  <c r="E631" i="6" s="1"/>
  <c r="N631" i="6" s="1"/>
  <c r="I632" i="6"/>
  <c r="E632" i="6" s="1"/>
  <c r="I633" i="6"/>
  <c r="I634" i="6"/>
  <c r="I635" i="6"/>
  <c r="E635" i="6" s="1"/>
  <c r="N635" i="6" s="1"/>
  <c r="I636" i="6"/>
  <c r="E636" i="6" s="1"/>
  <c r="N636" i="6" s="1"/>
  <c r="I637" i="6"/>
  <c r="I638" i="6"/>
  <c r="I639" i="6"/>
  <c r="E639" i="6" s="1"/>
  <c r="I640" i="6"/>
  <c r="E640" i="6" s="1"/>
  <c r="L640" i="6" s="1"/>
  <c r="I641" i="6"/>
  <c r="I642" i="6"/>
  <c r="I643" i="6"/>
  <c r="E643" i="6" s="1"/>
  <c r="N643" i="6" s="1"/>
  <c r="I644" i="6"/>
  <c r="E644" i="6" s="1"/>
  <c r="I645" i="6"/>
  <c r="I646" i="6"/>
  <c r="I647" i="6"/>
  <c r="E647" i="6" s="1"/>
  <c r="M647" i="6" s="1"/>
  <c r="I648" i="6"/>
  <c r="E648" i="6" s="1"/>
  <c r="L648" i="6" s="1"/>
  <c r="I649" i="6"/>
  <c r="I650" i="6"/>
  <c r="I651" i="6"/>
  <c r="E651" i="6" s="1"/>
  <c r="N651" i="6" s="1"/>
  <c r="I652" i="6"/>
  <c r="E652" i="6" s="1"/>
  <c r="N652" i="6" s="1"/>
  <c r="I653" i="6"/>
  <c r="I654" i="6"/>
  <c r="I655" i="6"/>
  <c r="E655" i="6" s="1"/>
  <c r="M655" i="6" s="1"/>
  <c r="I656" i="6"/>
  <c r="E656" i="6" s="1"/>
  <c r="L656" i="6" s="1"/>
  <c r="I657" i="6"/>
  <c r="I658" i="6"/>
  <c r="I659" i="6"/>
  <c r="E659" i="6" s="1"/>
  <c r="N659" i="6" s="1"/>
  <c r="I660" i="6"/>
  <c r="E660" i="6" s="1"/>
  <c r="I661" i="6"/>
  <c r="I662" i="6"/>
  <c r="I663" i="6"/>
  <c r="E663" i="6" s="1"/>
  <c r="N663" i="6" s="1"/>
  <c r="I664" i="6"/>
  <c r="E664" i="6" s="1"/>
  <c r="N664" i="6" s="1"/>
  <c r="I665" i="6"/>
  <c r="I666" i="6"/>
  <c r="I667" i="6"/>
  <c r="E667" i="6" s="1"/>
  <c r="L667" i="6" s="1"/>
  <c r="I668" i="6"/>
  <c r="E668" i="6" s="1"/>
  <c r="I669" i="6"/>
  <c r="I670" i="6"/>
  <c r="I671" i="6"/>
  <c r="E671" i="6" s="1"/>
  <c r="M671" i="6" s="1"/>
  <c r="I672" i="6"/>
  <c r="E672" i="6" s="1"/>
  <c r="I673" i="6"/>
  <c r="I674" i="6"/>
  <c r="I675" i="6"/>
  <c r="E675" i="6" s="1"/>
  <c r="N675" i="6" s="1"/>
  <c r="I676" i="6"/>
  <c r="E676" i="6" s="1"/>
  <c r="L676" i="6" s="1"/>
  <c r="I677" i="6"/>
  <c r="I678" i="6"/>
  <c r="I679" i="6"/>
  <c r="E679" i="6" s="1"/>
  <c r="N679" i="6" s="1"/>
  <c r="I680" i="6"/>
  <c r="E680" i="6" s="1"/>
  <c r="I681" i="6"/>
  <c r="I682" i="6"/>
  <c r="I683" i="6"/>
  <c r="E683" i="6" s="1"/>
  <c r="N683" i="6" s="1"/>
  <c r="I684" i="6"/>
  <c r="E684" i="6" s="1"/>
  <c r="I685" i="6"/>
  <c r="I686" i="6"/>
  <c r="I687" i="6"/>
  <c r="E687" i="6" s="1"/>
  <c r="M687" i="6" s="1"/>
  <c r="I688" i="6"/>
  <c r="E688" i="6" s="1"/>
  <c r="I689" i="6"/>
  <c r="I690" i="6"/>
  <c r="I691" i="6"/>
  <c r="E691" i="6" s="1"/>
  <c r="M691" i="6" s="1"/>
  <c r="I692" i="6"/>
  <c r="E692" i="6" s="1"/>
  <c r="I693" i="6"/>
  <c r="I694" i="6"/>
  <c r="I695" i="6"/>
  <c r="E695" i="6" s="1"/>
  <c r="N695" i="6" s="1"/>
  <c r="I696" i="6"/>
  <c r="E696" i="6" s="1"/>
  <c r="N696" i="6" s="1"/>
  <c r="I697" i="6"/>
  <c r="I698" i="6"/>
  <c r="I699" i="6"/>
  <c r="E699" i="6" s="1"/>
  <c r="N699" i="6" s="1"/>
  <c r="I700" i="6"/>
  <c r="E700" i="6" s="1"/>
  <c r="I701" i="6"/>
  <c r="I702" i="6"/>
  <c r="I703" i="6"/>
  <c r="E703" i="6" s="1"/>
  <c r="I704" i="6"/>
  <c r="E704" i="6" s="1"/>
  <c r="I705" i="6"/>
  <c r="I706" i="6"/>
  <c r="I707" i="6"/>
  <c r="E707" i="6" s="1"/>
  <c r="N707" i="6" s="1"/>
  <c r="I708" i="6"/>
  <c r="E708" i="6" s="1"/>
  <c r="L708" i="6" s="1"/>
  <c r="I709" i="6"/>
  <c r="I710" i="6"/>
  <c r="I711" i="6"/>
  <c r="E711" i="6" s="1"/>
  <c r="N711" i="6" s="1"/>
  <c r="I712" i="6"/>
  <c r="E712" i="6" s="1"/>
  <c r="I713" i="6"/>
  <c r="I714" i="6"/>
  <c r="I715" i="6"/>
  <c r="E715" i="6" s="1"/>
  <c r="M715" i="6" s="1"/>
  <c r="I716" i="6"/>
  <c r="E716" i="6" s="1"/>
  <c r="I717" i="6"/>
  <c r="I718" i="6"/>
  <c r="I719" i="6"/>
  <c r="E719" i="6" s="1"/>
  <c r="N719" i="6" s="1"/>
  <c r="I720" i="6"/>
  <c r="E720" i="6" s="1"/>
  <c r="I721" i="6"/>
  <c r="I722" i="6"/>
  <c r="I723" i="6"/>
  <c r="E723" i="6" s="1"/>
  <c r="N723" i="6" s="1"/>
  <c r="I724" i="6"/>
  <c r="E724" i="6" s="1"/>
  <c r="I725" i="6"/>
  <c r="I726" i="6"/>
  <c r="I727" i="6"/>
  <c r="E727" i="6" s="1"/>
  <c r="N727" i="6" s="1"/>
  <c r="I728" i="6"/>
  <c r="E728" i="6" s="1"/>
  <c r="N728" i="6" s="1"/>
  <c r="I729" i="6"/>
  <c r="I730" i="6"/>
  <c r="I731" i="6"/>
  <c r="E731" i="6" s="1"/>
  <c r="N731" i="6" s="1"/>
  <c r="I732" i="6"/>
  <c r="E732" i="6" s="1"/>
  <c r="I733" i="6"/>
  <c r="I734" i="6"/>
  <c r="I735" i="6"/>
  <c r="E735" i="6" s="1"/>
  <c r="N735" i="6" s="1"/>
  <c r="I736" i="6"/>
  <c r="E736" i="6" s="1"/>
  <c r="I737" i="6"/>
  <c r="I738" i="6"/>
  <c r="I739" i="6"/>
  <c r="E739" i="6" s="1"/>
  <c r="N739" i="6" s="1"/>
  <c r="I740" i="6"/>
  <c r="E740" i="6" s="1"/>
  <c r="L740" i="6" s="1"/>
  <c r="I741" i="6"/>
  <c r="I742" i="6"/>
  <c r="I743" i="6"/>
  <c r="E743" i="6" s="1"/>
  <c r="N743" i="6" s="1"/>
  <c r="I744" i="6"/>
  <c r="E744" i="6" s="1"/>
  <c r="I745" i="6"/>
  <c r="I746" i="6"/>
  <c r="I747" i="6"/>
  <c r="E747" i="6" s="1"/>
  <c r="N747" i="6" s="1"/>
  <c r="I748" i="6"/>
  <c r="E748" i="6" s="1"/>
  <c r="I749" i="6"/>
  <c r="I750" i="6"/>
  <c r="I751" i="6"/>
  <c r="E751" i="6" s="1"/>
  <c r="N751" i="6" s="1"/>
  <c r="I752" i="6"/>
  <c r="E752" i="6" s="1"/>
  <c r="I753" i="6"/>
  <c r="I754" i="6"/>
  <c r="I755" i="6"/>
  <c r="E755" i="6" s="1"/>
  <c r="N755" i="6" s="1"/>
  <c r="I756" i="6"/>
  <c r="E756" i="6" s="1"/>
  <c r="I757" i="6"/>
  <c r="I758" i="6"/>
  <c r="I759" i="6"/>
  <c r="E759" i="6" s="1"/>
  <c r="N759" i="6" s="1"/>
  <c r="I760" i="6"/>
  <c r="E760" i="6" s="1"/>
  <c r="N760" i="6" s="1"/>
  <c r="I761" i="6"/>
  <c r="I762" i="6"/>
  <c r="I763" i="6"/>
  <c r="E763" i="6" s="1"/>
  <c r="N763" i="6" s="1"/>
  <c r="I764" i="6"/>
  <c r="E764" i="6" s="1"/>
  <c r="I765" i="6"/>
  <c r="I766" i="6"/>
  <c r="I767" i="6"/>
  <c r="E767" i="6" s="1"/>
  <c r="N767" i="6" s="1"/>
  <c r="I768" i="6"/>
  <c r="E768" i="6" s="1"/>
  <c r="I769" i="6"/>
  <c r="I770" i="6"/>
  <c r="I771" i="6"/>
  <c r="E771" i="6" s="1"/>
  <c r="N771" i="6" s="1"/>
  <c r="I772" i="6"/>
  <c r="E772" i="6" s="1"/>
  <c r="L772" i="6" s="1"/>
  <c r="I773" i="6"/>
  <c r="I774" i="6"/>
  <c r="I775" i="6"/>
  <c r="E775" i="6" s="1"/>
  <c r="M775" i="6" s="1"/>
  <c r="I776" i="6"/>
  <c r="E776" i="6" s="1"/>
  <c r="I777" i="6"/>
  <c r="I778" i="6"/>
  <c r="I779" i="6"/>
  <c r="E779" i="6" s="1"/>
  <c r="N779" i="6" s="1"/>
  <c r="I780" i="6"/>
  <c r="E780" i="6" s="1"/>
  <c r="I781" i="6"/>
  <c r="I782" i="6"/>
  <c r="I783" i="6"/>
  <c r="E783" i="6" s="1"/>
  <c r="N783" i="6" s="1"/>
  <c r="I784" i="6"/>
  <c r="E784" i="6" s="1"/>
  <c r="I785" i="6"/>
  <c r="I786" i="6"/>
  <c r="I787" i="6"/>
  <c r="E787" i="6" s="1"/>
  <c r="N787" i="6" s="1"/>
  <c r="I788" i="6"/>
  <c r="E788" i="6" s="1"/>
  <c r="I789" i="6"/>
  <c r="I790" i="6"/>
  <c r="I791" i="6"/>
  <c r="E791" i="6" s="1"/>
  <c r="M791" i="6" s="1"/>
  <c r="I792" i="6"/>
  <c r="E792" i="6" s="1"/>
  <c r="N792" i="6" s="1"/>
  <c r="I793" i="6"/>
  <c r="I794" i="6"/>
  <c r="I795" i="6"/>
  <c r="E795" i="6" s="1"/>
  <c r="N795" i="6" s="1"/>
  <c r="I796" i="6"/>
  <c r="E796" i="6" s="1"/>
  <c r="I797" i="6"/>
  <c r="I798" i="6"/>
  <c r="I799" i="6"/>
  <c r="E799" i="6" s="1"/>
  <c r="N799" i="6" s="1"/>
  <c r="I800" i="6"/>
  <c r="E800" i="6" s="1"/>
  <c r="I801" i="6"/>
  <c r="I802" i="6"/>
  <c r="I803" i="6"/>
  <c r="E803" i="6" s="1"/>
  <c r="N803" i="6" s="1"/>
  <c r="I804" i="6"/>
  <c r="E804" i="6" s="1"/>
  <c r="L804" i="6" s="1"/>
  <c r="I805" i="6"/>
  <c r="I806" i="6"/>
  <c r="I807" i="6"/>
  <c r="E807" i="6" s="1"/>
  <c r="N807" i="6" s="1"/>
  <c r="I808" i="6"/>
  <c r="E808" i="6" s="1"/>
  <c r="I809" i="6"/>
  <c r="I810" i="6"/>
  <c r="I811" i="6"/>
  <c r="E811" i="6" s="1"/>
  <c r="N811" i="6" s="1"/>
  <c r="I812" i="6"/>
  <c r="E812" i="6" s="1"/>
  <c r="I813" i="6"/>
  <c r="I814" i="6"/>
  <c r="I815" i="6"/>
  <c r="E815" i="6" s="1"/>
  <c r="N815" i="6" s="1"/>
  <c r="I816" i="6"/>
  <c r="E816" i="6" s="1"/>
  <c r="I817" i="6"/>
  <c r="I818" i="6"/>
  <c r="I819" i="6"/>
  <c r="E819" i="6" s="1"/>
  <c r="N819" i="6" s="1"/>
  <c r="I820" i="6"/>
  <c r="E820" i="6" s="1"/>
  <c r="I821" i="6"/>
  <c r="I822" i="6"/>
  <c r="I823" i="6"/>
  <c r="E823" i="6" s="1"/>
  <c r="N823" i="6" s="1"/>
  <c r="I824" i="6"/>
  <c r="E824" i="6" s="1"/>
  <c r="N824" i="6" s="1"/>
  <c r="I825" i="6"/>
  <c r="I826" i="6"/>
  <c r="I827" i="6"/>
  <c r="E827" i="6" s="1"/>
  <c r="N827" i="6" s="1"/>
  <c r="I828" i="6"/>
  <c r="E828" i="6" s="1"/>
  <c r="I829" i="6"/>
  <c r="I830" i="6"/>
  <c r="I831" i="6"/>
  <c r="E831" i="6" s="1"/>
  <c r="M831" i="6" s="1"/>
  <c r="I832" i="6"/>
  <c r="E832" i="6" s="1"/>
  <c r="M832" i="6" s="1"/>
  <c r="I833" i="6"/>
  <c r="I834" i="6"/>
  <c r="I835" i="6"/>
  <c r="E835" i="6" s="1"/>
  <c r="N835" i="6" s="1"/>
  <c r="I836" i="6"/>
  <c r="E836" i="6" s="1"/>
  <c r="I837" i="6"/>
  <c r="I838" i="6"/>
  <c r="I839" i="6"/>
  <c r="E839" i="6" s="1"/>
  <c r="N839" i="6" s="1"/>
  <c r="I840" i="6"/>
  <c r="E840" i="6" s="1"/>
  <c r="I841" i="6"/>
  <c r="I842" i="6"/>
  <c r="I843" i="6"/>
  <c r="E843" i="6" s="1"/>
  <c r="N843" i="6" s="1"/>
  <c r="I844" i="6"/>
  <c r="E844" i="6" s="1"/>
  <c r="L844" i="6" s="1"/>
  <c r="I845" i="6"/>
  <c r="I846" i="6"/>
  <c r="I847" i="6"/>
  <c r="E847" i="6" s="1"/>
  <c r="N847" i="6" s="1"/>
  <c r="I848" i="6"/>
  <c r="E848" i="6" s="1"/>
  <c r="M848" i="6" s="1"/>
  <c r="I849" i="6"/>
  <c r="I850" i="6"/>
  <c r="I851" i="6"/>
  <c r="E851" i="6" s="1"/>
  <c r="I852" i="6"/>
  <c r="E852" i="6" s="1"/>
  <c r="I853" i="6"/>
  <c r="I854" i="6"/>
  <c r="I855" i="6"/>
  <c r="E855" i="6" s="1"/>
  <c r="N855" i="6" s="1"/>
  <c r="I856" i="6"/>
  <c r="E856" i="6" s="1"/>
  <c r="I857" i="6"/>
  <c r="I858" i="6"/>
  <c r="I859" i="6"/>
  <c r="E859" i="6" s="1"/>
  <c r="N859" i="6" s="1"/>
  <c r="I860" i="6"/>
  <c r="E860" i="6" s="1"/>
  <c r="L860" i="6" s="1"/>
  <c r="I861" i="6"/>
  <c r="I862" i="6"/>
  <c r="I863" i="6"/>
  <c r="E863" i="6" s="1"/>
  <c r="N863" i="6" s="1"/>
  <c r="I864" i="6"/>
  <c r="E864" i="6" s="1"/>
  <c r="M864" i="6" s="1"/>
  <c r="I865" i="6"/>
  <c r="I866" i="6"/>
  <c r="I867" i="6"/>
  <c r="E867" i="6" s="1"/>
  <c r="N867" i="6" s="1"/>
  <c r="I868" i="6"/>
  <c r="E868" i="6" s="1"/>
  <c r="I869" i="6"/>
  <c r="I870" i="6"/>
  <c r="I871" i="6"/>
  <c r="E871" i="6" s="1"/>
  <c r="N871" i="6" s="1"/>
  <c r="I872" i="6"/>
  <c r="E872" i="6" s="1"/>
  <c r="I873" i="6"/>
  <c r="I874" i="6"/>
  <c r="I875" i="6"/>
  <c r="E875" i="6" s="1"/>
  <c r="N875" i="6" s="1"/>
  <c r="I876" i="6"/>
  <c r="E876" i="6" s="1"/>
  <c r="L876" i="6" s="1"/>
  <c r="I877" i="6"/>
  <c r="I878" i="6"/>
  <c r="I879" i="6"/>
  <c r="E879" i="6" s="1"/>
  <c r="N879" i="6" s="1"/>
  <c r="I880" i="6"/>
  <c r="E880" i="6" s="1"/>
  <c r="M880" i="6" s="1"/>
  <c r="I881" i="6"/>
  <c r="I882" i="6"/>
  <c r="I883" i="6"/>
  <c r="E883" i="6" s="1"/>
  <c r="N883" i="6" s="1"/>
  <c r="I884" i="6"/>
  <c r="E884" i="6" s="1"/>
  <c r="I885" i="6"/>
  <c r="I886" i="6"/>
  <c r="I887" i="6"/>
  <c r="E887" i="6" s="1"/>
  <c r="N887" i="6" s="1"/>
  <c r="I888" i="6"/>
  <c r="E888" i="6" s="1"/>
  <c r="I889" i="6"/>
  <c r="I890" i="6"/>
  <c r="I891" i="6"/>
  <c r="E891" i="6" s="1"/>
  <c r="N891" i="6" s="1"/>
  <c r="I892" i="6"/>
  <c r="E892" i="6" s="1"/>
  <c r="N892" i="6" s="1"/>
  <c r="I893" i="6"/>
  <c r="I894" i="6"/>
  <c r="I895" i="6"/>
  <c r="E895" i="6" s="1"/>
  <c r="N895" i="6" s="1"/>
  <c r="I896" i="6"/>
  <c r="E896" i="6" s="1"/>
  <c r="M896" i="6" s="1"/>
  <c r="I897" i="6"/>
  <c r="I898" i="6"/>
  <c r="I899" i="6"/>
  <c r="E899" i="6" s="1"/>
  <c r="N899" i="6" s="1"/>
  <c r="I900" i="6"/>
  <c r="E900" i="6" s="1"/>
  <c r="I901" i="6"/>
  <c r="I902" i="6"/>
  <c r="I903" i="6"/>
  <c r="E903" i="6" s="1"/>
  <c r="N903" i="6" s="1"/>
  <c r="I904" i="6"/>
  <c r="E904" i="6" s="1"/>
  <c r="I905" i="6"/>
  <c r="I906" i="6"/>
  <c r="I907" i="6"/>
  <c r="E907" i="6" s="1"/>
  <c r="N907" i="6" s="1"/>
  <c r="I908" i="6"/>
  <c r="E908" i="6" s="1"/>
  <c r="L908" i="6" s="1"/>
  <c r="I909" i="6"/>
  <c r="I910" i="6"/>
  <c r="I911" i="6"/>
  <c r="E911" i="6" s="1"/>
  <c r="N911" i="6" s="1"/>
  <c r="I912" i="6"/>
  <c r="E912" i="6" s="1"/>
  <c r="M912" i="6" s="1"/>
  <c r="I913" i="6"/>
  <c r="I914" i="6"/>
  <c r="I915" i="6"/>
  <c r="E915" i="6" s="1"/>
  <c r="N915" i="6" s="1"/>
  <c r="I916" i="6"/>
  <c r="E916" i="6" s="1"/>
  <c r="I917" i="6"/>
  <c r="I918" i="6"/>
  <c r="I919" i="6"/>
  <c r="E919" i="6" s="1"/>
  <c r="N919" i="6" s="1"/>
  <c r="I920" i="6"/>
  <c r="E920" i="6" s="1"/>
  <c r="I921" i="6"/>
  <c r="I922" i="6"/>
  <c r="I923" i="6"/>
  <c r="E923" i="6" s="1"/>
  <c r="N923" i="6" s="1"/>
  <c r="I924" i="6"/>
  <c r="E924" i="6" s="1"/>
  <c r="L924" i="6" s="1"/>
  <c r="I925" i="6"/>
  <c r="I926" i="6"/>
  <c r="I927" i="6"/>
  <c r="E927" i="6" s="1"/>
  <c r="N927" i="6" s="1"/>
  <c r="I928" i="6"/>
  <c r="E928" i="6" s="1"/>
  <c r="M928" i="6" s="1"/>
  <c r="I929" i="6"/>
  <c r="I930" i="6"/>
  <c r="I931" i="6"/>
  <c r="E931" i="6" s="1"/>
  <c r="N931" i="6" s="1"/>
  <c r="I932" i="6"/>
  <c r="E932" i="6" s="1"/>
  <c r="I933" i="6"/>
  <c r="I934" i="6"/>
  <c r="I935" i="6"/>
  <c r="E935" i="6" s="1"/>
  <c r="N935" i="6" s="1"/>
  <c r="I936" i="6"/>
  <c r="E936" i="6" s="1"/>
  <c r="I937" i="6"/>
  <c r="I938" i="6"/>
  <c r="I939" i="6"/>
  <c r="E939" i="6" s="1"/>
  <c r="N939" i="6" s="1"/>
  <c r="I940" i="6"/>
  <c r="E940" i="6" s="1"/>
  <c r="L940" i="6" s="1"/>
  <c r="I941" i="6"/>
  <c r="I942" i="6"/>
  <c r="I943" i="6"/>
  <c r="E943" i="6" s="1"/>
  <c r="N943" i="6" s="1"/>
  <c r="I944" i="6"/>
  <c r="E944" i="6" s="1"/>
  <c r="M944" i="6" s="1"/>
  <c r="I945" i="6"/>
  <c r="I946" i="6"/>
  <c r="I947" i="6"/>
  <c r="E947" i="6" s="1"/>
  <c r="N947" i="6" s="1"/>
  <c r="I948" i="6"/>
  <c r="E948" i="6" s="1"/>
  <c r="I949" i="6"/>
  <c r="I950" i="6"/>
  <c r="I951" i="6"/>
  <c r="E951" i="6" s="1"/>
  <c r="L951" i="6" s="1"/>
  <c r="I952" i="6"/>
  <c r="E952" i="6" s="1"/>
  <c r="I953" i="6"/>
  <c r="I954" i="6"/>
  <c r="I955" i="6"/>
  <c r="E955" i="6" s="1"/>
  <c r="N955" i="6" s="1"/>
  <c r="I956" i="6"/>
  <c r="E956" i="6" s="1"/>
  <c r="L956" i="6" s="1"/>
  <c r="I957" i="6"/>
  <c r="I958" i="6"/>
  <c r="I959" i="6"/>
  <c r="E959" i="6" s="1"/>
  <c r="N959" i="6" s="1"/>
  <c r="I960" i="6"/>
  <c r="E960" i="6" s="1"/>
  <c r="M960" i="6" s="1"/>
  <c r="I961" i="6"/>
  <c r="I962" i="6"/>
  <c r="I963" i="6"/>
  <c r="E963" i="6" s="1"/>
  <c r="N963" i="6" s="1"/>
  <c r="I964" i="6"/>
  <c r="E964" i="6" s="1"/>
  <c r="I965" i="6"/>
  <c r="I966" i="6"/>
  <c r="I967" i="6"/>
  <c r="E967" i="6" s="1"/>
  <c r="N967" i="6" s="1"/>
  <c r="I968" i="6"/>
  <c r="E968" i="6" s="1"/>
  <c r="I969" i="6"/>
  <c r="I970" i="6"/>
  <c r="I971" i="6"/>
  <c r="E971" i="6" s="1"/>
  <c r="N971" i="6" s="1"/>
  <c r="I972" i="6"/>
  <c r="E972" i="6" s="1"/>
  <c r="L972" i="6" s="1"/>
  <c r="I973" i="6"/>
  <c r="I974" i="6"/>
  <c r="I975" i="6"/>
  <c r="E975" i="6" s="1"/>
  <c r="N975" i="6" s="1"/>
  <c r="I976" i="6"/>
  <c r="E976" i="6" s="1"/>
  <c r="M976" i="6" s="1"/>
  <c r="I977" i="6"/>
  <c r="I978" i="6"/>
  <c r="I979" i="6"/>
  <c r="E979" i="6" s="1"/>
  <c r="N979" i="6" s="1"/>
  <c r="I980" i="6"/>
  <c r="E980" i="6" s="1"/>
  <c r="I981" i="6"/>
  <c r="I982" i="6"/>
  <c r="I983" i="6"/>
  <c r="E983" i="6" s="1"/>
  <c r="N983" i="6" s="1"/>
  <c r="I984" i="6"/>
  <c r="E984" i="6" s="1"/>
  <c r="I985" i="6"/>
  <c r="I986" i="6"/>
  <c r="I987" i="6"/>
  <c r="E987" i="6" s="1"/>
  <c r="N987" i="6" s="1"/>
  <c r="I988" i="6"/>
  <c r="E988" i="6" s="1"/>
  <c r="L988" i="6" s="1"/>
  <c r="I989" i="6"/>
  <c r="I990" i="6"/>
  <c r="I991" i="6"/>
  <c r="E991" i="6" s="1"/>
  <c r="I992" i="6"/>
  <c r="E992" i="6" s="1"/>
  <c r="M992" i="6" s="1"/>
  <c r="I993" i="6"/>
  <c r="I994" i="6"/>
  <c r="I995" i="6"/>
  <c r="E995" i="6" s="1"/>
  <c r="N995" i="6" s="1"/>
  <c r="I996" i="6"/>
  <c r="E996" i="6" s="1"/>
  <c r="I997" i="6"/>
  <c r="I998" i="6"/>
  <c r="I999" i="6"/>
  <c r="E999" i="6" s="1"/>
  <c r="N999" i="6" s="1"/>
  <c r="I1000" i="6"/>
  <c r="E1000" i="6" s="1"/>
  <c r="I1001" i="6"/>
  <c r="I1002" i="6"/>
  <c r="I1003" i="6"/>
  <c r="E1003" i="6" s="1"/>
  <c r="N1003" i="6" s="1"/>
  <c r="I1004" i="6"/>
  <c r="E1004" i="6" s="1"/>
  <c r="L1004" i="6" s="1"/>
  <c r="I1005" i="6"/>
  <c r="I1006" i="6"/>
  <c r="I1007" i="6"/>
  <c r="E1007" i="6" s="1"/>
  <c r="N1007" i="6" s="1"/>
  <c r="I1008" i="6"/>
  <c r="E1008" i="6" s="1"/>
  <c r="M1008" i="6" s="1"/>
  <c r="I1009" i="6"/>
  <c r="I1010" i="6"/>
  <c r="I1011" i="6"/>
  <c r="E1011" i="6" s="1"/>
  <c r="N1011" i="6" s="1"/>
  <c r="I1012" i="6"/>
  <c r="E1012" i="6" s="1"/>
  <c r="I1013" i="6"/>
  <c r="I1014" i="6"/>
  <c r="I1015" i="6"/>
  <c r="E1015" i="6" s="1"/>
  <c r="N1015" i="6" s="1"/>
  <c r="I1016" i="6"/>
  <c r="E1016" i="6" s="1"/>
  <c r="I1017" i="6"/>
  <c r="I1018" i="6"/>
  <c r="I1019" i="6"/>
  <c r="E1019" i="6" s="1"/>
  <c r="N1019" i="6" s="1"/>
  <c r="I1020" i="6"/>
  <c r="E1020" i="6" s="1"/>
  <c r="M1020" i="6" s="1"/>
  <c r="I1021" i="6"/>
  <c r="I1022" i="6"/>
  <c r="I1023" i="6"/>
  <c r="E1023" i="6" s="1"/>
  <c r="N1023" i="6" s="1"/>
  <c r="I1024" i="6"/>
  <c r="E1024" i="6" s="1"/>
  <c r="I1025" i="6"/>
  <c r="I1026" i="6"/>
  <c r="I1027" i="6"/>
  <c r="E1027" i="6" s="1"/>
  <c r="N1027" i="6" s="1"/>
  <c r="I1028" i="6"/>
  <c r="E1028" i="6" s="1"/>
  <c r="I1029" i="6"/>
  <c r="I1030" i="6"/>
  <c r="I1031" i="6"/>
  <c r="E1031" i="6" s="1"/>
  <c r="L1031" i="6" s="1"/>
  <c r="I1032" i="6"/>
  <c r="E1032" i="6" s="1"/>
  <c r="M1032" i="6" s="1"/>
  <c r="I1033" i="6"/>
  <c r="I1034" i="6"/>
  <c r="I1035" i="6"/>
  <c r="E1035" i="6" s="1"/>
  <c r="N1035" i="6" s="1"/>
  <c r="I1036" i="6"/>
  <c r="E1036" i="6" s="1"/>
  <c r="I1037" i="6"/>
  <c r="I1038" i="6"/>
  <c r="I1039" i="6"/>
  <c r="E1039" i="6" s="1"/>
  <c r="I1040" i="6"/>
  <c r="E1040" i="6" s="1"/>
  <c r="M1040" i="6" s="1"/>
  <c r="I1041" i="6"/>
  <c r="I1042" i="6"/>
  <c r="I1043" i="6"/>
  <c r="E1043" i="6" s="1"/>
  <c r="N1043" i="6" s="1"/>
  <c r="I1044" i="6"/>
  <c r="E1044" i="6" s="1"/>
  <c r="I1045" i="6"/>
  <c r="I1046" i="6"/>
  <c r="I1047" i="6"/>
  <c r="E1047" i="6" s="1"/>
  <c r="N1047" i="6" s="1"/>
  <c r="I1048" i="6"/>
  <c r="E1048" i="6" s="1"/>
  <c r="N1048" i="6" s="1"/>
  <c r="I1049" i="6"/>
  <c r="I1050" i="6"/>
  <c r="I1051" i="6"/>
  <c r="E1051" i="6" s="1"/>
  <c r="N1051" i="6" s="1"/>
  <c r="I1052" i="6"/>
  <c r="E1052" i="6" s="1"/>
  <c r="I1053" i="6"/>
  <c r="I1054" i="6"/>
  <c r="I1055" i="6"/>
  <c r="E1055" i="6" s="1"/>
  <c r="N1055" i="6" s="1"/>
  <c r="I1056" i="6"/>
  <c r="E1056" i="6" s="1"/>
  <c r="M1056" i="6" s="1"/>
  <c r="I1057" i="6"/>
  <c r="I1058" i="6"/>
  <c r="I1059" i="6"/>
  <c r="E1059" i="6" s="1"/>
  <c r="N1059" i="6" s="1"/>
  <c r="I1060" i="6"/>
  <c r="E1060" i="6" s="1"/>
  <c r="M1060" i="6" s="1"/>
  <c r="I1061" i="6"/>
  <c r="I1062" i="6"/>
  <c r="I1063" i="6"/>
  <c r="E1063" i="6" s="1"/>
  <c r="N1063" i="6" s="1"/>
  <c r="I1064" i="6"/>
  <c r="E1064" i="6" s="1"/>
  <c r="M1064" i="6" s="1"/>
  <c r="I1065" i="6"/>
  <c r="I1066" i="6"/>
  <c r="I1067" i="6"/>
  <c r="E1067" i="6" s="1"/>
  <c r="N1067" i="6" s="1"/>
  <c r="I1068" i="6"/>
  <c r="E1068" i="6" s="1"/>
  <c r="I1069" i="6"/>
  <c r="I1070" i="6"/>
  <c r="I1071" i="6"/>
  <c r="E1071" i="6" s="1"/>
  <c r="I1072" i="6"/>
  <c r="E1072" i="6" s="1"/>
  <c r="N1072" i="6" s="1"/>
  <c r="I1073" i="6"/>
  <c r="I1074" i="6"/>
  <c r="I1075" i="6"/>
  <c r="E1075" i="6" s="1"/>
  <c r="N1075" i="6" s="1"/>
  <c r="I1076" i="6"/>
  <c r="E1076" i="6" s="1"/>
  <c r="I1077" i="6"/>
  <c r="I1078" i="6"/>
  <c r="I1079" i="6"/>
  <c r="E1079" i="6" s="1"/>
  <c r="N1079" i="6" s="1"/>
  <c r="I1080" i="6"/>
  <c r="E1080" i="6" s="1"/>
  <c r="L1080" i="6" s="1"/>
  <c r="I1081" i="6"/>
  <c r="I1082" i="6"/>
  <c r="I1083" i="6"/>
  <c r="E1083" i="6" s="1"/>
  <c r="N1083" i="6" s="1"/>
  <c r="I1084" i="6"/>
  <c r="E1084" i="6" s="1"/>
  <c r="M1084" i="6" s="1"/>
  <c r="I1085" i="6"/>
  <c r="I1086" i="6"/>
  <c r="I1087" i="6"/>
  <c r="E1087" i="6" s="1"/>
  <c r="M1087" i="6" s="1"/>
  <c r="I1088" i="6"/>
  <c r="E1088" i="6" s="1"/>
  <c r="N1088" i="6" s="1"/>
  <c r="I1089" i="6"/>
  <c r="I1090" i="6"/>
  <c r="I1091" i="6"/>
  <c r="E1091" i="6" s="1"/>
  <c r="L1091" i="6" s="1"/>
  <c r="I1092" i="6"/>
  <c r="E1092" i="6" s="1"/>
  <c r="I1093" i="6"/>
  <c r="I1094" i="6"/>
  <c r="I1095" i="6"/>
  <c r="E1095" i="6" s="1"/>
  <c r="N1095" i="6" s="1"/>
  <c r="I1096" i="6"/>
  <c r="E1096" i="6" s="1"/>
  <c r="L1096" i="6" s="1"/>
  <c r="I1097" i="6"/>
  <c r="I1098" i="6"/>
  <c r="I1099" i="6"/>
  <c r="E1099" i="6" s="1"/>
  <c r="N1099" i="6" s="1"/>
  <c r="I1100" i="6"/>
  <c r="E1100" i="6" s="1"/>
  <c r="I1101" i="6"/>
  <c r="I1102" i="6"/>
  <c r="I1103" i="6"/>
  <c r="E1103" i="6" s="1"/>
  <c r="I1104" i="6"/>
  <c r="E1104" i="6" s="1"/>
  <c r="N1104" i="6" s="1"/>
  <c r="I1105" i="6"/>
  <c r="I1106" i="6"/>
  <c r="I1107" i="6"/>
  <c r="E1107" i="6" s="1"/>
  <c r="N1107" i="6" s="1"/>
  <c r="I1108" i="6"/>
  <c r="E1108" i="6" s="1"/>
  <c r="I1109" i="6"/>
  <c r="I1110" i="6"/>
  <c r="I1111" i="6"/>
  <c r="E1111" i="6" s="1"/>
  <c r="N1111" i="6" s="1"/>
  <c r="I1112" i="6"/>
  <c r="E1112" i="6" s="1"/>
  <c r="L1112" i="6" s="1"/>
  <c r="I1113" i="6"/>
  <c r="I1114" i="6"/>
  <c r="I1115" i="6"/>
  <c r="E1115" i="6" s="1"/>
  <c r="I1116" i="6"/>
  <c r="E1116" i="6" s="1"/>
  <c r="L1116" i="6" s="1"/>
  <c r="I1117" i="6"/>
  <c r="I1118" i="6"/>
  <c r="I1119" i="6"/>
  <c r="E1119" i="6" s="1"/>
  <c r="N1119" i="6" s="1"/>
  <c r="I1120" i="6"/>
  <c r="E1120" i="6" s="1"/>
  <c r="N1120" i="6" s="1"/>
  <c r="I1121" i="6"/>
  <c r="I1122" i="6"/>
  <c r="I1123" i="6"/>
  <c r="E1123" i="6" s="1"/>
  <c r="L1123" i="6" s="1"/>
  <c r="I1124" i="6"/>
  <c r="E1124" i="6" s="1"/>
  <c r="I1125" i="6"/>
  <c r="I1126" i="6"/>
  <c r="I1127" i="6"/>
  <c r="E1127" i="6" s="1"/>
  <c r="N1127" i="6" s="1"/>
  <c r="I1128" i="6"/>
  <c r="E1128" i="6" s="1"/>
  <c r="L1128" i="6" s="1"/>
  <c r="I1129" i="6"/>
  <c r="I1130" i="6"/>
  <c r="I1131" i="6"/>
  <c r="E1131" i="6" s="1"/>
  <c r="I1132" i="6"/>
  <c r="E1132" i="6" s="1"/>
  <c r="I1133" i="6"/>
  <c r="I1134" i="6"/>
  <c r="I1135" i="6"/>
  <c r="E1135" i="6" s="1"/>
  <c r="N1135" i="6" s="1"/>
  <c r="I1136" i="6"/>
  <c r="E1136" i="6" s="1"/>
  <c r="N1136" i="6" s="1"/>
  <c r="I1137" i="6"/>
  <c r="I1138" i="6"/>
  <c r="I1139" i="6"/>
  <c r="E1139" i="6" s="1"/>
  <c r="I1140" i="6"/>
  <c r="E1140" i="6" s="1"/>
  <c r="M1140" i="6" s="1"/>
  <c r="I1141" i="6"/>
  <c r="I1142" i="6"/>
  <c r="I1143" i="6"/>
  <c r="E1143" i="6" s="1"/>
  <c r="N1143" i="6" s="1"/>
  <c r="I1144" i="6"/>
  <c r="E1144" i="6" s="1"/>
  <c r="L1144" i="6" s="1"/>
  <c r="I1145" i="6"/>
  <c r="I1146" i="6"/>
  <c r="I1147" i="6"/>
  <c r="E1147" i="6" s="1"/>
  <c r="N1147" i="6" s="1"/>
  <c r="I1148" i="6"/>
  <c r="E1148" i="6" s="1"/>
  <c r="L1148" i="6" s="1"/>
  <c r="I1149" i="6"/>
  <c r="I1150" i="6"/>
  <c r="I1151" i="6"/>
  <c r="E1151" i="6" s="1"/>
  <c r="I1152" i="6"/>
  <c r="E1152" i="6" s="1"/>
  <c r="N1152" i="6" s="1"/>
  <c r="I1153" i="6"/>
  <c r="I1154" i="6"/>
  <c r="I1155" i="6"/>
  <c r="E1155" i="6" s="1"/>
  <c r="N1155" i="6" s="1"/>
  <c r="I1156" i="6"/>
  <c r="E1156" i="6" s="1"/>
  <c r="I1157" i="6"/>
  <c r="I1158" i="6"/>
  <c r="I1159" i="6"/>
  <c r="E1159" i="6" s="1"/>
  <c r="N1159" i="6" s="1"/>
  <c r="I1160" i="6"/>
  <c r="E1160" i="6" s="1"/>
  <c r="L1160" i="6" s="1"/>
  <c r="I1161" i="6"/>
  <c r="I1162" i="6"/>
  <c r="I1163" i="6"/>
  <c r="E1163" i="6" s="1"/>
  <c r="N1163" i="6" s="1"/>
  <c r="I1164" i="6"/>
  <c r="E1164" i="6" s="1"/>
  <c r="I1165" i="6"/>
  <c r="I1166" i="6"/>
  <c r="I1167" i="6"/>
  <c r="E1167" i="6" s="1"/>
  <c r="I1168" i="6"/>
  <c r="E1168" i="6" s="1"/>
  <c r="N1168" i="6" s="1"/>
  <c r="I1169" i="6"/>
  <c r="I1170" i="6"/>
  <c r="I1171" i="6"/>
  <c r="E1171" i="6" s="1"/>
  <c r="N1171" i="6" s="1"/>
  <c r="I1172" i="6"/>
  <c r="E1172" i="6" s="1"/>
  <c r="I1173" i="6"/>
  <c r="I1174" i="6"/>
  <c r="I1175" i="6"/>
  <c r="E1175" i="6" s="1"/>
  <c r="N1175" i="6" s="1"/>
  <c r="I1176" i="6"/>
  <c r="E1176" i="6" s="1"/>
  <c r="I1177" i="6"/>
  <c r="I1178" i="6"/>
  <c r="I1179" i="6"/>
  <c r="E1179" i="6" s="1"/>
  <c r="N1179" i="6" s="1"/>
  <c r="I1180" i="6"/>
  <c r="E1180" i="6" s="1"/>
  <c r="L1180" i="6" s="1"/>
  <c r="I1181" i="6"/>
  <c r="I1182" i="6"/>
  <c r="I1183" i="6"/>
  <c r="E1183" i="6" s="1"/>
  <c r="N1183" i="6" s="1"/>
  <c r="I1184" i="6"/>
  <c r="E1184" i="6" s="1"/>
  <c r="I1185" i="6"/>
  <c r="I1186" i="6"/>
  <c r="I1187" i="6"/>
  <c r="E1187" i="6" s="1"/>
  <c r="N1187" i="6" s="1"/>
  <c r="I1188" i="6"/>
  <c r="E1188" i="6" s="1"/>
  <c r="I1189" i="6"/>
  <c r="I1190" i="6"/>
  <c r="I1191" i="6"/>
  <c r="E1191" i="6" s="1"/>
  <c r="N1191" i="6" s="1"/>
  <c r="I1192" i="6"/>
  <c r="E1192" i="6" s="1"/>
  <c r="L1192" i="6" s="1"/>
  <c r="I1193" i="6"/>
  <c r="I1194" i="6"/>
  <c r="I1195" i="6"/>
  <c r="E1195" i="6" s="1"/>
  <c r="N1195" i="6" s="1"/>
  <c r="I1196" i="6"/>
  <c r="E1196" i="6" s="1"/>
  <c r="M1196" i="6" s="1"/>
  <c r="I1197" i="6"/>
  <c r="I1198" i="6"/>
  <c r="I1199" i="6"/>
  <c r="E1199" i="6" s="1"/>
  <c r="N1199" i="6" s="1"/>
  <c r="I1200" i="6"/>
  <c r="E1200" i="6" s="1"/>
  <c r="N1200" i="6" s="1"/>
  <c r="I1201" i="6"/>
  <c r="I1202" i="6"/>
  <c r="I1203" i="6"/>
  <c r="E1203" i="6" s="1"/>
  <c r="N1203" i="6" s="1"/>
  <c r="I1204" i="6"/>
  <c r="E1204" i="6" s="1"/>
  <c r="I1205" i="6"/>
  <c r="I1206" i="6"/>
  <c r="I1207" i="6"/>
  <c r="E1207" i="6" s="1"/>
  <c r="N1207" i="6" s="1"/>
  <c r="I1208" i="6"/>
  <c r="E1208" i="6" s="1"/>
  <c r="L1208" i="6" s="1"/>
  <c r="I1209" i="6"/>
  <c r="I1210" i="6"/>
  <c r="I1211" i="6"/>
  <c r="E1211" i="6" s="1"/>
  <c r="N1211" i="6" s="1"/>
  <c r="I1212" i="6"/>
  <c r="E1212" i="6" s="1"/>
  <c r="L1212" i="6" s="1"/>
  <c r="I1213" i="6"/>
  <c r="I1214" i="6"/>
  <c r="I1215" i="6"/>
  <c r="E1215" i="6" s="1"/>
  <c r="N1215" i="6" s="1"/>
  <c r="I1216" i="6"/>
  <c r="E1216" i="6" s="1"/>
  <c r="N1216" i="6" s="1"/>
  <c r="I1217" i="6"/>
  <c r="I1218" i="6"/>
  <c r="I1219" i="6"/>
  <c r="E1219" i="6" s="1"/>
  <c r="N1219" i="6" s="1"/>
  <c r="I1220" i="6"/>
  <c r="E1220" i="6" s="1"/>
  <c r="I1221" i="6"/>
  <c r="I1222" i="6"/>
  <c r="I1223" i="6"/>
  <c r="E1223" i="6" s="1"/>
  <c r="N1223" i="6" s="1"/>
  <c r="I1224" i="6"/>
  <c r="E1224" i="6" s="1"/>
  <c r="L1224" i="6" s="1"/>
  <c r="I1225" i="6"/>
  <c r="I1226" i="6"/>
  <c r="I1227" i="6"/>
  <c r="E1227" i="6" s="1"/>
  <c r="N1227" i="6" s="1"/>
  <c r="I1228" i="6"/>
  <c r="E1228" i="6" s="1"/>
  <c r="L1228" i="6" s="1"/>
  <c r="I1229" i="6"/>
  <c r="I1230" i="6"/>
  <c r="I1231" i="6"/>
  <c r="E1231" i="6" s="1"/>
  <c r="I1232" i="6"/>
  <c r="E1232" i="6" s="1"/>
  <c r="N1232" i="6" s="1"/>
  <c r="I1233" i="6"/>
  <c r="I1234" i="6"/>
  <c r="I1235" i="6"/>
  <c r="E1235" i="6" s="1"/>
  <c r="N1235" i="6" s="1"/>
  <c r="I1236" i="6"/>
  <c r="E1236" i="6" s="1"/>
  <c r="I1237" i="6"/>
  <c r="I1238" i="6"/>
  <c r="I1239" i="6"/>
  <c r="E1239" i="6" s="1"/>
  <c r="N1239" i="6" s="1"/>
  <c r="I1240" i="6"/>
  <c r="E1240" i="6" s="1"/>
  <c r="L1240" i="6" s="1"/>
  <c r="I1241" i="6"/>
  <c r="I1242" i="6"/>
  <c r="I1243" i="6"/>
  <c r="E1243" i="6" s="1"/>
  <c r="N1243" i="6" s="1"/>
  <c r="I1244" i="6"/>
  <c r="E1244" i="6" s="1"/>
  <c r="L1244" i="6" s="1"/>
  <c r="I1245" i="6"/>
  <c r="I1246" i="6"/>
  <c r="I1247" i="6"/>
  <c r="E1247" i="6" s="1"/>
  <c r="N1247" i="6" s="1"/>
  <c r="I1248" i="6"/>
  <c r="E1248" i="6" s="1"/>
  <c r="I1249" i="6"/>
  <c r="I1250" i="6"/>
  <c r="I1251" i="6"/>
  <c r="E1251" i="6" s="1"/>
  <c r="N1251" i="6" s="1"/>
  <c r="I1252" i="6"/>
  <c r="E1252" i="6" s="1"/>
  <c r="N1252" i="6" s="1"/>
  <c r="I1253" i="6"/>
  <c r="I1254" i="6"/>
  <c r="I1255" i="6"/>
  <c r="E1255" i="6" s="1"/>
  <c r="N1255" i="6" s="1"/>
  <c r="I1256" i="6"/>
  <c r="E1256" i="6" s="1"/>
  <c r="L1256" i="6" s="1"/>
  <c r="I1257" i="6"/>
  <c r="I1258" i="6"/>
  <c r="I1259" i="6"/>
  <c r="E1259" i="6" s="1"/>
  <c r="N1259" i="6" s="1"/>
  <c r="I1260" i="6"/>
  <c r="E1260" i="6" s="1"/>
  <c r="I1261" i="6"/>
  <c r="I1262" i="6"/>
  <c r="I1263" i="6"/>
  <c r="E1263" i="6" s="1"/>
  <c r="N1263" i="6" s="1"/>
  <c r="I1264" i="6"/>
  <c r="E1264" i="6" s="1"/>
  <c r="M1264" i="6" s="1"/>
  <c r="I1265" i="6"/>
  <c r="I1266" i="6"/>
  <c r="I1267" i="6"/>
  <c r="E1267" i="6" s="1"/>
  <c r="N1267" i="6" s="1"/>
  <c r="I1268" i="6"/>
  <c r="E1268" i="6" s="1"/>
  <c r="N1268" i="6" s="1"/>
  <c r="I1269" i="6"/>
  <c r="I1270" i="6"/>
  <c r="I1271" i="6"/>
  <c r="E1271" i="6" s="1"/>
  <c r="N1271" i="6" s="1"/>
  <c r="I1272" i="6"/>
  <c r="E1272" i="6" s="1"/>
  <c r="L1272" i="6" s="1"/>
  <c r="I1273" i="6"/>
  <c r="I1274" i="6"/>
  <c r="I1275" i="6"/>
  <c r="E1275" i="6" s="1"/>
  <c r="N1275" i="6" s="1"/>
  <c r="I1276" i="6"/>
  <c r="E1276" i="6" s="1"/>
  <c r="I1277" i="6"/>
  <c r="I1278" i="6"/>
  <c r="I1279" i="6"/>
  <c r="E1279" i="6" s="1"/>
  <c r="N1279" i="6" s="1"/>
  <c r="I1280" i="6"/>
  <c r="E1280" i="6" s="1"/>
  <c r="L1280" i="6" s="1"/>
  <c r="I1281" i="6"/>
  <c r="I1282" i="6"/>
  <c r="I1283" i="6"/>
  <c r="E1283" i="6" s="1"/>
  <c r="N1283" i="6" s="1"/>
  <c r="I1284" i="6"/>
  <c r="E1284" i="6" s="1"/>
  <c r="N1284" i="6" s="1"/>
  <c r="I1285" i="6"/>
  <c r="I1286" i="6"/>
  <c r="I1287" i="6"/>
  <c r="E1287" i="6" s="1"/>
  <c r="N1287" i="6" s="1"/>
  <c r="I1288" i="6"/>
  <c r="E1288" i="6" s="1"/>
  <c r="L1288" i="6" s="1"/>
  <c r="I1289" i="6"/>
  <c r="I1290" i="6"/>
  <c r="I1291" i="6"/>
  <c r="E1291" i="6" s="1"/>
  <c r="N1291" i="6" s="1"/>
  <c r="I1292" i="6"/>
  <c r="E1292" i="6" s="1"/>
  <c r="M1292" i="6" s="1"/>
  <c r="I1293" i="6"/>
  <c r="I1294" i="6"/>
  <c r="I1295" i="6"/>
  <c r="E1295" i="6" s="1"/>
  <c r="N1295" i="6" s="1"/>
  <c r="I1296" i="6"/>
  <c r="E1296" i="6" s="1"/>
  <c r="I1297" i="6"/>
  <c r="I1298" i="6"/>
  <c r="I1299" i="6"/>
  <c r="E1299" i="6" s="1"/>
  <c r="N1299" i="6" s="1"/>
  <c r="I1300" i="6"/>
  <c r="E1300" i="6" s="1"/>
  <c r="N1300" i="6" s="1"/>
  <c r="I1301" i="6"/>
  <c r="I1302" i="6"/>
  <c r="I1303" i="6"/>
  <c r="E1303" i="6" s="1"/>
  <c r="N1303" i="6" s="1"/>
  <c r="I1304" i="6"/>
  <c r="E1304" i="6" s="1"/>
  <c r="L1304" i="6" s="1"/>
  <c r="I1305" i="6"/>
  <c r="I1306" i="6"/>
  <c r="I1307" i="6"/>
  <c r="E1307" i="6" s="1"/>
  <c r="N1307" i="6" s="1"/>
  <c r="I1308" i="6"/>
  <c r="E1308" i="6" s="1"/>
  <c r="L1308" i="6" s="1"/>
  <c r="I1309" i="6"/>
  <c r="I1310" i="6"/>
  <c r="I1311" i="6"/>
  <c r="E1311" i="6" s="1"/>
  <c r="N1311" i="6" s="1"/>
  <c r="I1312" i="6"/>
  <c r="E1312" i="6" s="1"/>
  <c r="N1312" i="6" s="1"/>
  <c r="I1313" i="6"/>
  <c r="I1314" i="6"/>
  <c r="I1315" i="6"/>
  <c r="E1315" i="6" s="1"/>
  <c r="N1315" i="6" s="1"/>
  <c r="I1316" i="6"/>
  <c r="E1316" i="6" s="1"/>
  <c r="N1316" i="6" s="1"/>
  <c r="I1317" i="6"/>
  <c r="I1318" i="6"/>
  <c r="I1319" i="6"/>
  <c r="E1319" i="6" s="1"/>
  <c r="N1319" i="6" s="1"/>
  <c r="I1320" i="6"/>
  <c r="E1320" i="6" s="1"/>
  <c r="L1320" i="6" s="1"/>
  <c r="I1321" i="6"/>
  <c r="I1322" i="6"/>
  <c r="I1323" i="6"/>
  <c r="E1323" i="6" s="1"/>
  <c r="N1323" i="6" s="1"/>
  <c r="I1324" i="6"/>
  <c r="E1324" i="6" s="1"/>
  <c r="I1325" i="6"/>
  <c r="I1326" i="6"/>
  <c r="I1327" i="6"/>
  <c r="E1327" i="6" s="1"/>
  <c r="N1327" i="6" s="1"/>
  <c r="I1328" i="6"/>
  <c r="E1328" i="6" s="1"/>
  <c r="M1328" i="6" s="1"/>
  <c r="I1329" i="6"/>
  <c r="I1330" i="6"/>
  <c r="I1331" i="6"/>
  <c r="E1331" i="6" s="1"/>
  <c r="N1331" i="6" s="1"/>
  <c r="I1332" i="6"/>
  <c r="E1332" i="6" s="1"/>
  <c r="I1333" i="6"/>
  <c r="I1334" i="6"/>
  <c r="I1335" i="6"/>
  <c r="E1335" i="6" s="1"/>
  <c r="N1335" i="6" s="1"/>
  <c r="I1336" i="6"/>
  <c r="E1336" i="6" s="1"/>
  <c r="L1336" i="6" s="1"/>
  <c r="I1337" i="6"/>
  <c r="I1338" i="6"/>
  <c r="I1339" i="6"/>
  <c r="E1339" i="6" s="1"/>
  <c r="N1339" i="6" s="1"/>
  <c r="I1340" i="6"/>
  <c r="E1340" i="6" s="1"/>
  <c r="N1340" i="6" s="1"/>
  <c r="I1341" i="6"/>
  <c r="I1342" i="6"/>
  <c r="I1343" i="6"/>
  <c r="E1343" i="6" s="1"/>
  <c r="N1343" i="6" s="1"/>
  <c r="I1344" i="6"/>
  <c r="E1344" i="6" s="1"/>
  <c r="I1345" i="6"/>
  <c r="I1346" i="6"/>
  <c r="I1347" i="6"/>
  <c r="E1347" i="6" s="1"/>
  <c r="N1347" i="6" s="1"/>
  <c r="I1348" i="6"/>
  <c r="E1348" i="6" s="1"/>
  <c r="N1348" i="6" s="1"/>
  <c r="I1349" i="6"/>
  <c r="I1350" i="6"/>
  <c r="I1351" i="6"/>
  <c r="E1351" i="6" s="1"/>
  <c r="N1351" i="6" s="1"/>
  <c r="I1352" i="6"/>
  <c r="E1352" i="6" s="1"/>
  <c r="L1352" i="6" s="1"/>
  <c r="I1353" i="6"/>
  <c r="I1354" i="6"/>
  <c r="I1355" i="6"/>
  <c r="E1355" i="6" s="1"/>
  <c r="N1355" i="6" s="1"/>
  <c r="I1356" i="6"/>
  <c r="E1356" i="6" s="1"/>
  <c r="M1356" i="6" s="1"/>
  <c r="I1357" i="6"/>
  <c r="I1358" i="6"/>
  <c r="I1359" i="6"/>
  <c r="E1359" i="6" s="1"/>
  <c r="N1359" i="6" s="1"/>
  <c r="I1360" i="6"/>
  <c r="E1360" i="6" s="1"/>
  <c r="I1361" i="6"/>
  <c r="I1362" i="6"/>
  <c r="I1363" i="6"/>
  <c r="E1363" i="6" s="1"/>
  <c r="N1363" i="6" s="1"/>
  <c r="I1364" i="6"/>
  <c r="E1364" i="6" s="1"/>
  <c r="N1364" i="6" s="1"/>
  <c r="I1365" i="6"/>
  <c r="I1366" i="6"/>
  <c r="I1367" i="6"/>
  <c r="E1367" i="6" s="1"/>
  <c r="N1367" i="6" s="1"/>
  <c r="I1368" i="6"/>
  <c r="E1368" i="6" s="1"/>
  <c r="L1368" i="6" s="1"/>
  <c r="I1369" i="6"/>
  <c r="I1370" i="6"/>
  <c r="I1371" i="6"/>
  <c r="E1371" i="6" s="1"/>
  <c r="N1371" i="6" s="1"/>
  <c r="I1372" i="6"/>
  <c r="E1372" i="6" s="1"/>
  <c r="I1373" i="6"/>
  <c r="I1374" i="6"/>
  <c r="I1375" i="6"/>
  <c r="E1375" i="6" s="1"/>
  <c r="M1375" i="6" s="1"/>
  <c r="I1376" i="6"/>
  <c r="E1376" i="6" s="1"/>
  <c r="I1377" i="6"/>
  <c r="I1378" i="6"/>
  <c r="I1379" i="6"/>
  <c r="E1379" i="6" s="1"/>
  <c r="N1379" i="6" s="1"/>
  <c r="I1380" i="6"/>
  <c r="E1380" i="6" s="1"/>
  <c r="N1380" i="6" s="1"/>
  <c r="I1381" i="6"/>
  <c r="I1382" i="6"/>
  <c r="I1383" i="6"/>
  <c r="E1383" i="6" s="1"/>
  <c r="N1383" i="6" s="1"/>
  <c r="I1384" i="6"/>
  <c r="E1384" i="6" s="1"/>
  <c r="L1384" i="6" s="1"/>
  <c r="I1385" i="6"/>
  <c r="I1386" i="6"/>
  <c r="I1387" i="6"/>
  <c r="E1387" i="6" s="1"/>
  <c r="N1387" i="6" s="1"/>
  <c r="I1388" i="6"/>
  <c r="E1388" i="6" s="1"/>
  <c r="I1389" i="6"/>
  <c r="I1390" i="6"/>
  <c r="I1391" i="6"/>
  <c r="E1391" i="6" s="1"/>
  <c r="N1391" i="6" s="1"/>
  <c r="I1392" i="6"/>
  <c r="E1392" i="6" s="1"/>
  <c r="M1392" i="6" s="1"/>
  <c r="I1393" i="6"/>
  <c r="I1394" i="6"/>
  <c r="I1395" i="6"/>
  <c r="E1395" i="6" s="1"/>
  <c r="N1395" i="6" s="1"/>
  <c r="I1396" i="6"/>
  <c r="E1396" i="6" s="1"/>
  <c r="N1396" i="6" s="1"/>
  <c r="I1397" i="6"/>
  <c r="I1398" i="6"/>
  <c r="I1399" i="6"/>
  <c r="E1399" i="6" s="1"/>
  <c r="I1400" i="6"/>
  <c r="E1400" i="6" s="1"/>
  <c r="L1400" i="6" s="1"/>
  <c r="I1401" i="6"/>
  <c r="I1402" i="6"/>
  <c r="I1403" i="6"/>
  <c r="E1403" i="6" s="1"/>
  <c r="N1403" i="6" s="1"/>
  <c r="I1404" i="6"/>
  <c r="E1404" i="6" s="1"/>
  <c r="M1404" i="6" s="1"/>
  <c r="I1405" i="6"/>
  <c r="I1406" i="6"/>
  <c r="I1407" i="6"/>
  <c r="E1407" i="6" s="1"/>
  <c r="N1407" i="6" s="1"/>
  <c r="I1408" i="6"/>
  <c r="E1408" i="6" s="1"/>
  <c r="L1408" i="6" s="1"/>
  <c r="I1409" i="6"/>
  <c r="I1410" i="6"/>
  <c r="I1411" i="6"/>
  <c r="E1411" i="6" s="1"/>
  <c r="N1411" i="6" s="1"/>
  <c r="I1412" i="6"/>
  <c r="E1412" i="6" s="1"/>
  <c r="N1412" i="6" s="1"/>
  <c r="I1413" i="6"/>
  <c r="I1414" i="6"/>
  <c r="I1415" i="6"/>
  <c r="E1415" i="6" s="1"/>
  <c r="N1415" i="6" s="1"/>
  <c r="I1416" i="6"/>
  <c r="E1416" i="6" s="1"/>
  <c r="L1416" i="6" s="1"/>
  <c r="I1417" i="6"/>
  <c r="I1418" i="6"/>
  <c r="I1419" i="6"/>
  <c r="E1419" i="6" s="1"/>
  <c r="N1419" i="6" s="1"/>
  <c r="I1420" i="6"/>
  <c r="E1420" i="6" s="1"/>
  <c r="L1420" i="6" s="1"/>
  <c r="I1421" i="6"/>
  <c r="I1422" i="6"/>
  <c r="I1423" i="6"/>
  <c r="E1423" i="6" s="1"/>
  <c r="N1423" i="6" s="1"/>
  <c r="I1424" i="6"/>
  <c r="E1424" i="6" s="1"/>
  <c r="N1424" i="6" s="1"/>
  <c r="I1425" i="6"/>
  <c r="I1426" i="6"/>
  <c r="I1427" i="6"/>
  <c r="E1427" i="6" s="1"/>
  <c r="N1427" i="6" s="1"/>
  <c r="I1428" i="6"/>
  <c r="E1428" i="6" s="1"/>
  <c r="N1428" i="6" s="1"/>
  <c r="I1429" i="6"/>
  <c r="I1430" i="6"/>
  <c r="I1431" i="6"/>
  <c r="E1431" i="6" s="1"/>
  <c r="N1431" i="6" s="1"/>
  <c r="I1432" i="6"/>
  <c r="E1432" i="6" s="1"/>
  <c r="N1432" i="6" s="1"/>
  <c r="I1433" i="6"/>
  <c r="I1434" i="6"/>
  <c r="I1435" i="6"/>
  <c r="E1435" i="6" s="1"/>
  <c r="L1435" i="6" s="1"/>
  <c r="I1436" i="6"/>
  <c r="E1436" i="6" s="1"/>
  <c r="N1436" i="6" s="1"/>
  <c r="I1437" i="6"/>
  <c r="I1438" i="6"/>
  <c r="I1439" i="6"/>
  <c r="E1439" i="6" s="1"/>
  <c r="M1439" i="6" s="1"/>
  <c r="I1440" i="6"/>
  <c r="E1440" i="6" s="1"/>
  <c r="N1440" i="6" s="1"/>
  <c r="I1441" i="6"/>
  <c r="I1442" i="6"/>
  <c r="I1443" i="6"/>
  <c r="E1443" i="6" s="1"/>
  <c r="I1444" i="6"/>
  <c r="E1444" i="6" s="1"/>
  <c r="N1444" i="6" s="1"/>
  <c r="I1445" i="6"/>
  <c r="I1446" i="6"/>
  <c r="I1447" i="6"/>
  <c r="E1447" i="6" s="1"/>
  <c r="N1447" i="6" s="1"/>
  <c r="I1448" i="6"/>
  <c r="E1448" i="6" s="1"/>
  <c r="N1448" i="6" s="1"/>
  <c r="I1449" i="6"/>
  <c r="I1450" i="6"/>
  <c r="I1451" i="6"/>
  <c r="E1451" i="6" s="1"/>
  <c r="L1451" i="6" s="1"/>
  <c r="I1452" i="6"/>
  <c r="E1452" i="6" s="1"/>
  <c r="N1452" i="6" s="1"/>
  <c r="I1453" i="6"/>
  <c r="I1454" i="6"/>
  <c r="I1455" i="6"/>
  <c r="E1455" i="6" s="1"/>
  <c r="I1456" i="6"/>
  <c r="E1456" i="6" s="1"/>
  <c r="N1456" i="6" s="1"/>
  <c r="I1457" i="6"/>
  <c r="I1458" i="6"/>
  <c r="I1459" i="6"/>
  <c r="E1459" i="6" s="1"/>
  <c r="M1459" i="6" s="1"/>
  <c r="I1460" i="6"/>
  <c r="E1460" i="6" s="1"/>
  <c r="N1460" i="6" s="1"/>
  <c r="I1461" i="6"/>
  <c r="I1462" i="6"/>
  <c r="I1463" i="6"/>
  <c r="E1463" i="6" s="1"/>
  <c r="I1464" i="6"/>
  <c r="E1464" i="6" s="1"/>
  <c r="N1464" i="6" s="1"/>
  <c r="I1465" i="6"/>
  <c r="I1466" i="6"/>
  <c r="I1467" i="6"/>
  <c r="E1467" i="6" s="1"/>
  <c r="L1467" i="6" s="1"/>
  <c r="I1468" i="6"/>
  <c r="E1468" i="6" s="1"/>
  <c r="N1468" i="6" s="1"/>
  <c r="I1469" i="6"/>
  <c r="I1470" i="6"/>
  <c r="I1471" i="6"/>
  <c r="E1471" i="6" s="1"/>
  <c r="N1471" i="6" s="1"/>
  <c r="I1472" i="6"/>
  <c r="E1472" i="6" s="1"/>
  <c r="N1472" i="6" s="1"/>
  <c r="I1473" i="6"/>
  <c r="I1474" i="6"/>
  <c r="I1475" i="6"/>
  <c r="E1475" i="6" s="1"/>
  <c r="M1475" i="6" s="1"/>
  <c r="I1476" i="6"/>
  <c r="E1476" i="6" s="1"/>
  <c r="N1476" i="6" s="1"/>
  <c r="I1477" i="6"/>
  <c r="I1478" i="6"/>
  <c r="I1479" i="6"/>
  <c r="E1479" i="6" s="1"/>
  <c r="N1479" i="6" s="1"/>
  <c r="I1480" i="6"/>
  <c r="E1480" i="6" s="1"/>
  <c r="N1480" i="6" s="1"/>
  <c r="I1481" i="6"/>
  <c r="I1482" i="6"/>
  <c r="I1483" i="6"/>
  <c r="E1483" i="6" s="1"/>
  <c r="L1483" i="6" s="1"/>
  <c r="I1484" i="6"/>
  <c r="E1484" i="6" s="1"/>
  <c r="N1484" i="6" s="1"/>
  <c r="I1485" i="6"/>
  <c r="I1486" i="6"/>
  <c r="I1487" i="6"/>
  <c r="E1487" i="6" s="1"/>
  <c r="I1488" i="6"/>
  <c r="E1488" i="6" s="1"/>
  <c r="N1488" i="6" s="1"/>
  <c r="I1489" i="6"/>
  <c r="I1490" i="6"/>
  <c r="I1491" i="6"/>
  <c r="E1491" i="6" s="1"/>
  <c r="M1491" i="6" s="1"/>
  <c r="I1492" i="6"/>
  <c r="E1492" i="6" s="1"/>
  <c r="N1492" i="6" s="1"/>
  <c r="I1493" i="6"/>
  <c r="I1494" i="6"/>
  <c r="I1495" i="6"/>
  <c r="E1495" i="6" s="1"/>
  <c r="N1495" i="6" s="1"/>
  <c r="I1496" i="6"/>
  <c r="E1496" i="6" s="1"/>
  <c r="N1496" i="6" s="1"/>
  <c r="I1497" i="6"/>
  <c r="I1498" i="6"/>
  <c r="I1499" i="6"/>
  <c r="E1499" i="6" s="1"/>
  <c r="L1499" i="6" s="1"/>
  <c r="I1500" i="6"/>
  <c r="E1500" i="6" s="1"/>
  <c r="N1500" i="6" s="1"/>
  <c r="I1501" i="6"/>
  <c r="I1502" i="6"/>
  <c r="I1503" i="6"/>
  <c r="E1503" i="6" s="1"/>
  <c r="L1503" i="6" s="1"/>
  <c r="I1504" i="6"/>
  <c r="E1504" i="6" s="1"/>
  <c r="N1504" i="6" s="1"/>
  <c r="I1505" i="6"/>
  <c r="I1506" i="6"/>
  <c r="I1507" i="6"/>
  <c r="E1507" i="6" s="1"/>
  <c r="M1507" i="6" s="1"/>
  <c r="I1508" i="6"/>
  <c r="E1508" i="6" s="1"/>
  <c r="N1508" i="6" s="1"/>
  <c r="I1509" i="6"/>
  <c r="I1510" i="6"/>
  <c r="I1511" i="6"/>
  <c r="E1511" i="6" s="1"/>
  <c r="N1511" i="6" s="1"/>
  <c r="I1512" i="6"/>
  <c r="E1512" i="6" s="1"/>
  <c r="N1512" i="6" s="1"/>
  <c r="I1513" i="6"/>
  <c r="I1514" i="6"/>
  <c r="I1515" i="6"/>
  <c r="E1515" i="6" s="1"/>
  <c r="L1515" i="6" s="1"/>
  <c r="I1516" i="6"/>
  <c r="E1516" i="6" s="1"/>
  <c r="N1516" i="6" s="1"/>
  <c r="I1517" i="6"/>
  <c r="I1518" i="6"/>
  <c r="I1519" i="6"/>
  <c r="E1519" i="6" s="1"/>
  <c r="M1519" i="6" s="1"/>
  <c r="I1520" i="6"/>
  <c r="E1520" i="6" s="1"/>
  <c r="N1520" i="6" s="1"/>
  <c r="I1521" i="6"/>
  <c r="I1522" i="6"/>
  <c r="I1523" i="6"/>
  <c r="E1523" i="6" s="1"/>
  <c r="I1524" i="6"/>
  <c r="E1524" i="6" s="1"/>
  <c r="N1524" i="6" s="1"/>
  <c r="I1525" i="6"/>
  <c r="I1526" i="6"/>
  <c r="I1527" i="6"/>
  <c r="E1527" i="6" s="1"/>
  <c r="N1527" i="6" s="1"/>
  <c r="I1528" i="6"/>
  <c r="E1528" i="6" s="1"/>
  <c r="N1528" i="6" s="1"/>
  <c r="I1529" i="6"/>
  <c r="I1530" i="6"/>
  <c r="I1531" i="6"/>
  <c r="E1531" i="6" s="1"/>
  <c r="L1531" i="6" s="1"/>
  <c r="I1532" i="6"/>
  <c r="E1532" i="6" s="1"/>
  <c r="N1532" i="6" s="1"/>
  <c r="I1533" i="6"/>
  <c r="I1534" i="6"/>
  <c r="I1535" i="6"/>
  <c r="E1535" i="6" s="1"/>
  <c r="M1535" i="6" s="1"/>
  <c r="I1536" i="6"/>
  <c r="E1536" i="6" s="1"/>
  <c r="N1536" i="6" s="1"/>
  <c r="I1537" i="6"/>
  <c r="I1538" i="6"/>
  <c r="I1539" i="6"/>
  <c r="E1539" i="6" s="1"/>
  <c r="N1539" i="6" s="1"/>
  <c r="I1540" i="6"/>
  <c r="E1540" i="6" s="1"/>
  <c r="N1540" i="6" s="1"/>
  <c r="I1541" i="6"/>
  <c r="I1542" i="6"/>
  <c r="I1543" i="6"/>
  <c r="E1543" i="6" s="1"/>
  <c r="N1543" i="6" s="1"/>
  <c r="I1544" i="6"/>
  <c r="E1544" i="6" s="1"/>
  <c r="N1544" i="6" s="1"/>
  <c r="I1545" i="6"/>
  <c r="I1546" i="6"/>
  <c r="I1547" i="6"/>
  <c r="E1547" i="6" s="1"/>
  <c r="L1547" i="6" s="1"/>
  <c r="I1548" i="6"/>
  <c r="E1548" i="6" s="1"/>
  <c r="N1548" i="6" s="1"/>
  <c r="I1549" i="6"/>
  <c r="I1550" i="6"/>
  <c r="I1551" i="6"/>
  <c r="E1551" i="6" s="1"/>
  <c r="M1551" i="6" s="1"/>
  <c r="I1552" i="6"/>
  <c r="E1552" i="6" s="1"/>
  <c r="N1552" i="6" s="1"/>
  <c r="I1553" i="6"/>
  <c r="I1554" i="6"/>
  <c r="I1555" i="6"/>
  <c r="E1555" i="6" s="1"/>
  <c r="I1556" i="6"/>
  <c r="E1556" i="6" s="1"/>
  <c r="N1556" i="6" s="1"/>
  <c r="I1557" i="6"/>
  <c r="I1558" i="6"/>
  <c r="I1559" i="6"/>
  <c r="E1559" i="6" s="1"/>
  <c r="N1559" i="6" s="1"/>
  <c r="I1560" i="6"/>
  <c r="E1560" i="6" s="1"/>
  <c r="N1560" i="6" s="1"/>
  <c r="I1561" i="6"/>
  <c r="I1562" i="6"/>
  <c r="I1563" i="6"/>
  <c r="E1563" i="6" s="1"/>
  <c r="I1564" i="6"/>
  <c r="E1564" i="6" s="1"/>
  <c r="I1565" i="6"/>
  <c r="I1566" i="6"/>
  <c r="I1567" i="6"/>
  <c r="E1567" i="6" s="1"/>
  <c r="M1567" i="6" s="1"/>
  <c r="I1568" i="6"/>
  <c r="E1568" i="6" s="1"/>
  <c r="N1568" i="6" s="1"/>
  <c r="I1569" i="6"/>
  <c r="I1570" i="6"/>
  <c r="I1571" i="6"/>
  <c r="E1571" i="6" s="1"/>
  <c r="M1571" i="6" s="1"/>
  <c r="I1572" i="6"/>
  <c r="E1572" i="6" s="1"/>
  <c r="N1572" i="6" s="1"/>
  <c r="I1573" i="6"/>
  <c r="I1574" i="6"/>
  <c r="I1575" i="6"/>
  <c r="E1575" i="6" s="1"/>
  <c r="M1575" i="6" s="1"/>
  <c r="I1576" i="6"/>
  <c r="E1576" i="6" s="1"/>
  <c r="N1576" i="6" s="1"/>
  <c r="I1577" i="6"/>
  <c r="I1578" i="6"/>
  <c r="I1579" i="6"/>
  <c r="E1579" i="6" s="1"/>
  <c r="M1579" i="6" s="1"/>
  <c r="I1580" i="6"/>
  <c r="E1580" i="6" s="1"/>
  <c r="N1580" i="6" s="1"/>
  <c r="I1581" i="6"/>
  <c r="I1582" i="6"/>
  <c r="I1583" i="6"/>
  <c r="E1583" i="6" s="1"/>
  <c r="M1583" i="6" s="1"/>
  <c r="I1584" i="6"/>
  <c r="E1584" i="6" s="1"/>
  <c r="N1584" i="6" s="1"/>
  <c r="I1585" i="6"/>
  <c r="I1586" i="6"/>
  <c r="I1587" i="6"/>
  <c r="E1587" i="6" s="1"/>
  <c r="M1587" i="6" s="1"/>
  <c r="I1588" i="6"/>
  <c r="E1588" i="6" s="1"/>
  <c r="N1588" i="6" s="1"/>
  <c r="I1589" i="6"/>
  <c r="I1590" i="6"/>
  <c r="I1591" i="6"/>
  <c r="E1591" i="6" s="1"/>
  <c r="M1591" i="6" s="1"/>
  <c r="I1592" i="6"/>
  <c r="E1592" i="6" s="1"/>
  <c r="N1592" i="6" s="1"/>
  <c r="I1593" i="6"/>
  <c r="I1594" i="6"/>
  <c r="I1595" i="6"/>
  <c r="E1595" i="6" s="1"/>
  <c r="M1595" i="6" s="1"/>
  <c r="I1596" i="6"/>
  <c r="E1596" i="6" s="1"/>
  <c r="I1597" i="6"/>
  <c r="I1598" i="6"/>
  <c r="I1599" i="6"/>
  <c r="E1599" i="6" s="1"/>
  <c r="I1600" i="6"/>
  <c r="E1600" i="6" s="1"/>
  <c r="N1600" i="6" s="1"/>
  <c r="I1601" i="6"/>
  <c r="I1602" i="6"/>
  <c r="I1603" i="6"/>
  <c r="E1603" i="6" s="1"/>
  <c r="M1603" i="6" s="1"/>
  <c r="I1604" i="6"/>
  <c r="E1604" i="6" s="1"/>
  <c r="N1604" i="6" s="1"/>
  <c r="I1605" i="6"/>
  <c r="I1606" i="6"/>
  <c r="I1607" i="6"/>
  <c r="E1607" i="6" s="1"/>
  <c r="M1607" i="6" s="1"/>
  <c r="I1608" i="6"/>
  <c r="E1608" i="6" s="1"/>
  <c r="N1608" i="6" s="1"/>
  <c r="I1609" i="6"/>
  <c r="I1610" i="6"/>
  <c r="I1611" i="6"/>
  <c r="E1611" i="6" s="1"/>
  <c r="M1611" i="6" s="1"/>
  <c r="I1612" i="6"/>
  <c r="E1612" i="6" s="1"/>
  <c r="N1612" i="6" s="1"/>
  <c r="I1613" i="6"/>
  <c r="I1614" i="6"/>
  <c r="I1615" i="6"/>
  <c r="E1615" i="6" s="1"/>
  <c r="M1615" i="6" s="1"/>
  <c r="I1616" i="6"/>
  <c r="E1616" i="6" s="1"/>
  <c r="N1616" i="6" s="1"/>
  <c r="I1617" i="6"/>
  <c r="I1618" i="6"/>
  <c r="I1619" i="6"/>
  <c r="E1619" i="6" s="1"/>
  <c r="M1619" i="6" s="1"/>
  <c r="I1620" i="6"/>
  <c r="E1620" i="6" s="1"/>
  <c r="N1620" i="6" s="1"/>
  <c r="I1621" i="6"/>
  <c r="I1622" i="6"/>
  <c r="I1623" i="6"/>
  <c r="E1623" i="6" s="1"/>
  <c r="M1623" i="6" s="1"/>
  <c r="I1624" i="6"/>
  <c r="E1624" i="6" s="1"/>
  <c r="N1624" i="6" s="1"/>
  <c r="I1625" i="6"/>
  <c r="I1626" i="6"/>
  <c r="I1627" i="6"/>
  <c r="E1627" i="6" s="1"/>
  <c r="M1627" i="6" s="1"/>
  <c r="I1628" i="6"/>
  <c r="E1628" i="6" s="1"/>
  <c r="N1628" i="6" s="1"/>
  <c r="I1629" i="6"/>
  <c r="I1630" i="6"/>
  <c r="I1631" i="6"/>
  <c r="E1631" i="6" s="1"/>
  <c r="M1631" i="6" s="1"/>
  <c r="I1632" i="6"/>
  <c r="E1632" i="6" s="1"/>
  <c r="N1632" i="6" s="1"/>
  <c r="I1633" i="6"/>
  <c r="I1634" i="6"/>
  <c r="I1635" i="6"/>
  <c r="E1635" i="6" s="1"/>
  <c r="M1635" i="6" s="1"/>
  <c r="I1636" i="6"/>
  <c r="E1636" i="6" s="1"/>
  <c r="L1636" i="6" s="1"/>
  <c r="I1637" i="6"/>
  <c r="I1638" i="6"/>
  <c r="I1639" i="6"/>
  <c r="E1639" i="6" s="1"/>
  <c r="L1639" i="6" s="1"/>
  <c r="I1640" i="6"/>
  <c r="E1640" i="6" s="1"/>
  <c r="M1640" i="6" s="1"/>
  <c r="I1641" i="6"/>
  <c r="I1642" i="6"/>
  <c r="I1643" i="6"/>
  <c r="E1643" i="6" s="1"/>
  <c r="I1644" i="6"/>
  <c r="E1644" i="6" s="1"/>
  <c r="M1644" i="6" s="1"/>
  <c r="I1645" i="6"/>
  <c r="I1646" i="6"/>
  <c r="I1647" i="6"/>
  <c r="E1647" i="6" s="1"/>
  <c r="M1647" i="6" s="1"/>
  <c r="I1648" i="6"/>
  <c r="E1648" i="6" s="1"/>
  <c r="N1648" i="6" s="1"/>
  <c r="I1649" i="6"/>
  <c r="I1650" i="6"/>
  <c r="I1651" i="6"/>
  <c r="E1651" i="6" s="1"/>
  <c r="M1651" i="6" s="1"/>
  <c r="I1652" i="6"/>
  <c r="E1652" i="6" s="1"/>
  <c r="L1652" i="6" s="1"/>
  <c r="I1653" i="6"/>
  <c r="I1654" i="6"/>
  <c r="I1655" i="6"/>
  <c r="E1655" i="6" s="1"/>
  <c r="M1655" i="6" s="1"/>
  <c r="I1656" i="6"/>
  <c r="E1656" i="6" s="1"/>
  <c r="M1656" i="6" s="1"/>
  <c r="I1657" i="6"/>
  <c r="I1658" i="6"/>
  <c r="I1659" i="6"/>
  <c r="E1659" i="6" s="1"/>
  <c r="I1660" i="6"/>
  <c r="E1660" i="6" s="1"/>
  <c r="M1660" i="6" s="1"/>
  <c r="I1661" i="6"/>
  <c r="I1662" i="6"/>
  <c r="I1663" i="6"/>
  <c r="E1663" i="6" s="1"/>
  <c r="M1663" i="6" s="1"/>
  <c r="I1664" i="6"/>
  <c r="E1664" i="6" s="1"/>
  <c r="L1664" i="6" s="1"/>
  <c r="I1665" i="6"/>
  <c r="I1666" i="6"/>
  <c r="I1667" i="6"/>
  <c r="E1667" i="6" s="1"/>
  <c r="M1667" i="6" s="1"/>
  <c r="I1668" i="6"/>
  <c r="E1668" i="6" s="1"/>
  <c r="M1668" i="6" s="1"/>
  <c r="I1669" i="6"/>
  <c r="I1670" i="6"/>
  <c r="I1671" i="6"/>
  <c r="E1671" i="6" s="1"/>
  <c r="M1671" i="6" s="1"/>
  <c r="I1672" i="6"/>
  <c r="E1672" i="6" s="1"/>
  <c r="L1672" i="6" s="1"/>
  <c r="I1673" i="6"/>
  <c r="I1674" i="6"/>
  <c r="I1675" i="6"/>
  <c r="E1675" i="6" s="1"/>
  <c r="M1675" i="6" s="1"/>
  <c r="I1676" i="6"/>
  <c r="E1676" i="6" s="1"/>
  <c r="M1676" i="6" s="1"/>
  <c r="I1677" i="6"/>
  <c r="I1678" i="6"/>
  <c r="I1679" i="6"/>
  <c r="E1679" i="6" s="1"/>
  <c r="M1679" i="6" s="1"/>
  <c r="I1680" i="6"/>
  <c r="E1680" i="6" s="1"/>
  <c r="L1680" i="6" s="1"/>
  <c r="I1681" i="6"/>
  <c r="I1682" i="6"/>
  <c r="I1683" i="6"/>
  <c r="E1683" i="6" s="1"/>
  <c r="I1684" i="6"/>
  <c r="E1684" i="6" s="1"/>
  <c r="M1684" i="6" s="1"/>
  <c r="I1685" i="6"/>
  <c r="I1686" i="6"/>
  <c r="I1687" i="6"/>
  <c r="E1687" i="6" s="1"/>
  <c r="I1688" i="6"/>
  <c r="E1688" i="6" s="1"/>
  <c r="L1688" i="6" s="1"/>
  <c r="I1689" i="6"/>
  <c r="I1690" i="6"/>
  <c r="I1691" i="6"/>
  <c r="E1691" i="6" s="1"/>
  <c r="I1692" i="6"/>
  <c r="E1692" i="6" s="1"/>
  <c r="M1692" i="6" s="1"/>
  <c r="I1693" i="6"/>
  <c r="I1694" i="6"/>
  <c r="I1695" i="6"/>
  <c r="E1695" i="6" s="1"/>
  <c r="I1696" i="6"/>
  <c r="E1696" i="6" s="1"/>
  <c r="M1696" i="6" s="1"/>
  <c r="I1697" i="6"/>
  <c r="I1698" i="6"/>
  <c r="I1699" i="6"/>
  <c r="E1699" i="6" s="1"/>
  <c r="I1700" i="6"/>
  <c r="E1700" i="6" s="1"/>
  <c r="L1700" i="6" s="1"/>
  <c r="I1701" i="6"/>
  <c r="I1702" i="6"/>
  <c r="I1703" i="6"/>
  <c r="E1703" i="6" s="1"/>
  <c r="I1704" i="6"/>
  <c r="E1704" i="6" s="1"/>
  <c r="M1704" i="6" s="1"/>
  <c r="I1705" i="6"/>
  <c r="I1706" i="6"/>
  <c r="I1707" i="6"/>
  <c r="E1707" i="6" s="1"/>
  <c r="I1708" i="6"/>
  <c r="E1708" i="6" s="1"/>
  <c r="M1708" i="6" s="1"/>
  <c r="I1709" i="6"/>
  <c r="I1710" i="6"/>
  <c r="I1711" i="6"/>
  <c r="E1711" i="6" s="1"/>
  <c r="I1712" i="6"/>
  <c r="E1712" i="6" s="1"/>
  <c r="M1712" i="6" s="1"/>
  <c r="I1713" i="6"/>
  <c r="I1714" i="6"/>
  <c r="I1715" i="6"/>
  <c r="E1715" i="6" s="1"/>
  <c r="I1716" i="6"/>
  <c r="E1716" i="6" s="1"/>
  <c r="L1716" i="6" s="1"/>
  <c r="I1717" i="6"/>
  <c r="I1718" i="6"/>
  <c r="I1719" i="6"/>
  <c r="E1719" i="6" s="1"/>
  <c r="I1720" i="6"/>
  <c r="E1720" i="6" s="1"/>
  <c r="I1721" i="6"/>
  <c r="I1722" i="6"/>
  <c r="I1723" i="6"/>
  <c r="E1723" i="6" s="1"/>
  <c r="I1724" i="6"/>
  <c r="E1724" i="6" s="1"/>
  <c r="M1724" i="6" s="1"/>
  <c r="I1725" i="6"/>
  <c r="I1726" i="6"/>
  <c r="I1727" i="6"/>
  <c r="E1727" i="6" s="1"/>
  <c r="I1728" i="6"/>
  <c r="E1728" i="6" s="1"/>
  <c r="M1728" i="6" s="1"/>
  <c r="I1729" i="6"/>
  <c r="I1730" i="6"/>
  <c r="I1731" i="6"/>
  <c r="E1731" i="6" s="1"/>
  <c r="I1732" i="6"/>
  <c r="E1732" i="6" s="1"/>
  <c r="L1732" i="6" s="1"/>
  <c r="I1733" i="6"/>
  <c r="I1734" i="6"/>
  <c r="I1735" i="6"/>
  <c r="E1735" i="6" s="1"/>
  <c r="I1736" i="6"/>
  <c r="E1736" i="6" s="1"/>
  <c r="M1736" i="6" s="1"/>
  <c r="I1737" i="6"/>
  <c r="I1738" i="6"/>
  <c r="I1739" i="6"/>
  <c r="E1739" i="6" s="1"/>
  <c r="I1740" i="6"/>
  <c r="E1740" i="6" s="1"/>
  <c r="M1740" i="6" s="1"/>
  <c r="I1741" i="6"/>
  <c r="I1742" i="6"/>
  <c r="I1743" i="6"/>
  <c r="E1743" i="6" s="1"/>
  <c r="I1744" i="6"/>
  <c r="E1744" i="6" s="1"/>
  <c r="M1744" i="6" s="1"/>
  <c r="I1745" i="6"/>
  <c r="I1746" i="6"/>
  <c r="I1747" i="6"/>
  <c r="E1747" i="6" s="1"/>
  <c r="M1747" i="6" s="1"/>
  <c r="I1748" i="6"/>
  <c r="E1748" i="6" s="1"/>
  <c r="L1748" i="6" s="1"/>
  <c r="I1749" i="6"/>
  <c r="I1750" i="6"/>
  <c r="I1751" i="6"/>
  <c r="E1751" i="6" s="1"/>
  <c r="I1752" i="6"/>
  <c r="E1752" i="6" s="1"/>
  <c r="M1752" i="6" s="1"/>
  <c r="I1753" i="6"/>
  <c r="I1754" i="6"/>
  <c r="I1755" i="6"/>
  <c r="E1755" i="6" s="1"/>
  <c r="I1756" i="6"/>
  <c r="E1756" i="6" s="1"/>
  <c r="M1756" i="6" s="1"/>
  <c r="I1757" i="6"/>
  <c r="I1758" i="6"/>
  <c r="I1759" i="6"/>
  <c r="E1759" i="6" s="1"/>
  <c r="I1760" i="6"/>
  <c r="E1760" i="6" s="1"/>
  <c r="M1760" i="6" s="1"/>
  <c r="I1761" i="6"/>
  <c r="I1762" i="6"/>
  <c r="I1763" i="6"/>
  <c r="E1763" i="6" s="1"/>
  <c r="I1764" i="6"/>
  <c r="E1764" i="6" s="1"/>
  <c r="L1764" i="6" s="1"/>
  <c r="I1765" i="6"/>
  <c r="I1766" i="6"/>
  <c r="I1767" i="6"/>
  <c r="E1767" i="6" s="1"/>
  <c r="I1768" i="6"/>
  <c r="E1768" i="6" s="1"/>
  <c r="M1768" i="6" s="1"/>
  <c r="I1769" i="6"/>
  <c r="I1770" i="6"/>
  <c r="I1771" i="6"/>
  <c r="E1771" i="6" s="1"/>
  <c r="I1772" i="6"/>
  <c r="E1772" i="6" s="1"/>
  <c r="M1772" i="6" s="1"/>
  <c r="I1773" i="6"/>
  <c r="I1774" i="6"/>
  <c r="I1775" i="6"/>
  <c r="E1775" i="6" s="1"/>
  <c r="I1776" i="6"/>
  <c r="E1776" i="6" s="1"/>
  <c r="M1776" i="6" s="1"/>
  <c r="I1777" i="6"/>
  <c r="I1778" i="6"/>
  <c r="I1779" i="6"/>
  <c r="E1779" i="6" s="1"/>
  <c r="I1780" i="6"/>
  <c r="E1780" i="6" s="1"/>
  <c r="L1780" i="6" s="1"/>
  <c r="I1781" i="6"/>
  <c r="I1782" i="6"/>
  <c r="I1783" i="6"/>
  <c r="E1783" i="6" s="1"/>
  <c r="I1784" i="6"/>
  <c r="E1784" i="6" s="1"/>
  <c r="M1784" i="6" s="1"/>
  <c r="I1785" i="6"/>
  <c r="I1786" i="6"/>
  <c r="I1787" i="6"/>
  <c r="E1787" i="6" s="1"/>
  <c r="I1788" i="6"/>
  <c r="E1788" i="6" s="1"/>
  <c r="M1788" i="6" s="1"/>
  <c r="I1789" i="6"/>
  <c r="I1790" i="6"/>
  <c r="I1791" i="6"/>
  <c r="E1791" i="6" s="1"/>
  <c r="M1791" i="6" s="1"/>
  <c r="I1792" i="6"/>
  <c r="E1792" i="6" s="1"/>
  <c r="M1792" i="6" s="1"/>
  <c r="I1793" i="6"/>
  <c r="I1794" i="6"/>
  <c r="I1795" i="6"/>
  <c r="E1795" i="6" s="1"/>
  <c r="I1796" i="6"/>
  <c r="E1796" i="6" s="1"/>
  <c r="L1796" i="6" s="1"/>
  <c r="I1797" i="6"/>
  <c r="I1798" i="6"/>
  <c r="I1799" i="6"/>
  <c r="E1799" i="6" s="1"/>
  <c r="I1800" i="6"/>
  <c r="E1800" i="6" s="1"/>
  <c r="M1800" i="6" s="1"/>
  <c r="I1801" i="6"/>
  <c r="I1802" i="6"/>
  <c r="I1803" i="6"/>
  <c r="E1803" i="6" s="1"/>
  <c r="I1804" i="6"/>
  <c r="E1804" i="6" s="1"/>
  <c r="M1804" i="6" s="1"/>
  <c r="I1805" i="6"/>
  <c r="I1806" i="6"/>
  <c r="I1807" i="6"/>
  <c r="E1807" i="6" s="1"/>
  <c r="I1808" i="6"/>
  <c r="E1808" i="6" s="1"/>
  <c r="M1808" i="6" s="1"/>
  <c r="I1809" i="6"/>
  <c r="I1810" i="6"/>
  <c r="I1811" i="6"/>
  <c r="E1811" i="6" s="1"/>
  <c r="I1812" i="6"/>
  <c r="E1812" i="6" s="1"/>
  <c r="L1812" i="6" s="1"/>
  <c r="I1813" i="6"/>
  <c r="I1814" i="6"/>
  <c r="I1815" i="6"/>
  <c r="E1815" i="6" s="1"/>
  <c r="I1816" i="6"/>
  <c r="E1816" i="6" s="1"/>
  <c r="M1816" i="6" s="1"/>
  <c r="I1817" i="6"/>
  <c r="I1818" i="6"/>
  <c r="I1819" i="6"/>
  <c r="E1819" i="6" s="1"/>
  <c r="I1820" i="6"/>
  <c r="E1820" i="6" s="1"/>
  <c r="M1820" i="6" s="1"/>
  <c r="I1821" i="6"/>
  <c r="I1822" i="6"/>
  <c r="I1823" i="6"/>
  <c r="E1823" i="6" s="1"/>
  <c r="I1824" i="6"/>
  <c r="E1824" i="6" s="1"/>
  <c r="M1824" i="6" s="1"/>
  <c r="I1825" i="6"/>
  <c r="I1826" i="6"/>
  <c r="I1827" i="6"/>
  <c r="E1827" i="6" s="1"/>
  <c r="I1828" i="6"/>
  <c r="E1828" i="6" s="1"/>
  <c r="L1828" i="6" s="1"/>
  <c r="I1829" i="6"/>
  <c r="I1830" i="6"/>
  <c r="I1831" i="6"/>
  <c r="E1831" i="6" s="1"/>
  <c r="I1832" i="6"/>
  <c r="E1832" i="6" s="1"/>
  <c r="L1832" i="6" s="1"/>
  <c r="I1833" i="6"/>
  <c r="I1834" i="6"/>
  <c r="I1835" i="6"/>
  <c r="E1835" i="6" s="1"/>
  <c r="I1836" i="6"/>
  <c r="E1836" i="6" s="1"/>
  <c r="M1836" i="6" s="1"/>
  <c r="I1837" i="6"/>
  <c r="I1838" i="6"/>
  <c r="I1839" i="6"/>
  <c r="E1839" i="6" s="1"/>
  <c r="I1840" i="6"/>
  <c r="E1840" i="6" s="1"/>
  <c r="M1840" i="6" s="1"/>
  <c r="I1841" i="6"/>
  <c r="I1842" i="6"/>
  <c r="I1843" i="6"/>
  <c r="E1843" i="6" s="1"/>
  <c r="I1844" i="6"/>
  <c r="E1844" i="6" s="1"/>
  <c r="L1844" i="6" s="1"/>
  <c r="I1845" i="6"/>
  <c r="I1846" i="6"/>
  <c r="I1847" i="6"/>
  <c r="E1847" i="6" s="1"/>
  <c r="I1848" i="6"/>
  <c r="E1848" i="6" s="1"/>
  <c r="M1848" i="6" s="1"/>
  <c r="I1849" i="6"/>
  <c r="I1850" i="6"/>
  <c r="I1851" i="6"/>
  <c r="E1851" i="6" s="1"/>
  <c r="I1852" i="6"/>
  <c r="E1852" i="6" s="1"/>
  <c r="M1852" i="6" s="1"/>
  <c r="I1853" i="6"/>
  <c r="I1854" i="6"/>
  <c r="I1855" i="6"/>
  <c r="E1855" i="6" s="1"/>
  <c r="I1856" i="6"/>
  <c r="E1856" i="6" s="1"/>
  <c r="M1856" i="6" s="1"/>
  <c r="I1857" i="6"/>
  <c r="I1858" i="6"/>
  <c r="I1859" i="6"/>
  <c r="E1859" i="6" s="1"/>
  <c r="I1860" i="6"/>
  <c r="E1860" i="6" s="1"/>
  <c r="L1860" i="6" s="1"/>
  <c r="I1861" i="6"/>
  <c r="I1862" i="6"/>
  <c r="I1863" i="6"/>
  <c r="E1863" i="6" s="1"/>
  <c r="I1864" i="6"/>
  <c r="E1864" i="6" s="1"/>
  <c r="M1864" i="6" s="1"/>
  <c r="I1865" i="6"/>
  <c r="I1866" i="6"/>
  <c r="I1867" i="6"/>
  <c r="E1867" i="6" s="1"/>
  <c r="I1868" i="6"/>
  <c r="E1868" i="6" s="1"/>
  <c r="M1868" i="6" s="1"/>
  <c r="I1869" i="6"/>
  <c r="I1870" i="6"/>
  <c r="I1871" i="6"/>
  <c r="E1871" i="6" s="1"/>
  <c r="I1872" i="6"/>
  <c r="E1872" i="6" s="1"/>
  <c r="I1873" i="6"/>
  <c r="I1874" i="6"/>
  <c r="I1875" i="6"/>
  <c r="E1875" i="6" s="1"/>
  <c r="I1876" i="6"/>
  <c r="E1876" i="6" s="1"/>
  <c r="L1876" i="6" s="1"/>
  <c r="I1877" i="6"/>
  <c r="I1878" i="6"/>
  <c r="I1879" i="6"/>
  <c r="E1879" i="6" s="1"/>
  <c r="I1880" i="6"/>
  <c r="E1880" i="6" s="1"/>
  <c r="M1880" i="6" s="1"/>
  <c r="I1881" i="6"/>
  <c r="I1882" i="6"/>
  <c r="I1883" i="6"/>
  <c r="E1883" i="6" s="1"/>
  <c r="I1884" i="6"/>
  <c r="E1884" i="6" s="1"/>
  <c r="M1884" i="6" s="1"/>
  <c r="I1885" i="6"/>
  <c r="I1886" i="6"/>
  <c r="I1887" i="6"/>
  <c r="E1887" i="6" s="1"/>
  <c r="I1888" i="6"/>
  <c r="E1888" i="6" s="1"/>
  <c r="M1888" i="6" s="1"/>
  <c r="I1889" i="6"/>
  <c r="I1890" i="6"/>
  <c r="I1891" i="6"/>
  <c r="E1891" i="6" s="1"/>
  <c r="I1892" i="6"/>
  <c r="E1892" i="6" s="1"/>
  <c r="L1892" i="6" s="1"/>
  <c r="I1893" i="6"/>
  <c r="I1894" i="6"/>
  <c r="I1895" i="6"/>
  <c r="E1895" i="6" s="1"/>
  <c r="I1896" i="6"/>
  <c r="E1896" i="6" s="1"/>
  <c r="M1896" i="6" s="1"/>
  <c r="I1897" i="6"/>
  <c r="I1898" i="6"/>
  <c r="I1899" i="6"/>
  <c r="E1899" i="6" s="1"/>
  <c r="I1900" i="6"/>
  <c r="E1900" i="6" s="1"/>
  <c r="M1900" i="6" s="1"/>
  <c r="I1901" i="6"/>
  <c r="I1902" i="6"/>
  <c r="I1903" i="6"/>
  <c r="E1903" i="6" s="1"/>
  <c r="I1904" i="6"/>
  <c r="E1904" i="6" s="1"/>
  <c r="M1904" i="6" s="1"/>
  <c r="I1905" i="6"/>
  <c r="I1906" i="6"/>
  <c r="I1907" i="6"/>
  <c r="E1907" i="6" s="1"/>
  <c r="I1908" i="6"/>
  <c r="E1908" i="6" s="1"/>
  <c r="I1909" i="6"/>
  <c r="I1910" i="6"/>
  <c r="I1911" i="6"/>
  <c r="E1911" i="6" s="1"/>
  <c r="I1912" i="6"/>
  <c r="E1912" i="6" s="1"/>
  <c r="M1912" i="6" s="1"/>
  <c r="I1913" i="6"/>
  <c r="I1914" i="6"/>
  <c r="I1915" i="6"/>
  <c r="E1915" i="6" s="1"/>
  <c r="I1916" i="6"/>
  <c r="E1916" i="6" s="1"/>
  <c r="M1916" i="6" s="1"/>
  <c r="I1917" i="6"/>
  <c r="I1918" i="6"/>
  <c r="I1919" i="6"/>
  <c r="E1919" i="6" s="1"/>
  <c r="I1920" i="6"/>
  <c r="E1920" i="6" s="1"/>
  <c r="M1920" i="6" s="1"/>
  <c r="I1921" i="6"/>
  <c r="I1922" i="6"/>
  <c r="I1923" i="6"/>
  <c r="E1923" i="6" s="1"/>
  <c r="I1924" i="6"/>
  <c r="E1924" i="6" s="1"/>
  <c r="I1925" i="6"/>
  <c r="I1926" i="6"/>
  <c r="I1927" i="6"/>
  <c r="E1927" i="6" s="1"/>
  <c r="I1928" i="6"/>
  <c r="E1928" i="6" s="1"/>
  <c r="M1928" i="6" s="1"/>
  <c r="I1929" i="6"/>
  <c r="I1930" i="6"/>
  <c r="I1931" i="6"/>
  <c r="E1931" i="6" s="1"/>
  <c r="I1932" i="6"/>
  <c r="E1932" i="6" s="1"/>
  <c r="M1932" i="6" s="1"/>
  <c r="I1933" i="6"/>
  <c r="I1934" i="6"/>
  <c r="I1935" i="6"/>
  <c r="E1935" i="6" s="1"/>
  <c r="I1936" i="6"/>
  <c r="E1936" i="6" s="1"/>
  <c r="M1936" i="6" s="1"/>
  <c r="I1937" i="6"/>
  <c r="I1938" i="6"/>
  <c r="I1939" i="6"/>
  <c r="E1939" i="6" s="1"/>
  <c r="I1940" i="6"/>
  <c r="E1940" i="6" s="1"/>
  <c r="L1940" i="6" s="1"/>
  <c r="I1941" i="6"/>
  <c r="I1942" i="6"/>
  <c r="I1943" i="6"/>
  <c r="E1943" i="6" s="1"/>
  <c r="I1944" i="6"/>
  <c r="E1944" i="6" s="1"/>
  <c r="M1944" i="6" s="1"/>
  <c r="I1945" i="6"/>
  <c r="I1946" i="6"/>
  <c r="I1947" i="6"/>
  <c r="E1947" i="6" s="1"/>
  <c r="I1948" i="6"/>
  <c r="E1948" i="6" s="1"/>
  <c r="M1948" i="6" s="1"/>
  <c r="I1949" i="6"/>
  <c r="I1950" i="6"/>
  <c r="I1951" i="6"/>
  <c r="E1951" i="6" s="1"/>
  <c r="I1952" i="6"/>
  <c r="E1952" i="6" s="1"/>
  <c r="M1952" i="6" s="1"/>
  <c r="I1953" i="6"/>
  <c r="I1954" i="6"/>
  <c r="I1955" i="6"/>
  <c r="E1955" i="6" s="1"/>
  <c r="I1956" i="6"/>
  <c r="E1956" i="6" s="1"/>
  <c r="L1956" i="6" s="1"/>
  <c r="I1957" i="6"/>
  <c r="I1958" i="6"/>
  <c r="I1959" i="6"/>
  <c r="E1959" i="6" s="1"/>
  <c r="I1960" i="6"/>
  <c r="E1960" i="6" s="1"/>
  <c r="M1960" i="6" s="1"/>
  <c r="I1961" i="6"/>
  <c r="I1962" i="6"/>
  <c r="I1963" i="6"/>
  <c r="E1963" i="6" s="1"/>
  <c r="I1964" i="6"/>
  <c r="E1964" i="6" s="1"/>
  <c r="M1964" i="6" s="1"/>
  <c r="I1965" i="6"/>
  <c r="I1966" i="6"/>
  <c r="I1967" i="6"/>
  <c r="E1967" i="6" s="1"/>
  <c r="I1968" i="6"/>
  <c r="E1968" i="6" s="1"/>
  <c r="M1968" i="6" s="1"/>
  <c r="I1969" i="6"/>
  <c r="I1970" i="6"/>
  <c r="I1971" i="6"/>
  <c r="E1971" i="6" s="1"/>
  <c r="I1972" i="6"/>
  <c r="E1972" i="6" s="1"/>
  <c r="I1973" i="6"/>
  <c r="I1974" i="6"/>
  <c r="I1975" i="6"/>
  <c r="E1975" i="6" s="1"/>
  <c r="I1976" i="6"/>
  <c r="E1976" i="6" s="1"/>
  <c r="M1976" i="6" s="1"/>
  <c r="I1977" i="6"/>
  <c r="I1978" i="6"/>
  <c r="I1979" i="6"/>
  <c r="E1979" i="6" s="1"/>
  <c r="I1980" i="6"/>
  <c r="E1980" i="6" s="1"/>
  <c r="M1980" i="6" s="1"/>
  <c r="I1981" i="6"/>
  <c r="I1982" i="6"/>
  <c r="I1983" i="6"/>
  <c r="E1983" i="6" s="1"/>
  <c r="I1984" i="6"/>
  <c r="E1984" i="6" s="1"/>
  <c r="M1984" i="6" s="1"/>
  <c r="I1985" i="6"/>
  <c r="I1986" i="6"/>
  <c r="I1987" i="6"/>
  <c r="E1987" i="6" s="1"/>
  <c r="I1988" i="6"/>
  <c r="E1988" i="6" s="1"/>
  <c r="I1989" i="6"/>
  <c r="I1990" i="6"/>
  <c r="I1991" i="6"/>
  <c r="E1991" i="6" s="1"/>
  <c r="I1992" i="6"/>
  <c r="E1992" i="6" s="1"/>
  <c r="M1992" i="6" s="1"/>
  <c r="I1993" i="6"/>
  <c r="I1994" i="6"/>
  <c r="I1995" i="6"/>
  <c r="E1995" i="6" s="1"/>
  <c r="I1996" i="6"/>
  <c r="E1996" i="6" s="1"/>
  <c r="M1996" i="6" s="1"/>
  <c r="I1997" i="6"/>
  <c r="I1998" i="6"/>
  <c r="I1999" i="6"/>
  <c r="E1999" i="6" s="1"/>
  <c r="I2000" i="6"/>
  <c r="E2000" i="6" s="1"/>
  <c r="M2000" i="6" s="1"/>
  <c r="I2001" i="6"/>
  <c r="I2002" i="6"/>
  <c r="I2003" i="6"/>
  <c r="E2003" i="6" s="1"/>
  <c r="I2004" i="6"/>
  <c r="E2004" i="6" s="1"/>
  <c r="L2004" i="6" s="1"/>
  <c r="I2005" i="6"/>
  <c r="I2006" i="6"/>
  <c r="I2007" i="6"/>
  <c r="E2007" i="6" s="1"/>
  <c r="I2008" i="6"/>
  <c r="E2008" i="6" s="1"/>
  <c r="M2008" i="6" s="1"/>
  <c r="I2009" i="6"/>
  <c r="I2010" i="6"/>
  <c r="I2011" i="6"/>
  <c r="E2011" i="6" s="1"/>
  <c r="I2012" i="6"/>
  <c r="E2012" i="6" s="1"/>
  <c r="M2012" i="6" s="1"/>
  <c r="I2013" i="6"/>
  <c r="I2014" i="6"/>
  <c r="I2015" i="6"/>
  <c r="E2015" i="6" s="1"/>
  <c r="I2016" i="6"/>
  <c r="E2016" i="6" s="1"/>
  <c r="M2016" i="6" s="1"/>
  <c r="I2017" i="6"/>
  <c r="I2018" i="6"/>
  <c r="I2019" i="6"/>
  <c r="E2019" i="6" s="1"/>
  <c r="M2019" i="6" s="1"/>
  <c r="I2020" i="6"/>
  <c r="E2020" i="6" s="1"/>
  <c r="L2020" i="6" s="1"/>
  <c r="I2021" i="6"/>
  <c r="I2022" i="6"/>
  <c r="I2023" i="6"/>
  <c r="E2023" i="6" s="1"/>
  <c r="I2024" i="6"/>
  <c r="E2024" i="6" s="1"/>
  <c r="M2024" i="6" s="1"/>
  <c r="I2025" i="6"/>
  <c r="I2026" i="6"/>
  <c r="I2027" i="6"/>
  <c r="E2027" i="6" s="1"/>
  <c r="I2028" i="6"/>
  <c r="E2028" i="6" s="1"/>
  <c r="M2028" i="6" s="1"/>
  <c r="I2029" i="6"/>
  <c r="I2030" i="6"/>
  <c r="I2031" i="6"/>
  <c r="E2031" i="6" s="1"/>
  <c r="I2032" i="6"/>
  <c r="E2032" i="6" s="1"/>
  <c r="M2032" i="6" s="1"/>
  <c r="I2033" i="6"/>
  <c r="I2034" i="6"/>
  <c r="I2035" i="6"/>
  <c r="E2035" i="6" s="1"/>
  <c r="I2036" i="6"/>
  <c r="E2036" i="6" s="1"/>
  <c r="I2037" i="6"/>
  <c r="I2038" i="6"/>
  <c r="I2039" i="6"/>
  <c r="E2039" i="6" s="1"/>
  <c r="I2040" i="6"/>
  <c r="E2040" i="6" s="1"/>
  <c r="M2040" i="6" s="1"/>
  <c r="I2041" i="6"/>
  <c r="I2042" i="6"/>
  <c r="I2043" i="6"/>
  <c r="E2043" i="6" s="1"/>
  <c r="I2044" i="6"/>
  <c r="E2044" i="6" s="1"/>
  <c r="M2044" i="6" s="1"/>
  <c r="I2045" i="6"/>
  <c r="I2046" i="6"/>
  <c r="I2047" i="6"/>
  <c r="E2047" i="6" s="1"/>
  <c r="I2048" i="6"/>
  <c r="E2048" i="6" s="1"/>
  <c r="M2048" i="6" s="1"/>
  <c r="I2049" i="6"/>
  <c r="I2050" i="6"/>
  <c r="I2051" i="6"/>
  <c r="E2051" i="6" s="1"/>
  <c r="I2052" i="6"/>
  <c r="E2052" i="6" s="1"/>
  <c r="I2053" i="6"/>
  <c r="I2054" i="6"/>
  <c r="I2055" i="6"/>
  <c r="E2055" i="6" s="1"/>
  <c r="I2056" i="6"/>
  <c r="E2056" i="6" s="1"/>
  <c r="M2056" i="6" s="1"/>
  <c r="I2057" i="6"/>
  <c r="I2058" i="6"/>
  <c r="I2059" i="6"/>
  <c r="E2059" i="6" s="1"/>
  <c r="I2060" i="6"/>
  <c r="E2060" i="6" s="1"/>
  <c r="M2060" i="6" s="1"/>
  <c r="I2061" i="6"/>
  <c r="I2062" i="6"/>
  <c r="I2063" i="6"/>
  <c r="E2063" i="6" s="1"/>
  <c r="I2064" i="6"/>
  <c r="E2064" i="6" s="1"/>
  <c r="M2064" i="6" s="1"/>
  <c r="I2065" i="6"/>
  <c r="I2066" i="6"/>
  <c r="I2067" i="6"/>
  <c r="E2067" i="6" s="1"/>
  <c r="I2068" i="6"/>
  <c r="E2068" i="6" s="1"/>
  <c r="L2068" i="6" s="1"/>
  <c r="I2069" i="6"/>
  <c r="I2070" i="6"/>
  <c r="I2071" i="6"/>
  <c r="E2071" i="6" s="1"/>
  <c r="I2072" i="6"/>
  <c r="E2072" i="6" s="1"/>
  <c r="M2072" i="6" s="1"/>
  <c r="I2073" i="6"/>
  <c r="I2074" i="6"/>
  <c r="I2075" i="6"/>
  <c r="E2075" i="6" s="1"/>
  <c r="I2076" i="6"/>
  <c r="E2076" i="6" s="1"/>
  <c r="M2076" i="6" s="1"/>
  <c r="I2077" i="6"/>
  <c r="I2078" i="6"/>
  <c r="I2079" i="6"/>
  <c r="E2079" i="6" s="1"/>
  <c r="I2080" i="6"/>
  <c r="E2080" i="6" s="1"/>
  <c r="L2080" i="6" s="1"/>
  <c r="I2081" i="6"/>
  <c r="I2082" i="6"/>
  <c r="I2083" i="6"/>
  <c r="E2083" i="6" s="1"/>
  <c r="I2084" i="6"/>
  <c r="E2084" i="6" s="1"/>
  <c r="L2084" i="6" s="1"/>
  <c r="I2085" i="6"/>
  <c r="I2086" i="6"/>
  <c r="I2087" i="6"/>
  <c r="E2087" i="6" s="1"/>
  <c r="I2088" i="6"/>
  <c r="E2088" i="6" s="1"/>
  <c r="M2088" i="6" s="1"/>
  <c r="I2089" i="6"/>
  <c r="I2090" i="6"/>
  <c r="I2091" i="6"/>
  <c r="E2091" i="6" s="1"/>
  <c r="I2092" i="6"/>
  <c r="E2092" i="6" s="1"/>
  <c r="M2092" i="6" s="1"/>
  <c r="I2093" i="6"/>
  <c r="I2094" i="6"/>
  <c r="I2095" i="6"/>
  <c r="E2095" i="6" s="1"/>
  <c r="I2096" i="6"/>
  <c r="E2096" i="6" s="1"/>
  <c r="M2096" i="6" s="1"/>
  <c r="I2097" i="6"/>
  <c r="I2098" i="6"/>
  <c r="I2099" i="6"/>
  <c r="E2099" i="6" s="1"/>
  <c r="I2100" i="6"/>
  <c r="E2100" i="6" s="1"/>
  <c r="M2100" i="6" s="1"/>
  <c r="I2101" i="6"/>
  <c r="I2102" i="6"/>
  <c r="I2103" i="6"/>
  <c r="E2103" i="6" s="1"/>
  <c r="L2103" i="6" s="1"/>
  <c r="I2104" i="6"/>
  <c r="E2104" i="6" s="1"/>
  <c r="I2105" i="6"/>
  <c r="I2106" i="6"/>
  <c r="I2107" i="6"/>
  <c r="E2107" i="6" s="1"/>
  <c r="M2107" i="6" s="1"/>
  <c r="I2108" i="6"/>
  <c r="E2108" i="6" s="1"/>
  <c r="I2109" i="6"/>
  <c r="I2110" i="6"/>
  <c r="I2111" i="6"/>
  <c r="E2111" i="6" s="1"/>
  <c r="N2111" i="6" s="1"/>
  <c r="I2112" i="6"/>
  <c r="E2112" i="6" s="1"/>
  <c r="I2113" i="6"/>
  <c r="I2114" i="6"/>
  <c r="I2115" i="6"/>
  <c r="E2115" i="6" s="1"/>
  <c r="I2116" i="6"/>
  <c r="E2116" i="6" s="1"/>
  <c r="I2117" i="6"/>
  <c r="I2118" i="6"/>
  <c r="I2119" i="6"/>
  <c r="E2119" i="6" s="1"/>
  <c r="L2119" i="6" s="1"/>
  <c r="I2120" i="6"/>
  <c r="E2120" i="6" s="1"/>
  <c r="I2121" i="6"/>
  <c r="I2122" i="6"/>
  <c r="I2123" i="6"/>
  <c r="E2123" i="6" s="1"/>
  <c r="M2123" i="6" s="1"/>
  <c r="I2124" i="6"/>
  <c r="E2124" i="6" s="1"/>
  <c r="I2125" i="6"/>
  <c r="I2126" i="6"/>
  <c r="I2127" i="6"/>
  <c r="E2127" i="6" s="1"/>
  <c r="N2127" i="6" s="1"/>
  <c r="I2128" i="6"/>
  <c r="E2128" i="6" s="1"/>
  <c r="N2128" i="6" s="1"/>
  <c r="I2129" i="6"/>
  <c r="I2130" i="6"/>
  <c r="I2131" i="6"/>
  <c r="E2131" i="6" s="1"/>
  <c r="I2132" i="6"/>
  <c r="E2132" i="6" s="1"/>
  <c r="L2132" i="6" s="1"/>
  <c r="I2133" i="6"/>
  <c r="I2134" i="6"/>
  <c r="I2135" i="6"/>
  <c r="E2135" i="6" s="1"/>
  <c r="N2135" i="6" s="1"/>
  <c r="I2136" i="6"/>
  <c r="E2136" i="6" s="1"/>
  <c r="L2136" i="6" s="1"/>
  <c r="I2137" i="6"/>
  <c r="I2138" i="6"/>
  <c r="I2139" i="6"/>
  <c r="E2139" i="6" s="1"/>
  <c r="L2139" i="6" s="1"/>
  <c r="I2140" i="6"/>
  <c r="E2140" i="6" s="1"/>
  <c r="I2141" i="6"/>
  <c r="I2142" i="6"/>
  <c r="I2143" i="6"/>
  <c r="E2143" i="6" s="1"/>
  <c r="N2143" i="6" s="1"/>
  <c r="I2144" i="6"/>
  <c r="E2144" i="6" s="1"/>
  <c r="L2144" i="6" s="1"/>
  <c r="I2145" i="6"/>
  <c r="I2146" i="6"/>
  <c r="I2147" i="6"/>
  <c r="E2147" i="6" s="1"/>
  <c r="I2148" i="6"/>
  <c r="E2148" i="6" s="1"/>
  <c r="L2148" i="6" s="1"/>
  <c r="I2149" i="6"/>
  <c r="I2150" i="6"/>
  <c r="I2151" i="6"/>
  <c r="E2151" i="6" s="1"/>
  <c r="L2151" i="6" s="1"/>
  <c r="I2152" i="6"/>
  <c r="E2152" i="6" s="1"/>
  <c r="L2152" i="6" s="1"/>
  <c r="I2153" i="6"/>
  <c r="I2154" i="6"/>
  <c r="I2155" i="6"/>
  <c r="E2155" i="6" s="1"/>
  <c r="N2155" i="6" s="1"/>
  <c r="I2156" i="6"/>
  <c r="E2156" i="6" s="1"/>
  <c r="I2157" i="6"/>
  <c r="I2158" i="6"/>
  <c r="I2159" i="6"/>
  <c r="E2159" i="6" s="1"/>
  <c r="N2159" i="6" s="1"/>
  <c r="I2160" i="6"/>
  <c r="E2160" i="6" s="1"/>
  <c r="L2160" i="6" s="1"/>
  <c r="I2161" i="6"/>
  <c r="I2162" i="6"/>
  <c r="I2163" i="6"/>
  <c r="E2163" i="6" s="1"/>
  <c r="N2163" i="6" s="1"/>
  <c r="I2164" i="6"/>
  <c r="E2164" i="6" s="1"/>
  <c r="L2164" i="6" s="1"/>
  <c r="I2165" i="6"/>
  <c r="I2166" i="6"/>
  <c r="I2167" i="6"/>
  <c r="E2167" i="6" s="1"/>
  <c r="L2167" i="6" s="1"/>
  <c r="I2168" i="6"/>
  <c r="E2168" i="6" s="1"/>
  <c r="L2168" i="6" s="1"/>
  <c r="I2169" i="6"/>
  <c r="I2170" i="6"/>
  <c r="I2171" i="6"/>
  <c r="E2171" i="6" s="1"/>
  <c r="M2171" i="6" s="1"/>
  <c r="I2172" i="6"/>
  <c r="E2172" i="6" s="1"/>
  <c r="L2172" i="6" s="1"/>
  <c r="I2173" i="6"/>
  <c r="I2174" i="6"/>
  <c r="I2175" i="6"/>
  <c r="E2175" i="6" s="1"/>
  <c r="I2176" i="6"/>
  <c r="E2176" i="6" s="1"/>
  <c r="L2176" i="6" s="1"/>
  <c r="I2177" i="6"/>
  <c r="I2178" i="6"/>
  <c r="I2179" i="6"/>
  <c r="E2179" i="6" s="1"/>
  <c r="N2179" i="6" s="1"/>
  <c r="I2180" i="6"/>
  <c r="E2180" i="6" s="1"/>
  <c r="L2180" i="6" s="1"/>
  <c r="I2181" i="6"/>
  <c r="I2182" i="6"/>
  <c r="I2183" i="6"/>
  <c r="E2183" i="6" s="1"/>
  <c r="L2183" i="6" s="1"/>
  <c r="I2184" i="6"/>
  <c r="E2184" i="6" s="1"/>
  <c r="L2184" i="6" s="1"/>
  <c r="I2185" i="6"/>
  <c r="I2186" i="6"/>
  <c r="I2187" i="6"/>
  <c r="E2187" i="6" s="1"/>
  <c r="M2187" i="6" s="1"/>
  <c r="I2188" i="6"/>
  <c r="E2188" i="6" s="1"/>
  <c r="L2188" i="6" s="1"/>
  <c r="I2189" i="6"/>
  <c r="I2190" i="6"/>
  <c r="I2191" i="6"/>
  <c r="E2191" i="6" s="1"/>
  <c r="N2191" i="6" s="1"/>
  <c r="I2192" i="6"/>
  <c r="E2192" i="6" s="1"/>
  <c r="L2192" i="6" s="1"/>
  <c r="I2193" i="6"/>
  <c r="I2194" i="6"/>
  <c r="I2195" i="6"/>
  <c r="E2195" i="6" s="1"/>
  <c r="N2195" i="6" s="1"/>
  <c r="I2196" i="6"/>
  <c r="E2196" i="6" s="1"/>
  <c r="L2196" i="6" s="1"/>
  <c r="I2197" i="6"/>
  <c r="I2198" i="6"/>
  <c r="I2199" i="6"/>
  <c r="E2199" i="6" s="1"/>
  <c r="L2199" i="6" s="1"/>
  <c r="I2200" i="6"/>
  <c r="E2200" i="6" s="1"/>
  <c r="L2200" i="6" s="1"/>
  <c r="I2201" i="6"/>
  <c r="I2202" i="6"/>
  <c r="I2203" i="6"/>
  <c r="E2203" i="6" s="1"/>
  <c r="I2204" i="6"/>
  <c r="E2204" i="6" s="1"/>
  <c r="L2204" i="6" s="1"/>
  <c r="I2205" i="6"/>
  <c r="I2206" i="6"/>
  <c r="I2207" i="6"/>
  <c r="E2207" i="6" s="1"/>
  <c r="I2208" i="6"/>
  <c r="E2208" i="6" s="1"/>
  <c r="L2208" i="6" s="1"/>
  <c r="I2209" i="6"/>
  <c r="I2210" i="6"/>
  <c r="I2211" i="6"/>
  <c r="E2211" i="6" s="1"/>
  <c r="N2211" i="6" s="1"/>
  <c r="I2212" i="6"/>
  <c r="E2212" i="6" s="1"/>
  <c r="L2212" i="6" s="1"/>
  <c r="I2213" i="6"/>
  <c r="I2214" i="6"/>
  <c r="I2215" i="6"/>
  <c r="E2215" i="6" s="1"/>
  <c r="L2215" i="6" s="1"/>
  <c r="I2216" i="6"/>
  <c r="E2216" i="6" s="1"/>
  <c r="L2216" i="6" s="1"/>
  <c r="I2217" i="6"/>
  <c r="I2218" i="6"/>
  <c r="I2219" i="6"/>
  <c r="E2219" i="6" s="1"/>
  <c r="M2219" i="6" s="1"/>
  <c r="I2220" i="6"/>
  <c r="E2220" i="6" s="1"/>
  <c r="L2220" i="6" s="1"/>
  <c r="I2221" i="6"/>
  <c r="I2222" i="6"/>
  <c r="I2223" i="6"/>
  <c r="E2223" i="6" s="1"/>
  <c r="I2224" i="6"/>
  <c r="E2224" i="6" s="1"/>
  <c r="I2225" i="6"/>
  <c r="I2226" i="6"/>
  <c r="I2227" i="6"/>
  <c r="E2227" i="6" s="1"/>
  <c r="N2227" i="6" s="1"/>
  <c r="I2228" i="6"/>
  <c r="E2228" i="6" s="1"/>
  <c r="L2228" i="6" s="1"/>
  <c r="I2229" i="6"/>
  <c r="I2230" i="6"/>
  <c r="I2231" i="6"/>
  <c r="E2231" i="6" s="1"/>
  <c r="L2231" i="6" s="1"/>
  <c r="I2232" i="6"/>
  <c r="E2232" i="6" s="1"/>
  <c r="L2232" i="6" s="1"/>
  <c r="I2233" i="6"/>
  <c r="I2234" i="6"/>
  <c r="I2235" i="6"/>
  <c r="E2235" i="6" s="1"/>
  <c r="N2235" i="6" s="1"/>
  <c r="I2236" i="6"/>
  <c r="E2236" i="6" s="1"/>
  <c r="I2237" i="6"/>
  <c r="I2238" i="6"/>
  <c r="I2239" i="6"/>
  <c r="E2239" i="6" s="1"/>
  <c r="M2239" i="6" s="1"/>
  <c r="I2240" i="6"/>
  <c r="E2240" i="6" s="1"/>
  <c r="I2241" i="6"/>
  <c r="I2242" i="6"/>
  <c r="I2243" i="6"/>
  <c r="E2243" i="6" s="1"/>
  <c r="N2243" i="6" s="1"/>
  <c r="I2244" i="6"/>
  <c r="E2244" i="6" s="1"/>
  <c r="L2244" i="6" s="1"/>
  <c r="I2245" i="6"/>
  <c r="I2246" i="6"/>
  <c r="I2247" i="6"/>
  <c r="E2247" i="6" s="1"/>
  <c r="L2247" i="6" s="1"/>
  <c r="I2248" i="6"/>
  <c r="E2248" i="6" s="1"/>
  <c r="L2248" i="6" s="1"/>
  <c r="I2249" i="6"/>
  <c r="I2250" i="6"/>
  <c r="I2251" i="6"/>
  <c r="E2251" i="6" s="1"/>
  <c r="N2251" i="6" s="1"/>
  <c r="I2252" i="6"/>
  <c r="E2252" i="6" s="1"/>
  <c r="I2253" i="6"/>
  <c r="I2254" i="6"/>
  <c r="I2255" i="6"/>
  <c r="E2255" i="6" s="1"/>
  <c r="M2255" i="6" s="1"/>
  <c r="I2256" i="6"/>
  <c r="E2256" i="6" s="1"/>
  <c r="L2256" i="6" s="1"/>
  <c r="I2257" i="6"/>
  <c r="I2258" i="6"/>
  <c r="I2259" i="6"/>
  <c r="E2259" i="6" s="1"/>
  <c r="N2259" i="6" s="1"/>
  <c r="I2260" i="6"/>
  <c r="E2260" i="6" s="1"/>
  <c r="I2261" i="6"/>
  <c r="I2262" i="6"/>
  <c r="I2263" i="6"/>
  <c r="E2263" i="6" s="1"/>
  <c r="L2263" i="6" s="1"/>
  <c r="I2264" i="6"/>
  <c r="E2264" i="6" s="1"/>
  <c r="L2264" i="6" s="1"/>
  <c r="I2265" i="6"/>
  <c r="I2266" i="6"/>
  <c r="I2267" i="6"/>
  <c r="E2267" i="6" s="1"/>
  <c r="N2267" i="6" s="1"/>
  <c r="I2268" i="6"/>
  <c r="E2268" i="6" s="1"/>
  <c r="L2268" i="6" s="1"/>
  <c r="I2269" i="6"/>
  <c r="I2270" i="6"/>
  <c r="I2271" i="6"/>
  <c r="E2271" i="6" s="1"/>
  <c r="M2271" i="6" s="1"/>
  <c r="I2272" i="6"/>
  <c r="E2272" i="6" s="1"/>
  <c r="L2272" i="6" s="1"/>
  <c r="I2273" i="6"/>
  <c r="I2274" i="6"/>
  <c r="I2275" i="6"/>
  <c r="E2275" i="6" s="1"/>
  <c r="N2275" i="6" s="1"/>
  <c r="I2276" i="6"/>
  <c r="E2276" i="6" s="1"/>
  <c r="L2276" i="6" s="1"/>
  <c r="I2277" i="6"/>
  <c r="I2278" i="6"/>
  <c r="I2279" i="6"/>
  <c r="E2279" i="6" s="1"/>
  <c r="L2279" i="6" s="1"/>
  <c r="I2280" i="6"/>
  <c r="E2280" i="6" s="1"/>
  <c r="L2280" i="6" s="1"/>
  <c r="I2281" i="6"/>
  <c r="I2282" i="6"/>
  <c r="I2283" i="6"/>
  <c r="E2283" i="6" s="1"/>
  <c r="L2283" i="6" s="1"/>
  <c r="I2284" i="6"/>
  <c r="E2284" i="6" s="1"/>
  <c r="L2284" i="6" s="1"/>
  <c r="I2285" i="6"/>
  <c r="I2286" i="6"/>
  <c r="I2287" i="6"/>
  <c r="E2287" i="6" s="1"/>
  <c r="M2287" i="6" s="1"/>
  <c r="I2288" i="6"/>
  <c r="E2288" i="6" s="1"/>
  <c r="L2288" i="6" s="1"/>
  <c r="I2289" i="6"/>
  <c r="I2290" i="6"/>
  <c r="I2291" i="6"/>
  <c r="E2291" i="6" s="1"/>
  <c r="N2291" i="6" s="1"/>
  <c r="I2292" i="6"/>
  <c r="E2292" i="6" s="1"/>
  <c r="N2292" i="6" s="1"/>
  <c r="I2293" i="6"/>
  <c r="I2294" i="6"/>
  <c r="I2295" i="6"/>
  <c r="E2295" i="6" s="1"/>
  <c r="I2296" i="6"/>
  <c r="E2296" i="6" s="1"/>
  <c r="L2296" i="6" s="1"/>
  <c r="I2297" i="6"/>
  <c r="I2298" i="6"/>
  <c r="I2299" i="6"/>
  <c r="E2299" i="6" s="1"/>
  <c r="M2299" i="6" s="1"/>
  <c r="I2300" i="6"/>
  <c r="E2300" i="6" s="1"/>
  <c r="I2301" i="6"/>
  <c r="I2302" i="6"/>
  <c r="I2303" i="6"/>
  <c r="E2303" i="6" s="1"/>
  <c r="I2304" i="6"/>
  <c r="E2304" i="6" s="1"/>
  <c r="L2304" i="6" s="1"/>
  <c r="I2305" i="6"/>
  <c r="I2306" i="6"/>
  <c r="I2307" i="6"/>
  <c r="E2307" i="6" s="1"/>
  <c r="M2307" i="6" s="1"/>
  <c r="I2308" i="6"/>
  <c r="E2308" i="6" s="1"/>
  <c r="L2308" i="6" s="1"/>
  <c r="I2309" i="6"/>
  <c r="I2310" i="6"/>
  <c r="I2311" i="6"/>
  <c r="E2311" i="6" s="1"/>
  <c r="I2312" i="6"/>
  <c r="E2312" i="6" s="1"/>
  <c r="L2312" i="6" s="1"/>
  <c r="I2313" i="6"/>
  <c r="I2314" i="6"/>
  <c r="I2315" i="6"/>
  <c r="E2315" i="6" s="1"/>
  <c r="M2315" i="6" s="1"/>
  <c r="I2316" i="6"/>
  <c r="E2316" i="6" s="1"/>
  <c r="L2316" i="6" s="1"/>
  <c r="I2317" i="6"/>
  <c r="I2318" i="6"/>
  <c r="I2319" i="6"/>
  <c r="E2319" i="6" s="1"/>
  <c r="M2319" i="6" s="1"/>
  <c r="I2320" i="6"/>
  <c r="E2320" i="6" s="1"/>
  <c r="L2320" i="6" s="1"/>
  <c r="I2321" i="6"/>
  <c r="I2322" i="6"/>
  <c r="I2323" i="6"/>
  <c r="E2323" i="6" s="1"/>
  <c r="M2323" i="6" s="1"/>
  <c r="I2324" i="6"/>
  <c r="E2324" i="6" s="1"/>
  <c r="L2324" i="6" s="1"/>
  <c r="I2325" i="6"/>
  <c r="I2326" i="6"/>
  <c r="I2327" i="6"/>
  <c r="E2327" i="6" s="1"/>
  <c r="M2327" i="6" s="1"/>
  <c r="I2328" i="6"/>
  <c r="E2328" i="6" s="1"/>
  <c r="L2328" i="6" s="1"/>
  <c r="I2329" i="6"/>
  <c r="I2330" i="6"/>
  <c r="I2331" i="6"/>
  <c r="E2331" i="6" s="1"/>
  <c r="M2331" i="6" s="1"/>
  <c r="I2332" i="6"/>
  <c r="E2332" i="6" s="1"/>
  <c r="L2332" i="6" s="1"/>
  <c r="I2333" i="6"/>
  <c r="I2334" i="6"/>
  <c r="I2335" i="6"/>
  <c r="E2335" i="6" s="1"/>
  <c r="M2335" i="6" s="1"/>
  <c r="I2336" i="6"/>
  <c r="E2336" i="6" s="1"/>
  <c r="I2337" i="6"/>
  <c r="I2338" i="6"/>
  <c r="I2339" i="6"/>
  <c r="E2339" i="6" s="1"/>
  <c r="M2339" i="6" s="1"/>
  <c r="I2340" i="6"/>
  <c r="E2340" i="6" s="1"/>
  <c r="L2340" i="6" s="1"/>
  <c r="I2341" i="6"/>
  <c r="I2342" i="6"/>
  <c r="I2343" i="6"/>
  <c r="E2343" i="6" s="1"/>
  <c r="M2343" i="6" s="1"/>
  <c r="I2344" i="6"/>
  <c r="E2344" i="6" s="1"/>
  <c r="L2344" i="6" s="1"/>
  <c r="I2345" i="6"/>
  <c r="I2346" i="6"/>
  <c r="I2347" i="6"/>
  <c r="E2347" i="6" s="1"/>
  <c r="M2347" i="6" s="1"/>
  <c r="I2348" i="6"/>
  <c r="E2348" i="6" s="1"/>
  <c r="L2348" i="6" s="1"/>
  <c r="I2349" i="6"/>
  <c r="I2350" i="6"/>
  <c r="I2351" i="6"/>
  <c r="E2351" i="6" s="1"/>
  <c r="M2351" i="6" s="1"/>
  <c r="I2352" i="6"/>
  <c r="E2352" i="6" s="1"/>
  <c r="N2352" i="6" s="1"/>
  <c r="I2353" i="6"/>
  <c r="I2354" i="6"/>
  <c r="I2355" i="6"/>
  <c r="E2355" i="6" s="1"/>
  <c r="M2355" i="6" s="1"/>
  <c r="I2356" i="6"/>
  <c r="E2356" i="6" s="1"/>
  <c r="L2356" i="6" s="1"/>
  <c r="I2357" i="6"/>
  <c r="I2358" i="6"/>
  <c r="I2359" i="6"/>
  <c r="E2359" i="6" s="1"/>
  <c r="M2359" i="6" s="1"/>
  <c r="I2360" i="6"/>
  <c r="E2360" i="6" s="1"/>
  <c r="L2360" i="6" s="1"/>
  <c r="I2361" i="6"/>
  <c r="I2362" i="6"/>
  <c r="I2363" i="6"/>
  <c r="E2363" i="6" s="1"/>
  <c r="M2363" i="6" s="1"/>
  <c r="I2364" i="6"/>
  <c r="E2364" i="6" s="1"/>
  <c r="L2364" i="6" s="1"/>
  <c r="I2365" i="6"/>
  <c r="I2366" i="6"/>
  <c r="I2367" i="6"/>
  <c r="E2367" i="6" s="1"/>
  <c r="M2367" i="6" s="1"/>
  <c r="I2368" i="6"/>
  <c r="E2368" i="6" s="1"/>
  <c r="I2369" i="6"/>
  <c r="I2370" i="6"/>
  <c r="I2371" i="6"/>
  <c r="E2371" i="6" s="1"/>
  <c r="M2371" i="6" s="1"/>
  <c r="I2372" i="6"/>
  <c r="E2372" i="6" s="1"/>
  <c r="L2372" i="6" s="1"/>
  <c r="I2373" i="6"/>
  <c r="I2374" i="6"/>
  <c r="I2375" i="6"/>
  <c r="E2375" i="6" s="1"/>
  <c r="M2375" i="6" s="1"/>
  <c r="I2376" i="6"/>
  <c r="E2376" i="6" s="1"/>
  <c r="L2376" i="6" s="1"/>
  <c r="I2377" i="6"/>
  <c r="I2378" i="6"/>
  <c r="I2379" i="6"/>
  <c r="E2379" i="6" s="1"/>
  <c r="M2379" i="6" s="1"/>
  <c r="I2380" i="6"/>
  <c r="E2380" i="6" s="1"/>
  <c r="L2380" i="6" s="1"/>
  <c r="I2381" i="6"/>
  <c r="I2382" i="6"/>
  <c r="I2383" i="6"/>
  <c r="E2383" i="6" s="1"/>
  <c r="M2383" i="6" s="1"/>
  <c r="I2384" i="6"/>
  <c r="E2384" i="6" s="1"/>
  <c r="L2384" i="6" s="1"/>
  <c r="I2385" i="6"/>
  <c r="I2386" i="6"/>
  <c r="I2387" i="6"/>
  <c r="E2387" i="6" s="1"/>
  <c r="M2387" i="6" s="1"/>
  <c r="I2388" i="6"/>
  <c r="E2388" i="6" s="1"/>
  <c r="L2388" i="6" s="1"/>
  <c r="I2389" i="6"/>
  <c r="I2390" i="6"/>
  <c r="I2391" i="6"/>
  <c r="E2391" i="6" s="1"/>
  <c r="M2391" i="6" s="1"/>
  <c r="I2392" i="6"/>
  <c r="E2392" i="6" s="1"/>
  <c r="L2392" i="6" s="1"/>
  <c r="I2393" i="6"/>
  <c r="I2394" i="6"/>
  <c r="I2395" i="6"/>
  <c r="E2395" i="6" s="1"/>
  <c r="M2395" i="6" s="1"/>
  <c r="I2396" i="6"/>
  <c r="E2396" i="6" s="1"/>
  <c r="L2396" i="6" s="1"/>
  <c r="I2397" i="6"/>
  <c r="I2398" i="6"/>
  <c r="I2399" i="6"/>
  <c r="E2399" i="6" s="1"/>
  <c r="M2399" i="6" s="1"/>
  <c r="I2400" i="6"/>
  <c r="E2400" i="6" s="1"/>
  <c r="N2400" i="6" s="1"/>
  <c r="I2401" i="6"/>
  <c r="I2402" i="6"/>
  <c r="I2403" i="6"/>
  <c r="E2403" i="6" s="1"/>
  <c r="M2403" i="6" s="1"/>
  <c r="I2404" i="6"/>
  <c r="E2404" i="6" s="1"/>
  <c r="L2404" i="6" s="1"/>
  <c r="I2405" i="6"/>
  <c r="I2406" i="6"/>
  <c r="I2407" i="6"/>
  <c r="E2407" i="6" s="1"/>
  <c r="M2407" i="6" s="1"/>
  <c r="I2408" i="6"/>
  <c r="E2408" i="6" s="1"/>
  <c r="L2408" i="6" s="1"/>
  <c r="I2409" i="6"/>
  <c r="I2410" i="6"/>
  <c r="I2411" i="6"/>
  <c r="E2411" i="6" s="1"/>
  <c r="M2411" i="6" s="1"/>
  <c r="I2412" i="6"/>
  <c r="E2412" i="6" s="1"/>
  <c r="I2413" i="6"/>
  <c r="I2414" i="6"/>
  <c r="I2415" i="6"/>
  <c r="E2415" i="6" s="1"/>
  <c r="M2415" i="6" s="1"/>
  <c r="I2416" i="6"/>
  <c r="E2416" i="6" s="1"/>
  <c r="I2417" i="6"/>
  <c r="I2418" i="6"/>
  <c r="I2419" i="6"/>
  <c r="E2419" i="6" s="1"/>
  <c r="M2419" i="6" s="1"/>
  <c r="I2420" i="6"/>
  <c r="E2420" i="6" s="1"/>
  <c r="L2420" i="6" s="1"/>
  <c r="I2421" i="6"/>
  <c r="I2422" i="6"/>
  <c r="I2423" i="6"/>
  <c r="E2423" i="6" s="1"/>
  <c r="M2423" i="6" s="1"/>
  <c r="I2424" i="6"/>
  <c r="E2424" i="6" s="1"/>
  <c r="L2424" i="6" s="1"/>
  <c r="I2425" i="6"/>
  <c r="I2426" i="6"/>
  <c r="I2427" i="6"/>
  <c r="E2427" i="6" s="1"/>
  <c r="M2427" i="6" s="1"/>
  <c r="I2428" i="6"/>
  <c r="E2428" i="6" s="1"/>
  <c r="I2429" i="6"/>
  <c r="I2430" i="6"/>
  <c r="I2431" i="6"/>
  <c r="E2431" i="6" s="1"/>
  <c r="M2431" i="6" s="1"/>
  <c r="I2432" i="6"/>
  <c r="E2432" i="6" s="1"/>
  <c r="I2433" i="6"/>
  <c r="I2434" i="6"/>
  <c r="I2435" i="6"/>
  <c r="E2435" i="6" s="1"/>
  <c r="M2435" i="6" s="1"/>
  <c r="I2436" i="6"/>
  <c r="E2436" i="6" s="1"/>
  <c r="L2436" i="6" s="1"/>
  <c r="I2437" i="6"/>
  <c r="I2438" i="6"/>
  <c r="I2439" i="6"/>
  <c r="E2439" i="6" s="1"/>
  <c r="M2439" i="6" s="1"/>
  <c r="I2440" i="6"/>
  <c r="E2440" i="6" s="1"/>
  <c r="L2440" i="6" s="1"/>
  <c r="I2441" i="6"/>
  <c r="I2442" i="6"/>
  <c r="I2443" i="6"/>
  <c r="E2443" i="6" s="1"/>
  <c r="M2443" i="6" s="1"/>
  <c r="I2444" i="6"/>
  <c r="E2444" i="6" s="1"/>
  <c r="M2444" i="6" s="1"/>
  <c r="I2445" i="6"/>
  <c r="I2446" i="6"/>
  <c r="I2447" i="6"/>
  <c r="E2447" i="6" s="1"/>
  <c r="M2447" i="6" s="1"/>
  <c r="I2448" i="6"/>
  <c r="E2448" i="6" s="1"/>
  <c r="M2448" i="6" s="1"/>
  <c r="I2449" i="6"/>
  <c r="I2450" i="6"/>
  <c r="I2451" i="6"/>
  <c r="E2451" i="6" s="1"/>
  <c r="M2451" i="6" s="1"/>
  <c r="I2452" i="6"/>
  <c r="E2452" i="6" s="1"/>
  <c r="M2452" i="6" s="1"/>
  <c r="I2453" i="6"/>
  <c r="I2454" i="6"/>
  <c r="I2455" i="6"/>
  <c r="E2455" i="6" s="1"/>
  <c r="M2455" i="6" s="1"/>
  <c r="I2456" i="6"/>
  <c r="E2456" i="6" s="1"/>
  <c r="M2456" i="6" s="1"/>
  <c r="I2457" i="6"/>
  <c r="I2458" i="6"/>
  <c r="I2459" i="6"/>
  <c r="E2459" i="6" s="1"/>
  <c r="M2459" i="6" s="1"/>
  <c r="I2460" i="6"/>
  <c r="E2460" i="6" s="1"/>
  <c r="I2461" i="6"/>
  <c r="I2462" i="6"/>
  <c r="I2463" i="6"/>
  <c r="E2463" i="6" s="1"/>
  <c r="M2463" i="6" s="1"/>
  <c r="I2464" i="6"/>
  <c r="E2464" i="6" s="1"/>
  <c r="I2465" i="6"/>
  <c r="I2466" i="6"/>
  <c r="I2467" i="6"/>
  <c r="E2467" i="6" s="1"/>
  <c r="M2467" i="6" s="1"/>
  <c r="I2468" i="6"/>
  <c r="E2468" i="6" s="1"/>
  <c r="I2469" i="6"/>
  <c r="I2470" i="6"/>
  <c r="I2471" i="6"/>
  <c r="E2471" i="6" s="1"/>
  <c r="M2471" i="6" s="1"/>
  <c r="I2472" i="6"/>
  <c r="E2472" i="6" s="1"/>
  <c r="I2473" i="6"/>
  <c r="I2474" i="6"/>
  <c r="I2475" i="6"/>
  <c r="E2475" i="6" s="1"/>
  <c r="M2475" i="6" s="1"/>
  <c r="I2476" i="6"/>
  <c r="E2476" i="6" s="1"/>
  <c r="I2477" i="6"/>
  <c r="I2478" i="6"/>
  <c r="I2479" i="6"/>
  <c r="E2479" i="6" s="1"/>
  <c r="M2479" i="6" s="1"/>
  <c r="I2480" i="6"/>
  <c r="E2480" i="6" s="1"/>
  <c r="I2481" i="6"/>
  <c r="I2482" i="6"/>
  <c r="I2483" i="6"/>
  <c r="E2483" i="6" s="1"/>
  <c r="M2483" i="6" s="1"/>
  <c r="I2484" i="6"/>
  <c r="E2484" i="6" s="1"/>
  <c r="I2485" i="6"/>
  <c r="I2486" i="6"/>
  <c r="I2487" i="6"/>
  <c r="E2487" i="6" s="1"/>
  <c r="M2487" i="6" s="1"/>
  <c r="I2488" i="6"/>
  <c r="E2488" i="6" s="1"/>
  <c r="I2489" i="6"/>
  <c r="I2490" i="6"/>
  <c r="I2491" i="6"/>
  <c r="E2491" i="6" s="1"/>
  <c r="M2491" i="6" s="1"/>
  <c r="I2492" i="6"/>
  <c r="E2492" i="6" s="1"/>
  <c r="I2493" i="6"/>
  <c r="I2494" i="6"/>
  <c r="I2495" i="6"/>
  <c r="E2495" i="6" s="1"/>
  <c r="M2495" i="6" s="1"/>
  <c r="I2496" i="6"/>
  <c r="E2496" i="6" s="1"/>
  <c r="I2497" i="6"/>
  <c r="I2498" i="6"/>
  <c r="I2499" i="6"/>
  <c r="E2499" i="6" s="1"/>
  <c r="M2499" i="6" s="1"/>
  <c r="I2500" i="6"/>
  <c r="E2500" i="6" s="1"/>
  <c r="I2501" i="6"/>
  <c r="I2502" i="6"/>
  <c r="I2503" i="6"/>
  <c r="E2503" i="6" s="1"/>
  <c r="M2503" i="6" s="1"/>
  <c r="I2504" i="6"/>
  <c r="E2504" i="6" s="1"/>
  <c r="I2505" i="6"/>
  <c r="I2506" i="6"/>
  <c r="I2507" i="6"/>
  <c r="E2507" i="6" s="1"/>
  <c r="M2507" i="6" s="1"/>
  <c r="I2508" i="6"/>
  <c r="E2508" i="6" s="1"/>
  <c r="I2509" i="6"/>
  <c r="I2510" i="6"/>
  <c r="I2511" i="6"/>
  <c r="E2511" i="6" s="1"/>
  <c r="M2511" i="6" s="1"/>
  <c r="I2512" i="6"/>
  <c r="E2512" i="6" s="1"/>
  <c r="I2513" i="6"/>
  <c r="I2514" i="6"/>
  <c r="I2515" i="6"/>
  <c r="E2515" i="6" s="1"/>
  <c r="L2515" i="6" s="1"/>
  <c r="I2516" i="6"/>
  <c r="E2516" i="6" s="1"/>
  <c r="I2517" i="6"/>
  <c r="I2518" i="6"/>
  <c r="I2519" i="6"/>
  <c r="E2519" i="6" s="1"/>
  <c r="M2519" i="6" s="1"/>
  <c r="I2520" i="6"/>
  <c r="E2520" i="6" s="1"/>
  <c r="I2521" i="6"/>
  <c r="I2522" i="6"/>
  <c r="I2523" i="6"/>
  <c r="E2523" i="6" s="1"/>
  <c r="M2523" i="6" s="1"/>
  <c r="I2524" i="6"/>
  <c r="E2524" i="6" s="1"/>
  <c r="I2525" i="6"/>
  <c r="I2526" i="6"/>
  <c r="I2527" i="6"/>
  <c r="E2527" i="6" s="1"/>
  <c r="M2527" i="6" s="1"/>
  <c r="I2528" i="6"/>
  <c r="E2528" i="6" s="1"/>
  <c r="I2529" i="6"/>
  <c r="I2530" i="6"/>
  <c r="I2531" i="6"/>
  <c r="E2531" i="6" s="1"/>
  <c r="M2531" i="6" s="1"/>
  <c r="I2532" i="6"/>
  <c r="E2532" i="6" s="1"/>
  <c r="I2533" i="6"/>
  <c r="I2534" i="6"/>
  <c r="I2535" i="6"/>
  <c r="E2535" i="6" s="1"/>
  <c r="M2535" i="6" s="1"/>
  <c r="I2536" i="6"/>
  <c r="E2536" i="6" s="1"/>
  <c r="I2537" i="6"/>
  <c r="I2538" i="6"/>
  <c r="I2539" i="6"/>
  <c r="E2539" i="6" s="1"/>
  <c r="M2539" i="6" s="1"/>
  <c r="I2540" i="6"/>
  <c r="E2540" i="6" s="1"/>
  <c r="I2541" i="6"/>
  <c r="I2542" i="6"/>
  <c r="I2543" i="6"/>
  <c r="E2543" i="6" s="1"/>
  <c r="M2543" i="6" s="1"/>
  <c r="I2544" i="6"/>
  <c r="E2544" i="6" s="1"/>
  <c r="I2545" i="6"/>
  <c r="I2546" i="6"/>
  <c r="I2547" i="6"/>
  <c r="E2547" i="6" s="1"/>
  <c r="M2547" i="6" s="1"/>
  <c r="I2548" i="6"/>
  <c r="E2548" i="6" s="1"/>
  <c r="I2549" i="6"/>
  <c r="I2550" i="6"/>
  <c r="I2551" i="6"/>
  <c r="E2551" i="6" s="1"/>
  <c r="M2551" i="6" s="1"/>
  <c r="I2552" i="6"/>
  <c r="E2552" i="6" s="1"/>
  <c r="I2553" i="6"/>
  <c r="I2554" i="6"/>
  <c r="I2555" i="6"/>
  <c r="E2555" i="6" s="1"/>
  <c r="M2555" i="6" s="1"/>
  <c r="I2556" i="6"/>
  <c r="E2556" i="6" s="1"/>
  <c r="I2557" i="6"/>
  <c r="I2558" i="6"/>
  <c r="I2559" i="6"/>
  <c r="E2559" i="6" s="1"/>
  <c r="M2559" i="6" s="1"/>
  <c r="I2560" i="6"/>
  <c r="E2560" i="6" s="1"/>
  <c r="I2561" i="6"/>
  <c r="I2562" i="6"/>
  <c r="I2563" i="6"/>
  <c r="E2563" i="6" s="1"/>
  <c r="M2563" i="6" s="1"/>
  <c r="I2564" i="6"/>
  <c r="E2564" i="6" s="1"/>
  <c r="I2565" i="6"/>
  <c r="I2566" i="6"/>
  <c r="I2567" i="6"/>
  <c r="E2567" i="6" s="1"/>
  <c r="M2567" i="6" s="1"/>
  <c r="I2568" i="6"/>
  <c r="E2568" i="6" s="1"/>
  <c r="I2569" i="6"/>
  <c r="I2570" i="6"/>
  <c r="I2571" i="6"/>
  <c r="E2571" i="6" s="1"/>
  <c r="M2571" i="6" s="1"/>
  <c r="I2572" i="6"/>
  <c r="E2572" i="6" s="1"/>
  <c r="I2573" i="6"/>
  <c r="I2574" i="6"/>
  <c r="I2575" i="6"/>
  <c r="E2575" i="6" s="1"/>
  <c r="M2575" i="6" s="1"/>
  <c r="I2576" i="6"/>
  <c r="E2576" i="6" s="1"/>
  <c r="I2577" i="6"/>
  <c r="I2578" i="6"/>
  <c r="I2579" i="6"/>
  <c r="E2579" i="6" s="1"/>
  <c r="M2579" i="6" s="1"/>
  <c r="I2580" i="6"/>
  <c r="E2580" i="6" s="1"/>
  <c r="I2581" i="6"/>
  <c r="I2582" i="6"/>
  <c r="I2583" i="6"/>
  <c r="E2583" i="6" s="1"/>
  <c r="M2583" i="6" s="1"/>
  <c r="I2584" i="6"/>
  <c r="E2584" i="6" s="1"/>
  <c r="I2585" i="6"/>
  <c r="I2586" i="6"/>
  <c r="I2587" i="6"/>
  <c r="E2587" i="6" s="1"/>
  <c r="M2587" i="6" s="1"/>
  <c r="I2588" i="6"/>
  <c r="E2588" i="6" s="1"/>
  <c r="I2589" i="6"/>
  <c r="I2590" i="6"/>
  <c r="I2591" i="6"/>
  <c r="E2591" i="6" s="1"/>
  <c r="M2591" i="6" s="1"/>
  <c r="I2592" i="6"/>
  <c r="E2592" i="6" s="1"/>
  <c r="I2593" i="6"/>
  <c r="I2594" i="6"/>
  <c r="I2595" i="6"/>
  <c r="E2595" i="6" s="1"/>
  <c r="M2595" i="6" s="1"/>
  <c r="I2596" i="6"/>
  <c r="E2596" i="6" s="1"/>
  <c r="I2597" i="6"/>
  <c r="I2598" i="6"/>
  <c r="I2599" i="6"/>
  <c r="E2599" i="6" s="1"/>
  <c r="M2599" i="6" s="1"/>
  <c r="I2600" i="6"/>
  <c r="E2600" i="6" s="1"/>
  <c r="I2601" i="6"/>
  <c r="I2602" i="6"/>
  <c r="I2603" i="6"/>
  <c r="E2603" i="6" s="1"/>
  <c r="M2603" i="6" s="1"/>
  <c r="I2604" i="6"/>
  <c r="E2604" i="6" s="1"/>
  <c r="I2605" i="6"/>
  <c r="I2606" i="6"/>
  <c r="I2607" i="6"/>
  <c r="E2607" i="6" s="1"/>
  <c r="M2607" i="6" s="1"/>
  <c r="I2608" i="6"/>
  <c r="E2608" i="6" s="1"/>
  <c r="M2608" i="6" s="1"/>
  <c r="I2609" i="6"/>
  <c r="I2610" i="6"/>
  <c r="I2611" i="6"/>
  <c r="E2611" i="6" s="1"/>
  <c r="M2611" i="6" s="1"/>
  <c r="I2612" i="6"/>
  <c r="E2612" i="6" s="1"/>
  <c r="I2613" i="6"/>
  <c r="I2614" i="6"/>
  <c r="I2615" i="6"/>
  <c r="E2615" i="6" s="1"/>
  <c r="M2615" i="6" s="1"/>
  <c r="I2616" i="6"/>
  <c r="E2616" i="6" s="1"/>
  <c r="I2617" i="6"/>
  <c r="I2618" i="6"/>
  <c r="I2619" i="6"/>
  <c r="E2619" i="6" s="1"/>
  <c r="M2619" i="6" s="1"/>
  <c r="I2620" i="6"/>
  <c r="E2620" i="6" s="1"/>
  <c r="I2621" i="6"/>
  <c r="I2622" i="6"/>
  <c r="I2623" i="6"/>
  <c r="E2623" i="6" s="1"/>
  <c r="M2623" i="6" s="1"/>
  <c r="I2624" i="6"/>
  <c r="E2624" i="6" s="1"/>
  <c r="I2625" i="6"/>
  <c r="I2626" i="6"/>
  <c r="I2627" i="6"/>
  <c r="E2627" i="6" s="1"/>
  <c r="M2627" i="6" s="1"/>
  <c r="I2628" i="6"/>
  <c r="E2628" i="6" s="1"/>
  <c r="I2629" i="6"/>
  <c r="I2630" i="6"/>
  <c r="I2631" i="6"/>
  <c r="E2631" i="6" s="1"/>
  <c r="M2631" i="6" s="1"/>
  <c r="I2632" i="6"/>
  <c r="E2632" i="6" s="1"/>
  <c r="I2633" i="6"/>
  <c r="I2634" i="6"/>
  <c r="I2635" i="6"/>
  <c r="E2635" i="6" s="1"/>
  <c r="M2635" i="6" s="1"/>
  <c r="I2636" i="6"/>
  <c r="E2636" i="6" s="1"/>
  <c r="I2637" i="6"/>
  <c r="I2638" i="6"/>
  <c r="I2639" i="6"/>
  <c r="E2639" i="6" s="1"/>
  <c r="M2639" i="6" s="1"/>
  <c r="I2640" i="6"/>
  <c r="E2640" i="6" s="1"/>
  <c r="I2641" i="6"/>
  <c r="I2642" i="6"/>
  <c r="I2643" i="6"/>
  <c r="E2643" i="6" s="1"/>
  <c r="M2643" i="6" s="1"/>
  <c r="I2644" i="6"/>
  <c r="E2644" i="6" s="1"/>
  <c r="I2645" i="6"/>
  <c r="I2646" i="6"/>
  <c r="I2647" i="6"/>
  <c r="E2647" i="6" s="1"/>
  <c r="I2648" i="6"/>
  <c r="E2648" i="6" s="1"/>
  <c r="I2649" i="6"/>
  <c r="I2650" i="6"/>
  <c r="I2651" i="6"/>
  <c r="E2651" i="6" s="1"/>
  <c r="M2651" i="6" s="1"/>
  <c r="I2652" i="6"/>
  <c r="E2652" i="6" s="1"/>
  <c r="I2653" i="6"/>
  <c r="I2654" i="6"/>
  <c r="I2655" i="6"/>
  <c r="E2655" i="6" s="1"/>
  <c r="M2655" i="6" s="1"/>
  <c r="I2656" i="6"/>
  <c r="E2656" i="6" s="1"/>
  <c r="I2657" i="6"/>
  <c r="I2658" i="6"/>
  <c r="I2659" i="6"/>
  <c r="E2659" i="6" s="1"/>
  <c r="M2659" i="6" s="1"/>
  <c r="I2660" i="6"/>
  <c r="E2660" i="6" s="1"/>
  <c r="I2661" i="6"/>
  <c r="I2662" i="6"/>
  <c r="I2663" i="6"/>
  <c r="E2663" i="6" s="1"/>
  <c r="M2663" i="6" s="1"/>
  <c r="I2664" i="6"/>
  <c r="E2664" i="6" s="1"/>
  <c r="I2665" i="6"/>
  <c r="I2666" i="6"/>
  <c r="I2667" i="6"/>
  <c r="E2667" i="6" s="1"/>
  <c r="M2667" i="6" s="1"/>
  <c r="I2668" i="6"/>
  <c r="E2668" i="6" s="1"/>
  <c r="I2669" i="6"/>
  <c r="I2670" i="6"/>
  <c r="I2671" i="6"/>
  <c r="E2671" i="6" s="1"/>
  <c r="M2671" i="6" s="1"/>
  <c r="I2672" i="6"/>
  <c r="E2672" i="6" s="1"/>
  <c r="I2673" i="6"/>
  <c r="I2674" i="6"/>
  <c r="I2675" i="6"/>
  <c r="E2675" i="6" s="1"/>
  <c r="M2675" i="6" s="1"/>
  <c r="I2676" i="6"/>
  <c r="E2676" i="6" s="1"/>
  <c r="I2677" i="6"/>
  <c r="I2678" i="6"/>
  <c r="I2679" i="6"/>
  <c r="E2679" i="6" s="1"/>
  <c r="M2679" i="6" s="1"/>
  <c r="I2680" i="6"/>
  <c r="E2680" i="6" s="1"/>
  <c r="I2681" i="6"/>
  <c r="I2682" i="6"/>
  <c r="I2683" i="6"/>
  <c r="E2683" i="6" s="1"/>
  <c r="M2683" i="6" s="1"/>
  <c r="I2684" i="6"/>
  <c r="E2684" i="6" s="1"/>
  <c r="I2685" i="6"/>
  <c r="I2686" i="6"/>
  <c r="I2687" i="6"/>
  <c r="E2687" i="6" s="1"/>
  <c r="M2687" i="6" s="1"/>
  <c r="I2688" i="6"/>
  <c r="E2688" i="6" s="1"/>
  <c r="I2689" i="6"/>
  <c r="I2690" i="6"/>
  <c r="I2691" i="6"/>
  <c r="E2691" i="6" s="1"/>
  <c r="N2691" i="6" s="1"/>
  <c r="I2692" i="6"/>
  <c r="E2692" i="6" s="1"/>
  <c r="I2693" i="6"/>
  <c r="I2694" i="6"/>
  <c r="I2695" i="6"/>
  <c r="E2695" i="6" s="1"/>
  <c r="M2695" i="6" s="1"/>
  <c r="I2696" i="6"/>
  <c r="E2696" i="6" s="1"/>
  <c r="I2697" i="6"/>
  <c r="I2698" i="6"/>
  <c r="I2699" i="6"/>
  <c r="E2699" i="6" s="1"/>
  <c r="M2699" i="6" s="1"/>
  <c r="I2700" i="6"/>
  <c r="E2700" i="6" s="1"/>
  <c r="I2701" i="6"/>
  <c r="I2702" i="6"/>
  <c r="I2703" i="6"/>
  <c r="E2703" i="6" s="1"/>
  <c r="M2703" i="6" s="1"/>
  <c r="I2704" i="6"/>
  <c r="E2704" i="6" s="1"/>
  <c r="M2704" i="6" s="1"/>
  <c r="I2705" i="6"/>
  <c r="I2706" i="6"/>
  <c r="I2707" i="6"/>
  <c r="E2707" i="6" s="1"/>
  <c r="M2707" i="6" s="1"/>
  <c r="I2708" i="6"/>
  <c r="E2708" i="6" s="1"/>
  <c r="I2709" i="6"/>
  <c r="I2710" i="6"/>
  <c r="I2711" i="6"/>
  <c r="E2711" i="6" s="1"/>
  <c r="M2711" i="6" s="1"/>
  <c r="I2712" i="6"/>
  <c r="E2712" i="6" s="1"/>
  <c r="I2713" i="6"/>
  <c r="I2714" i="6"/>
  <c r="I2715" i="6"/>
  <c r="E2715" i="6" s="1"/>
  <c r="M2715" i="6" s="1"/>
  <c r="I2716" i="6"/>
  <c r="E2716" i="6" s="1"/>
  <c r="I2717" i="6"/>
  <c r="I2718" i="6"/>
  <c r="I2719" i="6"/>
  <c r="E2719" i="6" s="1"/>
  <c r="M2719" i="6" s="1"/>
  <c r="I2720" i="6"/>
  <c r="E2720" i="6" s="1"/>
  <c r="I2721" i="6"/>
  <c r="I2722" i="6"/>
  <c r="I2723" i="6"/>
  <c r="E2723" i="6" s="1"/>
  <c r="M2723" i="6" s="1"/>
  <c r="I2724" i="6"/>
  <c r="E2724" i="6" s="1"/>
  <c r="I2725" i="6"/>
  <c r="I2726" i="6"/>
  <c r="I2727" i="6"/>
  <c r="E2727" i="6" s="1"/>
  <c r="M2727" i="6" s="1"/>
  <c r="I2728" i="6"/>
  <c r="E2728" i="6" s="1"/>
  <c r="I2729" i="6"/>
  <c r="I2730" i="6"/>
  <c r="I2731" i="6"/>
  <c r="E2731" i="6" s="1"/>
  <c r="M2731" i="6" s="1"/>
  <c r="I2732" i="6"/>
  <c r="E2732" i="6" s="1"/>
  <c r="I2733" i="6"/>
  <c r="I2734" i="6"/>
  <c r="I2735" i="6"/>
  <c r="E2735" i="6" s="1"/>
  <c r="M2735" i="6" s="1"/>
  <c r="I2736" i="6"/>
  <c r="E2736" i="6" s="1"/>
  <c r="I2737" i="6"/>
  <c r="I2738" i="6"/>
  <c r="I2739" i="6"/>
  <c r="E2739" i="6" s="1"/>
  <c r="M2739" i="6" s="1"/>
  <c r="I2740" i="6"/>
  <c r="E2740" i="6" s="1"/>
  <c r="I2741" i="6"/>
  <c r="I2742" i="6"/>
  <c r="I2743" i="6"/>
  <c r="E2743" i="6" s="1"/>
  <c r="M2743" i="6" s="1"/>
  <c r="I2744" i="6"/>
  <c r="E2744" i="6" s="1"/>
  <c r="I2745" i="6"/>
  <c r="I2746" i="6"/>
  <c r="I2747" i="6"/>
  <c r="E2747" i="6" s="1"/>
  <c r="M2747" i="6" s="1"/>
  <c r="I2748" i="6"/>
  <c r="E2748" i="6" s="1"/>
  <c r="I2749" i="6"/>
  <c r="I2750" i="6"/>
  <c r="I2751" i="6"/>
  <c r="E2751" i="6" s="1"/>
  <c r="M2751" i="6" s="1"/>
  <c r="I2752" i="6"/>
  <c r="E2752" i="6" s="1"/>
  <c r="I2753" i="6"/>
  <c r="I2754" i="6"/>
  <c r="I2755" i="6"/>
  <c r="E2755" i="6" s="1"/>
  <c r="M2755" i="6" s="1"/>
  <c r="I2756" i="6"/>
  <c r="E2756" i="6" s="1"/>
  <c r="I2757" i="6"/>
  <c r="I2758" i="6"/>
  <c r="I2759" i="6"/>
  <c r="E2759" i="6" s="1"/>
  <c r="M2759" i="6" s="1"/>
  <c r="I2760" i="6"/>
  <c r="E2760" i="6" s="1"/>
  <c r="I2761" i="6"/>
  <c r="I2762" i="6"/>
  <c r="I2763" i="6"/>
  <c r="E2763" i="6" s="1"/>
  <c r="M2763" i="6" s="1"/>
  <c r="I2764" i="6"/>
  <c r="E2764" i="6" s="1"/>
  <c r="I2765" i="6"/>
  <c r="I2766" i="6"/>
  <c r="I2767" i="6"/>
  <c r="E2767" i="6" s="1"/>
  <c r="M2767" i="6" s="1"/>
  <c r="I2768" i="6"/>
  <c r="E2768" i="6" s="1"/>
  <c r="I2769" i="6"/>
  <c r="I2770" i="6"/>
  <c r="I2771" i="6"/>
  <c r="E2771" i="6" s="1"/>
  <c r="M2771" i="6" s="1"/>
  <c r="I2772" i="6"/>
  <c r="E2772" i="6" s="1"/>
  <c r="I2773" i="6"/>
  <c r="I2774" i="6"/>
  <c r="I2775" i="6"/>
  <c r="E2775" i="6" s="1"/>
  <c r="M2775" i="6" s="1"/>
  <c r="I2776" i="6"/>
  <c r="E2776" i="6" s="1"/>
  <c r="I2777" i="6"/>
  <c r="I2778" i="6"/>
  <c r="I2779" i="6"/>
  <c r="E2779" i="6" s="1"/>
  <c r="M2779" i="6" s="1"/>
  <c r="I2780" i="6"/>
  <c r="E2780" i="6" s="1"/>
  <c r="I2781" i="6"/>
  <c r="I2782" i="6"/>
  <c r="I2783" i="6"/>
  <c r="E2783" i="6" s="1"/>
  <c r="M2783" i="6" s="1"/>
  <c r="I2784" i="6"/>
  <c r="E2784" i="6" s="1"/>
  <c r="I2785" i="6"/>
  <c r="I2786" i="6"/>
  <c r="I2787" i="6"/>
  <c r="E2787" i="6" s="1"/>
  <c r="M2787" i="6" s="1"/>
  <c r="I2788" i="6"/>
  <c r="E2788" i="6" s="1"/>
  <c r="I2789" i="6"/>
  <c r="I2790" i="6"/>
  <c r="I2791" i="6"/>
  <c r="E2791" i="6" s="1"/>
  <c r="M2791" i="6" s="1"/>
  <c r="I2792" i="6"/>
  <c r="E2792" i="6" s="1"/>
  <c r="I2793" i="6"/>
  <c r="I2794" i="6"/>
  <c r="I2795" i="6"/>
  <c r="E2795" i="6" s="1"/>
  <c r="M2795" i="6" s="1"/>
  <c r="I2796" i="6"/>
  <c r="E2796" i="6" s="1"/>
  <c r="I2797" i="6"/>
  <c r="I2798" i="6"/>
  <c r="I2799" i="6"/>
  <c r="E2799" i="6" s="1"/>
  <c r="M2799" i="6" s="1"/>
  <c r="I2800" i="6"/>
  <c r="E2800" i="6" s="1"/>
  <c r="I2801" i="6"/>
  <c r="I2802" i="6"/>
  <c r="I2803" i="6"/>
  <c r="E2803" i="6" s="1"/>
  <c r="I2804" i="6"/>
  <c r="E2804" i="6" s="1"/>
  <c r="I2805" i="6"/>
  <c r="I2806" i="6"/>
  <c r="I2807" i="6"/>
  <c r="E2807" i="6" s="1"/>
  <c r="M2807" i="6" s="1"/>
  <c r="I2808" i="6"/>
  <c r="E2808" i="6" s="1"/>
  <c r="L2808" i="6" s="1"/>
  <c r="I2809" i="6"/>
  <c r="I2810" i="6"/>
  <c r="I2811" i="6"/>
  <c r="E2811" i="6" s="1"/>
  <c r="M2811" i="6" s="1"/>
  <c r="I2812" i="6"/>
  <c r="E2812" i="6" s="1"/>
  <c r="N2812" i="6" s="1"/>
  <c r="I2813" i="6"/>
  <c r="I2814" i="6"/>
  <c r="I2815" i="6"/>
  <c r="E2815" i="6" s="1"/>
  <c r="M2815" i="6" s="1"/>
  <c r="I2816" i="6"/>
  <c r="E2816" i="6" s="1"/>
  <c r="I2817" i="6"/>
  <c r="I2818" i="6"/>
  <c r="I2819" i="6"/>
  <c r="E2819" i="6" s="1"/>
  <c r="M2819" i="6" s="1"/>
  <c r="I2820" i="6"/>
  <c r="E2820" i="6" s="1"/>
  <c r="I2821" i="6"/>
  <c r="I2822" i="6"/>
  <c r="I2823" i="6"/>
  <c r="E2823" i="6" s="1"/>
  <c r="M2823" i="6" s="1"/>
  <c r="I2824" i="6"/>
  <c r="E2824" i="6" s="1"/>
  <c r="N2824" i="6" s="1"/>
  <c r="I2825" i="6"/>
  <c r="I2826" i="6"/>
  <c r="I2827" i="6"/>
  <c r="E2827" i="6" s="1"/>
  <c r="M2827" i="6" s="1"/>
  <c r="I2828" i="6"/>
  <c r="E2828" i="6" s="1"/>
  <c r="I2829" i="6"/>
  <c r="I2830" i="6"/>
  <c r="I2831" i="6"/>
  <c r="E2831" i="6" s="1"/>
  <c r="M2831" i="6" s="1"/>
  <c r="I2832" i="6"/>
  <c r="E2832" i="6" s="1"/>
  <c r="I2833" i="6"/>
  <c r="I2834" i="6"/>
  <c r="I2835" i="6"/>
  <c r="E2835" i="6" s="1"/>
  <c r="M2835" i="6" s="1"/>
  <c r="I2836" i="6"/>
  <c r="E2836" i="6" s="1"/>
  <c r="L2836" i="6" s="1"/>
  <c r="I2837" i="6"/>
  <c r="I2838" i="6"/>
  <c r="I2839" i="6"/>
  <c r="E2839" i="6" s="1"/>
  <c r="M2839" i="6" s="1"/>
  <c r="I2840" i="6"/>
  <c r="E2840" i="6" s="1"/>
  <c r="N2840" i="6" s="1"/>
  <c r="I2841" i="6"/>
  <c r="I2842" i="6"/>
  <c r="I2843" i="6"/>
  <c r="E2843" i="6" s="1"/>
  <c r="M2843" i="6" s="1"/>
  <c r="I2844" i="6"/>
  <c r="E2844" i="6" s="1"/>
  <c r="I2845" i="6"/>
  <c r="I2846" i="6"/>
  <c r="I2847" i="6"/>
  <c r="E2847" i="6" s="1"/>
  <c r="M2847" i="6" s="1"/>
  <c r="I2848" i="6"/>
  <c r="E2848" i="6" s="1"/>
  <c r="I2849" i="6"/>
  <c r="I2850" i="6"/>
  <c r="I2851" i="6"/>
  <c r="E2851" i="6" s="1"/>
  <c r="M2851" i="6" s="1"/>
  <c r="I2852" i="6"/>
  <c r="E2852" i="6" s="1"/>
  <c r="L2852" i="6" s="1"/>
  <c r="I2853" i="6"/>
  <c r="I2854" i="6"/>
  <c r="I2855" i="6"/>
  <c r="E2855" i="6" s="1"/>
  <c r="M2855" i="6" s="1"/>
  <c r="I2856" i="6"/>
  <c r="E2856" i="6" s="1"/>
  <c r="N2856" i="6" s="1"/>
  <c r="I2857" i="6"/>
  <c r="I2858" i="6"/>
  <c r="I2859" i="6"/>
  <c r="E2859" i="6" s="1"/>
  <c r="M2859" i="6" s="1"/>
  <c r="I2860" i="6"/>
  <c r="E2860" i="6" s="1"/>
  <c r="I2861" i="6"/>
  <c r="I2862" i="6"/>
  <c r="I2863" i="6"/>
  <c r="E2863" i="6" s="1"/>
  <c r="M2863" i="6" s="1"/>
  <c r="I2864" i="6"/>
  <c r="E2864" i="6" s="1"/>
  <c r="I2865" i="6"/>
  <c r="I2866" i="6"/>
  <c r="I2867" i="6"/>
  <c r="E2867" i="6" s="1"/>
  <c r="M2867" i="6" s="1"/>
  <c r="I2868" i="6"/>
  <c r="E2868" i="6" s="1"/>
  <c r="L2868" i="6" s="1"/>
  <c r="I2869" i="6"/>
  <c r="I2870" i="6"/>
  <c r="I2871" i="6"/>
  <c r="E2871" i="6" s="1"/>
  <c r="M2871" i="6" s="1"/>
  <c r="I2872" i="6"/>
  <c r="E2872" i="6" s="1"/>
  <c r="N2872" i="6" s="1"/>
  <c r="I2873" i="6"/>
  <c r="I2874" i="6"/>
  <c r="I2875" i="6"/>
  <c r="E2875" i="6" s="1"/>
  <c r="M2875" i="6" s="1"/>
  <c r="I2876" i="6"/>
  <c r="E2876" i="6" s="1"/>
  <c r="M2876" i="6" s="1"/>
  <c r="I2877" i="6"/>
  <c r="I2878" i="6"/>
  <c r="I2879" i="6"/>
  <c r="E2879" i="6" s="1"/>
  <c r="M2879" i="6" s="1"/>
  <c r="I2880" i="6"/>
  <c r="E2880" i="6" s="1"/>
  <c r="I2881" i="6"/>
  <c r="I2882" i="6"/>
  <c r="I2883" i="6"/>
  <c r="E2883" i="6" s="1"/>
  <c r="M2883" i="6" s="1"/>
  <c r="I2884" i="6"/>
  <c r="E2884" i="6" s="1"/>
  <c r="L2884" i="6" s="1"/>
  <c r="I2885" i="6"/>
  <c r="I2886" i="6"/>
  <c r="I2887" i="6"/>
  <c r="E2887" i="6" s="1"/>
  <c r="M2887" i="6" s="1"/>
  <c r="I2888" i="6"/>
  <c r="E2888" i="6" s="1"/>
  <c r="M2888" i="6" s="1"/>
  <c r="I2889" i="6"/>
  <c r="I2890" i="6"/>
  <c r="I2891" i="6"/>
  <c r="E2891" i="6" s="1"/>
  <c r="M2891" i="6" s="1"/>
  <c r="I2892" i="6"/>
  <c r="E2892" i="6" s="1"/>
  <c r="N2892" i="6" s="1"/>
  <c r="I2893" i="6"/>
  <c r="I2894" i="6"/>
  <c r="I2895" i="6"/>
  <c r="E2895" i="6" s="1"/>
  <c r="M2895" i="6" s="1"/>
  <c r="I2896" i="6"/>
  <c r="E2896" i="6" s="1"/>
  <c r="I2897" i="6"/>
  <c r="I2898" i="6"/>
  <c r="I2899" i="6"/>
  <c r="E2899" i="6" s="1"/>
  <c r="M2899" i="6" s="1"/>
  <c r="I2900" i="6"/>
  <c r="E2900" i="6" s="1"/>
  <c r="L2900" i="6" s="1"/>
  <c r="I2901" i="6"/>
  <c r="I2902" i="6"/>
  <c r="I2903" i="6"/>
  <c r="E2903" i="6" s="1"/>
  <c r="M2903" i="6" s="1"/>
  <c r="I2904" i="6"/>
  <c r="E2904" i="6" s="1"/>
  <c r="M2904" i="6" s="1"/>
  <c r="I2905" i="6"/>
  <c r="I2906" i="6"/>
  <c r="I2907" i="6"/>
  <c r="E2907" i="6" s="1"/>
  <c r="M2907" i="6" s="1"/>
  <c r="I2908" i="6"/>
  <c r="E2908" i="6" s="1"/>
  <c r="N2908" i="6" s="1"/>
  <c r="I2909" i="6"/>
  <c r="I2910" i="6"/>
  <c r="I2911" i="6"/>
  <c r="E2911" i="6" s="1"/>
  <c r="M2911" i="6" s="1"/>
  <c r="I2912" i="6"/>
  <c r="E2912" i="6" s="1"/>
  <c r="I2913" i="6"/>
  <c r="I2914" i="6"/>
  <c r="I2915" i="6"/>
  <c r="E2915" i="6" s="1"/>
  <c r="M2915" i="6" s="1"/>
  <c r="I2916" i="6"/>
  <c r="E2916" i="6" s="1"/>
  <c r="L2916" i="6" s="1"/>
  <c r="I2917" i="6"/>
  <c r="I2918" i="6"/>
  <c r="I2919" i="6"/>
  <c r="E2919" i="6" s="1"/>
  <c r="M2919" i="6" s="1"/>
  <c r="I2920" i="6"/>
  <c r="E2920" i="6" s="1"/>
  <c r="M2920" i="6" s="1"/>
  <c r="I2921" i="6"/>
  <c r="I2922" i="6"/>
  <c r="I2923" i="6"/>
  <c r="E2923" i="6" s="1"/>
  <c r="M2923" i="6" s="1"/>
  <c r="I2924" i="6"/>
  <c r="E2924" i="6" s="1"/>
  <c r="N2924" i="6" s="1"/>
  <c r="I2925" i="6"/>
  <c r="I2926" i="6"/>
  <c r="I2927" i="6"/>
  <c r="E2927" i="6" s="1"/>
  <c r="M2927" i="6" s="1"/>
  <c r="I2928" i="6"/>
  <c r="E2928" i="6" s="1"/>
  <c r="I2929" i="6"/>
  <c r="I2930" i="6"/>
  <c r="I2931" i="6"/>
  <c r="E2931" i="6" s="1"/>
  <c r="M2931" i="6" s="1"/>
  <c r="I2932" i="6"/>
  <c r="E2932" i="6" s="1"/>
  <c r="L2932" i="6" s="1"/>
  <c r="I2933" i="6"/>
  <c r="I2934" i="6"/>
  <c r="I2935" i="6"/>
  <c r="E2935" i="6" s="1"/>
  <c r="M2935" i="6" s="1"/>
  <c r="I2936" i="6"/>
  <c r="E2936" i="6" s="1"/>
  <c r="M2936" i="6" s="1"/>
  <c r="I2937" i="6"/>
  <c r="I2938" i="6"/>
  <c r="I2939" i="6"/>
  <c r="E2939" i="6" s="1"/>
  <c r="M2939" i="6" s="1"/>
  <c r="I2940" i="6"/>
  <c r="E2940" i="6" s="1"/>
  <c r="N2940" i="6" s="1"/>
  <c r="I2941" i="6"/>
  <c r="I2942" i="6"/>
  <c r="I2943" i="6"/>
  <c r="E2943" i="6" s="1"/>
  <c r="M2943" i="6" s="1"/>
  <c r="I2944" i="6"/>
  <c r="E2944" i="6" s="1"/>
  <c r="I2945" i="6"/>
  <c r="I2946" i="6"/>
  <c r="I2947" i="6"/>
  <c r="E2947" i="6" s="1"/>
  <c r="M2947" i="6" s="1"/>
  <c r="I2948" i="6"/>
  <c r="E2948" i="6" s="1"/>
  <c r="L2948" i="6" s="1"/>
  <c r="I2949" i="6"/>
  <c r="I2950" i="6"/>
  <c r="I2951" i="6"/>
  <c r="E2951" i="6" s="1"/>
  <c r="M2951" i="6" s="1"/>
  <c r="I2952" i="6"/>
  <c r="E2952" i="6" s="1"/>
  <c r="M2952" i="6" s="1"/>
  <c r="I2953" i="6"/>
  <c r="I2954" i="6"/>
  <c r="I2955" i="6"/>
  <c r="E2955" i="6" s="1"/>
  <c r="M2955" i="6" s="1"/>
  <c r="I2956" i="6"/>
  <c r="E2956" i="6" s="1"/>
  <c r="N2956" i="6" s="1"/>
  <c r="I2957" i="6"/>
  <c r="I2958" i="6"/>
  <c r="I2959" i="6"/>
  <c r="E2959" i="6" s="1"/>
  <c r="M2959" i="6" s="1"/>
  <c r="I2960" i="6"/>
  <c r="E2960" i="6" s="1"/>
  <c r="I2961" i="6"/>
  <c r="I2962" i="6"/>
  <c r="I2963" i="6"/>
  <c r="E2963" i="6" s="1"/>
  <c r="M2963" i="6" s="1"/>
  <c r="I2964" i="6"/>
  <c r="E2964" i="6" s="1"/>
  <c r="L2964" i="6" s="1"/>
  <c r="I2965" i="6"/>
  <c r="I2966" i="6"/>
  <c r="I2967" i="6"/>
  <c r="E2967" i="6" s="1"/>
  <c r="M2967" i="6" s="1"/>
  <c r="I2968" i="6"/>
  <c r="E2968" i="6" s="1"/>
  <c r="M2968" i="6" s="1"/>
  <c r="I2969" i="6"/>
  <c r="I2970" i="6"/>
  <c r="I2971" i="6"/>
  <c r="E2971" i="6" s="1"/>
  <c r="M2971" i="6" s="1"/>
  <c r="I2972" i="6"/>
  <c r="E2972" i="6" s="1"/>
  <c r="N2972" i="6" s="1"/>
  <c r="I2973" i="6"/>
  <c r="I2974" i="6"/>
  <c r="I2975" i="6"/>
  <c r="E2975" i="6" s="1"/>
  <c r="M2975" i="6" s="1"/>
  <c r="I2976" i="6"/>
  <c r="E2976" i="6" s="1"/>
  <c r="I2977" i="6"/>
  <c r="I2978" i="6"/>
  <c r="I2979" i="6"/>
  <c r="E2979" i="6" s="1"/>
  <c r="M2979" i="6" s="1"/>
  <c r="I2980" i="6"/>
  <c r="E2980" i="6" s="1"/>
  <c r="L2980" i="6" s="1"/>
  <c r="I2981" i="6"/>
  <c r="I2982" i="6"/>
  <c r="I2983" i="6"/>
  <c r="E2983" i="6" s="1"/>
  <c r="M2983" i="6" s="1"/>
  <c r="I2984" i="6"/>
  <c r="E2984" i="6" s="1"/>
  <c r="M2984" i="6" s="1"/>
  <c r="I2985" i="6"/>
  <c r="I2986" i="6"/>
  <c r="I2987" i="6"/>
  <c r="E2987" i="6" s="1"/>
  <c r="M2987" i="6" s="1"/>
  <c r="I2988" i="6"/>
  <c r="E2988" i="6" s="1"/>
  <c r="N2988" i="6" s="1"/>
  <c r="I2989" i="6"/>
  <c r="I2990" i="6"/>
  <c r="I2991" i="6"/>
  <c r="E2991" i="6" s="1"/>
  <c r="M2991" i="6" s="1"/>
  <c r="I2992" i="6"/>
  <c r="E2992" i="6" s="1"/>
  <c r="I2993" i="6"/>
  <c r="I2994" i="6"/>
  <c r="I2995" i="6"/>
  <c r="E2995" i="6" s="1"/>
  <c r="M2995" i="6" s="1"/>
  <c r="I2996" i="6"/>
  <c r="E2996" i="6" s="1"/>
  <c r="L2996" i="6" s="1"/>
  <c r="I2997" i="6"/>
  <c r="I2998" i="6"/>
  <c r="I2999" i="6"/>
  <c r="E2999" i="6" s="1"/>
  <c r="M2999" i="6" s="1"/>
  <c r="I3000" i="6"/>
  <c r="E3000" i="6" s="1"/>
  <c r="M3000" i="6" s="1"/>
  <c r="I3001" i="6"/>
  <c r="I3002" i="6"/>
  <c r="I3003" i="6"/>
  <c r="E3003" i="6" s="1"/>
  <c r="M3003" i="6" s="1"/>
  <c r="I3004" i="6"/>
  <c r="E3004" i="6" s="1"/>
  <c r="N3004" i="6" s="1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K404" i="6" s="1"/>
  <c r="B405" i="6"/>
  <c r="B406" i="6"/>
  <c r="B407" i="6"/>
  <c r="B408" i="6"/>
  <c r="K408" i="6" s="1"/>
  <c r="B409" i="6"/>
  <c r="B410" i="6"/>
  <c r="B411" i="6"/>
  <c r="B412" i="6"/>
  <c r="K412" i="6" s="1"/>
  <c r="B413" i="6"/>
  <c r="B414" i="6"/>
  <c r="B415" i="6"/>
  <c r="B416" i="6"/>
  <c r="K416" i="6" s="1"/>
  <c r="B417" i="6"/>
  <c r="B418" i="6"/>
  <c r="B419" i="6"/>
  <c r="B420" i="6"/>
  <c r="K420" i="6" s="1"/>
  <c r="B421" i="6"/>
  <c r="B422" i="6"/>
  <c r="B423" i="6"/>
  <c r="B424" i="6"/>
  <c r="K424" i="6" s="1"/>
  <c r="B425" i="6"/>
  <c r="B426" i="6"/>
  <c r="B427" i="6"/>
  <c r="B428" i="6"/>
  <c r="K428" i="6" s="1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K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K1291" i="6" s="1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K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K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K1403" i="6" s="1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K1419" i="6" s="1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K1467" i="6" s="1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K1483" i="6" s="1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K1627" i="6" s="1"/>
  <c r="B1628" i="6"/>
  <c r="B1629" i="6"/>
  <c r="B1630" i="6"/>
  <c r="B1631" i="6"/>
  <c r="K1631" i="6" s="1"/>
  <c r="B1632" i="6"/>
  <c r="B1633" i="6"/>
  <c r="B1634" i="6"/>
  <c r="B1635" i="6"/>
  <c r="K1635" i="6" s="1"/>
  <c r="B1636" i="6"/>
  <c r="B1637" i="6"/>
  <c r="B1638" i="6"/>
  <c r="B1639" i="6"/>
  <c r="K1639" i="6" s="1"/>
  <c r="B1640" i="6"/>
  <c r="B1641" i="6"/>
  <c r="B1642" i="6"/>
  <c r="B1643" i="6"/>
  <c r="K1643" i="6" s="1"/>
  <c r="B1644" i="6"/>
  <c r="B1645" i="6"/>
  <c r="B1646" i="6"/>
  <c r="B1647" i="6"/>
  <c r="K1647" i="6" s="1"/>
  <c r="B1648" i="6"/>
  <c r="B1649" i="6"/>
  <c r="B1650" i="6"/>
  <c r="B1651" i="6"/>
  <c r="K1651" i="6" s="1"/>
  <c r="B1652" i="6"/>
  <c r="B1653" i="6"/>
  <c r="B1654" i="6"/>
  <c r="B1655" i="6"/>
  <c r="K1655" i="6" s="1"/>
  <c r="B1656" i="6"/>
  <c r="B1657" i="6"/>
  <c r="B1658" i="6"/>
  <c r="B1659" i="6"/>
  <c r="K1659" i="6" s="1"/>
  <c r="B1660" i="6"/>
  <c r="B1661" i="6"/>
  <c r="B1662" i="6"/>
  <c r="B1663" i="6"/>
  <c r="B1664" i="6"/>
  <c r="B1665" i="6"/>
  <c r="B1666" i="6"/>
  <c r="B1667" i="6"/>
  <c r="K1667" i="6" s="1"/>
  <c r="B1668" i="6"/>
  <c r="B1669" i="6"/>
  <c r="B1670" i="6"/>
  <c r="B1671" i="6"/>
  <c r="K1671" i="6" s="1"/>
  <c r="B1672" i="6"/>
  <c r="B1673" i="6"/>
  <c r="B1674" i="6"/>
  <c r="B1675" i="6"/>
  <c r="K1675" i="6" s="1"/>
  <c r="B1676" i="6"/>
  <c r="B1677" i="6"/>
  <c r="B1678" i="6"/>
  <c r="B1679" i="6"/>
  <c r="K1679" i="6" s="1"/>
  <c r="B1680" i="6"/>
  <c r="B1681" i="6"/>
  <c r="B1682" i="6"/>
  <c r="B1683" i="6"/>
  <c r="K1683" i="6" s="1"/>
  <c r="B1684" i="6"/>
  <c r="B1685" i="6"/>
  <c r="B1686" i="6"/>
  <c r="B1687" i="6"/>
  <c r="K1687" i="6" s="1"/>
  <c r="B1688" i="6"/>
  <c r="B1689" i="6"/>
  <c r="B1690" i="6"/>
  <c r="B1691" i="6"/>
  <c r="K1691" i="6" s="1"/>
  <c r="B1692" i="6"/>
  <c r="B1693" i="6"/>
  <c r="B1694" i="6"/>
  <c r="B1695" i="6"/>
  <c r="K1695" i="6" s="1"/>
  <c r="B1696" i="6"/>
  <c r="B1697" i="6"/>
  <c r="B1698" i="6"/>
  <c r="B1699" i="6"/>
  <c r="K1699" i="6" s="1"/>
  <c r="B1700" i="6"/>
  <c r="B1701" i="6"/>
  <c r="B1702" i="6"/>
  <c r="B1703" i="6"/>
  <c r="K1703" i="6" s="1"/>
  <c r="B1704" i="6"/>
  <c r="B1705" i="6"/>
  <c r="B1706" i="6"/>
  <c r="B1707" i="6"/>
  <c r="K1707" i="6" s="1"/>
  <c r="B1708" i="6"/>
  <c r="B1709" i="6"/>
  <c r="B1710" i="6"/>
  <c r="B1711" i="6"/>
  <c r="K1711" i="6" s="1"/>
  <c r="B1712" i="6"/>
  <c r="B1713" i="6"/>
  <c r="B1714" i="6"/>
  <c r="B1715" i="6"/>
  <c r="K1715" i="6" s="1"/>
  <c r="B1716" i="6"/>
  <c r="B1717" i="6"/>
  <c r="B1718" i="6"/>
  <c r="B1719" i="6"/>
  <c r="K1719" i="6" s="1"/>
  <c r="B1720" i="6"/>
  <c r="B1721" i="6"/>
  <c r="B1722" i="6"/>
  <c r="B1723" i="6"/>
  <c r="K1723" i="6" s="1"/>
  <c r="B1724" i="6"/>
  <c r="B1725" i="6"/>
  <c r="B1726" i="6"/>
  <c r="B1727" i="6"/>
  <c r="K1727" i="6" s="1"/>
  <c r="B1728" i="6"/>
  <c r="B1729" i="6"/>
  <c r="B1730" i="6"/>
  <c r="B1731" i="6"/>
  <c r="K1731" i="6" s="1"/>
  <c r="B1732" i="6"/>
  <c r="B1733" i="6"/>
  <c r="B1734" i="6"/>
  <c r="B1735" i="6"/>
  <c r="K1735" i="6" s="1"/>
  <c r="B1736" i="6"/>
  <c r="B1737" i="6"/>
  <c r="B1738" i="6"/>
  <c r="B1739" i="6"/>
  <c r="K1739" i="6" s="1"/>
  <c r="B1740" i="6"/>
  <c r="B1741" i="6"/>
  <c r="B1742" i="6"/>
  <c r="B1743" i="6"/>
  <c r="K1743" i="6" s="1"/>
  <c r="B1744" i="6"/>
  <c r="B1745" i="6"/>
  <c r="B1746" i="6"/>
  <c r="B1747" i="6"/>
  <c r="K1747" i="6" s="1"/>
  <c r="B1748" i="6"/>
  <c r="B1749" i="6"/>
  <c r="B1750" i="6"/>
  <c r="B1751" i="6"/>
  <c r="K1751" i="6" s="1"/>
  <c r="B1752" i="6"/>
  <c r="B1753" i="6"/>
  <c r="B1754" i="6"/>
  <c r="B1755" i="6"/>
  <c r="K1755" i="6" s="1"/>
  <c r="B1756" i="6"/>
  <c r="B1757" i="6"/>
  <c r="B1758" i="6"/>
  <c r="B1759" i="6"/>
  <c r="K1759" i="6" s="1"/>
  <c r="B1760" i="6"/>
  <c r="B1761" i="6"/>
  <c r="B1762" i="6"/>
  <c r="B1763" i="6"/>
  <c r="K1763" i="6" s="1"/>
  <c r="B1764" i="6"/>
  <c r="B1765" i="6"/>
  <c r="B1766" i="6"/>
  <c r="B1767" i="6"/>
  <c r="K1767" i="6" s="1"/>
  <c r="B1768" i="6"/>
  <c r="B1769" i="6"/>
  <c r="B1770" i="6"/>
  <c r="B1771" i="6"/>
  <c r="K1771" i="6" s="1"/>
  <c r="B1772" i="6"/>
  <c r="B1773" i="6"/>
  <c r="B1774" i="6"/>
  <c r="B1775" i="6"/>
  <c r="K1775" i="6" s="1"/>
  <c r="B1776" i="6"/>
  <c r="B1777" i="6"/>
  <c r="B1778" i="6"/>
  <c r="B1779" i="6"/>
  <c r="K1779" i="6" s="1"/>
  <c r="B1780" i="6"/>
  <c r="B1781" i="6"/>
  <c r="B1782" i="6"/>
  <c r="B1783" i="6"/>
  <c r="K1783" i="6" s="1"/>
  <c r="B1784" i="6"/>
  <c r="B1785" i="6"/>
  <c r="B1786" i="6"/>
  <c r="B1787" i="6"/>
  <c r="K1787" i="6" s="1"/>
  <c r="B1788" i="6"/>
  <c r="B1789" i="6"/>
  <c r="B1790" i="6"/>
  <c r="B1791" i="6"/>
  <c r="K1791" i="6" s="1"/>
  <c r="B1792" i="6"/>
  <c r="B1793" i="6"/>
  <c r="B1794" i="6"/>
  <c r="B1795" i="6"/>
  <c r="K1795" i="6" s="1"/>
  <c r="B1796" i="6"/>
  <c r="B1797" i="6"/>
  <c r="B1798" i="6"/>
  <c r="B1799" i="6"/>
  <c r="K1799" i="6" s="1"/>
  <c r="B1800" i="6"/>
  <c r="B1801" i="6"/>
  <c r="B1802" i="6"/>
  <c r="B1803" i="6"/>
  <c r="K1803" i="6" s="1"/>
  <c r="B1804" i="6"/>
  <c r="B1805" i="6"/>
  <c r="B1806" i="6"/>
  <c r="B1807" i="6"/>
  <c r="K1807" i="6" s="1"/>
  <c r="B1808" i="6"/>
  <c r="B1809" i="6"/>
  <c r="B1810" i="6"/>
  <c r="B1811" i="6"/>
  <c r="K1811" i="6" s="1"/>
  <c r="B1812" i="6"/>
  <c r="B1813" i="6"/>
  <c r="B1814" i="6"/>
  <c r="B1815" i="6"/>
  <c r="K1815" i="6" s="1"/>
  <c r="B1816" i="6"/>
  <c r="B1817" i="6"/>
  <c r="B1818" i="6"/>
  <c r="B1819" i="6"/>
  <c r="K1819" i="6" s="1"/>
  <c r="B1820" i="6"/>
  <c r="B1821" i="6"/>
  <c r="B1822" i="6"/>
  <c r="B1823" i="6"/>
  <c r="K1823" i="6" s="1"/>
  <c r="B1824" i="6"/>
  <c r="B1825" i="6"/>
  <c r="B1826" i="6"/>
  <c r="B1827" i="6"/>
  <c r="K1827" i="6" s="1"/>
  <c r="B1828" i="6"/>
  <c r="B1829" i="6"/>
  <c r="B1830" i="6"/>
  <c r="B1831" i="6"/>
  <c r="K1831" i="6" s="1"/>
  <c r="B1832" i="6"/>
  <c r="B1833" i="6"/>
  <c r="B1834" i="6"/>
  <c r="B1835" i="6"/>
  <c r="K1835" i="6" s="1"/>
  <c r="B1836" i="6"/>
  <c r="B1837" i="6"/>
  <c r="B1838" i="6"/>
  <c r="B1839" i="6"/>
  <c r="K1839" i="6" s="1"/>
  <c r="B1840" i="6"/>
  <c r="B1841" i="6"/>
  <c r="B1842" i="6"/>
  <c r="B1843" i="6"/>
  <c r="K1843" i="6" s="1"/>
  <c r="B1844" i="6"/>
  <c r="B1845" i="6"/>
  <c r="B1846" i="6"/>
  <c r="B1847" i="6"/>
  <c r="K1847" i="6" s="1"/>
  <c r="B1848" i="6"/>
  <c r="B1849" i="6"/>
  <c r="B1850" i="6"/>
  <c r="B1851" i="6"/>
  <c r="K1851" i="6" s="1"/>
  <c r="B1852" i="6"/>
  <c r="B1853" i="6"/>
  <c r="B1854" i="6"/>
  <c r="B1855" i="6"/>
  <c r="K1855" i="6" s="1"/>
  <c r="B1856" i="6"/>
  <c r="B1857" i="6"/>
  <c r="B1858" i="6"/>
  <c r="B1859" i="6"/>
  <c r="K1859" i="6" s="1"/>
  <c r="B1860" i="6"/>
  <c r="B1861" i="6"/>
  <c r="B1862" i="6"/>
  <c r="B1863" i="6"/>
  <c r="K1863" i="6" s="1"/>
  <c r="B1864" i="6"/>
  <c r="B1865" i="6"/>
  <c r="B1866" i="6"/>
  <c r="B1867" i="6"/>
  <c r="K1867" i="6" s="1"/>
  <c r="B1868" i="6"/>
  <c r="B1869" i="6"/>
  <c r="B1870" i="6"/>
  <c r="B1871" i="6"/>
  <c r="K1871" i="6" s="1"/>
  <c r="B1872" i="6"/>
  <c r="B1873" i="6"/>
  <c r="B1874" i="6"/>
  <c r="B1875" i="6"/>
  <c r="K1875" i="6" s="1"/>
  <c r="B1876" i="6"/>
  <c r="B1877" i="6"/>
  <c r="B1878" i="6"/>
  <c r="B1879" i="6"/>
  <c r="K1879" i="6" s="1"/>
  <c r="B1880" i="6"/>
  <c r="B1881" i="6"/>
  <c r="B1882" i="6"/>
  <c r="B1883" i="6"/>
  <c r="K1883" i="6" s="1"/>
  <c r="B1884" i="6"/>
  <c r="B1885" i="6"/>
  <c r="B1886" i="6"/>
  <c r="B1887" i="6"/>
  <c r="K1887" i="6" s="1"/>
  <c r="B1888" i="6"/>
  <c r="B1889" i="6"/>
  <c r="B1890" i="6"/>
  <c r="B1891" i="6"/>
  <c r="K1891" i="6" s="1"/>
  <c r="B1892" i="6"/>
  <c r="B1893" i="6"/>
  <c r="B1894" i="6"/>
  <c r="B1895" i="6"/>
  <c r="K1895" i="6" s="1"/>
  <c r="B1896" i="6"/>
  <c r="B1897" i="6"/>
  <c r="B1898" i="6"/>
  <c r="B1899" i="6"/>
  <c r="K1899" i="6" s="1"/>
  <c r="B1900" i="6"/>
  <c r="B1901" i="6"/>
  <c r="B1902" i="6"/>
  <c r="B1903" i="6"/>
  <c r="K1903" i="6" s="1"/>
  <c r="B1904" i="6"/>
  <c r="B1905" i="6"/>
  <c r="B1906" i="6"/>
  <c r="B1907" i="6"/>
  <c r="K1907" i="6" s="1"/>
  <c r="B1908" i="6"/>
  <c r="B1909" i="6"/>
  <c r="B1910" i="6"/>
  <c r="B1911" i="6"/>
  <c r="K1911" i="6" s="1"/>
  <c r="B1912" i="6"/>
  <c r="B1913" i="6"/>
  <c r="B1914" i="6"/>
  <c r="B1915" i="6"/>
  <c r="K1915" i="6" s="1"/>
  <c r="B1916" i="6"/>
  <c r="B1917" i="6"/>
  <c r="B1918" i="6"/>
  <c r="B1919" i="6"/>
  <c r="K1919" i="6" s="1"/>
  <c r="B1920" i="6"/>
  <c r="B1921" i="6"/>
  <c r="B1922" i="6"/>
  <c r="B1923" i="6"/>
  <c r="K1923" i="6" s="1"/>
  <c r="B1924" i="6"/>
  <c r="B1925" i="6"/>
  <c r="B1926" i="6"/>
  <c r="B1927" i="6"/>
  <c r="K1927" i="6" s="1"/>
  <c r="B1928" i="6"/>
  <c r="B1929" i="6"/>
  <c r="B1930" i="6"/>
  <c r="B1931" i="6"/>
  <c r="K1931" i="6" s="1"/>
  <c r="B1932" i="6"/>
  <c r="B1933" i="6"/>
  <c r="B1934" i="6"/>
  <c r="B1935" i="6"/>
  <c r="K1935" i="6" s="1"/>
  <c r="B1936" i="6"/>
  <c r="B1937" i="6"/>
  <c r="B1938" i="6"/>
  <c r="B1939" i="6"/>
  <c r="K1939" i="6" s="1"/>
  <c r="B1940" i="6"/>
  <c r="B1941" i="6"/>
  <c r="B1942" i="6"/>
  <c r="B1943" i="6"/>
  <c r="K1943" i="6" s="1"/>
  <c r="B1944" i="6"/>
  <c r="B1945" i="6"/>
  <c r="B1946" i="6"/>
  <c r="B1947" i="6"/>
  <c r="K1947" i="6" s="1"/>
  <c r="B1948" i="6"/>
  <c r="B1949" i="6"/>
  <c r="B1950" i="6"/>
  <c r="B1951" i="6"/>
  <c r="K1951" i="6" s="1"/>
  <c r="B1952" i="6"/>
  <c r="B1953" i="6"/>
  <c r="B1954" i="6"/>
  <c r="B1955" i="6"/>
  <c r="K1955" i="6" s="1"/>
  <c r="B1956" i="6"/>
  <c r="B1957" i="6"/>
  <c r="B1958" i="6"/>
  <c r="B1959" i="6"/>
  <c r="K1959" i="6" s="1"/>
  <c r="B1960" i="6"/>
  <c r="B1961" i="6"/>
  <c r="B1962" i="6"/>
  <c r="B1963" i="6"/>
  <c r="K1963" i="6" s="1"/>
  <c r="B1964" i="6"/>
  <c r="B1965" i="6"/>
  <c r="B1966" i="6"/>
  <c r="B1967" i="6"/>
  <c r="K1967" i="6" s="1"/>
  <c r="B1968" i="6"/>
  <c r="B1969" i="6"/>
  <c r="B1970" i="6"/>
  <c r="B1971" i="6"/>
  <c r="K1971" i="6" s="1"/>
  <c r="B1972" i="6"/>
  <c r="B1973" i="6"/>
  <c r="B1974" i="6"/>
  <c r="B1975" i="6"/>
  <c r="K1975" i="6" s="1"/>
  <c r="B1976" i="6"/>
  <c r="B1977" i="6"/>
  <c r="B1978" i="6"/>
  <c r="B1979" i="6"/>
  <c r="K1979" i="6" s="1"/>
  <c r="B1980" i="6"/>
  <c r="B1981" i="6"/>
  <c r="B1982" i="6"/>
  <c r="B1983" i="6"/>
  <c r="K1983" i="6" s="1"/>
  <c r="B1984" i="6"/>
  <c r="B1985" i="6"/>
  <c r="B1986" i="6"/>
  <c r="B1987" i="6"/>
  <c r="K1987" i="6" s="1"/>
  <c r="B1988" i="6"/>
  <c r="B1989" i="6"/>
  <c r="B1990" i="6"/>
  <c r="B1991" i="6"/>
  <c r="K1991" i="6" s="1"/>
  <c r="B1992" i="6"/>
  <c r="B1993" i="6"/>
  <c r="B1994" i="6"/>
  <c r="B1995" i="6"/>
  <c r="K1995" i="6" s="1"/>
  <c r="B1996" i="6"/>
  <c r="B1997" i="6"/>
  <c r="B1998" i="6"/>
  <c r="B1999" i="6"/>
  <c r="K1999" i="6" s="1"/>
  <c r="B2000" i="6"/>
  <c r="B2001" i="6"/>
  <c r="B2002" i="6"/>
  <c r="B2003" i="6"/>
  <c r="K2003" i="6" s="1"/>
  <c r="B2004" i="6"/>
  <c r="B2005" i="6"/>
  <c r="B2006" i="6"/>
  <c r="B2007" i="6"/>
  <c r="K2007" i="6" s="1"/>
  <c r="B2008" i="6"/>
  <c r="B2009" i="6"/>
  <c r="B2010" i="6"/>
  <c r="B2011" i="6"/>
  <c r="K2011" i="6" s="1"/>
  <c r="B2012" i="6"/>
  <c r="B2013" i="6"/>
  <c r="B2014" i="6"/>
  <c r="B2015" i="6"/>
  <c r="K2015" i="6" s="1"/>
  <c r="B2016" i="6"/>
  <c r="B2017" i="6"/>
  <c r="B2018" i="6"/>
  <c r="B2019" i="6"/>
  <c r="K2019" i="6" s="1"/>
  <c r="B2020" i="6"/>
  <c r="B2021" i="6"/>
  <c r="B2022" i="6"/>
  <c r="B2023" i="6"/>
  <c r="K2023" i="6" s="1"/>
  <c r="B2024" i="6"/>
  <c r="B2025" i="6"/>
  <c r="B2026" i="6"/>
  <c r="B2027" i="6"/>
  <c r="K2027" i="6" s="1"/>
  <c r="B2028" i="6"/>
  <c r="B2029" i="6"/>
  <c r="B2030" i="6"/>
  <c r="B2031" i="6"/>
  <c r="K2031" i="6" s="1"/>
  <c r="B2032" i="6"/>
  <c r="B2033" i="6"/>
  <c r="B2034" i="6"/>
  <c r="B2035" i="6"/>
  <c r="K2035" i="6" s="1"/>
  <c r="B2036" i="6"/>
  <c r="B2037" i="6"/>
  <c r="B2038" i="6"/>
  <c r="B2039" i="6"/>
  <c r="K2039" i="6" s="1"/>
  <c r="B2040" i="6"/>
  <c r="B2041" i="6"/>
  <c r="B2042" i="6"/>
  <c r="B2043" i="6"/>
  <c r="K2043" i="6" s="1"/>
  <c r="B2044" i="6"/>
  <c r="B2045" i="6"/>
  <c r="B2046" i="6"/>
  <c r="B2047" i="6"/>
  <c r="K2047" i="6" s="1"/>
  <c r="B2048" i="6"/>
  <c r="B2049" i="6"/>
  <c r="B2050" i="6"/>
  <c r="B2051" i="6"/>
  <c r="K2051" i="6" s="1"/>
  <c r="B2052" i="6"/>
  <c r="B2053" i="6"/>
  <c r="B2054" i="6"/>
  <c r="B2055" i="6"/>
  <c r="K2055" i="6" s="1"/>
  <c r="B2056" i="6"/>
  <c r="B2057" i="6"/>
  <c r="B2058" i="6"/>
  <c r="B2059" i="6"/>
  <c r="K2059" i="6" s="1"/>
  <c r="B2060" i="6"/>
  <c r="B2061" i="6"/>
  <c r="B2062" i="6"/>
  <c r="B2063" i="6"/>
  <c r="K2063" i="6" s="1"/>
  <c r="B2064" i="6"/>
  <c r="B2065" i="6"/>
  <c r="B2066" i="6"/>
  <c r="B2067" i="6"/>
  <c r="K2067" i="6" s="1"/>
  <c r="B2068" i="6"/>
  <c r="B2069" i="6"/>
  <c r="B2070" i="6"/>
  <c r="B2071" i="6"/>
  <c r="K2071" i="6" s="1"/>
  <c r="B2072" i="6"/>
  <c r="B2073" i="6"/>
  <c r="B2074" i="6"/>
  <c r="B2075" i="6"/>
  <c r="K2075" i="6" s="1"/>
  <c r="B2076" i="6"/>
  <c r="B2077" i="6"/>
  <c r="B2078" i="6"/>
  <c r="B2079" i="6"/>
  <c r="K2079" i="6" s="1"/>
  <c r="B2080" i="6"/>
  <c r="B2081" i="6"/>
  <c r="B2082" i="6"/>
  <c r="B2083" i="6"/>
  <c r="K2083" i="6" s="1"/>
  <c r="B2084" i="6"/>
  <c r="B2085" i="6"/>
  <c r="B2086" i="6"/>
  <c r="B2087" i="6"/>
  <c r="K2087" i="6" s="1"/>
  <c r="B2088" i="6"/>
  <c r="B2089" i="6"/>
  <c r="B2090" i="6"/>
  <c r="B2091" i="6"/>
  <c r="K2091" i="6" s="1"/>
  <c r="B2092" i="6"/>
  <c r="B2093" i="6"/>
  <c r="B2094" i="6"/>
  <c r="B2095" i="6"/>
  <c r="K2095" i="6" s="1"/>
  <c r="B2096" i="6"/>
  <c r="B2097" i="6"/>
  <c r="B2098" i="6"/>
  <c r="B2099" i="6"/>
  <c r="K2099" i="6" s="1"/>
  <c r="B2100" i="6"/>
  <c r="B2101" i="6"/>
  <c r="B2102" i="6"/>
  <c r="B2103" i="6"/>
  <c r="K2103" i="6" s="1"/>
  <c r="B2104" i="6"/>
  <c r="B2105" i="6"/>
  <c r="B2106" i="6"/>
  <c r="B2107" i="6"/>
  <c r="K2107" i="6" s="1"/>
  <c r="B2108" i="6"/>
  <c r="B2109" i="6"/>
  <c r="B2110" i="6"/>
  <c r="B2111" i="6"/>
  <c r="K2111" i="6" s="1"/>
  <c r="B2112" i="6"/>
  <c r="B2113" i="6"/>
  <c r="B2114" i="6"/>
  <c r="B2115" i="6"/>
  <c r="K2115" i="6" s="1"/>
  <c r="B2116" i="6"/>
  <c r="B2117" i="6"/>
  <c r="B2118" i="6"/>
  <c r="B2119" i="6"/>
  <c r="K2119" i="6" s="1"/>
  <c r="B2120" i="6"/>
  <c r="B2121" i="6"/>
  <c r="B2122" i="6"/>
  <c r="B2123" i="6"/>
  <c r="K2123" i="6" s="1"/>
  <c r="B2124" i="6"/>
  <c r="B2125" i="6"/>
  <c r="B2126" i="6"/>
  <c r="B2127" i="6"/>
  <c r="K2127" i="6" s="1"/>
  <c r="B2128" i="6"/>
  <c r="B2129" i="6"/>
  <c r="B2130" i="6"/>
  <c r="B2131" i="6"/>
  <c r="K2131" i="6" s="1"/>
  <c r="B2132" i="6"/>
  <c r="B2133" i="6"/>
  <c r="B2134" i="6"/>
  <c r="B2135" i="6"/>
  <c r="K2135" i="6" s="1"/>
  <c r="B2136" i="6"/>
  <c r="B2137" i="6"/>
  <c r="B2138" i="6"/>
  <c r="B2139" i="6"/>
  <c r="K2139" i="6" s="1"/>
  <c r="B2140" i="6"/>
  <c r="B2141" i="6"/>
  <c r="B2142" i="6"/>
  <c r="B2143" i="6"/>
  <c r="K2143" i="6" s="1"/>
  <c r="B2144" i="6"/>
  <c r="B2145" i="6"/>
  <c r="B2146" i="6"/>
  <c r="B2147" i="6"/>
  <c r="K2147" i="6" s="1"/>
  <c r="B2148" i="6"/>
  <c r="B2149" i="6"/>
  <c r="B2150" i="6"/>
  <c r="B2151" i="6"/>
  <c r="K2151" i="6" s="1"/>
  <c r="B2152" i="6"/>
  <c r="B2153" i="6"/>
  <c r="B2154" i="6"/>
  <c r="B2155" i="6"/>
  <c r="K2155" i="6" s="1"/>
  <c r="B2156" i="6"/>
  <c r="B2157" i="6"/>
  <c r="B2158" i="6"/>
  <c r="B2159" i="6"/>
  <c r="K2159" i="6" s="1"/>
  <c r="B2160" i="6"/>
  <c r="B2161" i="6"/>
  <c r="B2162" i="6"/>
  <c r="B2163" i="6"/>
  <c r="K2163" i="6" s="1"/>
  <c r="B2164" i="6"/>
  <c r="B2165" i="6"/>
  <c r="B2166" i="6"/>
  <c r="B2167" i="6"/>
  <c r="K2167" i="6" s="1"/>
  <c r="B2168" i="6"/>
  <c r="B2169" i="6"/>
  <c r="B2170" i="6"/>
  <c r="B2171" i="6"/>
  <c r="K2171" i="6" s="1"/>
  <c r="B2172" i="6"/>
  <c r="B2173" i="6"/>
  <c r="B2174" i="6"/>
  <c r="B2175" i="6"/>
  <c r="K2175" i="6" s="1"/>
  <c r="B2176" i="6"/>
  <c r="B2177" i="6"/>
  <c r="B2178" i="6"/>
  <c r="B2179" i="6"/>
  <c r="K2179" i="6" s="1"/>
  <c r="B2180" i="6"/>
  <c r="B2181" i="6"/>
  <c r="B2182" i="6"/>
  <c r="B2183" i="6"/>
  <c r="K2183" i="6" s="1"/>
  <c r="B2184" i="6"/>
  <c r="B2185" i="6"/>
  <c r="B2186" i="6"/>
  <c r="B2187" i="6"/>
  <c r="K2187" i="6" s="1"/>
  <c r="B2188" i="6"/>
  <c r="B2189" i="6"/>
  <c r="B2190" i="6"/>
  <c r="B2191" i="6"/>
  <c r="K2191" i="6" s="1"/>
  <c r="B2192" i="6"/>
  <c r="B2193" i="6"/>
  <c r="B2194" i="6"/>
  <c r="B2195" i="6"/>
  <c r="K2195" i="6" s="1"/>
  <c r="B2196" i="6"/>
  <c r="B2197" i="6"/>
  <c r="B2198" i="6"/>
  <c r="B2199" i="6"/>
  <c r="K2199" i="6" s="1"/>
  <c r="B2200" i="6"/>
  <c r="B2201" i="6"/>
  <c r="B2202" i="6"/>
  <c r="B2203" i="6"/>
  <c r="K2203" i="6" s="1"/>
  <c r="B2204" i="6"/>
  <c r="B2205" i="6"/>
  <c r="B2206" i="6"/>
  <c r="B2207" i="6"/>
  <c r="K2207" i="6" s="1"/>
  <c r="B2208" i="6"/>
  <c r="B2209" i="6"/>
  <c r="B2210" i="6"/>
  <c r="B2211" i="6"/>
  <c r="K2211" i="6" s="1"/>
  <c r="B2212" i="6"/>
  <c r="B2213" i="6"/>
  <c r="B2214" i="6"/>
  <c r="B2215" i="6"/>
  <c r="K2215" i="6" s="1"/>
  <c r="B2216" i="6"/>
  <c r="B2217" i="6"/>
  <c r="B2218" i="6"/>
  <c r="B2219" i="6"/>
  <c r="K2219" i="6" s="1"/>
  <c r="B2220" i="6"/>
  <c r="B2221" i="6"/>
  <c r="B2222" i="6"/>
  <c r="B2223" i="6"/>
  <c r="K2223" i="6" s="1"/>
  <c r="B2224" i="6"/>
  <c r="B2225" i="6"/>
  <c r="B2226" i="6"/>
  <c r="B2227" i="6"/>
  <c r="K2227" i="6" s="1"/>
  <c r="B2228" i="6"/>
  <c r="B2229" i="6"/>
  <c r="B2230" i="6"/>
  <c r="B2231" i="6"/>
  <c r="K2231" i="6" s="1"/>
  <c r="B2232" i="6"/>
  <c r="B2233" i="6"/>
  <c r="B2234" i="6"/>
  <c r="B2235" i="6"/>
  <c r="K2235" i="6" s="1"/>
  <c r="B2236" i="6"/>
  <c r="B2237" i="6"/>
  <c r="B2238" i="6"/>
  <c r="B2239" i="6"/>
  <c r="K2239" i="6" s="1"/>
  <c r="B2240" i="6"/>
  <c r="B2241" i="6"/>
  <c r="B2242" i="6"/>
  <c r="B2243" i="6"/>
  <c r="K2243" i="6" s="1"/>
  <c r="B2244" i="6"/>
  <c r="B2245" i="6"/>
  <c r="B2246" i="6"/>
  <c r="B2247" i="6"/>
  <c r="K2247" i="6" s="1"/>
  <c r="B2248" i="6"/>
  <c r="B2249" i="6"/>
  <c r="B2250" i="6"/>
  <c r="B2251" i="6"/>
  <c r="K2251" i="6" s="1"/>
  <c r="B2252" i="6"/>
  <c r="B2253" i="6"/>
  <c r="B2254" i="6"/>
  <c r="B2255" i="6"/>
  <c r="K2255" i="6" s="1"/>
  <c r="B2256" i="6"/>
  <c r="B2257" i="6"/>
  <c r="B2258" i="6"/>
  <c r="B2259" i="6"/>
  <c r="K2259" i="6" s="1"/>
  <c r="B2260" i="6"/>
  <c r="B2261" i="6"/>
  <c r="B2262" i="6"/>
  <c r="B2263" i="6"/>
  <c r="K2263" i="6" s="1"/>
  <c r="B2264" i="6"/>
  <c r="B2265" i="6"/>
  <c r="B2266" i="6"/>
  <c r="B2267" i="6"/>
  <c r="K2267" i="6" s="1"/>
  <c r="B2268" i="6"/>
  <c r="B2269" i="6"/>
  <c r="B2270" i="6"/>
  <c r="B2271" i="6"/>
  <c r="K2271" i="6" s="1"/>
  <c r="B2272" i="6"/>
  <c r="B2273" i="6"/>
  <c r="B2274" i="6"/>
  <c r="B2275" i="6"/>
  <c r="K2275" i="6" s="1"/>
  <c r="B2276" i="6"/>
  <c r="B2277" i="6"/>
  <c r="B2278" i="6"/>
  <c r="B2279" i="6"/>
  <c r="K2279" i="6" s="1"/>
  <c r="B2280" i="6"/>
  <c r="B2281" i="6"/>
  <c r="B2282" i="6"/>
  <c r="B2283" i="6"/>
  <c r="K2283" i="6" s="1"/>
  <c r="B2284" i="6"/>
  <c r="B2285" i="6"/>
  <c r="B2286" i="6"/>
  <c r="B2287" i="6"/>
  <c r="K2287" i="6" s="1"/>
  <c r="B2288" i="6"/>
  <c r="B2289" i="6"/>
  <c r="B2290" i="6"/>
  <c r="B2291" i="6"/>
  <c r="K2291" i="6" s="1"/>
  <c r="B2292" i="6"/>
  <c r="B2293" i="6"/>
  <c r="B2294" i="6"/>
  <c r="B2295" i="6"/>
  <c r="K2295" i="6" s="1"/>
  <c r="B2296" i="6"/>
  <c r="B2297" i="6"/>
  <c r="B2298" i="6"/>
  <c r="B2299" i="6"/>
  <c r="K2299" i="6" s="1"/>
  <c r="B2300" i="6"/>
  <c r="B2301" i="6"/>
  <c r="B2302" i="6"/>
  <c r="B2303" i="6"/>
  <c r="K2303" i="6" s="1"/>
  <c r="B2304" i="6"/>
  <c r="B2305" i="6"/>
  <c r="B2306" i="6"/>
  <c r="B2307" i="6"/>
  <c r="K2307" i="6" s="1"/>
  <c r="B2308" i="6"/>
  <c r="B2309" i="6"/>
  <c r="B2310" i="6"/>
  <c r="B2311" i="6"/>
  <c r="K2311" i="6" s="1"/>
  <c r="B2312" i="6"/>
  <c r="B2313" i="6"/>
  <c r="B2314" i="6"/>
  <c r="B2315" i="6"/>
  <c r="K2315" i="6" s="1"/>
  <c r="B2316" i="6"/>
  <c r="B2317" i="6"/>
  <c r="B2318" i="6"/>
  <c r="B2319" i="6"/>
  <c r="B2320" i="6"/>
  <c r="B2321" i="6"/>
  <c r="B2322" i="6"/>
  <c r="B2323" i="6"/>
  <c r="K2323" i="6" s="1"/>
  <c r="B2324" i="6"/>
  <c r="B2325" i="6"/>
  <c r="B2326" i="6"/>
  <c r="B2327" i="6"/>
  <c r="B2328" i="6"/>
  <c r="B2329" i="6"/>
  <c r="B2330" i="6"/>
  <c r="B2331" i="6"/>
  <c r="K2331" i="6" s="1"/>
  <c r="B2332" i="6"/>
  <c r="B2333" i="6"/>
  <c r="B2334" i="6"/>
  <c r="B2335" i="6"/>
  <c r="K2335" i="6" s="1"/>
  <c r="B2336" i="6"/>
  <c r="B2337" i="6"/>
  <c r="B2338" i="6"/>
  <c r="B2339" i="6"/>
  <c r="K2339" i="6" s="1"/>
  <c r="B2340" i="6"/>
  <c r="B2341" i="6"/>
  <c r="B2342" i="6"/>
  <c r="B2343" i="6"/>
  <c r="K2343" i="6" s="1"/>
  <c r="B2344" i="6"/>
  <c r="B2345" i="6"/>
  <c r="B2346" i="6"/>
  <c r="B2347" i="6"/>
  <c r="B2348" i="6"/>
  <c r="B2349" i="6"/>
  <c r="B2350" i="6"/>
  <c r="B2351" i="6"/>
  <c r="K2351" i="6" s="1"/>
  <c r="B2352" i="6"/>
  <c r="B2353" i="6"/>
  <c r="B2354" i="6"/>
  <c r="B2355" i="6"/>
  <c r="B2356" i="6"/>
  <c r="B2357" i="6"/>
  <c r="B2358" i="6"/>
  <c r="B2359" i="6"/>
  <c r="K2359" i="6" s="1"/>
  <c r="B2360" i="6"/>
  <c r="B2361" i="6"/>
  <c r="B2362" i="6"/>
  <c r="B2363" i="6"/>
  <c r="K2363" i="6" s="1"/>
  <c r="B2364" i="6"/>
  <c r="B2365" i="6"/>
  <c r="B2366" i="6"/>
  <c r="B2367" i="6"/>
  <c r="K2367" i="6" s="1"/>
  <c r="B2368" i="6"/>
  <c r="B2369" i="6"/>
  <c r="B2370" i="6"/>
  <c r="B2371" i="6"/>
  <c r="K2371" i="6" s="1"/>
  <c r="B2372" i="6"/>
  <c r="B2373" i="6"/>
  <c r="B2374" i="6"/>
  <c r="B2375" i="6"/>
  <c r="K2375" i="6" s="1"/>
  <c r="B2376" i="6"/>
  <c r="B2377" i="6"/>
  <c r="B2378" i="6"/>
  <c r="B2379" i="6"/>
  <c r="K2379" i="6" s="1"/>
  <c r="B2380" i="6"/>
  <c r="B2381" i="6"/>
  <c r="B2382" i="6"/>
  <c r="B2383" i="6"/>
  <c r="K2383" i="6" s="1"/>
  <c r="B2384" i="6"/>
  <c r="B2385" i="6"/>
  <c r="B2386" i="6"/>
  <c r="B2387" i="6"/>
  <c r="K2387" i="6" s="1"/>
  <c r="B2388" i="6"/>
  <c r="B2389" i="6"/>
  <c r="B2390" i="6"/>
  <c r="B2391" i="6"/>
  <c r="K2391" i="6" s="1"/>
  <c r="B2392" i="6"/>
  <c r="B2393" i="6"/>
  <c r="B2394" i="6"/>
  <c r="B2395" i="6"/>
  <c r="K2395" i="6" s="1"/>
  <c r="B2396" i="6"/>
  <c r="B2397" i="6"/>
  <c r="B2398" i="6"/>
  <c r="B2399" i="6"/>
  <c r="K2399" i="6" s="1"/>
  <c r="B2400" i="6"/>
  <c r="B2401" i="6"/>
  <c r="B2402" i="6"/>
  <c r="B2403" i="6"/>
  <c r="K2403" i="6" s="1"/>
  <c r="B2404" i="6"/>
  <c r="B2405" i="6"/>
  <c r="B2406" i="6"/>
  <c r="B2407" i="6"/>
  <c r="K2407" i="6" s="1"/>
  <c r="B2408" i="6"/>
  <c r="B2409" i="6"/>
  <c r="B2410" i="6"/>
  <c r="B2411" i="6"/>
  <c r="K2411" i="6" s="1"/>
  <c r="B2412" i="6"/>
  <c r="B2413" i="6"/>
  <c r="B2414" i="6"/>
  <c r="B2415" i="6"/>
  <c r="K2415" i="6" s="1"/>
  <c r="B2416" i="6"/>
  <c r="B2417" i="6"/>
  <c r="B2418" i="6"/>
  <c r="B2419" i="6"/>
  <c r="K2419" i="6" s="1"/>
  <c r="B2420" i="6"/>
  <c r="B2421" i="6"/>
  <c r="B2422" i="6"/>
  <c r="B2423" i="6"/>
  <c r="K2423" i="6" s="1"/>
  <c r="B2424" i="6"/>
  <c r="B2425" i="6"/>
  <c r="B2426" i="6"/>
  <c r="B2427" i="6"/>
  <c r="K2427" i="6" s="1"/>
  <c r="B2428" i="6"/>
  <c r="B2429" i="6"/>
  <c r="B2430" i="6"/>
  <c r="B2431" i="6"/>
  <c r="K2431" i="6" s="1"/>
  <c r="B2432" i="6"/>
  <c r="B2433" i="6"/>
  <c r="B2434" i="6"/>
  <c r="B2435" i="6"/>
  <c r="K2435" i="6" s="1"/>
  <c r="B2436" i="6"/>
  <c r="B2437" i="6"/>
  <c r="B2438" i="6"/>
  <c r="B2439" i="6"/>
  <c r="K2439" i="6" s="1"/>
  <c r="B2440" i="6"/>
  <c r="B2441" i="6"/>
  <c r="B2442" i="6"/>
  <c r="B2443" i="6"/>
  <c r="K2443" i="6" s="1"/>
  <c r="B2444" i="6"/>
  <c r="B2445" i="6"/>
  <c r="B2446" i="6"/>
  <c r="B2447" i="6"/>
  <c r="K2447" i="6" s="1"/>
  <c r="B2448" i="6"/>
  <c r="B2449" i="6"/>
  <c r="B2450" i="6"/>
  <c r="B2451" i="6"/>
  <c r="K2451" i="6" s="1"/>
  <c r="B2452" i="6"/>
  <c r="B2453" i="6"/>
  <c r="B2454" i="6"/>
  <c r="B2455" i="6"/>
  <c r="K2455" i="6" s="1"/>
  <c r="B2456" i="6"/>
  <c r="B2457" i="6"/>
  <c r="B2458" i="6"/>
  <c r="B2459" i="6"/>
  <c r="K2459" i="6" s="1"/>
  <c r="B2460" i="6"/>
  <c r="B2461" i="6"/>
  <c r="B2462" i="6"/>
  <c r="B2463" i="6"/>
  <c r="K2463" i="6" s="1"/>
  <c r="B2464" i="6"/>
  <c r="B2465" i="6"/>
  <c r="B2466" i="6"/>
  <c r="B2467" i="6"/>
  <c r="K2467" i="6" s="1"/>
  <c r="B2468" i="6"/>
  <c r="B2469" i="6"/>
  <c r="B2470" i="6"/>
  <c r="B2471" i="6"/>
  <c r="K2471" i="6" s="1"/>
  <c r="B2472" i="6"/>
  <c r="B2473" i="6"/>
  <c r="B2474" i="6"/>
  <c r="B2475" i="6"/>
  <c r="K2475" i="6" s="1"/>
  <c r="B2476" i="6"/>
  <c r="B2477" i="6"/>
  <c r="B2478" i="6"/>
  <c r="B2479" i="6"/>
  <c r="K2479" i="6" s="1"/>
  <c r="B2480" i="6"/>
  <c r="B2481" i="6"/>
  <c r="B2482" i="6"/>
  <c r="B2483" i="6"/>
  <c r="K2483" i="6" s="1"/>
  <c r="B2484" i="6"/>
  <c r="B2485" i="6"/>
  <c r="B2486" i="6"/>
  <c r="B2487" i="6"/>
  <c r="K2487" i="6" s="1"/>
  <c r="B2488" i="6"/>
  <c r="B2489" i="6"/>
  <c r="B2490" i="6"/>
  <c r="B2491" i="6"/>
  <c r="K2491" i="6" s="1"/>
  <c r="B2492" i="6"/>
  <c r="B2493" i="6"/>
  <c r="B2494" i="6"/>
  <c r="B2495" i="6"/>
  <c r="K2495" i="6" s="1"/>
  <c r="B2496" i="6"/>
  <c r="B2497" i="6"/>
  <c r="B2498" i="6"/>
  <c r="B2499" i="6"/>
  <c r="K2499" i="6" s="1"/>
  <c r="B2500" i="6"/>
  <c r="B2501" i="6"/>
  <c r="B2502" i="6"/>
  <c r="B2503" i="6"/>
  <c r="K2503" i="6" s="1"/>
  <c r="B2504" i="6"/>
  <c r="B2505" i="6"/>
  <c r="B2506" i="6"/>
  <c r="B2507" i="6"/>
  <c r="K2507" i="6" s="1"/>
  <c r="B2508" i="6"/>
  <c r="B2509" i="6"/>
  <c r="B2510" i="6"/>
  <c r="B2511" i="6"/>
  <c r="K2511" i="6" s="1"/>
  <c r="B2512" i="6"/>
  <c r="B2513" i="6"/>
  <c r="B2514" i="6"/>
  <c r="B2515" i="6"/>
  <c r="K2515" i="6" s="1"/>
  <c r="B2516" i="6"/>
  <c r="B2517" i="6"/>
  <c r="B2518" i="6"/>
  <c r="B2519" i="6"/>
  <c r="K2519" i="6" s="1"/>
  <c r="B2520" i="6"/>
  <c r="B2521" i="6"/>
  <c r="B2522" i="6"/>
  <c r="B2523" i="6"/>
  <c r="K2523" i="6" s="1"/>
  <c r="B2524" i="6"/>
  <c r="B2525" i="6"/>
  <c r="B2526" i="6"/>
  <c r="B2527" i="6"/>
  <c r="K2527" i="6" s="1"/>
  <c r="B2528" i="6"/>
  <c r="B2529" i="6"/>
  <c r="B2530" i="6"/>
  <c r="B2531" i="6"/>
  <c r="K2531" i="6" s="1"/>
  <c r="B2532" i="6"/>
  <c r="B2533" i="6"/>
  <c r="B2534" i="6"/>
  <c r="B2535" i="6"/>
  <c r="K2535" i="6" s="1"/>
  <c r="B2536" i="6"/>
  <c r="B2537" i="6"/>
  <c r="B2538" i="6"/>
  <c r="B2539" i="6"/>
  <c r="K2539" i="6" s="1"/>
  <c r="B2540" i="6"/>
  <c r="B2541" i="6"/>
  <c r="B2542" i="6"/>
  <c r="B2543" i="6"/>
  <c r="K2543" i="6" s="1"/>
  <c r="B2544" i="6"/>
  <c r="B2545" i="6"/>
  <c r="B2546" i="6"/>
  <c r="B2547" i="6"/>
  <c r="K2547" i="6" s="1"/>
  <c r="B2548" i="6"/>
  <c r="B2549" i="6"/>
  <c r="B2550" i="6"/>
  <c r="B2551" i="6"/>
  <c r="K2551" i="6" s="1"/>
  <c r="B2552" i="6"/>
  <c r="B2553" i="6"/>
  <c r="B2554" i="6"/>
  <c r="B2555" i="6"/>
  <c r="K2555" i="6" s="1"/>
  <c r="B2556" i="6"/>
  <c r="B2557" i="6"/>
  <c r="B2558" i="6"/>
  <c r="B2559" i="6"/>
  <c r="K2559" i="6" s="1"/>
  <c r="B2560" i="6"/>
  <c r="B2561" i="6"/>
  <c r="B2562" i="6"/>
  <c r="B2563" i="6"/>
  <c r="K2563" i="6" s="1"/>
  <c r="B2564" i="6"/>
  <c r="B2565" i="6"/>
  <c r="B2566" i="6"/>
  <c r="B2567" i="6"/>
  <c r="K2567" i="6" s="1"/>
  <c r="B2568" i="6"/>
  <c r="B2569" i="6"/>
  <c r="B2570" i="6"/>
  <c r="B2571" i="6"/>
  <c r="K2571" i="6" s="1"/>
  <c r="B2572" i="6"/>
  <c r="B2573" i="6"/>
  <c r="B2574" i="6"/>
  <c r="B2575" i="6"/>
  <c r="K2575" i="6" s="1"/>
  <c r="B2576" i="6"/>
  <c r="B2577" i="6"/>
  <c r="B2578" i="6"/>
  <c r="B2579" i="6"/>
  <c r="K2579" i="6" s="1"/>
  <c r="B2580" i="6"/>
  <c r="B2581" i="6"/>
  <c r="B2582" i="6"/>
  <c r="B2583" i="6"/>
  <c r="K2583" i="6" s="1"/>
  <c r="B2584" i="6"/>
  <c r="B2585" i="6"/>
  <c r="B2586" i="6"/>
  <c r="B2587" i="6"/>
  <c r="K2587" i="6" s="1"/>
  <c r="B2588" i="6"/>
  <c r="B2589" i="6"/>
  <c r="B2590" i="6"/>
  <c r="B2591" i="6"/>
  <c r="K2591" i="6" s="1"/>
  <c r="B2592" i="6"/>
  <c r="B2593" i="6"/>
  <c r="B2594" i="6"/>
  <c r="B2595" i="6"/>
  <c r="K2595" i="6" s="1"/>
  <c r="B2596" i="6"/>
  <c r="B2597" i="6"/>
  <c r="B2598" i="6"/>
  <c r="B2599" i="6"/>
  <c r="K2599" i="6" s="1"/>
  <c r="B2600" i="6"/>
  <c r="B2601" i="6"/>
  <c r="B2602" i="6"/>
  <c r="B2603" i="6"/>
  <c r="K2603" i="6" s="1"/>
  <c r="B2604" i="6"/>
  <c r="B2605" i="6"/>
  <c r="B2606" i="6"/>
  <c r="B2607" i="6"/>
  <c r="K2607" i="6" s="1"/>
  <c r="B2608" i="6"/>
  <c r="B2609" i="6"/>
  <c r="B2610" i="6"/>
  <c r="B2611" i="6"/>
  <c r="K2611" i="6" s="1"/>
  <c r="B2612" i="6"/>
  <c r="B2613" i="6"/>
  <c r="B2614" i="6"/>
  <c r="B2615" i="6"/>
  <c r="K2615" i="6" s="1"/>
  <c r="B2616" i="6"/>
  <c r="B2617" i="6"/>
  <c r="B2618" i="6"/>
  <c r="B2619" i="6"/>
  <c r="K2619" i="6" s="1"/>
  <c r="B2620" i="6"/>
  <c r="B2621" i="6"/>
  <c r="B2622" i="6"/>
  <c r="B2623" i="6"/>
  <c r="K2623" i="6" s="1"/>
  <c r="B2624" i="6"/>
  <c r="B2625" i="6"/>
  <c r="B2626" i="6"/>
  <c r="B2627" i="6"/>
  <c r="K2627" i="6" s="1"/>
  <c r="B2628" i="6"/>
  <c r="B2629" i="6"/>
  <c r="B2630" i="6"/>
  <c r="B2631" i="6"/>
  <c r="K2631" i="6" s="1"/>
  <c r="B2632" i="6"/>
  <c r="B2633" i="6"/>
  <c r="B2634" i="6"/>
  <c r="B2635" i="6"/>
  <c r="K2635" i="6" s="1"/>
  <c r="B2636" i="6"/>
  <c r="B2637" i="6"/>
  <c r="B2638" i="6"/>
  <c r="B2639" i="6"/>
  <c r="K2639" i="6" s="1"/>
  <c r="B2640" i="6"/>
  <c r="B2641" i="6"/>
  <c r="B2642" i="6"/>
  <c r="B2643" i="6"/>
  <c r="K2643" i="6" s="1"/>
  <c r="B2644" i="6"/>
  <c r="B2645" i="6"/>
  <c r="B2646" i="6"/>
  <c r="B2647" i="6"/>
  <c r="K2647" i="6" s="1"/>
  <c r="B2648" i="6"/>
  <c r="B2649" i="6"/>
  <c r="B2650" i="6"/>
  <c r="B2651" i="6"/>
  <c r="K2651" i="6" s="1"/>
  <c r="B2652" i="6"/>
  <c r="B2653" i="6"/>
  <c r="B2654" i="6"/>
  <c r="B2655" i="6"/>
  <c r="K2655" i="6" s="1"/>
  <c r="B2656" i="6"/>
  <c r="B2657" i="6"/>
  <c r="B2658" i="6"/>
  <c r="B2659" i="6"/>
  <c r="K2659" i="6" s="1"/>
  <c r="B2660" i="6"/>
  <c r="B2661" i="6"/>
  <c r="B2662" i="6"/>
  <c r="B2663" i="6"/>
  <c r="K2663" i="6" s="1"/>
  <c r="B2664" i="6"/>
  <c r="B2665" i="6"/>
  <c r="B2666" i="6"/>
  <c r="B2667" i="6"/>
  <c r="K2667" i="6" s="1"/>
  <c r="B2668" i="6"/>
  <c r="B2669" i="6"/>
  <c r="B2670" i="6"/>
  <c r="B2671" i="6"/>
  <c r="K2671" i="6" s="1"/>
  <c r="B2672" i="6"/>
  <c r="B2673" i="6"/>
  <c r="B2674" i="6"/>
  <c r="B2675" i="6"/>
  <c r="K2675" i="6" s="1"/>
  <c r="B2676" i="6"/>
  <c r="B2677" i="6"/>
  <c r="B2678" i="6"/>
  <c r="B2679" i="6"/>
  <c r="K2679" i="6" s="1"/>
  <c r="B2680" i="6"/>
  <c r="B2681" i="6"/>
  <c r="B2682" i="6"/>
  <c r="B2683" i="6"/>
  <c r="K2683" i="6" s="1"/>
  <c r="B2684" i="6"/>
  <c r="B2685" i="6"/>
  <c r="B2686" i="6"/>
  <c r="B2687" i="6"/>
  <c r="K2687" i="6" s="1"/>
  <c r="B2688" i="6"/>
  <c r="B2689" i="6"/>
  <c r="B2690" i="6"/>
  <c r="B2691" i="6"/>
  <c r="K2691" i="6" s="1"/>
  <c r="B2692" i="6"/>
  <c r="B2693" i="6"/>
  <c r="B2694" i="6"/>
  <c r="B2695" i="6"/>
  <c r="K2695" i="6" s="1"/>
  <c r="B2696" i="6"/>
  <c r="B2697" i="6"/>
  <c r="B2698" i="6"/>
  <c r="B2699" i="6"/>
  <c r="K2699" i="6" s="1"/>
  <c r="B2700" i="6"/>
  <c r="B2701" i="6"/>
  <c r="B2702" i="6"/>
  <c r="B2703" i="6"/>
  <c r="K2703" i="6" s="1"/>
  <c r="B2704" i="6"/>
  <c r="B2705" i="6"/>
  <c r="B2706" i="6"/>
  <c r="B2707" i="6"/>
  <c r="K2707" i="6" s="1"/>
  <c r="B2708" i="6"/>
  <c r="B2709" i="6"/>
  <c r="B2710" i="6"/>
  <c r="B2711" i="6"/>
  <c r="K2711" i="6" s="1"/>
  <c r="B2712" i="6"/>
  <c r="B2713" i="6"/>
  <c r="B2714" i="6"/>
  <c r="B2715" i="6"/>
  <c r="K2715" i="6" s="1"/>
  <c r="B2716" i="6"/>
  <c r="B2717" i="6"/>
  <c r="B2718" i="6"/>
  <c r="B2719" i="6"/>
  <c r="K2719" i="6" s="1"/>
  <c r="B2720" i="6"/>
  <c r="B2721" i="6"/>
  <c r="B2722" i="6"/>
  <c r="B2723" i="6"/>
  <c r="K2723" i="6" s="1"/>
  <c r="B2724" i="6"/>
  <c r="B2725" i="6"/>
  <c r="B2726" i="6"/>
  <c r="B2727" i="6"/>
  <c r="K2727" i="6" s="1"/>
  <c r="B2728" i="6"/>
  <c r="B2729" i="6"/>
  <c r="B2730" i="6"/>
  <c r="B2731" i="6"/>
  <c r="K2731" i="6" s="1"/>
  <c r="B2732" i="6"/>
  <c r="B2733" i="6"/>
  <c r="B2734" i="6"/>
  <c r="B2735" i="6"/>
  <c r="K2735" i="6" s="1"/>
  <c r="B2736" i="6"/>
  <c r="B2737" i="6"/>
  <c r="B2738" i="6"/>
  <c r="B2739" i="6"/>
  <c r="K2739" i="6" s="1"/>
  <c r="B2740" i="6"/>
  <c r="B2741" i="6"/>
  <c r="B2742" i="6"/>
  <c r="B2743" i="6"/>
  <c r="K2743" i="6" s="1"/>
  <c r="B2744" i="6"/>
  <c r="B2745" i="6"/>
  <c r="B2746" i="6"/>
  <c r="B2747" i="6"/>
  <c r="K2747" i="6" s="1"/>
  <c r="B2748" i="6"/>
  <c r="B2749" i="6"/>
  <c r="B2750" i="6"/>
  <c r="B2751" i="6"/>
  <c r="K2751" i="6" s="1"/>
  <c r="B2752" i="6"/>
  <c r="B2753" i="6"/>
  <c r="B2754" i="6"/>
  <c r="B2755" i="6"/>
  <c r="K2755" i="6" s="1"/>
  <c r="B2756" i="6"/>
  <c r="B2757" i="6"/>
  <c r="B2758" i="6"/>
  <c r="B2759" i="6"/>
  <c r="K2759" i="6" s="1"/>
  <c r="B2760" i="6"/>
  <c r="B2761" i="6"/>
  <c r="B2762" i="6"/>
  <c r="B2763" i="6"/>
  <c r="K2763" i="6" s="1"/>
  <c r="B2764" i="6"/>
  <c r="B2765" i="6"/>
  <c r="B2766" i="6"/>
  <c r="B2767" i="6"/>
  <c r="K2767" i="6" s="1"/>
  <c r="B2768" i="6"/>
  <c r="B2769" i="6"/>
  <c r="B2770" i="6"/>
  <c r="B2771" i="6"/>
  <c r="K2771" i="6" s="1"/>
  <c r="B2772" i="6"/>
  <c r="B2773" i="6"/>
  <c r="B2774" i="6"/>
  <c r="B2775" i="6"/>
  <c r="K2775" i="6" s="1"/>
  <c r="B2776" i="6"/>
  <c r="B2777" i="6"/>
  <c r="B2778" i="6"/>
  <c r="B2779" i="6"/>
  <c r="K2779" i="6" s="1"/>
  <c r="B2780" i="6"/>
  <c r="B2781" i="6"/>
  <c r="B2782" i="6"/>
  <c r="B2783" i="6"/>
  <c r="K2783" i="6" s="1"/>
  <c r="B2784" i="6"/>
  <c r="B2785" i="6"/>
  <c r="B2786" i="6"/>
  <c r="B2787" i="6"/>
  <c r="K2787" i="6" s="1"/>
  <c r="B2788" i="6"/>
  <c r="B2789" i="6"/>
  <c r="B2790" i="6"/>
  <c r="B2791" i="6"/>
  <c r="K2791" i="6" s="1"/>
  <c r="B2792" i="6"/>
  <c r="B2793" i="6"/>
  <c r="B2794" i="6"/>
  <c r="B2795" i="6"/>
  <c r="K2795" i="6" s="1"/>
  <c r="B2796" i="6"/>
  <c r="B2797" i="6"/>
  <c r="B2798" i="6"/>
  <c r="B2799" i="6"/>
  <c r="K2799" i="6" s="1"/>
  <c r="B2800" i="6"/>
  <c r="B2801" i="6"/>
  <c r="B2802" i="6"/>
  <c r="B2803" i="6"/>
  <c r="K2803" i="6" s="1"/>
  <c r="B2804" i="6"/>
  <c r="B2805" i="6"/>
  <c r="B2806" i="6"/>
  <c r="B2807" i="6"/>
  <c r="K2807" i="6" s="1"/>
  <c r="B2808" i="6"/>
  <c r="B2809" i="6"/>
  <c r="B2810" i="6"/>
  <c r="B2811" i="6"/>
  <c r="K2811" i="6" s="1"/>
  <c r="B2812" i="6"/>
  <c r="B2813" i="6"/>
  <c r="B2814" i="6"/>
  <c r="B2815" i="6"/>
  <c r="K2815" i="6" s="1"/>
  <c r="B2816" i="6"/>
  <c r="B2817" i="6"/>
  <c r="B2818" i="6"/>
  <c r="B2819" i="6"/>
  <c r="K2819" i="6" s="1"/>
  <c r="B2820" i="6"/>
  <c r="B2821" i="6"/>
  <c r="B2822" i="6"/>
  <c r="B2823" i="6"/>
  <c r="K2823" i="6" s="1"/>
  <c r="B2824" i="6"/>
  <c r="B2825" i="6"/>
  <c r="B2826" i="6"/>
  <c r="B2827" i="6"/>
  <c r="K2827" i="6" s="1"/>
  <c r="B2828" i="6"/>
  <c r="B2829" i="6"/>
  <c r="B2830" i="6"/>
  <c r="B2831" i="6"/>
  <c r="K2831" i="6" s="1"/>
  <c r="B2832" i="6"/>
  <c r="B2833" i="6"/>
  <c r="B2834" i="6"/>
  <c r="B2835" i="6"/>
  <c r="K2835" i="6" s="1"/>
  <c r="B2836" i="6"/>
  <c r="B2837" i="6"/>
  <c r="B2838" i="6"/>
  <c r="B2839" i="6"/>
  <c r="K2839" i="6" s="1"/>
  <c r="B2840" i="6"/>
  <c r="B2841" i="6"/>
  <c r="B2842" i="6"/>
  <c r="B2843" i="6"/>
  <c r="K2843" i="6" s="1"/>
  <c r="B2844" i="6"/>
  <c r="B2845" i="6"/>
  <c r="B2846" i="6"/>
  <c r="B2847" i="6"/>
  <c r="K2847" i="6" s="1"/>
  <c r="B2848" i="6"/>
  <c r="B2849" i="6"/>
  <c r="B2850" i="6"/>
  <c r="B2851" i="6"/>
  <c r="K2851" i="6" s="1"/>
  <c r="B2852" i="6"/>
  <c r="B2853" i="6"/>
  <c r="B2854" i="6"/>
  <c r="B2855" i="6"/>
  <c r="K2855" i="6" s="1"/>
  <c r="B2856" i="6"/>
  <c r="B2857" i="6"/>
  <c r="B2858" i="6"/>
  <c r="B2859" i="6"/>
  <c r="K2859" i="6" s="1"/>
  <c r="B2860" i="6"/>
  <c r="B2861" i="6"/>
  <c r="B2862" i="6"/>
  <c r="B2863" i="6"/>
  <c r="K2863" i="6" s="1"/>
  <c r="B2864" i="6"/>
  <c r="B2865" i="6"/>
  <c r="B2866" i="6"/>
  <c r="B2867" i="6"/>
  <c r="K2867" i="6" s="1"/>
  <c r="B2868" i="6"/>
  <c r="B2869" i="6"/>
  <c r="B2870" i="6"/>
  <c r="B2871" i="6"/>
  <c r="K2871" i="6" s="1"/>
  <c r="B2872" i="6"/>
  <c r="B2873" i="6"/>
  <c r="B2874" i="6"/>
  <c r="B2875" i="6"/>
  <c r="K2875" i="6" s="1"/>
  <c r="B2876" i="6"/>
  <c r="B2877" i="6"/>
  <c r="B2878" i="6"/>
  <c r="B2879" i="6"/>
  <c r="K2879" i="6" s="1"/>
  <c r="B2880" i="6"/>
  <c r="B2881" i="6"/>
  <c r="B2882" i="6"/>
  <c r="B2883" i="6"/>
  <c r="K2883" i="6" s="1"/>
  <c r="B2884" i="6"/>
  <c r="B2885" i="6"/>
  <c r="B2886" i="6"/>
  <c r="B2887" i="6"/>
  <c r="K2887" i="6" s="1"/>
  <c r="B2888" i="6"/>
  <c r="B2889" i="6"/>
  <c r="B2890" i="6"/>
  <c r="B2891" i="6"/>
  <c r="K2891" i="6" s="1"/>
  <c r="B2892" i="6"/>
  <c r="B2893" i="6"/>
  <c r="B2894" i="6"/>
  <c r="B2895" i="6"/>
  <c r="K2895" i="6" s="1"/>
  <c r="B2896" i="6"/>
  <c r="B2897" i="6"/>
  <c r="B2898" i="6"/>
  <c r="B2899" i="6"/>
  <c r="K2899" i="6" s="1"/>
  <c r="B2900" i="6"/>
  <c r="B2901" i="6"/>
  <c r="B2902" i="6"/>
  <c r="B2903" i="6"/>
  <c r="K2903" i="6" s="1"/>
  <c r="B2904" i="6"/>
  <c r="B2905" i="6"/>
  <c r="B2906" i="6"/>
  <c r="B2907" i="6"/>
  <c r="K2907" i="6" s="1"/>
  <c r="B2908" i="6"/>
  <c r="B2909" i="6"/>
  <c r="B2910" i="6"/>
  <c r="B2911" i="6"/>
  <c r="K2911" i="6" s="1"/>
  <c r="B2912" i="6"/>
  <c r="B2913" i="6"/>
  <c r="B2914" i="6"/>
  <c r="B2915" i="6"/>
  <c r="K2915" i="6" s="1"/>
  <c r="B2916" i="6"/>
  <c r="B2917" i="6"/>
  <c r="B2918" i="6"/>
  <c r="B2919" i="6"/>
  <c r="K2919" i="6" s="1"/>
  <c r="B2920" i="6"/>
  <c r="B2921" i="6"/>
  <c r="B2922" i="6"/>
  <c r="B2923" i="6"/>
  <c r="K2923" i="6" s="1"/>
  <c r="B2924" i="6"/>
  <c r="B2925" i="6"/>
  <c r="B2926" i="6"/>
  <c r="B2927" i="6"/>
  <c r="K2927" i="6" s="1"/>
  <c r="B2928" i="6"/>
  <c r="B2929" i="6"/>
  <c r="B2930" i="6"/>
  <c r="B2931" i="6"/>
  <c r="K2931" i="6" s="1"/>
  <c r="B2932" i="6"/>
  <c r="B2933" i="6"/>
  <c r="B2934" i="6"/>
  <c r="B2935" i="6"/>
  <c r="K2935" i="6" s="1"/>
  <c r="B2936" i="6"/>
  <c r="B2937" i="6"/>
  <c r="B2938" i="6"/>
  <c r="B2939" i="6"/>
  <c r="K2939" i="6" s="1"/>
  <c r="B2940" i="6"/>
  <c r="B2941" i="6"/>
  <c r="B2942" i="6"/>
  <c r="B2943" i="6"/>
  <c r="K2943" i="6" s="1"/>
  <c r="B2944" i="6"/>
  <c r="B2945" i="6"/>
  <c r="B2946" i="6"/>
  <c r="B2947" i="6"/>
  <c r="K2947" i="6" s="1"/>
  <c r="B2948" i="6"/>
  <c r="B2949" i="6"/>
  <c r="B2950" i="6"/>
  <c r="B2951" i="6"/>
  <c r="K2951" i="6" s="1"/>
  <c r="B2952" i="6"/>
  <c r="B2953" i="6"/>
  <c r="B2954" i="6"/>
  <c r="B2955" i="6"/>
  <c r="K2955" i="6" s="1"/>
  <c r="B2956" i="6"/>
  <c r="B2957" i="6"/>
  <c r="B2958" i="6"/>
  <c r="B2959" i="6"/>
  <c r="K2959" i="6" s="1"/>
  <c r="B2960" i="6"/>
  <c r="B2961" i="6"/>
  <c r="B2962" i="6"/>
  <c r="B2963" i="6"/>
  <c r="K2963" i="6" s="1"/>
  <c r="B2964" i="6"/>
  <c r="B2965" i="6"/>
  <c r="B2966" i="6"/>
  <c r="B2967" i="6"/>
  <c r="K2967" i="6" s="1"/>
  <c r="B2968" i="6"/>
  <c r="B2969" i="6"/>
  <c r="B2970" i="6"/>
  <c r="B2971" i="6"/>
  <c r="K2971" i="6" s="1"/>
  <c r="B2972" i="6"/>
  <c r="B2973" i="6"/>
  <c r="B2974" i="6"/>
  <c r="B2975" i="6"/>
  <c r="K2975" i="6" s="1"/>
  <c r="B2976" i="6"/>
  <c r="B2977" i="6"/>
  <c r="B2978" i="6"/>
  <c r="B2979" i="6"/>
  <c r="K2979" i="6" s="1"/>
  <c r="B2980" i="6"/>
  <c r="B2981" i="6"/>
  <c r="B2982" i="6"/>
  <c r="B2983" i="6"/>
  <c r="K2983" i="6" s="1"/>
  <c r="B2984" i="6"/>
  <c r="B2985" i="6"/>
  <c r="B2986" i="6"/>
  <c r="B2987" i="6"/>
  <c r="K2987" i="6" s="1"/>
  <c r="B2988" i="6"/>
  <c r="B2989" i="6"/>
  <c r="B2990" i="6"/>
  <c r="B2991" i="6"/>
  <c r="K2991" i="6" s="1"/>
  <c r="B2992" i="6"/>
  <c r="B2993" i="6"/>
  <c r="B2994" i="6"/>
  <c r="B2995" i="6"/>
  <c r="K2995" i="6" s="1"/>
  <c r="B2996" i="6"/>
  <c r="B2997" i="6"/>
  <c r="B2998" i="6"/>
  <c r="B2999" i="6"/>
  <c r="K2999" i="6" s="1"/>
  <c r="B3000" i="6"/>
  <c r="B3001" i="6"/>
  <c r="B3002" i="6"/>
  <c r="B3003" i="6"/>
  <c r="K3003" i="6" s="1"/>
  <c r="B3004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L55" i="6"/>
  <c r="L439" i="6"/>
  <c r="N1399" i="6"/>
  <c r="L1519" i="6"/>
  <c r="E6" i="8"/>
  <c r="E5" i="8"/>
  <c r="E8" i="8"/>
  <c r="K436" i="6" l="1"/>
  <c r="K432" i="6"/>
  <c r="L1615" i="6"/>
  <c r="K896" i="6"/>
  <c r="K892" i="6"/>
  <c r="K888" i="6"/>
  <c r="K884" i="6"/>
  <c r="K880" i="6"/>
  <c r="K876" i="6"/>
  <c r="K872" i="6"/>
  <c r="K868" i="6"/>
  <c r="K864" i="6"/>
  <c r="K860" i="6"/>
  <c r="K856" i="6"/>
  <c r="K852" i="6"/>
  <c r="K848" i="6"/>
  <c r="K844" i="6"/>
  <c r="K840" i="6"/>
  <c r="K836" i="6"/>
  <c r="K832" i="6"/>
  <c r="K828" i="6"/>
  <c r="K824" i="6"/>
  <c r="K820" i="6"/>
  <c r="K816" i="6"/>
  <c r="K812" i="6"/>
  <c r="K460" i="6"/>
  <c r="K456" i="6"/>
  <c r="K452" i="6"/>
  <c r="K448" i="6"/>
  <c r="K444" i="6"/>
  <c r="K440" i="6"/>
  <c r="N2335" i="6"/>
  <c r="N655" i="6"/>
  <c r="K3004" i="6"/>
  <c r="K3000" i="6"/>
  <c r="K2996" i="6"/>
  <c r="K2992" i="6"/>
  <c r="K2988" i="6"/>
  <c r="K2984" i="6"/>
  <c r="K2980" i="6"/>
  <c r="K2976" i="6"/>
  <c r="K2972" i="6"/>
  <c r="K2968" i="6"/>
  <c r="K2964" i="6"/>
  <c r="K2960" i="6"/>
  <c r="K2956" i="6"/>
  <c r="K2952" i="6"/>
  <c r="K2948" i="6"/>
  <c r="K2944" i="6"/>
  <c r="M2647" i="6"/>
  <c r="L2647" i="6"/>
  <c r="M2203" i="6"/>
  <c r="L2203" i="6"/>
  <c r="M2803" i="6"/>
  <c r="L2803" i="6"/>
  <c r="K2940" i="6"/>
  <c r="K2936" i="6"/>
  <c r="K2932" i="6"/>
  <c r="K2928" i="6"/>
  <c r="K2924" i="6"/>
  <c r="K2920" i="6"/>
  <c r="K2916" i="6"/>
  <c r="K2912" i="6"/>
  <c r="K2908" i="6"/>
  <c r="K2904" i="6"/>
  <c r="K2900" i="6"/>
  <c r="K2896" i="6"/>
  <c r="K2892" i="6"/>
  <c r="K2888" i="6"/>
  <c r="K2884" i="6"/>
  <c r="K2880" i="6"/>
  <c r="K2876" i="6"/>
  <c r="K2872" i="6"/>
  <c r="K2868" i="6"/>
  <c r="K2864" i="6"/>
  <c r="K2860" i="6"/>
  <c r="K2856" i="6"/>
  <c r="K2852" i="6"/>
  <c r="K2848" i="6"/>
  <c r="K2844" i="6"/>
  <c r="K2840" i="6"/>
  <c r="K2836" i="6"/>
  <c r="K2832" i="6"/>
  <c r="K2828" i="6"/>
  <c r="K2824" i="6"/>
  <c r="K2820" i="6"/>
  <c r="K2816" i="6"/>
  <c r="K2812" i="6"/>
  <c r="K2808" i="6"/>
  <c r="K2804" i="6"/>
  <c r="K2800" i="6"/>
  <c r="K2796" i="6"/>
  <c r="K2792" i="6"/>
  <c r="K2788" i="6"/>
  <c r="K2784" i="6"/>
  <c r="K2780" i="6"/>
  <c r="K2776" i="6"/>
  <c r="K2772" i="6"/>
  <c r="K2768" i="6"/>
  <c r="K2764" i="6"/>
  <c r="K2760" i="6"/>
  <c r="K2756" i="6"/>
  <c r="K2752" i="6"/>
  <c r="K2748" i="6"/>
  <c r="K2744" i="6"/>
  <c r="K2740" i="6"/>
  <c r="K2736" i="6"/>
  <c r="K2732" i="6"/>
  <c r="K2728" i="6"/>
  <c r="K2724" i="6"/>
  <c r="K2720" i="6"/>
  <c r="K2716" i="6"/>
  <c r="K2712" i="6"/>
  <c r="K2708" i="6"/>
  <c r="K2704" i="6"/>
  <c r="K2700" i="6"/>
  <c r="K2696" i="6"/>
  <c r="K2692" i="6"/>
  <c r="K2688" i="6"/>
  <c r="K2684" i="6"/>
  <c r="K2680" i="6"/>
  <c r="K2676" i="6"/>
  <c r="K2672" i="6"/>
  <c r="K2668" i="6"/>
  <c r="K2664" i="6"/>
  <c r="K2660" i="6"/>
  <c r="K2656" i="6"/>
  <c r="K2652" i="6"/>
  <c r="K2648" i="6"/>
  <c r="K2644" i="6"/>
  <c r="K2640" i="6"/>
  <c r="K2636" i="6"/>
  <c r="K2632" i="6"/>
  <c r="K2628" i="6"/>
  <c r="K2624" i="6"/>
  <c r="K2620" i="6"/>
  <c r="K2616" i="6"/>
  <c r="K2612" i="6"/>
  <c r="K2608" i="6"/>
  <c r="K2604" i="6"/>
  <c r="K2600" i="6"/>
  <c r="K2596" i="6"/>
  <c r="K2592" i="6"/>
  <c r="K2588" i="6"/>
  <c r="K2584" i="6"/>
  <c r="K2580" i="6"/>
  <c r="K2576" i="6"/>
  <c r="K2572" i="6"/>
  <c r="K2568" i="6"/>
  <c r="K2564" i="6"/>
  <c r="K2560" i="6"/>
  <c r="K2556" i="6"/>
  <c r="K2552" i="6"/>
  <c r="K2548" i="6"/>
  <c r="K2544" i="6"/>
  <c r="K2540" i="6"/>
  <c r="K2536" i="6"/>
  <c r="K2532" i="6"/>
  <c r="K2528" i="6"/>
  <c r="K2524" i="6"/>
  <c r="K2520" i="6"/>
  <c r="K2516" i="6"/>
  <c r="K2512" i="6"/>
  <c r="K2508" i="6"/>
  <c r="K2504" i="6"/>
  <c r="K2500" i="6"/>
  <c r="K2496" i="6"/>
  <c r="K2492" i="6"/>
  <c r="K2488" i="6"/>
  <c r="K2484" i="6"/>
  <c r="K2480" i="6"/>
  <c r="K2476" i="6"/>
  <c r="K2472" i="6"/>
  <c r="K2468" i="6"/>
  <c r="K2464" i="6"/>
  <c r="K2460" i="6"/>
  <c r="K2456" i="6"/>
  <c r="K2452" i="6"/>
  <c r="K2448" i="6"/>
  <c r="K2444" i="6"/>
  <c r="K2440" i="6"/>
  <c r="K2436" i="6"/>
  <c r="K2432" i="6"/>
  <c r="K2428" i="6"/>
  <c r="K2424" i="6"/>
  <c r="K2420" i="6"/>
  <c r="K2416" i="6"/>
  <c r="K2412" i="6"/>
  <c r="K2408" i="6"/>
  <c r="K2404" i="6"/>
  <c r="K2400" i="6"/>
  <c r="K2396" i="6"/>
  <c r="K2392" i="6"/>
  <c r="K2388" i="6"/>
  <c r="K2384" i="6"/>
  <c r="K2380" i="6"/>
  <c r="K2376" i="6"/>
  <c r="K2372" i="6"/>
  <c r="K2368" i="6"/>
  <c r="K2364" i="6"/>
  <c r="K2360" i="6"/>
  <c r="K2356" i="6"/>
  <c r="K2352" i="6"/>
  <c r="K2348" i="6"/>
  <c r="K2344" i="6"/>
  <c r="K2340" i="6"/>
  <c r="K2336" i="6"/>
  <c r="K2332" i="6"/>
  <c r="K2328" i="6"/>
  <c r="K2324" i="6"/>
  <c r="K2320" i="6"/>
  <c r="K2316" i="6"/>
  <c r="K2312" i="6"/>
  <c r="K2308" i="6"/>
  <c r="K2304" i="6"/>
  <c r="K2300" i="6"/>
  <c r="K2296" i="6"/>
  <c r="K2292" i="6"/>
  <c r="K2288" i="6"/>
  <c r="K2284" i="6"/>
  <c r="K2280" i="6"/>
  <c r="K2276" i="6"/>
  <c r="K2272" i="6"/>
  <c r="K2268" i="6"/>
  <c r="K2264" i="6"/>
  <c r="K2260" i="6"/>
  <c r="K2256" i="6"/>
  <c r="K2252" i="6"/>
  <c r="K2248" i="6"/>
  <c r="K2244" i="6"/>
  <c r="K2240" i="6"/>
  <c r="K2236" i="6"/>
  <c r="K2232" i="6"/>
  <c r="K2228" i="6"/>
  <c r="K2224" i="6"/>
  <c r="K2220" i="6"/>
  <c r="K2216" i="6"/>
  <c r="K2212" i="6"/>
  <c r="K2208" i="6"/>
  <c r="K2204" i="6"/>
  <c r="K2200" i="6"/>
  <c r="K2196" i="6"/>
  <c r="K2192" i="6"/>
  <c r="K2188" i="6"/>
  <c r="K2184" i="6"/>
  <c r="K2180" i="6"/>
  <c r="K2176" i="6"/>
  <c r="K2172" i="6"/>
  <c r="K2168" i="6"/>
  <c r="K2164" i="6"/>
  <c r="K2160" i="6"/>
  <c r="K2156" i="6"/>
  <c r="K2152" i="6"/>
  <c r="K2148" i="6"/>
  <c r="K2144" i="6"/>
  <c r="K2140" i="6"/>
  <c r="K2136" i="6"/>
  <c r="K2132" i="6"/>
  <c r="K2128" i="6"/>
  <c r="K2124" i="6"/>
  <c r="K2120" i="6"/>
  <c r="K2116" i="6"/>
  <c r="K2112" i="6"/>
  <c r="K2108" i="6"/>
  <c r="K2104" i="6"/>
  <c r="K2100" i="6"/>
  <c r="K2096" i="6"/>
  <c r="K2092" i="6"/>
  <c r="K2088" i="6"/>
  <c r="K2084" i="6"/>
  <c r="K2080" i="6"/>
  <c r="K2076" i="6"/>
  <c r="K2072" i="6"/>
  <c r="K2068" i="6"/>
  <c r="K2064" i="6"/>
  <c r="K2060" i="6"/>
  <c r="K2056" i="6"/>
  <c r="K2052" i="6"/>
  <c r="K2048" i="6"/>
  <c r="K2044" i="6"/>
  <c r="K2040" i="6"/>
  <c r="K2036" i="6"/>
  <c r="K2032" i="6"/>
  <c r="K2028" i="6"/>
  <c r="K2024" i="6"/>
  <c r="K2020" i="6"/>
  <c r="K2016" i="6"/>
  <c r="K2012" i="6"/>
  <c r="K2008" i="6"/>
  <c r="K2004" i="6"/>
  <c r="K2000" i="6"/>
  <c r="K1996" i="6"/>
  <c r="K1992" i="6"/>
  <c r="K1988" i="6"/>
  <c r="K1984" i="6"/>
  <c r="K1980" i="6"/>
  <c r="K1976" i="6"/>
  <c r="K1972" i="6"/>
  <c r="K1968" i="6"/>
  <c r="K1964" i="6"/>
  <c r="K1960" i="6"/>
  <c r="K1956" i="6"/>
  <c r="K1952" i="6"/>
  <c r="K1948" i="6"/>
  <c r="K1944" i="6"/>
  <c r="K1940" i="6"/>
  <c r="K1936" i="6"/>
  <c r="K1932" i="6"/>
  <c r="K1928" i="6"/>
  <c r="K1924" i="6"/>
  <c r="K1920" i="6"/>
  <c r="K1916" i="6"/>
  <c r="K1912" i="6"/>
  <c r="K1908" i="6"/>
  <c r="K1904" i="6"/>
  <c r="K1900" i="6"/>
  <c r="K1896" i="6"/>
  <c r="K1892" i="6"/>
  <c r="K1888" i="6"/>
  <c r="K1884" i="6"/>
  <c r="K1880" i="6"/>
  <c r="K1876" i="6"/>
  <c r="K1872" i="6"/>
  <c r="K1868" i="6"/>
  <c r="K1864" i="6"/>
  <c r="K1860" i="6"/>
  <c r="K1856" i="6"/>
  <c r="K1852" i="6"/>
  <c r="K1848" i="6"/>
  <c r="K1844" i="6"/>
  <c r="K1840" i="6"/>
  <c r="K1836" i="6"/>
  <c r="K1832" i="6"/>
  <c r="K1828" i="6"/>
  <c r="K1824" i="6"/>
  <c r="K1820" i="6"/>
  <c r="K1816" i="6"/>
  <c r="K1812" i="6"/>
  <c r="K1808" i="6"/>
  <c r="K1804" i="6"/>
  <c r="K1800" i="6"/>
  <c r="K1796" i="6"/>
  <c r="K1792" i="6"/>
  <c r="K1788" i="6"/>
  <c r="K1784" i="6"/>
  <c r="K1780" i="6"/>
  <c r="K1776" i="6"/>
  <c r="K1772" i="6"/>
  <c r="K1768" i="6"/>
  <c r="K1764" i="6"/>
  <c r="K1760" i="6"/>
  <c r="K1756" i="6"/>
  <c r="K1752" i="6"/>
  <c r="K1748" i="6"/>
  <c r="K1744" i="6"/>
  <c r="K1740" i="6"/>
  <c r="K1736" i="6"/>
  <c r="K1732" i="6"/>
  <c r="K1728" i="6"/>
  <c r="K1724" i="6"/>
  <c r="K1720" i="6"/>
  <c r="K1716" i="6"/>
  <c r="K1712" i="6"/>
  <c r="K1708" i="6"/>
  <c r="K1704" i="6"/>
  <c r="K1700" i="6"/>
  <c r="K1696" i="6"/>
  <c r="K1692" i="6"/>
  <c r="K1688" i="6"/>
  <c r="K1684" i="6"/>
  <c r="K1680" i="6"/>
  <c r="K1676" i="6"/>
  <c r="K1672" i="6"/>
  <c r="K1668" i="6"/>
  <c r="K1664" i="6"/>
  <c r="K1660" i="6"/>
  <c r="K1656" i="6"/>
  <c r="K1652" i="6"/>
  <c r="K1648" i="6"/>
  <c r="K1644" i="6"/>
  <c r="K1640" i="6"/>
  <c r="K1636" i="6"/>
  <c r="K1632" i="6"/>
  <c r="K1628" i="6"/>
  <c r="K1624" i="6"/>
  <c r="K1620" i="6"/>
  <c r="K1616" i="6"/>
  <c r="K1612" i="6"/>
  <c r="K1608" i="6"/>
  <c r="K1604" i="6"/>
  <c r="K1600" i="6"/>
  <c r="K1596" i="6"/>
  <c r="K1592" i="6"/>
  <c r="K1588" i="6"/>
  <c r="K1584" i="6"/>
  <c r="K1580" i="6"/>
  <c r="M1599" i="6"/>
  <c r="N1599" i="6"/>
  <c r="K1576" i="6"/>
  <c r="K1572" i="6"/>
  <c r="K1568" i="6"/>
  <c r="K1564" i="6"/>
  <c r="K1560" i="6"/>
  <c r="K1556" i="6"/>
  <c r="K1552" i="6"/>
  <c r="K1548" i="6"/>
  <c r="K1544" i="6"/>
  <c r="K1540" i="6"/>
  <c r="K1536" i="6"/>
  <c r="K1532" i="6"/>
  <c r="K1528" i="6"/>
  <c r="K1524" i="6"/>
  <c r="K1520" i="6"/>
  <c r="K1516" i="6"/>
  <c r="K1512" i="6"/>
  <c r="K1508" i="6"/>
  <c r="K1504" i="6"/>
  <c r="K1500" i="6"/>
  <c r="K1496" i="6"/>
  <c r="K1492" i="6"/>
  <c r="K1488" i="6"/>
  <c r="K1484" i="6"/>
  <c r="K1480" i="6"/>
  <c r="K1476" i="6"/>
  <c r="K1472" i="6"/>
  <c r="K1468" i="6"/>
  <c r="K1464" i="6"/>
  <c r="K1460" i="6"/>
  <c r="K1456" i="6"/>
  <c r="K1452" i="6"/>
  <c r="K1448" i="6"/>
  <c r="K1444" i="6"/>
  <c r="K1440" i="6"/>
  <c r="K1436" i="6"/>
  <c r="K1432" i="6"/>
  <c r="K1428" i="6"/>
  <c r="K1424" i="6"/>
  <c r="K1420" i="6"/>
  <c r="K1416" i="6"/>
  <c r="K1412" i="6"/>
  <c r="K1408" i="6"/>
  <c r="K1404" i="6"/>
  <c r="K1400" i="6"/>
  <c r="K1396" i="6"/>
  <c r="K1392" i="6"/>
  <c r="K1388" i="6"/>
  <c r="K1384" i="6"/>
  <c r="K1380" i="6"/>
  <c r="K1376" i="6"/>
  <c r="K1372" i="6"/>
  <c r="K1368" i="6"/>
  <c r="K1364" i="6"/>
  <c r="K1360" i="6"/>
  <c r="K1356" i="6"/>
  <c r="K1352" i="6"/>
  <c r="K1348" i="6"/>
  <c r="K1344" i="6"/>
  <c r="K1340" i="6"/>
  <c r="K1336" i="6"/>
  <c r="K1332" i="6"/>
  <c r="K1328" i="6"/>
  <c r="K1324" i="6"/>
  <c r="K1320" i="6"/>
  <c r="K1316" i="6"/>
  <c r="K1312" i="6"/>
  <c r="K1308" i="6"/>
  <c r="K1304" i="6"/>
  <c r="K1300" i="6"/>
  <c r="K1296" i="6"/>
  <c r="K1292" i="6"/>
  <c r="K1288" i="6"/>
  <c r="K1284" i="6"/>
  <c r="K1280" i="6"/>
  <c r="K1276" i="6"/>
  <c r="K1272" i="6"/>
  <c r="K1268" i="6"/>
  <c r="K1264" i="6"/>
  <c r="K1260" i="6"/>
  <c r="K1256" i="6"/>
  <c r="K1252" i="6"/>
  <c r="K1248" i="6"/>
  <c r="K1244" i="6"/>
  <c r="K1240" i="6"/>
  <c r="K1236" i="6"/>
  <c r="K1232" i="6"/>
  <c r="K1228" i="6"/>
  <c r="K1224" i="6"/>
  <c r="K1220" i="6"/>
  <c r="K1216" i="6"/>
  <c r="K1212" i="6"/>
  <c r="K1208" i="6"/>
  <c r="K1204" i="6"/>
  <c r="K1200" i="6"/>
  <c r="K1196" i="6"/>
  <c r="K1192" i="6"/>
  <c r="K1188" i="6"/>
  <c r="K1184" i="6"/>
  <c r="K1180" i="6"/>
  <c r="K1176" i="6"/>
  <c r="K1172" i="6"/>
  <c r="K1168" i="6"/>
  <c r="K1164" i="6"/>
  <c r="K1160" i="6"/>
  <c r="K1156" i="6"/>
  <c r="K1152" i="6"/>
  <c r="K1148" i="6"/>
  <c r="K1144" i="6"/>
  <c r="K1140" i="6"/>
  <c r="K1136" i="6"/>
  <c r="K1132" i="6"/>
  <c r="K1128" i="6"/>
  <c r="K1124" i="6"/>
  <c r="K1120" i="6"/>
  <c r="K1116" i="6"/>
  <c r="K1112" i="6"/>
  <c r="K1108" i="6"/>
  <c r="K1104" i="6"/>
  <c r="K1100" i="6"/>
  <c r="K1096" i="6"/>
  <c r="K1092" i="6"/>
  <c r="K1088" i="6"/>
  <c r="K1084" i="6"/>
  <c r="K1080" i="6"/>
  <c r="K1076" i="6"/>
  <c r="K1072" i="6"/>
  <c r="K1068" i="6"/>
  <c r="K1064" i="6"/>
  <c r="K1060" i="6"/>
  <c r="K1056" i="6"/>
  <c r="K1052" i="6"/>
  <c r="K1048" i="6"/>
  <c r="K1044" i="6"/>
  <c r="K1040" i="6"/>
  <c r="K1036" i="6"/>
  <c r="K1032" i="6"/>
  <c r="K1028" i="6"/>
  <c r="K1024" i="6"/>
  <c r="K1020" i="6"/>
  <c r="K1016" i="6"/>
  <c r="K1012" i="6"/>
  <c r="K1008" i="6"/>
  <c r="K1004" i="6"/>
  <c r="K1000" i="6"/>
  <c r="K996" i="6"/>
  <c r="K992" i="6"/>
  <c r="K988" i="6"/>
  <c r="K984" i="6"/>
  <c r="K980" i="6"/>
  <c r="K976" i="6"/>
  <c r="K972" i="6"/>
  <c r="K968" i="6"/>
  <c r="K964" i="6"/>
  <c r="K960" i="6"/>
  <c r="K956" i="6"/>
  <c r="K952" i="6"/>
  <c r="K948" i="6"/>
  <c r="K944" i="6"/>
  <c r="K940" i="6"/>
  <c r="K936" i="6"/>
  <c r="K932" i="6"/>
  <c r="K928" i="6"/>
  <c r="K924" i="6"/>
  <c r="K920" i="6"/>
  <c r="K916" i="6"/>
  <c r="K912" i="6"/>
  <c r="K908" i="6"/>
  <c r="K904" i="6"/>
  <c r="K900" i="6"/>
  <c r="L619" i="6"/>
  <c r="N619" i="6"/>
  <c r="K808" i="6"/>
  <c r="K804" i="6"/>
  <c r="K800" i="6"/>
  <c r="K796" i="6"/>
  <c r="K792" i="6"/>
  <c r="K788" i="6"/>
  <c r="K784" i="6"/>
  <c r="K780" i="6"/>
  <c r="K776" i="6"/>
  <c r="K772" i="6"/>
  <c r="K768" i="6"/>
  <c r="K764" i="6"/>
  <c r="K760" i="6"/>
  <c r="K756" i="6"/>
  <c r="K752" i="6"/>
  <c r="K748" i="6"/>
  <c r="K744" i="6"/>
  <c r="K740" i="6"/>
  <c r="K736" i="6"/>
  <c r="K732" i="6"/>
  <c r="K728" i="6"/>
  <c r="K724" i="6"/>
  <c r="K720" i="6"/>
  <c r="K716" i="6"/>
  <c r="K712" i="6"/>
  <c r="K708" i="6"/>
  <c r="K704" i="6"/>
  <c r="K700" i="6"/>
  <c r="K696" i="6"/>
  <c r="K692" i="6"/>
  <c r="K688" i="6"/>
  <c r="K684" i="6"/>
  <c r="K680" i="6"/>
  <c r="K676" i="6"/>
  <c r="K672" i="6"/>
  <c r="K668" i="6"/>
  <c r="K664" i="6"/>
  <c r="K660" i="6"/>
  <c r="K656" i="6"/>
  <c r="K652" i="6"/>
  <c r="K648" i="6"/>
  <c r="K644" i="6"/>
  <c r="K640" i="6"/>
  <c r="K636" i="6"/>
  <c r="K632" i="6"/>
  <c r="K628" i="6"/>
  <c r="K624" i="6"/>
  <c r="K620" i="6"/>
  <c r="K616" i="6"/>
  <c r="K612" i="6"/>
  <c r="K608" i="6"/>
  <c r="K604" i="6"/>
  <c r="K600" i="6"/>
  <c r="K596" i="6"/>
  <c r="K592" i="6"/>
  <c r="K588" i="6"/>
  <c r="K584" i="6"/>
  <c r="K580" i="6"/>
  <c r="K576" i="6"/>
  <c r="K572" i="6"/>
  <c r="K568" i="6"/>
  <c r="K564" i="6"/>
  <c r="K560" i="6"/>
  <c r="K556" i="6"/>
  <c r="K552" i="6"/>
  <c r="K548" i="6"/>
  <c r="K540" i="6"/>
  <c r="K536" i="6"/>
  <c r="K532" i="6"/>
  <c r="K528" i="6"/>
  <c r="K524" i="6"/>
  <c r="K520" i="6"/>
  <c r="K516" i="6"/>
  <c r="K512" i="6"/>
  <c r="K508" i="6"/>
  <c r="K504" i="6"/>
  <c r="K500" i="6"/>
  <c r="K496" i="6"/>
  <c r="K492" i="6"/>
  <c r="K488" i="6"/>
  <c r="K484" i="6"/>
  <c r="K480" i="6"/>
  <c r="K476" i="6"/>
  <c r="K472" i="6"/>
  <c r="K468" i="6"/>
  <c r="K464" i="6"/>
  <c r="L2547" i="6"/>
  <c r="N1772" i="6"/>
  <c r="N1587" i="6"/>
  <c r="L411" i="6"/>
  <c r="L2383" i="6"/>
  <c r="L1627" i="6"/>
  <c r="L1571" i="6"/>
  <c r="M619" i="6"/>
  <c r="N1668" i="6"/>
  <c r="L436" i="6"/>
  <c r="L460" i="6"/>
  <c r="M460" i="6"/>
  <c r="L2775" i="6"/>
  <c r="L2519" i="6"/>
  <c r="N1996" i="6"/>
  <c r="N1655" i="6"/>
  <c r="N1611" i="6"/>
  <c r="L1583" i="6"/>
  <c r="L1551" i="6"/>
  <c r="N1491" i="6"/>
  <c r="N1123" i="6"/>
  <c r="N1008" i="6"/>
  <c r="N880" i="6"/>
  <c r="N687" i="6"/>
  <c r="N424" i="6"/>
  <c r="M440" i="6"/>
  <c r="N408" i="6"/>
  <c r="L2959" i="6"/>
  <c r="L2675" i="6"/>
  <c r="N2239" i="6"/>
  <c r="L1820" i="6"/>
  <c r="N1631" i="6"/>
  <c r="L1603" i="6"/>
  <c r="L1575" i="6"/>
  <c r="N667" i="6"/>
  <c r="L452" i="6"/>
  <c r="N416" i="6"/>
  <c r="M667" i="6"/>
  <c r="M420" i="6"/>
  <c r="L2739" i="6"/>
  <c r="N2367" i="6"/>
  <c r="N1916" i="6"/>
  <c r="N1644" i="6"/>
  <c r="N1607" i="6"/>
  <c r="N1579" i="6"/>
  <c r="N1567" i="6"/>
  <c r="L1491" i="6"/>
  <c r="N1459" i="6"/>
  <c r="L1439" i="6"/>
  <c r="N896" i="6"/>
  <c r="N715" i="6"/>
  <c r="L2899" i="6"/>
  <c r="L2611" i="6"/>
  <c r="L2483" i="6"/>
  <c r="L2287" i="6"/>
  <c r="L1595" i="6"/>
  <c r="N3000" i="6"/>
  <c r="L2711" i="6"/>
  <c r="L2583" i="6"/>
  <c r="L2455" i="6"/>
  <c r="L2351" i="6"/>
  <c r="L1692" i="6"/>
  <c r="N1635" i="6"/>
  <c r="N1619" i="6"/>
  <c r="L1607" i="6"/>
  <c r="N1575" i="6"/>
  <c r="N1535" i="6"/>
  <c r="L1507" i="6"/>
  <c r="L1459" i="6"/>
  <c r="N1091" i="6"/>
  <c r="N1031" i="6"/>
  <c r="N951" i="6"/>
  <c r="N671" i="6"/>
  <c r="M411" i="6"/>
  <c r="M432" i="6"/>
  <c r="N432" i="6"/>
  <c r="K544" i="6"/>
  <c r="M1068" i="6"/>
  <c r="N1068" i="6"/>
  <c r="M464" i="6"/>
  <c r="N464" i="6"/>
  <c r="L2984" i="6"/>
  <c r="N1980" i="6"/>
  <c r="L1916" i="6"/>
  <c r="N1852" i="6"/>
  <c r="L1772" i="6"/>
  <c r="N1724" i="6"/>
  <c r="L1668" i="6"/>
  <c r="L1644" i="6"/>
  <c r="N1392" i="6"/>
  <c r="N1196" i="6"/>
  <c r="N1056" i="6"/>
  <c r="N1020" i="6"/>
  <c r="N992" i="6"/>
  <c r="N976" i="6"/>
  <c r="L892" i="6"/>
  <c r="N864" i="6"/>
  <c r="N848" i="6"/>
  <c r="N456" i="6"/>
  <c r="N448" i="6"/>
  <c r="N440" i="6"/>
  <c r="L432" i="6"/>
  <c r="L424" i="6"/>
  <c r="L416" i="6"/>
  <c r="M1048" i="6"/>
  <c r="M456" i="6"/>
  <c r="M436" i="6"/>
  <c r="M412" i="6"/>
  <c r="K1663" i="6"/>
  <c r="M1555" i="6"/>
  <c r="L1555" i="6"/>
  <c r="M1487" i="6"/>
  <c r="L1487" i="6"/>
  <c r="M1471" i="6"/>
  <c r="L1471" i="6"/>
  <c r="L1463" i="6"/>
  <c r="M1463" i="6"/>
  <c r="M1455" i="6"/>
  <c r="L1455" i="6"/>
  <c r="M1443" i="6"/>
  <c r="N1443" i="6"/>
  <c r="L991" i="6"/>
  <c r="N991" i="6"/>
  <c r="L851" i="6"/>
  <c r="M851" i="6"/>
  <c r="N851" i="6"/>
  <c r="L831" i="6"/>
  <c r="N831" i="6"/>
  <c r="L735" i="6"/>
  <c r="M735" i="6"/>
  <c r="M703" i="6"/>
  <c r="N703" i="6"/>
  <c r="M639" i="6"/>
  <c r="N639" i="6"/>
  <c r="N599" i="6"/>
  <c r="M599" i="6"/>
  <c r="N551" i="6"/>
  <c r="L551" i="6"/>
  <c r="N491" i="6"/>
  <c r="M491" i="6"/>
  <c r="M1539" i="6"/>
  <c r="L1539" i="6"/>
  <c r="N2936" i="6"/>
  <c r="L2643" i="6"/>
  <c r="L2451" i="6"/>
  <c r="L2335" i="6"/>
  <c r="N1836" i="6"/>
  <c r="N1639" i="6"/>
  <c r="L1611" i="6"/>
  <c r="N1475" i="6"/>
  <c r="M1563" i="6"/>
  <c r="L1563" i="6"/>
  <c r="M1523" i="6"/>
  <c r="L1523" i="6"/>
  <c r="M1503" i="6"/>
  <c r="N1503" i="6"/>
  <c r="L2895" i="6"/>
  <c r="L2771" i="6"/>
  <c r="L2707" i="6"/>
  <c r="L2579" i="6"/>
  <c r="N2403" i="6"/>
  <c r="L2367" i="6"/>
  <c r="L2271" i="6"/>
  <c r="L2123" i="6"/>
  <c r="L2044" i="6"/>
  <c r="L1756" i="6"/>
  <c r="N1708" i="6"/>
  <c r="L1660" i="6"/>
  <c r="N1651" i="6"/>
  <c r="L1631" i="6"/>
  <c r="N1623" i="6"/>
  <c r="L1619" i="6"/>
  <c r="L1599" i="6"/>
  <c r="N1591" i="6"/>
  <c r="L1587" i="6"/>
  <c r="L1579" i="6"/>
  <c r="L1567" i="6"/>
  <c r="N1555" i="6"/>
  <c r="L1535" i="6"/>
  <c r="N1523" i="6"/>
  <c r="N1487" i="6"/>
  <c r="N1455" i="6"/>
  <c r="L1443" i="6"/>
  <c r="L1356" i="6"/>
  <c r="L1328" i="6"/>
  <c r="N1040" i="6"/>
  <c r="L1020" i="6"/>
  <c r="N960" i="6"/>
  <c r="N944" i="6"/>
  <c r="N832" i="6"/>
  <c r="L464" i="6"/>
  <c r="L448" i="6"/>
  <c r="N428" i="6"/>
  <c r="L412" i="6"/>
  <c r="N404" i="6"/>
  <c r="M892" i="6"/>
  <c r="M452" i="6"/>
  <c r="M428" i="6"/>
  <c r="L2963" i="6"/>
  <c r="L2920" i="6"/>
  <c r="L2807" i="6"/>
  <c r="L2743" i="6"/>
  <c r="L2679" i="6"/>
  <c r="L2615" i="6"/>
  <c r="L2551" i="6"/>
  <c r="L2487" i="6"/>
  <c r="L2427" i="6"/>
  <c r="N2383" i="6"/>
  <c r="N2351" i="6"/>
  <c r="L2219" i="6"/>
  <c r="N2171" i="6"/>
  <c r="N2107" i="6"/>
  <c r="L2028" i="6"/>
  <c r="L1884" i="6"/>
  <c r="L1836" i="6"/>
  <c r="N1788" i="6"/>
  <c r="L1708" i="6"/>
  <c r="N1676" i="6"/>
  <c r="N1656" i="6"/>
  <c r="N1647" i="6"/>
  <c r="N1627" i="6"/>
  <c r="L1623" i="6"/>
  <c r="N1615" i="6"/>
  <c r="N1603" i="6"/>
  <c r="N1595" i="6"/>
  <c r="L1591" i="6"/>
  <c r="N1583" i="6"/>
  <c r="N1571" i="6"/>
  <c r="N1563" i="6"/>
  <c r="N1551" i="6"/>
  <c r="N1519" i="6"/>
  <c r="N1507" i="6"/>
  <c r="L1475" i="6"/>
  <c r="N1463" i="6"/>
  <c r="N1439" i="6"/>
  <c r="N1404" i="6"/>
  <c r="N1292" i="6"/>
  <c r="N1264" i="6"/>
  <c r="L1032" i="6"/>
  <c r="N928" i="6"/>
  <c r="N912" i="6"/>
  <c r="L444" i="6"/>
  <c r="L420" i="6"/>
  <c r="L404" i="6"/>
  <c r="M2135" i="6"/>
  <c r="M444" i="6"/>
  <c r="M408" i="6"/>
  <c r="K2347" i="6"/>
  <c r="K2319" i="6"/>
  <c r="L2319" i="6"/>
  <c r="N1924" i="6"/>
  <c r="M1924" i="6"/>
  <c r="L1596" i="6"/>
  <c r="M1596" i="6"/>
  <c r="L1564" i="6"/>
  <c r="M1564" i="6"/>
  <c r="M1424" i="6"/>
  <c r="L1424" i="6"/>
  <c r="M1408" i="6"/>
  <c r="N1408" i="6"/>
  <c r="M1388" i="6"/>
  <c r="L1388" i="6"/>
  <c r="N1388" i="6"/>
  <c r="M1376" i="6"/>
  <c r="L1376" i="6"/>
  <c r="M1372" i="6"/>
  <c r="N1372" i="6"/>
  <c r="M1360" i="6"/>
  <c r="L1360" i="6"/>
  <c r="N1360" i="6"/>
  <c r="M1344" i="6"/>
  <c r="N1344" i="6"/>
  <c r="M1340" i="6"/>
  <c r="L1340" i="6"/>
  <c r="L1332" i="6"/>
  <c r="M1332" i="6"/>
  <c r="N1332" i="6"/>
  <c r="M1324" i="6"/>
  <c r="L1324" i="6"/>
  <c r="N1324" i="6"/>
  <c r="M1312" i="6"/>
  <c r="L1312" i="6"/>
  <c r="M1308" i="6"/>
  <c r="N1308" i="6"/>
  <c r="M1296" i="6"/>
  <c r="L1296" i="6"/>
  <c r="N1296" i="6"/>
  <c r="M1280" i="6"/>
  <c r="N1280" i="6"/>
  <c r="M1276" i="6"/>
  <c r="L1276" i="6"/>
  <c r="M1260" i="6"/>
  <c r="L1260" i="6"/>
  <c r="N1260" i="6"/>
  <c r="M1248" i="6"/>
  <c r="L1248" i="6"/>
  <c r="M1228" i="6"/>
  <c r="N1228" i="6"/>
  <c r="L1184" i="6"/>
  <c r="M1184" i="6"/>
  <c r="N1176" i="6"/>
  <c r="M1176" i="6"/>
  <c r="L1176" i="6"/>
  <c r="M1164" i="6"/>
  <c r="L1164" i="6"/>
  <c r="M1132" i="6"/>
  <c r="L1132" i="6"/>
  <c r="N1132" i="6"/>
  <c r="M1100" i="6"/>
  <c r="N1100" i="6"/>
  <c r="M1052" i="6"/>
  <c r="L1052" i="6"/>
  <c r="M1044" i="6"/>
  <c r="L1044" i="6"/>
  <c r="N1044" i="6"/>
  <c r="M1036" i="6"/>
  <c r="L1036" i="6"/>
  <c r="N1036" i="6"/>
  <c r="M1028" i="6"/>
  <c r="N1028" i="6"/>
  <c r="M1024" i="6"/>
  <c r="L1024" i="6"/>
  <c r="N1024" i="6"/>
  <c r="M1016" i="6"/>
  <c r="L1016" i="6"/>
  <c r="N1016" i="6"/>
  <c r="M1012" i="6"/>
  <c r="L1012" i="6"/>
  <c r="M1004" i="6"/>
  <c r="N1004" i="6"/>
  <c r="M1000" i="6"/>
  <c r="L1000" i="6"/>
  <c r="N1000" i="6"/>
  <c r="M996" i="6"/>
  <c r="L996" i="6"/>
  <c r="M988" i="6"/>
  <c r="N988" i="6"/>
  <c r="M984" i="6"/>
  <c r="L984" i="6"/>
  <c r="N984" i="6"/>
  <c r="M980" i="6"/>
  <c r="L980" i="6"/>
  <c r="M972" i="6"/>
  <c r="N972" i="6"/>
  <c r="M968" i="6"/>
  <c r="L968" i="6"/>
  <c r="N968" i="6"/>
  <c r="M964" i="6"/>
  <c r="L964" i="6"/>
  <c r="M956" i="6"/>
  <c r="N956" i="6"/>
  <c r="M952" i="6"/>
  <c r="L952" i="6"/>
  <c r="N952" i="6"/>
  <c r="M948" i="6"/>
  <c r="L948" i="6"/>
  <c r="M940" i="6"/>
  <c r="N940" i="6"/>
  <c r="M936" i="6"/>
  <c r="L936" i="6"/>
  <c r="N936" i="6"/>
  <c r="M932" i="6"/>
  <c r="L932" i="6"/>
  <c r="M924" i="6"/>
  <c r="N924" i="6"/>
  <c r="M920" i="6"/>
  <c r="L920" i="6"/>
  <c r="N920" i="6"/>
  <c r="M916" i="6"/>
  <c r="L916" i="6"/>
  <c r="M908" i="6"/>
  <c r="N908" i="6"/>
  <c r="M904" i="6"/>
  <c r="L904" i="6"/>
  <c r="N904" i="6"/>
  <c r="M900" i="6"/>
  <c r="L900" i="6"/>
  <c r="L888" i="6"/>
  <c r="N888" i="6"/>
  <c r="M884" i="6"/>
  <c r="L884" i="6"/>
  <c r="M876" i="6"/>
  <c r="N876" i="6"/>
  <c r="M872" i="6"/>
  <c r="L872" i="6"/>
  <c r="N872" i="6"/>
  <c r="M868" i="6"/>
  <c r="L868" i="6"/>
  <c r="M860" i="6"/>
  <c r="N860" i="6"/>
  <c r="M856" i="6"/>
  <c r="L856" i="6"/>
  <c r="N856" i="6"/>
  <c r="M852" i="6"/>
  <c r="L852" i="6"/>
  <c r="M844" i="6"/>
  <c r="N844" i="6"/>
  <c r="M840" i="6"/>
  <c r="L840" i="6"/>
  <c r="N840" i="6"/>
  <c r="M836" i="6"/>
  <c r="L836" i="6"/>
  <c r="M828" i="6"/>
  <c r="L828" i="6"/>
  <c r="N828" i="6"/>
  <c r="M824" i="6"/>
  <c r="L824" i="6"/>
  <c r="M820" i="6"/>
  <c r="L820" i="6"/>
  <c r="M816" i="6"/>
  <c r="N816" i="6"/>
  <c r="L816" i="6"/>
  <c r="M812" i="6"/>
  <c r="L812" i="6"/>
  <c r="N812" i="6"/>
  <c r="M808" i="6"/>
  <c r="L808" i="6"/>
  <c r="N808" i="6"/>
  <c r="M804" i="6"/>
  <c r="N804" i="6"/>
  <c r="M800" i="6"/>
  <c r="N800" i="6"/>
  <c r="M796" i="6"/>
  <c r="L796" i="6"/>
  <c r="N796" i="6"/>
  <c r="M792" i="6"/>
  <c r="L792" i="6"/>
  <c r="M788" i="6"/>
  <c r="L788" i="6"/>
  <c r="M784" i="6"/>
  <c r="N784" i="6"/>
  <c r="L784" i="6"/>
  <c r="M780" i="6"/>
  <c r="L780" i="6"/>
  <c r="N780" i="6"/>
  <c r="M776" i="6"/>
  <c r="L776" i="6"/>
  <c r="N776" i="6"/>
  <c r="M772" i="6"/>
  <c r="N772" i="6"/>
  <c r="M768" i="6"/>
  <c r="N768" i="6"/>
  <c r="M764" i="6"/>
  <c r="L764" i="6"/>
  <c r="N764" i="6"/>
  <c r="M760" i="6"/>
  <c r="L760" i="6"/>
  <c r="M756" i="6"/>
  <c r="L756" i="6"/>
  <c r="M752" i="6"/>
  <c r="N752" i="6"/>
  <c r="L752" i="6"/>
  <c r="M748" i="6"/>
  <c r="L748" i="6"/>
  <c r="N748" i="6"/>
  <c r="M744" i="6"/>
  <c r="L744" i="6"/>
  <c r="N744" i="6"/>
  <c r="M740" i="6"/>
  <c r="N740" i="6"/>
  <c r="M736" i="6"/>
  <c r="N736" i="6"/>
  <c r="L732" i="6"/>
  <c r="N732" i="6"/>
  <c r="M732" i="6"/>
  <c r="M728" i="6"/>
  <c r="L728" i="6"/>
  <c r="M724" i="6"/>
  <c r="L724" i="6"/>
  <c r="M720" i="6"/>
  <c r="N720" i="6"/>
  <c r="L720" i="6"/>
  <c r="M716" i="6"/>
  <c r="L716" i="6"/>
  <c r="N716" i="6"/>
  <c r="M712" i="6"/>
  <c r="L712" i="6"/>
  <c r="N712" i="6"/>
  <c r="M708" i="6"/>
  <c r="N708" i="6"/>
  <c r="M704" i="6"/>
  <c r="N704" i="6"/>
  <c r="M700" i="6"/>
  <c r="L700" i="6"/>
  <c r="N700" i="6"/>
  <c r="M696" i="6"/>
  <c r="L696" i="6"/>
  <c r="M692" i="6"/>
  <c r="L692" i="6"/>
  <c r="M688" i="6"/>
  <c r="N688" i="6"/>
  <c r="L688" i="6"/>
  <c r="M684" i="6"/>
  <c r="L684" i="6"/>
  <c r="N684" i="6"/>
  <c r="M680" i="6"/>
  <c r="L680" i="6"/>
  <c r="N680" i="6"/>
  <c r="M676" i="6"/>
  <c r="N676" i="6"/>
  <c r="M672" i="6"/>
  <c r="N672" i="6"/>
  <c r="M668" i="6"/>
  <c r="L668" i="6"/>
  <c r="N668" i="6"/>
  <c r="M664" i="6"/>
  <c r="L664" i="6"/>
  <c r="M660" i="6"/>
  <c r="L660" i="6"/>
  <c r="M648" i="6"/>
  <c r="N648" i="6"/>
  <c r="M644" i="6"/>
  <c r="L644" i="6"/>
  <c r="N644" i="6"/>
  <c r="M632" i="6"/>
  <c r="L632" i="6"/>
  <c r="M628" i="6"/>
  <c r="L628" i="6"/>
  <c r="N628" i="6"/>
  <c r="M616" i="6"/>
  <c r="L616" i="6"/>
  <c r="N616" i="6"/>
  <c r="M612" i="6"/>
  <c r="N612" i="6"/>
  <c r="L612" i="6"/>
  <c r="M600" i="6"/>
  <c r="L600" i="6"/>
  <c r="N600" i="6"/>
  <c r="M596" i="6"/>
  <c r="L596" i="6"/>
  <c r="M592" i="6"/>
  <c r="L592" i="6"/>
  <c r="M588" i="6"/>
  <c r="N588" i="6"/>
  <c r="L588" i="6"/>
  <c r="M584" i="6"/>
  <c r="L584" i="6"/>
  <c r="N584" i="6"/>
  <c r="M580" i="6"/>
  <c r="L580" i="6"/>
  <c r="N580" i="6"/>
  <c r="M576" i="6"/>
  <c r="N576" i="6"/>
  <c r="M572" i="6"/>
  <c r="N572" i="6"/>
  <c r="M568" i="6"/>
  <c r="L568" i="6"/>
  <c r="N568" i="6"/>
  <c r="M564" i="6"/>
  <c r="L564" i="6"/>
  <c r="M560" i="6"/>
  <c r="L560" i="6"/>
  <c r="M556" i="6"/>
  <c r="N556" i="6"/>
  <c r="L556" i="6"/>
  <c r="L552" i="6"/>
  <c r="N552" i="6"/>
  <c r="M548" i="6"/>
  <c r="L548" i="6"/>
  <c r="N548" i="6"/>
  <c r="M544" i="6"/>
  <c r="N544" i="6"/>
  <c r="M540" i="6"/>
  <c r="N540" i="6"/>
  <c r="M536" i="6"/>
  <c r="L536" i="6"/>
  <c r="N536" i="6"/>
  <c r="M532" i="6"/>
  <c r="L532" i="6"/>
  <c r="M528" i="6"/>
  <c r="L528" i="6"/>
  <c r="M524" i="6"/>
  <c r="N524" i="6"/>
  <c r="L524" i="6"/>
  <c r="M520" i="6"/>
  <c r="L520" i="6"/>
  <c r="N520" i="6"/>
  <c r="M516" i="6"/>
  <c r="L516" i="6"/>
  <c r="N516" i="6"/>
  <c r="M512" i="6"/>
  <c r="N512" i="6"/>
  <c r="M508" i="6"/>
  <c r="N508" i="6"/>
  <c r="M504" i="6"/>
  <c r="L504" i="6"/>
  <c r="N504" i="6"/>
  <c r="M500" i="6"/>
  <c r="L500" i="6"/>
  <c r="M496" i="6"/>
  <c r="L496" i="6"/>
  <c r="M492" i="6"/>
  <c r="N492" i="6"/>
  <c r="L492" i="6"/>
  <c r="M488" i="6"/>
  <c r="L488" i="6"/>
  <c r="N488" i="6"/>
  <c r="M484" i="6"/>
  <c r="L484" i="6"/>
  <c r="N484" i="6"/>
  <c r="M480" i="6"/>
  <c r="N480" i="6"/>
  <c r="M476" i="6"/>
  <c r="N476" i="6"/>
  <c r="M472" i="6"/>
  <c r="L472" i="6"/>
  <c r="N472" i="6"/>
  <c r="M468" i="6"/>
  <c r="L468" i="6"/>
  <c r="M1559" i="6"/>
  <c r="L1559" i="6"/>
  <c r="M1547" i="6"/>
  <c r="N1547" i="6"/>
  <c r="M1543" i="6"/>
  <c r="L1543" i="6"/>
  <c r="M1531" i="6"/>
  <c r="N1531" i="6"/>
  <c r="M1527" i="6"/>
  <c r="L1527" i="6"/>
  <c r="M1515" i="6"/>
  <c r="N1515" i="6"/>
  <c r="M1511" i="6"/>
  <c r="L1511" i="6"/>
  <c r="M1499" i="6"/>
  <c r="N1499" i="6"/>
  <c r="M1495" i="6"/>
  <c r="L1495" i="6"/>
  <c r="M1483" i="6"/>
  <c r="N1483" i="6"/>
  <c r="M1479" i="6"/>
  <c r="L1479" i="6"/>
  <c r="M1467" i="6"/>
  <c r="N1467" i="6"/>
  <c r="M1451" i="6"/>
  <c r="N1451" i="6"/>
  <c r="M1447" i="6"/>
  <c r="L1447" i="6"/>
  <c r="M1435" i="6"/>
  <c r="N1435" i="6"/>
  <c r="M1431" i="6"/>
  <c r="L1431" i="6"/>
  <c r="L1323" i="6"/>
  <c r="M1323" i="6"/>
  <c r="L2995" i="6"/>
  <c r="L2952" i="6"/>
  <c r="L2931" i="6"/>
  <c r="L2888" i="6"/>
  <c r="L2791" i="6"/>
  <c r="L2759" i="6"/>
  <c r="L2727" i="6"/>
  <c r="L2695" i="6"/>
  <c r="L2663" i="6"/>
  <c r="L2631" i="6"/>
  <c r="L2599" i="6"/>
  <c r="L2567" i="6"/>
  <c r="L2535" i="6"/>
  <c r="L2503" i="6"/>
  <c r="L2471" i="6"/>
  <c r="N2415" i="6"/>
  <c r="L2395" i="6"/>
  <c r="N2375" i="6"/>
  <c r="N2359" i="6"/>
  <c r="N2343" i="6"/>
  <c r="N2307" i="6"/>
  <c r="L2239" i="6"/>
  <c r="L2171" i="6"/>
  <c r="L2107" i="6"/>
  <c r="N2060" i="6"/>
  <c r="L1980" i="6"/>
  <c r="N1932" i="6"/>
  <c r="N1900" i="6"/>
  <c r="L1852" i="6"/>
  <c r="N1804" i="6"/>
  <c r="L1788" i="6"/>
  <c r="N1740" i="6"/>
  <c r="L1724" i="6"/>
  <c r="N1684" i="6"/>
  <c r="L1676" i="6"/>
  <c r="L1656" i="6"/>
  <c r="N1640" i="6"/>
  <c r="N1596" i="6"/>
  <c r="N1564" i="6"/>
  <c r="N1420" i="6"/>
  <c r="L1404" i="6"/>
  <c r="L1392" i="6"/>
  <c r="N1376" i="6"/>
  <c r="L1292" i="6"/>
  <c r="N1276" i="6"/>
  <c r="L1264" i="6"/>
  <c r="N1248" i="6"/>
  <c r="L1196" i="6"/>
  <c r="N1164" i="6"/>
  <c r="L1084" i="6"/>
  <c r="L1068" i="6"/>
  <c r="N1052" i="6"/>
  <c r="L1040" i="6"/>
  <c r="L1028" i="6"/>
  <c r="L1008" i="6"/>
  <c r="L992" i="6"/>
  <c r="L976" i="6"/>
  <c r="L960" i="6"/>
  <c r="L944" i="6"/>
  <c r="L928" i="6"/>
  <c r="L912" i="6"/>
  <c r="L896" i="6"/>
  <c r="L880" i="6"/>
  <c r="L864" i="6"/>
  <c r="L848" i="6"/>
  <c r="L832" i="6"/>
  <c r="N820" i="6"/>
  <c r="L800" i="6"/>
  <c r="N788" i="6"/>
  <c r="L768" i="6"/>
  <c r="N756" i="6"/>
  <c r="L736" i="6"/>
  <c r="N724" i="6"/>
  <c r="L704" i="6"/>
  <c r="N692" i="6"/>
  <c r="L672" i="6"/>
  <c r="N660" i="6"/>
  <c r="M1420" i="6"/>
  <c r="M888" i="6"/>
  <c r="L2991" i="6"/>
  <c r="N2968" i="6"/>
  <c r="L2927" i="6"/>
  <c r="N2904" i="6"/>
  <c r="L2819" i="6"/>
  <c r="L2787" i="6"/>
  <c r="L2755" i="6"/>
  <c r="L2723" i="6"/>
  <c r="L2691" i="6"/>
  <c r="L2659" i="6"/>
  <c r="L2627" i="6"/>
  <c r="L2595" i="6"/>
  <c r="L2563" i="6"/>
  <c r="L2531" i="6"/>
  <c r="L2499" i="6"/>
  <c r="L2467" i="6"/>
  <c r="N2435" i="6"/>
  <c r="L2415" i="6"/>
  <c r="N2319" i="6"/>
  <c r="L2299" i="6"/>
  <c r="N2271" i="6"/>
  <c r="N2203" i="6"/>
  <c r="N2123" i="6"/>
  <c r="L2092" i="6"/>
  <c r="N2044" i="6"/>
  <c r="L1964" i="6"/>
  <c r="L1924" i="6"/>
  <c r="L1900" i="6"/>
  <c r="N1868" i="6"/>
  <c r="N1820" i="6"/>
  <c r="L1804" i="6"/>
  <c r="N1756" i="6"/>
  <c r="L1740" i="6"/>
  <c r="N1692" i="6"/>
  <c r="L1684" i="6"/>
  <c r="N1660" i="6"/>
  <c r="L1640" i="6"/>
  <c r="L1372" i="6"/>
  <c r="N1356" i="6"/>
  <c r="L1344" i="6"/>
  <c r="N1328" i="6"/>
  <c r="N1184" i="6"/>
  <c r="L1100" i="6"/>
  <c r="L1048" i="6"/>
  <c r="N1032" i="6"/>
  <c r="N1012" i="6"/>
  <c r="N996" i="6"/>
  <c r="N980" i="6"/>
  <c r="N964" i="6"/>
  <c r="N948" i="6"/>
  <c r="N932" i="6"/>
  <c r="N916" i="6"/>
  <c r="N900" i="6"/>
  <c r="N884" i="6"/>
  <c r="N868" i="6"/>
  <c r="N852" i="6"/>
  <c r="N836" i="6"/>
  <c r="N632" i="6"/>
  <c r="N596" i="6"/>
  <c r="L576" i="6"/>
  <c r="N564" i="6"/>
  <c r="L544" i="6"/>
  <c r="N532" i="6"/>
  <c r="L512" i="6"/>
  <c r="N500" i="6"/>
  <c r="L480" i="6"/>
  <c r="N468" i="6"/>
  <c r="M2691" i="6"/>
  <c r="L1011" i="6"/>
  <c r="M1011" i="6"/>
  <c r="L931" i="6"/>
  <c r="M931" i="6"/>
  <c r="L911" i="6"/>
  <c r="M911" i="6"/>
  <c r="L871" i="6"/>
  <c r="M871" i="6"/>
  <c r="L815" i="6"/>
  <c r="M815" i="6"/>
  <c r="L791" i="6"/>
  <c r="N791" i="6"/>
  <c r="L775" i="6"/>
  <c r="N775" i="6"/>
  <c r="L691" i="6"/>
  <c r="N691" i="6"/>
  <c r="M623" i="6"/>
  <c r="N623" i="6"/>
  <c r="M607" i="6"/>
  <c r="N607" i="6"/>
  <c r="N511" i="6"/>
  <c r="L511" i="6"/>
  <c r="N475" i="6"/>
  <c r="M475" i="6"/>
  <c r="N471" i="6"/>
  <c r="M471" i="6"/>
  <c r="N2240" i="6"/>
  <c r="L2240" i="6"/>
  <c r="M2112" i="6"/>
  <c r="L2112" i="6"/>
  <c r="M2084" i="6"/>
  <c r="N2084" i="6"/>
  <c r="M2068" i="6"/>
  <c r="N2068" i="6"/>
  <c r="M2052" i="6"/>
  <c r="N2052" i="6"/>
  <c r="M2036" i="6"/>
  <c r="N2036" i="6"/>
  <c r="M2020" i="6"/>
  <c r="N2020" i="6"/>
  <c r="M2004" i="6"/>
  <c r="N2004" i="6"/>
  <c r="M1988" i="6"/>
  <c r="N1988" i="6"/>
  <c r="M1972" i="6"/>
  <c r="N1972" i="6"/>
  <c r="M1956" i="6"/>
  <c r="N1956" i="6"/>
  <c r="M1940" i="6"/>
  <c r="N1940" i="6"/>
  <c r="M1908" i="6"/>
  <c r="N1908" i="6"/>
  <c r="M1892" i="6"/>
  <c r="N1892" i="6"/>
  <c r="M1876" i="6"/>
  <c r="N1876" i="6"/>
  <c r="L1872" i="6"/>
  <c r="M1872" i="6"/>
  <c r="M1860" i="6"/>
  <c r="N1860" i="6"/>
  <c r="M1844" i="6"/>
  <c r="N1844" i="6"/>
  <c r="M1828" i="6"/>
  <c r="N1828" i="6"/>
  <c r="M1812" i="6"/>
  <c r="N1812" i="6"/>
  <c r="M1796" i="6"/>
  <c r="N1796" i="6"/>
  <c r="M1780" i="6"/>
  <c r="N1780" i="6"/>
  <c r="M1764" i="6"/>
  <c r="N1764" i="6"/>
  <c r="M1748" i="6"/>
  <c r="N1748" i="6"/>
  <c r="M1732" i="6"/>
  <c r="N1732" i="6"/>
  <c r="L1720" i="6"/>
  <c r="M1720" i="6"/>
  <c r="M1716" i="6"/>
  <c r="N1716" i="6"/>
  <c r="M1700" i="6"/>
  <c r="N1700" i="6"/>
  <c r="M1688" i="6"/>
  <c r="N1688" i="6"/>
  <c r="M1680" i="6"/>
  <c r="N1680" i="6"/>
  <c r="M1672" i="6"/>
  <c r="N1672" i="6"/>
  <c r="M1664" i="6"/>
  <c r="N1664" i="6"/>
  <c r="M1652" i="6"/>
  <c r="N1652" i="6"/>
  <c r="M1648" i="6"/>
  <c r="L1648" i="6"/>
  <c r="M1636" i="6"/>
  <c r="N1636" i="6"/>
  <c r="M1632" i="6"/>
  <c r="L1632" i="6"/>
  <c r="M1628" i="6"/>
  <c r="L1628" i="6"/>
  <c r="M1624" i="6"/>
  <c r="L1624" i="6"/>
  <c r="M1620" i="6"/>
  <c r="L1620" i="6"/>
  <c r="M1616" i="6"/>
  <c r="L1616" i="6"/>
  <c r="M1612" i="6"/>
  <c r="L1612" i="6"/>
  <c r="M1608" i="6"/>
  <c r="L1608" i="6"/>
  <c r="M1604" i="6"/>
  <c r="L1604" i="6"/>
  <c r="M1600" i="6"/>
  <c r="L1600" i="6"/>
  <c r="M1592" i="6"/>
  <c r="L1592" i="6"/>
  <c r="M1588" i="6"/>
  <c r="L1588" i="6"/>
  <c r="M1584" i="6"/>
  <c r="L1584" i="6"/>
  <c r="M1580" i="6"/>
  <c r="L1580" i="6"/>
  <c r="M1576" i="6"/>
  <c r="L1576" i="6"/>
  <c r="M1572" i="6"/>
  <c r="L1572" i="6"/>
  <c r="M1568" i="6"/>
  <c r="L1568" i="6"/>
  <c r="M1560" i="6"/>
  <c r="L1560" i="6"/>
  <c r="M1556" i="6"/>
  <c r="L1556" i="6"/>
  <c r="M1552" i="6"/>
  <c r="L1552" i="6"/>
  <c r="M1548" i="6"/>
  <c r="L1548" i="6"/>
  <c r="M1544" i="6"/>
  <c r="L1544" i="6"/>
  <c r="M1540" i="6"/>
  <c r="L1540" i="6"/>
  <c r="M1536" i="6"/>
  <c r="L1536" i="6"/>
  <c r="M1532" i="6"/>
  <c r="L1532" i="6"/>
  <c r="M1528" i="6"/>
  <c r="L1528" i="6"/>
  <c r="M1524" i="6"/>
  <c r="L1524" i="6"/>
  <c r="M1520" i="6"/>
  <c r="L1520" i="6"/>
  <c r="M1516" i="6"/>
  <c r="L1516" i="6"/>
  <c r="M1512" i="6"/>
  <c r="L1512" i="6"/>
  <c r="M1508" i="6"/>
  <c r="L1508" i="6"/>
  <c r="M1504" i="6"/>
  <c r="L1504" i="6"/>
  <c r="M1500" i="6"/>
  <c r="L1500" i="6"/>
  <c r="M1496" i="6"/>
  <c r="L1496" i="6"/>
  <c r="M1492" i="6"/>
  <c r="L1492" i="6"/>
  <c r="M1488" i="6"/>
  <c r="L1488" i="6"/>
  <c r="M1484" i="6"/>
  <c r="L1484" i="6"/>
  <c r="M1480" i="6"/>
  <c r="L1480" i="6"/>
  <c r="M1476" i="6"/>
  <c r="L1476" i="6"/>
  <c r="M1472" i="6"/>
  <c r="L1472" i="6"/>
  <c r="M1468" i="6"/>
  <c r="L1468" i="6"/>
  <c r="M1464" i="6"/>
  <c r="L1464" i="6"/>
  <c r="M1460" i="6"/>
  <c r="L1460" i="6"/>
  <c r="M1456" i="6"/>
  <c r="L1456" i="6"/>
  <c r="M1452" i="6"/>
  <c r="L1452" i="6"/>
  <c r="M1448" i="6"/>
  <c r="L1448" i="6"/>
  <c r="M1444" i="6"/>
  <c r="L1444" i="6"/>
  <c r="M1440" i="6"/>
  <c r="L1440" i="6"/>
  <c r="M1436" i="6"/>
  <c r="L1436" i="6"/>
  <c r="M1432" i="6"/>
  <c r="L1432" i="6"/>
  <c r="M1428" i="6"/>
  <c r="L1428" i="6"/>
  <c r="M1416" i="6"/>
  <c r="N1416" i="6"/>
  <c r="M1412" i="6"/>
  <c r="L1412" i="6"/>
  <c r="M1400" i="6"/>
  <c r="N1400" i="6"/>
  <c r="M1396" i="6"/>
  <c r="L1396" i="6"/>
  <c r="M1384" i="6"/>
  <c r="N1384" i="6"/>
  <c r="M1380" i="6"/>
  <c r="L1380" i="6"/>
  <c r="M1368" i="6"/>
  <c r="N1368" i="6"/>
  <c r="M1364" i="6"/>
  <c r="L1364" i="6"/>
  <c r="M1352" i="6"/>
  <c r="N1352" i="6"/>
  <c r="M1348" i="6"/>
  <c r="L1348" i="6"/>
  <c r="M1336" i="6"/>
  <c r="N1336" i="6"/>
  <c r="M1320" i="6"/>
  <c r="N1320" i="6"/>
  <c r="M1316" i="6"/>
  <c r="L1316" i="6"/>
  <c r="M1304" i="6"/>
  <c r="N1304" i="6"/>
  <c r="M1300" i="6"/>
  <c r="L1300" i="6"/>
  <c r="M1288" i="6"/>
  <c r="N1288" i="6"/>
  <c r="M1284" i="6"/>
  <c r="L1284" i="6"/>
  <c r="M1272" i="6"/>
  <c r="N1272" i="6"/>
  <c r="M1268" i="6"/>
  <c r="L1268" i="6"/>
  <c r="M1256" i="6"/>
  <c r="N1256" i="6"/>
  <c r="M1252" i="6"/>
  <c r="L1252" i="6"/>
  <c r="M1244" i="6"/>
  <c r="N1244" i="6"/>
  <c r="M1212" i="6"/>
  <c r="N1212" i="6"/>
  <c r="M1180" i="6"/>
  <c r="N1180" i="6"/>
  <c r="M1148" i="6"/>
  <c r="N1148" i="6"/>
  <c r="M1116" i="6"/>
  <c r="N1116" i="6"/>
  <c r="N2327" i="6"/>
  <c r="K2355" i="6"/>
  <c r="K2327" i="6"/>
  <c r="N2515" i="6"/>
  <c r="M2515" i="6"/>
  <c r="M2295" i="6"/>
  <c r="N2295" i="6"/>
  <c r="M2283" i="6"/>
  <c r="N2283" i="6"/>
  <c r="M2175" i="6"/>
  <c r="L2175" i="6"/>
  <c r="M2155" i="6"/>
  <c r="L2155" i="6"/>
  <c r="M2139" i="6"/>
  <c r="N2139" i="6"/>
  <c r="M1659" i="6"/>
  <c r="N1659" i="6"/>
  <c r="M1643" i="6"/>
  <c r="N1643" i="6"/>
  <c r="L1411" i="6"/>
  <c r="M1411" i="6"/>
  <c r="L1375" i="6"/>
  <c r="N1375" i="6"/>
  <c r="L1139" i="6"/>
  <c r="N1139" i="6"/>
  <c r="M2251" i="6"/>
  <c r="L2251" i="6"/>
  <c r="M2223" i="6"/>
  <c r="N2223" i="6"/>
  <c r="M2191" i="6"/>
  <c r="L2191" i="6"/>
  <c r="L3000" i="6"/>
  <c r="L2979" i="6"/>
  <c r="L2968" i="6"/>
  <c r="L2947" i="6"/>
  <c r="L2936" i="6"/>
  <c r="L2915" i="6"/>
  <c r="L2904" i="6"/>
  <c r="L2883" i="6"/>
  <c r="L2867" i="6"/>
  <c r="L2851" i="6"/>
  <c r="L2835" i="6"/>
  <c r="L2799" i="6"/>
  <c r="L2783" i="6"/>
  <c r="L2767" i="6"/>
  <c r="L2751" i="6"/>
  <c r="L2735" i="6"/>
  <c r="L2719" i="6"/>
  <c r="L2703" i="6"/>
  <c r="L2687" i="6"/>
  <c r="L2671" i="6"/>
  <c r="L2655" i="6"/>
  <c r="L2639" i="6"/>
  <c r="L2623" i="6"/>
  <c r="L2607" i="6"/>
  <c r="L2591" i="6"/>
  <c r="L2575" i="6"/>
  <c r="L2559" i="6"/>
  <c r="L2543" i="6"/>
  <c r="L2527" i="6"/>
  <c r="L2511" i="6"/>
  <c r="L2495" i="6"/>
  <c r="L2479" i="6"/>
  <c r="L2463" i="6"/>
  <c r="L2447" i="6"/>
  <c r="N2431" i="6"/>
  <c r="L2411" i="6"/>
  <c r="N2399" i="6"/>
  <c r="L2379" i="6"/>
  <c r="N2371" i="6"/>
  <c r="L2363" i="6"/>
  <c r="N2355" i="6"/>
  <c r="L2347" i="6"/>
  <c r="N2339" i="6"/>
  <c r="L2331" i="6"/>
  <c r="N2323" i="6"/>
  <c r="L2315" i="6"/>
  <c r="L2307" i="6"/>
  <c r="L2292" i="6"/>
  <c r="N2255" i="6"/>
  <c r="L2223" i="6"/>
  <c r="N2187" i="6"/>
  <c r="L2135" i="6"/>
  <c r="L2100" i="6"/>
  <c r="N2076" i="6"/>
  <c r="L2060" i="6"/>
  <c r="L2036" i="6"/>
  <c r="N2012" i="6"/>
  <c r="L1996" i="6"/>
  <c r="L1972" i="6"/>
  <c r="N1948" i="6"/>
  <c r="L1932" i="6"/>
  <c r="L1908" i="6"/>
  <c r="N1884" i="6"/>
  <c r="L1868" i="6"/>
  <c r="M2400" i="6"/>
  <c r="M2311" i="6"/>
  <c r="N2311" i="6"/>
  <c r="M2303" i="6"/>
  <c r="N2303" i="6"/>
  <c r="M2267" i="6"/>
  <c r="L2267" i="6"/>
  <c r="M2235" i="6"/>
  <c r="L2235" i="6"/>
  <c r="M2207" i="6"/>
  <c r="L2207" i="6"/>
  <c r="N2984" i="6"/>
  <c r="L2975" i="6"/>
  <c r="N2952" i="6"/>
  <c r="L2943" i="6"/>
  <c r="N2920" i="6"/>
  <c r="L2911" i="6"/>
  <c r="N2888" i="6"/>
  <c r="L2879" i="6"/>
  <c r="L2863" i="6"/>
  <c r="L2847" i="6"/>
  <c r="L2831" i="6"/>
  <c r="L2795" i="6"/>
  <c r="L2779" i="6"/>
  <c r="L2763" i="6"/>
  <c r="L2747" i="6"/>
  <c r="L2731" i="6"/>
  <c r="L2715" i="6"/>
  <c r="L2699" i="6"/>
  <c r="L2683" i="6"/>
  <c r="L2667" i="6"/>
  <c r="L2651" i="6"/>
  <c r="L2635" i="6"/>
  <c r="L2619" i="6"/>
  <c r="L2603" i="6"/>
  <c r="L2587" i="6"/>
  <c r="L2571" i="6"/>
  <c r="L2555" i="6"/>
  <c r="L2539" i="6"/>
  <c r="L2523" i="6"/>
  <c r="L2507" i="6"/>
  <c r="L2491" i="6"/>
  <c r="L2475" i="6"/>
  <c r="L2459" i="6"/>
  <c r="L2443" i="6"/>
  <c r="L2431" i="6"/>
  <c r="N2419" i="6"/>
  <c r="L2399" i="6"/>
  <c r="N2387" i="6"/>
  <c r="L2371" i="6"/>
  <c r="L2355" i="6"/>
  <c r="L2339" i="6"/>
  <c r="L2323" i="6"/>
  <c r="L2303" i="6"/>
  <c r="L2255" i="6"/>
  <c r="N2219" i="6"/>
  <c r="N2207" i="6"/>
  <c r="L2187" i="6"/>
  <c r="N2175" i="6"/>
  <c r="N2092" i="6"/>
  <c r="L2076" i="6"/>
  <c r="L2052" i="6"/>
  <c r="N2028" i="6"/>
  <c r="L2012" i="6"/>
  <c r="L1988" i="6"/>
  <c r="N1964" i="6"/>
  <c r="L1948" i="6"/>
  <c r="M2352" i="6"/>
  <c r="M656" i="6"/>
  <c r="N656" i="6"/>
  <c r="M652" i="6"/>
  <c r="L652" i="6"/>
  <c r="M640" i="6"/>
  <c r="N640" i="6"/>
  <c r="M636" i="6"/>
  <c r="L636" i="6"/>
  <c r="M624" i="6"/>
  <c r="N624" i="6"/>
  <c r="M620" i="6"/>
  <c r="L620" i="6"/>
  <c r="M608" i="6"/>
  <c r="N608" i="6"/>
  <c r="M604" i="6"/>
  <c r="L604" i="6"/>
  <c r="L1047" i="6"/>
  <c r="M1047" i="6"/>
  <c r="L835" i="6"/>
  <c r="M835" i="6"/>
  <c r="L755" i="6"/>
  <c r="M755" i="6"/>
  <c r="L647" i="6"/>
  <c r="N647" i="6"/>
  <c r="M595" i="6"/>
  <c r="N595" i="6"/>
  <c r="M591" i="6"/>
  <c r="N591" i="6"/>
  <c r="M587" i="6"/>
  <c r="N587" i="6"/>
  <c r="M583" i="6"/>
  <c r="N583" i="6"/>
  <c r="M579" i="6"/>
  <c r="N579" i="6"/>
  <c r="M575" i="6"/>
  <c r="N575" i="6"/>
  <c r="M571" i="6"/>
  <c r="N571" i="6"/>
  <c r="M567" i="6"/>
  <c r="N567" i="6"/>
  <c r="M563" i="6"/>
  <c r="N563" i="6"/>
  <c r="M559" i="6"/>
  <c r="N559" i="6"/>
  <c r="M555" i="6"/>
  <c r="N555" i="6"/>
  <c r="M547" i="6"/>
  <c r="N547" i="6"/>
  <c r="M543" i="6"/>
  <c r="N543" i="6"/>
  <c r="M539" i="6"/>
  <c r="N539" i="6"/>
  <c r="M535" i="6"/>
  <c r="N535" i="6"/>
  <c r="M531" i="6"/>
  <c r="N531" i="6"/>
  <c r="M527" i="6"/>
  <c r="N527" i="6"/>
  <c r="M523" i="6"/>
  <c r="N523" i="6"/>
  <c r="M519" i="6"/>
  <c r="N519" i="6"/>
  <c r="M515" i="6"/>
  <c r="N515" i="6"/>
  <c r="M507" i="6"/>
  <c r="N507" i="6"/>
  <c r="M503" i="6"/>
  <c r="N503" i="6"/>
  <c r="M499" i="6"/>
  <c r="N499" i="6"/>
  <c r="M495" i="6"/>
  <c r="N495" i="6"/>
  <c r="M487" i="6"/>
  <c r="N487" i="6"/>
  <c r="M483" i="6"/>
  <c r="N483" i="6"/>
  <c r="M479" i="6"/>
  <c r="N479" i="6"/>
  <c r="M467" i="6"/>
  <c r="N467" i="6"/>
  <c r="M463" i="6"/>
  <c r="N463" i="6"/>
  <c r="M459" i="6"/>
  <c r="N459" i="6"/>
  <c r="M455" i="6"/>
  <c r="N455" i="6"/>
  <c r="M451" i="6"/>
  <c r="N451" i="6"/>
  <c r="M447" i="6"/>
  <c r="N447" i="6"/>
  <c r="M443" i="6"/>
  <c r="N443" i="6"/>
  <c r="M439" i="6"/>
  <c r="N439" i="6"/>
  <c r="M435" i="6"/>
  <c r="N435" i="6"/>
  <c r="M431" i="6"/>
  <c r="N431" i="6"/>
  <c r="M427" i="6"/>
  <c r="N427" i="6"/>
  <c r="M423" i="6"/>
  <c r="N423" i="6"/>
  <c r="M419" i="6"/>
  <c r="N419" i="6"/>
  <c r="M415" i="6"/>
  <c r="N415" i="6"/>
  <c r="M407" i="6"/>
  <c r="N407" i="6"/>
  <c r="M403" i="6"/>
  <c r="N403" i="6"/>
  <c r="N1084" i="6"/>
  <c r="L1064" i="6"/>
  <c r="L1056" i="6"/>
  <c r="M1091" i="6"/>
  <c r="M3004" i="6"/>
  <c r="L3004" i="6"/>
  <c r="M2996" i="6"/>
  <c r="N2996" i="6"/>
  <c r="M2992" i="6"/>
  <c r="L2992" i="6"/>
  <c r="N2992" i="6"/>
  <c r="M2988" i="6"/>
  <c r="L2988" i="6"/>
  <c r="M2980" i="6"/>
  <c r="N2980" i="6"/>
  <c r="M2976" i="6"/>
  <c r="L2976" i="6"/>
  <c r="N2976" i="6"/>
  <c r="M2972" i="6"/>
  <c r="L2972" i="6"/>
  <c r="M2964" i="6"/>
  <c r="N2964" i="6"/>
  <c r="M2960" i="6"/>
  <c r="L2960" i="6"/>
  <c r="N2960" i="6"/>
  <c r="M2956" i="6"/>
  <c r="L2956" i="6"/>
  <c r="M2948" i="6"/>
  <c r="N2948" i="6"/>
  <c r="M2944" i="6"/>
  <c r="L2944" i="6"/>
  <c r="N2944" i="6"/>
  <c r="M2940" i="6"/>
  <c r="L2940" i="6"/>
  <c r="M2932" i="6"/>
  <c r="N2932" i="6"/>
  <c r="M2928" i="6"/>
  <c r="L2928" i="6"/>
  <c r="N2928" i="6"/>
  <c r="M2924" i="6"/>
  <c r="L2924" i="6"/>
  <c r="M2916" i="6"/>
  <c r="N2916" i="6"/>
  <c r="M2912" i="6"/>
  <c r="L2912" i="6"/>
  <c r="N2912" i="6"/>
  <c r="M2908" i="6"/>
  <c r="L2908" i="6"/>
  <c r="M2900" i="6"/>
  <c r="N2900" i="6"/>
  <c r="M2896" i="6"/>
  <c r="L2896" i="6"/>
  <c r="N2896" i="6"/>
  <c r="M2892" i="6"/>
  <c r="L2892" i="6"/>
  <c r="M2884" i="6"/>
  <c r="N2884" i="6"/>
  <c r="M2880" i="6"/>
  <c r="L2880" i="6"/>
  <c r="N2880" i="6"/>
  <c r="N2876" i="6"/>
  <c r="L2876" i="6"/>
  <c r="M2872" i="6"/>
  <c r="L2872" i="6"/>
  <c r="M2868" i="6"/>
  <c r="N2868" i="6"/>
  <c r="M2864" i="6"/>
  <c r="L2864" i="6"/>
  <c r="N2864" i="6"/>
  <c r="M2860" i="6"/>
  <c r="N2860" i="6"/>
  <c r="L2860" i="6"/>
  <c r="M2856" i="6"/>
  <c r="L2856" i="6"/>
  <c r="M2852" i="6"/>
  <c r="N2852" i="6"/>
  <c r="M2848" i="6"/>
  <c r="L2848" i="6"/>
  <c r="N2848" i="6"/>
  <c r="M2844" i="6"/>
  <c r="L2844" i="6"/>
  <c r="N2844" i="6"/>
  <c r="L2840" i="6"/>
  <c r="M2840" i="6"/>
  <c r="M2836" i="6"/>
  <c r="N2836" i="6"/>
  <c r="M2832" i="6"/>
  <c r="L2832" i="6"/>
  <c r="N2832" i="6"/>
  <c r="M2828" i="6"/>
  <c r="N2828" i="6"/>
  <c r="L2828" i="6"/>
  <c r="M2824" i="6"/>
  <c r="L2824" i="6"/>
  <c r="M2820" i="6"/>
  <c r="L2820" i="6"/>
  <c r="N2820" i="6"/>
  <c r="M2816" i="6"/>
  <c r="L2816" i="6"/>
  <c r="N2816" i="6"/>
  <c r="M2812" i="6"/>
  <c r="L2812" i="6"/>
  <c r="M2808" i="6"/>
  <c r="N2808" i="6"/>
  <c r="M2804" i="6"/>
  <c r="L2804" i="6"/>
  <c r="N2804" i="6"/>
  <c r="M2800" i="6"/>
  <c r="L2800" i="6"/>
  <c r="N2800" i="6"/>
  <c r="M2796" i="6"/>
  <c r="L2796" i="6"/>
  <c r="N2796" i="6"/>
  <c r="M2792" i="6"/>
  <c r="L2792" i="6"/>
  <c r="N2792" i="6"/>
  <c r="M2788" i="6"/>
  <c r="L2788" i="6"/>
  <c r="N2788" i="6"/>
  <c r="M2784" i="6"/>
  <c r="L2784" i="6"/>
  <c r="N2784" i="6"/>
  <c r="M2780" i="6"/>
  <c r="L2780" i="6"/>
  <c r="N2780" i="6"/>
  <c r="M2776" i="6"/>
  <c r="L2776" i="6"/>
  <c r="N2776" i="6"/>
  <c r="M2772" i="6"/>
  <c r="L2772" i="6"/>
  <c r="N2772" i="6"/>
  <c r="M2768" i="6"/>
  <c r="L2768" i="6"/>
  <c r="N2768" i="6"/>
  <c r="L2764" i="6"/>
  <c r="M2764" i="6"/>
  <c r="N2764" i="6"/>
  <c r="M2760" i="6"/>
  <c r="L2760" i="6"/>
  <c r="N2760" i="6"/>
  <c r="M2756" i="6"/>
  <c r="L2756" i="6"/>
  <c r="N2756" i="6"/>
  <c r="M2752" i="6"/>
  <c r="L2752" i="6"/>
  <c r="N2752" i="6"/>
  <c r="M2748" i="6"/>
  <c r="L2748" i="6"/>
  <c r="N2748" i="6"/>
  <c r="M2744" i="6"/>
  <c r="L2744" i="6"/>
  <c r="N2744" i="6"/>
  <c r="M2740" i="6"/>
  <c r="L2740" i="6"/>
  <c r="N2740" i="6"/>
  <c r="M2736" i="6"/>
  <c r="L2736" i="6"/>
  <c r="N2736" i="6"/>
  <c r="M2732" i="6"/>
  <c r="L2732" i="6"/>
  <c r="N2732" i="6"/>
  <c r="M2728" i="6"/>
  <c r="L2728" i="6"/>
  <c r="N2728" i="6"/>
  <c r="M2724" i="6"/>
  <c r="L2724" i="6"/>
  <c r="N2724" i="6"/>
  <c r="M2720" i="6"/>
  <c r="L2720" i="6"/>
  <c r="N2720" i="6"/>
  <c r="M2716" i="6"/>
  <c r="L2716" i="6"/>
  <c r="N2716" i="6"/>
  <c r="M2712" i="6"/>
  <c r="L2712" i="6"/>
  <c r="N2712" i="6"/>
  <c r="M2708" i="6"/>
  <c r="L2708" i="6"/>
  <c r="N2708" i="6"/>
  <c r="L2704" i="6"/>
  <c r="N2704" i="6"/>
  <c r="M2700" i="6"/>
  <c r="L2700" i="6"/>
  <c r="N2700" i="6"/>
  <c r="M2696" i="6"/>
  <c r="L2696" i="6"/>
  <c r="N2696" i="6"/>
  <c r="M2692" i="6"/>
  <c r="N2692" i="6"/>
  <c r="L2692" i="6"/>
  <c r="M2688" i="6"/>
  <c r="L2688" i="6"/>
  <c r="N2688" i="6"/>
  <c r="M2684" i="6"/>
  <c r="L2684" i="6"/>
  <c r="N2684" i="6"/>
  <c r="M2680" i="6"/>
  <c r="N2680" i="6"/>
  <c r="L2680" i="6"/>
  <c r="M2676" i="6"/>
  <c r="L2676" i="6"/>
  <c r="N2676" i="6"/>
  <c r="M2672" i="6"/>
  <c r="L2672" i="6"/>
  <c r="N2672" i="6"/>
  <c r="M2668" i="6"/>
  <c r="L2668" i="6"/>
  <c r="N2668" i="6"/>
  <c r="M2664" i="6"/>
  <c r="L2664" i="6"/>
  <c r="N2664" i="6"/>
  <c r="M2660" i="6"/>
  <c r="L2660" i="6"/>
  <c r="N2660" i="6"/>
  <c r="M2656" i="6"/>
  <c r="L2656" i="6"/>
  <c r="N2656" i="6"/>
  <c r="M2652" i="6"/>
  <c r="L2652" i="6"/>
  <c r="N2652" i="6"/>
  <c r="M2648" i="6"/>
  <c r="L2648" i="6"/>
  <c r="N2648" i="6"/>
  <c r="M2644" i="6"/>
  <c r="L2644" i="6"/>
  <c r="N2644" i="6"/>
  <c r="M2640" i="6"/>
  <c r="L2640" i="6"/>
  <c r="N2640" i="6"/>
  <c r="M2636" i="6"/>
  <c r="L2636" i="6"/>
  <c r="N2636" i="6"/>
  <c r="M2632" i="6"/>
  <c r="L2632" i="6"/>
  <c r="N2632" i="6"/>
  <c r="M2628" i="6"/>
  <c r="L2628" i="6"/>
  <c r="N2628" i="6"/>
  <c r="M2624" i="6"/>
  <c r="L2624" i="6"/>
  <c r="N2624" i="6"/>
  <c r="M2620" i="6"/>
  <c r="L2620" i="6"/>
  <c r="N2620" i="6"/>
  <c r="M2616" i="6"/>
  <c r="N2616" i="6"/>
  <c r="L2616" i="6"/>
  <c r="M2612" i="6"/>
  <c r="L2612" i="6"/>
  <c r="N2612" i="6"/>
  <c r="L2608" i="6"/>
  <c r="N2608" i="6"/>
  <c r="M2604" i="6"/>
  <c r="N2604" i="6"/>
  <c r="L2604" i="6"/>
  <c r="M2600" i="6"/>
  <c r="L2600" i="6"/>
  <c r="N2600" i="6"/>
  <c r="M2596" i="6"/>
  <c r="L2596" i="6"/>
  <c r="N2596" i="6"/>
  <c r="L2592" i="6"/>
  <c r="M2592" i="6"/>
  <c r="N2592" i="6"/>
  <c r="M2588" i="6"/>
  <c r="L2588" i="6"/>
  <c r="N2588" i="6"/>
  <c r="M2584" i="6"/>
  <c r="L2584" i="6"/>
  <c r="N2584" i="6"/>
  <c r="M2580" i="6"/>
  <c r="L2580" i="6"/>
  <c r="N2580" i="6"/>
  <c r="M2576" i="6"/>
  <c r="L2576" i="6"/>
  <c r="N2576" i="6"/>
  <c r="M2572" i="6"/>
  <c r="L2572" i="6"/>
  <c r="N2572" i="6"/>
  <c r="M2568" i="6"/>
  <c r="N2568" i="6"/>
  <c r="L2568" i="6"/>
  <c r="L2564" i="6"/>
  <c r="M2564" i="6"/>
  <c r="N2564" i="6"/>
  <c r="M2560" i="6"/>
  <c r="L2560" i="6"/>
  <c r="N2560" i="6"/>
  <c r="M2556" i="6"/>
  <c r="N2556" i="6"/>
  <c r="L2556" i="6"/>
  <c r="M2552" i="6"/>
  <c r="L2552" i="6"/>
  <c r="N2552" i="6"/>
  <c r="M2548" i="6"/>
  <c r="L2548" i="6"/>
  <c r="N2548" i="6"/>
  <c r="M2544" i="6"/>
  <c r="L2544" i="6"/>
  <c r="N2544" i="6"/>
  <c r="M2540" i="6"/>
  <c r="N2540" i="6"/>
  <c r="L2540" i="6"/>
  <c r="M2536" i="6"/>
  <c r="L2536" i="6"/>
  <c r="N2536" i="6"/>
  <c r="M2532" i="6"/>
  <c r="L2532" i="6"/>
  <c r="N2532" i="6"/>
  <c r="M2528" i="6"/>
  <c r="L2528" i="6"/>
  <c r="N2528" i="6"/>
  <c r="M2524" i="6"/>
  <c r="L2524" i="6"/>
  <c r="N2524" i="6"/>
  <c r="M2520" i="6"/>
  <c r="L2520" i="6"/>
  <c r="N2520" i="6"/>
  <c r="M2516" i="6"/>
  <c r="L2516" i="6"/>
  <c r="N2516" i="6"/>
  <c r="M2512" i="6"/>
  <c r="L2512" i="6"/>
  <c r="N2512" i="6"/>
  <c r="M2508" i="6"/>
  <c r="L2508" i="6"/>
  <c r="N2508" i="6"/>
  <c r="M2504" i="6"/>
  <c r="L2504" i="6"/>
  <c r="N2504" i="6"/>
  <c r="M2500" i="6"/>
  <c r="L2500" i="6"/>
  <c r="N2500" i="6"/>
  <c r="M2496" i="6"/>
  <c r="L2496" i="6"/>
  <c r="N2496" i="6"/>
  <c r="L2492" i="6"/>
  <c r="N2492" i="6"/>
  <c r="M2492" i="6"/>
  <c r="M2488" i="6"/>
  <c r="L2488" i="6"/>
  <c r="N2488" i="6"/>
  <c r="M2484" i="6"/>
  <c r="L2484" i="6"/>
  <c r="N2484" i="6"/>
  <c r="M2480" i="6"/>
  <c r="N2480" i="6"/>
  <c r="L2480" i="6"/>
  <c r="M2476" i="6"/>
  <c r="L2476" i="6"/>
  <c r="N2476" i="6"/>
  <c r="M2472" i="6"/>
  <c r="L2472" i="6"/>
  <c r="N2472" i="6"/>
  <c r="M2468" i="6"/>
  <c r="L2468" i="6"/>
  <c r="N2468" i="6"/>
  <c r="L2464" i="6"/>
  <c r="N2464" i="6"/>
  <c r="M2464" i="6"/>
  <c r="M2460" i="6"/>
  <c r="L2460" i="6"/>
  <c r="N2460" i="6"/>
  <c r="N2432" i="6"/>
  <c r="M2432" i="6"/>
  <c r="N2428" i="6"/>
  <c r="M2428" i="6"/>
  <c r="N2416" i="6"/>
  <c r="M2416" i="6"/>
  <c r="N2412" i="6"/>
  <c r="M2412" i="6"/>
  <c r="N2404" i="6"/>
  <c r="M2404" i="6"/>
  <c r="N2392" i="6"/>
  <c r="M2392" i="6"/>
  <c r="N2388" i="6"/>
  <c r="M2388" i="6"/>
  <c r="N2376" i="6"/>
  <c r="M2376" i="6"/>
  <c r="N2368" i="6"/>
  <c r="M2368" i="6"/>
  <c r="N2360" i="6"/>
  <c r="M2360" i="6"/>
  <c r="N2340" i="6"/>
  <c r="M2340" i="6"/>
  <c r="N2336" i="6"/>
  <c r="M2336" i="6"/>
  <c r="N2328" i="6"/>
  <c r="M2328" i="6"/>
  <c r="N2312" i="6"/>
  <c r="M2312" i="6"/>
  <c r="N2300" i="6"/>
  <c r="M2300" i="6"/>
  <c r="N2296" i="6"/>
  <c r="M2296" i="6"/>
  <c r="N2260" i="6"/>
  <c r="M2260" i="6"/>
  <c r="N2252" i="6"/>
  <c r="M2252" i="6"/>
  <c r="L2252" i="6"/>
  <c r="N2236" i="6"/>
  <c r="L2236" i="6"/>
  <c r="M2236" i="6"/>
  <c r="N2228" i="6"/>
  <c r="M2228" i="6"/>
  <c r="N2224" i="6"/>
  <c r="M2224" i="6"/>
  <c r="N2212" i="6"/>
  <c r="M2212" i="6"/>
  <c r="N2200" i="6"/>
  <c r="M2200" i="6"/>
  <c r="N2192" i="6"/>
  <c r="M2192" i="6"/>
  <c r="N2164" i="6"/>
  <c r="M2164" i="6"/>
  <c r="N2156" i="6"/>
  <c r="M2156" i="6"/>
  <c r="L2156" i="6"/>
  <c r="N2144" i="6"/>
  <c r="M2144" i="6"/>
  <c r="N2140" i="6"/>
  <c r="M2140" i="6"/>
  <c r="L2140" i="6"/>
  <c r="N2132" i="6"/>
  <c r="M2132" i="6"/>
  <c r="M2124" i="6"/>
  <c r="L2124" i="6"/>
  <c r="M2120" i="6"/>
  <c r="L2120" i="6"/>
  <c r="N2116" i="6"/>
  <c r="M2116" i="6"/>
  <c r="M2108" i="6"/>
  <c r="L2108" i="6"/>
  <c r="N2104" i="6"/>
  <c r="M2104" i="6"/>
  <c r="L2104" i="6"/>
  <c r="N2448" i="6"/>
  <c r="M2291" i="6"/>
  <c r="L2291" i="6"/>
  <c r="M2279" i="6"/>
  <c r="N2279" i="6"/>
  <c r="M2275" i="6"/>
  <c r="L2275" i="6"/>
  <c r="M2263" i="6"/>
  <c r="N2263" i="6"/>
  <c r="M2259" i="6"/>
  <c r="L2259" i="6"/>
  <c r="M2247" i="6"/>
  <c r="N2247" i="6"/>
  <c r="M2243" i="6"/>
  <c r="L2243" i="6"/>
  <c r="M2231" i="6"/>
  <c r="N2231" i="6"/>
  <c r="M2227" i="6"/>
  <c r="L2227" i="6"/>
  <c r="M2215" i="6"/>
  <c r="N2215" i="6"/>
  <c r="M2211" i="6"/>
  <c r="L2211" i="6"/>
  <c r="M2199" i="6"/>
  <c r="N2199" i="6"/>
  <c r="M2195" i="6"/>
  <c r="L2195" i="6"/>
  <c r="M2183" i="6"/>
  <c r="N2183" i="6"/>
  <c r="M2179" i="6"/>
  <c r="L2179" i="6"/>
  <c r="M2167" i="6"/>
  <c r="N2167" i="6"/>
  <c r="M2163" i="6"/>
  <c r="L2163" i="6"/>
  <c r="M2159" i="6"/>
  <c r="L2159" i="6"/>
  <c r="M2151" i="6"/>
  <c r="N2151" i="6"/>
  <c r="M2147" i="6"/>
  <c r="L2147" i="6"/>
  <c r="N2147" i="6"/>
  <c r="M2143" i="6"/>
  <c r="L2143" i="6"/>
  <c r="M2131" i="6"/>
  <c r="L2131" i="6"/>
  <c r="N2131" i="6"/>
  <c r="M2127" i="6"/>
  <c r="L2127" i="6"/>
  <c r="M2119" i="6"/>
  <c r="N2119" i="6"/>
  <c r="M2115" i="6"/>
  <c r="L2115" i="6"/>
  <c r="N2115" i="6"/>
  <c r="M2111" i="6"/>
  <c r="L2111" i="6"/>
  <c r="M2103" i="6"/>
  <c r="N2103" i="6"/>
  <c r="M2099" i="6"/>
  <c r="L2099" i="6"/>
  <c r="N2099" i="6"/>
  <c r="M2095" i="6"/>
  <c r="L2095" i="6"/>
  <c r="N2095" i="6"/>
  <c r="M2091" i="6"/>
  <c r="L2091" i="6"/>
  <c r="N2091" i="6"/>
  <c r="M2087" i="6"/>
  <c r="L2087" i="6"/>
  <c r="N2087" i="6"/>
  <c r="M2083" i="6"/>
  <c r="L2083" i="6"/>
  <c r="N2083" i="6"/>
  <c r="M2079" i="6"/>
  <c r="L2079" i="6"/>
  <c r="N2079" i="6"/>
  <c r="M2075" i="6"/>
  <c r="L2075" i="6"/>
  <c r="N2075" i="6"/>
  <c r="M2071" i="6"/>
  <c r="L2071" i="6"/>
  <c r="N2071" i="6"/>
  <c r="M2067" i="6"/>
  <c r="L2067" i="6"/>
  <c r="N2067" i="6"/>
  <c r="M2063" i="6"/>
  <c r="L2063" i="6"/>
  <c r="N2063" i="6"/>
  <c r="M2059" i="6"/>
  <c r="L2059" i="6"/>
  <c r="N2059" i="6"/>
  <c r="M2055" i="6"/>
  <c r="L2055" i="6"/>
  <c r="N2055" i="6"/>
  <c r="M2051" i="6"/>
  <c r="L2051" i="6"/>
  <c r="N2051" i="6"/>
  <c r="M2047" i="6"/>
  <c r="L2047" i="6"/>
  <c r="N2047" i="6"/>
  <c r="M2043" i="6"/>
  <c r="L2043" i="6"/>
  <c r="N2043" i="6"/>
  <c r="M2039" i="6"/>
  <c r="L2039" i="6"/>
  <c r="N2039" i="6"/>
  <c r="M2035" i="6"/>
  <c r="L2035" i="6"/>
  <c r="N2035" i="6"/>
  <c r="M2031" i="6"/>
  <c r="L2031" i="6"/>
  <c r="N2031" i="6"/>
  <c r="M2027" i="6"/>
  <c r="L2027" i="6"/>
  <c r="N2027" i="6"/>
  <c r="M2023" i="6"/>
  <c r="L2023" i="6"/>
  <c r="N2023" i="6"/>
  <c r="L2019" i="6"/>
  <c r="N2019" i="6"/>
  <c r="M2015" i="6"/>
  <c r="L2015" i="6"/>
  <c r="N2015" i="6"/>
  <c r="L2011" i="6"/>
  <c r="M2011" i="6"/>
  <c r="N2011" i="6"/>
  <c r="M2007" i="6"/>
  <c r="L2007" i="6"/>
  <c r="N2007" i="6"/>
  <c r="M2003" i="6"/>
  <c r="L2003" i="6"/>
  <c r="N2003" i="6"/>
  <c r="M1999" i="6"/>
  <c r="L1999" i="6"/>
  <c r="N1999" i="6"/>
  <c r="M1995" i="6"/>
  <c r="L1995" i="6"/>
  <c r="N1995" i="6"/>
  <c r="M1991" i="6"/>
  <c r="L1991" i="6"/>
  <c r="N1991" i="6"/>
  <c r="M1987" i="6"/>
  <c r="L1987" i="6"/>
  <c r="N1987" i="6"/>
  <c r="M1983" i="6"/>
  <c r="L1983" i="6"/>
  <c r="N1983" i="6"/>
  <c r="M1979" i="6"/>
  <c r="L1979" i="6"/>
  <c r="N1979" i="6"/>
  <c r="M1975" i="6"/>
  <c r="L1975" i="6"/>
  <c r="N1975" i="6"/>
  <c r="M1971" i="6"/>
  <c r="L1971" i="6"/>
  <c r="N1971" i="6"/>
  <c r="M1967" i="6"/>
  <c r="L1967" i="6"/>
  <c r="N1967" i="6"/>
  <c r="M1963" i="6"/>
  <c r="L1963" i="6"/>
  <c r="N1963" i="6"/>
  <c r="M1959" i="6"/>
  <c r="L1959" i="6"/>
  <c r="N1959" i="6"/>
  <c r="M1955" i="6"/>
  <c r="L1955" i="6"/>
  <c r="N1955" i="6"/>
  <c r="M1951" i="6"/>
  <c r="L1951" i="6"/>
  <c r="N1951" i="6"/>
  <c r="M1947" i="6"/>
  <c r="L1947" i="6"/>
  <c r="N1947" i="6"/>
  <c r="M1943" i="6"/>
  <c r="L1943" i="6"/>
  <c r="N1943" i="6"/>
  <c r="M1939" i="6"/>
  <c r="L1939" i="6"/>
  <c r="N1939" i="6"/>
  <c r="M1935" i="6"/>
  <c r="L1935" i="6"/>
  <c r="N1935" i="6"/>
  <c r="M1931" i="6"/>
  <c r="L1931" i="6"/>
  <c r="N1931" i="6"/>
  <c r="M1927" i="6"/>
  <c r="L1927" i="6"/>
  <c r="N1927" i="6"/>
  <c r="M1923" i="6"/>
  <c r="L1923" i="6"/>
  <c r="N1923" i="6"/>
  <c r="M1919" i="6"/>
  <c r="L1919" i="6"/>
  <c r="N1919" i="6"/>
  <c r="M1915" i="6"/>
  <c r="L1915" i="6"/>
  <c r="N1915" i="6"/>
  <c r="M1911" i="6"/>
  <c r="L1911" i="6"/>
  <c r="N1911" i="6"/>
  <c r="M1907" i="6"/>
  <c r="L1907" i="6"/>
  <c r="N1907" i="6"/>
  <c r="M1903" i="6"/>
  <c r="L1903" i="6"/>
  <c r="N1903" i="6"/>
  <c r="M1899" i="6"/>
  <c r="L1899" i="6"/>
  <c r="N1899" i="6"/>
  <c r="M1895" i="6"/>
  <c r="L1895" i="6"/>
  <c r="N1895" i="6"/>
  <c r="M1891" i="6"/>
  <c r="L1891" i="6"/>
  <c r="N1891" i="6"/>
  <c r="M1887" i="6"/>
  <c r="L1887" i="6"/>
  <c r="N1887" i="6"/>
  <c r="M1883" i="6"/>
  <c r="L1883" i="6"/>
  <c r="N1883" i="6"/>
  <c r="M1879" i="6"/>
  <c r="L1879" i="6"/>
  <c r="N1879" i="6"/>
  <c r="M1875" i="6"/>
  <c r="L1875" i="6"/>
  <c r="N1875" i="6"/>
  <c r="M1871" i="6"/>
  <c r="L1871" i="6"/>
  <c r="N1871" i="6"/>
  <c r="M1867" i="6"/>
  <c r="L1867" i="6"/>
  <c r="N1867" i="6"/>
  <c r="M1863" i="6"/>
  <c r="L1863" i="6"/>
  <c r="N1863" i="6"/>
  <c r="M1859" i="6"/>
  <c r="L1859" i="6"/>
  <c r="N1859" i="6"/>
  <c r="M1855" i="6"/>
  <c r="L1855" i="6"/>
  <c r="N1855" i="6"/>
  <c r="M1851" i="6"/>
  <c r="L1851" i="6"/>
  <c r="N1851" i="6"/>
  <c r="M1847" i="6"/>
  <c r="L1847" i="6"/>
  <c r="N1847" i="6"/>
  <c r="M1843" i="6"/>
  <c r="L1843" i="6"/>
  <c r="N1843" i="6"/>
  <c r="M1839" i="6"/>
  <c r="L1839" i="6"/>
  <c r="N1839" i="6"/>
  <c r="M1835" i="6"/>
  <c r="L1835" i="6"/>
  <c r="N1835" i="6"/>
  <c r="M1831" i="6"/>
  <c r="L1831" i="6"/>
  <c r="N1831" i="6"/>
  <c r="M1827" i="6"/>
  <c r="L1827" i="6"/>
  <c r="N1827" i="6"/>
  <c r="M1823" i="6"/>
  <c r="L1823" i="6"/>
  <c r="N1823" i="6"/>
  <c r="M1819" i="6"/>
  <c r="L1819" i="6"/>
  <c r="N1819" i="6"/>
  <c r="M1815" i="6"/>
  <c r="L1815" i="6"/>
  <c r="N1815" i="6"/>
  <c r="M1811" i="6"/>
  <c r="L1811" i="6"/>
  <c r="N1811" i="6"/>
  <c r="M1807" i="6"/>
  <c r="L1807" i="6"/>
  <c r="N1807" i="6"/>
  <c r="M1803" i="6"/>
  <c r="L1803" i="6"/>
  <c r="N1803" i="6"/>
  <c r="M1799" i="6"/>
  <c r="L1799" i="6"/>
  <c r="N1799" i="6"/>
  <c r="M1795" i="6"/>
  <c r="L1795" i="6"/>
  <c r="N1795" i="6"/>
  <c r="L1791" i="6"/>
  <c r="N1791" i="6"/>
  <c r="M1787" i="6"/>
  <c r="L1787" i="6"/>
  <c r="N1787" i="6"/>
  <c r="M1783" i="6"/>
  <c r="L1783" i="6"/>
  <c r="N1783" i="6"/>
  <c r="M1779" i="6"/>
  <c r="L1779" i="6"/>
  <c r="N1779" i="6"/>
  <c r="M1775" i="6"/>
  <c r="L1775" i="6"/>
  <c r="N1775" i="6"/>
  <c r="M1771" i="6"/>
  <c r="L1771" i="6"/>
  <c r="N1771" i="6"/>
  <c r="M1767" i="6"/>
  <c r="L1767" i="6"/>
  <c r="N1767" i="6"/>
  <c r="M1763" i="6"/>
  <c r="L1763" i="6"/>
  <c r="N1763" i="6"/>
  <c r="M1759" i="6"/>
  <c r="L1759" i="6"/>
  <c r="N1759" i="6"/>
  <c r="M1755" i="6"/>
  <c r="L1755" i="6"/>
  <c r="N1755" i="6"/>
  <c r="M1751" i="6"/>
  <c r="L1751" i="6"/>
  <c r="N1751" i="6"/>
  <c r="L1747" i="6"/>
  <c r="N1747" i="6"/>
  <c r="M1743" i="6"/>
  <c r="L1743" i="6"/>
  <c r="N1743" i="6"/>
  <c r="M1739" i="6"/>
  <c r="L1739" i="6"/>
  <c r="N1739" i="6"/>
  <c r="M1735" i="6"/>
  <c r="L1735" i="6"/>
  <c r="N1735" i="6"/>
  <c r="M1731" i="6"/>
  <c r="L1731" i="6"/>
  <c r="N1731" i="6"/>
  <c r="M1727" i="6"/>
  <c r="L1727" i="6"/>
  <c r="N1727" i="6"/>
  <c r="M1723" i="6"/>
  <c r="L1723" i="6"/>
  <c r="N1723" i="6"/>
  <c r="M1719" i="6"/>
  <c r="L1719" i="6"/>
  <c r="N1719" i="6"/>
  <c r="L1715" i="6"/>
  <c r="M1715" i="6"/>
  <c r="N1715" i="6"/>
  <c r="M1711" i="6"/>
  <c r="L1711" i="6"/>
  <c r="N1711" i="6"/>
  <c r="M1707" i="6"/>
  <c r="L1707" i="6"/>
  <c r="N1707" i="6"/>
  <c r="M1703" i="6"/>
  <c r="L1703" i="6"/>
  <c r="N1703" i="6"/>
  <c r="M1699" i="6"/>
  <c r="L1699" i="6"/>
  <c r="N1699" i="6"/>
  <c r="M1695" i="6"/>
  <c r="L1695" i="6"/>
  <c r="N1695" i="6"/>
  <c r="M1691" i="6"/>
  <c r="L1691" i="6"/>
  <c r="N1691" i="6"/>
  <c r="M1687" i="6"/>
  <c r="L1687" i="6"/>
  <c r="N1687" i="6"/>
  <c r="M1683" i="6"/>
  <c r="L1683" i="6"/>
  <c r="N1683" i="6"/>
  <c r="N2456" i="6"/>
  <c r="N2444" i="6"/>
  <c r="L2935" i="6"/>
  <c r="L2903" i="6"/>
  <c r="L2887" i="6"/>
  <c r="L2839" i="6"/>
  <c r="L2811" i="6"/>
  <c r="L2448" i="6"/>
  <c r="L2435" i="6"/>
  <c r="L2419" i="6"/>
  <c r="N2407" i="6"/>
  <c r="L2403" i="6"/>
  <c r="N2391" i="6"/>
  <c r="L2387" i="6"/>
  <c r="L2300" i="6"/>
  <c r="L2260" i="6"/>
  <c r="L2128" i="6"/>
  <c r="N2096" i="6"/>
  <c r="N2088" i="6"/>
  <c r="N2080" i="6"/>
  <c r="N2072" i="6"/>
  <c r="N2064" i="6"/>
  <c r="N2056" i="6"/>
  <c r="N2048" i="6"/>
  <c r="N2040" i="6"/>
  <c r="N2032" i="6"/>
  <c r="N2024" i="6"/>
  <c r="N2016" i="6"/>
  <c r="N2008" i="6"/>
  <c r="N2000" i="6"/>
  <c r="N1992" i="6"/>
  <c r="N1984" i="6"/>
  <c r="N1976" i="6"/>
  <c r="N1968" i="6"/>
  <c r="N1960" i="6"/>
  <c r="N1952" i="6"/>
  <c r="N1944" i="6"/>
  <c r="N1936" i="6"/>
  <c r="N1928" i="6"/>
  <c r="N1920" i="6"/>
  <c r="N1912" i="6"/>
  <c r="N1904" i="6"/>
  <c r="N1896" i="6"/>
  <c r="N1888" i="6"/>
  <c r="N1880" i="6"/>
  <c r="N1872" i="6"/>
  <c r="N1864" i="6"/>
  <c r="N1856" i="6"/>
  <c r="N1848" i="6"/>
  <c r="N1840" i="6"/>
  <c r="N1832" i="6"/>
  <c r="N1824" i="6"/>
  <c r="N1816" i="6"/>
  <c r="N1808" i="6"/>
  <c r="N1800" i="6"/>
  <c r="N1792" i="6"/>
  <c r="N1784" i="6"/>
  <c r="N1776" i="6"/>
  <c r="N1768" i="6"/>
  <c r="N1760" i="6"/>
  <c r="N1752" i="6"/>
  <c r="N1744" i="6"/>
  <c r="N1736" i="6"/>
  <c r="N1728" i="6"/>
  <c r="N1720" i="6"/>
  <c r="N1712" i="6"/>
  <c r="N1704" i="6"/>
  <c r="N1696" i="6"/>
  <c r="M2292" i="6"/>
  <c r="M2080" i="6"/>
  <c r="M1832" i="6"/>
  <c r="N2452" i="6"/>
  <c r="L2999" i="6"/>
  <c r="L2983" i="6"/>
  <c r="L2967" i="6"/>
  <c r="L2951" i="6"/>
  <c r="L2919" i="6"/>
  <c r="L2871" i="6"/>
  <c r="L2855" i="6"/>
  <c r="L2456" i="6"/>
  <c r="L2452" i="6"/>
  <c r="L2444" i="6"/>
  <c r="N2439" i="6"/>
  <c r="L2428" i="6"/>
  <c r="N2423" i="6"/>
  <c r="L2412" i="6"/>
  <c r="L2224" i="6"/>
  <c r="L3003" i="6"/>
  <c r="L2987" i="6"/>
  <c r="L2971" i="6"/>
  <c r="L2955" i="6"/>
  <c r="L2939" i="6"/>
  <c r="L2923" i="6"/>
  <c r="L2907" i="6"/>
  <c r="L2891" i="6"/>
  <c r="L2875" i="6"/>
  <c r="L2859" i="6"/>
  <c r="L2843" i="6"/>
  <c r="L2827" i="6"/>
  <c r="L2815" i="6"/>
  <c r="N2799" i="6"/>
  <c r="N2795" i="6"/>
  <c r="N2791" i="6"/>
  <c r="N2787" i="6"/>
  <c r="N2783" i="6"/>
  <c r="N2779" i="6"/>
  <c r="N2775" i="6"/>
  <c r="N2771" i="6"/>
  <c r="N2767" i="6"/>
  <c r="N2763" i="6"/>
  <c r="N2759" i="6"/>
  <c r="N2755" i="6"/>
  <c r="N2751" i="6"/>
  <c r="N2747" i="6"/>
  <c r="N2743" i="6"/>
  <c r="N2739" i="6"/>
  <c r="N2735" i="6"/>
  <c r="N2731" i="6"/>
  <c r="N2727" i="6"/>
  <c r="N2723" i="6"/>
  <c r="N2719" i="6"/>
  <c r="N2715" i="6"/>
  <c r="N2711" i="6"/>
  <c r="N2707" i="6"/>
  <c r="N2703" i="6"/>
  <c r="N2699" i="6"/>
  <c r="N2695" i="6"/>
  <c r="N2687" i="6"/>
  <c r="N2683" i="6"/>
  <c r="N2679" i="6"/>
  <c r="N2675" i="6"/>
  <c r="N2671" i="6"/>
  <c r="N2667" i="6"/>
  <c r="N2663" i="6"/>
  <c r="N2659" i="6"/>
  <c r="N2655" i="6"/>
  <c r="N2651" i="6"/>
  <c r="N2647" i="6"/>
  <c r="N2643" i="6"/>
  <c r="N2639" i="6"/>
  <c r="N2635" i="6"/>
  <c r="N2631" i="6"/>
  <c r="N2627" i="6"/>
  <c r="N2623" i="6"/>
  <c r="N2619" i="6"/>
  <c r="N2615" i="6"/>
  <c r="N2611" i="6"/>
  <c r="N2607" i="6"/>
  <c r="N2603" i="6"/>
  <c r="N2599" i="6"/>
  <c r="N2595" i="6"/>
  <c r="N2591" i="6"/>
  <c r="N2587" i="6"/>
  <c r="N2583" i="6"/>
  <c r="N2579" i="6"/>
  <c r="N2575" i="6"/>
  <c r="N2571" i="6"/>
  <c r="N2567" i="6"/>
  <c r="N2563" i="6"/>
  <c r="N2559" i="6"/>
  <c r="N2555" i="6"/>
  <c r="N2551" i="6"/>
  <c r="N2547" i="6"/>
  <c r="N2543" i="6"/>
  <c r="N2539" i="6"/>
  <c r="N2535" i="6"/>
  <c r="N2531" i="6"/>
  <c r="N2527" i="6"/>
  <c r="N2523" i="6"/>
  <c r="N2519" i="6"/>
  <c r="N2511" i="6"/>
  <c r="N2507" i="6"/>
  <c r="N2503" i="6"/>
  <c r="N2499" i="6"/>
  <c r="N2495" i="6"/>
  <c r="N2491" i="6"/>
  <c r="N2487" i="6"/>
  <c r="N2483" i="6"/>
  <c r="N2479" i="6"/>
  <c r="N2475" i="6"/>
  <c r="N2471" i="6"/>
  <c r="N2467" i="6"/>
  <c r="N2463" i="6"/>
  <c r="N2459" i="6"/>
  <c r="N2455" i="6"/>
  <c r="N2451" i="6"/>
  <c r="N2447" i="6"/>
  <c r="N2443" i="6"/>
  <c r="L2439" i="6"/>
  <c r="L2432" i="6"/>
  <c r="N2427" i="6"/>
  <c r="L2423" i="6"/>
  <c r="L2416" i="6"/>
  <c r="N2411" i="6"/>
  <c r="L2407" i="6"/>
  <c r="L2400" i="6"/>
  <c r="N2395" i="6"/>
  <c r="L2391" i="6"/>
  <c r="N2379" i="6"/>
  <c r="L2375" i="6"/>
  <c r="L2368" i="6"/>
  <c r="N2363" i="6"/>
  <c r="L2359" i="6"/>
  <c r="L2352" i="6"/>
  <c r="N2347" i="6"/>
  <c r="L2343" i="6"/>
  <c r="L2336" i="6"/>
  <c r="N2331" i="6"/>
  <c r="L2327" i="6"/>
  <c r="N2315" i="6"/>
  <c r="L2311" i="6"/>
  <c r="N2299" i="6"/>
  <c r="L2295" i="6"/>
  <c r="N2287" i="6"/>
  <c r="L2116" i="6"/>
  <c r="L2096" i="6"/>
  <c r="L2088" i="6"/>
  <c r="L2072" i="6"/>
  <c r="L2064" i="6"/>
  <c r="L2056" i="6"/>
  <c r="L2048" i="6"/>
  <c r="L2040" i="6"/>
  <c r="L2032" i="6"/>
  <c r="L2024" i="6"/>
  <c r="L2016" i="6"/>
  <c r="L2008" i="6"/>
  <c r="L2000" i="6"/>
  <c r="L1992" i="6"/>
  <c r="L1984" i="6"/>
  <c r="L1976" i="6"/>
  <c r="L1968" i="6"/>
  <c r="L1960" i="6"/>
  <c r="L1952" i="6"/>
  <c r="L1944" i="6"/>
  <c r="L1936" i="6"/>
  <c r="L1928" i="6"/>
  <c r="L1920" i="6"/>
  <c r="L1912" i="6"/>
  <c r="L1904" i="6"/>
  <c r="L1896" i="6"/>
  <c r="L1888" i="6"/>
  <c r="L1880" i="6"/>
  <c r="L1864" i="6"/>
  <c r="L1856" i="6"/>
  <c r="L1848" i="6"/>
  <c r="L1840" i="6"/>
  <c r="L1824" i="6"/>
  <c r="L1816" i="6"/>
  <c r="L1808" i="6"/>
  <c r="L1800" i="6"/>
  <c r="L1792" i="6"/>
  <c r="L1784" i="6"/>
  <c r="L1776" i="6"/>
  <c r="L1768" i="6"/>
  <c r="L1760" i="6"/>
  <c r="L1752" i="6"/>
  <c r="L1744" i="6"/>
  <c r="L1736" i="6"/>
  <c r="L1728" i="6"/>
  <c r="L1712" i="6"/>
  <c r="L1704" i="6"/>
  <c r="L1696" i="6"/>
  <c r="M2240" i="6"/>
  <c r="M1240" i="6"/>
  <c r="N1240" i="6"/>
  <c r="M1236" i="6"/>
  <c r="L1236" i="6"/>
  <c r="N1236" i="6"/>
  <c r="M1232" i="6"/>
  <c r="L1232" i="6"/>
  <c r="M1224" i="6"/>
  <c r="N1224" i="6"/>
  <c r="M1220" i="6"/>
  <c r="L1220" i="6"/>
  <c r="N1220" i="6"/>
  <c r="M1216" i="6"/>
  <c r="L1216" i="6"/>
  <c r="M1208" i="6"/>
  <c r="N1208" i="6"/>
  <c r="M1204" i="6"/>
  <c r="L1204" i="6"/>
  <c r="N1204" i="6"/>
  <c r="M1200" i="6"/>
  <c r="L1200" i="6"/>
  <c r="M1192" i="6"/>
  <c r="N1192" i="6"/>
  <c r="M1188" i="6"/>
  <c r="L1188" i="6"/>
  <c r="N1188" i="6"/>
  <c r="M1172" i="6"/>
  <c r="L1172" i="6"/>
  <c r="N1172" i="6"/>
  <c r="M1168" i="6"/>
  <c r="L1168" i="6"/>
  <c r="N1160" i="6"/>
  <c r="M1160" i="6"/>
  <c r="M1156" i="6"/>
  <c r="L1156" i="6"/>
  <c r="N1156" i="6"/>
  <c r="M1152" i="6"/>
  <c r="L1152" i="6"/>
  <c r="M1144" i="6"/>
  <c r="N1144" i="6"/>
  <c r="L1140" i="6"/>
  <c r="N1140" i="6"/>
  <c r="M1136" i="6"/>
  <c r="L1136" i="6"/>
  <c r="M1128" i="6"/>
  <c r="N1128" i="6"/>
  <c r="M1124" i="6"/>
  <c r="L1124" i="6"/>
  <c r="N1124" i="6"/>
  <c r="M1120" i="6"/>
  <c r="L1120" i="6"/>
  <c r="M1112" i="6"/>
  <c r="N1112" i="6"/>
  <c r="M1108" i="6"/>
  <c r="L1108" i="6"/>
  <c r="N1108" i="6"/>
  <c r="M1104" i="6"/>
  <c r="L1104" i="6"/>
  <c r="M1096" i="6"/>
  <c r="N1096" i="6"/>
  <c r="M1092" i="6"/>
  <c r="L1092" i="6"/>
  <c r="N1092" i="6"/>
  <c r="M1088" i="6"/>
  <c r="L1088" i="6"/>
  <c r="M1080" i="6"/>
  <c r="N1080" i="6"/>
  <c r="M1076" i="6"/>
  <c r="L1076" i="6"/>
  <c r="N1076" i="6"/>
  <c r="M1072" i="6"/>
  <c r="L1072" i="6"/>
  <c r="L1423" i="6"/>
  <c r="M1423" i="6"/>
  <c r="L1399" i="6"/>
  <c r="M1399" i="6"/>
  <c r="L1387" i="6"/>
  <c r="M1387" i="6"/>
  <c r="L1363" i="6"/>
  <c r="M1363" i="6"/>
  <c r="L1355" i="6"/>
  <c r="M1355" i="6"/>
  <c r="L1347" i="6"/>
  <c r="M1347" i="6"/>
  <c r="L1335" i="6"/>
  <c r="M1335" i="6"/>
  <c r="L1319" i="6"/>
  <c r="M1319" i="6"/>
  <c r="L1307" i="6"/>
  <c r="M1307" i="6"/>
  <c r="L1295" i="6"/>
  <c r="M1295" i="6"/>
  <c r="L1279" i="6"/>
  <c r="M1279" i="6"/>
  <c r="L1251" i="6"/>
  <c r="M1251" i="6"/>
  <c r="L1231" i="6"/>
  <c r="M1231" i="6"/>
  <c r="N1231" i="6"/>
  <c r="L1203" i="6"/>
  <c r="M1203" i="6"/>
  <c r="L1187" i="6"/>
  <c r="M1187" i="6"/>
  <c r="L1167" i="6"/>
  <c r="M1167" i="6"/>
  <c r="N1167" i="6"/>
  <c r="L1151" i="6"/>
  <c r="M1151" i="6"/>
  <c r="N1151" i="6"/>
  <c r="L1131" i="6"/>
  <c r="M1131" i="6"/>
  <c r="N1131" i="6"/>
  <c r="L1115" i="6"/>
  <c r="M1115" i="6"/>
  <c r="N1115" i="6"/>
  <c r="L1103" i="6"/>
  <c r="M1103" i="6"/>
  <c r="N1103" i="6"/>
  <c r="L1087" i="6"/>
  <c r="N1087" i="6"/>
  <c r="L1079" i="6"/>
  <c r="M1079" i="6"/>
  <c r="L1071" i="6"/>
  <c r="N1071" i="6"/>
  <c r="M1071" i="6"/>
  <c r="L1059" i="6"/>
  <c r="M1059" i="6"/>
  <c r="L1039" i="6"/>
  <c r="M1039" i="6"/>
  <c r="N1039" i="6"/>
  <c r="N1679" i="6"/>
  <c r="N1675" i="6"/>
  <c r="N1671" i="6"/>
  <c r="N1667" i="6"/>
  <c r="N1663" i="6"/>
  <c r="M1639" i="6"/>
  <c r="L1679" i="6"/>
  <c r="L1675" i="6"/>
  <c r="L1671" i="6"/>
  <c r="L1667" i="6"/>
  <c r="L1663" i="6"/>
  <c r="L1659" i="6"/>
  <c r="L1655" i="6"/>
  <c r="L1651" i="6"/>
  <c r="L1647" i="6"/>
  <c r="L1643" i="6"/>
  <c r="L1635" i="6"/>
  <c r="L999" i="6"/>
  <c r="M999" i="6"/>
  <c r="L979" i="6"/>
  <c r="M979" i="6"/>
  <c r="L963" i="6"/>
  <c r="M963" i="6"/>
  <c r="L959" i="6"/>
  <c r="M959" i="6"/>
  <c r="L943" i="6"/>
  <c r="M943" i="6"/>
  <c r="L919" i="6"/>
  <c r="M919" i="6"/>
  <c r="L903" i="6"/>
  <c r="M903" i="6"/>
  <c r="L883" i="6"/>
  <c r="M883" i="6"/>
  <c r="L863" i="6"/>
  <c r="M863" i="6"/>
  <c r="L823" i="6"/>
  <c r="M823" i="6"/>
  <c r="L803" i="6"/>
  <c r="M803" i="6"/>
  <c r="L783" i="6"/>
  <c r="M783" i="6"/>
  <c r="L743" i="6"/>
  <c r="M743" i="6"/>
  <c r="L723" i="6"/>
  <c r="M723" i="6"/>
  <c r="L707" i="6"/>
  <c r="M707" i="6"/>
  <c r="L679" i="6"/>
  <c r="M679" i="6"/>
  <c r="L659" i="6"/>
  <c r="M659" i="6"/>
  <c r="L635" i="6"/>
  <c r="M635" i="6"/>
  <c r="L631" i="6"/>
  <c r="M631" i="6"/>
  <c r="L611" i="6"/>
  <c r="M611" i="6"/>
  <c r="N1060" i="6"/>
  <c r="M1031" i="6"/>
  <c r="M991" i="6"/>
  <c r="M951" i="6"/>
  <c r="N1064" i="6"/>
  <c r="L1060" i="6"/>
  <c r="M2440" i="6"/>
  <c r="N2440" i="6"/>
  <c r="N2436" i="6"/>
  <c r="M2436" i="6"/>
  <c r="M2424" i="6"/>
  <c r="N2424" i="6"/>
  <c r="M2420" i="6"/>
  <c r="N2420" i="6"/>
  <c r="M2408" i="6"/>
  <c r="N2408" i="6"/>
  <c r="N2396" i="6"/>
  <c r="M2396" i="6"/>
  <c r="M2384" i="6"/>
  <c r="N2384" i="6"/>
  <c r="M2380" i="6"/>
  <c r="N2380" i="6"/>
  <c r="N2372" i="6"/>
  <c r="M2372" i="6"/>
  <c r="M2364" i="6"/>
  <c r="N2364" i="6"/>
  <c r="M2356" i="6"/>
  <c r="N2356" i="6"/>
  <c r="M2348" i="6"/>
  <c r="N2348" i="6"/>
  <c r="N2344" i="6"/>
  <c r="M2344" i="6"/>
  <c r="N2332" i="6"/>
  <c r="M2332" i="6"/>
  <c r="M2324" i="6"/>
  <c r="N2324" i="6"/>
  <c r="N2320" i="6"/>
  <c r="M2320" i="6"/>
  <c r="M2316" i="6"/>
  <c r="N2316" i="6"/>
  <c r="N2308" i="6"/>
  <c r="M2308" i="6"/>
  <c r="M2304" i="6"/>
  <c r="N2304" i="6"/>
  <c r="M2288" i="6"/>
  <c r="N2288" i="6"/>
  <c r="N2284" i="6"/>
  <c r="M2284" i="6"/>
  <c r="M2280" i="6"/>
  <c r="N2280" i="6"/>
  <c r="N2276" i="6"/>
  <c r="M2276" i="6"/>
  <c r="M2272" i="6"/>
  <c r="N2272" i="6"/>
  <c r="M2268" i="6"/>
  <c r="N2268" i="6"/>
  <c r="M2264" i="6"/>
  <c r="N2264" i="6"/>
  <c r="M2256" i="6"/>
  <c r="N2256" i="6"/>
  <c r="N2248" i="6"/>
  <c r="M2248" i="6"/>
  <c r="M2244" i="6"/>
  <c r="N2244" i="6"/>
  <c r="N2232" i="6"/>
  <c r="M2232" i="6"/>
  <c r="N2220" i="6"/>
  <c r="M2220" i="6"/>
  <c r="M2216" i="6"/>
  <c r="N2216" i="6"/>
  <c r="N2208" i="6"/>
  <c r="M2208" i="6"/>
  <c r="M2204" i="6"/>
  <c r="N2204" i="6"/>
  <c r="N2196" i="6"/>
  <c r="M2196" i="6"/>
  <c r="M2188" i="6"/>
  <c r="N2188" i="6"/>
  <c r="M2184" i="6"/>
  <c r="N2184" i="6"/>
  <c r="M2180" i="6"/>
  <c r="N2180" i="6"/>
  <c r="M2176" i="6"/>
  <c r="N2176" i="6"/>
  <c r="M2172" i="6"/>
  <c r="N2172" i="6"/>
  <c r="M2168" i="6"/>
  <c r="N2168" i="6"/>
  <c r="N2160" i="6"/>
  <c r="M2160" i="6"/>
  <c r="M2152" i="6"/>
  <c r="N2152" i="6"/>
  <c r="M2148" i="6"/>
  <c r="N2148" i="6"/>
  <c r="N2136" i="6"/>
  <c r="M2136" i="6"/>
  <c r="N3003" i="6"/>
  <c r="N2999" i="6"/>
  <c r="N2995" i="6"/>
  <c r="N2991" i="6"/>
  <c r="N2987" i="6"/>
  <c r="N2983" i="6"/>
  <c r="N2979" i="6"/>
  <c r="N2975" i="6"/>
  <c r="N2971" i="6"/>
  <c r="N2967" i="6"/>
  <c r="N2963" i="6"/>
  <c r="N2959" i="6"/>
  <c r="N2955" i="6"/>
  <c r="N2951" i="6"/>
  <c r="N2947" i="6"/>
  <c r="N2943" i="6"/>
  <c r="N2939" i="6"/>
  <c r="N2935" i="6"/>
  <c r="N2931" i="6"/>
  <c r="N2927" i="6"/>
  <c r="N2923" i="6"/>
  <c r="N2919" i="6"/>
  <c r="N2915" i="6"/>
  <c r="N2911" i="6"/>
  <c r="N2907" i="6"/>
  <c r="N2903" i="6"/>
  <c r="N2899" i="6"/>
  <c r="N2895" i="6"/>
  <c r="N2891" i="6"/>
  <c r="N2887" i="6"/>
  <c r="N2883" i="6"/>
  <c r="N2879" i="6"/>
  <c r="N2875" i="6"/>
  <c r="N2871" i="6"/>
  <c r="N2867" i="6"/>
  <c r="N2863" i="6"/>
  <c r="N2859" i="6"/>
  <c r="N2855" i="6"/>
  <c r="N2851" i="6"/>
  <c r="N2847" i="6"/>
  <c r="N2843" i="6"/>
  <c r="N2839" i="6"/>
  <c r="N2835" i="6"/>
  <c r="N2831" i="6"/>
  <c r="N2827" i="6"/>
  <c r="N2823" i="6"/>
  <c r="N2819" i="6"/>
  <c r="N2815" i="6"/>
  <c r="N2811" i="6"/>
  <c r="N2807" i="6"/>
  <c r="N2803" i="6"/>
  <c r="L2823" i="6"/>
  <c r="L1427" i="6"/>
  <c r="M1427" i="6"/>
  <c r="L1415" i="6"/>
  <c r="M1415" i="6"/>
  <c r="L1403" i="6"/>
  <c r="M1403" i="6"/>
  <c r="L1391" i="6"/>
  <c r="M1391" i="6"/>
  <c r="L1383" i="6"/>
  <c r="M1383" i="6"/>
  <c r="L1371" i="6"/>
  <c r="M1371" i="6"/>
  <c r="L1359" i="6"/>
  <c r="M1359" i="6"/>
  <c r="L1351" i="6"/>
  <c r="M1351" i="6"/>
  <c r="L1343" i="6"/>
  <c r="M1343" i="6"/>
  <c r="L1331" i="6"/>
  <c r="M1331" i="6"/>
  <c r="L1315" i="6"/>
  <c r="M1315" i="6"/>
  <c r="L1303" i="6"/>
  <c r="M1303" i="6"/>
  <c r="L1291" i="6"/>
  <c r="M1291" i="6"/>
  <c r="L1283" i="6"/>
  <c r="M1283" i="6"/>
  <c r="L1271" i="6"/>
  <c r="M1271" i="6"/>
  <c r="L1267" i="6"/>
  <c r="M1267" i="6"/>
  <c r="L1263" i="6"/>
  <c r="M1263" i="6"/>
  <c r="L1255" i="6"/>
  <c r="M1255" i="6"/>
  <c r="L1247" i="6"/>
  <c r="M1247" i="6"/>
  <c r="L1239" i="6"/>
  <c r="M1239" i="6"/>
  <c r="L1235" i="6"/>
  <c r="M1235" i="6"/>
  <c r="L1223" i="6"/>
  <c r="M1223" i="6"/>
  <c r="L1215" i="6"/>
  <c r="M1215" i="6"/>
  <c r="L1211" i="6"/>
  <c r="M1211" i="6"/>
  <c r="L1199" i="6"/>
  <c r="M1199" i="6"/>
  <c r="L1195" i="6"/>
  <c r="M1195" i="6"/>
  <c r="L1183" i="6"/>
  <c r="M1183" i="6"/>
  <c r="L1179" i="6"/>
  <c r="M1179" i="6"/>
  <c r="L1171" i="6"/>
  <c r="M1171" i="6"/>
  <c r="L1163" i="6"/>
  <c r="M1163" i="6"/>
  <c r="L1155" i="6"/>
  <c r="M1155" i="6"/>
  <c r="M2128" i="6"/>
  <c r="N2124" i="6"/>
  <c r="N2120" i="6"/>
  <c r="N2112" i="6"/>
  <c r="N2108" i="6"/>
  <c r="N2100" i="6"/>
  <c r="L1147" i="6"/>
  <c r="M1147" i="6"/>
  <c r="L1135" i="6"/>
  <c r="M1135" i="6"/>
  <c r="L1119" i="6"/>
  <c r="M1119" i="6"/>
  <c r="L1107" i="6"/>
  <c r="M1107" i="6"/>
  <c r="L1099" i="6"/>
  <c r="M1099" i="6"/>
  <c r="L1075" i="6"/>
  <c r="M1075" i="6"/>
  <c r="L1063" i="6"/>
  <c r="M1063" i="6"/>
  <c r="L1055" i="6"/>
  <c r="M1055" i="6"/>
  <c r="L1043" i="6"/>
  <c r="M1043" i="6"/>
  <c r="L1027" i="6"/>
  <c r="M1027" i="6"/>
  <c r="L1023" i="6"/>
  <c r="M1023" i="6"/>
  <c r="L1015" i="6"/>
  <c r="M1015" i="6"/>
  <c r="L1007" i="6"/>
  <c r="M1007" i="6"/>
  <c r="L995" i="6"/>
  <c r="M995" i="6"/>
  <c r="L983" i="6"/>
  <c r="M983" i="6"/>
  <c r="L975" i="6"/>
  <c r="M975" i="6"/>
  <c r="L967" i="6"/>
  <c r="M967" i="6"/>
  <c r="L947" i="6"/>
  <c r="M947" i="6"/>
  <c r="L935" i="6"/>
  <c r="M935" i="6"/>
  <c r="L927" i="6"/>
  <c r="M927" i="6"/>
  <c r="L915" i="6"/>
  <c r="M915" i="6"/>
  <c r="L899" i="6"/>
  <c r="M899" i="6"/>
  <c r="L895" i="6"/>
  <c r="M895" i="6"/>
  <c r="L887" i="6"/>
  <c r="M887" i="6"/>
  <c r="L879" i="6"/>
  <c r="M879" i="6"/>
  <c r="L867" i="6"/>
  <c r="M867" i="6"/>
  <c r="L855" i="6"/>
  <c r="M855" i="6"/>
  <c r="L847" i="6"/>
  <c r="M847" i="6"/>
  <c r="L839" i="6"/>
  <c r="M839" i="6"/>
  <c r="L819" i="6"/>
  <c r="M819" i="6"/>
  <c r="L807" i="6"/>
  <c r="M807" i="6"/>
  <c r="L799" i="6"/>
  <c r="M799" i="6"/>
  <c r="L787" i="6"/>
  <c r="M787" i="6"/>
  <c r="L771" i="6"/>
  <c r="M771" i="6"/>
  <c r="L767" i="6"/>
  <c r="M767" i="6"/>
  <c r="L759" i="6"/>
  <c r="M759" i="6"/>
  <c r="L751" i="6"/>
  <c r="M751" i="6"/>
  <c r="L739" i="6"/>
  <c r="M739" i="6"/>
  <c r="L727" i="6"/>
  <c r="M727" i="6"/>
  <c r="L719" i="6"/>
  <c r="M719" i="6"/>
  <c r="L711" i="6"/>
  <c r="M711" i="6"/>
  <c r="L699" i="6"/>
  <c r="M699" i="6"/>
  <c r="L695" i="6"/>
  <c r="M695" i="6"/>
  <c r="L683" i="6"/>
  <c r="M683" i="6"/>
  <c r="L675" i="6"/>
  <c r="M675" i="6"/>
  <c r="L663" i="6"/>
  <c r="M663" i="6"/>
  <c r="L651" i="6"/>
  <c r="M651" i="6"/>
  <c r="L643" i="6"/>
  <c r="M643" i="6"/>
  <c r="L627" i="6"/>
  <c r="M627" i="6"/>
  <c r="L615" i="6"/>
  <c r="M615" i="6"/>
  <c r="L603" i="6"/>
  <c r="M603" i="6"/>
  <c r="M1123" i="6"/>
  <c r="M1139" i="6"/>
  <c r="E3002" i="6"/>
  <c r="E2998" i="6"/>
  <c r="E2994" i="6"/>
  <c r="E2990" i="6"/>
  <c r="E2986" i="6"/>
  <c r="E2982" i="6"/>
  <c r="E2978" i="6"/>
  <c r="E2974" i="6"/>
  <c r="E2970" i="6"/>
  <c r="E2966" i="6"/>
  <c r="E2962" i="6"/>
  <c r="E2958" i="6"/>
  <c r="E2954" i="6"/>
  <c r="E2950" i="6"/>
  <c r="E2946" i="6"/>
  <c r="E2942" i="6"/>
  <c r="E2938" i="6"/>
  <c r="E2934" i="6"/>
  <c r="E2930" i="6"/>
  <c r="E2926" i="6"/>
  <c r="E2922" i="6"/>
  <c r="E2918" i="6"/>
  <c r="E2914" i="6"/>
  <c r="E2910" i="6"/>
  <c r="E2906" i="6"/>
  <c r="E2902" i="6"/>
  <c r="E2898" i="6"/>
  <c r="E2894" i="6"/>
  <c r="E2890" i="6"/>
  <c r="E2886" i="6"/>
  <c r="E2882" i="6"/>
  <c r="E2878" i="6"/>
  <c r="E2874" i="6"/>
  <c r="E2870" i="6"/>
  <c r="E2866" i="6"/>
  <c r="E2862" i="6"/>
  <c r="E2858" i="6"/>
  <c r="E2854" i="6"/>
  <c r="E2850" i="6"/>
  <c r="E2846" i="6"/>
  <c r="E2842" i="6"/>
  <c r="E2838" i="6"/>
  <c r="E2834" i="6"/>
  <c r="E2830" i="6"/>
  <c r="E2826" i="6"/>
  <c r="E2822" i="6"/>
  <c r="E2818" i="6"/>
  <c r="E2814" i="6"/>
  <c r="E2810" i="6"/>
  <c r="E2806" i="6"/>
  <c r="E2802" i="6"/>
  <c r="E2798" i="6"/>
  <c r="E2794" i="6"/>
  <c r="E2790" i="6"/>
  <c r="E2786" i="6"/>
  <c r="E2782" i="6"/>
  <c r="E2778" i="6"/>
  <c r="E2774" i="6"/>
  <c r="E2770" i="6"/>
  <c r="E2766" i="6"/>
  <c r="E2762" i="6"/>
  <c r="E2758" i="6"/>
  <c r="E2754" i="6"/>
  <c r="E2750" i="6"/>
  <c r="E2746" i="6"/>
  <c r="E2742" i="6"/>
  <c r="E2738" i="6"/>
  <c r="E2734" i="6"/>
  <c r="E2730" i="6"/>
  <c r="E2726" i="6"/>
  <c r="E2722" i="6"/>
  <c r="E2718" i="6"/>
  <c r="E2714" i="6"/>
  <c r="E2710" i="6"/>
  <c r="E2706" i="6"/>
  <c r="E2702" i="6"/>
  <c r="E2698" i="6"/>
  <c r="E2694" i="6"/>
  <c r="E2690" i="6"/>
  <c r="E2686" i="6"/>
  <c r="E2682" i="6"/>
  <c r="E2678" i="6"/>
  <c r="E2674" i="6"/>
  <c r="E2670" i="6"/>
  <c r="E2666" i="6"/>
  <c r="E2662" i="6"/>
  <c r="E2658" i="6"/>
  <c r="E2654" i="6"/>
  <c r="E2650" i="6"/>
  <c r="E2646" i="6"/>
  <c r="E2642" i="6"/>
  <c r="E2638" i="6"/>
  <c r="E2634" i="6"/>
  <c r="E2630" i="6"/>
  <c r="E2626" i="6"/>
  <c r="E2622" i="6"/>
  <c r="E2618" i="6"/>
  <c r="E2614" i="6"/>
  <c r="E2610" i="6"/>
  <c r="E2606" i="6"/>
  <c r="E2602" i="6"/>
  <c r="E2598" i="6"/>
  <c r="E2594" i="6"/>
  <c r="E2590" i="6"/>
  <c r="E2586" i="6"/>
  <c r="E2582" i="6"/>
  <c r="E2578" i="6"/>
  <c r="E2574" i="6"/>
  <c r="E2570" i="6"/>
  <c r="E2566" i="6"/>
  <c r="E2562" i="6"/>
  <c r="E2558" i="6"/>
  <c r="K2558" i="6" s="1"/>
  <c r="E2554" i="6"/>
  <c r="E2550" i="6"/>
  <c r="E2546" i="6"/>
  <c r="E2542" i="6"/>
  <c r="E2538" i="6"/>
  <c r="E2534" i="6"/>
  <c r="E2530" i="6"/>
  <c r="E2526" i="6"/>
  <c r="E2522" i="6"/>
  <c r="E2518" i="6"/>
  <c r="E2514" i="6"/>
  <c r="E2510" i="6"/>
  <c r="E2506" i="6"/>
  <c r="E2502" i="6"/>
  <c r="E2498" i="6"/>
  <c r="E2494" i="6"/>
  <c r="K2494" i="6" s="1"/>
  <c r="E2490" i="6"/>
  <c r="E2486" i="6"/>
  <c r="E2482" i="6"/>
  <c r="E2478" i="6"/>
  <c r="E2474" i="6"/>
  <c r="E2470" i="6"/>
  <c r="E2466" i="6"/>
  <c r="E2462" i="6"/>
  <c r="E2458" i="6"/>
  <c r="E2454" i="6"/>
  <c r="E2450" i="6"/>
  <c r="E2446" i="6"/>
  <c r="E2442" i="6"/>
  <c r="E2438" i="6"/>
  <c r="E2434" i="6"/>
  <c r="E2430" i="6"/>
  <c r="K2430" i="6" s="1"/>
  <c r="E2426" i="6"/>
  <c r="E2422" i="6"/>
  <c r="E2418" i="6"/>
  <c r="E2414" i="6"/>
  <c r="E2410" i="6"/>
  <c r="E2406" i="6"/>
  <c r="E2402" i="6"/>
  <c r="E2398" i="6"/>
  <c r="E2394" i="6"/>
  <c r="E2390" i="6"/>
  <c r="E2386" i="6"/>
  <c r="E2382" i="6"/>
  <c r="E2378" i="6"/>
  <c r="E2374" i="6"/>
  <c r="E2370" i="6"/>
  <c r="E2366" i="6"/>
  <c r="K2366" i="6" s="1"/>
  <c r="E2362" i="6"/>
  <c r="E2358" i="6"/>
  <c r="E2354" i="6"/>
  <c r="E2350" i="6"/>
  <c r="E2346" i="6"/>
  <c r="E2342" i="6"/>
  <c r="E2338" i="6"/>
  <c r="E2334" i="6"/>
  <c r="E2330" i="6"/>
  <c r="E2326" i="6"/>
  <c r="E2322" i="6"/>
  <c r="E2318" i="6"/>
  <c r="E2314" i="6"/>
  <c r="E2310" i="6"/>
  <c r="E2306" i="6"/>
  <c r="E2302" i="6"/>
  <c r="K2302" i="6" s="1"/>
  <c r="E2298" i="6"/>
  <c r="E2294" i="6"/>
  <c r="E2290" i="6"/>
  <c r="E2286" i="6"/>
  <c r="E2282" i="6"/>
  <c r="E2278" i="6"/>
  <c r="E2274" i="6"/>
  <c r="E2270" i="6"/>
  <c r="E2266" i="6"/>
  <c r="E2262" i="6"/>
  <c r="E2258" i="6"/>
  <c r="E2254" i="6"/>
  <c r="E2250" i="6"/>
  <c r="E2246" i="6"/>
  <c r="E2242" i="6"/>
  <c r="E2238" i="6"/>
  <c r="K2238" i="6" s="1"/>
  <c r="E2234" i="6"/>
  <c r="E2230" i="6"/>
  <c r="E2226" i="6"/>
  <c r="E2222" i="6"/>
  <c r="E2218" i="6"/>
  <c r="E2214" i="6"/>
  <c r="E2210" i="6"/>
  <c r="E2206" i="6"/>
  <c r="E2202" i="6"/>
  <c r="E2198" i="6"/>
  <c r="E2194" i="6"/>
  <c r="E2190" i="6"/>
  <c r="E2186" i="6"/>
  <c r="E2182" i="6"/>
  <c r="E2178" i="6"/>
  <c r="E2174" i="6"/>
  <c r="E2170" i="6"/>
  <c r="E2166" i="6"/>
  <c r="E2162" i="6"/>
  <c r="E2158" i="6"/>
  <c r="K2158" i="6" s="1"/>
  <c r="E2154" i="6"/>
  <c r="E2150" i="6"/>
  <c r="E2146" i="6"/>
  <c r="E2142" i="6"/>
  <c r="E2138" i="6"/>
  <c r="E2134" i="6"/>
  <c r="E2130" i="6"/>
  <c r="E2126" i="6"/>
  <c r="E2122" i="6"/>
  <c r="E2118" i="6"/>
  <c r="E2114" i="6"/>
  <c r="E2110" i="6"/>
  <c r="E2106" i="6"/>
  <c r="K2106" i="6" s="1"/>
  <c r="E2102" i="6"/>
  <c r="E2098" i="6"/>
  <c r="E2094" i="6"/>
  <c r="E2090" i="6"/>
  <c r="E2086" i="6"/>
  <c r="E2082" i="6"/>
  <c r="E2078" i="6"/>
  <c r="E2074" i="6"/>
  <c r="K2074" i="6" s="1"/>
  <c r="E2070" i="6"/>
  <c r="E2066" i="6"/>
  <c r="K2066" i="6" s="1"/>
  <c r="E2062" i="6"/>
  <c r="E2058" i="6"/>
  <c r="E2054" i="6"/>
  <c r="E2050" i="6"/>
  <c r="E2046" i="6"/>
  <c r="E2042" i="6"/>
  <c r="K2042" i="6" s="1"/>
  <c r="E2038" i="6"/>
  <c r="K2038" i="6" s="1"/>
  <c r="E2034" i="6"/>
  <c r="E2030" i="6"/>
  <c r="E2026" i="6"/>
  <c r="E2022" i="6"/>
  <c r="E2018" i="6"/>
  <c r="E2014" i="6"/>
  <c r="E2010" i="6"/>
  <c r="E2006" i="6"/>
  <c r="E2002" i="6"/>
  <c r="E1998" i="6"/>
  <c r="E1994" i="6"/>
  <c r="K1994" i="6" s="1"/>
  <c r="E1990" i="6"/>
  <c r="E1986" i="6"/>
  <c r="E1982" i="6"/>
  <c r="E1978" i="6"/>
  <c r="E1974" i="6"/>
  <c r="K1974" i="6" s="1"/>
  <c r="E1970" i="6"/>
  <c r="E1966" i="6"/>
  <c r="E1962" i="6"/>
  <c r="E1958" i="6"/>
  <c r="E1954" i="6"/>
  <c r="K1954" i="6" s="1"/>
  <c r="E1950" i="6"/>
  <c r="E1946" i="6"/>
  <c r="E1942" i="6"/>
  <c r="E1938" i="6"/>
  <c r="E1934" i="6"/>
  <c r="E1930" i="6"/>
  <c r="E1926" i="6"/>
  <c r="E1922" i="6"/>
  <c r="E1918" i="6"/>
  <c r="E1914" i="6"/>
  <c r="E1910" i="6"/>
  <c r="E1906" i="6"/>
  <c r="E1902" i="6"/>
  <c r="E1898" i="6"/>
  <c r="E1894" i="6"/>
  <c r="E1890" i="6"/>
  <c r="E1886" i="6"/>
  <c r="E1882" i="6"/>
  <c r="E1878" i="6"/>
  <c r="E1874" i="6"/>
  <c r="K1874" i="6" s="1"/>
  <c r="E1870" i="6"/>
  <c r="E1866" i="6"/>
  <c r="E1862" i="6"/>
  <c r="E1858" i="6"/>
  <c r="E1854" i="6"/>
  <c r="E1850" i="6"/>
  <c r="E1846" i="6"/>
  <c r="E1842" i="6"/>
  <c r="E1838" i="6"/>
  <c r="E1834" i="6"/>
  <c r="E1830" i="6"/>
  <c r="E1826" i="6"/>
  <c r="E1822" i="6"/>
  <c r="E1818" i="6"/>
  <c r="E1814" i="6"/>
  <c r="E1810" i="6"/>
  <c r="K1810" i="6" s="1"/>
  <c r="E1806" i="6"/>
  <c r="E1802" i="6"/>
  <c r="E1798" i="6"/>
  <c r="E1794" i="6"/>
  <c r="E1790" i="6"/>
  <c r="K1790" i="6" s="1"/>
  <c r="E1786" i="6"/>
  <c r="E1782" i="6"/>
  <c r="E1778" i="6"/>
  <c r="E1774" i="6"/>
  <c r="E1770" i="6"/>
  <c r="E1766" i="6"/>
  <c r="E1762" i="6"/>
  <c r="E1758" i="6"/>
  <c r="E1754" i="6"/>
  <c r="E1750" i="6"/>
  <c r="E1746" i="6"/>
  <c r="E1742" i="6"/>
  <c r="E1738" i="6"/>
  <c r="E1734" i="6"/>
  <c r="E1730" i="6"/>
  <c r="E1726" i="6"/>
  <c r="E1722" i="6"/>
  <c r="E1718" i="6"/>
  <c r="E1714" i="6"/>
  <c r="E1710" i="6"/>
  <c r="E1706" i="6"/>
  <c r="E1702" i="6"/>
  <c r="E1698" i="6"/>
  <c r="E1694" i="6"/>
  <c r="E1690" i="6"/>
  <c r="E1686" i="6"/>
  <c r="E1682" i="6"/>
  <c r="E1678" i="6"/>
  <c r="E1674" i="6"/>
  <c r="E1670" i="6"/>
  <c r="E1666" i="6"/>
  <c r="E1662" i="6"/>
  <c r="E1658" i="6"/>
  <c r="E1654" i="6"/>
  <c r="E1650" i="6"/>
  <c r="E1646" i="6"/>
  <c r="E1642" i="6"/>
  <c r="E1638" i="6"/>
  <c r="E1634" i="6"/>
  <c r="K1634" i="6" s="1"/>
  <c r="E1630" i="6"/>
  <c r="E1626" i="6"/>
  <c r="E1622" i="6"/>
  <c r="E1618" i="6"/>
  <c r="E1614" i="6"/>
  <c r="E1610" i="6"/>
  <c r="E1606" i="6"/>
  <c r="E1602" i="6"/>
  <c r="E1598" i="6"/>
  <c r="E1594" i="6"/>
  <c r="E1590" i="6"/>
  <c r="E1586" i="6"/>
  <c r="E1582" i="6"/>
  <c r="E1578" i="6"/>
  <c r="E1574" i="6"/>
  <c r="E1570" i="6"/>
  <c r="E1566" i="6"/>
  <c r="E1562" i="6"/>
  <c r="E1558" i="6"/>
  <c r="E1554" i="6"/>
  <c r="E1550" i="6"/>
  <c r="E1546" i="6"/>
  <c r="E1542" i="6"/>
  <c r="E1538" i="6"/>
  <c r="E1534" i="6"/>
  <c r="E1530" i="6"/>
  <c r="E1526" i="6"/>
  <c r="E1522" i="6"/>
  <c r="E1518" i="6"/>
  <c r="E1514" i="6"/>
  <c r="E1510" i="6"/>
  <c r="E1506" i="6"/>
  <c r="E1502" i="6"/>
  <c r="E1498" i="6"/>
  <c r="E1494" i="6"/>
  <c r="E1490" i="6"/>
  <c r="E1486" i="6"/>
  <c r="E1482" i="6"/>
  <c r="E1478" i="6"/>
  <c r="E1474" i="6"/>
  <c r="E6905" i="6"/>
  <c r="M6905" i="6" s="1"/>
  <c r="E6902" i="6"/>
  <c r="E6899" i="6"/>
  <c r="E6897" i="6"/>
  <c r="E6896" i="6"/>
  <c r="K6896" i="6" s="1"/>
  <c r="E6893" i="6"/>
  <c r="N6893" i="6" s="1"/>
  <c r="E6891" i="6"/>
  <c r="N6891" i="6" s="1"/>
  <c r="E6889" i="6"/>
  <c r="K6889" i="6" s="1"/>
  <c r="E6886" i="6"/>
  <c r="E6884" i="6"/>
  <c r="N6884" i="6" s="1"/>
  <c r="E6882" i="6"/>
  <c r="E6880" i="6"/>
  <c r="N6880" i="6" s="1"/>
  <c r="E6879" i="6"/>
  <c r="E6877" i="6"/>
  <c r="E6876" i="6"/>
  <c r="E6873" i="6"/>
  <c r="E6870" i="6"/>
  <c r="E6868" i="6"/>
  <c r="E6867" i="6"/>
  <c r="N6867" i="6" s="1"/>
  <c r="E6865" i="6"/>
  <c r="M6865" i="6" s="1"/>
  <c r="E6863" i="6"/>
  <c r="K6863" i="6" s="1"/>
  <c r="E6861" i="6"/>
  <c r="N6861" i="6" s="1"/>
  <c r="E6858" i="6"/>
  <c r="E6856" i="6"/>
  <c r="E6853" i="6"/>
  <c r="K6853" i="6" s="1"/>
  <c r="E6851" i="6"/>
  <c r="E6850" i="6"/>
  <c r="E6848" i="6"/>
  <c r="L6848" i="6" s="1"/>
  <c r="E6846" i="6"/>
  <c r="E6844" i="6"/>
  <c r="N6844" i="6" s="1"/>
  <c r="E6842" i="6"/>
  <c r="E6840" i="6"/>
  <c r="N6840" i="6" s="1"/>
  <c r="E6838" i="6"/>
  <c r="E6834" i="6"/>
  <c r="E6832" i="6"/>
  <c r="N6832" i="6" s="1"/>
  <c r="E6830" i="6"/>
  <c r="E6828" i="6"/>
  <c r="E6827" i="6"/>
  <c r="E6825" i="6"/>
  <c r="E6822" i="6"/>
  <c r="E6820" i="6"/>
  <c r="K6820" i="6" s="1"/>
  <c r="E6817" i="6"/>
  <c r="E6816" i="6"/>
  <c r="L6816" i="6" s="1"/>
  <c r="E6814" i="6"/>
  <c r="E6812" i="6"/>
  <c r="E6811" i="6"/>
  <c r="E6809" i="6"/>
  <c r="K6809" i="6" s="1"/>
  <c r="E6807" i="6"/>
  <c r="E6805" i="6"/>
  <c r="E6802" i="6"/>
  <c r="E6799" i="6"/>
  <c r="L6799" i="6" s="1"/>
  <c r="E6797" i="6"/>
  <c r="E6796" i="6"/>
  <c r="L6796" i="6" s="1"/>
  <c r="E6794" i="6"/>
  <c r="E6791" i="6"/>
  <c r="M6791" i="6" s="1"/>
  <c r="E6789" i="6"/>
  <c r="N6789" i="6" s="1"/>
  <c r="E6788" i="6"/>
  <c r="E6785" i="6"/>
  <c r="K6785" i="6" s="1"/>
  <c r="E6782" i="6"/>
  <c r="E6780" i="6"/>
  <c r="M6780" i="6" s="1"/>
  <c r="E6779" i="6"/>
  <c r="E6777" i="6"/>
  <c r="E6776" i="6"/>
  <c r="M6776" i="6" s="1"/>
  <c r="E6774" i="6"/>
  <c r="E6771" i="6"/>
  <c r="E6769" i="6"/>
  <c r="N6769" i="6" s="1"/>
  <c r="E6768" i="6"/>
  <c r="N6768" i="6" s="1"/>
  <c r="E6765" i="6"/>
  <c r="L6765" i="6" s="1"/>
  <c r="E6762" i="6"/>
  <c r="E6760" i="6"/>
  <c r="E6757" i="6"/>
  <c r="N6757" i="6" s="1"/>
  <c r="E6756" i="6"/>
  <c r="E6754" i="6"/>
  <c r="E6751" i="6"/>
  <c r="E6749" i="6"/>
  <c r="K6749" i="6" s="1"/>
  <c r="E6748" i="6"/>
  <c r="E6747" i="6"/>
  <c r="E6746" i="6"/>
  <c r="E6743" i="6"/>
  <c r="L6743" i="6" s="1"/>
  <c r="E6741" i="6"/>
  <c r="M6741" i="6" s="1"/>
  <c r="E6740" i="6"/>
  <c r="E6738" i="6"/>
  <c r="E6736" i="6"/>
  <c r="N6736" i="6" s="1"/>
  <c r="E6734" i="6"/>
  <c r="E6732" i="6"/>
  <c r="E6729" i="6"/>
  <c r="K6729" i="6" s="1"/>
  <c r="E6726" i="6"/>
  <c r="E6724" i="6"/>
  <c r="E6722" i="6"/>
  <c r="E6720" i="6"/>
  <c r="L6720" i="6" s="1"/>
  <c r="E6718" i="6"/>
  <c r="E6716" i="6"/>
  <c r="E6713" i="6"/>
  <c r="N6713" i="6" s="1"/>
  <c r="E6709" i="6"/>
  <c r="E6705" i="6"/>
  <c r="M6705" i="6" s="1"/>
  <c r="E6704" i="6"/>
  <c r="N6704" i="6" s="1"/>
  <c r="E6702" i="6"/>
  <c r="E6698" i="6"/>
  <c r="E6696" i="6"/>
  <c r="N6696" i="6" s="1"/>
  <c r="E6695" i="6"/>
  <c r="E6694" i="6"/>
  <c r="E6692" i="6"/>
  <c r="E6691" i="6"/>
  <c r="M6691" i="6" s="1"/>
  <c r="E6689" i="6"/>
  <c r="M6689" i="6" s="1"/>
  <c r="E6687" i="6"/>
  <c r="K6687" i="6" s="1"/>
  <c r="E6685" i="6"/>
  <c r="N6685" i="6" s="1"/>
  <c r="E6682" i="6"/>
  <c r="E6678" i="6"/>
  <c r="E6675" i="6"/>
  <c r="M6675" i="6" s="1"/>
  <c r="E6673" i="6"/>
  <c r="E6672" i="6"/>
  <c r="E6671" i="6"/>
  <c r="E6669" i="6"/>
  <c r="M6669" i="6" s="1"/>
  <c r="E6667" i="6"/>
  <c r="E6666" i="6"/>
  <c r="E6663" i="6"/>
  <c r="N6663" i="6" s="1"/>
  <c r="E6661" i="6"/>
  <c r="N6661" i="6" s="1"/>
  <c r="E6657" i="6"/>
  <c r="N6657" i="6" s="1"/>
  <c r="E6654" i="6"/>
  <c r="E6652" i="6"/>
  <c r="L6652" i="6" s="1"/>
  <c r="E6651" i="6"/>
  <c r="E6649" i="6"/>
  <c r="M6649" i="6" s="1"/>
  <c r="E6648" i="6"/>
  <c r="K6648" i="6" s="1"/>
  <c r="E6647" i="6"/>
  <c r="E6646" i="6"/>
  <c r="E6644" i="6"/>
  <c r="M6644" i="6" s="1"/>
  <c r="E6641" i="6"/>
  <c r="K6641" i="6" s="1"/>
  <c r="E6638" i="6"/>
  <c r="E6635" i="6"/>
  <c r="E6634" i="6"/>
  <c r="E6631" i="6"/>
  <c r="K6631" i="6" s="1"/>
  <c r="E6629" i="6"/>
  <c r="E6628" i="6"/>
  <c r="E6627" i="6"/>
  <c r="E6625" i="6"/>
  <c r="E6624" i="6"/>
  <c r="E6621" i="6"/>
  <c r="L6621" i="6" s="1"/>
  <c r="E6620" i="6"/>
  <c r="L6620" i="6" s="1"/>
  <c r="E6618" i="6"/>
  <c r="E6614" i="6"/>
  <c r="E6612" i="6"/>
  <c r="E6610" i="6"/>
  <c r="E6607" i="6"/>
  <c r="L6607" i="6" s="1"/>
  <c r="E6606" i="6"/>
  <c r="E6604" i="6"/>
  <c r="M6604" i="6" s="1"/>
  <c r="E6601" i="6"/>
  <c r="E6600" i="6"/>
  <c r="E6599" i="6"/>
  <c r="E6598" i="6"/>
  <c r="E6594" i="6"/>
  <c r="E6592" i="6"/>
  <c r="E6590" i="6"/>
  <c r="E6588" i="6"/>
  <c r="K6588" i="6" s="1"/>
  <c r="E6586" i="6"/>
  <c r="E6584" i="6"/>
  <c r="M6584" i="6" s="1"/>
  <c r="E6583" i="6"/>
  <c r="L6583" i="6" s="1"/>
  <c r="E6582" i="6"/>
  <c r="E6579" i="6"/>
  <c r="N6579" i="6" s="1"/>
  <c r="E6577" i="6"/>
  <c r="K6577" i="6" s="1"/>
  <c r="E6574" i="6"/>
  <c r="E6572" i="6"/>
  <c r="E6570" i="6"/>
  <c r="E6567" i="6"/>
  <c r="E6566" i="6"/>
  <c r="E6564" i="6"/>
  <c r="L6564" i="6" s="1"/>
  <c r="E6561" i="6"/>
  <c r="L6561" i="6" s="1"/>
  <c r="E6559" i="6"/>
  <c r="L6559" i="6" s="1"/>
  <c r="E6558" i="6"/>
  <c r="E6556" i="6"/>
  <c r="L6556" i="6" s="1"/>
  <c r="E6554" i="6"/>
  <c r="E6551" i="6"/>
  <c r="K6551" i="6" s="1"/>
  <c r="E6549" i="6"/>
  <c r="E6548" i="6"/>
  <c r="M6548" i="6" s="1"/>
  <c r="E6546" i="6"/>
  <c r="E6544" i="6"/>
  <c r="N6544" i="6" s="1"/>
  <c r="E6541" i="6"/>
  <c r="K6541" i="6" s="1"/>
  <c r="E6537" i="6"/>
  <c r="E6533" i="6"/>
  <c r="N6533" i="6" s="1"/>
  <c r="E6532" i="6"/>
  <c r="E6531" i="6"/>
  <c r="N6531" i="6" s="1"/>
  <c r="E6529" i="6"/>
  <c r="K6529" i="6" s="1"/>
  <c r="E6527" i="6"/>
  <c r="E6526" i="6"/>
  <c r="E6524" i="6"/>
  <c r="E6522" i="6"/>
  <c r="E6520" i="6"/>
  <c r="E6517" i="6"/>
  <c r="M6517" i="6" s="1"/>
  <c r="E6516" i="6"/>
  <c r="M6516" i="6" s="1"/>
  <c r="E6515" i="6"/>
  <c r="N6515" i="6" s="1"/>
  <c r="E6514" i="6"/>
  <c r="E6511" i="6"/>
  <c r="E6510" i="6"/>
  <c r="E6508" i="6"/>
  <c r="E6507" i="6"/>
  <c r="E6506" i="6"/>
  <c r="E6504" i="6"/>
  <c r="E6503" i="6"/>
  <c r="M6503" i="6" s="1"/>
  <c r="E6501" i="6"/>
  <c r="M6501" i="6" s="1"/>
  <c r="E6497" i="6"/>
  <c r="E6496" i="6"/>
  <c r="N6496" i="6" s="1"/>
  <c r="E6494" i="6"/>
  <c r="E6492" i="6"/>
  <c r="E6491" i="6"/>
  <c r="M6491" i="6" s="1"/>
  <c r="E6490" i="6"/>
  <c r="E6488" i="6"/>
  <c r="K6488" i="6" s="1"/>
  <c r="E6487" i="6"/>
  <c r="E6485" i="6"/>
  <c r="L6485" i="6" s="1"/>
  <c r="E6483" i="6"/>
  <c r="M6483" i="6" s="1"/>
  <c r="E6482" i="6"/>
  <c r="E6480" i="6"/>
  <c r="M6480" i="6" s="1"/>
  <c r="E6477" i="6"/>
  <c r="L6477" i="6" s="1"/>
  <c r="E6476" i="6"/>
  <c r="E6474" i="6"/>
  <c r="E6470" i="6"/>
  <c r="E6468" i="6"/>
  <c r="E6467" i="6"/>
  <c r="L6467" i="6" s="1"/>
  <c r="E6465" i="6"/>
  <c r="L6465" i="6" s="1"/>
  <c r="E6463" i="6"/>
  <c r="E6462" i="6"/>
  <c r="E6460" i="6"/>
  <c r="N6460" i="6" s="1"/>
  <c r="E6458" i="6"/>
  <c r="E6456" i="6"/>
  <c r="E6455" i="6"/>
  <c r="N6455" i="6" s="1"/>
  <c r="E6454" i="6"/>
  <c r="E6450" i="6"/>
  <c r="E6447" i="6"/>
  <c r="E6446" i="6"/>
  <c r="E6443" i="6"/>
  <c r="N6443" i="6" s="1"/>
  <c r="E6442" i="6"/>
  <c r="E6437" i="6"/>
  <c r="E6436" i="6"/>
  <c r="K6436" i="6" s="1"/>
  <c r="E6435" i="6"/>
  <c r="E6433" i="6"/>
  <c r="E6432" i="6"/>
  <c r="E6431" i="6"/>
  <c r="M6431" i="6" s="1"/>
  <c r="E6430" i="6"/>
  <c r="E6428" i="6"/>
  <c r="E6427" i="6"/>
  <c r="M6427" i="6" s="1"/>
  <c r="E6425" i="6"/>
  <c r="N6425" i="6" s="1"/>
  <c r="E6424" i="6"/>
  <c r="E6423" i="6"/>
  <c r="E6422" i="6"/>
  <c r="E6420" i="6"/>
  <c r="L6420" i="6" s="1"/>
  <c r="E6418" i="6"/>
  <c r="E6416" i="6"/>
  <c r="E6414" i="6"/>
  <c r="E6411" i="6"/>
  <c r="E6409" i="6"/>
  <c r="K6409" i="6" s="1"/>
  <c r="E6407" i="6"/>
  <c r="L6407" i="6" s="1"/>
  <c r="E6405" i="6"/>
  <c r="M6405" i="6" s="1"/>
  <c r="E6404" i="6"/>
  <c r="E6403" i="6"/>
  <c r="L6403" i="6" s="1"/>
  <c r="E6401" i="6"/>
  <c r="N6401" i="6" s="1"/>
  <c r="E6400" i="6"/>
  <c r="E6398" i="6"/>
  <c r="E6396" i="6"/>
  <c r="L6396" i="6" s="1"/>
  <c r="E6393" i="6"/>
  <c r="N6393" i="6" s="1"/>
  <c r="E6391" i="6"/>
  <c r="E6390" i="6"/>
  <c r="E6389" i="6"/>
  <c r="M6389" i="6" s="1"/>
  <c r="E6388" i="6"/>
  <c r="E6387" i="6"/>
  <c r="M6387" i="6" s="1"/>
  <c r="E6385" i="6"/>
  <c r="M6385" i="6" s="1"/>
  <c r="E6381" i="6"/>
  <c r="M6381" i="6" s="1"/>
  <c r="E6380" i="6"/>
  <c r="M6380" i="6" s="1"/>
  <c r="E6379" i="6"/>
  <c r="E6378" i="6"/>
  <c r="E6376" i="6"/>
  <c r="E6375" i="6"/>
  <c r="E6374" i="6"/>
  <c r="E6372" i="6"/>
  <c r="K6372" i="6" s="1"/>
  <c r="E6369" i="6"/>
  <c r="E6368" i="6"/>
  <c r="E6364" i="6"/>
  <c r="L6364" i="6" s="1"/>
  <c r="E6362" i="6"/>
  <c r="E6361" i="6"/>
  <c r="M6361" i="6" s="1"/>
  <c r="E6360" i="6"/>
  <c r="E6357" i="6"/>
  <c r="E6352" i="6"/>
  <c r="E6351" i="6"/>
  <c r="E6347" i="6"/>
  <c r="E6344" i="6"/>
  <c r="E6339" i="6"/>
  <c r="L6339" i="6" s="1"/>
  <c r="E6337" i="6"/>
  <c r="E6334" i="6"/>
  <c r="L6334" i="6" s="1"/>
  <c r="E6332" i="6"/>
  <c r="L6332" i="6" s="1"/>
  <c r="E6331" i="6"/>
  <c r="N6331" i="6" s="1"/>
  <c r="E6329" i="6"/>
  <c r="N6329" i="6" s="1"/>
  <c r="E6326" i="6"/>
  <c r="E6325" i="6"/>
  <c r="E6324" i="6"/>
  <c r="E6322" i="6"/>
  <c r="M6322" i="6" s="1"/>
  <c r="E6321" i="6"/>
  <c r="E6320" i="6"/>
  <c r="L6320" i="6" s="1"/>
  <c r="E6316" i="6"/>
  <c r="E6315" i="6"/>
  <c r="E6314" i="6"/>
  <c r="N6314" i="6" s="1"/>
  <c r="E6313" i="6"/>
  <c r="E6307" i="6"/>
  <c r="E6306" i="6"/>
  <c r="E6304" i="6"/>
  <c r="K6304" i="6" s="1"/>
  <c r="E6303" i="6"/>
  <c r="M6303" i="6" s="1"/>
  <c r="E6301" i="6"/>
  <c r="K6301" i="6" s="1"/>
  <c r="E6300" i="6"/>
  <c r="E6295" i="6"/>
  <c r="K6295" i="6" s="1"/>
  <c r="E6294" i="6"/>
  <c r="E6293" i="6"/>
  <c r="E6292" i="6"/>
  <c r="E6290" i="6"/>
  <c r="E6289" i="6"/>
  <c r="K6289" i="6" s="1"/>
  <c r="E6285" i="6"/>
  <c r="K6285" i="6" s="1"/>
  <c r="E6284" i="6"/>
  <c r="K6284" i="6" s="1"/>
  <c r="E6280" i="6"/>
  <c r="E6277" i="6"/>
  <c r="E6274" i="6"/>
  <c r="E6273" i="6"/>
  <c r="E6272" i="6"/>
  <c r="N6272" i="6" s="1"/>
  <c r="E6271" i="6"/>
  <c r="M6271" i="6" s="1"/>
  <c r="E6268" i="6"/>
  <c r="K6268" i="6" s="1"/>
  <c r="E6266" i="6"/>
  <c r="L6266" i="6" s="1"/>
  <c r="E6265" i="6"/>
  <c r="E6263" i="6"/>
  <c r="K6263" i="6" s="1"/>
  <c r="E6261" i="6"/>
  <c r="E6260" i="6"/>
  <c r="M6260" i="6" s="1"/>
  <c r="E6259" i="6"/>
  <c r="L6259" i="6" s="1"/>
  <c r="E6257" i="6"/>
  <c r="E6256" i="6"/>
  <c r="K6256" i="6" s="1"/>
  <c r="E6255" i="6"/>
  <c r="E6250" i="6"/>
  <c r="E6248" i="6"/>
  <c r="E6247" i="6"/>
  <c r="M6247" i="6" s="1"/>
  <c r="E6246" i="6"/>
  <c r="E6244" i="6"/>
  <c r="L6244" i="6" s="1"/>
  <c r="E6243" i="6"/>
  <c r="E6238" i="6"/>
  <c r="E6237" i="6"/>
  <c r="E6234" i="6"/>
  <c r="E6233" i="6"/>
  <c r="E6231" i="6"/>
  <c r="E6228" i="6"/>
  <c r="K6228" i="6" s="1"/>
  <c r="E6227" i="6"/>
  <c r="K6227" i="6" s="1"/>
  <c r="E6224" i="6"/>
  <c r="E6222" i="6"/>
  <c r="L6222" i="6" s="1"/>
  <c r="E6221" i="6"/>
  <c r="E6216" i="6"/>
  <c r="M6216" i="6" s="1"/>
  <c r="E6212" i="6"/>
  <c r="K6212" i="6" s="1"/>
  <c r="E6209" i="6"/>
  <c r="E6204" i="6"/>
  <c r="E6201" i="6"/>
  <c r="E6198" i="6"/>
  <c r="E6197" i="6"/>
  <c r="E6195" i="6"/>
  <c r="N6195" i="6" s="1"/>
  <c r="E6192" i="6"/>
  <c r="E6188" i="6"/>
  <c r="E6186" i="6"/>
  <c r="N6186" i="6" s="1"/>
  <c r="E6184" i="6"/>
  <c r="E6183" i="6"/>
  <c r="E6182" i="6"/>
  <c r="L6182" i="6" s="1"/>
  <c r="E6180" i="6"/>
  <c r="L6180" i="6" s="1"/>
  <c r="E6178" i="6"/>
  <c r="E6176" i="6"/>
  <c r="M6176" i="6" s="1"/>
  <c r="E6175" i="6"/>
  <c r="N6175" i="6" s="1"/>
  <c r="E6172" i="6"/>
  <c r="M6172" i="6" s="1"/>
  <c r="E6169" i="6"/>
  <c r="E6166" i="6"/>
  <c r="E6165" i="6"/>
  <c r="E6162" i="6"/>
  <c r="L6162" i="6" s="1"/>
  <c r="E6160" i="6"/>
  <c r="E6159" i="6"/>
  <c r="M6159" i="6" s="1"/>
  <c r="E6158" i="6"/>
  <c r="N6158" i="6" s="1"/>
  <c r="E6156" i="6"/>
  <c r="E6155" i="6"/>
  <c r="M6155" i="6" s="1"/>
  <c r="E6153" i="6"/>
  <c r="E6151" i="6"/>
  <c r="E6149" i="6"/>
  <c r="E6146" i="6"/>
  <c r="M6146" i="6" s="1"/>
  <c r="E6144" i="6"/>
  <c r="E6143" i="6"/>
  <c r="E6141" i="6"/>
  <c r="E6138" i="6"/>
  <c r="E6136" i="6"/>
  <c r="N6136" i="6" s="1"/>
  <c r="E6134" i="6"/>
  <c r="K6134" i="6" s="1"/>
  <c r="E6132" i="6"/>
  <c r="M6132" i="6" s="1"/>
  <c r="E6131" i="6"/>
  <c r="K6131" i="6" s="1"/>
  <c r="E6130" i="6"/>
  <c r="L6130" i="6" s="1"/>
  <c r="E6129" i="6"/>
  <c r="E6125" i="6"/>
  <c r="E6123" i="6"/>
  <c r="E6121" i="6"/>
  <c r="E6119" i="6"/>
  <c r="K6119" i="6" s="1"/>
  <c r="E6118" i="6"/>
  <c r="M6118" i="6" s="1"/>
  <c r="E6117" i="6"/>
  <c r="E6115" i="6"/>
  <c r="E6113" i="6"/>
  <c r="E6111" i="6"/>
  <c r="E6108" i="6"/>
  <c r="E6107" i="6"/>
  <c r="M6107" i="6" s="1"/>
  <c r="E6104" i="6"/>
  <c r="E6103" i="6"/>
  <c r="K6103" i="6" s="1"/>
  <c r="E6101" i="6"/>
  <c r="E6098" i="6"/>
  <c r="E6097" i="6"/>
  <c r="E6095" i="6"/>
  <c r="N6095" i="6" s="1"/>
  <c r="E6092" i="6"/>
  <c r="E6089" i="6"/>
  <c r="E6088" i="6"/>
  <c r="E6087" i="6"/>
  <c r="E6086" i="6"/>
  <c r="M6086" i="6" s="1"/>
  <c r="E6085" i="6"/>
  <c r="E6084" i="6"/>
  <c r="E6083" i="6"/>
  <c r="N6083" i="6" s="1"/>
  <c r="E6081" i="6"/>
  <c r="E6080" i="6"/>
  <c r="E6079" i="6"/>
  <c r="E6078" i="6"/>
  <c r="E6077" i="6"/>
  <c r="E6076" i="6"/>
  <c r="E6073" i="6"/>
  <c r="E6072" i="6"/>
  <c r="E6071" i="6"/>
  <c r="E6070" i="6"/>
  <c r="L6070" i="6" s="1"/>
  <c r="E6069" i="6"/>
  <c r="E6068" i="6"/>
  <c r="E6067" i="6"/>
  <c r="K6067" i="6" s="1"/>
  <c r="E6062" i="6"/>
  <c r="E6061" i="6"/>
  <c r="E6060" i="6"/>
  <c r="E6059" i="6"/>
  <c r="E6058" i="6"/>
  <c r="E6057" i="6"/>
  <c r="E6056" i="6"/>
  <c r="E6055" i="6"/>
  <c r="E6050" i="6"/>
  <c r="E6047" i="6"/>
  <c r="E6046" i="6"/>
  <c r="E6045" i="6"/>
  <c r="E6044" i="6"/>
  <c r="E6039" i="6"/>
  <c r="E6038" i="6"/>
  <c r="N6038" i="6" s="1"/>
  <c r="E6035" i="6"/>
  <c r="E6034" i="6"/>
  <c r="E6033" i="6"/>
  <c r="E6032" i="6"/>
  <c r="N6032" i="6" s="1"/>
  <c r="E6029" i="6"/>
  <c r="E6028" i="6"/>
  <c r="E6023" i="6"/>
  <c r="E6022" i="6"/>
  <c r="E6021" i="6"/>
  <c r="E6020" i="6"/>
  <c r="E6015" i="6"/>
  <c r="E6014" i="6"/>
  <c r="E6011" i="6"/>
  <c r="E6010" i="6"/>
  <c r="E6009" i="6"/>
  <c r="E6008" i="6"/>
  <c r="E6005" i="6"/>
  <c r="E6004" i="6"/>
  <c r="E5999" i="6"/>
  <c r="E5998" i="6"/>
  <c r="E5997" i="6"/>
  <c r="E5996" i="6"/>
  <c r="E5990" i="6"/>
  <c r="E5989" i="6"/>
  <c r="E5988" i="6"/>
  <c r="E5987" i="6"/>
  <c r="E5978" i="6"/>
  <c r="E5977" i="6"/>
  <c r="E5976" i="6"/>
  <c r="E5975" i="6"/>
  <c r="E5973" i="6"/>
  <c r="E5972" i="6"/>
  <c r="E5971" i="6"/>
  <c r="E5969" i="6"/>
  <c r="E5968" i="6"/>
  <c r="E5967" i="6"/>
  <c r="E5966" i="6"/>
  <c r="E5965" i="6"/>
  <c r="E5964" i="6"/>
  <c r="E5963" i="6"/>
  <c r="E5958" i="6"/>
  <c r="E5954" i="6"/>
  <c r="E5953" i="6"/>
  <c r="E5952" i="6"/>
  <c r="E5951" i="6"/>
  <c r="E5950" i="6"/>
  <c r="E5946" i="6"/>
  <c r="E5945" i="6"/>
  <c r="E5944" i="6"/>
  <c r="E5943" i="6"/>
  <c r="E5942" i="6"/>
  <c r="E5929" i="6"/>
  <c r="E5928" i="6"/>
  <c r="E5927" i="6"/>
  <c r="E5925" i="6"/>
  <c r="E5924" i="6"/>
  <c r="E5923" i="6"/>
  <c r="E5922" i="6"/>
  <c r="E5921" i="6"/>
  <c r="E5920" i="6"/>
  <c r="E5915" i="6"/>
  <c r="E5914" i="6"/>
  <c r="L5914" i="6" s="1"/>
  <c r="E5911" i="6"/>
  <c r="E5910" i="6"/>
  <c r="E5909" i="6"/>
  <c r="E5908" i="6"/>
  <c r="E5907" i="6"/>
  <c r="E5900" i="6"/>
  <c r="E5899" i="6"/>
  <c r="E5898" i="6"/>
  <c r="E5897" i="6"/>
  <c r="E5896" i="6"/>
  <c r="E5895" i="6"/>
  <c r="E5894" i="6"/>
  <c r="E5890" i="6"/>
  <c r="E5889" i="6"/>
  <c r="E5888" i="6"/>
  <c r="E5887" i="6"/>
  <c r="E5886" i="6"/>
  <c r="E5880" i="6"/>
  <c r="E5879" i="6"/>
  <c r="E5878" i="6"/>
  <c r="E5877" i="6"/>
  <c r="E5876" i="6"/>
  <c r="E5875" i="6"/>
  <c r="E5874" i="6"/>
  <c r="E5873" i="6"/>
  <c r="E5870" i="6"/>
  <c r="E5869" i="6"/>
  <c r="E5868" i="6"/>
  <c r="E5867" i="6"/>
  <c r="E5866" i="6"/>
  <c r="E5865" i="6"/>
  <c r="M5865" i="6" s="1"/>
  <c r="E5864" i="6"/>
  <c r="E5863" i="6"/>
  <c r="E5862" i="6"/>
  <c r="E5861" i="6"/>
  <c r="E5860" i="6"/>
  <c r="E5859" i="6"/>
  <c r="L5859" i="6" s="1"/>
  <c r="E5858" i="6"/>
  <c r="E5857" i="6"/>
  <c r="E5856" i="6"/>
  <c r="E5855" i="6"/>
  <c r="E5854" i="6"/>
  <c r="E5850" i="6"/>
  <c r="E5849" i="6"/>
  <c r="E5848" i="6"/>
  <c r="E5847" i="6"/>
  <c r="E5846" i="6"/>
  <c r="L5846" i="6" s="1"/>
  <c r="E5844" i="6"/>
  <c r="E5843" i="6"/>
  <c r="E5837" i="6"/>
  <c r="E5836" i="6"/>
  <c r="E5835" i="6"/>
  <c r="E5834" i="6"/>
  <c r="E5833" i="6"/>
  <c r="E5832" i="6"/>
  <c r="E5831" i="6"/>
  <c r="E5830" i="6"/>
  <c r="E5829" i="6"/>
  <c r="E5828" i="6"/>
  <c r="E5827" i="6"/>
  <c r="L5827" i="6" s="1"/>
  <c r="E5826" i="6"/>
  <c r="E5825" i="6"/>
  <c r="E5824" i="6"/>
  <c r="E5823" i="6"/>
  <c r="E5822" i="6"/>
  <c r="E5820" i="6"/>
  <c r="E5819" i="6"/>
  <c r="E5818" i="6"/>
  <c r="E5817" i="6"/>
  <c r="E5816" i="6"/>
  <c r="E5815" i="6"/>
  <c r="E5814" i="6"/>
  <c r="M5814" i="6" s="1"/>
  <c r="E5806" i="6"/>
  <c r="E5805" i="6"/>
  <c r="E5804" i="6"/>
  <c r="E5803" i="6"/>
  <c r="E5802" i="6"/>
  <c r="E5800" i="6"/>
  <c r="E5799" i="6"/>
  <c r="E5798" i="6"/>
  <c r="E5797" i="6"/>
  <c r="E5796" i="6"/>
  <c r="E5795" i="6"/>
  <c r="E5789" i="6"/>
  <c r="E5788" i="6"/>
  <c r="E5787" i="6"/>
  <c r="E5786" i="6"/>
  <c r="E5785" i="6"/>
  <c r="E5784" i="6"/>
  <c r="E5783" i="6"/>
  <c r="E5782" i="6"/>
  <c r="E5774" i="6"/>
  <c r="E5773" i="6"/>
  <c r="E5772" i="6"/>
  <c r="E5771" i="6"/>
  <c r="E5770" i="6"/>
  <c r="E5757" i="6"/>
  <c r="E5756" i="6"/>
  <c r="E5755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81" i="6"/>
  <c r="E5680" i="6"/>
  <c r="E5679" i="6"/>
  <c r="E5678" i="6"/>
  <c r="E5669" i="6"/>
  <c r="E5668" i="6"/>
  <c r="E5666" i="6"/>
  <c r="E5665" i="6"/>
  <c r="E5664" i="6"/>
  <c r="E5663" i="6"/>
  <c r="E5662" i="6"/>
  <c r="E5661" i="6"/>
  <c r="E5660" i="6"/>
  <c r="E5659" i="6"/>
  <c r="E5658" i="6"/>
  <c r="E5657" i="6"/>
  <c r="E5653" i="6"/>
  <c r="E5652" i="6"/>
  <c r="E5651" i="6"/>
  <c r="E5650" i="6"/>
  <c r="E5644" i="6"/>
  <c r="E5643" i="6"/>
  <c r="E5639" i="6"/>
  <c r="E5638" i="6"/>
  <c r="E5637" i="6"/>
  <c r="E5636" i="6"/>
  <c r="K5636" i="6" s="1"/>
  <c r="E5628" i="6"/>
  <c r="E5627" i="6"/>
  <c r="E5626" i="6"/>
  <c r="E5625" i="6"/>
  <c r="E5624" i="6"/>
  <c r="E5623" i="6"/>
  <c r="E5622" i="6"/>
  <c r="E5621" i="6"/>
  <c r="E5618" i="6"/>
  <c r="E5617" i="6"/>
  <c r="E5616" i="6"/>
  <c r="E5615" i="6"/>
  <c r="E5614" i="6"/>
  <c r="E5613" i="6"/>
  <c r="E5612" i="6"/>
  <c r="E5606" i="6"/>
  <c r="E5605" i="6"/>
  <c r="E5604" i="6"/>
  <c r="E5603" i="6"/>
  <c r="E5590" i="6"/>
  <c r="E5589" i="6"/>
  <c r="E5588" i="6"/>
  <c r="E5587" i="6"/>
  <c r="E5584" i="6"/>
  <c r="E5583" i="6"/>
  <c r="E5582" i="6"/>
  <c r="E5581" i="6"/>
  <c r="E5580" i="6"/>
  <c r="E5579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26" i="6"/>
  <c r="E5525" i="6"/>
  <c r="E5524" i="6"/>
  <c r="E5523" i="6"/>
  <c r="E5522" i="6"/>
  <c r="E5521" i="6"/>
  <c r="E5518" i="6"/>
  <c r="E5517" i="6"/>
  <c r="E5516" i="6"/>
  <c r="E5515" i="6"/>
  <c r="E5512" i="6"/>
  <c r="E5504" i="6"/>
  <c r="E5503" i="6"/>
  <c r="E5499" i="6"/>
  <c r="E5498" i="6"/>
  <c r="E5497" i="6"/>
  <c r="E5496" i="6"/>
  <c r="E5487" i="6"/>
  <c r="E5486" i="6"/>
  <c r="E5485" i="6"/>
  <c r="E5484" i="6"/>
  <c r="E5483" i="6"/>
  <c r="E5482" i="6"/>
  <c r="E5481" i="6"/>
  <c r="E5480" i="6"/>
  <c r="E5479" i="6"/>
  <c r="E5474" i="6"/>
  <c r="E5473" i="6"/>
  <c r="E5472" i="6"/>
  <c r="E5471" i="6"/>
  <c r="E5470" i="6"/>
  <c r="E5469" i="6"/>
  <c r="E5468" i="6"/>
  <c r="E5462" i="6"/>
  <c r="E5461" i="6"/>
  <c r="E5460" i="6"/>
  <c r="E5459" i="6"/>
  <c r="E5458" i="6"/>
  <c r="E5457" i="6"/>
  <c r="E5456" i="6"/>
  <c r="E5446" i="6"/>
  <c r="E5445" i="6"/>
  <c r="E5444" i="6"/>
  <c r="E5443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398" i="6"/>
  <c r="E5397" i="6"/>
  <c r="E5396" i="6"/>
  <c r="E5395" i="6"/>
  <c r="E5383" i="6"/>
  <c r="E5382" i="6"/>
  <c r="E5381" i="6"/>
  <c r="E5380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39" i="6"/>
  <c r="E5338" i="6"/>
  <c r="E5337" i="6"/>
  <c r="E5336" i="6"/>
  <c r="E5332" i="6"/>
  <c r="E5327" i="6"/>
  <c r="E5326" i="6"/>
  <c r="E5325" i="6"/>
  <c r="E5324" i="6"/>
  <c r="E5323" i="6"/>
  <c r="E5322" i="6"/>
  <c r="E5321" i="6"/>
  <c r="E5320" i="6"/>
  <c r="E5319" i="6"/>
  <c r="E5304" i="6"/>
  <c r="E5303" i="6"/>
  <c r="E5299" i="6"/>
  <c r="E5298" i="6"/>
  <c r="E5297" i="6"/>
  <c r="E5296" i="6"/>
  <c r="E5292" i="6"/>
  <c r="E5291" i="6"/>
  <c r="E5290" i="6"/>
  <c r="E5289" i="6"/>
  <c r="E5288" i="6"/>
  <c r="E5287" i="6"/>
  <c r="E5273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28" i="6"/>
  <c r="E5227" i="6"/>
  <c r="E5226" i="6"/>
  <c r="E5225" i="6"/>
  <c r="E5224" i="6"/>
  <c r="E5223" i="6"/>
  <c r="E5222" i="6"/>
  <c r="E5221" i="6"/>
  <c r="E5206" i="6"/>
  <c r="E5205" i="6"/>
  <c r="E5204" i="6"/>
  <c r="E5203" i="6"/>
  <c r="E5202" i="6"/>
  <c r="E5201" i="6"/>
  <c r="E5200" i="6"/>
  <c r="E5199" i="6"/>
  <c r="E5163" i="6"/>
  <c r="E5162" i="6"/>
  <c r="E5161" i="6"/>
  <c r="E5160" i="6"/>
  <c r="E5159" i="6"/>
  <c r="E5158" i="6"/>
  <c r="E5157" i="6"/>
  <c r="E5147" i="6"/>
  <c r="E5146" i="6"/>
  <c r="E5145" i="6"/>
  <c r="E5138" i="6"/>
  <c r="E5137" i="6"/>
  <c r="E5136" i="6"/>
  <c r="E5135" i="6"/>
  <c r="E5128" i="6"/>
  <c r="E5127" i="6"/>
  <c r="E5126" i="6"/>
  <c r="E5125" i="6"/>
  <c r="E5124" i="6"/>
  <c r="E5099" i="6"/>
  <c r="E5098" i="6"/>
  <c r="E5097" i="6"/>
  <c r="E5095" i="6"/>
  <c r="E5094" i="6"/>
  <c r="E5093" i="6"/>
  <c r="E5092" i="6"/>
  <c r="E5088" i="6"/>
  <c r="E5087" i="6"/>
  <c r="E5086" i="6"/>
  <c r="E5085" i="6"/>
  <c r="E5084" i="6"/>
  <c r="E5083" i="6"/>
  <c r="E5082" i="6"/>
  <c r="E5081" i="6"/>
  <c r="E5080" i="6"/>
  <c r="E5063" i="6"/>
  <c r="E5062" i="6"/>
  <c r="E5061" i="6"/>
  <c r="E5060" i="6"/>
  <c r="E5055" i="6"/>
  <c r="E5054" i="6"/>
  <c r="E5053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14" i="6"/>
  <c r="E5013" i="6"/>
  <c r="E5012" i="6"/>
  <c r="E5011" i="6"/>
  <c r="E5010" i="6"/>
  <c r="E5009" i="6"/>
  <c r="E5004" i="6"/>
  <c r="E5003" i="6"/>
  <c r="E5002" i="6"/>
  <c r="E5001" i="6"/>
  <c r="E4996" i="6"/>
  <c r="E4995" i="6"/>
  <c r="E4994" i="6"/>
  <c r="E4993" i="6"/>
  <c r="E4992" i="6"/>
  <c r="E4991" i="6"/>
  <c r="E4990" i="6"/>
  <c r="E4989" i="6"/>
  <c r="E4988" i="6"/>
  <c r="E4987" i="6"/>
  <c r="E4975" i="6"/>
  <c r="E4974" i="6"/>
  <c r="E4973" i="6"/>
  <c r="E4972" i="6"/>
  <c r="E4971" i="6"/>
  <c r="E4970" i="6"/>
  <c r="E4969" i="6"/>
  <c r="E4968" i="6"/>
  <c r="E4963" i="6"/>
  <c r="E4962" i="6"/>
  <c r="E4961" i="6"/>
  <c r="E4960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06" i="6"/>
  <c r="E4905" i="6"/>
  <c r="E4904" i="6"/>
  <c r="E4899" i="6"/>
  <c r="E4898" i="6"/>
  <c r="E4897" i="6"/>
  <c r="E4896" i="6"/>
  <c r="E4895" i="6"/>
  <c r="E4891" i="6"/>
  <c r="E4890" i="6"/>
  <c r="E4889" i="6"/>
  <c r="E4888" i="6"/>
  <c r="E4884" i="6"/>
  <c r="E4876" i="6"/>
  <c r="E4875" i="6"/>
  <c r="E4874" i="6"/>
  <c r="E4873" i="6"/>
  <c r="E4872" i="6"/>
  <c r="E4871" i="6"/>
  <c r="E4870" i="6"/>
  <c r="E4869" i="6"/>
  <c r="E4868" i="6"/>
  <c r="E4867" i="6"/>
  <c r="E4859" i="6"/>
  <c r="E4858" i="6"/>
  <c r="E4857" i="6"/>
  <c r="E4856" i="6"/>
  <c r="E4855" i="6"/>
  <c r="E4854" i="6"/>
  <c r="E4853" i="6"/>
  <c r="E4852" i="6"/>
  <c r="E4842" i="6"/>
  <c r="E4841" i="6"/>
  <c r="E4840" i="6"/>
  <c r="E4836" i="6"/>
  <c r="E4835" i="6"/>
  <c r="E4834" i="6"/>
  <c r="E4833" i="6"/>
  <c r="E4832" i="6"/>
  <c r="E4831" i="6"/>
  <c r="E4830" i="6"/>
  <c r="E4829" i="6"/>
  <c r="E4820" i="6"/>
  <c r="E4819" i="6"/>
  <c r="E4818" i="6"/>
  <c r="E4817" i="6"/>
  <c r="E4812" i="6"/>
  <c r="E4811" i="6"/>
  <c r="E4810" i="6"/>
  <c r="E4809" i="6"/>
  <c r="E4804" i="6"/>
  <c r="E4803" i="6"/>
  <c r="E4800" i="6"/>
  <c r="E4799" i="6"/>
  <c r="E4798" i="6"/>
  <c r="E4797" i="6"/>
  <c r="E4796" i="6"/>
  <c r="E4795" i="6"/>
  <c r="E4794" i="6"/>
  <c r="E4793" i="6"/>
  <c r="E4786" i="6"/>
  <c r="E4785" i="6"/>
  <c r="E4784" i="6"/>
  <c r="E4783" i="6"/>
  <c r="E4782" i="6"/>
  <c r="E4781" i="6"/>
  <c r="E4772" i="6"/>
  <c r="E4771" i="6"/>
  <c r="E4770" i="6"/>
  <c r="E4769" i="6"/>
  <c r="E4764" i="6"/>
  <c r="E4763" i="6"/>
  <c r="E4762" i="6"/>
  <c r="E4761" i="6"/>
  <c r="E4756" i="6"/>
  <c r="E4755" i="6"/>
  <c r="E4754" i="6"/>
  <c r="E4753" i="6"/>
  <c r="E4752" i="6"/>
  <c r="E4732" i="6"/>
  <c r="E4731" i="6"/>
  <c r="E4730" i="6"/>
  <c r="E4729" i="6"/>
  <c r="E4726" i="6"/>
  <c r="E4725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3" i="6"/>
  <c r="E4702" i="6"/>
  <c r="E4701" i="6"/>
  <c r="E4700" i="6"/>
  <c r="E4691" i="6"/>
  <c r="E4690" i="6"/>
  <c r="E4689" i="6"/>
  <c r="E4688" i="6"/>
  <c r="E4687" i="6"/>
  <c r="E4686" i="6"/>
  <c r="E4685" i="6"/>
  <c r="E4684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36" i="6"/>
  <c r="E4635" i="6"/>
  <c r="E4634" i="6"/>
  <c r="E4633" i="6"/>
  <c r="E4632" i="6"/>
  <c r="E4631" i="6"/>
  <c r="E4630" i="6"/>
  <c r="E4629" i="6"/>
  <c r="E4628" i="6"/>
  <c r="E4627" i="6"/>
  <c r="E4626" i="6"/>
  <c r="E4605" i="6"/>
  <c r="E4596" i="6"/>
  <c r="E4595" i="6"/>
  <c r="E4566" i="6"/>
  <c r="E4565" i="6"/>
  <c r="E4564" i="6"/>
  <c r="E4563" i="6"/>
  <c r="E4545" i="6"/>
  <c r="E4544" i="6"/>
  <c r="E4543" i="6"/>
  <c r="E4542" i="6"/>
  <c r="E4541" i="6"/>
  <c r="E4520" i="6"/>
  <c r="E4519" i="6"/>
  <c r="E4518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5" i="6"/>
  <c r="E4456" i="6"/>
  <c r="E4455" i="6"/>
  <c r="E4454" i="6"/>
  <c r="E4437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36" i="6"/>
  <c r="E4335" i="6"/>
  <c r="E4334" i="6"/>
  <c r="E4321" i="6"/>
  <c r="E4320" i="6"/>
  <c r="E4319" i="6"/>
  <c r="E4318" i="6"/>
  <c r="E4317" i="6"/>
  <c r="E4316" i="6"/>
  <c r="E4315" i="6"/>
  <c r="E4314" i="6"/>
  <c r="E4313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89" i="6"/>
  <c r="E4288" i="6"/>
  <c r="E4287" i="6"/>
  <c r="E4277" i="6"/>
  <c r="E4276" i="6"/>
  <c r="E4275" i="6"/>
  <c r="E4274" i="6"/>
  <c r="E4273" i="6"/>
  <c r="E4272" i="6"/>
  <c r="E4271" i="6"/>
  <c r="E4264" i="6"/>
  <c r="E4261" i="6"/>
  <c r="E4260" i="6"/>
  <c r="E4259" i="6"/>
  <c r="E4257" i="6"/>
  <c r="E4252" i="6"/>
  <c r="E4247" i="6"/>
  <c r="E4246" i="6"/>
  <c r="E4245" i="6"/>
  <c r="E4241" i="6"/>
  <c r="E4240" i="6"/>
  <c r="E4239" i="6"/>
  <c r="E4235" i="6"/>
  <c r="E4234" i="6"/>
  <c r="E4230" i="6"/>
  <c r="E4222" i="6"/>
  <c r="E4210" i="6"/>
  <c r="E4209" i="6"/>
  <c r="E4208" i="6"/>
  <c r="E4207" i="6"/>
  <c r="E4205" i="6"/>
  <c r="E4204" i="6"/>
  <c r="E4203" i="6"/>
  <c r="E4202" i="6"/>
  <c r="E4200" i="6"/>
  <c r="E4199" i="6"/>
  <c r="E4198" i="6"/>
  <c r="E4197" i="6"/>
  <c r="E4196" i="6"/>
  <c r="E4194" i="6"/>
  <c r="E4193" i="6"/>
  <c r="E4192" i="6"/>
  <c r="E4191" i="6"/>
  <c r="K4191" i="6" s="1"/>
  <c r="E4187" i="6"/>
  <c r="E4186" i="6"/>
  <c r="K4186" i="6" s="1"/>
  <c r="E4185" i="6"/>
  <c r="K4185" i="6" s="1"/>
  <c r="E4184" i="6"/>
  <c r="E4183" i="6"/>
  <c r="E4179" i="6"/>
  <c r="E4178" i="6"/>
  <c r="E4177" i="6"/>
  <c r="E4176" i="6"/>
  <c r="E4173" i="6"/>
  <c r="E4172" i="6"/>
  <c r="E4171" i="6"/>
  <c r="E4165" i="6"/>
  <c r="E4164" i="6"/>
  <c r="E4163" i="6"/>
  <c r="K4163" i="6" s="1"/>
  <c r="E4162" i="6"/>
  <c r="E4160" i="6"/>
  <c r="E4159" i="6"/>
  <c r="E4158" i="6"/>
  <c r="E4157" i="6"/>
  <c r="E4156" i="6"/>
  <c r="E4155" i="6"/>
  <c r="E4154" i="6"/>
  <c r="E4153" i="6"/>
  <c r="E4152" i="6"/>
  <c r="K4152" i="6" s="1"/>
  <c r="E4150" i="6"/>
  <c r="E4149" i="6"/>
  <c r="K4149" i="6" s="1"/>
  <c r="E4139" i="6"/>
  <c r="E4138" i="6"/>
  <c r="K4138" i="6" s="1"/>
  <c r="E4137" i="6"/>
  <c r="E4135" i="6"/>
  <c r="E4134" i="6"/>
  <c r="K4134" i="6" s="1"/>
  <c r="E4129" i="6"/>
  <c r="E4128" i="6"/>
  <c r="E4127" i="6"/>
  <c r="E4126" i="6"/>
  <c r="E4123" i="6"/>
  <c r="E4122" i="6"/>
  <c r="E4121" i="6"/>
  <c r="E4119" i="6"/>
  <c r="E4118" i="6"/>
  <c r="E4109" i="6"/>
  <c r="E4108" i="6"/>
  <c r="E4107" i="6"/>
  <c r="E4106" i="6"/>
  <c r="E4105" i="6"/>
  <c r="E4104" i="6"/>
  <c r="K4104" i="6" s="1"/>
  <c r="E4088" i="6"/>
  <c r="E4087" i="6"/>
  <c r="E4086" i="6"/>
  <c r="E4085" i="6"/>
  <c r="K4085" i="6" s="1"/>
  <c r="E4084" i="6"/>
  <c r="E4083" i="6"/>
  <c r="E4082" i="6"/>
  <c r="E4081" i="6"/>
  <c r="E4080" i="6"/>
  <c r="E4079" i="6"/>
  <c r="K4079" i="6" s="1"/>
  <c r="E4078" i="6"/>
  <c r="E4077" i="6"/>
  <c r="E4076" i="6"/>
  <c r="E4075" i="6"/>
  <c r="E4074" i="6"/>
  <c r="K4074" i="6" s="1"/>
  <c r="E4073" i="6"/>
  <c r="K4073" i="6" s="1"/>
  <c r="E4072" i="6"/>
  <c r="E4071" i="6"/>
  <c r="K4071" i="6" s="1"/>
  <c r="E4070" i="6"/>
  <c r="K4070" i="6" s="1"/>
  <c r="E4069" i="6"/>
  <c r="K4069" i="6" s="1"/>
  <c r="E4068" i="6"/>
  <c r="E4066" i="6"/>
  <c r="E4065" i="6"/>
  <c r="E4064" i="6"/>
  <c r="E4060" i="6"/>
  <c r="E4059" i="6"/>
  <c r="E4058" i="6"/>
  <c r="E4057" i="6"/>
  <c r="E4055" i="6"/>
  <c r="E4054" i="6"/>
  <c r="E4053" i="6"/>
  <c r="K4053" i="6" s="1"/>
  <c r="E4052" i="6"/>
  <c r="E4051" i="6"/>
  <c r="E4050" i="6"/>
  <c r="E4049" i="6"/>
  <c r="E4048" i="6"/>
  <c r="E4047" i="6"/>
  <c r="E4046" i="6"/>
  <c r="K4046" i="6" s="1"/>
  <c r="E4045" i="6"/>
  <c r="E4044" i="6"/>
  <c r="E4043" i="6"/>
  <c r="E4042" i="6"/>
  <c r="K4042" i="6" s="1"/>
  <c r="E4041" i="6"/>
  <c r="K4041" i="6" s="1"/>
  <c r="E4040" i="6"/>
  <c r="K4040" i="6" s="1"/>
  <c r="E4039" i="6"/>
  <c r="E4038" i="6"/>
  <c r="E4037" i="6"/>
  <c r="E4032" i="6"/>
  <c r="E4031" i="6"/>
  <c r="E4030" i="6"/>
  <c r="K4030" i="6" s="1"/>
  <c r="E4028" i="6"/>
  <c r="E4027" i="6"/>
  <c r="E4026" i="6"/>
  <c r="E4025" i="6"/>
  <c r="E4020" i="6"/>
  <c r="E4019" i="6"/>
  <c r="E4018" i="6"/>
  <c r="E4017" i="6"/>
  <c r="K4017" i="6" s="1"/>
  <c r="E4016" i="6"/>
  <c r="K4016" i="6" s="1"/>
  <c r="E4015" i="6"/>
  <c r="E4014" i="6"/>
  <c r="E4013" i="6"/>
  <c r="E4012" i="6"/>
  <c r="K4012" i="6" s="1"/>
  <c r="E4011" i="6"/>
  <c r="E4010" i="6"/>
  <c r="E4009" i="6"/>
  <c r="E4008" i="6"/>
  <c r="E4007" i="6"/>
  <c r="E4006" i="6"/>
  <c r="E4005" i="6"/>
  <c r="K4005" i="6" s="1"/>
  <c r="E4001" i="6"/>
  <c r="K4001" i="6" s="1"/>
  <c r="E3996" i="6"/>
  <c r="E3995" i="6"/>
  <c r="E3994" i="6"/>
  <c r="E3992" i="6"/>
  <c r="K3992" i="6" s="1"/>
  <c r="E3991" i="6"/>
  <c r="K3991" i="6" s="1"/>
  <c r="E3990" i="6"/>
  <c r="E3989" i="6"/>
  <c r="E3985" i="6"/>
  <c r="E3980" i="6"/>
  <c r="E3979" i="6"/>
  <c r="E3978" i="6"/>
  <c r="E3977" i="6"/>
  <c r="E3965" i="6"/>
  <c r="E3964" i="6"/>
  <c r="E3963" i="6"/>
  <c r="E3962" i="6"/>
  <c r="E3961" i="6"/>
  <c r="E3960" i="6"/>
  <c r="E3959" i="6"/>
  <c r="E3958" i="6"/>
  <c r="K3958" i="6" s="1"/>
  <c r="E3949" i="6"/>
  <c r="E3944" i="6"/>
  <c r="E3943" i="6"/>
  <c r="K3943" i="6" s="1"/>
  <c r="E3942" i="6"/>
  <c r="E3941" i="6"/>
  <c r="E3937" i="6"/>
  <c r="E3936" i="6"/>
  <c r="E3935" i="6"/>
  <c r="E3934" i="6"/>
  <c r="E3933" i="6"/>
  <c r="K3933" i="6" s="1"/>
  <c r="E3924" i="6"/>
  <c r="K3924" i="6" s="1"/>
  <c r="E3923" i="6"/>
  <c r="K3923" i="6" s="1"/>
  <c r="E3922" i="6"/>
  <c r="E3920" i="6"/>
  <c r="E3919" i="6"/>
  <c r="E3918" i="6"/>
  <c r="K3918" i="6" s="1"/>
  <c r="E3915" i="6"/>
  <c r="K3915" i="6" s="1"/>
  <c r="E3914" i="6"/>
  <c r="E3913" i="6"/>
  <c r="K3913" i="6" s="1"/>
  <c r="E3912" i="6"/>
  <c r="E3911" i="6"/>
  <c r="K3911" i="6" s="1"/>
  <c r="E3910" i="6"/>
  <c r="E3907" i="6"/>
  <c r="E3906" i="6"/>
  <c r="K3906" i="6" s="1"/>
  <c r="E3903" i="6"/>
  <c r="K3903" i="6" s="1"/>
  <c r="E3902" i="6"/>
  <c r="E3901" i="6"/>
  <c r="K3901" i="6" s="1"/>
  <c r="E3900" i="6"/>
  <c r="E3895" i="6"/>
  <c r="E3894" i="6"/>
  <c r="E3891" i="6"/>
  <c r="K3891" i="6" s="1"/>
  <c r="E3890" i="6"/>
  <c r="E3887" i="6"/>
  <c r="E3886" i="6"/>
  <c r="E3885" i="6"/>
  <c r="E3884" i="6"/>
  <c r="K3884" i="6" s="1"/>
  <c r="E3871" i="6"/>
  <c r="K3871" i="6" s="1"/>
  <c r="E3870" i="6"/>
  <c r="E3869" i="6"/>
  <c r="K3869" i="6" s="1"/>
  <c r="E3868" i="6"/>
  <c r="E3865" i="6"/>
  <c r="E3864" i="6"/>
  <c r="E3863" i="6"/>
  <c r="E3862" i="6"/>
  <c r="K3862" i="6" s="1"/>
  <c r="E3861" i="6"/>
  <c r="E3860" i="6"/>
  <c r="E3859" i="6"/>
  <c r="E3858" i="6"/>
  <c r="K3858" i="6" s="1"/>
  <c r="E3857" i="6"/>
  <c r="E3856" i="6"/>
  <c r="E3851" i="6"/>
  <c r="K3851" i="6" s="1"/>
  <c r="E3850" i="6"/>
  <c r="E3738" i="6"/>
  <c r="E3737" i="6"/>
  <c r="E3736" i="6"/>
  <c r="E3735" i="6"/>
  <c r="E3734" i="6"/>
  <c r="E3733" i="6"/>
  <c r="E3723" i="6"/>
  <c r="K3723" i="6" s="1"/>
  <c r="E3722" i="6"/>
  <c r="E3721" i="6"/>
  <c r="E3720" i="6"/>
  <c r="E3699" i="6"/>
  <c r="E3698" i="6"/>
  <c r="E3697" i="6"/>
  <c r="E3696" i="6"/>
  <c r="E3691" i="6"/>
  <c r="E3690" i="6"/>
  <c r="E3689" i="6"/>
  <c r="E3688" i="6"/>
  <c r="E3687" i="6"/>
  <c r="K3687" i="6" s="1"/>
  <c r="E3686" i="6"/>
  <c r="E3685" i="6"/>
  <c r="K3685" i="6" s="1"/>
  <c r="E3684" i="6"/>
  <c r="K3684" i="6" s="1"/>
  <c r="E3672" i="6"/>
  <c r="E3668" i="6"/>
  <c r="K3668" i="6" s="1"/>
  <c r="E3664" i="6"/>
  <c r="E3659" i="6"/>
  <c r="E3658" i="6"/>
  <c r="E3657" i="6"/>
  <c r="K3657" i="6" s="1"/>
  <c r="E3656" i="6"/>
  <c r="K3656" i="6" s="1"/>
  <c r="E3655" i="6"/>
  <c r="E3654" i="6"/>
  <c r="E3653" i="6"/>
  <c r="E3648" i="6"/>
  <c r="E3643" i="6"/>
  <c r="E3642" i="6"/>
  <c r="E3641" i="6"/>
  <c r="K3641" i="6" s="1"/>
  <c r="E3640" i="6"/>
  <c r="K3640" i="6" s="1"/>
  <c r="E3639" i="6"/>
  <c r="E3638" i="6"/>
  <c r="E3637" i="6"/>
  <c r="K3637" i="6" s="1"/>
  <c r="E3632" i="6"/>
  <c r="E3627" i="6"/>
  <c r="E3626" i="6"/>
  <c r="E3625" i="6"/>
  <c r="K3625" i="6" s="1"/>
  <c r="E3624" i="6"/>
  <c r="E3623" i="6"/>
  <c r="E3622" i="6"/>
  <c r="E3621" i="6"/>
  <c r="K3621" i="6" s="1"/>
  <c r="E3620" i="6"/>
  <c r="E3611" i="6"/>
  <c r="E3610" i="6"/>
  <c r="E3609" i="6"/>
  <c r="E3608" i="6"/>
  <c r="E3600" i="6"/>
  <c r="E3596" i="6"/>
  <c r="E3592" i="6"/>
  <c r="K3592" i="6" s="1"/>
  <c r="E3588" i="6"/>
  <c r="E3584" i="6"/>
  <c r="E3580" i="6"/>
  <c r="E3576" i="6"/>
  <c r="E3572" i="6"/>
  <c r="E3568" i="6"/>
  <c r="E3564" i="6"/>
  <c r="E3560" i="6"/>
  <c r="E3556" i="6"/>
  <c r="E3552" i="6"/>
  <c r="E3543" i="6"/>
  <c r="E3542" i="6"/>
  <c r="E3541" i="6"/>
  <c r="E3540" i="6"/>
  <c r="E3535" i="6"/>
  <c r="K3535" i="6" s="1"/>
  <c r="E3534" i="6"/>
  <c r="E3525" i="6"/>
  <c r="E3524" i="6"/>
  <c r="E3523" i="6"/>
  <c r="K3523" i="6" s="1"/>
  <c r="E3522" i="6"/>
  <c r="E3520" i="6"/>
  <c r="E3517" i="6"/>
  <c r="E3515" i="6"/>
  <c r="K3515" i="6" s="1"/>
  <c r="E3514" i="6"/>
  <c r="K3514" i="6" s="1"/>
  <c r="E3513" i="6"/>
  <c r="K3513" i="6" s="1"/>
  <c r="E3512" i="6"/>
  <c r="E3511" i="6"/>
  <c r="E3510" i="6"/>
  <c r="K3510" i="6" s="1"/>
  <c r="E3509" i="6"/>
  <c r="K3509" i="6" s="1"/>
  <c r="E3508" i="6"/>
  <c r="E3507" i="6"/>
  <c r="K3507" i="6" s="1"/>
  <c r="E3506" i="6"/>
  <c r="K3506" i="6" s="1"/>
  <c r="E3505" i="6"/>
  <c r="E3503" i="6"/>
  <c r="E3502" i="6"/>
  <c r="E3501" i="6"/>
  <c r="E3500" i="6"/>
  <c r="K3500" i="6" s="1"/>
  <c r="E3493" i="6"/>
  <c r="E3487" i="6"/>
  <c r="E3486" i="6"/>
  <c r="K3486" i="6" s="1"/>
  <c r="E3485" i="6"/>
  <c r="E3471" i="6"/>
  <c r="E3470" i="6"/>
  <c r="E3469" i="6"/>
  <c r="E3467" i="6"/>
  <c r="K3467" i="6" s="1"/>
  <c r="E3466" i="6"/>
  <c r="E3465" i="6"/>
  <c r="E3463" i="6"/>
  <c r="K3463" i="6" s="1"/>
  <c r="E3462" i="6"/>
  <c r="E3460" i="6"/>
  <c r="E3459" i="6"/>
  <c r="E3458" i="6"/>
  <c r="E3456" i="6"/>
  <c r="E3455" i="6"/>
  <c r="E3454" i="6"/>
  <c r="K3454" i="6" s="1"/>
  <c r="E3453" i="6"/>
  <c r="K3453" i="6" s="1"/>
  <c r="E3452" i="6"/>
  <c r="E3449" i="6"/>
  <c r="E3441" i="6"/>
  <c r="E3437" i="6"/>
  <c r="E3431" i="6"/>
  <c r="K3431" i="6" s="1"/>
  <c r="E3430" i="6"/>
  <c r="E3428" i="6"/>
  <c r="K3428" i="6" s="1"/>
  <c r="E3427" i="6"/>
  <c r="E3426" i="6"/>
  <c r="E3424" i="6"/>
  <c r="E3423" i="6"/>
  <c r="E3422" i="6"/>
  <c r="K3422" i="6" s="1"/>
  <c r="E3415" i="6"/>
  <c r="K3415" i="6" s="1"/>
  <c r="E3414" i="6"/>
  <c r="E3412" i="6"/>
  <c r="E3411" i="6"/>
  <c r="K3411" i="6" s="1"/>
  <c r="E3410" i="6"/>
  <c r="K3410" i="6" s="1"/>
  <c r="E3409" i="6"/>
  <c r="E3403" i="6"/>
  <c r="E3402" i="6"/>
  <c r="E3400" i="6"/>
  <c r="E3396" i="6"/>
  <c r="E3387" i="6"/>
  <c r="K3387" i="6" s="1"/>
  <c r="E3386" i="6"/>
  <c r="E3379" i="6"/>
  <c r="E3378" i="6"/>
  <c r="E3377" i="6"/>
  <c r="E3368" i="6"/>
  <c r="E3356" i="6"/>
  <c r="E3343" i="6"/>
  <c r="E3342" i="6"/>
  <c r="K3342" i="6" s="1"/>
  <c r="E3341" i="6"/>
  <c r="K3341" i="6" s="1"/>
  <c r="E3340" i="6"/>
  <c r="E3331" i="6"/>
  <c r="E3330" i="6"/>
  <c r="K3330" i="6" s="1"/>
  <c r="E3329" i="6"/>
  <c r="K3329" i="6" s="1"/>
  <c r="E3328" i="6"/>
  <c r="E3319" i="6"/>
  <c r="E3318" i="6"/>
  <c r="K3318" i="6" s="1"/>
  <c r="E3317" i="6"/>
  <c r="K3317" i="6" s="1"/>
  <c r="E3309" i="6"/>
  <c r="K3309" i="6" s="1"/>
  <c r="E3308" i="6"/>
  <c r="E3303" i="6"/>
  <c r="K3303" i="6" s="1"/>
  <c r="E3302" i="6"/>
  <c r="E3296" i="6"/>
  <c r="E3291" i="6"/>
  <c r="E3290" i="6"/>
  <c r="E3285" i="6"/>
  <c r="E3280" i="6"/>
  <c r="E3275" i="6"/>
  <c r="E3274" i="6"/>
  <c r="E3268" i="6"/>
  <c r="E3261" i="6"/>
  <c r="E3255" i="6"/>
  <c r="E3254" i="6"/>
  <c r="E3248" i="6"/>
  <c r="E3240" i="6"/>
  <c r="E3235" i="6"/>
  <c r="E3234" i="6"/>
  <c r="E3228" i="6"/>
  <c r="E3223" i="6"/>
  <c r="K3223" i="6" s="1"/>
  <c r="E3222" i="6"/>
  <c r="E3221" i="6"/>
  <c r="E3216" i="6"/>
  <c r="E3209" i="6"/>
  <c r="E3203" i="6"/>
  <c r="E3202" i="6"/>
  <c r="K3202" i="6" s="1"/>
  <c r="E3201" i="6"/>
  <c r="E3195" i="6"/>
  <c r="K3195" i="6" s="1"/>
  <c r="E3194" i="6"/>
  <c r="E3188" i="6"/>
  <c r="E3183" i="6"/>
  <c r="K3183" i="6" s="1"/>
  <c r="E3182" i="6"/>
  <c r="E3181" i="6"/>
  <c r="E3175" i="6"/>
  <c r="K3175" i="6" s="1"/>
  <c r="E3174" i="6"/>
  <c r="E3173" i="6"/>
  <c r="E3167" i="6"/>
  <c r="E3166" i="6"/>
  <c r="K3166" i="6" s="1"/>
  <c r="E3165" i="6"/>
  <c r="E3157" i="6"/>
  <c r="E3148" i="6"/>
  <c r="E3147" i="6"/>
  <c r="K3147" i="6" s="1"/>
  <c r="E3146" i="6"/>
  <c r="K3146" i="6" s="1"/>
  <c r="E3145" i="6"/>
  <c r="E3131" i="6"/>
  <c r="E3130" i="6"/>
  <c r="E3129" i="6"/>
  <c r="E3128" i="6"/>
  <c r="E3116" i="6"/>
  <c r="E3108" i="6"/>
  <c r="E3100" i="6"/>
  <c r="K3100" i="6" s="1"/>
  <c r="E3092" i="6"/>
  <c r="E3083" i="6"/>
  <c r="E3082" i="6"/>
  <c r="E3081" i="6"/>
  <c r="E3080" i="6"/>
  <c r="E3079" i="6"/>
  <c r="E3078" i="6"/>
  <c r="E3077" i="6"/>
  <c r="E3076" i="6"/>
  <c r="E3057" i="6"/>
  <c r="E3056" i="6"/>
  <c r="E3047" i="6"/>
  <c r="E3046" i="6"/>
  <c r="E3045" i="6"/>
  <c r="E3044" i="6"/>
  <c r="K3044" i="6" s="1"/>
  <c r="E3043" i="6"/>
  <c r="E3042" i="6"/>
  <c r="E3033" i="6"/>
  <c r="E3032" i="6"/>
  <c r="K3032" i="6" s="1"/>
  <c r="E3031" i="6"/>
  <c r="E3030" i="6"/>
  <c r="E3027" i="6"/>
  <c r="E3026" i="6"/>
  <c r="E3023" i="6"/>
  <c r="K3023" i="6" s="1"/>
  <c r="E3022" i="6"/>
  <c r="E3009" i="6"/>
  <c r="E3008" i="6"/>
  <c r="E3007" i="6"/>
  <c r="E3006" i="6"/>
  <c r="E3005" i="6"/>
  <c r="M1419" i="6"/>
  <c r="L1419" i="6"/>
  <c r="M1407" i="6"/>
  <c r="L1407" i="6"/>
  <c r="M1395" i="6"/>
  <c r="L1395" i="6"/>
  <c r="M1379" i="6"/>
  <c r="L1379" i="6"/>
  <c r="M1367" i="6"/>
  <c r="L1367" i="6"/>
  <c r="M1339" i="6"/>
  <c r="L1339" i="6"/>
  <c r="M1327" i="6"/>
  <c r="L1327" i="6"/>
  <c r="M1311" i="6"/>
  <c r="L1311" i="6"/>
  <c r="M1299" i="6"/>
  <c r="L1299" i="6"/>
  <c r="M1287" i="6"/>
  <c r="L1287" i="6"/>
  <c r="M1275" i="6"/>
  <c r="L1275" i="6"/>
  <c r="M1259" i="6"/>
  <c r="L1259" i="6"/>
  <c r="M1243" i="6"/>
  <c r="L1243" i="6"/>
  <c r="M1227" i="6"/>
  <c r="L1227" i="6"/>
  <c r="M1219" i="6"/>
  <c r="L1219" i="6"/>
  <c r="M1207" i="6"/>
  <c r="L1207" i="6"/>
  <c r="M1191" i="6"/>
  <c r="L1191" i="6"/>
  <c r="M1175" i="6"/>
  <c r="L1175" i="6"/>
  <c r="M1159" i="6"/>
  <c r="L1159" i="6"/>
  <c r="M1143" i="6"/>
  <c r="L1143" i="6"/>
  <c r="M1127" i="6"/>
  <c r="L1127" i="6"/>
  <c r="M1111" i="6"/>
  <c r="L1111" i="6"/>
  <c r="M1095" i="6"/>
  <c r="L1095" i="6"/>
  <c r="M1083" i="6"/>
  <c r="L1083" i="6"/>
  <c r="M1067" i="6"/>
  <c r="L1067" i="6"/>
  <c r="M1051" i="6"/>
  <c r="L1051" i="6"/>
  <c r="M1035" i="6"/>
  <c r="L1035" i="6"/>
  <c r="M1019" i="6"/>
  <c r="L1019" i="6"/>
  <c r="M1003" i="6"/>
  <c r="L1003" i="6"/>
  <c r="M987" i="6"/>
  <c r="L987" i="6"/>
  <c r="M971" i="6"/>
  <c r="L971" i="6"/>
  <c r="M955" i="6"/>
  <c r="L955" i="6"/>
  <c r="M939" i="6"/>
  <c r="L939" i="6"/>
  <c r="M923" i="6"/>
  <c r="L923" i="6"/>
  <c r="M907" i="6"/>
  <c r="L907" i="6"/>
  <c r="M891" i="6"/>
  <c r="L891" i="6"/>
  <c r="M875" i="6"/>
  <c r="L875" i="6"/>
  <c r="M859" i="6"/>
  <c r="L859" i="6"/>
  <c r="M843" i="6"/>
  <c r="L843" i="6"/>
  <c r="M827" i="6"/>
  <c r="L827" i="6"/>
  <c r="M811" i="6"/>
  <c r="L811" i="6"/>
  <c r="M795" i="6"/>
  <c r="L795" i="6"/>
  <c r="M779" i="6"/>
  <c r="L779" i="6"/>
  <c r="M763" i="6"/>
  <c r="L763" i="6"/>
  <c r="M747" i="6"/>
  <c r="L747" i="6"/>
  <c r="M731" i="6"/>
  <c r="L731" i="6"/>
  <c r="L6905" i="6"/>
  <c r="N6905" i="6"/>
  <c r="L6896" i="6"/>
  <c r="N6896" i="6"/>
  <c r="L6893" i="6"/>
  <c r="M6893" i="6"/>
  <c r="L6889" i="6"/>
  <c r="M6884" i="6"/>
  <c r="N6879" i="6"/>
  <c r="M6879" i="6"/>
  <c r="N6863" i="6"/>
  <c r="M6863" i="6"/>
  <c r="L6853" i="6"/>
  <c r="N6853" i="6"/>
  <c r="M6853" i="6"/>
  <c r="L6844" i="6"/>
  <c r="L6840" i="6"/>
  <c r="N6820" i="6"/>
  <c r="M6820" i="6"/>
  <c r="L6820" i="6"/>
  <c r="L6785" i="6"/>
  <c r="L6777" i="6"/>
  <c r="K6777" i="6"/>
  <c r="L6771" i="6"/>
  <c r="K6756" i="6"/>
  <c r="L6729" i="6"/>
  <c r="M6720" i="6"/>
  <c r="M6713" i="6"/>
  <c r="L6713" i="6"/>
  <c r="L6689" i="6"/>
  <c r="N6687" i="6"/>
  <c r="M6685" i="6"/>
  <c r="M6671" i="6"/>
  <c r="L6657" i="6"/>
  <c r="M6657" i="6"/>
  <c r="N6649" i="6"/>
  <c r="N6644" i="6"/>
  <c r="M6620" i="6"/>
  <c r="K6620" i="6"/>
  <c r="L6604" i="6"/>
  <c r="M6579" i="6"/>
  <c r="N6564" i="6"/>
  <c r="M6556" i="6"/>
  <c r="K6548" i="6"/>
  <c r="L6531" i="6"/>
  <c r="N6520" i="6"/>
  <c r="M6520" i="6"/>
  <c r="N6503" i="6"/>
  <c r="L6496" i="6"/>
  <c r="M6488" i="6"/>
  <c r="N6480" i="6"/>
  <c r="M6460" i="6"/>
  <c r="K6388" i="6"/>
  <c r="L6387" i="6"/>
  <c r="M6364" i="6"/>
  <c r="K6364" i="6"/>
  <c r="K6351" i="6"/>
  <c r="K6332" i="6"/>
  <c r="N6320" i="6"/>
  <c r="N6303" i="6"/>
  <c r="N6289" i="6"/>
  <c r="K6271" i="6"/>
  <c r="N6263" i="6"/>
  <c r="K6259" i="6"/>
  <c r="L6216" i="6"/>
  <c r="N6212" i="6"/>
  <c r="L6192" i="6"/>
  <c r="N6188" i="6"/>
  <c r="K6188" i="6"/>
  <c r="N6146" i="6"/>
  <c r="M6134" i="6"/>
  <c r="L6119" i="6"/>
  <c r="M6115" i="6"/>
  <c r="M5605" i="6"/>
  <c r="N5605" i="6"/>
  <c r="L715" i="6"/>
  <c r="L703" i="6"/>
  <c r="L687" i="6"/>
  <c r="L671" i="6"/>
  <c r="L655" i="6"/>
  <c r="L639" i="6"/>
  <c r="L623" i="6"/>
  <c r="L607" i="6"/>
  <c r="K6313" i="6"/>
  <c r="M6104" i="6"/>
  <c r="K6501" i="6"/>
  <c r="K6107" i="6"/>
  <c r="K6405" i="6"/>
  <c r="N6369" i="6"/>
  <c r="M6687" i="6"/>
  <c r="L6709" i="6"/>
  <c r="L6863" i="6"/>
  <c r="N6621" i="6"/>
  <c r="N6651" i="6"/>
  <c r="K6685" i="6"/>
  <c r="K6713" i="6"/>
  <c r="L6811" i="6"/>
  <c r="M6827" i="6"/>
  <c r="K6628" i="6"/>
  <c r="M6779" i="6"/>
  <c r="M6467" i="6"/>
  <c r="N6805" i="6"/>
  <c r="L6380" i="6"/>
  <c r="K6732" i="6"/>
  <c r="L6416" i="6"/>
  <c r="K6347" i="6"/>
  <c r="N6620" i="6"/>
  <c r="L6788" i="6"/>
  <c r="M6828" i="6"/>
  <c r="N6227" i="6"/>
  <c r="L6198" i="6"/>
  <c r="L6388" i="6"/>
  <c r="N6224" i="6"/>
  <c r="M6788" i="6"/>
  <c r="K6905" i="6"/>
  <c r="L6243" i="6"/>
  <c r="K6880" i="6"/>
  <c r="N6747" i="6"/>
  <c r="M6896" i="6"/>
  <c r="L6828" i="6"/>
  <c r="L6151" i="6"/>
  <c r="L6400" i="6"/>
  <c r="E1470" i="6"/>
  <c r="E1466" i="6"/>
  <c r="K1466" i="6" s="1"/>
  <c r="E1462" i="6"/>
  <c r="E1458" i="6"/>
  <c r="E1454" i="6"/>
  <c r="E1450" i="6"/>
  <c r="K1450" i="6" s="1"/>
  <c r="E1446" i="6"/>
  <c r="E1442" i="6"/>
  <c r="E1438" i="6"/>
  <c r="E1434" i="6"/>
  <c r="K1434" i="6" s="1"/>
  <c r="E1430" i="6"/>
  <c r="E1426" i="6"/>
  <c r="E1422" i="6"/>
  <c r="E1418" i="6"/>
  <c r="E1414" i="6"/>
  <c r="E1410" i="6"/>
  <c r="E1406" i="6"/>
  <c r="E1402" i="6"/>
  <c r="E1398" i="6"/>
  <c r="E1394" i="6"/>
  <c r="E1390" i="6"/>
  <c r="E1386" i="6"/>
  <c r="E1382" i="6"/>
  <c r="E1378" i="6"/>
  <c r="E1374" i="6"/>
  <c r="E1370" i="6"/>
  <c r="E1366" i="6"/>
  <c r="E1362" i="6"/>
  <c r="E1358" i="6"/>
  <c r="E1354" i="6"/>
  <c r="E1350" i="6"/>
  <c r="E1346" i="6"/>
  <c r="E1342" i="6"/>
  <c r="E1338" i="6"/>
  <c r="E1334" i="6"/>
  <c r="E1330" i="6"/>
  <c r="E1326" i="6"/>
  <c r="E1322" i="6"/>
  <c r="E1318" i="6"/>
  <c r="E1314" i="6"/>
  <c r="E1310" i="6"/>
  <c r="E1306" i="6"/>
  <c r="E1302" i="6"/>
  <c r="E1298" i="6"/>
  <c r="E1294" i="6"/>
  <c r="E1290" i="6"/>
  <c r="E1286" i="6"/>
  <c r="E1282" i="6"/>
  <c r="E1278" i="6"/>
  <c r="E1274" i="6"/>
  <c r="E1270" i="6"/>
  <c r="E1266" i="6"/>
  <c r="E1262" i="6"/>
  <c r="E1258" i="6"/>
  <c r="E1254" i="6"/>
  <c r="E1250" i="6"/>
  <c r="E1246" i="6"/>
  <c r="E1242" i="6"/>
  <c r="E1238" i="6"/>
  <c r="E1234" i="6"/>
  <c r="E1230" i="6"/>
  <c r="E1226" i="6"/>
  <c r="E1222" i="6"/>
  <c r="E1218" i="6"/>
  <c r="E1214" i="6"/>
  <c r="E1210" i="6"/>
  <c r="E1206" i="6"/>
  <c r="E1202" i="6"/>
  <c r="E1198" i="6"/>
  <c r="E1194" i="6"/>
  <c r="E1190" i="6"/>
  <c r="E1186" i="6"/>
  <c r="E1182" i="6"/>
  <c r="E1178" i="6"/>
  <c r="E1174" i="6"/>
  <c r="E1170" i="6"/>
  <c r="E1166" i="6"/>
  <c r="E1162" i="6"/>
  <c r="E1158" i="6"/>
  <c r="E1154" i="6"/>
  <c r="E1150" i="6"/>
  <c r="E1146" i="6"/>
  <c r="E1142" i="6"/>
  <c r="E1138" i="6"/>
  <c r="E1134" i="6"/>
  <c r="E1130" i="6"/>
  <c r="E1126" i="6"/>
  <c r="E1122" i="6"/>
  <c r="E1118" i="6"/>
  <c r="E1114" i="6"/>
  <c r="E1110" i="6"/>
  <c r="E1106" i="6"/>
  <c r="E1102" i="6"/>
  <c r="E1098" i="6"/>
  <c r="E1094" i="6"/>
  <c r="E1090" i="6"/>
  <c r="E1086" i="6"/>
  <c r="E1082" i="6"/>
  <c r="E1078" i="6"/>
  <c r="E1074" i="6"/>
  <c r="E1070" i="6"/>
  <c r="E1066" i="6"/>
  <c r="E1062" i="6"/>
  <c r="E1058" i="6"/>
  <c r="E1054" i="6"/>
  <c r="E1050" i="6"/>
  <c r="E1046" i="6"/>
  <c r="E1042" i="6"/>
  <c r="E1038" i="6"/>
  <c r="E1034" i="6"/>
  <c r="E1030" i="6"/>
  <c r="E1026" i="6"/>
  <c r="E1022" i="6"/>
  <c r="E1018" i="6"/>
  <c r="E1014" i="6"/>
  <c r="E1010" i="6"/>
  <c r="E1006" i="6"/>
  <c r="E1002" i="6"/>
  <c r="E998" i="6"/>
  <c r="E994" i="6"/>
  <c r="E990" i="6"/>
  <c r="E986" i="6"/>
  <c r="E982" i="6"/>
  <c r="E978" i="6"/>
  <c r="E974" i="6"/>
  <c r="E970" i="6"/>
  <c r="E966" i="6"/>
  <c r="E962" i="6"/>
  <c r="E958" i="6"/>
  <c r="E954" i="6"/>
  <c r="E950" i="6"/>
  <c r="E946" i="6"/>
  <c r="E942" i="6"/>
  <c r="E938" i="6"/>
  <c r="E934" i="6"/>
  <c r="E930" i="6"/>
  <c r="E926" i="6"/>
  <c r="E922" i="6"/>
  <c r="E918" i="6"/>
  <c r="E914" i="6"/>
  <c r="E910" i="6"/>
  <c r="E906" i="6"/>
  <c r="E902" i="6"/>
  <c r="E898" i="6"/>
  <c r="E894" i="6"/>
  <c r="E890" i="6"/>
  <c r="E886" i="6"/>
  <c r="E882" i="6"/>
  <c r="E878" i="6"/>
  <c r="E874" i="6"/>
  <c r="E870" i="6"/>
  <c r="E866" i="6"/>
  <c r="E862" i="6"/>
  <c r="E858" i="6"/>
  <c r="E854" i="6"/>
  <c r="E850" i="6"/>
  <c r="E846" i="6"/>
  <c r="E842" i="6"/>
  <c r="E838" i="6"/>
  <c r="E834" i="6"/>
  <c r="E830" i="6"/>
  <c r="E826" i="6"/>
  <c r="E822" i="6"/>
  <c r="E818" i="6"/>
  <c r="E814" i="6"/>
  <c r="E810" i="6"/>
  <c r="E806" i="6"/>
  <c r="E802" i="6"/>
  <c r="E798" i="6"/>
  <c r="E794" i="6"/>
  <c r="K794" i="6" s="1"/>
  <c r="E790" i="6"/>
  <c r="K790" i="6" s="1"/>
  <c r="E786" i="6"/>
  <c r="K786" i="6" s="1"/>
  <c r="E782" i="6"/>
  <c r="E778" i="6"/>
  <c r="K778" i="6" s="1"/>
  <c r="E774" i="6"/>
  <c r="K774" i="6" s="1"/>
  <c r="E770" i="6"/>
  <c r="K770" i="6" s="1"/>
  <c r="E766" i="6"/>
  <c r="E762" i="6"/>
  <c r="E758" i="6"/>
  <c r="K758" i="6" s="1"/>
  <c r="E754" i="6"/>
  <c r="K754" i="6" s="1"/>
  <c r="E750" i="6"/>
  <c r="E746" i="6"/>
  <c r="K746" i="6" s="1"/>
  <c r="E742" i="6"/>
  <c r="K742" i="6" s="1"/>
  <c r="E738" i="6"/>
  <c r="K738" i="6" s="1"/>
  <c r="E734" i="6"/>
  <c r="E730" i="6"/>
  <c r="K730" i="6" s="1"/>
  <c r="E726" i="6"/>
  <c r="K726" i="6" s="1"/>
  <c r="E722" i="6"/>
  <c r="K722" i="6" s="1"/>
  <c r="E718" i="6"/>
  <c r="E714" i="6"/>
  <c r="K714" i="6" s="1"/>
  <c r="E710" i="6"/>
  <c r="K710" i="6" s="1"/>
  <c r="E706" i="6"/>
  <c r="K706" i="6" s="1"/>
  <c r="E702" i="6"/>
  <c r="E698" i="6"/>
  <c r="K698" i="6" s="1"/>
  <c r="E694" i="6"/>
  <c r="K694" i="6" s="1"/>
  <c r="E690" i="6"/>
  <c r="K690" i="6" s="1"/>
  <c r="E686" i="6"/>
  <c r="E682" i="6"/>
  <c r="K682" i="6" s="1"/>
  <c r="E678" i="6"/>
  <c r="K678" i="6" s="1"/>
  <c r="E674" i="6"/>
  <c r="K674" i="6" s="1"/>
  <c r="E670" i="6"/>
  <c r="K670" i="6" s="1"/>
  <c r="E666" i="6"/>
  <c r="K666" i="6" s="1"/>
  <c r="E662" i="6"/>
  <c r="K662" i="6" s="1"/>
  <c r="E658" i="6"/>
  <c r="K658" i="6" s="1"/>
  <c r="E654" i="6"/>
  <c r="K654" i="6" s="1"/>
  <c r="E650" i="6"/>
  <c r="K650" i="6" s="1"/>
  <c r="E646" i="6"/>
  <c r="K646" i="6" s="1"/>
  <c r="E642" i="6"/>
  <c r="K642" i="6" s="1"/>
  <c r="E638" i="6"/>
  <c r="E634" i="6"/>
  <c r="K634" i="6" s="1"/>
  <c r="E630" i="6"/>
  <c r="K630" i="6" s="1"/>
  <c r="E626" i="6"/>
  <c r="K626" i="6" s="1"/>
  <c r="E622" i="6"/>
  <c r="E618" i="6"/>
  <c r="E614" i="6"/>
  <c r="K614" i="6" s="1"/>
  <c r="E610" i="6"/>
  <c r="K610" i="6" s="1"/>
  <c r="E606" i="6"/>
  <c r="E602" i="6"/>
  <c r="K602" i="6" s="1"/>
  <c r="E598" i="6"/>
  <c r="K598" i="6" s="1"/>
  <c r="E594" i="6"/>
  <c r="K594" i="6" s="1"/>
  <c r="E590" i="6"/>
  <c r="E586" i="6"/>
  <c r="K586" i="6" s="1"/>
  <c r="E582" i="6"/>
  <c r="E578" i="6"/>
  <c r="K578" i="6" s="1"/>
  <c r="E574" i="6"/>
  <c r="E570" i="6"/>
  <c r="K570" i="6" s="1"/>
  <c r="E566" i="6"/>
  <c r="K566" i="6" s="1"/>
  <c r="E562" i="6"/>
  <c r="E558" i="6"/>
  <c r="E554" i="6"/>
  <c r="K554" i="6" s="1"/>
  <c r="E550" i="6"/>
  <c r="K550" i="6" s="1"/>
  <c r="E546" i="6"/>
  <c r="K546" i="6" s="1"/>
  <c r="E542" i="6"/>
  <c r="E538" i="6"/>
  <c r="K538" i="6" s="1"/>
  <c r="E534" i="6"/>
  <c r="K534" i="6" s="1"/>
  <c r="E530" i="6"/>
  <c r="K530" i="6" s="1"/>
  <c r="E526" i="6"/>
  <c r="E522" i="6"/>
  <c r="K522" i="6" s="1"/>
  <c r="E518" i="6"/>
  <c r="K518" i="6" s="1"/>
  <c r="E514" i="6"/>
  <c r="K514" i="6" s="1"/>
  <c r="E510" i="6"/>
  <c r="E506" i="6"/>
  <c r="K506" i="6" s="1"/>
  <c r="E502" i="6"/>
  <c r="K502" i="6" s="1"/>
  <c r="E498" i="6"/>
  <c r="K498" i="6" s="1"/>
  <c r="E494" i="6"/>
  <c r="E490" i="6"/>
  <c r="K490" i="6" s="1"/>
  <c r="E486" i="6"/>
  <c r="K486" i="6" s="1"/>
  <c r="E482" i="6"/>
  <c r="K482" i="6" s="1"/>
  <c r="E478" i="6"/>
  <c r="E474" i="6"/>
  <c r="K474" i="6" s="1"/>
  <c r="E470" i="6"/>
  <c r="K470" i="6" s="1"/>
  <c r="E466" i="6"/>
  <c r="K466" i="6" s="1"/>
  <c r="E462" i="6"/>
  <c r="E458" i="6"/>
  <c r="E454" i="6"/>
  <c r="K454" i="6" s="1"/>
  <c r="E450" i="6"/>
  <c r="K450" i="6" s="1"/>
  <c r="E446" i="6"/>
  <c r="E442" i="6"/>
  <c r="K442" i="6" s="1"/>
  <c r="E438" i="6"/>
  <c r="K438" i="6" s="1"/>
  <c r="E434" i="6"/>
  <c r="K434" i="6" s="1"/>
  <c r="E430" i="6"/>
  <c r="E426" i="6"/>
  <c r="K426" i="6" s="1"/>
  <c r="E422" i="6"/>
  <c r="E418" i="6"/>
  <c r="K418" i="6" s="1"/>
  <c r="E414" i="6"/>
  <c r="E410" i="6"/>
  <c r="K410" i="6" s="1"/>
  <c r="E406" i="6"/>
  <c r="K406" i="6" s="1"/>
  <c r="E402" i="6"/>
  <c r="K402" i="6" s="1"/>
  <c r="E3001" i="6"/>
  <c r="E2997" i="6"/>
  <c r="E2993" i="6"/>
  <c r="E2989" i="6"/>
  <c r="E2985" i="6"/>
  <c r="E2981" i="6"/>
  <c r="E2977" i="6"/>
  <c r="E2973" i="6"/>
  <c r="E2969" i="6"/>
  <c r="E2965" i="6"/>
  <c r="E2961" i="6"/>
  <c r="E2957" i="6"/>
  <c r="E2953" i="6"/>
  <c r="E2949" i="6"/>
  <c r="E2945" i="6"/>
  <c r="E2941" i="6"/>
  <c r="E2937" i="6"/>
  <c r="E2933" i="6"/>
  <c r="E2929" i="6"/>
  <c r="E2925" i="6"/>
  <c r="E2921" i="6"/>
  <c r="E2917" i="6"/>
  <c r="E2913" i="6"/>
  <c r="E2909" i="6"/>
  <c r="E2905" i="6"/>
  <c r="E2901" i="6"/>
  <c r="E2897" i="6"/>
  <c r="E2893" i="6"/>
  <c r="E2889" i="6"/>
  <c r="E2885" i="6"/>
  <c r="E2881" i="6"/>
  <c r="E2877" i="6"/>
  <c r="E2873" i="6"/>
  <c r="E2869" i="6"/>
  <c r="E2865" i="6"/>
  <c r="E2861" i="6"/>
  <c r="E2857" i="6"/>
  <c r="E2853" i="6"/>
  <c r="E2849" i="6"/>
  <c r="E2845" i="6"/>
  <c r="E2841" i="6"/>
  <c r="E2837" i="6"/>
  <c r="E2833" i="6"/>
  <c r="E2829" i="6"/>
  <c r="E2825" i="6"/>
  <c r="E2821" i="6"/>
  <c r="E2817" i="6"/>
  <c r="E2813" i="6"/>
  <c r="E2809" i="6"/>
  <c r="E2805" i="6"/>
  <c r="E2801" i="6"/>
  <c r="E2797" i="6"/>
  <c r="E2793" i="6"/>
  <c r="E2789" i="6"/>
  <c r="E2785" i="6"/>
  <c r="E2781" i="6"/>
  <c r="E2777" i="6"/>
  <c r="E2773" i="6"/>
  <c r="E2769" i="6"/>
  <c r="E2765" i="6"/>
  <c r="E2761" i="6"/>
  <c r="E2757" i="6"/>
  <c r="E2753" i="6"/>
  <c r="E2749" i="6"/>
  <c r="E2745" i="6"/>
  <c r="E2741" i="6"/>
  <c r="E2737" i="6"/>
  <c r="E2733" i="6"/>
  <c r="E2729" i="6"/>
  <c r="E2725" i="6"/>
  <c r="E2721" i="6"/>
  <c r="E2717" i="6"/>
  <c r="E2713" i="6"/>
  <c r="E2709" i="6"/>
  <c r="E2705" i="6"/>
  <c r="E2701" i="6"/>
  <c r="E2697" i="6"/>
  <c r="E2693" i="6"/>
  <c r="E2689" i="6"/>
  <c r="E2685" i="6"/>
  <c r="E2681" i="6"/>
  <c r="E2677" i="6"/>
  <c r="E2673" i="6"/>
  <c r="E2669" i="6"/>
  <c r="E2665" i="6"/>
  <c r="E2661" i="6"/>
  <c r="E2657" i="6"/>
  <c r="E2653" i="6"/>
  <c r="E2649" i="6"/>
  <c r="E2645" i="6"/>
  <c r="E2641" i="6"/>
  <c r="E2637" i="6"/>
  <c r="E2633" i="6"/>
  <c r="E2629" i="6"/>
  <c r="E2625" i="6"/>
  <c r="E2621" i="6"/>
  <c r="E2617" i="6"/>
  <c r="E2613" i="6"/>
  <c r="E2609" i="6"/>
  <c r="E2605" i="6"/>
  <c r="E2601" i="6"/>
  <c r="E2597" i="6"/>
  <c r="E2593" i="6"/>
  <c r="E2589" i="6"/>
  <c r="E2585" i="6"/>
  <c r="E2581" i="6"/>
  <c r="E2577" i="6"/>
  <c r="E2573" i="6"/>
  <c r="E2569" i="6"/>
  <c r="E2565" i="6"/>
  <c r="E2561" i="6"/>
  <c r="E2557" i="6"/>
  <c r="E2553" i="6"/>
  <c r="E2549" i="6"/>
  <c r="E2545" i="6"/>
  <c r="E2541" i="6"/>
  <c r="E2537" i="6"/>
  <c r="E2533" i="6"/>
  <c r="E2529" i="6"/>
  <c r="E2525" i="6"/>
  <c r="E2521" i="6"/>
  <c r="E2517" i="6"/>
  <c r="E2513" i="6"/>
  <c r="E2509" i="6"/>
  <c r="E2505" i="6"/>
  <c r="E2501" i="6"/>
  <c r="E2497" i="6"/>
  <c r="E2493" i="6"/>
  <c r="E2489" i="6"/>
  <c r="E2485" i="6"/>
  <c r="E2481" i="6"/>
  <c r="E2477" i="6"/>
  <c r="E2473" i="6"/>
  <c r="E2469" i="6"/>
  <c r="E2465" i="6"/>
  <c r="E2461" i="6"/>
  <c r="E2457" i="6"/>
  <c r="E2453" i="6"/>
  <c r="E2449" i="6"/>
  <c r="E2445" i="6"/>
  <c r="E2441" i="6"/>
  <c r="E2437" i="6"/>
  <c r="E2433" i="6"/>
  <c r="E2429" i="6"/>
  <c r="E2425" i="6"/>
  <c r="E2421" i="6"/>
  <c r="E2417" i="6"/>
  <c r="E2413" i="6"/>
  <c r="E2409" i="6"/>
  <c r="E2405" i="6"/>
  <c r="E2401" i="6"/>
  <c r="E2397" i="6"/>
  <c r="E2393" i="6"/>
  <c r="E2389" i="6"/>
  <c r="E2385" i="6"/>
  <c r="E2381" i="6"/>
  <c r="E2377" i="6"/>
  <c r="E2373" i="6"/>
  <c r="E2369" i="6"/>
  <c r="E2365" i="6"/>
  <c r="E2361" i="6"/>
  <c r="E2357" i="6"/>
  <c r="E2353" i="6"/>
  <c r="E2349" i="6"/>
  <c r="E2345" i="6"/>
  <c r="E2341" i="6"/>
  <c r="E2337" i="6"/>
  <c r="E2333" i="6"/>
  <c r="E2329" i="6"/>
  <c r="E2325" i="6"/>
  <c r="E2321" i="6"/>
  <c r="E2317" i="6"/>
  <c r="E2313" i="6"/>
  <c r="E2309" i="6"/>
  <c r="E2305" i="6"/>
  <c r="E2301" i="6"/>
  <c r="E2297" i="6"/>
  <c r="E2293" i="6"/>
  <c r="E2289" i="6"/>
  <c r="E2285" i="6"/>
  <c r="E2281" i="6"/>
  <c r="E2277" i="6"/>
  <c r="E2273" i="6"/>
  <c r="E2269" i="6"/>
  <c r="E2265" i="6"/>
  <c r="E2261" i="6"/>
  <c r="E2257" i="6"/>
  <c r="E2253" i="6"/>
  <c r="E2249" i="6"/>
  <c r="E2245" i="6"/>
  <c r="E2241" i="6"/>
  <c r="E2237" i="6"/>
  <c r="E2233" i="6"/>
  <c r="E2229" i="6"/>
  <c r="E2225" i="6"/>
  <c r="E2221" i="6"/>
  <c r="E2217" i="6"/>
  <c r="E2213" i="6"/>
  <c r="E2209" i="6"/>
  <c r="E2205" i="6"/>
  <c r="E2201" i="6"/>
  <c r="E2197" i="6"/>
  <c r="E2193" i="6"/>
  <c r="E2189" i="6"/>
  <c r="E2185" i="6"/>
  <c r="E2181" i="6"/>
  <c r="E2177" i="6"/>
  <c r="E2173" i="6"/>
  <c r="E2169" i="6"/>
  <c r="E2165" i="6"/>
  <c r="E2161" i="6"/>
  <c r="E2157" i="6"/>
  <c r="E2153" i="6"/>
  <c r="E2149" i="6"/>
  <c r="E2145" i="6"/>
  <c r="E2141" i="6"/>
  <c r="E2137" i="6"/>
  <c r="E2133" i="6"/>
  <c r="E2129" i="6"/>
  <c r="E2125" i="6"/>
  <c r="E2121" i="6"/>
  <c r="E2117" i="6"/>
  <c r="E2113" i="6"/>
  <c r="E2109" i="6"/>
  <c r="E2105" i="6"/>
  <c r="E2101" i="6"/>
  <c r="E2097" i="6"/>
  <c r="E2093" i="6"/>
  <c r="E2089" i="6"/>
  <c r="E2085" i="6"/>
  <c r="E2081" i="6"/>
  <c r="E2077" i="6"/>
  <c r="E2073" i="6"/>
  <c r="E2069" i="6"/>
  <c r="E2065" i="6"/>
  <c r="E2061" i="6"/>
  <c r="E2057" i="6"/>
  <c r="E2053" i="6"/>
  <c r="E2049" i="6"/>
  <c r="E2045" i="6"/>
  <c r="E2041" i="6"/>
  <c r="E2037" i="6"/>
  <c r="E2033" i="6"/>
  <c r="E2029" i="6"/>
  <c r="E2025" i="6"/>
  <c r="E2021" i="6"/>
  <c r="E2017" i="6"/>
  <c r="E2013" i="6"/>
  <c r="E2009" i="6"/>
  <c r="E2005" i="6"/>
  <c r="E2001" i="6"/>
  <c r="E1997" i="6"/>
  <c r="E1993" i="6"/>
  <c r="E1989" i="6"/>
  <c r="E1985" i="6"/>
  <c r="E1981" i="6"/>
  <c r="E1977" i="6"/>
  <c r="E1973" i="6"/>
  <c r="E1969" i="6"/>
  <c r="E1965" i="6"/>
  <c r="E1961" i="6"/>
  <c r="E1957" i="6"/>
  <c r="E1953" i="6"/>
  <c r="E1949" i="6"/>
  <c r="E1945" i="6"/>
  <c r="E1941" i="6"/>
  <c r="E1937" i="6"/>
  <c r="E1933" i="6"/>
  <c r="E1929" i="6"/>
  <c r="E1925" i="6"/>
  <c r="E1921" i="6"/>
  <c r="E1917" i="6"/>
  <c r="E1913" i="6"/>
  <c r="E1909" i="6"/>
  <c r="E1905" i="6"/>
  <c r="E1901" i="6"/>
  <c r="E1897" i="6"/>
  <c r="E1893" i="6"/>
  <c r="E1889" i="6"/>
  <c r="E1885" i="6"/>
  <c r="E1881" i="6"/>
  <c r="E1877" i="6"/>
  <c r="E1873" i="6"/>
  <c r="E1869" i="6"/>
  <c r="E1865" i="6"/>
  <c r="E1861" i="6"/>
  <c r="E1857" i="6"/>
  <c r="E1853" i="6"/>
  <c r="E1849" i="6"/>
  <c r="E1845" i="6"/>
  <c r="E1841" i="6"/>
  <c r="E1837" i="6"/>
  <c r="E1833" i="6"/>
  <c r="E1829" i="6"/>
  <c r="E1825" i="6"/>
  <c r="E1821" i="6"/>
  <c r="E1817" i="6"/>
  <c r="E1813" i="6"/>
  <c r="E1809" i="6"/>
  <c r="E1805" i="6"/>
  <c r="E1801" i="6"/>
  <c r="E1797" i="6"/>
  <c r="E1793" i="6"/>
  <c r="E1789" i="6"/>
  <c r="E1785" i="6"/>
  <c r="E1781" i="6"/>
  <c r="E1777" i="6"/>
  <c r="E1773" i="6"/>
  <c r="E1769" i="6"/>
  <c r="E1765" i="6"/>
  <c r="E1761" i="6"/>
  <c r="E1757" i="6"/>
  <c r="E1753" i="6"/>
  <c r="E1749" i="6"/>
  <c r="E1745" i="6"/>
  <c r="E1741" i="6"/>
  <c r="E1737" i="6"/>
  <c r="E1733" i="6"/>
  <c r="E1729" i="6"/>
  <c r="E1725" i="6"/>
  <c r="E1721" i="6"/>
  <c r="E1717" i="6"/>
  <c r="E1713" i="6"/>
  <c r="E1709" i="6"/>
  <c r="E1705" i="6"/>
  <c r="E1701" i="6"/>
  <c r="E1697" i="6"/>
  <c r="E1693" i="6"/>
  <c r="E1689" i="6"/>
  <c r="E1685" i="6"/>
  <c r="E1681" i="6"/>
  <c r="E1677" i="6"/>
  <c r="E1673" i="6"/>
  <c r="E1669" i="6"/>
  <c r="E1665" i="6"/>
  <c r="E1661" i="6"/>
  <c r="E1657" i="6"/>
  <c r="E1653" i="6"/>
  <c r="E1649" i="6"/>
  <c r="E1645" i="6"/>
  <c r="E1641" i="6"/>
  <c r="E1637" i="6"/>
  <c r="E1633" i="6"/>
  <c r="E1629" i="6"/>
  <c r="E1625" i="6"/>
  <c r="E1621" i="6"/>
  <c r="E1617" i="6"/>
  <c r="E1613" i="6"/>
  <c r="E1609" i="6"/>
  <c r="E1605" i="6"/>
  <c r="E1601" i="6"/>
  <c r="E1597" i="6"/>
  <c r="E1593" i="6"/>
  <c r="E1589" i="6"/>
  <c r="E1585" i="6"/>
  <c r="E1581" i="6"/>
  <c r="E1577" i="6"/>
  <c r="E1573" i="6"/>
  <c r="E1569" i="6"/>
  <c r="E1565" i="6"/>
  <c r="E1561" i="6"/>
  <c r="E1557" i="6"/>
  <c r="E1553" i="6"/>
  <c r="E1549" i="6"/>
  <c r="E1545" i="6"/>
  <c r="E1541" i="6"/>
  <c r="E1537" i="6"/>
  <c r="E1533" i="6"/>
  <c r="E1529" i="6"/>
  <c r="E1525" i="6"/>
  <c r="E1521" i="6"/>
  <c r="E1517" i="6"/>
  <c r="E1513" i="6"/>
  <c r="E1509" i="6"/>
  <c r="E1505" i="6"/>
  <c r="E1501" i="6"/>
  <c r="E1497" i="6"/>
  <c r="E1493" i="6"/>
  <c r="E1489" i="6"/>
  <c r="E1485" i="6"/>
  <c r="E1481" i="6"/>
  <c r="E1477" i="6"/>
  <c r="E1473" i="6"/>
  <c r="E1469" i="6"/>
  <c r="E1465" i="6"/>
  <c r="E1461" i="6"/>
  <c r="E1457" i="6"/>
  <c r="E1453" i="6"/>
  <c r="E1449" i="6"/>
  <c r="E1445" i="6"/>
  <c r="K1445" i="6" s="1"/>
  <c r="E1441" i="6"/>
  <c r="E1437" i="6"/>
  <c r="E1433" i="6"/>
  <c r="E1429" i="6"/>
  <c r="K1429" i="6" s="1"/>
  <c r="E1425" i="6"/>
  <c r="E1421" i="6"/>
  <c r="E1417" i="6"/>
  <c r="E1413" i="6"/>
  <c r="K1413" i="6" s="1"/>
  <c r="E1409" i="6"/>
  <c r="E1405" i="6"/>
  <c r="E1401" i="6"/>
  <c r="E1397" i="6"/>
  <c r="K1397" i="6" s="1"/>
  <c r="E1393" i="6"/>
  <c r="E1389" i="6"/>
  <c r="E1385" i="6"/>
  <c r="E1381" i="6"/>
  <c r="K1381" i="6" s="1"/>
  <c r="E1377" i="6"/>
  <c r="E1373" i="6"/>
  <c r="E1369" i="6"/>
  <c r="E1365" i="6"/>
  <c r="K1365" i="6" s="1"/>
  <c r="E1361" i="6"/>
  <c r="K1361" i="6" s="1"/>
  <c r="E1357" i="6"/>
  <c r="E1353" i="6"/>
  <c r="E1349" i="6"/>
  <c r="K1349" i="6" s="1"/>
  <c r="E1345" i="6"/>
  <c r="K1345" i="6" s="1"/>
  <c r="E1341" i="6"/>
  <c r="E1337" i="6"/>
  <c r="E1333" i="6"/>
  <c r="K1333" i="6" s="1"/>
  <c r="E1329" i="6"/>
  <c r="K1329" i="6" s="1"/>
  <c r="E1325" i="6"/>
  <c r="E1321" i="6"/>
  <c r="E1317" i="6"/>
  <c r="K1317" i="6" s="1"/>
  <c r="E1313" i="6"/>
  <c r="K1313" i="6" s="1"/>
  <c r="E1309" i="6"/>
  <c r="E1305" i="6"/>
  <c r="E1301" i="6"/>
  <c r="E1297" i="6"/>
  <c r="E1293" i="6"/>
  <c r="E1289" i="6"/>
  <c r="E1285" i="6"/>
  <c r="E1281" i="6"/>
  <c r="E1277" i="6"/>
  <c r="E1273" i="6"/>
  <c r="E1269" i="6"/>
  <c r="E1265" i="6"/>
  <c r="E1261" i="6"/>
  <c r="E1257" i="6"/>
  <c r="E1253" i="6"/>
  <c r="E1249" i="6"/>
  <c r="E1245" i="6"/>
  <c r="E1241" i="6"/>
  <c r="E1237" i="6"/>
  <c r="E1233" i="6"/>
  <c r="E1229" i="6"/>
  <c r="E1225" i="6"/>
  <c r="E1221" i="6"/>
  <c r="E1217" i="6"/>
  <c r="E1213" i="6"/>
  <c r="E1209" i="6"/>
  <c r="E1205" i="6"/>
  <c r="K1205" i="6" s="1"/>
  <c r="E1201" i="6"/>
  <c r="E1197" i="6"/>
  <c r="E1193" i="6"/>
  <c r="E1189" i="6"/>
  <c r="K1189" i="6" s="1"/>
  <c r="E1185" i="6"/>
  <c r="E1181" i="6"/>
  <c r="E1177" i="6"/>
  <c r="E1173" i="6"/>
  <c r="K1173" i="6" s="1"/>
  <c r="E1169" i="6"/>
  <c r="E1165" i="6"/>
  <c r="E1161" i="6"/>
  <c r="E1157" i="6"/>
  <c r="K1157" i="6" s="1"/>
  <c r="E1153" i="6"/>
  <c r="E1149" i="6"/>
  <c r="E1145" i="6"/>
  <c r="E1141" i="6"/>
  <c r="K1141" i="6" s="1"/>
  <c r="E1137" i="6"/>
  <c r="E1133" i="6"/>
  <c r="E1129" i="6"/>
  <c r="E1125" i="6"/>
  <c r="K1125" i="6" s="1"/>
  <c r="E1121" i="6"/>
  <c r="E1117" i="6"/>
  <c r="E1113" i="6"/>
  <c r="E1109" i="6"/>
  <c r="K1109" i="6" s="1"/>
  <c r="E1105" i="6"/>
  <c r="E1101" i="6"/>
  <c r="E1097" i="6"/>
  <c r="E1093" i="6"/>
  <c r="K1093" i="6" s="1"/>
  <c r="E1089" i="6"/>
  <c r="E1085" i="6"/>
  <c r="E1081" i="6"/>
  <c r="E1077" i="6"/>
  <c r="K1077" i="6" s="1"/>
  <c r="E1073" i="6"/>
  <c r="K1073" i="6" s="1"/>
  <c r="E1069" i="6"/>
  <c r="E1065" i="6"/>
  <c r="E1061" i="6"/>
  <c r="K1061" i="6" s="1"/>
  <c r="E1057" i="6"/>
  <c r="K1057" i="6" s="1"/>
  <c r="E1053" i="6"/>
  <c r="E1049" i="6"/>
  <c r="E1045" i="6"/>
  <c r="K1045" i="6" s="1"/>
  <c r="E1041" i="6"/>
  <c r="K1041" i="6" s="1"/>
  <c r="E1037" i="6"/>
  <c r="E1033" i="6"/>
  <c r="E1029" i="6"/>
  <c r="K1029" i="6" s="1"/>
  <c r="E1025" i="6"/>
  <c r="K1025" i="6" s="1"/>
  <c r="E1021" i="6"/>
  <c r="E1017" i="6"/>
  <c r="E1013" i="6"/>
  <c r="K1013" i="6" s="1"/>
  <c r="E1009" i="6"/>
  <c r="K1009" i="6" s="1"/>
  <c r="E1005" i="6"/>
  <c r="E1001" i="6"/>
  <c r="E997" i="6"/>
  <c r="K997" i="6" s="1"/>
  <c r="E993" i="6"/>
  <c r="K993" i="6" s="1"/>
  <c r="E989" i="6"/>
  <c r="E985" i="6"/>
  <c r="E981" i="6"/>
  <c r="K981" i="6" s="1"/>
  <c r="E977" i="6"/>
  <c r="K977" i="6" s="1"/>
  <c r="E973" i="6"/>
  <c r="E969" i="6"/>
  <c r="E965" i="6"/>
  <c r="K965" i="6" s="1"/>
  <c r="E961" i="6"/>
  <c r="K961" i="6" s="1"/>
  <c r="E957" i="6"/>
  <c r="E953" i="6"/>
  <c r="E949" i="6"/>
  <c r="K949" i="6" s="1"/>
  <c r="E945" i="6"/>
  <c r="K945" i="6" s="1"/>
  <c r="E941" i="6"/>
  <c r="E937" i="6"/>
  <c r="E933" i="6"/>
  <c r="K933" i="6" s="1"/>
  <c r="E929" i="6"/>
  <c r="K929" i="6" s="1"/>
  <c r="E925" i="6"/>
  <c r="E921" i="6"/>
  <c r="E917" i="6"/>
  <c r="K917" i="6" s="1"/>
  <c r="E913" i="6"/>
  <c r="K913" i="6" s="1"/>
  <c r="E909" i="6"/>
  <c r="E905" i="6"/>
  <c r="E901" i="6"/>
  <c r="K901" i="6" s="1"/>
  <c r="E897" i="6"/>
  <c r="K897" i="6" s="1"/>
  <c r="E893" i="6"/>
  <c r="E889" i="6"/>
  <c r="E885" i="6"/>
  <c r="K885" i="6" s="1"/>
  <c r="E881" i="6"/>
  <c r="K881" i="6" s="1"/>
  <c r="E877" i="6"/>
  <c r="E873" i="6"/>
  <c r="E869" i="6"/>
  <c r="K869" i="6" s="1"/>
  <c r="E865" i="6"/>
  <c r="K865" i="6" s="1"/>
  <c r="E861" i="6"/>
  <c r="E857" i="6"/>
  <c r="E853" i="6"/>
  <c r="K853" i="6" s="1"/>
  <c r="E849" i="6"/>
  <c r="K849" i="6" s="1"/>
  <c r="E845" i="6"/>
  <c r="E841" i="6"/>
  <c r="E837" i="6"/>
  <c r="K837" i="6" s="1"/>
  <c r="E833" i="6"/>
  <c r="K833" i="6" s="1"/>
  <c r="E829" i="6"/>
  <c r="E825" i="6"/>
  <c r="E821" i="6"/>
  <c r="K821" i="6" s="1"/>
  <c r="E817" i="6"/>
  <c r="K817" i="6" s="1"/>
  <c r="E813" i="6"/>
  <c r="E809" i="6"/>
  <c r="E805" i="6"/>
  <c r="K805" i="6" s="1"/>
  <c r="E801" i="6"/>
  <c r="K801" i="6" s="1"/>
  <c r="E797" i="6"/>
  <c r="E793" i="6"/>
  <c r="E789" i="6"/>
  <c r="K789" i="6" s="1"/>
  <c r="E785" i="6"/>
  <c r="K785" i="6" s="1"/>
  <c r="E781" i="6"/>
  <c r="E777" i="6"/>
  <c r="E773" i="6"/>
  <c r="K773" i="6" s="1"/>
  <c r="E769" i="6"/>
  <c r="K769" i="6" s="1"/>
  <c r="E765" i="6"/>
  <c r="E761" i="6"/>
  <c r="E757" i="6"/>
  <c r="K757" i="6" s="1"/>
  <c r="E753" i="6"/>
  <c r="K753" i="6" s="1"/>
  <c r="E749" i="6"/>
  <c r="E745" i="6"/>
  <c r="K4118" i="6"/>
  <c r="E741" i="6"/>
  <c r="K741" i="6" s="1"/>
  <c r="E737" i="6"/>
  <c r="K737" i="6" s="1"/>
  <c r="E733" i="6"/>
  <c r="E729" i="6"/>
  <c r="E725" i="6"/>
  <c r="K725" i="6" s="1"/>
  <c r="E721" i="6"/>
  <c r="K721" i="6" s="1"/>
  <c r="E717" i="6"/>
  <c r="E713" i="6"/>
  <c r="E709" i="6"/>
  <c r="K709" i="6" s="1"/>
  <c r="E705" i="6"/>
  <c r="K705" i="6" s="1"/>
  <c r="E701" i="6"/>
  <c r="E697" i="6"/>
  <c r="E693" i="6"/>
  <c r="K693" i="6" s="1"/>
  <c r="E689" i="6"/>
  <c r="K689" i="6" s="1"/>
  <c r="E685" i="6"/>
  <c r="E681" i="6"/>
  <c r="E677" i="6"/>
  <c r="K677" i="6" s="1"/>
  <c r="E673" i="6"/>
  <c r="K673" i="6" s="1"/>
  <c r="E669" i="6"/>
  <c r="E665" i="6"/>
  <c r="E661" i="6"/>
  <c r="K661" i="6" s="1"/>
  <c r="E657" i="6"/>
  <c r="K657" i="6" s="1"/>
  <c r="E653" i="6"/>
  <c r="E649" i="6"/>
  <c r="E645" i="6"/>
  <c r="K645" i="6" s="1"/>
  <c r="E641" i="6"/>
  <c r="K641" i="6" s="1"/>
  <c r="E637" i="6"/>
  <c r="E633" i="6"/>
  <c r="E629" i="6"/>
  <c r="K629" i="6" s="1"/>
  <c r="E625" i="6"/>
  <c r="K625" i="6" s="1"/>
  <c r="E621" i="6"/>
  <c r="E617" i="6"/>
  <c r="E613" i="6"/>
  <c r="K613" i="6" s="1"/>
  <c r="E609" i="6"/>
  <c r="K609" i="6" s="1"/>
  <c r="E605" i="6"/>
  <c r="E601" i="6"/>
  <c r="E597" i="6"/>
  <c r="K597" i="6" s="1"/>
  <c r="E593" i="6"/>
  <c r="K593" i="6" s="1"/>
  <c r="E589" i="6"/>
  <c r="E585" i="6"/>
  <c r="E581" i="6"/>
  <c r="K581" i="6" s="1"/>
  <c r="E577" i="6"/>
  <c r="K577" i="6" s="1"/>
  <c r="E573" i="6"/>
  <c r="E569" i="6"/>
  <c r="E565" i="6"/>
  <c r="K565" i="6" s="1"/>
  <c r="E561" i="6"/>
  <c r="K561" i="6" s="1"/>
  <c r="E557" i="6"/>
  <c r="E553" i="6"/>
  <c r="E549" i="6"/>
  <c r="E545" i="6"/>
  <c r="E541" i="6"/>
  <c r="E537" i="6"/>
  <c r="E533" i="6"/>
  <c r="E529" i="6"/>
  <c r="E525" i="6"/>
  <c r="E521" i="6"/>
  <c r="E517" i="6"/>
  <c r="E513" i="6"/>
  <c r="E509" i="6"/>
  <c r="E505" i="6"/>
  <c r="E501" i="6"/>
  <c r="E497" i="6"/>
  <c r="E493" i="6"/>
  <c r="E489" i="6"/>
  <c r="E485" i="6"/>
  <c r="E481" i="6"/>
  <c r="E477" i="6"/>
  <c r="E473" i="6"/>
  <c r="E469" i="6"/>
  <c r="E465" i="6"/>
  <c r="E461" i="6"/>
  <c r="E457" i="6"/>
  <c r="E453" i="6"/>
  <c r="E449" i="6"/>
  <c r="E445" i="6"/>
  <c r="E441" i="6"/>
  <c r="E437" i="6"/>
  <c r="E433" i="6"/>
  <c r="E429" i="6"/>
  <c r="E425" i="6"/>
  <c r="E421" i="6"/>
  <c r="E417" i="6"/>
  <c r="E413" i="6"/>
  <c r="E409" i="6"/>
  <c r="E405" i="6"/>
  <c r="E398" i="6"/>
  <c r="K398" i="6" s="1"/>
  <c r="M398" i="6" s="1"/>
  <c r="E394" i="6"/>
  <c r="E390" i="6"/>
  <c r="K390" i="6" s="1"/>
  <c r="M390" i="6" s="1"/>
  <c r="E386" i="6"/>
  <c r="L386" i="6" s="1"/>
  <c r="E382" i="6"/>
  <c r="K382" i="6" s="1"/>
  <c r="M382" i="6" s="1"/>
  <c r="E378" i="6"/>
  <c r="K378" i="6" s="1"/>
  <c r="M378" i="6" s="1"/>
  <c r="E374" i="6"/>
  <c r="K374" i="6" s="1"/>
  <c r="M374" i="6" s="1"/>
  <c r="E370" i="6"/>
  <c r="L370" i="6" s="1"/>
  <c r="E366" i="6"/>
  <c r="K366" i="6" s="1"/>
  <c r="M366" i="6" s="1"/>
  <c r="E362" i="6"/>
  <c r="L362" i="6" s="1"/>
  <c r="E358" i="6"/>
  <c r="K358" i="6" s="1"/>
  <c r="M358" i="6" s="1"/>
  <c r="E354" i="6"/>
  <c r="L354" i="6" s="1"/>
  <c r="E350" i="6"/>
  <c r="K350" i="6" s="1"/>
  <c r="M350" i="6" s="1"/>
  <c r="E346" i="6"/>
  <c r="L346" i="6" s="1"/>
  <c r="E342" i="6"/>
  <c r="K342" i="6" s="1"/>
  <c r="M342" i="6" s="1"/>
  <c r="E338" i="6"/>
  <c r="L338" i="6" s="1"/>
  <c r="E334" i="6"/>
  <c r="L334" i="6" s="1"/>
  <c r="E330" i="6"/>
  <c r="K330" i="6" s="1"/>
  <c r="M330" i="6" s="1"/>
  <c r="E326" i="6"/>
  <c r="E322" i="6"/>
  <c r="K322" i="6" s="1"/>
  <c r="M322" i="6" s="1"/>
  <c r="E318" i="6"/>
  <c r="L318" i="6" s="1"/>
  <c r="E314" i="6"/>
  <c r="K314" i="6" s="1"/>
  <c r="M314" i="6" s="1"/>
  <c r="E310" i="6"/>
  <c r="E306" i="6"/>
  <c r="K306" i="6" s="1"/>
  <c r="M306" i="6" s="1"/>
  <c r="E302" i="6"/>
  <c r="L302" i="6" s="1"/>
  <c r="E298" i="6"/>
  <c r="K298" i="6" s="1"/>
  <c r="M298" i="6" s="1"/>
  <c r="E294" i="6"/>
  <c r="K294" i="6" s="1"/>
  <c r="M294" i="6" s="1"/>
  <c r="E290" i="6"/>
  <c r="K290" i="6" s="1"/>
  <c r="M290" i="6" s="1"/>
  <c r="E286" i="6"/>
  <c r="L286" i="6" s="1"/>
  <c r="E282" i="6"/>
  <c r="K282" i="6" s="1"/>
  <c r="M282" i="6" s="1"/>
  <c r="E278" i="6"/>
  <c r="K278" i="6" s="1"/>
  <c r="M278" i="6" s="1"/>
  <c r="E274" i="6"/>
  <c r="L274" i="6" s="1"/>
  <c r="N274" i="6" s="1"/>
  <c r="E270" i="6"/>
  <c r="L270" i="6" s="1"/>
  <c r="N270" i="6" s="1"/>
  <c r="E266" i="6"/>
  <c r="L266" i="6" s="1"/>
  <c r="N266" i="6" s="1"/>
  <c r="E262" i="6"/>
  <c r="L262" i="6" s="1"/>
  <c r="N262" i="6" s="1"/>
  <c r="N386" i="6"/>
  <c r="K159" i="6"/>
  <c r="M159" i="6" s="1"/>
  <c r="N383" i="6"/>
  <c r="N379" i="6"/>
  <c r="N363" i="6"/>
  <c r="N351" i="6"/>
  <c r="N347" i="6"/>
  <c r="N331" i="6"/>
  <c r="N319" i="6"/>
  <c r="N315" i="6"/>
  <c r="N299" i="6"/>
  <c r="N287" i="6"/>
  <c r="N283" i="6"/>
  <c r="L399" i="6"/>
  <c r="N399" i="6" s="1"/>
  <c r="L395" i="6"/>
  <c r="N395" i="6" s="1"/>
  <c r="L391" i="6"/>
  <c r="N391" i="6" s="1"/>
  <c r="L387" i="6"/>
  <c r="N387" i="6" s="1"/>
  <c r="L375" i="6"/>
  <c r="N375" i="6" s="1"/>
  <c r="L371" i="6"/>
  <c r="N371" i="6" s="1"/>
  <c r="L367" i="6"/>
  <c r="N367" i="6" s="1"/>
  <c r="L359" i="6"/>
  <c r="N359" i="6" s="1"/>
  <c r="L355" i="6"/>
  <c r="N355" i="6" s="1"/>
  <c r="L343" i="6"/>
  <c r="N343" i="6" s="1"/>
  <c r="L339" i="6"/>
  <c r="N339" i="6" s="1"/>
  <c r="L335" i="6"/>
  <c r="N335" i="6" s="1"/>
  <c r="L327" i="6"/>
  <c r="N327" i="6" s="1"/>
  <c r="L323" i="6"/>
  <c r="N323" i="6" s="1"/>
  <c r="L311" i="6"/>
  <c r="N311" i="6" s="1"/>
  <c r="L307" i="6"/>
  <c r="N307" i="6" s="1"/>
  <c r="L303" i="6"/>
  <c r="N303" i="6" s="1"/>
  <c r="L295" i="6"/>
  <c r="N295" i="6" s="1"/>
  <c r="L291" i="6"/>
  <c r="N291" i="6" s="1"/>
  <c r="L279" i="6"/>
  <c r="N279" i="6" s="1"/>
  <c r="L275" i="6"/>
  <c r="N275" i="6" s="1"/>
  <c r="K59" i="6"/>
  <c r="M59" i="6" s="1"/>
  <c r="K55" i="6"/>
  <c r="M55" i="6" s="1"/>
  <c r="K51" i="6"/>
  <c r="M51" i="6" s="1"/>
  <c r="K47" i="6"/>
  <c r="M47" i="6" s="1"/>
  <c r="E401" i="6"/>
  <c r="K401" i="6" s="1"/>
  <c r="E397" i="6"/>
  <c r="K397" i="6" s="1"/>
  <c r="E393" i="6"/>
  <c r="K393" i="6" s="1"/>
  <c r="E389" i="6"/>
  <c r="E385" i="6"/>
  <c r="K385" i="6" s="1"/>
  <c r="E381" i="6"/>
  <c r="K381" i="6" s="1"/>
  <c r="E377" i="6"/>
  <c r="K377" i="6" s="1"/>
  <c r="E373" i="6"/>
  <c r="E369" i="6"/>
  <c r="K369" i="6" s="1"/>
  <c r="E365" i="6"/>
  <c r="K365" i="6" s="1"/>
  <c r="E361" i="6"/>
  <c r="K361" i="6" s="1"/>
  <c r="E357" i="6"/>
  <c r="E353" i="6"/>
  <c r="K353" i="6" s="1"/>
  <c r="E349" i="6"/>
  <c r="K349" i="6" s="1"/>
  <c r="E345" i="6"/>
  <c r="K345" i="6" s="1"/>
  <c r="E341" i="6"/>
  <c r="E337" i="6"/>
  <c r="K337" i="6" s="1"/>
  <c r="E333" i="6"/>
  <c r="K333" i="6" s="1"/>
  <c r="E329" i="6"/>
  <c r="K329" i="6" s="1"/>
  <c r="E325" i="6"/>
  <c r="E321" i="6"/>
  <c r="K321" i="6" s="1"/>
  <c r="E317" i="6"/>
  <c r="K317" i="6" s="1"/>
  <c r="E313" i="6"/>
  <c r="K313" i="6" s="1"/>
  <c r="E309" i="6"/>
  <c r="E305" i="6"/>
  <c r="K305" i="6" s="1"/>
  <c r="E301" i="6"/>
  <c r="K301" i="6" s="1"/>
  <c r="E297" i="6"/>
  <c r="K297" i="6" s="1"/>
  <c r="E293" i="6"/>
  <c r="E289" i="6"/>
  <c r="K289" i="6" s="1"/>
  <c r="E285" i="6"/>
  <c r="K285" i="6" s="1"/>
  <c r="E281" i="6"/>
  <c r="K281" i="6" s="1"/>
  <c r="E277" i="6"/>
  <c r="E273" i="6"/>
  <c r="L273" i="6" s="1"/>
  <c r="N273" i="6" s="1"/>
  <c r="E269" i="6"/>
  <c r="L269" i="6" s="1"/>
  <c r="N269" i="6" s="1"/>
  <c r="E265" i="6"/>
  <c r="K265" i="6" s="1"/>
  <c r="E261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L272" i="6" s="1"/>
  <c r="N272" i="6" s="1"/>
  <c r="E268" i="6"/>
  <c r="E264" i="6"/>
  <c r="L264" i="6" s="1"/>
  <c r="N264" i="6" s="1"/>
  <c r="E260" i="6"/>
  <c r="L260" i="6" s="1"/>
  <c r="N260" i="6" s="1"/>
  <c r="E256" i="6"/>
  <c r="L256" i="6" s="1"/>
  <c r="N256" i="6" s="1"/>
  <c r="E252" i="6"/>
  <c r="E248" i="6"/>
  <c r="L248" i="6" s="1"/>
  <c r="N248" i="6" s="1"/>
  <c r="E244" i="6"/>
  <c r="L244" i="6" s="1"/>
  <c r="N244" i="6" s="1"/>
  <c r="E240" i="6"/>
  <c r="L240" i="6" s="1"/>
  <c r="N240" i="6" s="1"/>
  <c r="E236" i="6"/>
  <c r="E232" i="6"/>
  <c r="E228" i="6"/>
  <c r="L228" i="6" s="1"/>
  <c r="N228" i="6" s="1"/>
  <c r="E224" i="6"/>
  <c r="L224" i="6" s="1"/>
  <c r="N224" i="6" s="1"/>
  <c r="E220" i="6"/>
  <c r="L220" i="6" s="1"/>
  <c r="N220" i="6" s="1"/>
  <c r="E216" i="6"/>
  <c r="E212" i="6"/>
  <c r="L212" i="6" s="1"/>
  <c r="N212" i="6" s="1"/>
  <c r="E208" i="6"/>
  <c r="L208" i="6" s="1"/>
  <c r="N208" i="6" s="1"/>
  <c r="E204" i="6"/>
  <c r="K204" i="6" s="1"/>
  <c r="M204" i="6" s="1"/>
  <c r="E200" i="6"/>
  <c r="E196" i="6"/>
  <c r="L196" i="6" s="1"/>
  <c r="N196" i="6" s="1"/>
  <c r="E192" i="6"/>
  <c r="L192" i="6" s="1"/>
  <c r="N192" i="6" s="1"/>
  <c r="E188" i="6"/>
  <c r="E184" i="6"/>
  <c r="L184" i="6" s="1"/>
  <c r="N184" i="6" s="1"/>
  <c r="E180" i="6"/>
  <c r="L180" i="6" s="1"/>
  <c r="N180" i="6" s="1"/>
  <c r="E176" i="6"/>
  <c r="L176" i="6" s="1"/>
  <c r="N176" i="6" s="1"/>
  <c r="E172" i="6"/>
  <c r="L172" i="6" s="1"/>
  <c r="N172" i="6" s="1"/>
  <c r="E168" i="6"/>
  <c r="K168" i="6" s="1"/>
  <c r="E164" i="6"/>
  <c r="L164" i="6" s="1"/>
  <c r="N164" i="6" s="1"/>
  <c r="E160" i="6"/>
  <c r="L160" i="6" s="1"/>
  <c r="N160" i="6" s="1"/>
  <c r="E156" i="6"/>
  <c r="L156" i="6" s="1"/>
  <c r="N156" i="6" s="1"/>
  <c r="E152" i="6"/>
  <c r="E148" i="6"/>
  <c r="L148" i="6" s="1"/>
  <c r="N148" i="6" s="1"/>
  <c r="E144" i="6"/>
  <c r="L144" i="6" s="1"/>
  <c r="N144" i="6" s="1"/>
  <c r="E140" i="6"/>
  <c r="L140" i="6" s="1"/>
  <c r="N140" i="6" s="1"/>
  <c r="E136" i="6"/>
  <c r="L136" i="6" s="1"/>
  <c r="N136" i="6" s="1"/>
  <c r="E132" i="6"/>
  <c r="L132" i="6" s="1"/>
  <c r="N132" i="6" s="1"/>
  <c r="E128" i="6"/>
  <c r="E124" i="6"/>
  <c r="L124" i="6" s="1"/>
  <c r="N124" i="6" s="1"/>
  <c r="E120" i="6"/>
  <c r="E116" i="6"/>
  <c r="L116" i="6" s="1"/>
  <c r="N116" i="6" s="1"/>
  <c r="E112" i="6"/>
  <c r="L112" i="6" s="1"/>
  <c r="N112" i="6" s="1"/>
  <c r="E108" i="6"/>
  <c r="L108" i="6" s="1"/>
  <c r="N108" i="6" s="1"/>
  <c r="E104" i="6"/>
  <c r="E100" i="6"/>
  <c r="K100" i="6" s="1"/>
  <c r="M100" i="6" s="1"/>
  <c r="E96" i="6"/>
  <c r="L96" i="6" s="1"/>
  <c r="N96" i="6" s="1"/>
  <c r="E92" i="6"/>
  <c r="L92" i="6" s="1"/>
  <c r="N92" i="6" s="1"/>
  <c r="E88" i="6"/>
  <c r="L88" i="6" s="1"/>
  <c r="N88" i="6" s="1"/>
  <c r="E84" i="6"/>
  <c r="L84" i="6" s="1"/>
  <c r="N84" i="6" s="1"/>
  <c r="E80" i="6"/>
  <c r="L80" i="6" s="1"/>
  <c r="N80" i="6" s="1"/>
  <c r="E76" i="6"/>
  <c r="L76" i="6" s="1"/>
  <c r="N76" i="6" s="1"/>
  <c r="E72" i="6"/>
  <c r="E68" i="6"/>
  <c r="L68" i="6" s="1"/>
  <c r="N68" i="6" s="1"/>
  <c r="E64" i="6"/>
  <c r="L64" i="6" s="1"/>
  <c r="N64" i="6" s="1"/>
  <c r="E60" i="6"/>
  <c r="L60" i="6" s="1"/>
  <c r="N60" i="6" s="1"/>
  <c r="E56" i="6"/>
  <c r="E52" i="6"/>
  <c r="L52" i="6" s="1"/>
  <c r="N52" i="6" s="1"/>
  <c r="E48" i="6"/>
  <c r="L48" i="6" s="1"/>
  <c r="N48" i="6" s="1"/>
  <c r="E44" i="6"/>
  <c r="L44" i="6" s="1"/>
  <c r="N44" i="6" s="1"/>
  <c r="E40" i="6"/>
  <c r="E36" i="6"/>
  <c r="K36" i="6" s="1"/>
  <c r="M36" i="6" s="1"/>
  <c r="E32" i="6"/>
  <c r="L32" i="6" s="1"/>
  <c r="N32" i="6" s="1"/>
  <c r="E28" i="6"/>
  <c r="L28" i="6" s="1"/>
  <c r="N28" i="6" s="1"/>
  <c r="E24" i="6"/>
  <c r="E20" i="6"/>
  <c r="K20" i="6" s="1"/>
  <c r="M20" i="6" s="1"/>
  <c r="E16" i="6"/>
  <c r="L16" i="6" s="1"/>
  <c r="N16" i="6" s="1"/>
  <c r="E12" i="6"/>
  <c r="L12" i="6" s="1"/>
  <c r="N12" i="6" s="1"/>
  <c r="E8" i="6"/>
  <c r="L8" i="6" s="1"/>
  <c r="N8" i="6" s="1"/>
  <c r="E6904" i="6"/>
  <c r="E6903" i="6"/>
  <c r="E6898" i="6"/>
  <c r="E6892" i="6"/>
  <c r="E6888" i="6"/>
  <c r="E6887" i="6"/>
  <c r="E6883" i="6"/>
  <c r="E6878" i="6"/>
  <c r="E6872" i="6"/>
  <c r="E6871" i="6"/>
  <c r="E6866" i="6"/>
  <c r="E6862" i="6"/>
  <c r="E6857" i="6"/>
  <c r="E6852" i="6"/>
  <c r="E6847" i="6"/>
  <c r="E6843" i="6"/>
  <c r="E6839" i="6"/>
  <c r="E6833" i="6"/>
  <c r="E6829" i="6"/>
  <c r="E6824" i="6"/>
  <c r="E6823" i="6"/>
  <c r="E6819" i="6"/>
  <c r="E6818" i="6"/>
  <c r="E6813" i="6"/>
  <c r="E6808" i="6"/>
  <c r="E6804" i="6"/>
  <c r="K6804" i="6" s="1"/>
  <c r="E6803" i="6"/>
  <c r="E6798" i="6"/>
  <c r="E6793" i="6"/>
  <c r="E6792" i="6"/>
  <c r="E6787" i="6"/>
  <c r="E6786" i="6"/>
  <c r="E6781" i="6"/>
  <c r="E6775" i="6"/>
  <c r="E6770" i="6"/>
  <c r="E6764" i="6"/>
  <c r="E6763" i="6"/>
  <c r="E6759" i="6"/>
  <c r="E6758" i="6"/>
  <c r="E6753" i="6"/>
  <c r="E6752" i="6"/>
  <c r="E6745" i="6"/>
  <c r="E6744" i="6"/>
  <c r="E6739" i="6"/>
  <c r="E6735" i="6"/>
  <c r="E6731" i="6"/>
  <c r="E6730" i="6"/>
  <c r="E6725" i="6"/>
  <c r="E6721" i="6"/>
  <c r="E6717" i="6"/>
  <c r="E6712" i="6"/>
  <c r="E6711" i="6"/>
  <c r="E6710" i="6"/>
  <c r="E6703" i="6"/>
  <c r="E6697" i="6"/>
  <c r="E6690" i="6"/>
  <c r="E6686" i="6"/>
  <c r="E6681" i="6"/>
  <c r="E6680" i="6"/>
  <c r="E6679" i="6"/>
  <c r="E6674" i="6"/>
  <c r="E6668" i="6"/>
  <c r="E6662" i="6"/>
  <c r="E6656" i="6"/>
  <c r="E6655" i="6"/>
  <c r="E6650" i="6"/>
  <c r="E6643" i="6"/>
  <c r="E6642" i="6"/>
  <c r="E6637" i="6"/>
  <c r="E6636" i="6"/>
  <c r="E6630" i="6"/>
  <c r="E6623" i="6"/>
  <c r="E6622" i="6"/>
  <c r="E6617" i="6"/>
  <c r="E6616" i="6"/>
  <c r="E6615" i="6"/>
  <c r="E6611" i="6"/>
  <c r="E6605" i="6"/>
  <c r="E6597" i="6"/>
  <c r="E6596" i="6"/>
  <c r="E6595" i="6"/>
  <c r="E6591" i="6"/>
  <c r="E6587" i="6"/>
  <c r="E6581" i="6"/>
  <c r="E6580" i="6"/>
  <c r="E6576" i="6"/>
  <c r="E6575" i="6"/>
  <c r="E6571" i="6"/>
  <c r="E6565" i="6"/>
  <c r="E6560" i="6"/>
  <c r="E6555" i="6"/>
  <c r="E6550" i="6"/>
  <c r="E6545" i="6"/>
  <c r="E6540" i="6"/>
  <c r="E6539" i="6"/>
  <c r="E6538" i="6"/>
  <c r="E6530" i="6"/>
  <c r="E6525" i="6"/>
  <c r="E6521" i="6"/>
  <c r="E6513" i="6"/>
  <c r="E6512" i="6"/>
  <c r="E6505" i="6"/>
  <c r="E6500" i="6"/>
  <c r="E6499" i="6"/>
  <c r="E6498" i="6"/>
  <c r="E6493" i="6"/>
  <c r="E6486" i="6"/>
  <c r="E6481" i="6"/>
  <c r="E6475" i="6"/>
  <c r="E6469" i="6"/>
  <c r="E6464" i="6"/>
  <c r="E6459" i="6"/>
  <c r="E6453" i="6"/>
  <c r="E6452" i="6"/>
  <c r="E6451" i="6"/>
  <c r="E6445" i="6"/>
  <c r="E6444" i="6"/>
  <c r="E6434" i="6"/>
  <c r="E6426" i="6"/>
  <c r="E6419" i="6"/>
  <c r="E6415" i="6"/>
  <c r="E6410" i="6"/>
  <c r="E6406" i="6"/>
  <c r="E6399" i="6"/>
  <c r="E6395" i="6"/>
  <c r="E6394" i="6"/>
  <c r="E6386" i="6"/>
  <c r="E6377" i="6"/>
  <c r="E6371" i="6"/>
  <c r="E6370" i="6"/>
  <c r="E6363" i="6"/>
  <c r="E6356" i="6"/>
  <c r="E6355" i="6"/>
  <c r="E6354" i="6"/>
  <c r="E6353" i="6"/>
  <c r="E6346" i="6"/>
  <c r="E6345" i="6"/>
  <c r="E6338" i="6"/>
  <c r="E6333" i="6"/>
  <c r="E6328" i="6"/>
  <c r="E6327" i="6"/>
  <c r="E6319" i="6"/>
  <c r="E6318" i="6"/>
  <c r="E6317" i="6"/>
  <c r="E6305" i="6"/>
  <c r="E6299" i="6"/>
  <c r="E6298" i="6"/>
  <c r="E6297" i="6"/>
  <c r="E6296" i="6"/>
  <c r="E6288" i="6"/>
  <c r="E6287" i="6"/>
  <c r="E6286" i="6"/>
  <c r="E6279" i="6"/>
  <c r="E6278" i="6"/>
  <c r="E6270" i="6"/>
  <c r="E6269" i="6"/>
  <c r="E6264" i="6"/>
  <c r="E6258" i="6"/>
  <c r="E6249" i="6"/>
  <c r="E6242" i="6"/>
  <c r="E6241" i="6"/>
  <c r="E6240" i="6"/>
  <c r="E6239" i="6"/>
  <c r="E6232" i="6"/>
  <c r="E6226" i="6"/>
  <c r="E6225" i="6"/>
  <c r="E6220" i="6"/>
  <c r="E6219" i="6"/>
  <c r="E6218" i="6"/>
  <c r="E6217" i="6"/>
  <c r="E6211" i="6"/>
  <c r="E6210" i="6"/>
  <c r="E6203" i="6"/>
  <c r="E6202" i="6"/>
  <c r="E6196" i="6"/>
  <c r="E6191" i="6"/>
  <c r="E6190" i="6"/>
  <c r="E6189" i="6"/>
  <c r="E6185" i="6"/>
  <c r="E6179" i="6"/>
  <c r="E6174" i="6"/>
  <c r="E6173" i="6"/>
  <c r="E6168" i="6"/>
  <c r="E6167" i="6"/>
  <c r="E6161" i="6"/>
  <c r="E6154" i="6"/>
  <c r="E6150" i="6"/>
  <c r="E6145" i="6"/>
  <c r="E6140" i="6"/>
  <c r="E6139" i="6"/>
  <c r="E6135" i="6"/>
  <c r="E6128" i="6"/>
  <c r="E6127" i="6"/>
  <c r="E6126" i="6"/>
  <c r="E6122" i="6"/>
  <c r="E6116" i="6"/>
  <c r="E6112" i="6"/>
  <c r="E6106" i="6"/>
  <c r="E6105" i="6"/>
  <c r="E6100" i="6"/>
  <c r="E6099" i="6"/>
  <c r="E6094" i="6"/>
  <c r="E6093" i="6"/>
  <c r="E6082" i="6"/>
  <c r="E6066" i="6"/>
  <c r="E6065" i="6"/>
  <c r="E6064" i="6"/>
  <c r="E6063" i="6"/>
  <c r="E6049" i="6"/>
  <c r="E6048" i="6"/>
  <c r="E6037" i="6"/>
  <c r="E6036" i="6"/>
  <c r="E6027" i="6"/>
  <c r="E6026" i="6"/>
  <c r="E6025" i="6"/>
  <c r="E6024" i="6"/>
  <c r="E6013" i="6"/>
  <c r="E6012" i="6"/>
  <c r="E6003" i="6"/>
  <c r="E6002" i="6"/>
  <c r="E6001" i="6"/>
  <c r="E6000" i="6"/>
  <c r="E5986" i="6"/>
  <c r="E5985" i="6"/>
  <c r="E5984" i="6"/>
  <c r="E5983" i="6"/>
  <c r="E5982" i="6"/>
  <c r="E5981" i="6"/>
  <c r="E5980" i="6"/>
  <c r="E5979" i="6"/>
  <c r="E5970" i="6"/>
  <c r="E5957" i="6"/>
  <c r="E5956" i="6"/>
  <c r="E5955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19" i="6"/>
  <c r="E5918" i="6"/>
  <c r="E5917" i="6"/>
  <c r="E5916" i="6"/>
  <c r="E5906" i="6"/>
  <c r="E5905" i="6"/>
  <c r="E5904" i="6"/>
  <c r="E5903" i="6"/>
  <c r="E5902" i="6"/>
  <c r="E5901" i="6"/>
  <c r="E5885" i="6"/>
  <c r="E5884" i="6"/>
  <c r="E5883" i="6"/>
  <c r="E5882" i="6"/>
  <c r="E5881" i="6"/>
  <c r="E5853" i="6"/>
  <c r="E5852" i="6"/>
  <c r="E5851" i="6"/>
  <c r="E5842" i="6"/>
  <c r="E5841" i="6"/>
  <c r="E5840" i="6"/>
  <c r="E5839" i="6"/>
  <c r="E5838" i="6"/>
  <c r="E5813" i="6"/>
  <c r="E5812" i="6"/>
  <c r="E5811" i="6"/>
  <c r="E5810" i="6"/>
  <c r="E5809" i="6"/>
  <c r="E5808" i="6"/>
  <c r="E5807" i="6"/>
  <c r="E5794" i="6"/>
  <c r="E5793" i="6"/>
  <c r="E5792" i="6"/>
  <c r="E5791" i="6"/>
  <c r="E579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37" i="6"/>
  <c r="E5736" i="6"/>
  <c r="E5735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67" i="6"/>
  <c r="E5649" i="6"/>
  <c r="E5648" i="6"/>
  <c r="E5647" i="6"/>
  <c r="E5646" i="6"/>
  <c r="E5645" i="6"/>
  <c r="E5635" i="6"/>
  <c r="E5634" i="6"/>
  <c r="E5633" i="6"/>
  <c r="E5632" i="6"/>
  <c r="E5631" i="6"/>
  <c r="E5630" i="6"/>
  <c r="E5629" i="6"/>
  <c r="E5611" i="6"/>
  <c r="E5610" i="6"/>
  <c r="E5609" i="6"/>
  <c r="E5608" i="6"/>
  <c r="E5607" i="6"/>
  <c r="E5586" i="6"/>
  <c r="E5585" i="6"/>
  <c r="E5562" i="6"/>
  <c r="E5561" i="6"/>
  <c r="E5560" i="6"/>
  <c r="E5559" i="6"/>
  <c r="E5530" i="6"/>
  <c r="E5529" i="6"/>
  <c r="E5528" i="6"/>
  <c r="E5527" i="6"/>
  <c r="E5514" i="6"/>
  <c r="E5513" i="6"/>
  <c r="E5495" i="6"/>
  <c r="E5494" i="6"/>
  <c r="E5493" i="6"/>
  <c r="E5492" i="6"/>
  <c r="E5491" i="6"/>
  <c r="E5490" i="6"/>
  <c r="E5489" i="6"/>
  <c r="E5488" i="6"/>
  <c r="E5467" i="6"/>
  <c r="E5466" i="6"/>
  <c r="E5465" i="6"/>
  <c r="E5394" i="6"/>
  <c r="E5393" i="6"/>
  <c r="E5392" i="6"/>
  <c r="E5391" i="6"/>
  <c r="E5390" i="6"/>
  <c r="E5389" i="6"/>
  <c r="E5388" i="6"/>
  <c r="E5387" i="6"/>
  <c r="E5386" i="6"/>
  <c r="E5385" i="6"/>
  <c r="E5384" i="6"/>
  <c r="E5351" i="6"/>
  <c r="E5350" i="6"/>
  <c r="E5349" i="6"/>
  <c r="E5348" i="6"/>
  <c r="E5302" i="6"/>
  <c r="E5301" i="6"/>
  <c r="E5300" i="6"/>
  <c r="E5286" i="6"/>
  <c r="E5285" i="6"/>
  <c r="E5284" i="6"/>
  <c r="E5283" i="6"/>
  <c r="E5282" i="6"/>
  <c r="E5281" i="6"/>
  <c r="E5280" i="6"/>
  <c r="E5279" i="6"/>
  <c r="E5278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156" i="6"/>
  <c r="E5155" i="6"/>
  <c r="E5096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08" i="6"/>
  <c r="E5007" i="6"/>
  <c r="E5006" i="6"/>
  <c r="E5005" i="6"/>
  <c r="E4986" i="6"/>
  <c r="E4985" i="6"/>
  <c r="E4984" i="6"/>
  <c r="E4910" i="6"/>
  <c r="E4909" i="6"/>
  <c r="E4908" i="6"/>
  <c r="E4907" i="6"/>
  <c r="E4894" i="6"/>
  <c r="E4893" i="6"/>
  <c r="E4851" i="6"/>
  <c r="E4850" i="6"/>
  <c r="E4849" i="6"/>
  <c r="E4848" i="6"/>
  <c r="E4847" i="6"/>
  <c r="E4846" i="6"/>
  <c r="E4845" i="6"/>
  <c r="E4844" i="6"/>
  <c r="E4843" i="6"/>
  <c r="E4828" i="6"/>
  <c r="E4827" i="6"/>
  <c r="E4826" i="6"/>
  <c r="E4825" i="6"/>
  <c r="E4780" i="6"/>
  <c r="E4779" i="6"/>
  <c r="E4778" i="6"/>
  <c r="E4777" i="6"/>
  <c r="E4751" i="6"/>
  <c r="E4750" i="6"/>
  <c r="E4749" i="6"/>
  <c r="E4748" i="6"/>
  <c r="E4747" i="6"/>
  <c r="E4746" i="6"/>
  <c r="E4745" i="6"/>
  <c r="E4744" i="6"/>
  <c r="E4646" i="6"/>
  <c r="E4645" i="6"/>
  <c r="E4644" i="6"/>
  <c r="E4643" i="6"/>
  <c r="E4642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K4196" i="6"/>
  <c r="K3600" i="6"/>
  <c r="E6901" i="6"/>
  <c r="E6900" i="6"/>
  <c r="E6895" i="6"/>
  <c r="E6894" i="6"/>
  <c r="E6890" i="6"/>
  <c r="E6885" i="6"/>
  <c r="E6881" i="6"/>
  <c r="E6875" i="6"/>
  <c r="E6874" i="6"/>
  <c r="E6869" i="6"/>
  <c r="E6864" i="6"/>
  <c r="E6860" i="6"/>
  <c r="E6859" i="6"/>
  <c r="E6855" i="6"/>
  <c r="E6854" i="6"/>
  <c r="E6849" i="6"/>
  <c r="E6845" i="6"/>
  <c r="E6841" i="6"/>
  <c r="E6837" i="6"/>
  <c r="E6836" i="6"/>
  <c r="E6835" i="6"/>
  <c r="E6831" i="6"/>
  <c r="E6826" i="6"/>
  <c r="E6821" i="6"/>
  <c r="E6815" i="6"/>
  <c r="E6810" i="6"/>
  <c r="E6806" i="6"/>
  <c r="E6801" i="6"/>
  <c r="E6800" i="6"/>
  <c r="E6795" i="6"/>
  <c r="E6790" i="6"/>
  <c r="E6784" i="6"/>
  <c r="E6783" i="6"/>
  <c r="E6778" i="6"/>
  <c r="E6773" i="6"/>
  <c r="E6772" i="6"/>
  <c r="E6767" i="6"/>
  <c r="E6766" i="6"/>
  <c r="E6761" i="6"/>
  <c r="E6755" i="6"/>
  <c r="E6750" i="6"/>
  <c r="E6742" i="6"/>
  <c r="E6737" i="6"/>
  <c r="E6733" i="6"/>
  <c r="E6728" i="6"/>
  <c r="E6727" i="6"/>
  <c r="E6723" i="6"/>
  <c r="E6719" i="6"/>
  <c r="E6715" i="6"/>
  <c r="E6714" i="6"/>
  <c r="E6708" i="6"/>
  <c r="E6707" i="6"/>
  <c r="E6706" i="6"/>
  <c r="E6701" i="6"/>
  <c r="E6700" i="6"/>
  <c r="E6699" i="6"/>
  <c r="E6693" i="6"/>
  <c r="E6688" i="6"/>
  <c r="E6684" i="6"/>
  <c r="E6683" i="6"/>
  <c r="E6677" i="6"/>
  <c r="E6676" i="6"/>
  <c r="E6670" i="6"/>
  <c r="E6665" i="6"/>
  <c r="E6664" i="6"/>
  <c r="E6660" i="6"/>
  <c r="E6659" i="6"/>
  <c r="E6658" i="6"/>
  <c r="E6653" i="6"/>
  <c r="E6645" i="6"/>
  <c r="E6640" i="6"/>
  <c r="E6639" i="6"/>
  <c r="E6633" i="6"/>
  <c r="E6632" i="6"/>
  <c r="E6626" i="6"/>
  <c r="E6619" i="6"/>
  <c r="E6613" i="6"/>
  <c r="E6609" i="6"/>
  <c r="E6608" i="6"/>
  <c r="E6603" i="6"/>
  <c r="E6602" i="6"/>
  <c r="E6593" i="6"/>
  <c r="E6589" i="6"/>
  <c r="E6585" i="6"/>
  <c r="E6578" i="6"/>
  <c r="E6573" i="6"/>
  <c r="E6569" i="6"/>
  <c r="E6568" i="6"/>
  <c r="E6563" i="6"/>
  <c r="E6562" i="6"/>
  <c r="E6557" i="6"/>
  <c r="E6553" i="6"/>
  <c r="E6552" i="6"/>
  <c r="E6547" i="6"/>
  <c r="E6543" i="6"/>
  <c r="E6542" i="6"/>
  <c r="E6536" i="6"/>
  <c r="E6535" i="6"/>
  <c r="E6534" i="6"/>
  <c r="E6528" i="6"/>
  <c r="E6523" i="6"/>
  <c r="E6519" i="6"/>
  <c r="E6518" i="6"/>
  <c r="E6509" i="6"/>
  <c r="E6502" i="6"/>
  <c r="E6495" i="6"/>
  <c r="E6489" i="6"/>
  <c r="E6484" i="6"/>
  <c r="E6479" i="6"/>
  <c r="E6478" i="6"/>
  <c r="E6473" i="6"/>
  <c r="E6472" i="6"/>
  <c r="E6471" i="6"/>
  <c r="E6466" i="6"/>
  <c r="E6461" i="6"/>
  <c r="E6457" i="6"/>
  <c r="E6449" i="6"/>
  <c r="E6448" i="6"/>
  <c r="E6441" i="6"/>
  <c r="E6440" i="6"/>
  <c r="E6439" i="6"/>
  <c r="E6438" i="6"/>
  <c r="E6429" i="6"/>
  <c r="E6421" i="6"/>
  <c r="E6417" i="6"/>
  <c r="E6413" i="6"/>
  <c r="E6412" i="6"/>
  <c r="E6408" i="6"/>
  <c r="E6402" i="6"/>
  <c r="E6397" i="6"/>
  <c r="E6392" i="6"/>
  <c r="E6384" i="6"/>
  <c r="E6383" i="6"/>
  <c r="E6382" i="6"/>
  <c r="E6373" i="6"/>
  <c r="E6367" i="6"/>
  <c r="E6366" i="6"/>
  <c r="E6365" i="6"/>
  <c r="E6359" i="6"/>
  <c r="E6358" i="6"/>
  <c r="E6350" i="6"/>
  <c r="E6349" i="6"/>
  <c r="E6348" i="6"/>
  <c r="E6343" i="6"/>
  <c r="E6342" i="6"/>
  <c r="E6341" i="6"/>
  <c r="E6340" i="6"/>
  <c r="E6336" i="6"/>
  <c r="E6335" i="6"/>
  <c r="E6330" i="6"/>
  <c r="E6323" i="6"/>
  <c r="E6312" i="6"/>
  <c r="E6311" i="6"/>
  <c r="E6310" i="6"/>
  <c r="E6309" i="6"/>
  <c r="E6308" i="6"/>
  <c r="E6302" i="6"/>
  <c r="E6291" i="6"/>
  <c r="E6283" i="6"/>
  <c r="E6282" i="6"/>
  <c r="E6281" i="6"/>
  <c r="E6276" i="6"/>
  <c r="E6275" i="6"/>
  <c r="E6267" i="6"/>
  <c r="E6262" i="6"/>
  <c r="E6254" i="6"/>
  <c r="E6253" i="6"/>
  <c r="E6252" i="6"/>
  <c r="E6251" i="6"/>
  <c r="E6245" i="6"/>
  <c r="E6236" i="6"/>
  <c r="E6235" i="6"/>
  <c r="E6230" i="6"/>
  <c r="E6229" i="6"/>
  <c r="E6223" i="6"/>
  <c r="E6215" i="6"/>
  <c r="E6214" i="6"/>
  <c r="E6213" i="6"/>
  <c r="E6208" i="6"/>
  <c r="E6207" i="6"/>
  <c r="E6206" i="6"/>
  <c r="E6205" i="6"/>
  <c r="E6200" i="6"/>
  <c r="E6199" i="6"/>
  <c r="E6194" i="6"/>
  <c r="E6193" i="6"/>
  <c r="E6187" i="6"/>
  <c r="E6181" i="6"/>
  <c r="E6177" i="6"/>
  <c r="E6171" i="6"/>
  <c r="E6170" i="6"/>
  <c r="E6164" i="6"/>
  <c r="E6163" i="6"/>
  <c r="E6157" i="6"/>
  <c r="E6152" i="6"/>
  <c r="E6148" i="6"/>
  <c r="E6147" i="6"/>
  <c r="E6142" i="6"/>
  <c r="E6137" i="6"/>
  <c r="E6133" i="6"/>
  <c r="E6124" i="6"/>
  <c r="E6120" i="6"/>
  <c r="E6114" i="6"/>
  <c r="E6110" i="6"/>
  <c r="E6109" i="6"/>
  <c r="E6102" i="6"/>
  <c r="E6096" i="6"/>
  <c r="E6091" i="6"/>
  <c r="E6090" i="6"/>
  <c r="E6075" i="6"/>
  <c r="E6074" i="6"/>
  <c r="E6054" i="6"/>
  <c r="E6053" i="6"/>
  <c r="E6052" i="6"/>
  <c r="E6051" i="6"/>
  <c r="E6043" i="6"/>
  <c r="E6042" i="6"/>
  <c r="E6041" i="6"/>
  <c r="E6040" i="6"/>
  <c r="E6031" i="6"/>
  <c r="E6030" i="6"/>
  <c r="E6019" i="6"/>
  <c r="E6018" i="6"/>
  <c r="E6017" i="6"/>
  <c r="E6016" i="6"/>
  <c r="E6007" i="6"/>
  <c r="E6006" i="6"/>
  <c r="E5995" i="6"/>
  <c r="E5994" i="6"/>
  <c r="E5993" i="6"/>
  <c r="E5992" i="6"/>
  <c r="E5991" i="6"/>
  <c r="E5974" i="6"/>
  <c r="E5962" i="6"/>
  <c r="E5961" i="6"/>
  <c r="E5960" i="6"/>
  <c r="E5959" i="6"/>
  <c r="E5949" i="6"/>
  <c r="E5948" i="6"/>
  <c r="E5947" i="6"/>
  <c r="E5926" i="6"/>
  <c r="E5913" i="6"/>
  <c r="E5912" i="6"/>
  <c r="E5893" i="6"/>
  <c r="E5892" i="6"/>
  <c r="E5891" i="6"/>
  <c r="E5872" i="6"/>
  <c r="E5871" i="6"/>
  <c r="E5845" i="6"/>
  <c r="E5821" i="6"/>
  <c r="E5801" i="6"/>
  <c r="E5781" i="6"/>
  <c r="E5780" i="6"/>
  <c r="E5779" i="6"/>
  <c r="E5778" i="6"/>
  <c r="E5777" i="6"/>
  <c r="E5776" i="6"/>
  <c r="E5775" i="6"/>
  <c r="E5754" i="6"/>
  <c r="E5753" i="6"/>
  <c r="E5752" i="6"/>
  <c r="E5751" i="6"/>
  <c r="E5750" i="6"/>
  <c r="E5720" i="6"/>
  <c r="E5719" i="6"/>
  <c r="E5718" i="6"/>
  <c r="E5717" i="6"/>
  <c r="E5716" i="6"/>
  <c r="E5715" i="6"/>
  <c r="E5714" i="6"/>
  <c r="E5713" i="6"/>
  <c r="E5712" i="6"/>
  <c r="E5711" i="6"/>
  <c r="E5677" i="6"/>
  <c r="E5676" i="6"/>
  <c r="E5675" i="6"/>
  <c r="E5674" i="6"/>
  <c r="E5673" i="6"/>
  <c r="E5672" i="6"/>
  <c r="E5671" i="6"/>
  <c r="E5670" i="6"/>
  <c r="E5656" i="6"/>
  <c r="E5655" i="6"/>
  <c r="E5654" i="6"/>
  <c r="E5642" i="6"/>
  <c r="E5641" i="6"/>
  <c r="E5640" i="6"/>
  <c r="E5620" i="6"/>
  <c r="E5619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78" i="6"/>
  <c r="E5577" i="6"/>
  <c r="E5576" i="6"/>
  <c r="E5575" i="6"/>
  <c r="E5546" i="6"/>
  <c r="E5545" i="6"/>
  <c r="E5544" i="6"/>
  <c r="E5543" i="6"/>
  <c r="E5520" i="6"/>
  <c r="E5519" i="6"/>
  <c r="E5511" i="6"/>
  <c r="E5510" i="6"/>
  <c r="E5509" i="6"/>
  <c r="E5508" i="6"/>
  <c r="E5507" i="6"/>
  <c r="E5506" i="6"/>
  <c r="E5505" i="6"/>
  <c r="E5455" i="6"/>
  <c r="E5454" i="6"/>
  <c r="E5453" i="6"/>
  <c r="E5452" i="6"/>
  <c r="E5451" i="6"/>
  <c r="E5450" i="6"/>
  <c r="E5449" i="6"/>
  <c r="E5448" i="6"/>
  <c r="E5447" i="6"/>
  <c r="E5414" i="6"/>
  <c r="E5413" i="6"/>
  <c r="E5412" i="6"/>
  <c r="E5411" i="6"/>
  <c r="E5335" i="6"/>
  <c r="E5334" i="6"/>
  <c r="E5333" i="6"/>
  <c r="E5318" i="6"/>
  <c r="E5317" i="6"/>
  <c r="E5316" i="6"/>
  <c r="E5272" i="6"/>
  <c r="E5271" i="6"/>
  <c r="E5234" i="6"/>
  <c r="E5233" i="6"/>
  <c r="E5232" i="6"/>
  <c r="E5231" i="6"/>
  <c r="E5144" i="6"/>
  <c r="E5143" i="6"/>
  <c r="E5142" i="6"/>
  <c r="E5141" i="6"/>
  <c r="E5140" i="6"/>
  <c r="E5139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059" i="6"/>
  <c r="E5058" i="6"/>
  <c r="E5057" i="6"/>
  <c r="E5056" i="6"/>
  <c r="E5030" i="6"/>
  <c r="E5029" i="6"/>
  <c r="E5028" i="6"/>
  <c r="E5027" i="6"/>
  <c r="E4967" i="6"/>
  <c r="E4966" i="6"/>
  <c r="E4965" i="6"/>
  <c r="E4964" i="6"/>
  <c r="E4935" i="6"/>
  <c r="E4934" i="6"/>
  <c r="E4933" i="6"/>
  <c r="E4932" i="6"/>
  <c r="E4887" i="6"/>
  <c r="E4886" i="6"/>
  <c r="E4885" i="6"/>
  <c r="E4866" i="6"/>
  <c r="E4865" i="6"/>
  <c r="E4864" i="6"/>
  <c r="E4816" i="6"/>
  <c r="E4815" i="6"/>
  <c r="E4814" i="6"/>
  <c r="E4813" i="6"/>
  <c r="E4792" i="6"/>
  <c r="E4791" i="6"/>
  <c r="E4790" i="6"/>
  <c r="E4789" i="6"/>
  <c r="E4728" i="6"/>
  <c r="E4727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562" i="6"/>
  <c r="E4561" i="6"/>
  <c r="E4560" i="6"/>
  <c r="E4559" i="6"/>
  <c r="E4558" i="6"/>
  <c r="E5502" i="6"/>
  <c r="E5501" i="6"/>
  <c r="E5500" i="6"/>
  <c r="E5478" i="6"/>
  <c r="E5477" i="6"/>
  <c r="E5476" i="6"/>
  <c r="E5475" i="6"/>
  <c r="E5464" i="6"/>
  <c r="E546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47" i="6"/>
  <c r="E5346" i="6"/>
  <c r="E5345" i="6"/>
  <c r="E5344" i="6"/>
  <c r="E5343" i="6"/>
  <c r="E5342" i="6"/>
  <c r="E5341" i="6"/>
  <c r="E5340" i="6"/>
  <c r="E5331" i="6"/>
  <c r="E5330" i="6"/>
  <c r="E5329" i="6"/>
  <c r="E5328" i="6"/>
  <c r="E5315" i="6"/>
  <c r="E5314" i="6"/>
  <c r="E5313" i="6"/>
  <c r="E5312" i="6"/>
  <c r="E5311" i="6"/>
  <c r="E5310" i="6"/>
  <c r="E5309" i="6"/>
  <c r="E5308" i="6"/>
  <c r="E5307" i="6"/>
  <c r="E5306" i="6"/>
  <c r="E5305" i="6"/>
  <c r="E5295" i="6"/>
  <c r="E5294" i="6"/>
  <c r="E5293" i="6"/>
  <c r="E5277" i="6"/>
  <c r="E5276" i="6"/>
  <c r="E5275" i="6"/>
  <c r="E5274" i="6"/>
  <c r="E5254" i="6"/>
  <c r="E5253" i="6"/>
  <c r="E5252" i="6"/>
  <c r="E5251" i="6"/>
  <c r="E5230" i="6"/>
  <c r="E522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54" i="6"/>
  <c r="E5153" i="6"/>
  <c r="E5152" i="6"/>
  <c r="E5151" i="6"/>
  <c r="E5150" i="6"/>
  <c r="E5149" i="6"/>
  <c r="E5148" i="6"/>
  <c r="E5134" i="6"/>
  <c r="E5133" i="6"/>
  <c r="E5132" i="6"/>
  <c r="E5131" i="6"/>
  <c r="E5130" i="6"/>
  <c r="E5129" i="6"/>
  <c r="E5103" i="6"/>
  <c r="E5102" i="6"/>
  <c r="E5101" i="6"/>
  <c r="E5100" i="6"/>
  <c r="E5091" i="6"/>
  <c r="E5090" i="6"/>
  <c r="E5089" i="6"/>
  <c r="E5064" i="6"/>
  <c r="E5052" i="6"/>
  <c r="E5051" i="6"/>
  <c r="E5050" i="6"/>
  <c r="E5049" i="6"/>
  <c r="E5048" i="6"/>
  <c r="E504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00" i="6"/>
  <c r="E4999" i="6"/>
  <c r="E4998" i="6"/>
  <c r="E4997" i="6"/>
  <c r="E4983" i="6"/>
  <c r="E4982" i="6"/>
  <c r="E4981" i="6"/>
  <c r="E4980" i="6"/>
  <c r="E4979" i="6"/>
  <c r="E4978" i="6"/>
  <c r="E4977" i="6"/>
  <c r="E4976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31" i="6"/>
  <c r="E4930" i="6"/>
  <c r="E4929" i="6"/>
  <c r="E4928" i="6"/>
  <c r="E4903" i="6"/>
  <c r="E4902" i="6"/>
  <c r="E4901" i="6"/>
  <c r="E4900" i="6"/>
  <c r="E4892" i="6"/>
  <c r="E4883" i="6"/>
  <c r="E4882" i="6"/>
  <c r="E4881" i="6"/>
  <c r="E4880" i="6"/>
  <c r="E4879" i="6"/>
  <c r="E4878" i="6"/>
  <c r="E4877" i="6"/>
  <c r="E4863" i="6"/>
  <c r="E4862" i="6"/>
  <c r="E4861" i="6"/>
  <c r="E4860" i="6"/>
  <c r="E4839" i="6"/>
  <c r="E4838" i="6"/>
  <c r="E4837" i="6"/>
  <c r="E4824" i="6"/>
  <c r="E4823" i="6"/>
  <c r="E4822" i="6"/>
  <c r="E4821" i="6"/>
  <c r="E4808" i="6"/>
  <c r="E4807" i="6"/>
  <c r="E4806" i="6"/>
  <c r="E4805" i="6"/>
  <c r="E4768" i="6"/>
  <c r="E4767" i="6"/>
  <c r="E4766" i="6"/>
  <c r="E4765" i="6"/>
  <c r="E4743" i="6"/>
  <c r="E4742" i="6"/>
  <c r="E4741" i="6"/>
  <c r="E4740" i="6"/>
  <c r="E4739" i="6"/>
  <c r="E4738" i="6"/>
  <c r="E4737" i="6"/>
  <c r="E4699" i="6"/>
  <c r="E4698" i="6"/>
  <c r="E4697" i="6"/>
  <c r="E4696" i="6"/>
  <c r="E4695" i="6"/>
  <c r="E4694" i="6"/>
  <c r="E4693" i="6"/>
  <c r="E4692" i="6"/>
  <c r="E4664" i="6"/>
  <c r="E4663" i="6"/>
  <c r="E4662" i="6"/>
  <c r="E4604" i="6"/>
  <c r="E4603" i="6"/>
  <c r="E4602" i="6"/>
  <c r="E4601" i="6"/>
  <c r="E4600" i="6"/>
  <c r="E4599" i="6"/>
  <c r="E4598" i="6"/>
  <c r="E4597" i="6"/>
  <c r="E4557" i="6"/>
  <c r="E4556" i="6"/>
  <c r="E4555" i="6"/>
  <c r="E4554" i="6"/>
  <c r="E4553" i="6"/>
  <c r="E4552" i="6"/>
  <c r="E4551" i="6"/>
  <c r="E4550" i="6"/>
  <c r="E4549" i="6"/>
  <c r="K4176" i="6"/>
  <c r="K4064" i="6"/>
  <c r="K3894" i="6"/>
  <c r="K3696" i="6"/>
  <c r="E4802" i="6"/>
  <c r="E4801" i="6"/>
  <c r="E4788" i="6"/>
  <c r="E4787" i="6"/>
  <c r="E4776" i="6"/>
  <c r="E4775" i="6"/>
  <c r="E4774" i="6"/>
  <c r="E4773" i="6"/>
  <c r="E4760" i="6"/>
  <c r="E4759" i="6"/>
  <c r="E4758" i="6"/>
  <c r="E4757" i="6"/>
  <c r="E4736" i="6"/>
  <c r="E4735" i="6"/>
  <c r="E4734" i="6"/>
  <c r="E4733" i="6"/>
  <c r="E4724" i="6"/>
  <c r="E4723" i="6"/>
  <c r="E4722" i="6"/>
  <c r="E4721" i="6"/>
  <c r="E4708" i="6"/>
  <c r="E4707" i="6"/>
  <c r="E4706" i="6"/>
  <c r="E4705" i="6"/>
  <c r="E4704" i="6"/>
  <c r="E4683" i="6"/>
  <c r="E4682" i="6"/>
  <c r="E4681" i="6"/>
  <c r="E4680" i="6"/>
  <c r="E4679" i="6"/>
  <c r="E4678" i="6"/>
  <c r="E4661" i="6"/>
  <c r="E4641" i="6"/>
  <c r="E4640" i="6"/>
  <c r="E4639" i="6"/>
  <c r="E4638" i="6"/>
  <c r="E4637" i="6"/>
  <c r="E4610" i="6"/>
  <c r="E4609" i="6"/>
  <c r="E4608" i="6"/>
  <c r="E4607" i="6"/>
  <c r="E4606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48" i="6"/>
  <c r="E4547" i="6"/>
  <c r="E4546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464" i="6"/>
  <c r="E4463" i="6"/>
  <c r="E4462" i="6"/>
  <c r="E4461" i="6"/>
  <c r="E4460" i="6"/>
  <c r="E4459" i="6"/>
  <c r="E4458" i="6"/>
  <c r="E4457" i="6"/>
  <c r="E4436" i="6"/>
  <c r="E4435" i="6"/>
  <c r="E4434" i="6"/>
  <c r="E4376" i="6"/>
  <c r="E4375" i="6"/>
  <c r="E437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292" i="6"/>
  <c r="E4291" i="6"/>
  <c r="E4290" i="6"/>
  <c r="E4270" i="6"/>
  <c r="E4269" i="6"/>
  <c r="E4268" i="6"/>
  <c r="E4267" i="6"/>
  <c r="E4266" i="6"/>
  <c r="E4265" i="6"/>
  <c r="E4258" i="6"/>
  <c r="E4251" i="6"/>
  <c r="E4250" i="6"/>
  <c r="E4249" i="6"/>
  <c r="E4248" i="6"/>
  <c r="E4238" i="6"/>
  <c r="E4237" i="6"/>
  <c r="E4236" i="6"/>
  <c r="E4229" i="6"/>
  <c r="E4228" i="6"/>
  <c r="E4227" i="6"/>
  <c r="E4226" i="6"/>
  <c r="E4225" i="6"/>
  <c r="E4224" i="6"/>
  <c r="E4223" i="6"/>
  <c r="E4206" i="6"/>
  <c r="E4195" i="6"/>
  <c r="K4195" i="6" s="1"/>
  <c r="K4184" i="6"/>
  <c r="E4182" i="6"/>
  <c r="E4181" i="6"/>
  <c r="E4180" i="6"/>
  <c r="E4170" i="6"/>
  <c r="E4169" i="6"/>
  <c r="E4168" i="6"/>
  <c r="E4167" i="6"/>
  <c r="E4166" i="6"/>
  <c r="K4166" i="6" s="1"/>
  <c r="K4156" i="6"/>
  <c r="E4151" i="6"/>
  <c r="E4136" i="6"/>
  <c r="K4136" i="6" s="1"/>
  <c r="E4125" i="6"/>
  <c r="E4124" i="6"/>
  <c r="K4124" i="6" s="1"/>
  <c r="E4117" i="6"/>
  <c r="E4116" i="6"/>
  <c r="E4115" i="6"/>
  <c r="E4114" i="6"/>
  <c r="E4113" i="6"/>
  <c r="E4112" i="6"/>
  <c r="K4112" i="6" s="1"/>
  <c r="E4111" i="6"/>
  <c r="E4110" i="6"/>
  <c r="K4088" i="6"/>
  <c r="K4084" i="6"/>
  <c r="K4075" i="6"/>
  <c r="E4067" i="6"/>
  <c r="K4067" i="6" s="1"/>
  <c r="K4060" i="6"/>
  <c r="E4056" i="6"/>
  <c r="K4056" i="6" s="1"/>
  <c r="E4029" i="6"/>
  <c r="K4029" i="6" s="1"/>
  <c r="K4018" i="6"/>
  <c r="K4015" i="6"/>
  <c r="K4014" i="6"/>
  <c r="E4004" i="6"/>
  <c r="K4004" i="6" s="1"/>
  <c r="E4003" i="6"/>
  <c r="E4002" i="6"/>
  <c r="E3993" i="6"/>
  <c r="K3993" i="6" s="1"/>
  <c r="E3984" i="6"/>
  <c r="E3983" i="6"/>
  <c r="E3982" i="6"/>
  <c r="E3981" i="6"/>
  <c r="K3981" i="6" s="1"/>
  <c r="E3957" i="6"/>
  <c r="K3957" i="6" s="1"/>
  <c r="E3956" i="6"/>
  <c r="E3955" i="6"/>
  <c r="E3954" i="6"/>
  <c r="E3953" i="6"/>
  <c r="E3952" i="6"/>
  <c r="E3951" i="6"/>
  <c r="E3950" i="6"/>
  <c r="K3944" i="6"/>
  <c r="E3940" i="6"/>
  <c r="K3940" i="6" s="1"/>
  <c r="E3939" i="6"/>
  <c r="E3938" i="6"/>
  <c r="K3938" i="6" s="1"/>
  <c r="E3921" i="6"/>
  <c r="K3921" i="6" s="1"/>
  <c r="E3909" i="6"/>
  <c r="E3908" i="6"/>
  <c r="E3899" i="6"/>
  <c r="E3898" i="6"/>
  <c r="E3897" i="6"/>
  <c r="E3896" i="6"/>
  <c r="E3889" i="6"/>
  <c r="E3888" i="6"/>
  <c r="K3888" i="6" s="1"/>
  <c r="K3870" i="6"/>
  <c r="E3867" i="6"/>
  <c r="K3867" i="6" s="1"/>
  <c r="E3866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K3779" i="6" s="1"/>
  <c r="E3778" i="6"/>
  <c r="E3777" i="6"/>
  <c r="E3776" i="6"/>
  <c r="E3775" i="6"/>
  <c r="K3775" i="6" s="1"/>
  <c r="E3774" i="6"/>
  <c r="E3773" i="6"/>
  <c r="E3772" i="6"/>
  <c r="E3771" i="6"/>
  <c r="K3771" i="6" s="1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K3759" i="6" s="1"/>
  <c r="E3758" i="6"/>
  <c r="E3757" i="6"/>
  <c r="E3756" i="6"/>
  <c r="E3755" i="6"/>
  <c r="E3754" i="6"/>
  <c r="E3753" i="6"/>
  <c r="E3752" i="6"/>
  <c r="E3751" i="6"/>
  <c r="K3751" i="6" s="1"/>
  <c r="E3750" i="6"/>
  <c r="E3749" i="6"/>
  <c r="E3748" i="6"/>
  <c r="E3747" i="6"/>
  <c r="E3746" i="6"/>
  <c r="E3745" i="6"/>
  <c r="E3744" i="6"/>
  <c r="E3743" i="6"/>
  <c r="K3743" i="6" s="1"/>
  <c r="E3742" i="6"/>
  <c r="E3741" i="6"/>
  <c r="E3740" i="6"/>
  <c r="E3739" i="6"/>
  <c r="E3719" i="6"/>
  <c r="K3719" i="6" s="1"/>
  <c r="E3718" i="6"/>
  <c r="E3717" i="6"/>
  <c r="K3717" i="6" s="1"/>
  <c r="E3716" i="6"/>
  <c r="E3715" i="6"/>
  <c r="K3715" i="6" s="1"/>
  <c r="E3714" i="6"/>
  <c r="E3713" i="6"/>
  <c r="E3712" i="6"/>
  <c r="K3712" i="6" s="1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K3700" i="6" s="1"/>
  <c r="K3691" i="6"/>
  <c r="K3688" i="6"/>
  <c r="E3683" i="6"/>
  <c r="K3683" i="6" s="1"/>
  <c r="E3682" i="6"/>
  <c r="E3681" i="6"/>
  <c r="K3681" i="6" s="1"/>
  <c r="E3680" i="6"/>
  <c r="E3679" i="6"/>
  <c r="E3678" i="6"/>
  <c r="E3677" i="6"/>
  <c r="E3676" i="6"/>
  <c r="E3675" i="6"/>
  <c r="K3675" i="6" s="1"/>
  <c r="E3674" i="6"/>
  <c r="E3673" i="6"/>
  <c r="E3667" i="6"/>
  <c r="E3666" i="6"/>
  <c r="E3665" i="6"/>
  <c r="K3665" i="6" s="1"/>
  <c r="K3655" i="6"/>
  <c r="E3652" i="6"/>
  <c r="E3651" i="6"/>
  <c r="E3650" i="6"/>
  <c r="E3649" i="6"/>
  <c r="K3649" i="6" s="1"/>
  <c r="K3643" i="6"/>
  <c r="K3639" i="6"/>
  <c r="E3636" i="6"/>
  <c r="E3635" i="6"/>
  <c r="E3634" i="6"/>
  <c r="E3633" i="6"/>
  <c r="K3627" i="6"/>
  <c r="K3624" i="6"/>
  <c r="E3619" i="6"/>
  <c r="E3618" i="6"/>
  <c r="E3617" i="6"/>
  <c r="E3616" i="6"/>
  <c r="E3615" i="6"/>
  <c r="E3614" i="6"/>
  <c r="E3613" i="6"/>
  <c r="E3612" i="6"/>
  <c r="E3599" i="6"/>
  <c r="K3599" i="6" s="1"/>
  <c r="E3598" i="6"/>
  <c r="E3597" i="6"/>
  <c r="K3597" i="6" s="1"/>
  <c r="E3591" i="6"/>
  <c r="E3590" i="6"/>
  <c r="E3589" i="6"/>
  <c r="E3583" i="6"/>
  <c r="E3582" i="6"/>
  <c r="E3581" i="6"/>
  <c r="K3581" i="6" s="1"/>
  <c r="E3575" i="6"/>
  <c r="K3575" i="6" s="1"/>
  <c r="E3574" i="6"/>
  <c r="E3573" i="6"/>
  <c r="E3567" i="6"/>
  <c r="E3566" i="6"/>
  <c r="E3565" i="6"/>
  <c r="K3565" i="6" s="1"/>
  <c r="E3559" i="6"/>
  <c r="E3558" i="6"/>
  <c r="E3557" i="6"/>
  <c r="K3557" i="6" s="1"/>
  <c r="E3551" i="6"/>
  <c r="K3551" i="6" s="1"/>
  <c r="E3550" i="6"/>
  <c r="E3549" i="6"/>
  <c r="E3548" i="6"/>
  <c r="E3547" i="6"/>
  <c r="E3546" i="6"/>
  <c r="E3545" i="6"/>
  <c r="E3544" i="6"/>
  <c r="K3544" i="6" s="1"/>
  <c r="E3533" i="6"/>
  <c r="E3532" i="6"/>
  <c r="E3531" i="6"/>
  <c r="E3530" i="6"/>
  <c r="E3529" i="6"/>
  <c r="E3528" i="6"/>
  <c r="E3527" i="6"/>
  <c r="E3526" i="6"/>
  <c r="K3526" i="6" s="1"/>
  <c r="E3519" i="6"/>
  <c r="E3518" i="6"/>
  <c r="K3512" i="6"/>
  <c r="K3508" i="6"/>
  <c r="E3504" i="6"/>
  <c r="E3492" i="6"/>
  <c r="E3491" i="6"/>
  <c r="K3491" i="6" s="1"/>
  <c r="E3490" i="6"/>
  <c r="E3489" i="6"/>
  <c r="E3488" i="6"/>
  <c r="E3468" i="6"/>
  <c r="E3461" i="6"/>
  <c r="K3461" i="6" s="1"/>
  <c r="K3456" i="6"/>
  <c r="E3451" i="6"/>
  <c r="E3450" i="6"/>
  <c r="E3440" i="6"/>
  <c r="E3439" i="6"/>
  <c r="E3438" i="6"/>
  <c r="E3429" i="6"/>
  <c r="K3429" i="6" s="1"/>
  <c r="E3421" i="6"/>
  <c r="E3420" i="6"/>
  <c r="K3420" i="6" s="1"/>
  <c r="E3419" i="6"/>
  <c r="K3419" i="6" s="1"/>
  <c r="E3418" i="6"/>
  <c r="E3417" i="6"/>
  <c r="E3416" i="6"/>
  <c r="E3408" i="6"/>
  <c r="E3395" i="6"/>
  <c r="E3394" i="6"/>
  <c r="K3378" i="6"/>
  <c r="E3376" i="6"/>
  <c r="E3355" i="6"/>
  <c r="K3355" i="6" s="1"/>
  <c r="E3354" i="6"/>
  <c r="E3353" i="6"/>
  <c r="E3352" i="6"/>
  <c r="K3352" i="6" s="1"/>
  <c r="K3331" i="6"/>
  <c r="E3327" i="6"/>
  <c r="K3327" i="6" s="1"/>
  <c r="E3326" i="6"/>
  <c r="E3325" i="6"/>
  <c r="E3307" i="6"/>
  <c r="E3306" i="6"/>
  <c r="E3295" i="6"/>
  <c r="E3294" i="6"/>
  <c r="E3284" i="6"/>
  <c r="E3273" i="6"/>
  <c r="K3273" i="6" s="1"/>
  <c r="E3260" i="6"/>
  <c r="E3247" i="6"/>
  <c r="E3246" i="6"/>
  <c r="E3245" i="6"/>
  <c r="K3245" i="6" s="1"/>
  <c r="E3233" i="6"/>
  <c r="K3222" i="6"/>
  <c r="E3220" i="6"/>
  <c r="E3208" i="6"/>
  <c r="E3193" i="6"/>
  <c r="K3182" i="6"/>
  <c r="E3180" i="6"/>
  <c r="K3180" i="6" s="1"/>
  <c r="E3164" i="6"/>
  <c r="E3163" i="6"/>
  <c r="K3163" i="6" s="1"/>
  <c r="E3162" i="6"/>
  <c r="K3162" i="6" s="1"/>
  <c r="E3161" i="6"/>
  <c r="E3144" i="6"/>
  <c r="K3144" i="6" s="1"/>
  <c r="E3143" i="6"/>
  <c r="E3142" i="6"/>
  <c r="E3141" i="6"/>
  <c r="E3140" i="6"/>
  <c r="E3115" i="6"/>
  <c r="E3114" i="6"/>
  <c r="E3113" i="6"/>
  <c r="E3099" i="6"/>
  <c r="K3099" i="6" s="1"/>
  <c r="E3098" i="6"/>
  <c r="E3097" i="6"/>
  <c r="E3055" i="6"/>
  <c r="E3054" i="6"/>
  <c r="E4468" i="6"/>
  <c r="E4467" i="6"/>
  <c r="E4466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04" i="6"/>
  <c r="E4403" i="6"/>
  <c r="E4402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12" i="6"/>
  <c r="E4311" i="6"/>
  <c r="E4310" i="6"/>
  <c r="E4286" i="6"/>
  <c r="E4285" i="6"/>
  <c r="E4284" i="6"/>
  <c r="E4283" i="6"/>
  <c r="E4282" i="6"/>
  <c r="E4281" i="6"/>
  <c r="E4280" i="6"/>
  <c r="E4279" i="6"/>
  <c r="E4278" i="6"/>
  <c r="E4263" i="6"/>
  <c r="E4262" i="6"/>
  <c r="E4256" i="6"/>
  <c r="E4255" i="6"/>
  <c r="E4254" i="6"/>
  <c r="E4253" i="6"/>
  <c r="E4244" i="6"/>
  <c r="E4243" i="6"/>
  <c r="E4242" i="6"/>
  <c r="E4233" i="6"/>
  <c r="E4232" i="6"/>
  <c r="E4231" i="6"/>
  <c r="E4221" i="6"/>
  <c r="E4220" i="6"/>
  <c r="E4219" i="6"/>
  <c r="E4218" i="6"/>
  <c r="E4217" i="6"/>
  <c r="E4216" i="6"/>
  <c r="E4215" i="6"/>
  <c r="E4214" i="6"/>
  <c r="E4213" i="6"/>
  <c r="E4212" i="6"/>
  <c r="E4211" i="6"/>
  <c r="E4201" i="6"/>
  <c r="E4190" i="6"/>
  <c r="K4190" i="6" s="1"/>
  <c r="E4189" i="6"/>
  <c r="E4188" i="6"/>
  <c r="E4175" i="6"/>
  <c r="K4175" i="6" s="1"/>
  <c r="E4174" i="6"/>
  <c r="E4161" i="6"/>
  <c r="E4148" i="6"/>
  <c r="K4148" i="6" s="1"/>
  <c r="E4147" i="6"/>
  <c r="K4147" i="6" s="1"/>
  <c r="E4146" i="6"/>
  <c r="E4145" i="6"/>
  <c r="E4144" i="6"/>
  <c r="E4143" i="6"/>
  <c r="E4142" i="6"/>
  <c r="E4141" i="6"/>
  <c r="E4140" i="6"/>
  <c r="E4133" i="6"/>
  <c r="E4132" i="6"/>
  <c r="E4131" i="6"/>
  <c r="E4130" i="6"/>
  <c r="E4120" i="6"/>
  <c r="E4103" i="6"/>
  <c r="E4102" i="6"/>
  <c r="K4102" i="6" s="1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63" i="6"/>
  <c r="E4062" i="6"/>
  <c r="E4061" i="6"/>
  <c r="K4055" i="6"/>
  <c r="E4036" i="6"/>
  <c r="E4035" i="6"/>
  <c r="E4034" i="6"/>
  <c r="E4033" i="6"/>
  <c r="K4026" i="6"/>
  <c r="E4024" i="6"/>
  <c r="E4023" i="6"/>
  <c r="E4022" i="6"/>
  <c r="E4021" i="6"/>
  <c r="E4000" i="6"/>
  <c r="K4000" i="6" s="1"/>
  <c r="E3999" i="6"/>
  <c r="E3998" i="6"/>
  <c r="E3997" i="6"/>
  <c r="K3990" i="6"/>
  <c r="E3988" i="6"/>
  <c r="E3987" i="6"/>
  <c r="E3986" i="6"/>
  <c r="K3979" i="6"/>
  <c r="K3978" i="6"/>
  <c r="E3976" i="6"/>
  <c r="E3975" i="6"/>
  <c r="E3974" i="6"/>
  <c r="E3973" i="6"/>
  <c r="E3972" i="6"/>
  <c r="E3971" i="6"/>
  <c r="E3970" i="6"/>
  <c r="E3969" i="6"/>
  <c r="E3968" i="6"/>
  <c r="E3967" i="6"/>
  <c r="E3966" i="6"/>
  <c r="E3948" i="6"/>
  <c r="E3947" i="6"/>
  <c r="E3946" i="6"/>
  <c r="E3945" i="6"/>
  <c r="K3945" i="6" s="1"/>
  <c r="K3937" i="6"/>
  <c r="E3932" i="6"/>
  <c r="E3931" i="6"/>
  <c r="E3930" i="6"/>
  <c r="E3929" i="6"/>
  <c r="E3928" i="6"/>
  <c r="E3927" i="6"/>
  <c r="E3926" i="6"/>
  <c r="E3925" i="6"/>
  <c r="K3925" i="6" s="1"/>
  <c r="K3920" i="6"/>
  <c r="E3917" i="6"/>
  <c r="E3916" i="6"/>
  <c r="K3916" i="6" s="1"/>
  <c r="E3905" i="6"/>
  <c r="E3904" i="6"/>
  <c r="E3893" i="6"/>
  <c r="E3892" i="6"/>
  <c r="K3892" i="6" s="1"/>
  <c r="K3886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K3872" i="6" s="1"/>
  <c r="K3864" i="6"/>
  <c r="E3855" i="6"/>
  <c r="E3854" i="6"/>
  <c r="E3853" i="6"/>
  <c r="E3852" i="6"/>
  <c r="E3732" i="6"/>
  <c r="E3731" i="6"/>
  <c r="E3730" i="6"/>
  <c r="E3729" i="6"/>
  <c r="E3728" i="6"/>
  <c r="E3727" i="6"/>
  <c r="E3726" i="6"/>
  <c r="E3725" i="6"/>
  <c r="E3724" i="6"/>
  <c r="K3697" i="6"/>
  <c r="E3695" i="6"/>
  <c r="E3694" i="6"/>
  <c r="E3693" i="6"/>
  <c r="E3692" i="6"/>
  <c r="E3671" i="6"/>
  <c r="E3670" i="6"/>
  <c r="E3669" i="6"/>
  <c r="K3669" i="6" s="1"/>
  <c r="E3663" i="6"/>
  <c r="E3662" i="6"/>
  <c r="E3661" i="6"/>
  <c r="E3660" i="6"/>
  <c r="E3647" i="6"/>
  <c r="E3646" i="6"/>
  <c r="E3645" i="6"/>
  <c r="E3644" i="6"/>
  <c r="E3631" i="6"/>
  <c r="E3630" i="6"/>
  <c r="E3629" i="6"/>
  <c r="E3628" i="6"/>
  <c r="E3607" i="6"/>
  <c r="E3606" i="6"/>
  <c r="E3605" i="6"/>
  <c r="E3604" i="6"/>
  <c r="E3603" i="6"/>
  <c r="E3602" i="6"/>
  <c r="E3601" i="6"/>
  <c r="E3595" i="6"/>
  <c r="E3594" i="6"/>
  <c r="E3593" i="6"/>
  <c r="E3587" i="6"/>
  <c r="K3587" i="6" s="1"/>
  <c r="E3586" i="6"/>
  <c r="E3585" i="6"/>
  <c r="E3579" i="6"/>
  <c r="E3578" i="6"/>
  <c r="E3577" i="6"/>
  <c r="E3571" i="6"/>
  <c r="E3570" i="6"/>
  <c r="E3569" i="6"/>
  <c r="K3569" i="6" s="1"/>
  <c r="E3563" i="6"/>
  <c r="E3562" i="6"/>
  <c r="E3561" i="6"/>
  <c r="E3555" i="6"/>
  <c r="E3554" i="6"/>
  <c r="E3553" i="6"/>
  <c r="E3539" i="6"/>
  <c r="E3538" i="6"/>
  <c r="E3537" i="6"/>
  <c r="E3536" i="6"/>
  <c r="K3524" i="6"/>
  <c r="E3521" i="6"/>
  <c r="E3516" i="6"/>
  <c r="K3516" i="6" s="1"/>
  <c r="E3499" i="6"/>
  <c r="E3498" i="6"/>
  <c r="E3497" i="6"/>
  <c r="E3496" i="6"/>
  <c r="E3495" i="6"/>
  <c r="E3494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64" i="6"/>
  <c r="K3460" i="6"/>
  <c r="E3457" i="6"/>
  <c r="K3450" i="6"/>
  <c r="E3448" i="6"/>
  <c r="E3447" i="6"/>
  <c r="E3446" i="6"/>
  <c r="E3445" i="6"/>
  <c r="E3444" i="6"/>
  <c r="E3443" i="6"/>
  <c r="K3443" i="6" s="1"/>
  <c r="E3442" i="6"/>
  <c r="E3436" i="6"/>
  <c r="E3435" i="6"/>
  <c r="E3434" i="6"/>
  <c r="E3433" i="6"/>
  <c r="E3432" i="6"/>
  <c r="K3432" i="6" s="1"/>
  <c r="E3425" i="6"/>
  <c r="E3401" i="6"/>
  <c r="K3401" i="6" s="1"/>
  <c r="E3385" i="6"/>
  <c r="E3384" i="6"/>
  <c r="K3384" i="6" s="1"/>
  <c r="E3367" i="6"/>
  <c r="E3366" i="6"/>
  <c r="K3366" i="6" s="1"/>
  <c r="E3365" i="6"/>
  <c r="K3365" i="6" s="1"/>
  <c r="E3364" i="6"/>
  <c r="K3343" i="6"/>
  <c r="E3339" i="6"/>
  <c r="E3338" i="6"/>
  <c r="E3337" i="6"/>
  <c r="K3319" i="6"/>
  <c r="E3316" i="6"/>
  <c r="E3301" i="6"/>
  <c r="K3301" i="6" s="1"/>
  <c r="K3291" i="6"/>
  <c r="E3289" i="6"/>
  <c r="E3279" i="6"/>
  <c r="E3278" i="6"/>
  <c r="E3267" i="6"/>
  <c r="E3266" i="6"/>
  <c r="E3265" i="6"/>
  <c r="K3255" i="6"/>
  <c r="E3253" i="6"/>
  <c r="E3252" i="6"/>
  <c r="K3252" i="6" s="1"/>
  <c r="E3239" i="6"/>
  <c r="E3238" i="6"/>
  <c r="K3238" i="6" s="1"/>
  <c r="E3227" i="6"/>
  <c r="K3227" i="6" s="1"/>
  <c r="E3226" i="6"/>
  <c r="K3226" i="6" s="1"/>
  <c r="E3215" i="6"/>
  <c r="E3214" i="6"/>
  <c r="E3213" i="6"/>
  <c r="K3203" i="6"/>
  <c r="E3200" i="6"/>
  <c r="E3187" i="6"/>
  <c r="E3186" i="6"/>
  <c r="K3186" i="6" s="1"/>
  <c r="E3172" i="6"/>
  <c r="E3156" i="6"/>
  <c r="E3155" i="6"/>
  <c r="E3154" i="6"/>
  <c r="E3127" i="6"/>
  <c r="E3126" i="6"/>
  <c r="E3125" i="6"/>
  <c r="K3125" i="6" s="1"/>
  <c r="E3124" i="6"/>
  <c r="E3107" i="6"/>
  <c r="E3106" i="6"/>
  <c r="E3105" i="6"/>
  <c r="E3041" i="6"/>
  <c r="E3040" i="6"/>
  <c r="E3039" i="6"/>
  <c r="K3039" i="6" s="1"/>
  <c r="E3038" i="6"/>
  <c r="E3393" i="6"/>
  <c r="K3393" i="6" s="1"/>
  <c r="E3392" i="6"/>
  <c r="E3383" i="6"/>
  <c r="E3382" i="6"/>
  <c r="E3375" i="6"/>
  <c r="E3374" i="6"/>
  <c r="E3373" i="6"/>
  <c r="E3372" i="6"/>
  <c r="E3363" i="6"/>
  <c r="E3362" i="6"/>
  <c r="E3361" i="6"/>
  <c r="E3360" i="6"/>
  <c r="E3351" i="6"/>
  <c r="K3351" i="6" s="1"/>
  <c r="E3350" i="6"/>
  <c r="K3350" i="6" s="1"/>
  <c r="E3349" i="6"/>
  <c r="K3349" i="6" s="1"/>
  <c r="E3348" i="6"/>
  <c r="E3336" i="6"/>
  <c r="E3324" i="6"/>
  <c r="E3315" i="6"/>
  <c r="K3315" i="6" s="1"/>
  <c r="E3314" i="6"/>
  <c r="E3305" i="6"/>
  <c r="E3300" i="6"/>
  <c r="K3300" i="6" s="1"/>
  <c r="E3299" i="6"/>
  <c r="K3299" i="6" s="1"/>
  <c r="E3298" i="6"/>
  <c r="E3293" i="6"/>
  <c r="E3288" i="6"/>
  <c r="K3288" i="6" s="1"/>
  <c r="E3283" i="6"/>
  <c r="E3282" i="6"/>
  <c r="E3277" i="6"/>
  <c r="K3277" i="6" s="1"/>
  <c r="E3272" i="6"/>
  <c r="K3272" i="6" s="1"/>
  <c r="E3264" i="6"/>
  <c r="E3259" i="6"/>
  <c r="E3258" i="6"/>
  <c r="K3258" i="6" s="1"/>
  <c r="E3257" i="6"/>
  <c r="E3251" i="6"/>
  <c r="K3251" i="6" s="1"/>
  <c r="E3250" i="6"/>
  <c r="E3244" i="6"/>
  <c r="K3244" i="6" s="1"/>
  <c r="E3237" i="6"/>
  <c r="E3232" i="6"/>
  <c r="E3225" i="6"/>
  <c r="E3219" i="6"/>
  <c r="K3219" i="6" s="1"/>
  <c r="E3218" i="6"/>
  <c r="K3218" i="6" s="1"/>
  <c r="E3212" i="6"/>
  <c r="E3207" i="6"/>
  <c r="E3206" i="6"/>
  <c r="E3205" i="6"/>
  <c r="E3199" i="6"/>
  <c r="E3198" i="6"/>
  <c r="E3197" i="6"/>
  <c r="K3197" i="6" s="1"/>
  <c r="E3192" i="6"/>
  <c r="E3185" i="6"/>
  <c r="E3179" i="6"/>
  <c r="E3178" i="6"/>
  <c r="K3178" i="6" s="1"/>
  <c r="E3177" i="6"/>
  <c r="E3171" i="6"/>
  <c r="N3171" i="6" s="1"/>
  <c r="E3170" i="6"/>
  <c r="E3160" i="6"/>
  <c r="E3153" i="6"/>
  <c r="E3152" i="6"/>
  <c r="E3139" i="6"/>
  <c r="E3138" i="6"/>
  <c r="E3137" i="6"/>
  <c r="E3136" i="6"/>
  <c r="E3123" i="6"/>
  <c r="E3122" i="6"/>
  <c r="E3121" i="6"/>
  <c r="E3120" i="6"/>
  <c r="E3112" i="6"/>
  <c r="K3112" i="6" s="1"/>
  <c r="E3104" i="6"/>
  <c r="E309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53" i="6"/>
  <c r="E3052" i="6"/>
  <c r="E3051" i="6"/>
  <c r="K3051" i="6" s="1"/>
  <c r="E3050" i="6"/>
  <c r="E3021" i="6"/>
  <c r="E3020" i="6"/>
  <c r="E3019" i="6"/>
  <c r="E3018" i="6"/>
  <c r="E3413" i="6"/>
  <c r="E3407" i="6"/>
  <c r="E3406" i="6"/>
  <c r="E3405" i="6"/>
  <c r="E3404" i="6"/>
  <c r="E3399" i="6"/>
  <c r="K3399" i="6" s="1"/>
  <c r="E3398" i="6"/>
  <c r="E3397" i="6"/>
  <c r="E3391" i="6"/>
  <c r="K3391" i="6" s="1"/>
  <c r="E3390" i="6"/>
  <c r="E3389" i="6"/>
  <c r="E3388" i="6"/>
  <c r="E3381" i="6"/>
  <c r="E3380" i="6"/>
  <c r="E3371" i="6"/>
  <c r="K3371" i="6" s="1"/>
  <c r="E3370" i="6"/>
  <c r="E3369" i="6"/>
  <c r="K3369" i="6" s="1"/>
  <c r="E3359" i="6"/>
  <c r="K3359" i="6" s="1"/>
  <c r="E3358" i="6"/>
  <c r="E3357" i="6"/>
  <c r="E3347" i="6"/>
  <c r="E3346" i="6"/>
  <c r="E3345" i="6"/>
  <c r="E3344" i="6"/>
  <c r="K3337" i="6"/>
  <c r="E3335" i="6"/>
  <c r="E3334" i="6"/>
  <c r="E3333" i="6"/>
  <c r="E3332" i="6"/>
  <c r="E3323" i="6"/>
  <c r="E3322" i="6"/>
  <c r="E3321" i="6"/>
  <c r="E3320" i="6"/>
  <c r="E3313" i="6"/>
  <c r="E3312" i="6"/>
  <c r="E3311" i="6"/>
  <c r="E3310" i="6"/>
  <c r="K3310" i="6" s="1"/>
  <c r="E3304" i="6"/>
  <c r="K3304" i="6" s="1"/>
  <c r="E3297" i="6"/>
  <c r="K3297" i="6" s="1"/>
  <c r="E3292" i="6"/>
  <c r="E3287" i="6"/>
  <c r="K3287" i="6" s="1"/>
  <c r="E3286" i="6"/>
  <c r="K3286" i="6" s="1"/>
  <c r="E3281" i="6"/>
  <c r="E3276" i="6"/>
  <c r="E3271" i="6"/>
  <c r="K3271" i="6" s="1"/>
  <c r="E3270" i="6"/>
  <c r="E3269" i="6"/>
  <c r="E3263" i="6"/>
  <c r="E3262" i="6"/>
  <c r="K3262" i="6" s="1"/>
  <c r="E3256" i="6"/>
  <c r="E3249" i="6"/>
  <c r="E3243" i="6"/>
  <c r="K3243" i="6" s="1"/>
  <c r="E3242" i="6"/>
  <c r="E3241" i="6"/>
  <c r="K3241" i="6" s="1"/>
  <c r="E3236" i="6"/>
  <c r="E3231" i="6"/>
  <c r="K3231" i="6" s="1"/>
  <c r="E3230" i="6"/>
  <c r="K3230" i="6" s="1"/>
  <c r="E3229" i="6"/>
  <c r="E3224" i="6"/>
  <c r="E3217" i="6"/>
  <c r="E3211" i="6"/>
  <c r="K3211" i="6" s="1"/>
  <c r="E3210" i="6"/>
  <c r="K3208" i="6"/>
  <c r="E3204" i="6"/>
  <c r="E3196" i="6"/>
  <c r="E3191" i="6"/>
  <c r="E3190" i="6"/>
  <c r="E3189" i="6"/>
  <c r="K3189" i="6" s="1"/>
  <c r="E3184" i="6"/>
  <c r="E3176" i="6"/>
  <c r="E3169" i="6"/>
  <c r="E3168" i="6"/>
  <c r="E3159" i="6"/>
  <c r="E3158" i="6"/>
  <c r="K3158" i="6" s="1"/>
  <c r="E3151" i="6"/>
  <c r="K3151" i="6" s="1"/>
  <c r="E3150" i="6"/>
  <c r="E3149" i="6"/>
  <c r="K3149" i="6" s="1"/>
  <c r="E3135" i="6"/>
  <c r="E3134" i="6"/>
  <c r="E3133" i="6"/>
  <c r="E3132" i="6"/>
  <c r="K3132" i="6" s="1"/>
  <c r="E3119" i="6"/>
  <c r="K3119" i="6" s="1"/>
  <c r="E3118" i="6"/>
  <c r="E3117" i="6"/>
  <c r="E3111" i="6"/>
  <c r="E3110" i="6"/>
  <c r="E3109" i="6"/>
  <c r="E3103" i="6"/>
  <c r="E3102" i="6"/>
  <c r="E3101" i="6"/>
  <c r="E3095" i="6"/>
  <c r="K3095" i="6" s="1"/>
  <c r="E3094" i="6"/>
  <c r="E3093" i="6"/>
  <c r="E3061" i="6"/>
  <c r="E3060" i="6"/>
  <c r="E3029" i="6"/>
  <c r="E3028" i="6"/>
  <c r="E3017" i="6"/>
  <c r="E3016" i="6"/>
  <c r="E3015" i="6"/>
  <c r="E3014" i="6"/>
  <c r="E3091" i="6"/>
  <c r="E3090" i="6"/>
  <c r="E3089" i="6"/>
  <c r="E3088" i="6"/>
  <c r="E3087" i="6"/>
  <c r="E3086" i="6"/>
  <c r="E3085" i="6"/>
  <c r="E3084" i="6"/>
  <c r="E3059" i="6"/>
  <c r="E3058" i="6"/>
  <c r="E3049" i="6"/>
  <c r="E3048" i="6"/>
  <c r="E3037" i="6"/>
  <c r="E3036" i="6"/>
  <c r="E3035" i="6"/>
  <c r="E3034" i="6"/>
  <c r="E3025" i="6"/>
  <c r="E3024" i="6"/>
  <c r="E3013" i="6"/>
  <c r="E3012" i="6"/>
  <c r="E3011" i="6"/>
  <c r="E3010" i="6"/>
  <c r="K244" i="6"/>
  <c r="M244" i="6" s="1"/>
  <c r="K180" i="6"/>
  <c r="M180" i="6" s="1"/>
  <c r="K148" i="6"/>
  <c r="M148" i="6" s="1"/>
  <c r="E258" i="6"/>
  <c r="L258" i="6" s="1"/>
  <c r="N258" i="6" s="1"/>
  <c r="E254" i="6"/>
  <c r="L254" i="6" s="1"/>
  <c r="N254" i="6" s="1"/>
  <c r="E250" i="6"/>
  <c r="L250" i="6" s="1"/>
  <c r="N250" i="6" s="1"/>
  <c r="E246" i="6"/>
  <c r="L246" i="6" s="1"/>
  <c r="N246" i="6" s="1"/>
  <c r="E242" i="6"/>
  <c r="L242" i="6" s="1"/>
  <c r="N242" i="6" s="1"/>
  <c r="E238" i="6"/>
  <c r="L238" i="6" s="1"/>
  <c r="N238" i="6" s="1"/>
  <c r="E234" i="6"/>
  <c r="L234" i="6" s="1"/>
  <c r="N234" i="6" s="1"/>
  <c r="E230" i="6"/>
  <c r="L230" i="6" s="1"/>
  <c r="N230" i="6" s="1"/>
  <c r="E226" i="6"/>
  <c r="L226" i="6" s="1"/>
  <c r="N226" i="6" s="1"/>
  <c r="E222" i="6"/>
  <c r="E218" i="6"/>
  <c r="L218" i="6" s="1"/>
  <c r="N218" i="6" s="1"/>
  <c r="E214" i="6"/>
  <c r="L214" i="6" s="1"/>
  <c r="N214" i="6" s="1"/>
  <c r="E210" i="6"/>
  <c r="L210" i="6" s="1"/>
  <c r="N210" i="6" s="1"/>
  <c r="E206" i="6"/>
  <c r="E202" i="6"/>
  <c r="L202" i="6" s="1"/>
  <c r="E198" i="6"/>
  <c r="L198" i="6" s="1"/>
  <c r="E194" i="6"/>
  <c r="L194" i="6" s="1"/>
  <c r="E190" i="6"/>
  <c r="L190" i="6" s="1"/>
  <c r="E186" i="6"/>
  <c r="L186" i="6" s="1"/>
  <c r="E182" i="6"/>
  <c r="L182" i="6" s="1"/>
  <c r="E178" i="6"/>
  <c r="L178" i="6" s="1"/>
  <c r="E174" i="6"/>
  <c r="L174" i="6" s="1"/>
  <c r="E170" i="6"/>
  <c r="L170" i="6" s="1"/>
  <c r="E166" i="6"/>
  <c r="L166" i="6" s="1"/>
  <c r="E162" i="6"/>
  <c r="L162" i="6" s="1"/>
  <c r="E158" i="6"/>
  <c r="E154" i="6"/>
  <c r="L154" i="6" s="1"/>
  <c r="E150" i="6"/>
  <c r="L150" i="6" s="1"/>
  <c r="E146" i="6"/>
  <c r="L146" i="6" s="1"/>
  <c r="E142" i="6"/>
  <c r="E138" i="6"/>
  <c r="L138" i="6" s="1"/>
  <c r="E134" i="6"/>
  <c r="L134" i="6" s="1"/>
  <c r="E130" i="6"/>
  <c r="L130" i="6" s="1"/>
  <c r="E126" i="6"/>
  <c r="K126" i="6" s="1"/>
  <c r="M126" i="6" s="1"/>
  <c r="E122" i="6"/>
  <c r="L122" i="6" s="1"/>
  <c r="E118" i="6"/>
  <c r="L118" i="6" s="1"/>
  <c r="E114" i="6"/>
  <c r="L114" i="6" s="1"/>
  <c r="E110" i="6"/>
  <c r="L110" i="6" s="1"/>
  <c r="E106" i="6"/>
  <c r="L106" i="6" s="1"/>
  <c r="E102" i="6"/>
  <c r="L102" i="6" s="1"/>
  <c r="E98" i="6"/>
  <c r="L98" i="6" s="1"/>
  <c r="E94" i="6"/>
  <c r="E90" i="6"/>
  <c r="L90" i="6" s="1"/>
  <c r="E86" i="6"/>
  <c r="L86" i="6" s="1"/>
  <c r="E82" i="6"/>
  <c r="L82" i="6" s="1"/>
  <c r="E78" i="6"/>
  <c r="E74" i="6"/>
  <c r="L74" i="6" s="1"/>
  <c r="E70" i="6"/>
  <c r="L70" i="6" s="1"/>
  <c r="N70" i="6" s="1"/>
  <c r="E66" i="6"/>
  <c r="L66" i="6" s="1"/>
  <c r="N66" i="6" s="1"/>
  <c r="E62" i="6"/>
  <c r="E58" i="6"/>
  <c r="L58" i="6" s="1"/>
  <c r="E54" i="6"/>
  <c r="L54" i="6" s="1"/>
  <c r="E50" i="6"/>
  <c r="L50" i="6" s="1"/>
  <c r="N50" i="6" s="1"/>
  <c r="E46" i="6"/>
  <c r="L46" i="6" s="1"/>
  <c r="N46" i="6" s="1"/>
  <c r="E42" i="6"/>
  <c r="L42" i="6" s="1"/>
  <c r="N42" i="6" s="1"/>
  <c r="E38" i="6"/>
  <c r="L38" i="6" s="1"/>
  <c r="N38" i="6" s="1"/>
  <c r="E34" i="6"/>
  <c r="L34" i="6" s="1"/>
  <c r="N34" i="6" s="1"/>
  <c r="E30" i="6"/>
  <c r="K30" i="6" s="1"/>
  <c r="M30" i="6" s="1"/>
  <c r="E26" i="6"/>
  <c r="L26" i="6" s="1"/>
  <c r="N26" i="6" s="1"/>
  <c r="E22" i="6"/>
  <c r="L22" i="6" s="1"/>
  <c r="N22" i="6" s="1"/>
  <c r="E18" i="6"/>
  <c r="K18" i="6" s="1"/>
  <c r="M18" i="6" s="1"/>
  <c r="E14" i="6"/>
  <c r="L14" i="6" s="1"/>
  <c r="E10" i="6"/>
  <c r="L10" i="6" s="1"/>
  <c r="N10" i="6" s="1"/>
  <c r="E257" i="6"/>
  <c r="L257" i="6" s="1"/>
  <c r="N257" i="6" s="1"/>
  <c r="E253" i="6"/>
  <c r="L253" i="6" s="1"/>
  <c r="N253" i="6" s="1"/>
  <c r="E249" i="6"/>
  <c r="E245" i="6"/>
  <c r="E241" i="6"/>
  <c r="L241" i="6" s="1"/>
  <c r="N241" i="6" s="1"/>
  <c r="E237" i="6"/>
  <c r="L237" i="6" s="1"/>
  <c r="N237" i="6" s="1"/>
  <c r="E233" i="6"/>
  <c r="E229" i="6"/>
  <c r="E225" i="6"/>
  <c r="L225" i="6" s="1"/>
  <c r="N225" i="6" s="1"/>
  <c r="E221" i="6"/>
  <c r="L221" i="6" s="1"/>
  <c r="N221" i="6" s="1"/>
  <c r="E217" i="6"/>
  <c r="E213" i="6"/>
  <c r="L213" i="6" s="1"/>
  <c r="N213" i="6" s="1"/>
  <c r="E209" i="6"/>
  <c r="L209" i="6" s="1"/>
  <c r="N209" i="6" s="1"/>
  <c r="E205" i="6"/>
  <c r="L205" i="6" s="1"/>
  <c r="E201" i="6"/>
  <c r="L201" i="6" s="1"/>
  <c r="E197" i="6"/>
  <c r="L197" i="6" s="1"/>
  <c r="E193" i="6"/>
  <c r="L193" i="6" s="1"/>
  <c r="E189" i="6"/>
  <c r="L189" i="6" s="1"/>
  <c r="N189" i="6" s="1"/>
  <c r="E185" i="6"/>
  <c r="L185" i="6" s="1"/>
  <c r="E181" i="6"/>
  <c r="L181" i="6" s="1"/>
  <c r="E177" i="6"/>
  <c r="L177" i="6" s="1"/>
  <c r="N177" i="6" s="1"/>
  <c r="E173" i="6"/>
  <c r="L173" i="6" s="1"/>
  <c r="N173" i="6" s="1"/>
  <c r="E169" i="6"/>
  <c r="L169" i="6" s="1"/>
  <c r="E165" i="6"/>
  <c r="L165" i="6" s="1"/>
  <c r="E161" i="6"/>
  <c r="L161" i="6" s="1"/>
  <c r="N161" i="6" s="1"/>
  <c r="E157" i="6"/>
  <c r="L157" i="6" s="1"/>
  <c r="N157" i="6" s="1"/>
  <c r="E153" i="6"/>
  <c r="L153" i="6" s="1"/>
  <c r="E149" i="6"/>
  <c r="L149" i="6" s="1"/>
  <c r="E145" i="6"/>
  <c r="L145" i="6" s="1"/>
  <c r="N145" i="6" s="1"/>
  <c r="E141" i="6"/>
  <c r="L141" i="6" s="1"/>
  <c r="N141" i="6" s="1"/>
  <c r="E137" i="6"/>
  <c r="L137" i="6" s="1"/>
  <c r="E133" i="6"/>
  <c r="L133" i="6" s="1"/>
  <c r="E129" i="6"/>
  <c r="L129" i="6" s="1"/>
  <c r="N129" i="6" s="1"/>
  <c r="E125" i="6"/>
  <c r="L125" i="6" s="1"/>
  <c r="N125" i="6" s="1"/>
  <c r="E121" i="6"/>
  <c r="L121" i="6" s="1"/>
  <c r="E117" i="6"/>
  <c r="L117" i="6" s="1"/>
  <c r="E113" i="6"/>
  <c r="L113" i="6" s="1"/>
  <c r="N113" i="6" s="1"/>
  <c r="E109" i="6"/>
  <c r="L109" i="6" s="1"/>
  <c r="N109" i="6" s="1"/>
  <c r="E105" i="6"/>
  <c r="L105" i="6" s="1"/>
  <c r="E101" i="6"/>
  <c r="L101" i="6" s="1"/>
  <c r="E97" i="6"/>
  <c r="L97" i="6" s="1"/>
  <c r="N97" i="6" s="1"/>
  <c r="E93" i="6"/>
  <c r="L93" i="6" s="1"/>
  <c r="N93" i="6" s="1"/>
  <c r="E89" i="6"/>
  <c r="L89" i="6" s="1"/>
  <c r="E85" i="6"/>
  <c r="L85" i="6" s="1"/>
  <c r="N85" i="6" s="1"/>
  <c r="E81" i="6"/>
  <c r="L81" i="6" s="1"/>
  <c r="N81" i="6" s="1"/>
  <c r="E77" i="6"/>
  <c r="K77" i="6" s="1"/>
  <c r="M77" i="6" s="1"/>
  <c r="E73" i="6"/>
  <c r="L73" i="6" s="1"/>
  <c r="E69" i="6"/>
  <c r="L69" i="6" s="1"/>
  <c r="N69" i="6" s="1"/>
  <c r="E65" i="6"/>
  <c r="L65" i="6" s="1"/>
  <c r="N65" i="6" s="1"/>
  <c r="E61" i="6"/>
  <c r="L61" i="6" s="1"/>
  <c r="N61" i="6" s="1"/>
  <c r="E57" i="6"/>
  <c r="L57" i="6" s="1"/>
  <c r="E53" i="6"/>
  <c r="K53" i="6" s="1"/>
  <c r="M53" i="6" s="1"/>
  <c r="E49" i="6"/>
  <c r="L49" i="6" s="1"/>
  <c r="E45" i="6"/>
  <c r="L45" i="6" s="1"/>
  <c r="E41" i="6"/>
  <c r="L41" i="6" s="1"/>
  <c r="E37" i="6"/>
  <c r="L37" i="6" s="1"/>
  <c r="N37" i="6" s="1"/>
  <c r="E33" i="6"/>
  <c r="L33" i="6" s="1"/>
  <c r="E29" i="6"/>
  <c r="L29" i="6" s="1"/>
  <c r="E25" i="6"/>
  <c r="L25" i="6" s="1"/>
  <c r="E21" i="6"/>
  <c r="L21" i="6" s="1"/>
  <c r="E17" i="6"/>
  <c r="L17" i="6" s="1"/>
  <c r="E13" i="6"/>
  <c r="L13" i="6" s="1"/>
  <c r="E9" i="6"/>
  <c r="L9" i="6" s="1"/>
  <c r="N149" i="6"/>
  <c r="K15" i="6"/>
  <c r="M15" i="6" s="1"/>
  <c r="K762" i="6"/>
  <c r="K43" i="6"/>
  <c r="M43" i="6" s="1"/>
  <c r="K39" i="6"/>
  <c r="M39" i="6" s="1"/>
  <c r="K35" i="6"/>
  <c r="M35" i="6" s="1"/>
  <c r="K31" i="6"/>
  <c r="M31" i="6" s="1"/>
  <c r="K27" i="6"/>
  <c r="M27" i="6" s="1"/>
  <c r="K23" i="6"/>
  <c r="M23" i="6" s="1"/>
  <c r="K19" i="6"/>
  <c r="M19" i="6" s="1"/>
  <c r="N90" i="6"/>
  <c r="N122" i="6"/>
  <c r="K686" i="6"/>
  <c r="K4119" i="6"/>
  <c r="K1623" i="6"/>
  <c r="K1619" i="6"/>
  <c r="K1615" i="6"/>
  <c r="K1611" i="6"/>
  <c r="K1607" i="6"/>
  <c r="K1603" i="6"/>
  <c r="K1599" i="6"/>
  <c r="K1595" i="6"/>
  <c r="K1591" i="6"/>
  <c r="K1587" i="6"/>
  <c r="K1583" i="6"/>
  <c r="K1579" i="6"/>
  <c r="K1575" i="6"/>
  <c r="K1571" i="6"/>
  <c r="K1567" i="6"/>
  <c r="K1563" i="6"/>
  <c r="K1559" i="6"/>
  <c r="K1555" i="6"/>
  <c r="K1551" i="6"/>
  <c r="K1547" i="6"/>
  <c r="K1543" i="6"/>
  <c r="K1539" i="6"/>
  <c r="K1535" i="6"/>
  <c r="K1531" i="6"/>
  <c r="K1527" i="6"/>
  <c r="K1523" i="6"/>
  <c r="K1519" i="6"/>
  <c r="K1515" i="6"/>
  <c r="K1511" i="6"/>
  <c r="K1507" i="6"/>
  <c r="K1503" i="6"/>
  <c r="K1499" i="6"/>
  <c r="K1495" i="6"/>
  <c r="K1491" i="6"/>
  <c r="K1487" i="6"/>
  <c r="K1479" i="6"/>
  <c r="K1475" i="6"/>
  <c r="K1471" i="6"/>
  <c r="K638" i="6"/>
  <c r="K622" i="6"/>
  <c r="K618" i="6"/>
  <c r="K582" i="6"/>
  <c r="K562" i="6"/>
  <c r="K458" i="6"/>
  <c r="K422" i="6"/>
  <c r="K1463" i="6"/>
  <c r="K1459" i="6"/>
  <c r="K1455" i="6"/>
  <c r="K1451" i="6"/>
  <c r="K1447" i="6"/>
  <c r="K1443" i="6"/>
  <c r="K1439" i="6"/>
  <c r="K1435" i="6"/>
  <c r="K1431" i="6"/>
  <c r="K1427" i="6"/>
  <c r="K1423" i="6"/>
  <c r="K1415" i="6"/>
  <c r="K1411" i="6"/>
  <c r="K1407" i="6"/>
  <c r="K1399" i="6"/>
  <c r="K1395" i="6"/>
  <c r="K1391" i="6"/>
  <c r="K1387" i="6"/>
  <c r="K1383" i="6"/>
  <c r="K1379" i="6"/>
  <c r="K1375" i="6"/>
  <c r="K1371" i="6"/>
  <c r="K1367" i="6"/>
  <c r="K1363" i="6"/>
  <c r="K1359" i="6"/>
  <c r="K1351" i="6"/>
  <c r="K1347" i="6"/>
  <c r="K1343" i="6"/>
  <c r="K1335" i="6"/>
  <c r="K1331" i="6"/>
  <c r="K1327" i="6"/>
  <c r="K1323" i="6"/>
  <c r="K1319" i="6"/>
  <c r="K1315" i="6"/>
  <c r="K1311" i="6"/>
  <c r="K1307" i="6"/>
  <c r="K1303" i="6"/>
  <c r="K1299" i="6"/>
  <c r="K1295" i="6"/>
  <c r="K1287" i="6"/>
  <c r="K1283" i="6"/>
  <c r="K1279" i="6"/>
  <c r="K1275" i="6"/>
  <c r="K1271" i="6"/>
  <c r="K1267" i="6"/>
  <c r="K1263" i="6"/>
  <c r="K1259" i="6"/>
  <c r="K1255" i="6"/>
  <c r="K1251" i="6"/>
  <c r="K1247" i="6"/>
  <c r="K1243" i="6"/>
  <c r="K1239" i="6"/>
  <c r="K1235" i="6"/>
  <c r="K1231" i="6"/>
  <c r="K1227" i="6"/>
  <c r="K1223" i="6"/>
  <c r="K1219" i="6"/>
  <c r="K1215" i="6"/>
  <c r="K1211" i="6"/>
  <c r="K1207" i="6"/>
  <c r="K1203" i="6"/>
  <c r="K1199" i="6"/>
  <c r="K1195" i="6"/>
  <c r="K1191" i="6"/>
  <c r="K1187" i="6"/>
  <c r="K1183" i="6"/>
  <c r="K1179" i="6"/>
  <c r="K1175" i="6"/>
  <c r="K1171" i="6"/>
  <c r="K1167" i="6"/>
  <c r="K1163" i="6"/>
  <c r="K1159" i="6"/>
  <c r="K1155" i="6"/>
  <c r="K1151" i="6"/>
  <c r="K1147" i="6"/>
  <c r="K1143" i="6"/>
  <c r="K1139" i="6"/>
  <c r="K1135" i="6"/>
  <c r="K1131" i="6"/>
  <c r="K1127" i="6"/>
  <c r="K1123" i="6"/>
  <c r="K1119" i="6"/>
  <c r="K1115" i="6"/>
  <c r="K1111" i="6"/>
  <c r="K1107" i="6"/>
  <c r="K3235" i="6"/>
  <c r="K3275" i="6"/>
  <c r="L20" i="6"/>
  <c r="N20" i="6" s="1"/>
  <c r="K3167" i="6"/>
  <c r="K1103" i="6"/>
  <c r="K1099" i="6"/>
  <c r="K1095" i="6"/>
  <c r="K1091" i="6"/>
  <c r="K1087" i="6"/>
  <c r="K1083" i="6"/>
  <c r="K1079" i="6"/>
  <c r="K1075" i="6"/>
  <c r="K1071" i="6"/>
  <c r="K1067" i="6"/>
  <c r="K1063" i="6"/>
  <c r="K1059" i="6"/>
  <c r="K1055" i="6"/>
  <c r="K1051" i="6"/>
  <c r="K1047" i="6"/>
  <c r="K1043" i="6"/>
  <c r="K1039" i="6"/>
  <c r="K1035" i="6"/>
  <c r="K1031" i="6"/>
  <c r="K1027" i="6"/>
  <c r="K1023" i="6"/>
  <c r="K1019" i="6"/>
  <c r="K1015" i="6"/>
  <c r="K1011" i="6"/>
  <c r="K1007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431" i="6"/>
  <c r="K427" i="6"/>
  <c r="K423" i="6"/>
  <c r="K419" i="6"/>
  <c r="K415" i="6"/>
  <c r="K411" i="6"/>
  <c r="K407" i="6"/>
  <c r="K403" i="6"/>
  <c r="K399" i="6"/>
  <c r="M399" i="6" s="1"/>
  <c r="K395" i="6"/>
  <c r="M395" i="6" s="1"/>
  <c r="K391" i="6"/>
  <c r="M391" i="6" s="1"/>
  <c r="K387" i="6"/>
  <c r="M387" i="6" s="1"/>
  <c r="K383" i="6"/>
  <c r="M383" i="6" s="1"/>
  <c r="K379" i="6"/>
  <c r="M379" i="6" s="1"/>
  <c r="K375" i="6"/>
  <c r="M375" i="6" s="1"/>
  <c r="K371" i="6"/>
  <c r="M371" i="6" s="1"/>
  <c r="K367" i="6"/>
  <c r="M367" i="6" s="1"/>
  <c r="K363" i="6"/>
  <c r="M363" i="6" s="1"/>
  <c r="K359" i="6"/>
  <c r="M359" i="6" s="1"/>
  <c r="K355" i="6"/>
  <c r="M355" i="6" s="1"/>
  <c r="K351" i="6"/>
  <c r="M351" i="6" s="1"/>
  <c r="K347" i="6"/>
  <c r="M347" i="6" s="1"/>
  <c r="K343" i="6"/>
  <c r="M343" i="6" s="1"/>
  <c r="K339" i="6"/>
  <c r="M339" i="6" s="1"/>
  <c r="K335" i="6"/>
  <c r="M335" i="6" s="1"/>
  <c r="K331" i="6"/>
  <c r="M331" i="6" s="1"/>
  <c r="K327" i="6"/>
  <c r="M327" i="6" s="1"/>
  <c r="K323" i="6"/>
  <c r="M323" i="6" s="1"/>
  <c r="K319" i="6"/>
  <c r="M319" i="6" s="1"/>
  <c r="K315" i="6"/>
  <c r="M315" i="6" s="1"/>
  <c r="K311" i="6"/>
  <c r="M311" i="6" s="1"/>
  <c r="K307" i="6"/>
  <c r="M307" i="6" s="1"/>
  <c r="K303" i="6"/>
  <c r="M303" i="6" s="1"/>
  <c r="K299" i="6"/>
  <c r="M299" i="6" s="1"/>
  <c r="K295" i="6"/>
  <c r="M295" i="6" s="1"/>
  <c r="K291" i="6"/>
  <c r="M291" i="6" s="1"/>
  <c r="K287" i="6"/>
  <c r="M287" i="6" s="1"/>
  <c r="K283" i="6"/>
  <c r="M283" i="6" s="1"/>
  <c r="K279" i="6"/>
  <c r="M279" i="6" s="1"/>
  <c r="K275" i="6"/>
  <c r="M275" i="6" s="1"/>
  <c r="K271" i="6"/>
  <c r="M271" i="6" s="1"/>
  <c r="K267" i="6"/>
  <c r="M267" i="6" s="1"/>
  <c r="K263" i="6"/>
  <c r="M263" i="6" s="1"/>
  <c r="K259" i="6"/>
  <c r="M259" i="6" s="1"/>
  <c r="K255" i="6"/>
  <c r="M255" i="6" s="1"/>
  <c r="K251" i="6"/>
  <c r="M251" i="6" s="1"/>
  <c r="K247" i="6"/>
  <c r="M247" i="6" s="1"/>
  <c r="K243" i="6"/>
  <c r="M243" i="6" s="1"/>
  <c r="K239" i="6"/>
  <c r="M239" i="6" s="1"/>
  <c r="K235" i="6"/>
  <c r="M235" i="6" s="1"/>
  <c r="K231" i="6"/>
  <c r="M231" i="6" s="1"/>
  <c r="K227" i="6"/>
  <c r="M227" i="6" s="1"/>
  <c r="K223" i="6"/>
  <c r="M223" i="6" s="1"/>
  <c r="K219" i="6"/>
  <c r="M219" i="6" s="1"/>
  <c r="K215" i="6"/>
  <c r="M215" i="6" s="1"/>
  <c r="K211" i="6"/>
  <c r="M211" i="6" s="1"/>
  <c r="K207" i="6"/>
  <c r="M207" i="6" s="1"/>
  <c r="K203" i="6"/>
  <c r="M203" i="6" s="1"/>
  <c r="K199" i="6"/>
  <c r="M199" i="6" s="1"/>
  <c r="K195" i="6"/>
  <c r="M195" i="6" s="1"/>
  <c r="K191" i="6"/>
  <c r="M191" i="6" s="1"/>
  <c r="K187" i="6"/>
  <c r="M187" i="6" s="1"/>
  <c r="K183" i="6"/>
  <c r="M183" i="6" s="1"/>
  <c r="K179" i="6"/>
  <c r="M179" i="6" s="1"/>
  <c r="K175" i="6"/>
  <c r="M175" i="6" s="1"/>
  <c r="K171" i="6"/>
  <c r="M171" i="6" s="1"/>
  <c r="K167" i="6"/>
  <c r="M167" i="6" s="1"/>
  <c r="K163" i="6"/>
  <c r="M163" i="6" s="1"/>
  <c r="K155" i="6"/>
  <c r="M155" i="6" s="1"/>
  <c r="K151" i="6"/>
  <c r="M151" i="6" s="1"/>
  <c r="K147" i="6"/>
  <c r="M147" i="6" s="1"/>
  <c r="K143" i="6"/>
  <c r="M143" i="6" s="1"/>
  <c r="K139" i="6"/>
  <c r="M139" i="6" s="1"/>
  <c r="K135" i="6"/>
  <c r="M135" i="6" s="1"/>
  <c r="K131" i="6"/>
  <c r="M131" i="6" s="1"/>
  <c r="K127" i="6"/>
  <c r="M127" i="6" s="1"/>
  <c r="K123" i="6"/>
  <c r="M123" i="6" s="1"/>
  <c r="K119" i="6"/>
  <c r="M119" i="6" s="1"/>
  <c r="K115" i="6"/>
  <c r="M115" i="6" s="1"/>
  <c r="K111" i="6"/>
  <c r="M111" i="6" s="1"/>
  <c r="K107" i="6"/>
  <c r="M107" i="6" s="1"/>
  <c r="K103" i="6"/>
  <c r="M103" i="6" s="1"/>
  <c r="K99" i="6"/>
  <c r="M99" i="6" s="1"/>
  <c r="K95" i="6"/>
  <c r="M95" i="6" s="1"/>
  <c r="K91" i="6"/>
  <c r="M91" i="6" s="1"/>
  <c r="K87" i="6"/>
  <c r="M87" i="6" s="1"/>
  <c r="K83" i="6"/>
  <c r="M83" i="6" s="1"/>
  <c r="K79" i="6"/>
  <c r="M79" i="6" s="1"/>
  <c r="K75" i="6"/>
  <c r="M75" i="6" s="1"/>
  <c r="K68" i="6"/>
  <c r="M68" i="6" s="1"/>
  <c r="K11" i="6"/>
  <c r="M11" i="6" s="1"/>
  <c r="K326" i="6"/>
  <c r="M326" i="6" s="1"/>
  <c r="K310" i="6"/>
  <c r="M310" i="6" s="1"/>
  <c r="K262" i="6"/>
  <c r="M262" i="6" s="1"/>
  <c r="K250" i="6"/>
  <c r="M250" i="6" s="1"/>
  <c r="K246" i="6"/>
  <c r="M246" i="6" s="1"/>
  <c r="K234" i="6"/>
  <c r="M234" i="6" s="1"/>
  <c r="K198" i="6"/>
  <c r="M198" i="6" s="1"/>
  <c r="K166" i="6"/>
  <c r="M166" i="6" s="1"/>
  <c r="K150" i="6"/>
  <c r="M150" i="6" s="1"/>
  <c r="K138" i="6"/>
  <c r="M138" i="6" s="1"/>
  <c r="K118" i="6"/>
  <c r="M118" i="6" s="1"/>
  <c r="K3883" i="6"/>
  <c r="N199" i="6"/>
  <c r="N195" i="6"/>
  <c r="N191" i="6"/>
  <c r="N187" i="6"/>
  <c r="N183" i="6"/>
  <c r="N179" i="6"/>
  <c r="N175" i="6"/>
  <c r="N171" i="6"/>
  <c r="N167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19" i="6"/>
  <c r="N59" i="6"/>
  <c r="N55" i="6"/>
  <c r="N23" i="6"/>
  <c r="N165" i="6"/>
  <c r="N51" i="6"/>
  <c r="N47" i="6"/>
  <c r="N43" i="6"/>
  <c r="N39" i="6"/>
  <c r="N35" i="6"/>
  <c r="N31" i="6"/>
  <c r="N27" i="6"/>
  <c r="K89" i="6"/>
  <c r="M89" i="6" s="1"/>
  <c r="K3611" i="6"/>
  <c r="K3263" i="6"/>
  <c r="K3511" i="6"/>
  <c r="K3455" i="6"/>
  <c r="K3403" i="6"/>
  <c r="K3379" i="6"/>
  <c r="K42" i="6"/>
  <c r="M42" i="6" s="1"/>
  <c r="K3659" i="6"/>
  <c r="K26" i="6"/>
  <c r="M26" i="6" s="1"/>
  <c r="K22" i="6"/>
  <c r="M22" i="6" s="1"/>
  <c r="K10" i="6"/>
  <c r="M10" i="6" s="1"/>
  <c r="K71" i="6"/>
  <c r="M71" i="6" s="1"/>
  <c r="K67" i="6"/>
  <c r="M67" i="6" s="1"/>
  <c r="K63" i="6"/>
  <c r="M63" i="6" s="1"/>
  <c r="E10" i="8"/>
  <c r="G5" i="8" s="1"/>
  <c r="L53" i="6" l="1"/>
  <c r="N53" i="6" s="1"/>
  <c r="K88" i="6"/>
  <c r="M88" i="6" s="1"/>
  <c r="N137" i="6"/>
  <c r="K136" i="6"/>
  <c r="M136" i="6" s="1"/>
  <c r="K8" i="6"/>
  <c r="M8" i="6" s="1"/>
  <c r="K248" i="6"/>
  <c r="M248" i="6" s="1"/>
  <c r="K274" i="6"/>
  <c r="M274" i="6" s="1"/>
  <c r="K386" i="6"/>
  <c r="M386" i="6" s="1"/>
  <c r="K57" i="6"/>
  <c r="M57" i="6" s="1"/>
  <c r="N57" i="6"/>
  <c r="K160" i="6"/>
  <c r="M160" i="6" s="1"/>
  <c r="N102" i="6"/>
  <c r="K25" i="6"/>
  <c r="M25" i="6" s="1"/>
  <c r="K84" i="6"/>
  <c r="M84" i="6" s="1"/>
  <c r="K202" i="6"/>
  <c r="M202" i="6" s="1"/>
  <c r="K338" i="6"/>
  <c r="M338" i="6" s="1"/>
  <c r="K354" i="6"/>
  <c r="M354" i="6" s="1"/>
  <c r="N186" i="6"/>
  <c r="K52" i="6"/>
  <c r="M52" i="6" s="1"/>
  <c r="N185" i="6"/>
  <c r="K116" i="6"/>
  <c r="M116" i="6" s="1"/>
  <c r="K196" i="6"/>
  <c r="M196" i="6" s="1"/>
  <c r="N346" i="6"/>
  <c r="K266" i="6"/>
  <c r="M266" i="6" s="1"/>
  <c r="K346" i="6"/>
  <c r="M346" i="6" s="1"/>
  <c r="K362" i="6"/>
  <c r="M362" i="6" s="1"/>
  <c r="L36" i="6"/>
  <c r="N36" i="6" s="1"/>
  <c r="K132" i="6"/>
  <c r="M132" i="6" s="1"/>
  <c r="K164" i="6"/>
  <c r="M164" i="6" s="1"/>
  <c r="K212" i="6"/>
  <c r="M212" i="6" s="1"/>
  <c r="L100" i="6"/>
  <c r="N100" i="6" s="1"/>
  <c r="K170" i="6"/>
  <c r="M170" i="6" s="1"/>
  <c r="N121" i="6"/>
  <c r="N74" i="6"/>
  <c r="K228" i="6"/>
  <c r="M228" i="6" s="1"/>
  <c r="N198" i="6"/>
  <c r="K69" i="6"/>
  <c r="M69" i="6" s="1"/>
  <c r="N150" i="6"/>
  <c r="N41" i="6"/>
  <c r="K21" i="6"/>
  <c r="M21" i="6" s="1"/>
  <c r="K64" i="6"/>
  <c r="M64" i="6" s="1"/>
  <c r="K134" i="6"/>
  <c r="M134" i="6" s="1"/>
  <c r="K230" i="6"/>
  <c r="M230" i="6" s="1"/>
  <c r="N134" i="6"/>
  <c r="K86" i="6"/>
  <c r="M86" i="6" s="1"/>
  <c r="N117" i="6"/>
  <c r="K208" i="6"/>
  <c r="M208" i="6" s="1"/>
  <c r="K6893" i="6"/>
  <c r="N6720" i="6"/>
  <c r="K6720" i="6"/>
  <c r="K6884" i="6"/>
  <c r="N5859" i="6"/>
  <c r="L6175" i="6"/>
  <c r="N6364" i="6"/>
  <c r="K6561" i="6"/>
  <c r="L6644" i="6"/>
  <c r="L6649" i="6"/>
  <c r="L6768" i="6"/>
  <c r="N6785" i="6"/>
  <c r="M6861" i="6"/>
  <c r="M6867" i="6"/>
  <c r="L6884" i="6"/>
  <c r="K38" i="6"/>
  <c r="M38" i="6" s="1"/>
  <c r="K85" i="6"/>
  <c r="M85" i="6" s="1"/>
  <c r="K182" i="6"/>
  <c r="M182" i="6" s="1"/>
  <c r="K32" i="6"/>
  <c r="M32" i="6" s="1"/>
  <c r="N54" i="6"/>
  <c r="K370" i="6"/>
  <c r="M370" i="6" s="1"/>
  <c r="N166" i="6"/>
  <c r="N133" i="6"/>
  <c r="N86" i="6"/>
  <c r="K256" i="6"/>
  <c r="M256" i="6" s="1"/>
  <c r="N338" i="6"/>
  <c r="M6263" i="6"/>
  <c r="K6861" i="6"/>
  <c r="K6657" i="6"/>
  <c r="L6256" i="6"/>
  <c r="L6263" i="6"/>
  <c r="M6544" i="6"/>
  <c r="K6644" i="6"/>
  <c r="K6649" i="6"/>
  <c r="L6685" i="6"/>
  <c r="M6785" i="6"/>
  <c r="L6861" i="6"/>
  <c r="L252" i="6"/>
  <c r="N252" i="6" s="1"/>
  <c r="K252" i="6"/>
  <c r="M252" i="6" s="1"/>
  <c r="L5865" i="6"/>
  <c r="M6195" i="6"/>
  <c r="L40" i="6"/>
  <c r="N40" i="6" s="1"/>
  <c r="K40" i="6"/>
  <c r="M40" i="6" s="1"/>
  <c r="L72" i="6"/>
  <c r="N72" i="6" s="1"/>
  <c r="K72" i="6"/>
  <c r="M72" i="6" s="1"/>
  <c r="L120" i="6"/>
  <c r="N120" i="6" s="1"/>
  <c r="K120" i="6"/>
  <c r="M120" i="6" s="1"/>
  <c r="L232" i="6"/>
  <c r="N232" i="6" s="1"/>
  <c r="K232" i="6"/>
  <c r="M232" i="6" s="1"/>
  <c r="L378" i="6"/>
  <c r="N378" i="6" s="1"/>
  <c r="L394" i="6"/>
  <c r="K394" i="6"/>
  <c r="M394" i="6" s="1"/>
  <c r="M6789" i="6"/>
  <c r="K5846" i="6"/>
  <c r="N6389" i="6"/>
  <c r="K6741" i="6"/>
  <c r="M6848" i="6"/>
  <c r="L5723" i="6"/>
  <c r="N5723" i="6"/>
  <c r="K6123" i="6"/>
  <c r="N6123" i="6"/>
  <c r="M6123" i="6"/>
  <c r="L6123" i="6"/>
  <c r="L6138" i="6"/>
  <c r="K6138" i="6"/>
  <c r="N6155" i="6"/>
  <c r="K6155" i="6"/>
  <c r="L6155" i="6"/>
  <c r="N6178" i="6"/>
  <c r="L6178" i="6"/>
  <c r="L6204" i="6"/>
  <c r="M6204" i="6"/>
  <c r="N6204" i="6"/>
  <c r="K6204" i="6"/>
  <c r="N6284" i="6"/>
  <c r="M6284" i="6"/>
  <c r="L6284" i="6"/>
  <c r="L6306" i="6"/>
  <c r="M6306" i="6"/>
  <c r="K6306" i="6"/>
  <c r="N6306" i="6"/>
  <c r="K6337" i="6"/>
  <c r="L6337" i="6"/>
  <c r="N6351" i="6"/>
  <c r="M6351" i="6"/>
  <c r="L6351" i="6"/>
  <c r="M6435" i="6"/>
  <c r="L6435" i="6"/>
  <c r="L6476" i="6"/>
  <c r="K6476" i="6"/>
  <c r="K6524" i="6"/>
  <c r="M6524" i="6"/>
  <c r="L6524" i="6"/>
  <c r="N6524" i="6"/>
  <c r="L6624" i="6"/>
  <c r="K6624" i="6"/>
  <c r="K6671" i="6"/>
  <c r="N6671" i="6"/>
  <c r="L6671" i="6"/>
  <c r="K6724" i="6"/>
  <c r="L6724" i="6"/>
  <c r="N6724" i="6"/>
  <c r="M6724" i="6"/>
  <c r="L6748" i="6"/>
  <c r="N6748" i="6"/>
  <c r="L6756" i="6"/>
  <c r="N6756" i="6"/>
  <c r="M6756" i="6"/>
  <c r="M6765" i="6"/>
  <c r="N6765" i="6"/>
  <c r="K6765" i="6"/>
  <c r="M6807" i="6"/>
  <c r="N6807" i="6"/>
  <c r="K6873" i="6"/>
  <c r="L6873" i="6"/>
  <c r="N6889" i="6"/>
  <c r="M6889" i="6"/>
  <c r="K90" i="6"/>
  <c r="M90" i="6" s="1"/>
  <c r="N58" i="6"/>
  <c r="N73" i="6"/>
  <c r="N201" i="6"/>
  <c r="K6172" i="6"/>
  <c r="K6247" i="6"/>
  <c r="M6331" i="6"/>
  <c r="N6485" i="6"/>
  <c r="M6607" i="6"/>
  <c r="M6736" i="6"/>
  <c r="N6118" i="6"/>
  <c r="N6180" i="6"/>
  <c r="N6339" i="6"/>
  <c r="L6776" i="6"/>
  <c r="K6816" i="6"/>
  <c r="M1478" i="6"/>
  <c r="L1478" i="6"/>
  <c r="N1478" i="6"/>
  <c r="M1494" i="6"/>
  <c r="L1494" i="6"/>
  <c r="N1494" i="6"/>
  <c r="L1510" i="6"/>
  <c r="M1510" i="6"/>
  <c r="N1510" i="6"/>
  <c r="M1526" i="6"/>
  <c r="L1526" i="6"/>
  <c r="N1526" i="6"/>
  <c r="L1542" i="6"/>
  <c r="N1542" i="6"/>
  <c r="M1542" i="6"/>
  <c r="K1542" i="6"/>
  <c r="M1558" i="6"/>
  <c r="L1558" i="6"/>
  <c r="N1558" i="6"/>
  <c r="K1558" i="6"/>
  <c r="L1574" i="6"/>
  <c r="N1574" i="6"/>
  <c r="M1574" i="6"/>
  <c r="K1574" i="6"/>
  <c r="L1590" i="6"/>
  <c r="N1590" i="6"/>
  <c r="M1590" i="6"/>
  <c r="L1606" i="6"/>
  <c r="N1606" i="6"/>
  <c r="M1606" i="6"/>
  <c r="K1606" i="6"/>
  <c r="M1622" i="6"/>
  <c r="L1622" i="6"/>
  <c r="N1622" i="6"/>
  <c r="K1622" i="6"/>
  <c r="L1638" i="6"/>
  <c r="N1638" i="6"/>
  <c r="M1638" i="6"/>
  <c r="K1638" i="6"/>
  <c r="L1654" i="6"/>
  <c r="N1654" i="6"/>
  <c r="M1654" i="6"/>
  <c r="L1670" i="6"/>
  <c r="N1670" i="6"/>
  <c r="M1670" i="6"/>
  <c r="K1670" i="6"/>
  <c r="L1686" i="6"/>
  <c r="N1686" i="6"/>
  <c r="M1686" i="6"/>
  <c r="K1686" i="6"/>
  <c r="L1702" i="6"/>
  <c r="M1702" i="6"/>
  <c r="N1702" i="6"/>
  <c r="L1718" i="6"/>
  <c r="N1718" i="6"/>
  <c r="M1718" i="6"/>
  <c r="K1718" i="6"/>
  <c r="L1734" i="6"/>
  <c r="M1734" i="6"/>
  <c r="N1734" i="6"/>
  <c r="K1734" i="6"/>
  <c r="M1750" i="6"/>
  <c r="L1750" i="6"/>
  <c r="N1750" i="6"/>
  <c r="K1750" i="6"/>
  <c r="L1766" i="6"/>
  <c r="N1766" i="6"/>
  <c r="M1766" i="6"/>
  <c r="M1782" i="6"/>
  <c r="L1782" i="6"/>
  <c r="N1782" i="6"/>
  <c r="K1782" i="6"/>
  <c r="M1798" i="6"/>
  <c r="L1798" i="6"/>
  <c r="N1798" i="6"/>
  <c r="K1798" i="6"/>
  <c r="L1814" i="6"/>
  <c r="N1814" i="6"/>
  <c r="M1814" i="6"/>
  <c r="K1814" i="6"/>
  <c r="L1830" i="6"/>
  <c r="N1830" i="6"/>
  <c r="M1830" i="6"/>
  <c r="M1846" i="6"/>
  <c r="L1846" i="6"/>
  <c r="N1846" i="6"/>
  <c r="K1846" i="6"/>
  <c r="M1862" i="6"/>
  <c r="L1862" i="6"/>
  <c r="N1862" i="6"/>
  <c r="K1862" i="6"/>
  <c r="M1878" i="6"/>
  <c r="L1878" i="6"/>
  <c r="N1878" i="6"/>
  <c r="K1878" i="6"/>
  <c r="L1894" i="6"/>
  <c r="N1894" i="6"/>
  <c r="M1894" i="6"/>
  <c r="M1910" i="6"/>
  <c r="L1910" i="6"/>
  <c r="N1910" i="6"/>
  <c r="K1910" i="6"/>
  <c r="M1926" i="6"/>
  <c r="L1926" i="6"/>
  <c r="N1926" i="6"/>
  <c r="K1926" i="6"/>
  <c r="K37" i="6"/>
  <c r="M37" i="6" s="1"/>
  <c r="K14" i="6"/>
  <c r="M14" i="6" s="1"/>
  <c r="N197" i="6"/>
  <c r="K102" i="6"/>
  <c r="M102" i="6" s="1"/>
  <c r="K122" i="6"/>
  <c r="M122" i="6" s="1"/>
  <c r="K154" i="6"/>
  <c r="M154" i="6" s="1"/>
  <c r="K186" i="6"/>
  <c r="M186" i="6" s="1"/>
  <c r="K214" i="6"/>
  <c r="M214" i="6" s="1"/>
  <c r="K238" i="6"/>
  <c r="M238" i="6" s="1"/>
  <c r="K70" i="6"/>
  <c r="M70" i="6" s="1"/>
  <c r="N154" i="6"/>
  <c r="N118" i="6"/>
  <c r="K74" i="6"/>
  <c r="M74" i="6" s="1"/>
  <c r="K16" i="6"/>
  <c r="M16" i="6" s="1"/>
  <c r="N182" i="6"/>
  <c r="N21" i="6"/>
  <c r="N89" i="6"/>
  <c r="N153" i="6"/>
  <c r="N101" i="6"/>
  <c r="N181" i="6"/>
  <c r="K184" i="6"/>
  <c r="M184" i="6" s="1"/>
  <c r="K240" i="6"/>
  <c r="M240" i="6" s="1"/>
  <c r="N302" i="6"/>
  <c r="L6551" i="6"/>
  <c r="M6095" i="6"/>
  <c r="N6172" i="6"/>
  <c r="M6425" i="6"/>
  <c r="M6631" i="6"/>
  <c r="L6736" i="6"/>
  <c r="L6832" i="6"/>
  <c r="M1482" i="6"/>
  <c r="N1482" i="6"/>
  <c r="L1482" i="6"/>
  <c r="K1482" i="6"/>
  <c r="N1498" i="6"/>
  <c r="M1498" i="6"/>
  <c r="L1498" i="6"/>
  <c r="K1498" i="6"/>
  <c r="M1514" i="6"/>
  <c r="L1514" i="6"/>
  <c r="N1514" i="6"/>
  <c r="K1514" i="6"/>
  <c r="L1530" i="6"/>
  <c r="M1530" i="6"/>
  <c r="N1530" i="6"/>
  <c r="K1530" i="6"/>
  <c r="K1546" i="6"/>
  <c r="M1546" i="6"/>
  <c r="L1546" i="6"/>
  <c r="N1546" i="6"/>
  <c r="M1562" i="6"/>
  <c r="L1562" i="6"/>
  <c r="N1562" i="6"/>
  <c r="K1562" i="6"/>
  <c r="M1578" i="6"/>
  <c r="L1578" i="6"/>
  <c r="N1578" i="6"/>
  <c r="K1578" i="6"/>
  <c r="K1594" i="6"/>
  <c r="M1594" i="6"/>
  <c r="L1594" i="6"/>
  <c r="N1594" i="6"/>
  <c r="M1610" i="6"/>
  <c r="L1610" i="6"/>
  <c r="N1610" i="6"/>
  <c r="K1626" i="6"/>
  <c r="M1626" i="6"/>
  <c r="L1626" i="6"/>
  <c r="N1626" i="6"/>
  <c r="M1642" i="6"/>
  <c r="L1642" i="6"/>
  <c r="N1642" i="6"/>
  <c r="K1642" i="6"/>
  <c r="K1658" i="6"/>
  <c r="M1658" i="6"/>
  <c r="L1658" i="6"/>
  <c r="N1658" i="6"/>
  <c r="K1674" i="6"/>
  <c r="L1674" i="6"/>
  <c r="M1674" i="6"/>
  <c r="N1674" i="6"/>
  <c r="M1690" i="6"/>
  <c r="L1690" i="6"/>
  <c r="N1690" i="6"/>
  <c r="K1690" i="6"/>
  <c r="M1706" i="6"/>
  <c r="L1706" i="6"/>
  <c r="K1706" i="6"/>
  <c r="N1706" i="6"/>
  <c r="N1722" i="6"/>
  <c r="M1722" i="6"/>
  <c r="L1722" i="6"/>
  <c r="K1738" i="6"/>
  <c r="M1738" i="6"/>
  <c r="L1738" i="6"/>
  <c r="N1738" i="6"/>
  <c r="M1754" i="6"/>
  <c r="L1754" i="6"/>
  <c r="N1754" i="6"/>
  <c r="K1754" i="6"/>
  <c r="K1770" i="6"/>
  <c r="M1770" i="6"/>
  <c r="L1770" i="6"/>
  <c r="N1770" i="6"/>
  <c r="K1786" i="6"/>
  <c r="N1786" i="6"/>
  <c r="L1786" i="6"/>
  <c r="M1786" i="6"/>
  <c r="M1802" i="6"/>
  <c r="L1802" i="6"/>
  <c r="N1802" i="6"/>
  <c r="K1802" i="6"/>
  <c r="M1818" i="6"/>
  <c r="L1818" i="6"/>
  <c r="K1818" i="6"/>
  <c r="N1818" i="6"/>
  <c r="K1834" i="6"/>
  <c r="M1834" i="6"/>
  <c r="L1834" i="6"/>
  <c r="N1834" i="6"/>
  <c r="M1850" i="6"/>
  <c r="L1850" i="6"/>
  <c r="N1850" i="6"/>
  <c r="K1866" i="6"/>
  <c r="M1866" i="6"/>
  <c r="L1866" i="6"/>
  <c r="N1866" i="6"/>
  <c r="M1882" i="6"/>
  <c r="L1882" i="6"/>
  <c r="N1882" i="6"/>
  <c r="K1882" i="6"/>
  <c r="K1898" i="6"/>
  <c r="L1898" i="6"/>
  <c r="N1898" i="6"/>
  <c r="M1898" i="6"/>
  <c r="M1914" i="6"/>
  <c r="L1914" i="6"/>
  <c r="N1914" i="6"/>
  <c r="L1930" i="6"/>
  <c r="M1930" i="6"/>
  <c r="N1930" i="6"/>
  <c r="K1526" i="6"/>
  <c r="K1610" i="6"/>
  <c r="K1702" i="6"/>
  <c r="K9" i="6"/>
  <c r="M9" i="6" s="1"/>
  <c r="K41" i="6"/>
  <c r="M41" i="6" s="1"/>
  <c r="K80" i="6"/>
  <c r="M80" i="6" s="1"/>
  <c r="N205" i="6"/>
  <c r="K106" i="6"/>
  <c r="M106" i="6" s="1"/>
  <c r="K190" i="6"/>
  <c r="M190" i="6" s="1"/>
  <c r="K218" i="6"/>
  <c r="M218" i="6" s="1"/>
  <c r="K270" i="6"/>
  <c r="M270" i="6" s="1"/>
  <c r="K286" i="6"/>
  <c r="M286" i="6" s="1"/>
  <c r="K302" i="6"/>
  <c r="M302" i="6" s="1"/>
  <c r="K318" i="6"/>
  <c r="M318" i="6" s="1"/>
  <c r="K334" i="6"/>
  <c r="M334" i="6" s="1"/>
  <c r="N202" i="6"/>
  <c r="N138" i="6"/>
  <c r="N106" i="6"/>
  <c r="N170" i="6"/>
  <c r="N25" i="6"/>
  <c r="N105" i="6"/>
  <c r="N169" i="6"/>
  <c r="K96" i="6"/>
  <c r="M96" i="6" s="1"/>
  <c r="K192" i="6"/>
  <c r="M192" i="6" s="1"/>
  <c r="K224" i="6"/>
  <c r="M224" i="6" s="1"/>
  <c r="N318" i="6"/>
  <c r="L6631" i="6"/>
  <c r="K6385" i="6"/>
  <c r="L6517" i="6"/>
  <c r="L6172" i="6"/>
  <c r="K6132" i="6"/>
  <c r="N6162" i="6"/>
  <c r="M6180" i="6"/>
  <c r="K6339" i="6"/>
  <c r="L6385" i="6"/>
  <c r="N6551" i="6"/>
  <c r="N6631" i="6"/>
  <c r="N6648" i="6"/>
  <c r="M6891" i="6"/>
  <c r="L1486" i="6"/>
  <c r="N1486" i="6"/>
  <c r="M1486" i="6"/>
  <c r="K1486" i="6"/>
  <c r="L1502" i="6"/>
  <c r="M1502" i="6"/>
  <c r="N1502" i="6"/>
  <c r="K1502" i="6"/>
  <c r="L1518" i="6"/>
  <c r="N1518" i="6"/>
  <c r="M1518" i="6"/>
  <c r="K1518" i="6"/>
  <c r="L1534" i="6"/>
  <c r="K1534" i="6"/>
  <c r="N1534" i="6"/>
  <c r="M1534" i="6"/>
  <c r="L1550" i="6"/>
  <c r="N1550" i="6"/>
  <c r="M1550" i="6"/>
  <c r="M1566" i="6"/>
  <c r="K1566" i="6"/>
  <c r="L1566" i="6"/>
  <c r="N1566" i="6"/>
  <c r="M1582" i="6"/>
  <c r="L1582" i="6"/>
  <c r="N1582" i="6"/>
  <c r="K1582" i="6"/>
  <c r="M1598" i="6"/>
  <c r="L1598" i="6"/>
  <c r="N1598" i="6"/>
  <c r="K1598" i="6"/>
  <c r="K1614" i="6"/>
  <c r="L1614" i="6"/>
  <c r="N1614" i="6"/>
  <c r="M1614" i="6"/>
  <c r="L1630" i="6"/>
  <c r="M1630" i="6"/>
  <c r="N1630" i="6"/>
  <c r="K1630" i="6"/>
  <c r="M1646" i="6"/>
  <c r="L1646" i="6"/>
  <c r="N1646" i="6"/>
  <c r="K1646" i="6"/>
  <c r="L1662" i="6"/>
  <c r="N1662" i="6"/>
  <c r="M1662" i="6"/>
  <c r="K1662" i="6"/>
  <c r="L1678" i="6"/>
  <c r="N1678" i="6"/>
  <c r="M1678" i="6"/>
  <c r="K1678" i="6"/>
  <c r="M1694" i="6"/>
  <c r="L1694" i="6"/>
  <c r="N1694" i="6"/>
  <c r="K1694" i="6"/>
  <c r="L1710" i="6"/>
  <c r="N1710" i="6"/>
  <c r="M1710" i="6"/>
  <c r="K1710" i="6"/>
  <c r="K1726" i="6"/>
  <c r="L1726" i="6"/>
  <c r="M1726" i="6"/>
  <c r="N1726" i="6"/>
  <c r="M1742" i="6"/>
  <c r="L1742" i="6"/>
  <c r="N1742" i="6"/>
  <c r="K1742" i="6"/>
  <c r="M1758" i="6"/>
  <c r="L1758" i="6"/>
  <c r="K1758" i="6"/>
  <c r="N1758" i="6"/>
  <c r="L1774" i="6"/>
  <c r="M1774" i="6"/>
  <c r="N1774" i="6"/>
  <c r="K1774" i="6"/>
  <c r="L1790" i="6"/>
  <c r="N1790" i="6"/>
  <c r="M1790" i="6"/>
  <c r="M1806" i="6"/>
  <c r="K1806" i="6"/>
  <c r="L1806" i="6"/>
  <c r="N1806" i="6"/>
  <c r="L1822" i="6"/>
  <c r="N1822" i="6"/>
  <c r="M1822" i="6"/>
  <c r="K1822" i="6"/>
  <c r="L1838" i="6"/>
  <c r="N1838" i="6"/>
  <c r="M1838" i="6"/>
  <c r="K1838" i="6"/>
  <c r="K1854" i="6"/>
  <c r="L1854" i="6"/>
  <c r="M1854" i="6"/>
  <c r="N1854" i="6"/>
  <c r="M1870" i="6"/>
  <c r="L1870" i="6"/>
  <c r="N1870" i="6"/>
  <c r="K1870" i="6"/>
  <c r="M1886" i="6"/>
  <c r="L1886" i="6"/>
  <c r="K1886" i="6"/>
  <c r="N1886" i="6"/>
  <c r="L1902" i="6"/>
  <c r="N1902" i="6"/>
  <c r="M1902" i="6"/>
  <c r="K1902" i="6"/>
  <c r="M1918" i="6"/>
  <c r="L1918" i="6"/>
  <c r="N1918" i="6"/>
  <c r="K1918" i="6"/>
  <c r="L1934" i="6"/>
  <c r="K1934" i="6"/>
  <c r="N1934" i="6"/>
  <c r="M1934" i="6"/>
  <c r="M1950" i="6"/>
  <c r="L1950" i="6"/>
  <c r="N1950" i="6"/>
  <c r="K1950" i="6"/>
  <c r="M1966" i="6"/>
  <c r="L1966" i="6"/>
  <c r="N1966" i="6"/>
  <c r="K1966" i="6"/>
  <c r="L1982" i="6"/>
  <c r="N1982" i="6"/>
  <c r="M1982" i="6"/>
  <c r="K1982" i="6"/>
  <c r="K1998" i="6"/>
  <c r="L1998" i="6"/>
  <c r="N1998" i="6"/>
  <c r="M1998" i="6"/>
  <c r="L2014" i="6"/>
  <c r="N2014" i="6"/>
  <c r="M2014" i="6"/>
  <c r="K2014" i="6"/>
  <c r="K2030" i="6"/>
  <c r="M2030" i="6"/>
  <c r="L2030" i="6"/>
  <c r="N2030" i="6"/>
  <c r="K2046" i="6"/>
  <c r="M2046" i="6"/>
  <c r="L2046" i="6"/>
  <c r="N2046" i="6"/>
  <c r="M2062" i="6"/>
  <c r="L2062" i="6"/>
  <c r="N2062" i="6"/>
  <c r="K2062" i="6"/>
  <c r="M2078" i="6"/>
  <c r="L2078" i="6"/>
  <c r="K2078" i="6"/>
  <c r="N2078" i="6"/>
  <c r="K2094" i="6"/>
  <c r="L2094" i="6"/>
  <c r="M2094" i="6"/>
  <c r="N2094" i="6"/>
  <c r="L2110" i="6"/>
  <c r="M2110" i="6"/>
  <c r="N2110" i="6"/>
  <c r="K2110" i="6"/>
  <c r="M2126" i="6"/>
  <c r="L2126" i="6"/>
  <c r="N2126" i="6"/>
  <c r="L2142" i="6"/>
  <c r="N2142" i="6"/>
  <c r="M2142" i="6"/>
  <c r="K2142" i="6"/>
  <c r="L2158" i="6"/>
  <c r="N2158" i="6"/>
  <c r="M2158" i="6"/>
  <c r="L2174" i="6"/>
  <c r="M2174" i="6"/>
  <c r="N2174" i="6"/>
  <c r="K2174" i="6"/>
  <c r="L2190" i="6"/>
  <c r="M2190" i="6"/>
  <c r="N2190" i="6"/>
  <c r="L2206" i="6"/>
  <c r="N2206" i="6"/>
  <c r="M2206" i="6"/>
  <c r="L2222" i="6"/>
  <c r="M2222" i="6"/>
  <c r="N2222" i="6"/>
  <c r="L2238" i="6"/>
  <c r="N2238" i="6"/>
  <c r="M2238" i="6"/>
  <c r="M2254" i="6"/>
  <c r="L2254" i="6"/>
  <c r="N2254" i="6"/>
  <c r="L2270" i="6"/>
  <c r="N2270" i="6"/>
  <c r="M2270" i="6"/>
  <c r="L2286" i="6"/>
  <c r="M2286" i="6"/>
  <c r="N2286" i="6"/>
  <c r="L2302" i="6"/>
  <c r="N2302" i="6"/>
  <c r="M2302" i="6"/>
  <c r="L2318" i="6"/>
  <c r="N2318" i="6"/>
  <c r="M2318" i="6"/>
  <c r="M2334" i="6"/>
  <c r="L2334" i="6"/>
  <c r="N2334" i="6"/>
  <c r="L2350" i="6"/>
  <c r="M2350" i="6"/>
  <c r="N2350" i="6"/>
  <c r="L2366" i="6"/>
  <c r="N2366" i="6"/>
  <c r="M2366" i="6"/>
  <c r="M2382" i="6"/>
  <c r="L2382" i="6"/>
  <c r="N2382" i="6"/>
  <c r="L2398" i="6"/>
  <c r="N2398" i="6"/>
  <c r="M2398" i="6"/>
  <c r="M2414" i="6"/>
  <c r="N2414" i="6"/>
  <c r="L2414" i="6"/>
  <c r="M2430" i="6"/>
  <c r="N2430" i="6"/>
  <c r="L2430" i="6"/>
  <c r="M2446" i="6"/>
  <c r="N2446" i="6"/>
  <c r="L2446" i="6"/>
  <c r="N2462" i="6"/>
  <c r="M2462" i="6"/>
  <c r="L2462" i="6"/>
  <c r="M2478" i="6"/>
  <c r="N2478" i="6"/>
  <c r="L2478" i="6"/>
  <c r="M2494" i="6"/>
  <c r="N2494" i="6"/>
  <c r="L2494" i="6"/>
  <c r="M2510" i="6"/>
  <c r="N2510" i="6"/>
  <c r="L2510" i="6"/>
  <c r="M2526" i="6"/>
  <c r="N2526" i="6"/>
  <c r="L2526" i="6"/>
  <c r="M2542" i="6"/>
  <c r="N2542" i="6"/>
  <c r="L2542" i="6"/>
  <c r="N2558" i="6"/>
  <c r="M2558" i="6"/>
  <c r="L2558" i="6"/>
  <c r="M2574" i="6"/>
  <c r="N2574" i="6"/>
  <c r="L2574" i="6"/>
  <c r="N2590" i="6"/>
  <c r="M2590" i="6"/>
  <c r="L2590" i="6"/>
  <c r="N2606" i="6"/>
  <c r="L2606" i="6"/>
  <c r="M2606" i="6"/>
  <c r="N2622" i="6"/>
  <c r="L2622" i="6"/>
  <c r="M2622" i="6"/>
  <c r="K2622" i="6"/>
  <c r="M2638" i="6"/>
  <c r="N2638" i="6"/>
  <c r="L2638" i="6"/>
  <c r="K2638" i="6"/>
  <c r="M2654" i="6"/>
  <c r="N2654" i="6"/>
  <c r="L2654" i="6"/>
  <c r="K2654" i="6"/>
  <c r="L2670" i="6"/>
  <c r="N2670" i="6"/>
  <c r="M2670" i="6"/>
  <c r="K2670" i="6"/>
  <c r="N2686" i="6"/>
  <c r="M2686" i="6"/>
  <c r="L2686" i="6"/>
  <c r="K2686" i="6"/>
  <c r="M2702" i="6"/>
  <c r="N2702" i="6"/>
  <c r="L2702" i="6"/>
  <c r="K2702" i="6"/>
  <c r="M2718" i="6"/>
  <c r="N2718" i="6"/>
  <c r="L2718" i="6"/>
  <c r="K2718" i="6"/>
  <c r="M2734" i="6"/>
  <c r="L2734" i="6"/>
  <c r="N2734" i="6"/>
  <c r="K2734" i="6"/>
  <c r="M2750" i="6"/>
  <c r="L2750" i="6"/>
  <c r="N2750" i="6"/>
  <c r="K2750" i="6"/>
  <c r="K1478" i="6"/>
  <c r="K1550" i="6"/>
  <c r="K1722" i="6"/>
  <c r="K1894" i="6"/>
  <c r="K2190" i="6"/>
  <c r="K2254" i="6"/>
  <c r="K2318" i="6"/>
  <c r="K2382" i="6"/>
  <c r="K2446" i="6"/>
  <c r="K2510" i="6"/>
  <c r="K2574" i="6"/>
  <c r="K110" i="6"/>
  <c r="M110" i="6" s="1"/>
  <c r="K48" i="6"/>
  <c r="M48" i="6" s="1"/>
  <c r="K176" i="6"/>
  <c r="M176" i="6" s="1"/>
  <c r="N334" i="6"/>
  <c r="N354" i="6"/>
  <c r="K6736" i="6"/>
  <c r="K6180" i="6"/>
  <c r="M6339" i="6"/>
  <c r="N6385" i="6"/>
  <c r="M6551" i="6"/>
  <c r="M1474" i="6"/>
  <c r="L1474" i="6"/>
  <c r="N1474" i="6"/>
  <c r="K1474" i="6"/>
  <c r="L1490" i="6"/>
  <c r="M1490" i="6"/>
  <c r="N1490" i="6"/>
  <c r="K1490" i="6"/>
  <c r="M1506" i="6"/>
  <c r="L1506" i="6"/>
  <c r="N1506" i="6"/>
  <c r="K1506" i="6"/>
  <c r="L1522" i="6"/>
  <c r="M1522" i="6"/>
  <c r="N1522" i="6"/>
  <c r="K1522" i="6"/>
  <c r="M1538" i="6"/>
  <c r="L1538" i="6"/>
  <c r="N1538" i="6"/>
  <c r="K1538" i="6"/>
  <c r="M1554" i="6"/>
  <c r="L1554" i="6"/>
  <c r="N1554" i="6"/>
  <c r="K1554" i="6"/>
  <c r="M1570" i="6"/>
  <c r="L1570" i="6"/>
  <c r="N1570" i="6"/>
  <c r="M1586" i="6"/>
  <c r="L1586" i="6"/>
  <c r="N1586" i="6"/>
  <c r="K1586" i="6"/>
  <c r="L1602" i="6"/>
  <c r="M1602" i="6"/>
  <c r="N1602" i="6"/>
  <c r="K1602" i="6"/>
  <c r="M1618" i="6"/>
  <c r="L1618" i="6"/>
  <c r="N1618" i="6"/>
  <c r="K1618" i="6"/>
  <c r="M1634" i="6"/>
  <c r="L1634" i="6"/>
  <c r="N1634" i="6"/>
  <c r="L1650" i="6"/>
  <c r="N1650" i="6"/>
  <c r="M1650" i="6"/>
  <c r="K1650" i="6"/>
  <c r="L1666" i="6"/>
  <c r="N1666" i="6"/>
  <c r="M1666" i="6"/>
  <c r="K1666" i="6"/>
  <c r="L1682" i="6"/>
  <c r="N1682" i="6"/>
  <c r="M1682" i="6"/>
  <c r="M1698" i="6"/>
  <c r="L1698" i="6"/>
  <c r="N1698" i="6"/>
  <c r="K1698" i="6"/>
  <c r="M1714" i="6"/>
  <c r="L1714" i="6"/>
  <c r="N1714" i="6"/>
  <c r="K1714" i="6"/>
  <c r="M1730" i="6"/>
  <c r="L1730" i="6"/>
  <c r="N1730" i="6"/>
  <c r="K1730" i="6"/>
  <c r="M1746" i="6"/>
  <c r="L1746" i="6"/>
  <c r="N1746" i="6"/>
  <c r="M1762" i="6"/>
  <c r="L1762" i="6"/>
  <c r="N1762" i="6"/>
  <c r="K1762" i="6"/>
  <c r="M1778" i="6"/>
  <c r="L1778" i="6"/>
  <c r="N1778" i="6"/>
  <c r="K1778" i="6"/>
  <c r="M1794" i="6"/>
  <c r="L1794" i="6"/>
  <c r="N1794" i="6"/>
  <c r="K1794" i="6"/>
  <c r="L1810" i="6"/>
  <c r="M1810" i="6"/>
  <c r="N1810" i="6"/>
  <c r="M1826" i="6"/>
  <c r="L1826" i="6"/>
  <c r="N1826" i="6"/>
  <c r="K1826" i="6"/>
  <c r="M1842" i="6"/>
  <c r="L1842" i="6"/>
  <c r="N1842" i="6"/>
  <c r="K1842" i="6"/>
  <c r="M1858" i="6"/>
  <c r="L1858" i="6"/>
  <c r="N1858" i="6"/>
  <c r="K1858" i="6"/>
  <c r="M1874" i="6"/>
  <c r="L1874" i="6"/>
  <c r="N1874" i="6"/>
  <c r="M1890" i="6"/>
  <c r="L1890" i="6"/>
  <c r="N1890" i="6"/>
  <c r="K1890" i="6"/>
  <c r="M1906" i="6"/>
  <c r="L1906" i="6"/>
  <c r="N1906" i="6"/>
  <c r="K1906" i="6"/>
  <c r="M1922" i="6"/>
  <c r="L1922" i="6"/>
  <c r="N1922" i="6"/>
  <c r="K1922" i="6"/>
  <c r="M1938" i="6"/>
  <c r="L1938" i="6"/>
  <c r="N1938" i="6"/>
  <c r="K1938" i="6"/>
  <c r="L1954" i="6"/>
  <c r="M1954" i="6"/>
  <c r="N1954" i="6"/>
  <c r="M1970" i="6"/>
  <c r="L1970" i="6"/>
  <c r="N1970" i="6"/>
  <c r="K1970" i="6"/>
  <c r="M1986" i="6"/>
  <c r="L1986" i="6"/>
  <c r="N1986" i="6"/>
  <c r="K1986" i="6"/>
  <c r="M2002" i="6"/>
  <c r="L2002" i="6"/>
  <c r="N2002" i="6"/>
  <c r="K2002" i="6"/>
  <c r="M2018" i="6"/>
  <c r="L2018" i="6"/>
  <c r="N2018" i="6"/>
  <c r="M2034" i="6"/>
  <c r="L2034" i="6"/>
  <c r="N2034" i="6"/>
  <c r="K2034" i="6"/>
  <c r="M2050" i="6"/>
  <c r="L2050" i="6"/>
  <c r="N2050" i="6"/>
  <c r="K2050" i="6"/>
  <c r="M2066" i="6"/>
  <c r="L2066" i="6"/>
  <c r="N2066" i="6"/>
  <c r="M2082" i="6"/>
  <c r="L2082" i="6"/>
  <c r="N2082" i="6"/>
  <c r="K2082" i="6"/>
  <c r="M2098" i="6"/>
  <c r="L2098" i="6"/>
  <c r="N2098" i="6"/>
  <c r="M2114" i="6"/>
  <c r="K2114" i="6"/>
  <c r="L2114" i="6"/>
  <c r="N2114" i="6"/>
  <c r="K2130" i="6"/>
  <c r="M2130" i="6"/>
  <c r="L2130" i="6"/>
  <c r="N2130" i="6"/>
  <c r="K2146" i="6"/>
  <c r="M2146" i="6"/>
  <c r="L2146" i="6"/>
  <c r="N2146" i="6"/>
  <c r="K2162" i="6"/>
  <c r="L2162" i="6"/>
  <c r="N2162" i="6"/>
  <c r="M2162" i="6"/>
  <c r="K2178" i="6"/>
  <c r="M2178" i="6"/>
  <c r="L2178" i="6"/>
  <c r="N2178" i="6"/>
  <c r="M2194" i="6"/>
  <c r="L2194" i="6"/>
  <c r="N2194" i="6"/>
  <c r="K2194" i="6"/>
  <c r="M2210" i="6"/>
  <c r="L2210" i="6"/>
  <c r="N2210" i="6"/>
  <c r="K2210" i="6"/>
  <c r="L2226" i="6"/>
  <c r="N2226" i="6"/>
  <c r="M2226" i="6"/>
  <c r="K2226" i="6"/>
  <c r="M2242" i="6"/>
  <c r="L2242" i="6"/>
  <c r="N2242" i="6"/>
  <c r="K2242" i="6"/>
  <c r="L2258" i="6"/>
  <c r="N2258" i="6"/>
  <c r="M2258" i="6"/>
  <c r="K2258" i="6"/>
  <c r="M2274" i="6"/>
  <c r="L2274" i="6"/>
  <c r="N2274" i="6"/>
  <c r="K2274" i="6"/>
  <c r="M2290" i="6"/>
  <c r="L2290" i="6"/>
  <c r="N2290" i="6"/>
  <c r="K2290" i="6"/>
  <c r="M2306" i="6"/>
  <c r="L2306" i="6"/>
  <c r="N2306" i="6"/>
  <c r="K2306" i="6"/>
  <c r="M2322" i="6"/>
  <c r="L2322" i="6"/>
  <c r="N2322" i="6"/>
  <c r="K2322" i="6"/>
  <c r="M2338" i="6"/>
  <c r="L2338" i="6"/>
  <c r="N2338" i="6"/>
  <c r="K2338" i="6"/>
  <c r="M2354" i="6"/>
  <c r="L2354" i="6"/>
  <c r="N2354" i="6"/>
  <c r="K2354" i="6"/>
  <c r="M2370" i="6"/>
  <c r="L2370" i="6"/>
  <c r="N2370" i="6"/>
  <c r="K2370" i="6"/>
  <c r="L2386" i="6"/>
  <c r="M2386" i="6"/>
  <c r="N2386" i="6"/>
  <c r="K2386" i="6"/>
  <c r="M2402" i="6"/>
  <c r="L2402" i="6"/>
  <c r="N2402" i="6"/>
  <c r="K2402" i="6"/>
  <c r="N2418" i="6"/>
  <c r="M2418" i="6"/>
  <c r="L2418" i="6"/>
  <c r="K2418" i="6"/>
  <c r="M2434" i="6"/>
  <c r="N2434" i="6"/>
  <c r="L2434" i="6"/>
  <c r="K2434" i="6"/>
  <c r="M2450" i="6"/>
  <c r="L2450" i="6"/>
  <c r="N2450" i="6"/>
  <c r="K2450" i="6"/>
  <c r="M2466" i="6"/>
  <c r="N2466" i="6"/>
  <c r="L2466" i="6"/>
  <c r="K2466" i="6"/>
  <c r="M2482" i="6"/>
  <c r="L2482" i="6"/>
  <c r="N2482" i="6"/>
  <c r="K2482" i="6"/>
  <c r="M2498" i="6"/>
  <c r="N2498" i="6"/>
  <c r="L2498" i="6"/>
  <c r="K2498" i="6"/>
  <c r="M2514" i="6"/>
  <c r="N2514" i="6"/>
  <c r="L2514" i="6"/>
  <c r="K2514" i="6"/>
  <c r="M2530" i="6"/>
  <c r="N2530" i="6"/>
  <c r="L2530" i="6"/>
  <c r="K2530" i="6"/>
  <c r="M2546" i="6"/>
  <c r="L2546" i="6"/>
  <c r="N2546" i="6"/>
  <c r="K2546" i="6"/>
  <c r="M2562" i="6"/>
  <c r="N2562" i="6"/>
  <c r="L2562" i="6"/>
  <c r="K2562" i="6"/>
  <c r="M2578" i="6"/>
  <c r="L2578" i="6"/>
  <c r="N2578" i="6"/>
  <c r="K2578" i="6"/>
  <c r="N2594" i="6"/>
  <c r="M2594" i="6"/>
  <c r="L2594" i="6"/>
  <c r="K2594" i="6"/>
  <c r="L2610" i="6"/>
  <c r="M2610" i="6"/>
  <c r="N2610" i="6"/>
  <c r="K2610" i="6"/>
  <c r="N2626" i="6"/>
  <c r="M2626" i="6"/>
  <c r="L2626" i="6"/>
  <c r="K2626" i="6"/>
  <c r="M2642" i="6"/>
  <c r="L2642" i="6"/>
  <c r="N2642" i="6"/>
  <c r="K2642" i="6"/>
  <c r="M2658" i="6"/>
  <c r="N2658" i="6"/>
  <c r="L2658" i="6"/>
  <c r="K2658" i="6"/>
  <c r="M2674" i="6"/>
  <c r="N2674" i="6"/>
  <c r="L2674" i="6"/>
  <c r="K2674" i="6"/>
  <c r="M2690" i="6"/>
  <c r="N2690" i="6"/>
  <c r="L2690" i="6"/>
  <c r="K2690" i="6"/>
  <c r="N2706" i="6"/>
  <c r="M2706" i="6"/>
  <c r="L2706" i="6"/>
  <c r="K2706" i="6"/>
  <c r="M2722" i="6"/>
  <c r="N2722" i="6"/>
  <c r="L2722" i="6"/>
  <c r="K2722" i="6"/>
  <c r="M2738" i="6"/>
  <c r="N2738" i="6"/>
  <c r="L2738" i="6"/>
  <c r="K2738" i="6"/>
  <c r="K2754" i="6"/>
  <c r="M2754" i="6"/>
  <c r="N2754" i="6"/>
  <c r="L2754" i="6"/>
  <c r="K2770" i="6"/>
  <c r="M2770" i="6"/>
  <c r="N2770" i="6"/>
  <c r="L2770" i="6"/>
  <c r="K2786" i="6"/>
  <c r="M2786" i="6"/>
  <c r="N2786" i="6"/>
  <c r="L2786" i="6"/>
  <c r="K2802" i="6"/>
  <c r="M2802" i="6"/>
  <c r="N2802" i="6"/>
  <c r="L2802" i="6"/>
  <c r="K2818" i="6"/>
  <c r="M2818" i="6"/>
  <c r="N2818" i="6"/>
  <c r="L2818" i="6"/>
  <c r="K2834" i="6"/>
  <c r="M2834" i="6"/>
  <c r="N2834" i="6"/>
  <c r="L2834" i="6"/>
  <c r="K2850" i="6"/>
  <c r="M2850" i="6"/>
  <c r="N2850" i="6"/>
  <c r="L2850" i="6"/>
  <c r="K2866" i="6"/>
  <c r="M2866" i="6"/>
  <c r="N2866" i="6"/>
  <c r="L2866" i="6"/>
  <c r="K2882" i="6"/>
  <c r="M2882" i="6"/>
  <c r="N2882" i="6"/>
  <c r="L2882" i="6"/>
  <c r="K2898" i="6"/>
  <c r="M2898" i="6"/>
  <c r="N2898" i="6"/>
  <c r="L2898" i="6"/>
  <c r="K2914" i="6"/>
  <c r="M2914" i="6"/>
  <c r="N2914" i="6"/>
  <c r="L2914" i="6"/>
  <c r="K2930" i="6"/>
  <c r="N2930" i="6"/>
  <c r="M2930" i="6"/>
  <c r="L2930" i="6"/>
  <c r="K2946" i="6"/>
  <c r="N2946" i="6"/>
  <c r="M2946" i="6"/>
  <c r="L2946" i="6"/>
  <c r="K2962" i="6"/>
  <c r="N2962" i="6"/>
  <c r="M2962" i="6"/>
  <c r="L2962" i="6"/>
  <c r="K2978" i="6"/>
  <c r="N2978" i="6"/>
  <c r="M2978" i="6"/>
  <c r="L2978" i="6"/>
  <c r="N2994" i="6"/>
  <c r="K2994" i="6"/>
  <c r="M2994" i="6"/>
  <c r="L2994" i="6"/>
  <c r="K1494" i="6"/>
  <c r="K1570" i="6"/>
  <c r="K1654" i="6"/>
  <c r="K1746" i="6"/>
  <c r="K1830" i="6"/>
  <c r="K1914" i="6"/>
  <c r="K2098" i="6"/>
  <c r="K2206" i="6"/>
  <c r="K2270" i="6"/>
  <c r="K2334" i="6"/>
  <c r="K2398" i="6"/>
  <c r="K2462" i="6"/>
  <c r="K2526" i="6"/>
  <c r="K2590" i="6"/>
  <c r="L1942" i="6"/>
  <c r="M1942" i="6"/>
  <c r="N1942" i="6"/>
  <c r="K1942" i="6"/>
  <c r="M1958" i="6"/>
  <c r="L1958" i="6"/>
  <c r="N1958" i="6"/>
  <c r="K1958" i="6"/>
  <c r="M1974" i="6"/>
  <c r="L1974" i="6"/>
  <c r="N1974" i="6"/>
  <c r="M1990" i="6"/>
  <c r="L1990" i="6"/>
  <c r="N1990" i="6"/>
  <c r="K1990" i="6"/>
  <c r="L2006" i="6"/>
  <c r="N2006" i="6"/>
  <c r="M2006" i="6"/>
  <c r="K2006" i="6"/>
  <c r="L2022" i="6"/>
  <c r="N2022" i="6"/>
  <c r="M2022" i="6"/>
  <c r="K2022" i="6"/>
  <c r="L2038" i="6"/>
  <c r="N2038" i="6"/>
  <c r="M2038" i="6"/>
  <c r="K2054" i="6"/>
  <c r="L2054" i="6"/>
  <c r="N2054" i="6"/>
  <c r="M2054" i="6"/>
  <c r="K2070" i="6"/>
  <c r="L2070" i="6"/>
  <c r="M2070" i="6"/>
  <c r="N2070" i="6"/>
  <c r="M2086" i="6"/>
  <c r="K2086" i="6"/>
  <c r="L2086" i="6"/>
  <c r="N2086" i="6"/>
  <c r="L2102" i="6"/>
  <c r="N2102" i="6"/>
  <c r="K2102" i="6"/>
  <c r="M2102" i="6"/>
  <c r="L2118" i="6"/>
  <c r="N2118" i="6"/>
  <c r="M2118" i="6"/>
  <c r="K2118" i="6"/>
  <c r="M2134" i="6"/>
  <c r="L2134" i="6"/>
  <c r="N2134" i="6"/>
  <c r="K2134" i="6"/>
  <c r="M2150" i="6"/>
  <c r="L2150" i="6"/>
  <c r="N2150" i="6"/>
  <c r="K2150" i="6"/>
  <c r="K1510" i="6"/>
  <c r="K1590" i="6"/>
  <c r="K1682" i="6"/>
  <c r="K1766" i="6"/>
  <c r="K1850" i="6"/>
  <c r="K1930" i="6"/>
  <c r="K2018" i="6"/>
  <c r="K2126" i="6"/>
  <c r="K2222" i="6"/>
  <c r="K2286" i="6"/>
  <c r="K2350" i="6"/>
  <c r="K2414" i="6"/>
  <c r="K2478" i="6"/>
  <c r="K2542" i="6"/>
  <c r="K2606" i="6"/>
  <c r="M2166" i="6"/>
  <c r="L2166" i="6"/>
  <c r="N2166" i="6"/>
  <c r="M2182" i="6"/>
  <c r="L2182" i="6"/>
  <c r="N2182" i="6"/>
  <c r="K2182" i="6"/>
  <c r="L2198" i="6"/>
  <c r="N2198" i="6"/>
  <c r="M2198" i="6"/>
  <c r="M2214" i="6"/>
  <c r="L2214" i="6"/>
  <c r="N2214" i="6"/>
  <c r="M2230" i="6"/>
  <c r="L2230" i="6"/>
  <c r="N2230" i="6"/>
  <c r="L2246" i="6"/>
  <c r="N2246" i="6"/>
  <c r="M2246" i="6"/>
  <c r="L2262" i="6"/>
  <c r="M2262" i="6"/>
  <c r="N2262" i="6"/>
  <c r="L2278" i="6"/>
  <c r="N2278" i="6"/>
  <c r="M2278" i="6"/>
  <c r="L2294" i="6"/>
  <c r="M2294" i="6"/>
  <c r="N2294" i="6"/>
  <c r="M2310" i="6"/>
  <c r="L2310" i="6"/>
  <c r="N2310" i="6"/>
  <c r="L2326" i="6"/>
  <c r="N2326" i="6"/>
  <c r="M2326" i="6"/>
  <c r="M2342" i="6"/>
  <c r="L2342" i="6"/>
  <c r="N2342" i="6"/>
  <c r="L2358" i="6"/>
  <c r="M2358" i="6"/>
  <c r="N2358" i="6"/>
  <c r="L2374" i="6"/>
  <c r="N2374" i="6"/>
  <c r="M2374" i="6"/>
  <c r="M2390" i="6"/>
  <c r="L2390" i="6"/>
  <c r="N2390" i="6"/>
  <c r="M2406" i="6"/>
  <c r="L2406" i="6"/>
  <c r="N2406" i="6"/>
  <c r="M2422" i="6"/>
  <c r="N2422" i="6"/>
  <c r="L2422" i="6"/>
  <c r="N2438" i="6"/>
  <c r="L2438" i="6"/>
  <c r="M2438" i="6"/>
  <c r="M2454" i="6"/>
  <c r="N2454" i="6"/>
  <c r="L2454" i="6"/>
  <c r="M2470" i="6"/>
  <c r="N2470" i="6"/>
  <c r="L2470" i="6"/>
  <c r="M2486" i="6"/>
  <c r="N2486" i="6"/>
  <c r="L2486" i="6"/>
  <c r="M2502" i="6"/>
  <c r="N2502" i="6"/>
  <c r="L2502" i="6"/>
  <c r="M2518" i="6"/>
  <c r="N2518" i="6"/>
  <c r="L2518" i="6"/>
  <c r="M2534" i="6"/>
  <c r="N2534" i="6"/>
  <c r="L2534" i="6"/>
  <c r="M2550" i="6"/>
  <c r="N2550" i="6"/>
  <c r="L2550" i="6"/>
  <c r="M2566" i="6"/>
  <c r="N2566" i="6"/>
  <c r="L2566" i="6"/>
  <c r="N2582" i="6"/>
  <c r="M2582" i="6"/>
  <c r="L2582" i="6"/>
  <c r="M2598" i="6"/>
  <c r="N2598" i="6"/>
  <c r="L2598" i="6"/>
  <c r="M2614" i="6"/>
  <c r="N2614" i="6"/>
  <c r="L2614" i="6"/>
  <c r="M2630" i="6"/>
  <c r="N2630" i="6"/>
  <c r="L2630" i="6"/>
  <c r="N2646" i="6"/>
  <c r="M2646" i="6"/>
  <c r="L2646" i="6"/>
  <c r="M2662" i="6"/>
  <c r="L2662" i="6"/>
  <c r="N2662" i="6"/>
  <c r="N2678" i="6"/>
  <c r="L2678" i="6"/>
  <c r="M2678" i="6"/>
  <c r="M2694" i="6"/>
  <c r="N2694" i="6"/>
  <c r="L2694" i="6"/>
  <c r="M2710" i="6"/>
  <c r="N2710" i="6"/>
  <c r="L2710" i="6"/>
  <c r="N2726" i="6"/>
  <c r="M2726" i="6"/>
  <c r="L2726" i="6"/>
  <c r="L2742" i="6"/>
  <c r="M2742" i="6"/>
  <c r="N2742" i="6"/>
  <c r="K2758" i="6"/>
  <c r="M2758" i="6"/>
  <c r="N2758" i="6"/>
  <c r="L2758" i="6"/>
  <c r="K2774" i="6"/>
  <c r="M2774" i="6"/>
  <c r="N2774" i="6"/>
  <c r="L2774" i="6"/>
  <c r="K2790" i="6"/>
  <c r="M2790" i="6"/>
  <c r="N2790" i="6"/>
  <c r="L2790" i="6"/>
  <c r="K2806" i="6"/>
  <c r="M2806" i="6"/>
  <c r="N2806" i="6"/>
  <c r="L2806" i="6"/>
  <c r="K2822" i="6"/>
  <c r="M2822" i="6"/>
  <c r="L2822" i="6"/>
  <c r="N2822" i="6"/>
  <c r="K2838" i="6"/>
  <c r="M2838" i="6"/>
  <c r="N2838" i="6"/>
  <c r="L2838" i="6"/>
  <c r="K2854" i="6"/>
  <c r="M2854" i="6"/>
  <c r="N2854" i="6"/>
  <c r="L2854" i="6"/>
  <c r="K2870" i="6"/>
  <c r="M2870" i="6"/>
  <c r="N2870" i="6"/>
  <c r="L2870" i="6"/>
  <c r="K2886" i="6"/>
  <c r="M2886" i="6"/>
  <c r="N2886" i="6"/>
  <c r="L2886" i="6"/>
  <c r="K2902" i="6"/>
  <c r="M2902" i="6"/>
  <c r="L2902" i="6"/>
  <c r="N2902" i="6"/>
  <c r="K2918" i="6"/>
  <c r="M2918" i="6"/>
  <c r="N2918" i="6"/>
  <c r="L2918" i="6"/>
  <c r="K2934" i="6"/>
  <c r="M2934" i="6"/>
  <c r="L2934" i="6"/>
  <c r="N2934" i="6"/>
  <c r="K2950" i="6"/>
  <c r="M2950" i="6"/>
  <c r="N2950" i="6"/>
  <c r="L2950" i="6"/>
  <c r="K2966" i="6"/>
  <c r="M2966" i="6"/>
  <c r="L2966" i="6"/>
  <c r="N2966" i="6"/>
  <c r="K2982" i="6"/>
  <c r="M2982" i="6"/>
  <c r="L2982" i="6"/>
  <c r="N2982" i="6"/>
  <c r="K2998" i="6"/>
  <c r="L2998" i="6"/>
  <c r="N2998" i="6"/>
  <c r="M2998" i="6"/>
  <c r="K2166" i="6"/>
  <c r="K1946" i="6"/>
  <c r="M1946" i="6"/>
  <c r="L1946" i="6"/>
  <c r="N1946" i="6"/>
  <c r="M1962" i="6"/>
  <c r="L1962" i="6"/>
  <c r="N1962" i="6"/>
  <c r="M1978" i="6"/>
  <c r="K1978" i="6"/>
  <c r="L1978" i="6"/>
  <c r="N1978" i="6"/>
  <c r="M1994" i="6"/>
  <c r="L1994" i="6"/>
  <c r="N1994" i="6"/>
  <c r="M2010" i="6"/>
  <c r="L2010" i="6"/>
  <c r="N2010" i="6"/>
  <c r="K2010" i="6"/>
  <c r="M2026" i="6"/>
  <c r="L2026" i="6"/>
  <c r="N2026" i="6"/>
  <c r="M2042" i="6"/>
  <c r="L2042" i="6"/>
  <c r="N2042" i="6"/>
  <c r="M2058" i="6"/>
  <c r="L2058" i="6"/>
  <c r="N2058" i="6"/>
  <c r="M2074" i="6"/>
  <c r="L2074" i="6"/>
  <c r="N2074" i="6"/>
  <c r="L2090" i="6"/>
  <c r="N2090" i="6"/>
  <c r="M2090" i="6"/>
  <c r="M2106" i="6"/>
  <c r="L2106" i="6"/>
  <c r="N2106" i="6"/>
  <c r="K2122" i="6"/>
  <c r="M2122" i="6"/>
  <c r="L2122" i="6"/>
  <c r="N2122" i="6"/>
  <c r="K2138" i="6"/>
  <c r="M2138" i="6"/>
  <c r="L2138" i="6"/>
  <c r="N2138" i="6"/>
  <c r="M2154" i="6"/>
  <c r="L2154" i="6"/>
  <c r="K2154" i="6"/>
  <c r="N2154" i="6"/>
  <c r="K2170" i="6"/>
  <c r="L2170" i="6"/>
  <c r="M2170" i="6"/>
  <c r="N2170" i="6"/>
  <c r="M2186" i="6"/>
  <c r="L2186" i="6"/>
  <c r="N2186" i="6"/>
  <c r="M2202" i="6"/>
  <c r="L2202" i="6"/>
  <c r="N2202" i="6"/>
  <c r="M2218" i="6"/>
  <c r="L2218" i="6"/>
  <c r="N2218" i="6"/>
  <c r="M2234" i="6"/>
  <c r="L2234" i="6"/>
  <c r="N2234" i="6"/>
  <c r="M2250" i="6"/>
  <c r="L2250" i="6"/>
  <c r="N2250" i="6"/>
  <c r="L2266" i="6"/>
  <c r="M2266" i="6"/>
  <c r="N2266" i="6"/>
  <c r="L2282" i="6"/>
  <c r="M2282" i="6"/>
  <c r="N2282" i="6"/>
  <c r="M2298" i="6"/>
  <c r="L2298" i="6"/>
  <c r="N2298" i="6"/>
  <c r="M2314" i="6"/>
  <c r="L2314" i="6"/>
  <c r="N2314" i="6"/>
  <c r="M2330" i="6"/>
  <c r="L2330" i="6"/>
  <c r="N2330" i="6"/>
  <c r="M2346" i="6"/>
  <c r="L2346" i="6"/>
  <c r="N2346" i="6"/>
  <c r="M2362" i="6"/>
  <c r="L2362" i="6"/>
  <c r="N2362" i="6"/>
  <c r="M2378" i="6"/>
  <c r="L2378" i="6"/>
  <c r="N2378" i="6"/>
  <c r="M2394" i="6"/>
  <c r="L2394" i="6"/>
  <c r="N2394" i="6"/>
  <c r="L2410" i="6"/>
  <c r="M2410" i="6"/>
  <c r="N2410" i="6"/>
  <c r="M2426" i="6"/>
  <c r="L2426" i="6"/>
  <c r="N2426" i="6"/>
  <c r="M2442" i="6"/>
  <c r="L2442" i="6"/>
  <c r="N2442" i="6"/>
  <c r="L2458" i="6"/>
  <c r="M2458" i="6"/>
  <c r="N2458" i="6"/>
  <c r="M2474" i="6"/>
  <c r="L2474" i="6"/>
  <c r="N2474" i="6"/>
  <c r="M2490" i="6"/>
  <c r="L2490" i="6"/>
  <c r="N2490" i="6"/>
  <c r="M2506" i="6"/>
  <c r="L2506" i="6"/>
  <c r="N2506" i="6"/>
  <c r="L2522" i="6"/>
  <c r="M2522" i="6"/>
  <c r="N2522" i="6"/>
  <c r="L2538" i="6"/>
  <c r="M2538" i="6"/>
  <c r="N2538" i="6"/>
  <c r="M2554" i="6"/>
  <c r="L2554" i="6"/>
  <c r="N2554" i="6"/>
  <c r="M2570" i="6"/>
  <c r="L2570" i="6"/>
  <c r="N2570" i="6"/>
  <c r="L2586" i="6"/>
  <c r="M2586" i="6"/>
  <c r="N2586" i="6"/>
  <c r="M2602" i="6"/>
  <c r="L2602" i="6"/>
  <c r="N2602" i="6"/>
  <c r="M2618" i="6"/>
  <c r="L2618" i="6"/>
  <c r="N2618" i="6"/>
  <c r="M2634" i="6"/>
  <c r="L2634" i="6"/>
  <c r="N2634" i="6"/>
  <c r="M2650" i="6"/>
  <c r="L2650" i="6"/>
  <c r="N2650" i="6"/>
  <c r="M2666" i="6"/>
  <c r="N2666" i="6"/>
  <c r="L2666" i="6"/>
  <c r="N2682" i="6"/>
  <c r="M2682" i="6"/>
  <c r="L2682" i="6"/>
  <c r="N2698" i="6"/>
  <c r="M2698" i="6"/>
  <c r="L2698" i="6"/>
  <c r="M2714" i="6"/>
  <c r="N2714" i="6"/>
  <c r="L2714" i="6"/>
  <c r="M2730" i="6"/>
  <c r="N2730" i="6"/>
  <c r="L2730" i="6"/>
  <c r="N2746" i="6"/>
  <c r="M2746" i="6"/>
  <c r="L2746" i="6"/>
  <c r="K2762" i="6"/>
  <c r="M2762" i="6"/>
  <c r="N2762" i="6"/>
  <c r="L2762" i="6"/>
  <c r="K2778" i="6"/>
  <c r="M2778" i="6"/>
  <c r="N2778" i="6"/>
  <c r="L2778" i="6"/>
  <c r="K2794" i="6"/>
  <c r="M2794" i="6"/>
  <c r="N2794" i="6"/>
  <c r="L2794" i="6"/>
  <c r="K2810" i="6"/>
  <c r="M2810" i="6"/>
  <c r="N2810" i="6"/>
  <c r="L2810" i="6"/>
  <c r="K2826" i="6"/>
  <c r="M2826" i="6"/>
  <c r="N2826" i="6"/>
  <c r="L2826" i="6"/>
  <c r="K2842" i="6"/>
  <c r="M2842" i="6"/>
  <c r="N2842" i="6"/>
  <c r="L2842" i="6"/>
  <c r="K2858" i="6"/>
  <c r="M2858" i="6"/>
  <c r="N2858" i="6"/>
  <c r="L2858" i="6"/>
  <c r="K2874" i="6"/>
  <c r="M2874" i="6"/>
  <c r="N2874" i="6"/>
  <c r="L2874" i="6"/>
  <c r="K2890" i="6"/>
  <c r="M2890" i="6"/>
  <c r="N2890" i="6"/>
  <c r="L2890" i="6"/>
  <c r="K2906" i="6"/>
  <c r="M2906" i="6"/>
  <c r="N2906" i="6"/>
  <c r="L2906" i="6"/>
  <c r="K2922" i="6"/>
  <c r="M2922" i="6"/>
  <c r="N2922" i="6"/>
  <c r="L2922" i="6"/>
  <c r="K2938" i="6"/>
  <c r="N2938" i="6"/>
  <c r="M2938" i="6"/>
  <c r="L2938" i="6"/>
  <c r="K2954" i="6"/>
  <c r="N2954" i="6"/>
  <c r="M2954" i="6"/>
  <c r="L2954" i="6"/>
  <c r="K2970" i="6"/>
  <c r="N2970" i="6"/>
  <c r="M2970" i="6"/>
  <c r="L2970" i="6"/>
  <c r="K2986" i="6"/>
  <c r="N2986" i="6"/>
  <c r="M2986" i="6"/>
  <c r="L2986" i="6"/>
  <c r="N3002" i="6"/>
  <c r="K3002" i="6"/>
  <c r="M3002" i="6"/>
  <c r="L3002" i="6"/>
  <c r="K1962" i="6"/>
  <c r="K2026" i="6"/>
  <c r="K2198" i="6"/>
  <c r="K2214" i="6"/>
  <c r="K2230" i="6"/>
  <c r="K2246" i="6"/>
  <c r="K2262" i="6"/>
  <c r="K2278" i="6"/>
  <c r="K2294" i="6"/>
  <c r="K2310" i="6"/>
  <c r="K2326" i="6"/>
  <c r="K2342" i="6"/>
  <c r="K2358" i="6"/>
  <c r="K2374" i="6"/>
  <c r="K2390" i="6"/>
  <c r="K2406" i="6"/>
  <c r="K2422" i="6"/>
  <c r="K2438" i="6"/>
  <c r="K2454" i="6"/>
  <c r="K2470" i="6"/>
  <c r="K2486" i="6"/>
  <c r="K2502" i="6"/>
  <c r="K2518" i="6"/>
  <c r="K2534" i="6"/>
  <c r="K2550" i="6"/>
  <c r="K2566" i="6"/>
  <c r="K2582" i="6"/>
  <c r="K2598" i="6"/>
  <c r="K2614" i="6"/>
  <c r="K2630" i="6"/>
  <c r="K2646" i="6"/>
  <c r="K2662" i="6"/>
  <c r="K2678" i="6"/>
  <c r="K2694" i="6"/>
  <c r="K2710" i="6"/>
  <c r="K2726" i="6"/>
  <c r="K2742" i="6"/>
  <c r="K2766" i="6"/>
  <c r="M2766" i="6"/>
  <c r="N2766" i="6"/>
  <c r="L2766" i="6"/>
  <c r="K2782" i="6"/>
  <c r="M2782" i="6"/>
  <c r="N2782" i="6"/>
  <c r="L2782" i="6"/>
  <c r="K2798" i="6"/>
  <c r="M2798" i="6"/>
  <c r="N2798" i="6"/>
  <c r="L2798" i="6"/>
  <c r="K2814" i="6"/>
  <c r="M2814" i="6"/>
  <c r="L2814" i="6"/>
  <c r="N2814" i="6"/>
  <c r="K2830" i="6"/>
  <c r="M2830" i="6"/>
  <c r="L2830" i="6"/>
  <c r="N2830" i="6"/>
  <c r="K2846" i="6"/>
  <c r="M2846" i="6"/>
  <c r="N2846" i="6"/>
  <c r="L2846" i="6"/>
  <c r="K2862" i="6"/>
  <c r="M2862" i="6"/>
  <c r="N2862" i="6"/>
  <c r="L2862" i="6"/>
  <c r="K2878" i="6"/>
  <c r="M2878" i="6"/>
  <c r="N2878" i="6"/>
  <c r="L2878" i="6"/>
  <c r="K2894" i="6"/>
  <c r="M2894" i="6"/>
  <c r="L2894" i="6"/>
  <c r="N2894" i="6"/>
  <c r="K2910" i="6"/>
  <c r="M2910" i="6"/>
  <c r="N2910" i="6"/>
  <c r="L2910" i="6"/>
  <c r="K2926" i="6"/>
  <c r="M2926" i="6"/>
  <c r="N2926" i="6"/>
  <c r="L2926" i="6"/>
  <c r="K2942" i="6"/>
  <c r="M2942" i="6"/>
  <c r="L2942" i="6"/>
  <c r="N2942" i="6"/>
  <c r="K2958" i="6"/>
  <c r="M2958" i="6"/>
  <c r="L2958" i="6"/>
  <c r="N2958" i="6"/>
  <c r="K2974" i="6"/>
  <c r="M2974" i="6"/>
  <c r="L2974" i="6"/>
  <c r="N2974" i="6"/>
  <c r="K2990" i="6"/>
  <c r="L2990" i="6"/>
  <c r="N2990" i="6"/>
  <c r="M2990" i="6"/>
  <c r="K2058" i="6"/>
  <c r="K2090" i="6"/>
  <c r="K2186" i="6"/>
  <c r="K2202" i="6"/>
  <c r="K2218" i="6"/>
  <c r="K2234" i="6"/>
  <c r="K2250" i="6"/>
  <c r="K2266" i="6"/>
  <c r="K2282" i="6"/>
  <c r="K2298" i="6"/>
  <c r="K2314" i="6"/>
  <c r="K2330" i="6"/>
  <c r="K2346" i="6"/>
  <c r="K2362" i="6"/>
  <c r="K2378" i="6"/>
  <c r="K2394" i="6"/>
  <c r="K2410" i="6"/>
  <c r="K2426" i="6"/>
  <c r="K2442" i="6"/>
  <c r="K2458" i="6"/>
  <c r="K2474" i="6"/>
  <c r="K2490" i="6"/>
  <c r="K2506" i="6"/>
  <c r="K2522" i="6"/>
  <c r="K2538" i="6"/>
  <c r="K2554" i="6"/>
  <c r="K2570" i="6"/>
  <c r="K2586" i="6"/>
  <c r="K2602" i="6"/>
  <c r="K2618" i="6"/>
  <c r="K2634" i="6"/>
  <c r="K2650" i="6"/>
  <c r="K2666" i="6"/>
  <c r="K2682" i="6"/>
  <c r="K2698" i="6"/>
  <c r="K2714" i="6"/>
  <c r="K2730" i="6"/>
  <c r="K2746" i="6"/>
  <c r="N286" i="6"/>
  <c r="N370" i="6"/>
  <c r="K6621" i="6"/>
  <c r="M6334" i="6"/>
  <c r="M6070" i="6"/>
  <c r="N6488" i="6"/>
  <c r="N6556" i="6"/>
  <c r="K112" i="6"/>
  <c r="M112" i="6" s="1"/>
  <c r="M6393" i="6"/>
  <c r="L6488" i="6"/>
  <c r="N5827" i="6"/>
  <c r="M5914" i="6"/>
  <c r="N6107" i="6"/>
  <c r="K6272" i="6"/>
  <c r="L6304" i="6"/>
  <c r="K6380" i="6"/>
  <c r="M6621" i="6"/>
  <c r="L6669" i="6"/>
  <c r="N6675" i="6"/>
  <c r="L6687" i="6"/>
  <c r="K144" i="6"/>
  <c r="M144" i="6" s="1"/>
  <c r="L6107" i="6"/>
  <c r="N6380" i="6"/>
  <c r="K6556" i="6"/>
  <c r="K3005" i="6"/>
  <c r="L3005" i="6"/>
  <c r="N3005" i="6"/>
  <c r="M3005" i="6"/>
  <c r="M3009" i="6"/>
  <c r="N3009" i="6"/>
  <c r="K3009" i="6"/>
  <c r="L3009" i="6"/>
  <c r="N3027" i="6"/>
  <c r="K3027" i="6"/>
  <c r="M3027" i="6"/>
  <c r="L3027" i="6"/>
  <c r="N3033" i="6"/>
  <c r="K3033" i="6"/>
  <c r="M3033" i="6"/>
  <c r="L3033" i="6"/>
  <c r="M3045" i="6"/>
  <c r="K3045" i="6"/>
  <c r="L3045" i="6"/>
  <c r="N3045" i="6"/>
  <c r="M3057" i="6"/>
  <c r="L3057" i="6"/>
  <c r="N3057" i="6"/>
  <c r="K3057" i="6"/>
  <c r="N3079" i="6"/>
  <c r="M3079" i="6"/>
  <c r="L3079" i="6"/>
  <c r="K3079" i="6"/>
  <c r="L3083" i="6"/>
  <c r="N3083" i="6"/>
  <c r="K3083" i="6"/>
  <c r="M3083" i="6"/>
  <c r="L3116" i="6"/>
  <c r="K3116" i="6"/>
  <c r="N3116" i="6"/>
  <c r="M3116" i="6"/>
  <c r="N3131" i="6"/>
  <c r="K3131" i="6"/>
  <c r="L3131" i="6"/>
  <c r="M3131" i="6"/>
  <c r="N3148" i="6"/>
  <c r="K3148" i="6"/>
  <c r="M3148" i="6"/>
  <c r="L3148" i="6"/>
  <c r="L3167" i="6"/>
  <c r="N3167" i="6"/>
  <c r="M3167" i="6"/>
  <c r="L3181" i="6"/>
  <c r="K3181" i="6"/>
  <c r="N3181" i="6"/>
  <c r="M3181" i="6"/>
  <c r="L3194" i="6"/>
  <c r="K3194" i="6"/>
  <c r="N3194" i="6"/>
  <c r="M3194" i="6"/>
  <c r="M3203" i="6"/>
  <c r="L3203" i="6"/>
  <c r="N3203" i="6"/>
  <c r="M3222" i="6"/>
  <c r="N3222" i="6"/>
  <c r="L3222" i="6"/>
  <c r="M3235" i="6"/>
  <c r="N3235" i="6"/>
  <c r="L3235" i="6"/>
  <c r="N3255" i="6"/>
  <c r="M3255" i="6"/>
  <c r="L3255" i="6"/>
  <c r="M3275" i="6"/>
  <c r="L3275" i="6"/>
  <c r="N3275" i="6"/>
  <c r="N3291" i="6"/>
  <c r="M3291" i="6"/>
  <c r="L3291" i="6"/>
  <c r="L3308" i="6"/>
  <c r="N3308" i="6"/>
  <c r="M3308" i="6"/>
  <c r="K3308" i="6"/>
  <c r="L3319" i="6"/>
  <c r="M3319" i="6"/>
  <c r="N3319" i="6"/>
  <c r="L3331" i="6"/>
  <c r="M3331" i="6"/>
  <c r="N3331" i="6"/>
  <c r="L3343" i="6"/>
  <c r="N3343" i="6"/>
  <c r="M3343" i="6"/>
  <c r="M3378" i="6"/>
  <c r="L3378" i="6"/>
  <c r="N3378" i="6"/>
  <c r="L3396" i="6"/>
  <c r="K3396" i="6"/>
  <c r="N3396" i="6"/>
  <c r="M3396" i="6"/>
  <c r="L3409" i="6"/>
  <c r="K3409" i="6"/>
  <c r="M3409" i="6"/>
  <c r="N3409" i="6"/>
  <c r="L3414" i="6"/>
  <c r="N3414" i="6"/>
  <c r="K3414" i="6"/>
  <c r="M3414" i="6"/>
  <c r="N3424" i="6"/>
  <c r="M3424" i="6"/>
  <c r="K3424" i="6"/>
  <c r="L3424" i="6"/>
  <c r="L3430" i="6"/>
  <c r="K3430" i="6"/>
  <c r="N3430" i="6"/>
  <c r="M3430" i="6"/>
  <c r="L3449" i="6"/>
  <c r="N3449" i="6"/>
  <c r="M3449" i="6"/>
  <c r="K3449" i="6"/>
  <c r="N3455" i="6"/>
  <c r="L3455" i="6"/>
  <c r="M3455" i="6"/>
  <c r="N3460" i="6"/>
  <c r="L3460" i="6"/>
  <c r="M3460" i="6"/>
  <c r="M3466" i="6"/>
  <c r="L3466" i="6"/>
  <c r="K3466" i="6"/>
  <c r="N3466" i="6"/>
  <c r="M3471" i="6"/>
  <c r="L3471" i="6"/>
  <c r="N3471" i="6"/>
  <c r="K3471" i="6"/>
  <c r="L3493" i="6"/>
  <c r="M3493" i="6"/>
  <c r="N3493" i="6"/>
  <c r="K3493" i="6"/>
  <c r="L3503" i="6"/>
  <c r="M3503" i="6"/>
  <c r="N3503" i="6"/>
  <c r="K3503" i="6"/>
  <c r="M3508" i="6"/>
  <c r="L3508" i="6"/>
  <c r="N3508" i="6"/>
  <c r="M3512" i="6"/>
  <c r="L3512" i="6"/>
  <c r="N3512" i="6"/>
  <c r="L3517" i="6"/>
  <c r="N3517" i="6"/>
  <c r="K3517" i="6"/>
  <c r="M3517" i="6"/>
  <c r="L3524" i="6"/>
  <c r="N3524" i="6"/>
  <c r="M3524" i="6"/>
  <c r="L3540" i="6"/>
  <c r="K3540" i="6"/>
  <c r="M3540" i="6"/>
  <c r="N3540" i="6"/>
  <c r="L3552" i="6"/>
  <c r="K3552" i="6"/>
  <c r="N3552" i="6"/>
  <c r="M3552" i="6"/>
  <c r="L3568" i="6"/>
  <c r="K3568" i="6"/>
  <c r="M3568" i="6"/>
  <c r="N3568" i="6"/>
  <c r="L3584" i="6"/>
  <c r="N3584" i="6"/>
  <c r="K3584" i="6"/>
  <c r="M3584" i="6"/>
  <c r="L3600" i="6"/>
  <c r="M3600" i="6"/>
  <c r="N3600" i="6"/>
  <c r="L3611" i="6"/>
  <c r="M3611" i="6"/>
  <c r="N3611" i="6"/>
  <c r="L3623" i="6"/>
  <c r="N3623" i="6"/>
  <c r="M3623" i="6"/>
  <c r="K3623" i="6"/>
  <c r="M3627" i="6"/>
  <c r="N3627" i="6"/>
  <c r="L3627" i="6"/>
  <c r="L3639" i="6"/>
  <c r="M3639" i="6"/>
  <c r="N3639" i="6"/>
  <c r="M3643" i="6"/>
  <c r="L3643" i="6"/>
  <c r="N3643" i="6"/>
  <c r="L3655" i="6"/>
  <c r="M3655" i="6"/>
  <c r="N3655" i="6"/>
  <c r="N3659" i="6"/>
  <c r="L3659" i="6"/>
  <c r="M3659" i="6"/>
  <c r="L3684" i="6"/>
  <c r="M3684" i="6"/>
  <c r="N3684" i="6"/>
  <c r="N3688" i="6"/>
  <c r="M3688" i="6"/>
  <c r="L3688" i="6"/>
  <c r="L3696" i="6"/>
  <c r="N3696" i="6"/>
  <c r="M3696" i="6"/>
  <c r="L3720" i="6"/>
  <c r="K3720" i="6"/>
  <c r="M3720" i="6"/>
  <c r="N3720" i="6"/>
  <c r="L3733" i="6"/>
  <c r="N3733" i="6"/>
  <c r="M3733" i="6"/>
  <c r="K3733" i="6"/>
  <c r="K3737" i="6"/>
  <c r="N3737" i="6"/>
  <c r="M3737" i="6"/>
  <c r="L3737" i="6"/>
  <c r="L3856" i="6"/>
  <c r="M3856" i="6"/>
  <c r="N3856" i="6"/>
  <c r="K3856" i="6"/>
  <c r="M3860" i="6"/>
  <c r="L3860" i="6"/>
  <c r="K3860" i="6"/>
  <c r="N3860" i="6"/>
  <c r="N3864" i="6"/>
  <c r="M3864" i="6"/>
  <c r="L3864" i="6"/>
  <c r="M3870" i="6"/>
  <c r="L3870" i="6"/>
  <c r="N3870" i="6"/>
  <c r="N3886" i="6"/>
  <c r="M3886" i="6"/>
  <c r="L3886" i="6"/>
  <c r="L3894" i="6"/>
  <c r="N3894" i="6"/>
  <c r="M3894" i="6"/>
  <c r="K3902" i="6"/>
  <c r="M3902" i="6"/>
  <c r="N3902" i="6"/>
  <c r="L3902" i="6"/>
  <c r="L3910" i="6"/>
  <c r="N3910" i="6"/>
  <c r="K3910" i="6"/>
  <c r="M3910" i="6"/>
  <c r="K3914" i="6"/>
  <c r="L3914" i="6"/>
  <c r="N3914" i="6"/>
  <c r="M3914" i="6"/>
  <c r="N3920" i="6"/>
  <c r="M3920" i="6"/>
  <c r="L3920" i="6"/>
  <c r="L3933" i="6"/>
  <c r="N3933" i="6"/>
  <c r="M3933" i="6"/>
  <c r="M3937" i="6"/>
  <c r="N3937" i="6"/>
  <c r="L3937" i="6"/>
  <c r="M3944" i="6"/>
  <c r="L3944" i="6"/>
  <c r="N3944" i="6"/>
  <c r="M3960" i="6"/>
  <c r="K3960" i="6"/>
  <c r="N3960" i="6"/>
  <c r="L3960" i="6"/>
  <c r="M3964" i="6"/>
  <c r="L3964" i="6"/>
  <c r="N3964" i="6"/>
  <c r="K3964" i="6"/>
  <c r="L3979" i="6"/>
  <c r="M3979" i="6"/>
  <c r="N3979" i="6"/>
  <c r="N3990" i="6"/>
  <c r="M3990" i="6"/>
  <c r="L3990" i="6"/>
  <c r="L3995" i="6"/>
  <c r="N3995" i="6"/>
  <c r="K3995" i="6"/>
  <c r="M3995" i="6"/>
  <c r="M4006" i="6"/>
  <c r="L4006" i="6"/>
  <c r="N4006" i="6"/>
  <c r="K4006" i="6"/>
  <c r="M4010" i="6"/>
  <c r="K4010" i="6"/>
  <c r="L4010" i="6"/>
  <c r="N4010" i="6"/>
  <c r="N4014" i="6"/>
  <c r="M4014" i="6"/>
  <c r="L4014" i="6"/>
  <c r="M4018" i="6"/>
  <c r="N4018" i="6"/>
  <c r="L4018" i="6"/>
  <c r="M4026" i="6"/>
  <c r="N4026" i="6"/>
  <c r="L4026" i="6"/>
  <c r="L4031" i="6"/>
  <c r="N4031" i="6"/>
  <c r="K4031" i="6"/>
  <c r="M4031" i="6"/>
  <c r="L4039" i="6"/>
  <c r="N4039" i="6"/>
  <c r="K4039" i="6"/>
  <c r="M4039" i="6"/>
  <c r="L4043" i="6"/>
  <c r="K4043" i="6"/>
  <c r="N4043" i="6"/>
  <c r="M4043" i="6"/>
  <c r="L4047" i="6"/>
  <c r="M4047" i="6"/>
  <c r="K4047" i="6"/>
  <c r="N4047" i="6"/>
  <c r="L4051" i="6"/>
  <c r="K4051" i="6"/>
  <c r="N4051" i="6"/>
  <c r="M4051" i="6"/>
  <c r="L4055" i="6"/>
  <c r="N4055" i="6"/>
  <c r="M4055" i="6"/>
  <c r="M4060" i="6"/>
  <c r="L4060" i="6"/>
  <c r="N4060" i="6"/>
  <c r="L4068" i="6"/>
  <c r="K4068" i="6"/>
  <c r="M4068" i="6"/>
  <c r="N4068" i="6"/>
  <c r="N4072" i="6"/>
  <c r="M4072" i="6"/>
  <c r="K4072" i="6"/>
  <c r="L4072" i="6"/>
  <c r="N4076" i="6"/>
  <c r="K4076" i="6"/>
  <c r="L4076" i="6"/>
  <c r="M4076" i="6"/>
  <c r="L4080" i="6"/>
  <c r="N4080" i="6"/>
  <c r="M4080" i="6"/>
  <c r="K4080" i="6"/>
  <c r="M4084" i="6"/>
  <c r="L4084" i="6"/>
  <c r="N4084" i="6"/>
  <c r="M4088" i="6"/>
  <c r="N4088" i="6"/>
  <c r="L4088" i="6"/>
  <c r="N4107" i="6"/>
  <c r="L4107" i="6"/>
  <c r="K4107" i="6"/>
  <c r="M4107" i="6"/>
  <c r="L4119" i="6"/>
  <c r="N4119" i="6"/>
  <c r="M4119" i="6"/>
  <c r="L4126" i="6"/>
  <c r="M4126" i="6"/>
  <c r="K4126" i="6"/>
  <c r="N4126" i="6"/>
  <c r="L4134" i="6"/>
  <c r="N4134" i="6"/>
  <c r="M4134" i="6"/>
  <c r="L4139" i="6"/>
  <c r="K4139" i="6"/>
  <c r="M4139" i="6"/>
  <c r="N4139" i="6"/>
  <c r="K4153" i="6"/>
  <c r="N4153" i="6"/>
  <c r="L4153" i="6"/>
  <c r="M4153" i="6"/>
  <c r="K4157" i="6"/>
  <c r="M4157" i="6"/>
  <c r="L4157" i="6"/>
  <c r="N4157" i="6"/>
  <c r="L4162" i="6"/>
  <c r="M4162" i="6"/>
  <c r="K4162" i="6"/>
  <c r="N4162" i="6"/>
  <c r="L4171" i="6"/>
  <c r="K4171" i="6"/>
  <c r="N4171" i="6"/>
  <c r="M4171" i="6"/>
  <c r="N4177" i="6"/>
  <c r="K4177" i="6"/>
  <c r="M4177" i="6"/>
  <c r="L4177" i="6"/>
  <c r="N4184" i="6"/>
  <c r="L4184" i="6"/>
  <c r="M4184" i="6"/>
  <c r="L4191" i="6"/>
  <c r="N4191" i="6"/>
  <c r="M4191" i="6"/>
  <c r="L4196" i="6"/>
  <c r="M4196" i="6"/>
  <c r="N4196" i="6"/>
  <c r="L4200" i="6"/>
  <c r="M4200" i="6"/>
  <c r="N4200" i="6"/>
  <c r="K4200" i="6"/>
  <c r="K4205" i="6"/>
  <c r="L4205" i="6"/>
  <c r="N4205" i="6"/>
  <c r="M4205" i="6"/>
  <c r="K4210" i="6"/>
  <c r="M4210" i="6"/>
  <c r="N4210" i="6"/>
  <c r="L4210" i="6"/>
  <c r="L4235" i="6"/>
  <c r="N4235" i="6"/>
  <c r="M4235" i="6"/>
  <c r="K4235" i="6"/>
  <c r="L4245" i="6"/>
  <c r="M4245" i="6"/>
  <c r="K4245" i="6"/>
  <c r="N4245" i="6"/>
  <c r="L4257" i="6"/>
  <c r="K4257" i="6"/>
  <c r="M4257" i="6"/>
  <c r="N4257" i="6"/>
  <c r="L4264" i="6"/>
  <c r="K4264" i="6"/>
  <c r="N4264" i="6"/>
  <c r="M4264" i="6"/>
  <c r="M4274" i="6"/>
  <c r="L4274" i="6"/>
  <c r="N4274" i="6"/>
  <c r="K4274" i="6"/>
  <c r="L4287" i="6"/>
  <c r="M4287" i="6"/>
  <c r="N4287" i="6"/>
  <c r="K4287" i="6"/>
  <c r="M4294" i="6"/>
  <c r="N4294" i="6"/>
  <c r="K4294" i="6"/>
  <c r="L4294" i="6"/>
  <c r="M4298" i="6"/>
  <c r="L4298" i="6"/>
  <c r="N4298" i="6"/>
  <c r="K4298" i="6"/>
  <c r="L4302" i="6"/>
  <c r="K4302" i="6"/>
  <c r="M4302" i="6"/>
  <c r="N4302" i="6"/>
  <c r="K4306" i="6"/>
  <c r="L4306" i="6"/>
  <c r="N4306" i="6"/>
  <c r="M4306" i="6"/>
  <c r="L4313" i="6"/>
  <c r="M4313" i="6"/>
  <c r="N4313" i="6"/>
  <c r="K4313" i="6"/>
  <c r="M4317" i="6"/>
  <c r="K4317" i="6"/>
  <c r="L4317" i="6"/>
  <c r="N4317" i="6"/>
  <c r="K4321" i="6"/>
  <c r="L4321" i="6"/>
  <c r="N4321" i="6"/>
  <c r="M4321" i="6"/>
  <c r="L4354" i="6"/>
  <c r="K4354" i="6"/>
  <c r="M4354" i="6"/>
  <c r="N4354" i="6"/>
  <c r="K4358" i="6"/>
  <c r="L4358" i="6"/>
  <c r="N4358" i="6"/>
  <c r="M4358" i="6"/>
  <c r="K4362" i="6"/>
  <c r="M4362" i="6"/>
  <c r="L4362" i="6"/>
  <c r="N4362" i="6"/>
  <c r="K4366" i="6"/>
  <c r="N4366" i="6"/>
  <c r="M4366" i="6"/>
  <c r="L4366" i="6"/>
  <c r="N4370" i="6"/>
  <c r="L4370" i="6"/>
  <c r="K4370" i="6"/>
  <c r="M4370" i="6"/>
  <c r="L4377" i="6"/>
  <c r="K4377" i="6"/>
  <c r="M4377" i="6"/>
  <c r="N4377" i="6"/>
  <c r="L4381" i="6"/>
  <c r="M4381" i="6"/>
  <c r="N4381" i="6"/>
  <c r="K4381" i="6"/>
  <c r="M4385" i="6"/>
  <c r="K4385" i="6"/>
  <c r="N4385" i="6"/>
  <c r="L4385" i="6"/>
  <c r="N4389" i="6"/>
  <c r="K4389" i="6"/>
  <c r="M4389" i="6"/>
  <c r="L4389" i="6"/>
  <c r="M4393" i="6"/>
  <c r="L4393" i="6"/>
  <c r="N4393" i="6"/>
  <c r="K4393" i="6"/>
  <c r="L4397" i="6"/>
  <c r="K4397" i="6"/>
  <c r="N4397" i="6"/>
  <c r="M4397" i="6"/>
  <c r="K4401" i="6"/>
  <c r="N4401" i="6"/>
  <c r="M4401" i="6"/>
  <c r="L4401" i="6"/>
  <c r="L4408" i="6"/>
  <c r="N4408" i="6"/>
  <c r="K4408" i="6"/>
  <c r="M4408" i="6"/>
  <c r="N4412" i="6"/>
  <c r="K4412" i="6"/>
  <c r="M4412" i="6"/>
  <c r="L4412" i="6"/>
  <c r="L4416" i="6"/>
  <c r="K4416" i="6"/>
  <c r="M4416" i="6"/>
  <c r="N4416" i="6"/>
  <c r="L4420" i="6"/>
  <c r="K4420" i="6"/>
  <c r="M4420" i="6"/>
  <c r="N4420" i="6"/>
  <c r="L4424" i="6"/>
  <c r="M4424" i="6"/>
  <c r="N4424" i="6"/>
  <c r="K4424" i="6"/>
  <c r="N4428" i="6"/>
  <c r="L4428" i="6"/>
  <c r="K4428" i="6"/>
  <c r="M4428" i="6"/>
  <c r="L4432" i="6"/>
  <c r="K4432" i="6"/>
  <c r="M4432" i="6"/>
  <c r="N4432" i="6"/>
  <c r="K4455" i="6"/>
  <c r="L4455" i="6"/>
  <c r="M4455" i="6"/>
  <c r="N4455" i="6"/>
  <c r="N4470" i="6"/>
  <c r="K4470" i="6"/>
  <c r="M4470" i="6"/>
  <c r="L4470" i="6"/>
  <c r="K4474" i="6"/>
  <c r="L4474" i="6"/>
  <c r="N4474" i="6"/>
  <c r="M4474" i="6"/>
  <c r="K4478" i="6"/>
  <c r="N4478" i="6"/>
  <c r="M4478" i="6"/>
  <c r="L4478" i="6"/>
  <c r="M4482" i="6"/>
  <c r="K4482" i="6"/>
  <c r="L4482" i="6"/>
  <c r="N4482" i="6"/>
  <c r="K4486" i="6"/>
  <c r="N4486" i="6"/>
  <c r="M4486" i="6"/>
  <c r="L4486" i="6"/>
  <c r="N4490" i="6"/>
  <c r="L4490" i="6"/>
  <c r="K4490" i="6"/>
  <c r="M4490" i="6"/>
  <c r="K4494" i="6"/>
  <c r="L4494" i="6"/>
  <c r="N4494" i="6"/>
  <c r="M4494" i="6"/>
  <c r="K4498" i="6"/>
  <c r="M4498" i="6"/>
  <c r="N4498" i="6"/>
  <c r="L4498" i="6"/>
  <c r="L4519" i="6"/>
  <c r="K4519" i="6"/>
  <c r="M4519" i="6"/>
  <c r="N4519" i="6"/>
  <c r="L4543" i="6"/>
  <c r="K4543" i="6"/>
  <c r="M4543" i="6"/>
  <c r="N4543" i="6"/>
  <c r="K4564" i="6"/>
  <c r="L4564" i="6"/>
  <c r="M4564" i="6"/>
  <c r="N4564" i="6"/>
  <c r="K4596" i="6"/>
  <c r="L4596" i="6"/>
  <c r="M4596" i="6"/>
  <c r="N4596" i="6"/>
  <c r="M4628" i="6"/>
  <c r="K4628" i="6"/>
  <c r="L4628" i="6"/>
  <c r="N4628" i="6"/>
  <c r="K4632" i="6"/>
  <c r="M4632" i="6"/>
  <c r="L4632" i="6"/>
  <c r="N4632" i="6"/>
  <c r="L4636" i="6"/>
  <c r="K4636" i="6"/>
  <c r="M4636" i="6"/>
  <c r="N4636" i="6"/>
  <c r="N4650" i="6"/>
  <c r="K4650" i="6"/>
  <c r="L4650" i="6"/>
  <c r="M4650" i="6"/>
  <c r="L4654" i="6"/>
  <c r="M4654" i="6"/>
  <c r="N4654" i="6"/>
  <c r="K4654" i="6"/>
  <c r="K4658" i="6"/>
  <c r="M4658" i="6"/>
  <c r="L4658" i="6"/>
  <c r="N4658" i="6"/>
  <c r="N4666" i="6"/>
  <c r="L4666" i="6"/>
  <c r="M4666" i="6"/>
  <c r="K4666" i="6"/>
  <c r="M4670" i="6"/>
  <c r="K4670" i="6"/>
  <c r="L4670" i="6"/>
  <c r="N4670" i="6"/>
  <c r="K4674" i="6"/>
  <c r="N4674" i="6"/>
  <c r="M4674" i="6"/>
  <c r="L4674" i="6"/>
  <c r="L4684" i="6"/>
  <c r="K4684" i="6"/>
  <c r="M4684" i="6"/>
  <c r="N4684" i="6"/>
  <c r="K4688" i="6"/>
  <c r="L4688" i="6"/>
  <c r="N4688" i="6"/>
  <c r="M4688" i="6"/>
  <c r="L4700" i="6"/>
  <c r="K4700" i="6"/>
  <c r="M4700" i="6"/>
  <c r="N4700" i="6"/>
  <c r="L4709" i="6"/>
  <c r="N4709" i="6"/>
  <c r="K4709" i="6"/>
  <c r="M4709" i="6"/>
  <c r="L4713" i="6"/>
  <c r="N4713" i="6"/>
  <c r="M4713" i="6"/>
  <c r="K4713" i="6"/>
  <c r="L4717" i="6"/>
  <c r="N4717" i="6"/>
  <c r="K4717" i="6"/>
  <c r="M4717" i="6"/>
  <c r="L4725" i="6"/>
  <c r="K4725" i="6"/>
  <c r="M4725" i="6"/>
  <c r="N4725" i="6"/>
  <c r="K4731" i="6"/>
  <c r="L4731" i="6"/>
  <c r="N4731" i="6"/>
  <c r="M4731" i="6"/>
  <c r="K4754" i="6"/>
  <c r="L4754" i="6"/>
  <c r="N4754" i="6"/>
  <c r="M4754" i="6"/>
  <c r="L4762" i="6"/>
  <c r="K4762" i="6"/>
  <c r="M4762" i="6"/>
  <c r="N4762" i="6"/>
  <c r="N4770" i="6"/>
  <c r="K4770" i="6"/>
  <c r="M4770" i="6"/>
  <c r="L4770" i="6"/>
  <c r="L4782" i="6"/>
  <c r="K4782" i="6"/>
  <c r="M4782" i="6"/>
  <c r="N4782" i="6"/>
  <c r="K4786" i="6"/>
  <c r="M4786" i="6"/>
  <c r="L4786" i="6"/>
  <c r="N4786" i="6"/>
  <c r="N4796" i="6"/>
  <c r="M4796" i="6"/>
  <c r="L4796" i="6"/>
  <c r="K4796" i="6"/>
  <c r="L4800" i="6"/>
  <c r="N4800" i="6"/>
  <c r="K4800" i="6"/>
  <c r="M4800" i="6"/>
  <c r="L4810" i="6"/>
  <c r="K4810" i="6"/>
  <c r="M4810" i="6"/>
  <c r="N4810" i="6"/>
  <c r="N4818" i="6"/>
  <c r="K4818" i="6"/>
  <c r="M4818" i="6"/>
  <c r="L4818" i="6"/>
  <c r="L4830" i="6"/>
  <c r="N4830" i="6"/>
  <c r="K4830" i="6"/>
  <c r="M4830" i="6"/>
  <c r="K4834" i="6"/>
  <c r="N4834" i="6"/>
  <c r="M4834" i="6"/>
  <c r="L4834" i="6"/>
  <c r="N4841" i="6"/>
  <c r="M4841" i="6"/>
  <c r="L4841" i="6"/>
  <c r="K4841" i="6"/>
  <c r="L4854" i="6"/>
  <c r="M4854" i="6"/>
  <c r="N4854" i="6"/>
  <c r="K4854" i="6"/>
  <c r="K4858" i="6"/>
  <c r="M4858" i="6"/>
  <c r="L4858" i="6"/>
  <c r="N4858" i="6"/>
  <c r="M4869" i="6"/>
  <c r="L4869" i="6"/>
  <c r="N4869" i="6"/>
  <c r="K4869" i="6"/>
  <c r="M4873" i="6"/>
  <c r="L4873" i="6"/>
  <c r="K4873" i="6"/>
  <c r="N4873" i="6"/>
  <c r="L4884" i="6"/>
  <c r="M4884" i="6"/>
  <c r="K4884" i="6"/>
  <c r="N4884" i="6"/>
  <c r="M4891" i="6"/>
  <c r="K4891" i="6"/>
  <c r="L4891" i="6"/>
  <c r="N4891" i="6"/>
  <c r="K4898" i="6"/>
  <c r="L4898" i="6"/>
  <c r="N4898" i="6"/>
  <c r="M4898" i="6"/>
  <c r="K4906" i="6"/>
  <c r="M4906" i="6"/>
  <c r="L4906" i="6"/>
  <c r="N4906" i="6"/>
  <c r="K4914" i="6"/>
  <c r="M4914" i="6"/>
  <c r="L4914" i="6"/>
  <c r="N4914" i="6"/>
  <c r="L4918" i="6"/>
  <c r="K4918" i="6"/>
  <c r="M4918" i="6"/>
  <c r="N4918" i="6"/>
  <c r="K4922" i="6"/>
  <c r="N4922" i="6"/>
  <c r="M4922" i="6"/>
  <c r="L4922" i="6"/>
  <c r="L4926" i="6"/>
  <c r="N4926" i="6"/>
  <c r="K4926" i="6"/>
  <c r="M4926" i="6"/>
  <c r="K4938" i="6"/>
  <c r="L4938" i="6"/>
  <c r="N4938" i="6"/>
  <c r="M4938" i="6"/>
  <c r="L4942" i="6"/>
  <c r="M4942" i="6"/>
  <c r="N4942" i="6"/>
  <c r="K4942" i="6"/>
  <c r="K4946" i="6"/>
  <c r="M4946" i="6"/>
  <c r="L4946" i="6"/>
  <c r="N4946" i="6"/>
  <c r="K4962" i="6"/>
  <c r="M4962" i="6"/>
  <c r="L4962" i="6"/>
  <c r="N4962" i="6"/>
  <c r="K4970" i="6"/>
  <c r="N4970" i="6"/>
  <c r="M4970" i="6"/>
  <c r="L4970" i="6"/>
  <c r="L4974" i="6"/>
  <c r="K4974" i="6"/>
  <c r="M4974" i="6"/>
  <c r="N4974" i="6"/>
  <c r="M4989" i="6"/>
  <c r="K4989" i="6"/>
  <c r="N4989" i="6"/>
  <c r="L4989" i="6"/>
  <c r="K4993" i="6"/>
  <c r="L4993" i="6"/>
  <c r="M4993" i="6"/>
  <c r="N4993" i="6"/>
  <c r="L5001" i="6"/>
  <c r="M5001" i="6"/>
  <c r="K5001" i="6"/>
  <c r="N5001" i="6"/>
  <c r="L5009" i="6"/>
  <c r="K5009" i="6"/>
  <c r="M5009" i="6"/>
  <c r="N5009" i="6"/>
  <c r="K5013" i="6"/>
  <c r="M5013" i="6"/>
  <c r="L5013" i="6"/>
  <c r="N5013" i="6"/>
  <c r="N5033" i="6"/>
  <c r="K5033" i="6"/>
  <c r="M5033" i="6"/>
  <c r="L5033" i="6"/>
  <c r="M5037" i="6"/>
  <c r="N5037" i="6"/>
  <c r="K5037" i="6"/>
  <c r="L5037" i="6"/>
  <c r="N5041" i="6"/>
  <c r="L5041" i="6"/>
  <c r="M5041" i="6"/>
  <c r="K5041" i="6"/>
  <c r="K5045" i="6"/>
  <c r="N5045" i="6"/>
  <c r="L5045" i="6"/>
  <c r="M5045" i="6"/>
  <c r="M5055" i="6"/>
  <c r="N5055" i="6"/>
  <c r="K5055" i="6"/>
  <c r="L5055" i="6"/>
  <c r="N5063" i="6"/>
  <c r="M5063" i="6"/>
  <c r="K5063" i="6"/>
  <c r="L5063" i="6"/>
  <c r="K5083" i="6"/>
  <c r="L5083" i="6"/>
  <c r="M5083" i="6"/>
  <c r="N5083" i="6"/>
  <c r="L5087" i="6"/>
  <c r="K5087" i="6"/>
  <c r="M5087" i="6"/>
  <c r="N5087" i="6"/>
  <c r="N5094" i="6"/>
  <c r="M5094" i="6"/>
  <c r="L5094" i="6"/>
  <c r="K5094" i="6"/>
  <c r="K5099" i="6"/>
  <c r="M5099" i="6"/>
  <c r="N5099" i="6"/>
  <c r="L5099" i="6"/>
  <c r="L5127" i="6"/>
  <c r="N5127" i="6"/>
  <c r="K5127" i="6"/>
  <c r="M5127" i="6"/>
  <c r="M5137" i="6"/>
  <c r="L5137" i="6"/>
  <c r="K5137" i="6"/>
  <c r="N5137" i="6"/>
  <c r="M5147" i="6"/>
  <c r="N5147" i="6"/>
  <c r="K5147" i="6"/>
  <c r="L5147" i="6"/>
  <c r="M5160" i="6"/>
  <c r="L5160" i="6"/>
  <c r="N5160" i="6"/>
  <c r="K5160" i="6"/>
  <c r="L5199" i="6"/>
  <c r="N5199" i="6"/>
  <c r="K5199" i="6"/>
  <c r="M5199" i="6"/>
  <c r="N5203" i="6"/>
  <c r="M5203" i="6"/>
  <c r="K5203" i="6"/>
  <c r="L5203" i="6"/>
  <c r="L5221" i="6"/>
  <c r="K5221" i="6"/>
  <c r="N5221" i="6"/>
  <c r="M5221" i="6"/>
  <c r="M5225" i="6"/>
  <c r="L5225" i="6"/>
  <c r="N5225" i="6"/>
  <c r="K5225" i="6"/>
  <c r="L5235" i="6"/>
  <c r="M5235" i="6"/>
  <c r="N5235" i="6"/>
  <c r="K5235" i="6"/>
  <c r="M5239" i="6"/>
  <c r="K5239" i="6"/>
  <c r="L5239" i="6"/>
  <c r="N5239" i="6"/>
  <c r="N5243" i="6"/>
  <c r="M5243" i="6"/>
  <c r="L5243" i="6"/>
  <c r="K5243" i="6"/>
  <c r="L5247" i="6"/>
  <c r="M5247" i="6"/>
  <c r="K5247" i="6"/>
  <c r="N5247" i="6"/>
  <c r="L5255" i="6"/>
  <c r="M5255" i="6"/>
  <c r="N5255" i="6"/>
  <c r="K5255" i="6"/>
  <c r="L5259" i="6"/>
  <c r="K5259" i="6"/>
  <c r="M5259" i="6"/>
  <c r="N5259" i="6"/>
  <c r="L5263" i="6"/>
  <c r="M5263" i="6"/>
  <c r="K5263" i="6"/>
  <c r="N5263" i="6"/>
  <c r="N5267" i="6"/>
  <c r="M5267" i="6"/>
  <c r="L5267" i="6"/>
  <c r="K5267" i="6"/>
  <c r="L5273" i="6"/>
  <c r="K5273" i="6"/>
  <c r="M5273" i="6"/>
  <c r="N5273" i="6"/>
  <c r="K5290" i="6"/>
  <c r="N5290" i="6"/>
  <c r="M5290" i="6"/>
  <c r="L5290" i="6"/>
  <c r="M5297" i="6"/>
  <c r="K5297" i="6"/>
  <c r="L5297" i="6"/>
  <c r="N5297" i="6"/>
  <c r="M5304" i="6"/>
  <c r="L5304" i="6"/>
  <c r="N5304" i="6"/>
  <c r="K5304" i="6"/>
  <c r="K5322" i="6"/>
  <c r="L5322" i="6"/>
  <c r="N5322" i="6"/>
  <c r="M5322" i="6"/>
  <c r="K5326" i="6"/>
  <c r="L5326" i="6"/>
  <c r="N5326" i="6"/>
  <c r="M5326" i="6"/>
  <c r="M5337" i="6"/>
  <c r="N5337" i="6"/>
  <c r="K5337" i="6"/>
  <c r="L5337" i="6"/>
  <c r="L5353" i="6"/>
  <c r="N5353" i="6"/>
  <c r="M5353" i="6"/>
  <c r="K5353" i="6"/>
  <c r="M5357" i="6"/>
  <c r="N5357" i="6"/>
  <c r="K5357" i="6"/>
  <c r="L5357" i="6"/>
  <c r="M5361" i="6"/>
  <c r="K5361" i="6"/>
  <c r="L5361" i="6"/>
  <c r="N5361" i="6"/>
  <c r="N5365" i="6"/>
  <c r="K5365" i="6"/>
  <c r="M5365" i="6"/>
  <c r="L5365" i="6"/>
  <c r="N5381" i="6"/>
  <c r="L5381" i="6"/>
  <c r="K5381" i="6"/>
  <c r="M5381" i="6"/>
  <c r="L5396" i="6"/>
  <c r="M5396" i="6"/>
  <c r="N5396" i="6"/>
  <c r="K5396" i="6"/>
  <c r="N5416" i="6"/>
  <c r="M5416" i="6"/>
  <c r="L5416" i="6"/>
  <c r="K5416" i="6"/>
  <c r="L5420" i="6"/>
  <c r="K5420" i="6"/>
  <c r="M5420" i="6"/>
  <c r="N5420" i="6"/>
  <c r="K5424" i="6"/>
  <c r="L5424" i="6"/>
  <c r="N5424" i="6"/>
  <c r="M5424" i="6"/>
  <c r="N5428" i="6"/>
  <c r="M5428" i="6"/>
  <c r="L5428" i="6"/>
  <c r="K5428" i="6"/>
  <c r="K5444" i="6"/>
  <c r="M5444" i="6"/>
  <c r="L5444" i="6"/>
  <c r="N5444" i="6"/>
  <c r="K5457" i="6"/>
  <c r="N5457" i="6"/>
  <c r="L5457" i="6"/>
  <c r="M5457" i="6"/>
  <c r="L5461" i="6"/>
  <c r="M5461" i="6"/>
  <c r="K5461" i="6"/>
  <c r="N5461" i="6"/>
  <c r="K5470" i="6"/>
  <c r="M5470" i="6"/>
  <c r="L5470" i="6"/>
  <c r="N5470" i="6"/>
  <c r="N5474" i="6"/>
  <c r="L5474" i="6"/>
  <c r="K5474" i="6"/>
  <c r="M5474" i="6"/>
  <c r="K5482" i="6"/>
  <c r="L5482" i="6"/>
  <c r="N5482" i="6"/>
  <c r="M5482" i="6"/>
  <c r="K5486" i="6"/>
  <c r="M5486" i="6"/>
  <c r="L5486" i="6"/>
  <c r="N5486" i="6"/>
  <c r="K5498" i="6"/>
  <c r="M5498" i="6"/>
  <c r="L5498" i="6"/>
  <c r="N5498" i="6"/>
  <c r="L5512" i="6"/>
  <c r="K5512" i="6"/>
  <c r="M5512" i="6"/>
  <c r="N5512" i="6"/>
  <c r="K5518" i="6"/>
  <c r="N5518" i="6"/>
  <c r="M5518" i="6"/>
  <c r="L5518" i="6"/>
  <c r="M5524" i="6"/>
  <c r="N5524" i="6"/>
  <c r="L5524" i="6"/>
  <c r="K5524" i="6"/>
  <c r="N5532" i="6"/>
  <c r="L5532" i="6"/>
  <c r="K5532" i="6"/>
  <c r="M5532" i="6"/>
  <c r="N5536" i="6"/>
  <c r="K5536" i="6"/>
  <c r="L5536" i="6"/>
  <c r="M5536" i="6"/>
  <c r="K5540" i="6"/>
  <c r="L5540" i="6"/>
  <c r="M5540" i="6"/>
  <c r="N5540" i="6"/>
  <c r="N5548" i="6"/>
  <c r="L5548" i="6"/>
  <c r="K5548" i="6"/>
  <c r="M5548" i="6"/>
  <c r="N5552" i="6"/>
  <c r="L5552" i="6"/>
  <c r="M5552" i="6"/>
  <c r="K5552" i="6"/>
  <c r="K5556" i="6"/>
  <c r="L5556" i="6"/>
  <c r="N5556" i="6"/>
  <c r="M5556" i="6"/>
  <c r="N5564" i="6"/>
  <c r="M5564" i="6"/>
  <c r="K5564" i="6"/>
  <c r="L5564" i="6"/>
  <c r="N5568" i="6"/>
  <c r="L5568" i="6"/>
  <c r="K5568" i="6"/>
  <c r="M5568" i="6"/>
  <c r="M5572" i="6"/>
  <c r="L5572" i="6"/>
  <c r="N5572" i="6"/>
  <c r="K5572" i="6"/>
  <c r="K5580" i="6"/>
  <c r="L5580" i="6"/>
  <c r="M5580" i="6"/>
  <c r="N5580" i="6"/>
  <c r="N5584" i="6"/>
  <c r="M5584" i="6"/>
  <c r="L5584" i="6"/>
  <c r="K5584" i="6"/>
  <c r="M5590" i="6"/>
  <c r="N5590" i="6"/>
  <c r="K5590" i="6"/>
  <c r="L5590" i="6"/>
  <c r="M5606" i="6"/>
  <c r="L5606" i="6"/>
  <c r="N5606" i="6"/>
  <c r="K5606" i="6"/>
  <c r="L5615" i="6"/>
  <c r="N5615" i="6"/>
  <c r="M5615" i="6"/>
  <c r="K5615" i="6"/>
  <c r="L5621" i="6"/>
  <c r="K5621" i="6"/>
  <c r="M5621" i="6"/>
  <c r="N5621" i="6"/>
  <c r="K5625" i="6"/>
  <c r="M5625" i="6"/>
  <c r="L5625" i="6"/>
  <c r="N5625" i="6"/>
  <c r="N5636" i="6"/>
  <c r="M5636" i="6"/>
  <c r="L5636" i="6"/>
  <c r="L5643" i="6"/>
  <c r="K5643" i="6"/>
  <c r="M5643" i="6"/>
  <c r="N5643" i="6"/>
  <c r="M5652" i="6"/>
  <c r="L5652" i="6"/>
  <c r="K5652" i="6"/>
  <c r="N5652" i="6"/>
  <c r="K5659" i="6"/>
  <c r="M5659" i="6"/>
  <c r="L5659" i="6"/>
  <c r="N5659" i="6"/>
  <c r="L5663" i="6"/>
  <c r="K5663" i="6"/>
  <c r="N5663" i="6"/>
  <c r="M5663" i="6"/>
  <c r="L5668" i="6"/>
  <c r="K5668" i="6"/>
  <c r="M5668" i="6"/>
  <c r="N5668" i="6"/>
  <c r="K5680" i="6"/>
  <c r="M5680" i="6"/>
  <c r="N5680" i="6"/>
  <c r="L5680" i="6"/>
  <c r="M5696" i="6"/>
  <c r="L5696" i="6"/>
  <c r="K5696" i="6"/>
  <c r="N5696" i="6"/>
  <c r="K5700" i="6"/>
  <c r="L5700" i="6"/>
  <c r="N5700" i="6"/>
  <c r="M5700" i="6"/>
  <c r="K5704" i="6"/>
  <c r="M5704" i="6"/>
  <c r="N5704" i="6"/>
  <c r="L5704" i="6"/>
  <c r="K5708" i="6"/>
  <c r="M5708" i="6"/>
  <c r="L5708" i="6"/>
  <c r="N5708" i="6"/>
  <c r="N5722" i="6"/>
  <c r="K5722" i="6"/>
  <c r="M5722" i="6"/>
  <c r="L5722" i="6"/>
  <c r="L5726" i="6"/>
  <c r="K5726" i="6"/>
  <c r="M5726" i="6"/>
  <c r="N5726" i="6"/>
  <c r="K5730" i="6"/>
  <c r="M5730" i="6"/>
  <c r="N5730" i="6"/>
  <c r="L5730" i="6"/>
  <c r="N5734" i="6"/>
  <c r="L5734" i="6"/>
  <c r="K5734" i="6"/>
  <c r="M5734" i="6"/>
  <c r="M5741" i="6"/>
  <c r="N5741" i="6"/>
  <c r="K5741" i="6"/>
  <c r="L5741" i="6"/>
  <c r="K5745" i="6"/>
  <c r="L5745" i="6"/>
  <c r="N5745" i="6"/>
  <c r="M5745" i="6"/>
  <c r="N5749" i="6"/>
  <c r="K5749" i="6"/>
  <c r="M5749" i="6"/>
  <c r="L5749" i="6"/>
  <c r="L5770" i="6"/>
  <c r="K5770" i="6"/>
  <c r="N5770" i="6"/>
  <c r="M5770" i="6"/>
  <c r="N5774" i="6"/>
  <c r="M5774" i="6"/>
  <c r="L5774" i="6"/>
  <c r="K5774" i="6"/>
  <c r="N5785" i="6"/>
  <c r="M5785" i="6"/>
  <c r="L5785" i="6"/>
  <c r="K5785" i="6"/>
  <c r="L5789" i="6"/>
  <c r="K5789" i="6"/>
  <c r="M5789" i="6"/>
  <c r="N5789" i="6"/>
  <c r="N5798" i="6"/>
  <c r="M5798" i="6"/>
  <c r="L5798" i="6"/>
  <c r="K5798" i="6"/>
  <c r="N5803" i="6"/>
  <c r="L5803" i="6"/>
  <c r="M5803" i="6"/>
  <c r="K5803" i="6"/>
  <c r="K5814" i="6"/>
  <c r="N5814" i="6"/>
  <c r="L5814" i="6"/>
  <c r="M5818" i="6"/>
  <c r="K5818" i="6"/>
  <c r="L5818" i="6"/>
  <c r="N5818" i="6"/>
  <c r="M5823" i="6"/>
  <c r="N5823" i="6"/>
  <c r="K5823" i="6"/>
  <c r="L5823" i="6"/>
  <c r="M5827" i="6"/>
  <c r="K5827" i="6"/>
  <c r="L5831" i="6"/>
  <c r="N5831" i="6"/>
  <c r="K5831" i="6"/>
  <c r="M5831" i="6"/>
  <c r="N5835" i="6"/>
  <c r="K5835" i="6"/>
  <c r="L5835" i="6"/>
  <c r="M5835" i="6"/>
  <c r="M5844" i="6"/>
  <c r="L5844" i="6"/>
  <c r="K5844" i="6"/>
  <c r="N5844" i="6"/>
  <c r="L5849" i="6"/>
  <c r="K5849" i="6"/>
  <c r="N5849" i="6"/>
  <c r="M5849" i="6"/>
  <c r="K5856" i="6"/>
  <c r="N5856" i="6"/>
  <c r="M5856" i="6"/>
  <c r="L5856" i="6"/>
  <c r="M5860" i="6"/>
  <c r="K5860" i="6"/>
  <c r="L5860" i="6"/>
  <c r="N5860" i="6"/>
  <c r="K5864" i="6"/>
  <c r="N5864" i="6"/>
  <c r="M5864" i="6"/>
  <c r="L5864" i="6"/>
  <c r="K5868" i="6"/>
  <c r="M5868" i="6"/>
  <c r="L5868" i="6"/>
  <c r="N5868" i="6"/>
  <c r="M5874" i="6"/>
  <c r="N5874" i="6"/>
  <c r="L5874" i="6"/>
  <c r="K5874" i="6"/>
  <c r="N5878" i="6"/>
  <c r="L5878" i="6"/>
  <c r="K5878" i="6"/>
  <c r="M5878" i="6"/>
  <c r="L5887" i="6"/>
  <c r="K5887" i="6"/>
  <c r="M5887" i="6"/>
  <c r="N5887" i="6"/>
  <c r="L5894" i="6"/>
  <c r="K5894" i="6"/>
  <c r="M5894" i="6"/>
  <c r="N5894" i="6"/>
  <c r="K5898" i="6"/>
  <c r="M5898" i="6"/>
  <c r="N5898" i="6"/>
  <c r="L5898" i="6"/>
  <c r="M5908" i="6"/>
  <c r="K5908" i="6"/>
  <c r="L5908" i="6"/>
  <c r="N5908" i="6"/>
  <c r="N5914" i="6"/>
  <c r="K5914" i="6"/>
  <c r="M5922" i="6"/>
  <c r="K5922" i="6"/>
  <c r="L5922" i="6"/>
  <c r="N5922" i="6"/>
  <c r="L5927" i="6"/>
  <c r="K5927" i="6"/>
  <c r="M5927" i="6"/>
  <c r="N5927" i="6"/>
  <c r="M5943" i="6"/>
  <c r="L5943" i="6"/>
  <c r="N5943" i="6"/>
  <c r="K5943" i="6"/>
  <c r="L5950" i="6"/>
  <c r="K5950" i="6"/>
  <c r="M5950" i="6"/>
  <c r="N5950" i="6"/>
  <c r="L5954" i="6"/>
  <c r="M5954" i="6"/>
  <c r="N5954" i="6"/>
  <c r="K5954" i="6"/>
  <c r="K5965" i="6"/>
  <c r="L5965" i="6"/>
  <c r="N5965" i="6"/>
  <c r="M5965" i="6"/>
  <c r="M5969" i="6"/>
  <c r="N5969" i="6"/>
  <c r="K5969" i="6"/>
  <c r="L5969" i="6"/>
  <c r="L5975" i="6"/>
  <c r="K5975" i="6"/>
  <c r="M5975" i="6"/>
  <c r="N5975" i="6"/>
  <c r="L5987" i="6"/>
  <c r="K5987" i="6"/>
  <c r="N5987" i="6"/>
  <c r="M5987" i="6"/>
  <c r="L5996" i="6"/>
  <c r="M5996" i="6"/>
  <c r="K5996" i="6"/>
  <c r="N5996" i="6"/>
  <c r="L6004" i="6"/>
  <c r="M6004" i="6"/>
  <c r="K6004" i="6"/>
  <c r="N6004" i="6"/>
  <c r="K6010" i="6"/>
  <c r="N6010" i="6"/>
  <c r="M6010" i="6"/>
  <c r="L6010" i="6"/>
  <c r="L6020" i="6"/>
  <c r="K6020" i="6"/>
  <c r="N6020" i="6"/>
  <c r="M6020" i="6"/>
  <c r="L6028" i="6"/>
  <c r="M6028" i="6"/>
  <c r="N6028" i="6"/>
  <c r="K6028" i="6"/>
  <c r="K6034" i="6"/>
  <c r="L6034" i="6"/>
  <c r="M6034" i="6"/>
  <c r="N6034" i="6"/>
  <c r="L6044" i="6"/>
  <c r="K6044" i="6"/>
  <c r="N6044" i="6"/>
  <c r="M6044" i="6"/>
  <c r="L6050" i="6"/>
  <c r="N6050" i="6"/>
  <c r="M6050" i="6"/>
  <c r="K6050" i="6"/>
  <c r="N6058" i="6"/>
  <c r="K6058" i="6"/>
  <c r="L6058" i="6"/>
  <c r="M6058" i="6"/>
  <c r="K6062" i="6"/>
  <c r="N6062" i="6"/>
  <c r="M6062" i="6"/>
  <c r="L6062" i="6"/>
  <c r="K6070" i="6"/>
  <c r="N6070" i="6"/>
  <c r="L6076" i="6"/>
  <c r="K6076" i="6"/>
  <c r="N6076" i="6"/>
  <c r="M6076" i="6"/>
  <c r="M6080" i="6"/>
  <c r="K6080" i="6"/>
  <c r="N6080" i="6"/>
  <c r="L6080" i="6"/>
  <c r="M6085" i="6"/>
  <c r="N6085" i="6"/>
  <c r="K6085" i="6"/>
  <c r="L6085" i="6"/>
  <c r="M6089" i="6"/>
  <c r="L6089" i="6"/>
  <c r="N6089" i="6"/>
  <c r="K6089" i="6"/>
  <c r="M6098" i="6"/>
  <c r="K6098" i="6"/>
  <c r="L6098" i="6"/>
  <c r="N6098" i="6"/>
  <c r="K6115" i="6"/>
  <c r="N6115" i="6"/>
  <c r="L6115" i="6"/>
  <c r="M6121" i="6"/>
  <c r="L6121" i="6"/>
  <c r="N6121" i="6"/>
  <c r="K6121" i="6"/>
  <c r="K6130" i="6"/>
  <c r="M6130" i="6"/>
  <c r="N6130" i="6"/>
  <c r="M6136" i="6"/>
  <c r="K6136" i="6"/>
  <c r="L6136" i="6"/>
  <c r="K6144" i="6"/>
  <c r="N6144" i="6"/>
  <c r="M6144" i="6"/>
  <c r="L6144" i="6"/>
  <c r="M6153" i="6"/>
  <c r="N6153" i="6"/>
  <c r="K6153" i="6"/>
  <c r="L6153" i="6"/>
  <c r="K6159" i="6"/>
  <c r="L6159" i="6"/>
  <c r="N6159" i="6"/>
  <c r="M6166" i="6"/>
  <c r="N6166" i="6"/>
  <c r="K6166" i="6"/>
  <c r="L6166" i="6"/>
  <c r="K6176" i="6"/>
  <c r="N6176" i="6"/>
  <c r="L6176" i="6"/>
  <c r="K6183" i="6"/>
  <c r="N6183" i="6"/>
  <c r="M6183" i="6"/>
  <c r="L6183" i="6"/>
  <c r="K6192" i="6"/>
  <c r="M6192" i="6"/>
  <c r="N6192" i="6"/>
  <c r="M6201" i="6"/>
  <c r="L6201" i="6"/>
  <c r="K6201" i="6"/>
  <c r="N6201" i="6"/>
  <c r="K6216" i="6"/>
  <c r="N6216" i="6"/>
  <c r="M6227" i="6"/>
  <c r="L6227" i="6"/>
  <c r="M6234" i="6"/>
  <c r="K6234" i="6"/>
  <c r="N6234" i="6"/>
  <c r="L6234" i="6"/>
  <c r="N6244" i="6"/>
  <c r="K6244" i="6"/>
  <c r="M6244" i="6"/>
  <c r="M6250" i="6"/>
  <c r="L6250" i="6"/>
  <c r="N6250" i="6"/>
  <c r="K6250" i="6"/>
  <c r="M6259" i="6"/>
  <c r="N6259" i="6"/>
  <c r="M6265" i="6"/>
  <c r="K6265" i="6"/>
  <c r="N6265" i="6"/>
  <c r="L6265" i="6"/>
  <c r="L6272" i="6"/>
  <c r="M6272" i="6"/>
  <c r="N6280" i="6"/>
  <c r="K6280" i="6"/>
  <c r="L6280" i="6"/>
  <c r="M6280" i="6"/>
  <c r="N6290" i="6"/>
  <c r="K6290" i="6"/>
  <c r="L6290" i="6"/>
  <c r="M6290" i="6"/>
  <c r="N6295" i="6"/>
  <c r="M6295" i="6"/>
  <c r="L6295" i="6"/>
  <c r="N6304" i="6"/>
  <c r="M6304" i="6"/>
  <c r="L6314" i="6"/>
  <c r="M6314" i="6"/>
  <c r="K6314" i="6"/>
  <c r="K6321" i="6"/>
  <c r="L6321" i="6"/>
  <c r="N6321" i="6"/>
  <c r="M6321" i="6"/>
  <c r="M6326" i="6"/>
  <c r="N6326" i="6"/>
  <c r="L6326" i="6"/>
  <c r="K6326" i="6"/>
  <c r="N6334" i="6"/>
  <c r="K6334" i="6"/>
  <c r="N6347" i="6"/>
  <c r="M6347" i="6"/>
  <c r="L6347" i="6"/>
  <c r="L6360" i="6"/>
  <c r="N6360" i="6"/>
  <c r="M6360" i="6"/>
  <c r="K6360" i="6"/>
  <c r="N6368" i="6"/>
  <c r="L6368" i="6"/>
  <c r="M6368" i="6"/>
  <c r="K6368" i="6"/>
  <c r="L6375" i="6"/>
  <c r="N6375" i="6"/>
  <c r="M6375" i="6"/>
  <c r="K6375" i="6"/>
  <c r="M6388" i="6"/>
  <c r="N6388" i="6"/>
  <c r="L6393" i="6"/>
  <c r="K6393" i="6"/>
  <c r="L6401" i="6"/>
  <c r="K6401" i="6"/>
  <c r="M6401" i="6"/>
  <c r="M6407" i="6"/>
  <c r="K6407" i="6"/>
  <c r="N6407" i="6"/>
  <c r="N6416" i="6"/>
  <c r="K6416" i="6"/>
  <c r="M6416" i="6"/>
  <c r="L6423" i="6"/>
  <c r="M6423" i="6"/>
  <c r="K6423" i="6"/>
  <c r="N6423" i="6"/>
  <c r="N6428" i="6"/>
  <c r="L6428" i="6"/>
  <c r="K6428" i="6"/>
  <c r="M6428" i="6"/>
  <c r="L6433" i="6"/>
  <c r="K6433" i="6"/>
  <c r="M6433" i="6"/>
  <c r="N6433" i="6"/>
  <c r="N6442" i="6"/>
  <c r="K6442" i="6"/>
  <c r="L6442" i="6"/>
  <c r="M6442" i="6"/>
  <c r="N6450" i="6"/>
  <c r="K6450" i="6"/>
  <c r="L6450" i="6"/>
  <c r="M6450" i="6"/>
  <c r="N6458" i="6"/>
  <c r="L6458" i="6"/>
  <c r="K6458" i="6"/>
  <c r="M6458" i="6"/>
  <c r="N6465" i="6"/>
  <c r="M6465" i="6"/>
  <c r="K6465" i="6"/>
  <c r="N6474" i="6"/>
  <c r="L6474" i="6"/>
  <c r="M6474" i="6"/>
  <c r="K6474" i="6"/>
  <c r="N6482" i="6"/>
  <c r="L6482" i="6"/>
  <c r="M6482" i="6"/>
  <c r="K6482" i="6"/>
  <c r="N6494" i="6"/>
  <c r="K6494" i="6"/>
  <c r="L6494" i="6"/>
  <c r="M6494" i="6"/>
  <c r="L6503" i="6"/>
  <c r="K6503" i="6"/>
  <c r="L6508" i="6"/>
  <c r="K6508" i="6"/>
  <c r="N6508" i="6"/>
  <c r="M6508" i="6"/>
  <c r="L6515" i="6"/>
  <c r="K6515" i="6"/>
  <c r="M6515" i="6"/>
  <c r="N6522" i="6"/>
  <c r="M6522" i="6"/>
  <c r="K6522" i="6"/>
  <c r="L6522" i="6"/>
  <c r="L6529" i="6"/>
  <c r="N6529" i="6"/>
  <c r="M6529" i="6"/>
  <c r="M6537" i="6"/>
  <c r="K6537" i="6"/>
  <c r="N6537" i="6"/>
  <c r="L6537" i="6"/>
  <c r="N6548" i="6"/>
  <c r="L6548" i="6"/>
  <c r="K6564" i="6"/>
  <c r="M6564" i="6"/>
  <c r="M6572" i="6"/>
  <c r="N6572" i="6"/>
  <c r="L6572" i="6"/>
  <c r="K6572" i="6"/>
  <c r="N6582" i="6"/>
  <c r="K6582" i="6"/>
  <c r="M6582" i="6"/>
  <c r="L6582" i="6"/>
  <c r="M6588" i="6"/>
  <c r="L6588" i="6"/>
  <c r="N6588" i="6"/>
  <c r="N6598" i="6"/>
  <c r="L6598" i="6"/>
  <c r="K6598" i="6"/>
  <c r="M6598" i="6"/>
  <c r="K6604" i="6"/>
  <c r="N6604" i="6"/>
  <c r="M6612" i="6"/>
  <c r="N6612" i="6"/>
  <c r="L6612" i="6"/>
  <c r="K6612" i="6"/>
  <c r="N6628" i="6"/>
  <c r="M6628" i="6"/>
  <c r="L6628" i="6"/>
  <c r="N6635" i="6"/>
  <c r="L6635" i="6"/>
  <c r="M6635" i="6"/>
  <c r="K6635" i="6"/>
  <c r="N6646" i="6"/>
  <c r="M6646" i="6"/>
  <c r="L6646" i="6"/>
  <c r="K6646" i="6"/>
  <c r="M6651" i="6"/>
  <c r="L6651" i="6"/>
  <c r="K6651" i="6"/>
  <c r="K6661" i="6"/>
  <c r="M6661" i="6"/>
  <c r="L6661" i="6"/>
  <c r="K6669" i="6"/>
  <c r="N6669" i="6"/>
  <c r="L6675" i="6"/>
  <c r="K6675" i="6"/>
  <c r="N6694" i="6"/>
  <c r="K6694" i="6"/>
  <c r="M6694" i="6"/>
  <c r="L6694" i="6"/>
  <c r="N6702" i="6"/>
  <c r="L6702" i="6"/>
  <c r="K6702" i="6"/>
  <c r="M6702" i="6"/>
  <c r="N6722" i="6"/>
  <c r="K6722" i="6"/>
  <c r="L6722" i="6"/>
  <c r="M6722" i="6"/>
  <c r="N6732" i="6"/>
  <c r="M6732" i="6"/>
  <c r="L6732" i="6"/>
  <c r="M6740" i="6"/>
  <c r="N6740" i="6"/>
  <c r="L6740" i="6"/>
  <c r="K6740" i="6"/>
  <c r="L6747" i="6"/>
  <c r="M6747" i="6"/>
  <c r="K6747" i="6"/>
  <c r="N6754" i="6"/>
  <c r="M6754" i="6"/>
  <c r="K6754" i="6"/>
  <c r="L6754" i="6"/>
  <c r="N6762" i="6"/>
  <c r="K6762" i="6"/>
  <c r="L6762" i="6"/>
  <c r="M6762" i="6"/>
  <c r="K6771" i="6"/>
  <c r="M6771" i="6"/>
  <c r="N6771" i="6"/>
  <c r="N6779" i="6"/>
  <c r="L6779" i="6"/>
  <c r="K6779" i="6"/>
  <c r="N6788" i="6"/>
  <c r="K6788" i="6"/>
  <c r="K6796" i="6"/>
  <c r="L3006" i="6"/>
  <c r="N3006" i="6"/>
  <c r="M3006" i="6"/>
  <c r="K3006" i="6"/>
  <c r="L3022" i="6"/>
  <c r="N3022" i="6"/>
  <c r="K3022" i="6"/>
  <c r="M3022" i="6"/>
  <c r="L3030" i="6"/>
  <c r="N3030" i="6"/>
  <c r="M3030" i="6"/>
  <c r="K3030" i="6"/>
  <c r="L3042" i="6"/>
  <c r="M3042" i="6"/>
  <c r="N3042" i="6"/>
  <c r="K3042" i="6"/>
  <c r="L3046" i="6"/>
  <c r="N3046" i="6"/>
  <c r="K3046" i="6"/>
  <c r="M3046" i="6"/>
  <c r="L3076" i="6"/>
  <c r="K3076" i="6"/>
  <c r="M3076" i="6"/>
  <c r="N3076" i="6"/>
  <c r="L3080" i="6"/>
  <c r="M3080" i="6"/>
  <c r="N3080" i="6"/>
  <c r="K3080" i="6"/>
  <c r="L3092" i="6"/>
  <c r="K3092" i="6"/>
  <c r="M3092" i="6"/>
  <c r="N3092" i="6"/>
  <c r="L3128" i="6"/>
  <c r="K3128" i="6"/>
  <c r="M3128" i="6"/>
  <c r="N3128" i="6"/>
  <c r="L3145" i="6"/>
  <c r="K3145" i="6"/>
  <c r="M3145" i="6"/>
  <c r="N3145" i="6"/>
  <c r="L3157" i="6"/>
  <c r="K3157" i="6"/>
  <c r="N3157" i="6"/>
  <c r="M3157" i="6"/>
  <c r="L3173" i="6"/>
  <c r="K3173" i="6"/>
  <c r="M3173" i="6"/>
  <c r="N3173" i="6"/>
  <c r="N3182" i="6"/>
  <c r="M3182" i="6"/>
  <c r="L3182" i="6"/>
  <c r="N3195" i="6"/>
  <c r="L3195" i="6"/>
  <c r="M3195" i="6"/>
  <c r="L3209" i="6"/>
  <c r="K3209" i="6"/>
  <c r="M3209" i="6"/>
  <c r="N3209" i="6"/>
  <c r="N3223" i="6"/>
  <c r="L3223" i="6"/>
  <c r="M3223" i="6"/>
  <c r="L3240" i="6"/>
  <c r="K3240" i="6"/>
  <c r="M3240" i="6"/>
  <c r="N3240" i="6"/>
  <c r="L3261" i="6"/>
  <c r="K3261" i="6"/>
  <c r="M3261" i="6"/>
  <c r="N3261" i="6"/>
  <c r="L3280" i="6"/>
  <c r="K3280" i="6"/>
  <c r="M3280" i="6"/>
  <c r="N3280" i="6"/>
  <c r="L3296" i="6"/>
  <c r="K3296" i="6"/>
  <c r="M3296" i="6"/>
  <c r="N3296" i="6"/>
  <c r="N3309" i="6"/>
  <c r="M3309" i="6"/>
  <c r="L3309" i="6"/>
  <c r="L3328" i="6"/>
  <c r="K3328" i="6"/>
  <c r="M3328" i="6"/>
  <c r="N3328" i="6"/>
  <c r="L3340" i="6"/>
  <c r="K3340" i="6"/>
  <c r="M3340" i="6"/>
  <c r="N3340" i="6"/>
  <c r="L3356" i="6"/>
  <c r="K3356" i="6"/>
  <c r="M3356" i="6"/>
  <c r="N3356" i="6"/>
  <c r="L3379" i="6"/>
  <c r="M3379" i="6"/>
  <c r="N3379" i="6"/>
  <c r="L3400" i="6"/>
  <c r="K3400" i="6"/>
  <c r="M3400" i="6"/>
  <c r="N3400" i="6"/>
  <c r="N3410" i="6"/>
  <c r="M3410" i="6"/>
  <c r="L3410" i="6"/>
  <c r="M3415" i="6"/>
  <c r="L3415" i="6"/>
  <c r="N3415" i="6"/>
  <c r="L3426" i="6"/>
  <c r="N3426" i="6"/>
  <c r="K3426" i="6"/>
  <c r="M3426" i="6"/>
  <c r="M3431" i="6"/>
  <c r="L3431" i="6"/>
  <c r="N3431" i="6"/>
  <c r="L3452" i="6"/>
  <c r="K3452" i="6"/>
  <c r="M3452" i="6"/>
  <c r="N3452" i="6"/>
  <c r="M3456" i="6"/>
  <c r="L3456" i="6"/>
  <c r="N3456" i="6"/>
  <c r="L3462" i="6"/>
  <c r="N3462" i="6"/>
  <c r="K3462" i="6"/>
  <c r="M3462" i="6"/>
  <c r="N3467" i="6"/>
  <c r="L3467" i="6"/>
  <c r="M3467" i="6"/>
  <c r="L3485" i="6"/>
  <c r="N3485" i="6"/>
  <c r="K3485" i="6"/>
  <c r="M3485" i="6"/>
  <c r="L3500" i="6"/>
  <c r="N3500" i="6"/>
  <c r="M3500" i="6"/>
  <c r="L3505" i="6"/>
  <c r="M3505" i="6"/>
  <c r="K3505" i="6"/>
  <c r="N3505" i="6"/>
  <c r="L3509" i="6"/>
  <c r="M3509" i="6"/>
  <c r="N3509" i="6"/>
  <c r="N3513" i="6"/>
  <c r="M3513" i="6"/>
  <c r="L3513" i="6"/>
  <c r="L3520" i="6"/>
  <c r="K3520" i="6"/>
  <c r="M3520" i="6"/>
  <c r="N3520" i="6"/>
  <c r="M3525" i="6"/>
  <c r="L3525" i="6"/>
  <c r="N3525" i="6"/>
  <c r="K3525" i="6"/>
  <c r="K3541" i="6"/>
  <c r="N3541" i="6"/>
  <c r="M3541" i="6"/>
  <c r="L3541" i="6"/>
  <c r="L3556" i="6"/>
  <c r="K3556" i="6"/>
  <c r="N3556" i="6"/>
  <c r="M3556" i="6"/>
  <c r="L3572" i="6"/>
  <c r="K3572" i="6"/>
  <c r="N3572" i="6"/>
  <c r="M3572" i="6"/>
  <c r="L3588" i="6"/>
  <c r="M3588" i="6"/>
  <c r="N3588" i="6"/>
  <c r="K3588" i="6"/>
  <c r="L3608" i="6"/>
  <c r="K3608" i="6"/>
  <c r="N3608" i="6"/>
  <c r="M3608" i="6"/>
  <c r="L3620" i="6"/>
  <c r="M3620" i="6"/>
  <c r="K3620" i="6"/>
  <c r="N3620" i="6"/>
  <c r="M3624" i="6"/>
  <c r="L3624" i="6"/>
  <c r="N3624" i="6"/>
  <c r="L3632" i="6"/>
  <c r="M3632" i="6"/>
  <c r="K3632" i="6"/>
  <c r="N3632" i="6"/>
  <c r="L3640" i="6"/>
  <c r="N3640" i="6"/>
  <c r="M3640" i="6"/>
  <c r="L3648" i="6"/>
  <c r="M3648" i="6"/>
  <c r="N3648" i="6"/>
  <c r="K3648" i="6"/>
  <c r="L3656" i="6"/>
  <c r="N3656" i="6"/>
  <c r="M3656" i="6"/>
  <c r="L3664" i="6"/>
  <c r="N3664" i="6"/>
  <c r="M3664" i="6"/>
  <c r="K3664" i="6"/>
  <c r="L3685" i="6"/>
  <c r="N3685" i="6"/>
  <c r="M3685" i="6"/>
  <c r="K3689" i="6"/>
  <c r="N3689" i="6"/>
  <c r="M3689" i="6"/>
  <c r="L3689" i="6"/>
  <c r="M3697" i="6"/>
  <c r="L3697" i="6"/>
  <c r="N3697" i="6"/>
  <c r="M3721" i="6"/>
  <c r="K3721" i="6"/>
  <c r="N3721" i="6"/>
  <c r="L3721" i="6"/>
  <c r="M3734" i="6"/>
  <c r="K3734" i="6"/>
  <c r="N3734" i="6"/>
  <c r="L3734" i="6"/>
  <c r="N3738" i="6"/>
  <c r="M3738" i="6"/>
  <c r="L3738" i="6"/>
  <c r="K3738" i="6"/>
  <c r="K3857" i="6"/>
  <c r="M3857" i="6"/>
  <c r="L3857" i="6"/>
  <c r="N3857" i="6"/>
  <c r="N3861" i="6"/>
  <c r="K3861" i="6"/>
  <c r="M3861" i="6"/>
  <c r="L3861" i="6"/>
  <c r="L3865" i="6"/>
  <c r="M3865" i="6"/>
  <c r="N3865" i="6"/>
  <c r="K3865" i="6"/>
  <c r="M3871" i="6"/>
  <c r="N3871" i="6"/>
  <c r="L3871" i="6"/>
  <c r="N3887" i="6"/>
  <c r="K3887" i="6"/>
  <c r="M3887" i="6"/>
  <c r="L3887" i="6"/>
  <c r="K3895" i="6"/>
  <c r="N3895" i="6"/>
  <c r="M3895" i="6"/>
  <c r="L3895" i="6"/>
  <c r="L3903" i="6"/>
  <c r="N3903" i="6"/>
  <c r="M3903" i="6"/>
  <c r="N3911" i="6"/>
  <c r="L3911" i="6"/>
  <c r="M3911" i="6"/>
  <c r="L3915" i="6"/>
  <c r="M3915" i="6"/>
  <c r="N3915" i="6"/>
  <c r="L3922" i="6"/>
  <c r="N3922" i="6"/>
  <c r="K3922" i="6"/>
  <c r="M3922" i="6"/>
  <c r="L3934" i="6"/>
  <c r="K3934" i="6"/>
  <c r="N3934" i="6"/>
  <c r="M3934" i="6"/>
  <c r="L3941" i="6"/>
  <c r="N3941" i="6"/>
  <c r="K3941" i="6"/>
  <c r="M3941" i="6"/>
  <c r="L3949" i="6"/>
  <c r="N3949" i="6"/>
  <c r="K3949" i="6"/>
  <c r="M3949" i="6"/>
  <c r="N3961" i="6"/>
  <c r="M3961" i="6"/>
  <c r="L3961" i="6"/>
  <c r="K3961" i="6"/>
  <c r="K3965" i="6"/>
  <c r="M3965" i="6"/>
  <c r="L3965" i="6"/>
  <c r="N3965" i="6"/>
  <c r="K3980" i="6"/>
  <c r="M3980" i="6"/>
  <c r="L3980" i="6"/>
  <c r="N3980" i="6"/>
  <c r="L3991" i="6"/>
  <c r="M3991" i="6"/>
  <c r="N3991" i="6"/>
  <c r="M3996" i="6"/>
  <c r="N3996" i="6"/>
  <c r="K3996" i="6"/>
  <c r="L3996" i="6"/>
  <c r="L4007" i="6"/>
  <c r="N4007" i="6"/>
  <c r="M4007" i="6"/>
  <c r="K4007" i="6"/>
  <c r="L4011" i="6"/>
  <c r="N4011" i="6"/>
  <c r="K4011" i="6"/>
  <c r="M4011" i="6"/>
  <c r="L4015" i="6"/>
  <c r="N4015" i="6"/>
  <c r="M4015" i="6"/>
  <c r="L4019" i="6"/>
  <c r="N4019" i="6"/>
  <c r="M4019" i="6"/>
  <c r="K4019" i="6"/>
  <c r="L4027" i="6"/>
  <c r="N4027" i="6"/>
  <c r="K4027" i="6"/>
  <c r="M4027" i="6"/>
  <c r="M4032" i="6"/>
  <c r="L4032" i="6"/>
  <c r="N4032" i="6"/>
  <c r="K4032" i="6"/>
  <c r="L4040" i="6"/>
  <c r="N4040" i="6"/>
  <c r="M4040" i="6"/>
  <c r="N4044" i="6"/>
  <c r="K4044" i="6"/>
  <c r="M4044" i="6"/>
  <c r="L4044" i="6"/>
  <c r="K4048" i="6"/>
  <c r="M4048" i="6"/>
  <c r="L4048" i="6"/>
  <c r="N4048" i="6"/>
  <c r="M4052" i="6"/>
  <c r="K4052" i="6"/>
  <c r="L4052" i="6"/>
  <c r="N4052" i="6"/>
  <c r="L4057" i="6"/>
  <c r="K4057" i="6"/>
  <c r="N4057" i="6"/>
  <c r="M4057" i="6"/>
  <c r="L4064" i="6"/>
  <c r="M4064" i="6"/>
  <c r="N4064" i="6"/>
  <c r="M4069" i="6"/>
  <c r="L4069" i="6"/>
  <c r="N4069" i="6"/>
  <c r="M4073" i="6"/>
  <c r="L4073" i="6"/>
  <c r="N4073" i="6"/>
  <c r="N4077" i="6"/>
  <c r="K4077" i="6"/>
  <c r="L4077" i="6"/>
  <c r="M4077" i="6"/>
  <c r="M4081" i="6"/>
  <c r="N4081" i="6"/>
  <c r="K4081" i="6"/>
  <c r="L4081" i="6"/>
  <c r="M4085" i="6"/>
  <c r="N4085" i="6"/>
  <c r="L4085" i="6"/>
  <c r="L4104" i="6"/>
  <c r="M4104" i="6"/>
  <c r="N4104" i="6"/>
  <c r="M4108" i="6"/>
  <c r="K4108" i="6"/>
  <c r="N4108" i="6"/>
  <c r="L4108" i="6"/>
  <c r="L4121" i="6"/>
  <c r="K4121" i="6"/>
  <c r="M4121" i="6"/>
  <c r="N4121" i="6"/>
  <c r="N4127" i="6"/>
  <c r="K4127" i="6"/>
  <c r="M4127" i="6"/>
  <c r="L4127" i="6"/>
  <c r="L4135" i="6"/>
  <c r="K4135" i="6"/>
  <c r="M4135" i="6"/>
  <c r="N4135" i="6"/>
  <c r="L4149" i="6"/>
  <c r="M4149" i="6"/>
  <c r="N4149" i="6"/>
  <c r="L4154" i="6"/>
  <c r="N4154" i="6"/>
  <c r="K4154" i="6"/>
  <c r="M4154" i="6"/>
  <c r="M4158" i="6"/>
  <c r="L4158" i="6"/>
  <c r="N4158" i="6"/>
  <c r="K4158" i="6"/>
  <c r="L4163" i="6"/>
  <c r="N4163" i="6"/>
  <c r="M4163" i="6"/>
  <c r="K4172" i="6"/>
  <c r="N4172" i="6"/>
  <c r="M4172" i="6"/>
  <c r="L4172" i="6"/>
  <c r="K4178" i="6"/>
  <c r="M4178" i="6"/>
  <c r="L4178" i="6"/>
  <c r="N4178" i="6"/>
  <c r="L4185" i="6"/>
  <c r="N4185" i="6"/>
  <c r="M4185" i="6"/>
  <c r="L4192" i="6"/>
  <c r="K4192" i="6"/>
  <c r="M4192" i="6"/>
  <c r="N4192" i="6"/>
  <c r="N4197" i="6"/>
  <c r="L4197" i="6"/>
  <c r="K4197" i="6"/>
  <c r="M4197" i="6"/>
  <c r="L4202" i="6"/>
  <c r="K4202" i="6"/>
  <c r="N4202" i="6"/>
  <c r="M4202" i="6"/>
  <c r="L4207" i="6"/>
  <c r="M4207" i="6"/>
  <c r="K4207" i="6"/>
  <c r="N4207" i="6"/>
  <c r="L4222" i="6"/>
  <c r="K4222" i="6"/>
  <c r="N4222" i="6"/>
  <c r="M4222" i="6"/>
  <c r="L4239" i="6"/>
  <c r="M4239" i="6"/>
  <c r="K4239" i="6"/>
  <c r="N4239" i="6"/>
  <c r="K4246" i="6"/>
  <c r="M4246" i="6"/>
  <c r="L4246" i="6"/>
  <c r="N4246" i="6"/>
  <c r="L4259" i="6"/>
  <c r="K4259" i="6"/>
  <c r="M4259" i="6"/>
  <c r="N4259" i="6"/>
  <c r="L4271" i="6"/>
  <c r="N4271" i="6"/>
  <c r="K4271" i="6"/>
  <c r="M4271" i="6"/>
  <c r="M4275" i="6"/>
  <c r="N4275" i="6"/>
  <c r="K4275" i="6"/>
  <c r="L4275" i="6"/>
  <c r="K4288" i="6"/>
  <c r="L4288" i="6"/>
  <c r="M4288" i="6"/>
  <c r="N4288" i="6"/>
  <c r="K4295" i="6"/>
  <c r="N4295" i="6"/>
  <c r="M4295" i="6"/>
  <c r="L4295" i="6"/>
  <c r="L4299" i="6"/>
  <c r="K4299" i="6"/>
  <c r="M4299" i="6"/>
  <c r="N4299" i="6"/>
  <c r="K4303" i="6"/>
  <c r="M4303" i="6"/>
  <c r="L4303" i="6"/>
  <c r="N4303" i="6"/>
  <c r="K4307" i="6"/>
  <c r="L4307" i="6"/>
  <c r="M4307" i="6"/>
  <c r="N4307" i="6"/>
  <c r="K4314" i="6"/>
  <c r="L4314" i="6"/>
  <c r="N4314" i="6"/>
  <c r="M4314" i="6"/>
  <c r="M4318" i="6"/>
  <c r="L4318" i="6"/>
  <c r="N4318" i="6"/>
  <c r="K4318" i="6"/>
  <c r="L4334" i="6"/>
  <c r="K4334" i="6"/>
  <c r="M4334" i="6"/>
  <c r="N4334" i="6"/>
  <c r="K4355" i="6"/>
  <c r="L4355" i="6"/>
  <c r="M4355" i="6"/>
  <c r="N4355" i="6"/>
  <c r="K4359" i="6"/>
  <c r="N4359" i="6"/>
  <c r="M4359" i="6"/>
  <c r="L4359" i="6"/>
  <c r="K4363" i="6"/>
  <c r="L4363" i="6"/>
  <c r="M4363" i="6"/>
  <c r="N4363" i="6"/>
  <c r="K4367" i="6"/>
  <c r="M4367" i="6"/>
  <c r="L4367" i="6"/>
  <c r="N4367" i="6"/>
  <c r="M4371" i="6"/>
  <c r="L4371" i="6"/>
  <c r="K4371" i="6"/>
  <c r="N4371" i="6"/>
  <c r="M4378" i="6"/>
  <c r="N4378" i="6"/>
  <c r="K4378" i="6"/>
  <c r="L4378" i="6"/>
  <c r="M4382" i="6"/>
  <c r="L4382" i="6"/>
  <c r="K4382" i="6"/>
  <c r="N4382" i="6"/>
  <c r="K4386" i="6"/>
  <c r="L4386" i="6"/>
  <c r="M4386" i="6"/>
  <c r="N4386" i="6"/>
  <c r="K4390" i="6"/>
  <c r="M4390" i="6"/>
  <c r="L4390" i="6"/>
  <c r="N4390" i="6"/>
  <c r="K4394" i="6"/>
  <c r="L4394" i="6"/>
  <c r="N4394" i="6"/>
  <c r="M4394" i="6"/>
  <c r="K4398" i="6"/>
  <c r="M4398" i="6"/>
  <c r="L4398" i="6"/>
  <c r="N4398" i="6"/>
  <c r="L4405" i="6"/>
  <c r="K4405" i="6"/>
  <c r="M4405" i="6"/>
  <c r="N4405" i="6"/>
  <c r="N4409" i="6"/>
  <c r="K4409" i="6"/>
  <c r="M4409" i="6"/>
  <c r="L4409" i="6"/>
  <c r="K4413" i="6"/>
  <c r="M4413" i="6"/>
  <c r="L4413" i="6"/>
  <c r="N4413" i="6"/>
  <c r="L4417" i="6"/>
  <c r="M4417" i="6"/>
  <c r="N4417" i="6"/>
  <c r="K4417" i="6"/>
  <c r="N4421" i="6"/>
  <c r="K4421" i="6"/>
  <c r="M4421" i="6"/>
  <c r="L4421" i="6"/>
  <c r="L4425" i="6"/>
  <c r="N4425" i="6"/>
  <c r="K4425" i="6"/>
  <c r="M4425" i="6"/>
  <c r="M4429" i="6"/>
  <c r="K4429" i="6"/>
  <c r="L4429" i="6"/>
  <c r="N4429" i="6"/>
  <c r="M4433" i="6"/>
  <c r="N4433" i="6"/>
  <c r="L4433" i="6"/>
  <c r="K4433" i="6"/>
  <c r="L4456" i="6"/>
  <c r="K4456" i="6"/>
  <c r="M4456" i="6"/>
  <c r="N4456" i="6"/>
  <c r="M4471" i="6"/>
  <c r="L4471" i="6"/>
  <c r="K4471" i="6"/>
  <c r="N4471" i="6"/>
  <c r="L4475" i="6"/>
  <c r="K4475" i="6"/>
  <c r="M4475" i="6"/>
  <c r="N4475" i="6"/>
  <c r="K4479" i="6"/>
  <c r="M4479" i="6"/>
  <c r="L4479" i="6"/>
  <c r="N4479" i="6"/>
  <c r="M4483" i="6"/>
  <c r="L4483" i="6"/>
  <c r="N4483" i="6"/>
  <c r="K4483" i="6"/>
  <c r="K4487" i="6"/>
  <c r="M4487" i="6"/>
  <c r="L4487" i="6"/>
  <c r="N4487" i="6"/>
  <c r="M4491" i="6"/>
  <c r="L4491" i="6"/>
  <c r="K4491" i="6"/>
  <c r="N4491" i="6"/>
  <c r="K4495" i="6"/>
  <c r="N4495" i="6"/>
  <c r="M4495" i="6"/>
  <c r="L4495" i="6"/>
  <c r="M4499" i="6"/>
  <c r="L4499" i="6"/>
  <c r="K4499" i="6"/>
  <c r="N4499" i="6"/>
  <c r="L4520" i="6"/>
  <c r="K4520" i="6"/>
  <c r="N4520" i="6"/>
  <c r="M4520" i="6"/>
  <c r="K4544" i="6"/>
  <c r="L4544" i="6"/>
  <c r="M4544" i="6"/>
  <c r="N4544" i="6"/>
  <c r="N4565" i="6"/>
  <c r="M4565" i="6"/>
  <c r="K4565" i="6"/>
  <c r="L4565" i="6"/>
  <c r="L4605" i="6"/>
  <c r="M4605" i="6"/>
  <c r="N4605" i="6"/>
  <c r="K4605" i="6"/>
  <c r="N4629" i="6"/>
  <c r="K4629" i="6"/>
  <c r="L4629" i="6"/>
  <c r="M4629" i="6"/>
  <c r="L4633" i="6"/>
  <c r="M4633" i="6"/>
  <c r="K4633" i="6"/>
  <c r="N4633" i="6"/>
  <c r="L4647" i="6"/>
  <c r="N4647" i="6"/>
  <c r="K4647" i="6"/>
  <c r="M4647" i="6"/>
  <c r="M4651" i="6"/>
  <c r="L4651" i="6"/>
  <c r="K4651" i="6"/>
  <c r="N4651" i="6"/>
  <c r="M4655" i="6"/>
  <c r="K4655" i="6"/>
  <c r="N4655" i="6"/>
  <c r="L4655" i="6"/>
  <c r="L4659" i="6"/>
  <c r="K4659" i="6"/>
  <c r="N4659" i="6"/>
  <c r="M4659" i="6"/>
  <c r="L4667" i="6"/>
  <c r="N4667" i="6"/>
  <c r="K4667" i="6"/>
  <c r="M4667" i="6"/>
  <c r="M4671" i="6"/>
  <c r="L4671" i="6"/>
  <c r="N4671" i="6"/>
  <c r="K4671" i="6"/>
  <c r="L4675" i="6"/>
  <c r="N4675" i="6"/>
  <c r="K4675" i="6"/>
  <c r="M4675" i="6"/>
  <c r="M4685" i="6"/>
  <c r="N4685" i="6"/>
  <c r="K4685" i="6"/>
  <c r="L4685" i="6"/>
  <c r="N4689" i="6"/>
  <c r="K4689" i="6"/>
  <c r="M4689" i="6"/>
  <c r="L4689" i="6"/>
  <c r="M4701" i="6"/>
  <c r="K4701" i="6"/>
  <c r="L4701" i="6"/>
  <c r="N4701" i="6"/>
  <c r="L4710" i="6"/>
  <c r="K4710" i="6"/>
  <c r="N4710" i="6"/>
  <c r="M4710" i="6"/>
  <c r="N4714" i="6"/>
  <c r="K4714" i="6"/>
  <c r="L4714" i="6"/>
  <c r="M4714" i="6"/>
  <c r="L4718" i="6"/>
  <c r="K4718" i="6"/>
  <c r="N4718" i="6"/>
  <c r="M4718" i="6"/>
  <c r="N4726" i="6"/>
  <c r="K4726" i="6"/>
  <c r="L4726" i="6"/>
  <c r="M4726" i="6"/>
  <c r="L4732" i="6"/>
  <c r="M4732" i="6"/>
  <c r="N4732" i="6"/>
  <c r="K4732" i="6"/>
  <c r="L4755" i="6"/>
  <c r="N4755" i="6"/>
  <c r="K4755" i="6"/>
  <c r="M4755" i="6"/>
  <c r="N4763" i="6"/>
  <c r="K4763" i="6"/>
  <c r="L4763" i="6"/>
  <c r="M4763" i="6"/>
  <c r="M4771" i="6"/>
  <c r="N4771" i="6"/>
  <c r="K4771" i="6"/>
  <c r="L4771" i="6"/>
  <c r="L4783" i="6"/>
  <c r="N4783" i="6"/>
  <c r="K4783" i="6"/>
  <c r="M4783" i="6"/>
  <c r="L4793" i="6"/>
  <c r="N4793" i="6"/>
  <c r="K4793" i="6"/>
  <c r="M4793" i="6"/>
  <c r="L4797" i="6"/>
  <c r="N4797" i="6"/>
  <c r="K4797" i="6"/>
  <c r="M4797" i="6"/>
  <c r="M4803" i="6"/>
  <c r="N4803" i="6"/>
  <c r="K4803" i="6"/>
  <c r="L4803" i="6"/>
  <c r="N4811" i="6"/>
  <c r="M4811" i="6"/>
  <c r="K4811" i="6"/>
  <c r="L4811" i="6"/>
  <c r="L4819" i="6"/>
  <c r="N4819" i="6"/>
  <c r="K4819" i="6"/>
  <c r="M4819" i="6"/>
  <c r="M4831" i="6"/>
  <c r="L4831" i="6"/>
  <c r="N4831" i="6"/>
  <c r="K4831" i="6"/>
  <c r="K4835" i="6"/>
  <c r="N4835" i="6"/>
  <c r="M4835" i="6"/>
  <c r="L4835" i="6"/>
  <c r="K4842" i="6"/>
  <c r="L4842" i="6"/>
  <c r="N4842" i="6"/>
  <c r="M4842" i="6"/>
  <c r="L4855" i="6"/>
  <c r="N4855" i="6"/>
  <c r="K4855" i="6"/>
  <c r="M4855" i="6"/>
  <c r="K4859" i="6"/>
  <c r="L4859" i="6"/>
  <c r="N4859" i="6"/>
  <c r="M4859" i="6"/>
  <c r="L4870" i="6"/>
  <c r="K4870" i="6"/>
  <c r="M4870" i="6"/>
  <c r="N4870" i="6"/>
  <c r="K4874" i="6"/>
  <c r="M4874" i="6"/>
  <c r="L4874" i="6"/>
  <c r="N4874" i="6"/>
  <c r="L4888" i="6"/>
  <c r="M4888" i="6"/>
  <c r="K4888" i="6"/>
  <c r="N4888" i="6"/>
  <c r="L4895" i="6"/>
  <c r="N4895" i="6"/>
  <c r="M4895" i="6"/>
  <c r="K4895" i="6"/>
  <c r="M4899" i="6"/>
  <c r="N4899" i="6"/>
  <c r="L4899" i="6"/>
  <c r="K4899" i="6"/>
  <c r="L4911" i="6"/>
  <c r="N4911" i="6"/>
  <c r="K4911" i="6"/>
  <c r="M4911" i="6"/>
  <c r="L4915" i="6"/>
  <c r="N4915" i="6"/>
  <c r="M4915" i="6"/>
  <c r="K4915" i="6"/>
  <c r="L4919" i="6"/>
  <c r="N4919" i="6"/>
  <c r="K4919" i="6"/>
  <c r="M4919" i="6"/>
  <c r="L4923" i="6"/>
  <c r="N4923" i="6"/>
  <c r="M4923" i="6"/>
  <c r="K4923" i="6"/>
  <c r="M4927" i="6"/>
  <c r="L4927" i="6"/>
  <c r="K4927" i="6"/>
  <c r="N4927" i="6"/>
  <c r="N4939" i="6"/>
  <c r="M4939" i="6"/>
  <c r="K4939" i="6"/>
  <c r="L4939" i="6"/>
  <c r="L4943" i="6"/>
  <c r="M4943" i="6"/>
  <c r="K4943" i="6"/>
  <c r="N4943" i="6"/>
  <c r="M4947" i="6"/>
  <c r="K4947" i="6"/>
  <c r="N4947" i="6"/>
  <c r="L4947" i="6"/>
  <c r="L4963" i="6"/>
  <c r="M4963" i="6"/>
  <c r="K4963" i="6"/>
  <c r="N4963" i="6"/>
  <c r="K4971" i="6"/>
  <c r="N4971" i="6"/>
  <c r="M4971" i="6"/>
  <c r="L4971" i="6"/>
  <c r="N4975" i="6"/>
  <c r="M4975" i="6"/>
  <c r="L4975" i="6"/>
  <c r="K4975" i="6"/>
  <c r="L4990" i="6"/>
  <c r="K4990" i="6"/>
  <c r="M4990" i="6"/>
  <c r="N4990" i="6"/>
  <c r="K4994" i="6"/>
  <c r="L4994" i="6"/>
  <c r="N4994" i="6"/>
  <c r="M4994" i="6"/>
  <c r="M5002" i="6"/>
  <c r="L5002" i="6"/>
  <c r="N5002" i="6"/>
  <c r="K5002" i="6"/>
  <c r="L5010" i="6"/>
  <c r="M5010" i="6"/>
  <c r="N5010" i="6"/>
  <c r="K5010" i="6"/>
  <c r="L5014" i="6"/>
  <c r="N5014" i="6"/>
  <c r="K5014" i="6"/>
  <c r="M5014" i="6"/>
  <c r="M5034" i="6"/>
  <c r="L5034" i="6"/>
  <c r="N5034" i="6"/>
  <c r="K5034" i="6"/>
  <c r="L5038" i="6"/>
  <c r="M5038" i="6"/>
  <c r="N5038" i="6"/>
  <c r="K5038" i="6"/>
  <c r="N5042" i="6"/>
  <c r="L5042" i="6"/>
  <c r="K5042" i="6"/>
  <c r="M5042" i="6"/>
  <c r="L5046" i="6"/>
  <c r="K5046" i="6"/>
  <c r="M5046" i="6"/>
  <c r="N5046" i="6"/>
  <c r="L5060" i="6"/>
  <c r="M5060" i="6"/>
  <c r="K5060" i="6"/>
  <c r="N5060" i="6"/>
  <c r="L5080" i="6"/>
  <c r="K5080" i="6"/>
  <c r="M5080" i="6"/>
  <c r="N5080" i="6"/>
  <c r="L5084" i="6"/>
  <c r="K5084" i="6"/>
  <c r="M5084" i="6"/>
  <c r="N5084" i="6"/>
  <c r="K5088" i="6"/>
  <c r="N5088" i="6"/>
  <c r="L5088" i="6"/>
  <c r="M5088" i="6"/>
  <c r="N5095" i="6"/>
  <c r="K5095" i="6"/>
  <c r="L5095" i="6"/>
  <c r="M5095" i="6"/>
  <c r="L5124" i="6"/>
  <c r="M5124" i="6"/>
  <c r="K5124" i="6"/>
  <c r="N5124" i="6"/>
  <c r="N5128" i="6"/>
  <c r="K5128" i="6"/>
  <c r="M5128" i="6"/>
  <c r="L5128" i="6"/>
  <c r="K5138" i="6"/>
  <c r="M5138" i="6"/>
  <c r="L5138" i="6"/>
  <c r="N5138" i="6"/>
  <c r="L5157" i="6"/>
  <c r="M5157" i="6"/>
  <c r="K5157" i="6"/>
  <c r="N5157" i="6"/>
  <c r="L5161" i="6"/>
  <c r="M5161" i="6"/>
  <c r="N5161" i="6"/>
  <c r="K5161" i="6"/>
  <c r="N5200" i="6"/>
  <c r="K5200" i="6"/>
  <c r="M5200" i="6"/>
  <c r="L5200" i="6"/>
  <c r="K5204" i="6"/>
  <c r="M5204" i="6"/>
  <c r="L5204" i="6"/>
  <c r="N5204" i="6"/>
  <c r="M5222" i="6"/>
  <c r="L5222" i="6"/>
  <c r="N5222" i="6"/>
  <c r="K5222" i="6"/>
  <c r="M5226" i="6"/>
  <c r="K5226" i="6"/>
  <c r="L5226" i="6"/>
  <c r="N5226" i="6"/>
  <c r="K5236" i="6"/>
  <c r="L5236" i="6"/>
  <c r="M5236" i="6"/>
  <c r="N5236" i="6"/>
  <c r="K5240" i="6"/>
  <c r="L5240" i="6"/>
  <c r="M5240" i="6"/>
  <c r="N5240" i="6"/>
  <c r="K5244" i="6"/>
  <c r="N5244" i="6"/>
  <c r="M5244" i="6"/>
  <c r="L5244" i="6"/>
  <c r="L5248" i="6"/>
  <c r="M5248" i="6"/>
  <c r="N5248" i="6"/>
  <c r="K5248" i="6"/>
  <c r="K5256" i="6"/>
  <c r="N5256" i="6"/>
  <c r="M5256" i="6"/>
  <c r="L5256" i="6"/>
  <c r="M5260" i="6"/>
  <c r="N5260" i="6"/>
  <c r="K5260" i="6"/>
  <c r="L5260" i="6"/>
  <c r="M5264" i="6"/>
  <c r="K5264" i="6"/>
  <c r="L5264" i="6"/>
  <c r="N5264" i="6"/>
  <c r="M5268" i="6"/>
  <c r="L5268" i="6"/>
  <c r="K5268" i="6"/>
  <c r="N5268" i="6"/>
  <c r="L5287" i="6"/>
  <c r="N5287" i="6"/>
  <c r="M5287" i="6"/>
  <c r="K5287" i="6"/>
  <c r="L5291" i="6"/>
  <c r="N5291" i="6"/>
  <c r="M5291" i="6"/>
  <c r="K5291" i="6"/>
  <c r="N5298" i="6"/>
  <c r="L5298" i="6"/>
  <c r="K5298" i="6"/>
  <c r="M5298" i="6"/>
  <c r="L5319" i="6"/>
  <c r="N5319" i="6"/>
  <c r="K5319" i="6"/>
  <c r="M5319" i="6"/>
  <c r="N5323" i="6"/>
  <c r="M5323" i="6"/>
  <c r="L5323" i="6"/>
  <c r="K5323" i="6"/>
  <c r="N5327" i="6"/>
  <c r="L5327" i="6"/>
  <c r="K5327" i="6"/>
  <c r="M5327" i="6"/>
  <c r="K5338" i="6"/>
  <c r="M5338" i="6"/>
  <c r="L5338" i="6"/>
  <c r="N5338" i="6"/>
  <c r="K5354" i="6"/>
  <c r="M5354" i="6"/>
  <c r="L5354" i="6"/>
  <c r="N5354" i="6"/>
  <c r="K5358" i="6"/>
  <c r="M5358" i="6"/>
  <c r="L5358" i="6"/>
  <c r="N5358" i="6"/>
  <c r="N5362" i="6"/>
  <c r="M5362" i="6"/>
  <c r="L5362" i="6"/>
  <c r="K5362" i="6"/>
  <c r="K5366" i="6"/>
  <c r="M5366" i="6"/>
  <c r="L5366" i="6"/>
  <c r="N5366" i="6"/>
  <c r="K5382" i="6"/>
  <c r="N5382" i="6"/>
  <c r="M5382" i="6"/>
  <c r="L5382" i="6"/>
  <c r="K5397" i="6"/>
  <c r="M5397" i="6"/>
  <c r="L5397" i="6"/>
  <c r="N5397" i="6"/>
  <c r="L5417" i="6"/>
  <c r="M5417" i="6"/>
  <c r="N5417" i="6"/>
  <c r="K5417" i="6"/>
  <c r="M5421" i="6"/>
  <c r="N5421" i="6"/>
  <c r="K5421" i="6"/>
  <c r="L5421" i="6"/>
  <c r="K5425" i="6"/>
  <c r="M5425" i="6"/>
  <c r="L5425" i="6"/>
  <c r="N5425" i="6"/>
  <c r="K5429" i="6"/>
  <c r="N5429" i="6"/>
  <c r="L5429" i="6"/>
  <c r="M5429" i="6"/>
  <c r="L5445" i="6"/>
  <c r="N5445" i="6"/>
  <c r="M5445" i="6"/>
  <c r="K5445" i="6"/>
  <c r="N5458" i="6"/>
  <c r="K5458" i="6"/>
  <c r="M5458" i="6"/>
  <c r="L5458" i="6"/>
  <c r="K5462" i="6"/>
  <c r="L5462" i="6"/>
  <c r="N5462" i="6"/>
  <c r="M5462" i="6"/>
  <c r="M5471" i="6"/>
  <c r="N5471" i="6"/>
  <c r="K5471" i="6"/>
  <c r="L5471" i="6"/>
  <c r="L5479" i="6"/>
  <c r="N5479" i="6"/>
  <c r="M5479" i="6"/>
  <c r="K5479" i="6"/>
  <c r="M5483" i="6"/>
  <c r="L5483" i="6"/>
  <c r="K5483" i="6"/>
  <c r="N5483" i="6"/>
  <c r="M5487" i="6"/>
  <c r="N5487" i="6"/>
  <c r="L5487" i="6"/>
  <c r="K5487" i="6"/>
  <c r="M5499" i="6"/>
  <c r="K5499" i="6"/>
  <c r="L5499" i="6"/>
  <c r="N5499" i="6"/>
  <c r="L5515" i="6"/>
  <c r="K5515" i="6"/>
  <c r="M5515" i="6"/>
  <c r="N5515" i="6"/>
  <c r="L5521" i="6"/>
  <c r="N5521" i="6"/>
  <c r="K5521" i="6"/>
  <c r="M5521" i="6"/>
  <c r="K5525" i="6"/>
  <c r="M5525" i="6"/>
  <c r="L5525" i="6"/>
  <c r="N5525" i="6"/>
  <c r="M5533" i="6"/>
  <c r="L5533" i="6"/>
  <c r="N5533" i="6"/>
  <c r="K5533" i="6"/>
  <c r="K5537" i="6"/>
  <c r="M5537" i="6"/>
  <c r="N5537" i="6"/>
  <c r="L5537" i="6"/>
  <c r="N5541" i="6"/>
  <c r="K5541" i="6"/>
  <c r="L5541" i="6"/>
  <c r="M5541" i="6"/>
  <c r="K5549" i="6"/>
  <c r="L5549" i="6"/>
  <c r="N5549" i="6"/>
  <c r="M5549" i="6"/>
  <c r="M5553" i="6"/>
  <c r="L5553" i="6"/>
  <c r="K5553" i="6"/>
  <c r="N5553" i="6"/>
  <c r="K5557" i="6"/>
  <c r="L5557" i="6"/>
  <c r="N5557" i="6"/>
  <c r="M5557" i="6"/>
  <c r="M5565" i="6"/>
  <c r="N5565" i="6"/>
  <c r="K5565" i="6"/>
  <c r="L5565" i="6"/>
  <c r="K5569" i="6"/>
  <c r="M5569" i="6"/>
  <c r="N5569" i="6"/>
  <c r="L5569" i="6"/>
  <c r="L5573" i="6"/>
  <c r="K5573" i="6"/>
  <c r="M5573" i="6"/>
  <c r="N5573" i="6"/>
  <c r="K5581" i="6"/>
  <c r="L5581" i="6"/>
  <c r="M5581" i="6"/>
  <c r="N5581" i="6"/>
  <c r="L5587" i="6"/>
  <c r="N5587" i="6"/>
  <c r="K5587" i="6"/>
  <c r="M5587" i="6"/>
  <c r="L5603" i="6"/>
  <c r="M5603" i="6"/>
  <c r="K5603" i="6"/>
  <c r="N5603" i="6"/>
  <c r="L5612" i="6"/>
  <c r="M5612" i="6"/>
  <c r="K5612" i="6"/>
  <c r="N5612" i="6"/>
  <c r="K5616" i="6"/>
  <c r="M5616" i="6"/>
  <c r="L5616" i="6"/>
  <c r="N5616" i="6"/>
  <c r="K5622" i="6"/>
  <c r="M5622" i="6"/>
  <c r="L5622" i="6"/>
  <c r="N5622" i="6"/>
  <c r="M5626" i="6"/>
  <c r="K5626" i="6"/>
  <c r="L5626" i="6"/>
  <c r="N5626" i="6"/>
  <c r="M5637" i="6"/>
  <c r="L5637" i="6"/>
  <c r="K5637" i="6"/>
  <c r="N5637" i="6"/>
  <c r="M5644" i="6"/>
  <c r="K5644" i="6"/>
  <c r="L5644" i="6"/>
  <c r="N5644" i="6"/>
  <c r="M5653" i="6"/>
  <c r="N5653" i="6"/>
  <c r="K5653" i="6"/>
  <c r="L5653" i="6"/>
  <c r="K5660" i="6"/>
  <c r="N5660" i="6"/>
  <c r="L5660" i="6"/>
  <c r="M5660" i="6"/>
  <c r="M5664" i="6"/>
  <c r="L5664" i="6"/>
  <c r="K5664" i="6"/>
  <c r="N5664" i="6"/>
  <c r="K5669" i="6"/>
  <c r="N5669" i="6"/>
  <c r="L5669" i="6"/>
  <c r="M5669" i="6"/>
  <c r="K5681" i="6"/>
  <c r="L5681" i="6"/>
  <c r="N5681" i="6"/>
  <c r="M5681" i="6"/>
  <c r="L5697" i="6"/>
  <c r="K5697" i="6"/>
  <c r="M5697" i="6"/>
  <c r="N5697" i="6"/>
  <c r="M5701" i="6"/>
  <c r="K5701" i="6"/>
  <c r="L5701" i="6"/>
  <c r="N5701" i="6"/>
  <c r="L5705" i="6"/>
  <c r="M5705" i="6"/>
  <c r="N5705" i="6"/>
  <c r="K5705" i="6"/>
  <c r="K5709" i="6"/>
  <c r="N5709" i="6"/>
  <c r="M5709" i="6"/>
  <c r="L5709" i="6"/>
  <c r="K5723" i="6"/>
  <c r="M5723" i="6"/>
  <c r="N5727" i="6"/>
  <c r="K5727" i="6"/>
  <c r="M5727" i="6"/>
  <c r="L5727" i="6"/>
  <c r="L5731" i="6"/>
  <c r="N5731" i="6"/>
  <c r="M5731" i="6"/>
  <c r="K5731" i="6"/>
  <c r="L5738" i="6"/>
  <c r="N5738" i="6"/>
  <c r="K5738" i="6"/>
  <c r="M5738" i="6"/>
  <c r="M5742" i="6"/>
  <c r="L5742" i="6"/>
  <c r="N5742" i="6"/>
  <c r="K5742" i="6"/>
  <c r="M5746" i="6"/>
  <c r="N5746" i="6"/>
  <c r="L5746" i="6"/>
  <c r="K5746" i="6"/>
  <c r="L5755" i="6"/>
  <c r="M5755" i="6"/>
  <c r="K5755" i="6"/>
  <c r="N5755" i="6"/>
  <c r="N5771" i="6"/>
  <c r="K5771" i="6"/>
  <c r="M5771" i="6"/>
  <c r="L5771" i="6"/>
  <c r="L5782" i="6"/>
  <c r="M5782" i="6"/>
  <c r="K5782" i="6"/>
  <c r="N5782" i="6"/>
  <c r="M5786" i="6"/>
  <c r="L5786" i="6"/>
  <c r="N5786" i="6"/>
  <c r="K5786" i="6"/>
  <c r="L5795" i="6"/>
  <c r="M5795" i="6"/>
  <c r="N5795" i="6"/>
  <c r="K5795" i="6"/>
  <c r="L5799" i="6"/>
  <c r="N5799" i="6"/>
  <c r="K5799" i="6"/>
  <c r="M5799" i="6"/>
  <c r="K5804" i="6"/>
  <c r="M5804" i="6"/>
  <c r="L5804" i="6"/>
  <c r="N5804" i="6"/>
  <c r="N5815" i="6"/>
  <c r="M5815" i="6"/>
  <c r="K5815" i="6"/>
  <c r="L5815" i="6"/>
  <c r="L5819" i="6"/>
  <c r="N5819" i="6"/>
  <c r="K5819" i="6"/>
  <c r="M5819" i="6"/>
  <c r="K5824" i="6"/>
  <c r="L5824" i="6"/>
  <c r="M5824" i="6"/>
  <c r="N5824" i="6"/>
  <c r="M5828" i="6"/>
  <c r="K5828" i="6"/>
  <c r="L5828" i="6"/>
  <c r="N5828" i="6"/>
  <c r="K5832" i="6"/>
  <c r="M5832" i="6"/>
  <c r="L5832" i="6"/>
  <c r="N5832" i="6"/>
  <c r="K5836" i="6"/>
  <c r="M5836" i="6"/>
  <c r="N5836" i="6"/>
  <c r="L5836" i="6"/>
  <c r="N5846" i="6"/>
  <c r="M5846" i="6"/>
  <c r="L5850" i="6"/>
  <c r="K5850" i="6"/>
  <c r="N5850" i="6"/>
  <c r="M5850" i="6"/>
  <c r="K5857" i="6"/>
  <c r="M5857" i="6"/>
  <c r="L5857" i="6"/>
  <c r="N5857" i="6"/>
  <c r="M5861" i="6"/>
  <c r="L5861" i="6"/>
  <c r="N5861" i="6"/>
  <c r="K5861" i="6"/>
  <c r="K5865" i="6"/>
  <c r="N5865" i="6"/>
  <c r="M5869" i="6"/>
  <c r="K5869" i="6"/>
  <c r="N5869" i="6"/>
  <c r="L5869" i="6"/>
  <c r="L5875" i="6"/>
  <c r="M5875" i="6"/>
  <c r="N5875" i="6"/>
  <c r="K5875" i="6"/>
  <c r="L5879" i="6"/>
  <c r="M5879" i="6"/>
  <c r="N5879" i="6"/>
  <c r="K5879" i="6"/>
  <c r="M5888" i="6"/>
  <c r="K5888" i="6"/>
  <c r="N5888" i="6"/>
  <c r="L5888" i="6"/>
  <c r="N5895" i="6"/>
  <c r="K5895" i="6"/>
  <c r="M5895" i="6"/>
  <c r="L5895" i="6"/>
  <c r="L5899" i="6"/>
  <c r="N5899" i="6"/>
  <c r="M5899" i="6"/>
  <c r="K5899" i="6"/>
  <c r="K5909" i="6"/>
  <c r="L5909" i="6"/>
  <c r="N5909" i="6"/>
  <c r="M5909" i="6"/>
  <c r="L5915" i="6"/>
  <c r="M5915" i="6"/>
  <c r="N5915" i="6"/>
  <c r="K5915" i="6"/>
  <c r="L5923" i="6"/>
  <c r="M5923" i="6"/>
  <c r="N5923" i="6"/>
  <c r="K5923" i="6"/>
  <c r="M5928" i="6"/>
  <c r="N5928" i="6"/>
  <c r="L5928" i="6"/>
  <c r="K5928" i="6"/>
  <c r="M5944" i="6"/>
  <c r="L5944" i="6"/>
  <c r="K5944" i="6"/>
  <c r="N5944" i="6"/>
  <c r="N5951" i="6"/>
  <c r="M5951" i="6"/>
  <c r="L5951" i="6"/>
  <c r="K5951" i="6"/>
  <c r="L5958" i="6"/>
  <c r="M5958" i="6"/>
  <c r="K5958" i="6"/>
  <c r="N5958" i="6"/>
  <c r="K5966" i="6"/>
  <c r="L5966" i="6"/>
  <c r="M5966" i="6"/>
  <c r="N5966" i="6"/>
  <c r="L5971" i="6"/>
  <c r="M5971" i="6"/>
  <c r="K5971" i="6"/>
  <c r="N5971" i="6"/>
  <c r="M5976" i="6"/>
  <c r="K5976" i="6"/>
  <c r="N5976" i="6"/>
  <c r="L5976" i="6"/>
  <c r="K5988" i="6"/>
  <c r="L5988" i="6"/>
  <c r="N5988" i="6"/>
  <c r="M5988" i="6"/>
  <c r="M5997" i="6"/>
  <c r="K5997" i="6"/>
  <c r="L5997" i="6"/>
  <c r="N5997" i="6"/>
  <c r="L6005" i="6"/>
  <c r="K6005" i="6"/>
  <c r="M6005" i="6"/>
  <c r="N6005" i="6"/>
  <c r="K6011" i="6"/>
  <c r="L6011" i="6"/>
  <c r="M6011" i="6"/>
  <c r="N6011" i="6"/>
  <c r="N6021" i="6"/>
  <c r="K6021" i="6"/>
  <c r="M6021" i="6"/>
  <c r="L6021" i="6"/>
  <c r="K6029" i="6"/>
  <c r="N6029" i="6"/>
  <c r="M6029" i="6"/>
  <c r="L6029" i="6"/>
  <c r="L6035" i="6"/>
  <c r="N6035" i="6"/>
  <c r="K6035" i="6"/>
  <c r="M6035" i="6"/>
  <c r="K6045" i="6"/>
  <c r="L6045" i="6"/>
  <c r="N6045" i="6"/>
  <c r="M6045" i="6"/>
  <c r="L6055" i="6"/>
  <c r="K6055" i="6"/>
  <c r="M6055" i="6"/>
  <c r="N6055" i="6"/>
  <c r="K6059" i="6"/>
  <c r="L6059" i="6"/>
  <c r="N6059" i="6"/>
  <c r="M6059" i="6"/>
  <c r="L6067" i="6"/>
  <c r="M6067" i="6"/>
  <c r="N6067" i="6"/>
  <c r="K6071" i="6"/>
  <c r="N6071" i="6"/>
  <c r="L6071" i="6"/>
  <c r="M6071" i="6"/>
  <c r="K6077" i="6"/>
  <c r="M6077" i="6"/>
  <c r="N6077" i="6"/>
  <c r="L6077" i="6"/>
  <c r="L6081" i="6"/>
  <c r="K6081" i="6"/>
  <c r="M6081" i="6"/>
  <c r="N6081" i="6"/>
  <c r="L6086" i="6"/>
  <c r="K6086" i="6"/>
  <c r="N6086" i="6"/>
  <c r="M6092" i="6"/>
  <c r="K6092" i="6"/>
  <c r="N6092" i="6"/>
  <c r="L6092" i="6"/>
  <c r="M6101" i="6"/>
  <c r="K6101" i="6"/>
  <c r="N6101" i="6"/>
  <c r="L6101" i="6"/>
  <c r="K6108" i="6"/>
  <c r="N6108" i="6"/>
  <c r="L6108" i="6"/>
  <c r="M6108" i="6"/>
  <c r="M6117" i="6"/>
  <c r="N6117" i="6"/>
  <c r="K6117" i="6"/>
  <c r="L6117" i="6"/>
  <c r="N6131" i="6"/>
  <c r="M6131" i="6"/>
  <c r="L6131" i="6"/>
  <c r="M6138" i="6"/>
  <c r="N6138" i="6"/>
  <c r="L6146" i="6"/>
  <c r="K6146" i="6"/>
  <c r="K6160" i="6"/>
  <c r="L6160" i="6"/>
  <c r="M6160" i="6"/>
  <c r="N6160" i="6"/>
  <c r="M6169" i="6"/>
  <c r="N6169" i="6"/>
  <c r="K6169" i="6"/>
  <c r="L6169" i="6"/>
  <c r="M6178" i="6"/>
  <c r="K6178" i="6"/>
  <c r="N6184" i="6"/>
  <c r="K6184" i="6"/>
  <c r="L6184" i="6"/>
  <c r="M6184" i="6"/>
  <c r="K6195" i="6"/>
  <c r="L6195" i="6"/>
  <c r="M6221" i="6"/>
  <c r="L6221" i="6"/>
  <c r="N6221" i="6"/>
  <c r="K6221" i="6"/>
  <c r="N6228" i="6"/>
  <c r="M6228" i="6"/>
  <c r="L6228" i="6"/>
  <c r="M6237" i="6"/>
  <c r="N6237" i="6"/>
  <c r="K6237" i="6"/>
  <c r="L6237" i="6"/>
  <c r="L6246" i="6"/>
  <c r="K6246" i="6"/>
  <c r="M6246" i="6"/>
  <c r="N6246" i="6"/>
  <c r="N6255" i="6"/>
  <c r="M6255" i="6"/>
  <c r="L6255" i="6"/>
  <c r="K6255" i="6"/>
  <c r="L6260" i="6"/>
  <c r="N6260" i="6"/>
  <c r="K6260" i="6"/>
  <c r="M6266" i="6"/>
  <c r="N6266" i="6"/>
  <c r="K6266" i="6"/>
  <c r="M6273" i="6"/>
  <c r="N6273" i="6"/>
  <c r="K6273" i="6"/>
  <c r="L6273" i="6"/>
  <c r="L6292" i="6"/>
  <c r="K6292" i="6"/>
  <c r="N6292" i="6"/>
  <c r="M6292" i="6"/>
  <c r="L6300" i="6"/>
  <c r="N6300" i="6"/>
  <c r="K6300" i="6"/>
  <c r="M6300" i="6"/>
  <c r="N6315" i="6"/>
  <c r="K6315" i="6"/>
  <c r="L6315" i="6"/>
  <c r="M6315" i="6"/>
  <c r="N6322" i="6"/>
  <c r="K6322" i="6"/>
  <c r="L6322" i="6"/>
  <c r="M6329" i="6"/>
  <c r="K6329" i="6"/>
  <c r="L6329" i="6"/>
  <c r="N6337" i="6"/>
  <c r="M6337" i="6"/>
  <c r="K6361" i="6"/>
  <c r="N6361" i="6"/>
  <c r="L6361" i="6"/>
  <c r="K6369" i="6"/>
  <c r="L6369" i="6"/>
  <c r="M6369" i="6"/>
  <c r="N6376" i="6"/>
  <c r="M6376" i="6"/>
  <c r="K6376" i="6"/>
  <c r="L6376" i="6"/>
  <c r="L6381" i="6"/>
  <c r="N6381" i="6"/>
  <c r="K6381" i="6"/>
  <c r="K6389" i="6"/>
  <c r="L6389" i="6"/>
  <c r="N6396" i="6"/>
  <c r="M6396" i="6"/>
  <c r="K6396" i="6"/>
  <c r="M6403" i="6"/>
  <c r="N6403" i="6"/>
  <c r="K6403" i="6"/>
  <c r="L6409" i="6"/>
  <c r="N6409" i="6"/>
  <c r="M6409" i="6"/>
  <c r="N6418" i="6"/>
  <c r="L6418" i="6"/>
  <c r="M6418" i="6"/>
  <c r="K6418" i="6"/>
  <c r="K6424" i="6"/>
  <c r="L6424" i="6"/>
  <c r="M6424" i="6"/>
  <c r="N6424" i="6"/>
  <c r="N6430" i="6"/>
  <c r="L6430" i="6"/>
  <c r="M6430" i="6"/>
  <c r="K6430" i="6"/>
  <c r="N6435" i="6"/>
  <c r="K6435" i="6"/>
  <c r="M6443" i="6"/>
  <c r="K6443" i="6"/>
  <c r="L6443" i="6"/>
  <c r="N6454" i="6"/>
  <c r="L6454" i="6"/>
  <c r="M6454" i="6"/>
  <c r="K6454" i="6"/>
  <c r="L6460" i="6"/>
  <c r="K6460" i="6"/>
  <c r="N6467" i="6"/>
  <c r="K6467" i="6"/>
  <c r="M6476" i="6"/>
  <c r="N6476" i="6"/>
  <c r="N6483" i="6"/>
  <c r="L6483" i="6"/>
  <c r="K6483" i="6"/>
  <c r="N6490" i="6"/>
  <c r="M6490" i="6"/>
  <c r="L6490" i="6"/>
  <c r="K6490" i="6"/>
  <c r="M6496" i="6"/>
  <c r="K6496" i="6"/>
  <c r="L6504" i="6"/>
  <c r="K6504" i="6"/>
  <c r="N6504" i="6"/>
  <c r="M6504" i="6"/>
  <c r="N6510" i="6"/>
  <c r="M6510" i="6"/>
  <c r="L6510" i="6"/>
  <c r="K6510" i="6"/>
  <c r="N6516" i="6"/>
  <c r="L6516" i="6"/>
  <c r="K6516" i="6"/>
  <c r="M6531" i="6"/>
  <c r="K6531" i="6"/>
  <c r="N6541" i="6"/>
  <c r="M6541" i="6"/>
  <c r="L6541" i="6"/>
  <c r="N6549" i="6"/>
  <c r="K6549" i="6"/>
  <c r="M6549" i="6"/>
  <c r="L6549" i="6"/>
  <c r="N6558" i="6"/>
  <c r="M6558" i="6"/>
  <c r="L6558" i="6"/>
  <c r="K6558" i="6"/>
  <c r="N6566" i="6"/>
  <c r="K6566" i="6"/>
  <c r="M6566" i="6"/>
  <c r="L6566" i="6"/>
  <c r="N6574" i="6"/>
  <c r="K6574" i="6"/>
  <c r="L6574" i="6"/>
  <c r="M6574" i="6"/>
  <c r="M6583" i="6"/>
  <c r="N6583" i="6"/>
  <c r="K6583" i="6"/>
  <c r="N6590" i="6"/>
  <c r="L6590" i="6"/>
  <c r="M6590" i="6"/>
  <c r="K6590" i="6"/>
  <c r="M6599" i="6"/>
  <c r="N6599" i="6"/>
  <c r="L6599" i="6"/>
  <c r="K6599" i="6"/>
  <c r="N6606" i="6"/>
  <c r="K6606" i="6"/>
  <c r="L6606" i="6"/>
  <c r="M6606" i="6"/>
  <c r="N6614" i="6"/>
  <c r="L6614" i="6"/>
  <c r="M6614" i="6"/>
  <c r="K6614" i="6"/>
  <c r="N6624" i="6"/>
  <c r="M6624" i="6"/>
  <c r="L6629" i="6"/>
  <c r="N6629" i="6"/>
  <c r="K6629" i="6"/>
  <c r="M6629" i="6"/>
  <c r="N6638" i="6"/>
  <c r="K6638" i="6"/>
  <c r="M6638" i="6"/>
  <c r="L6638" i="6"/>
  <c r="M6647" i="6"/>
  <c r="L6647" i="6"/>
  <c r="N6647" i="6"/>
  <c r="K6647" i="6"/>
  <c r="M6652" i="6"/>
  <c r="N6652" i="6"/>
  <c r="K6652" i="6"/>
  <c r="L6663" i="6"/>
  <c r="K6663" i="6"/>
  <c r="M6663" i="6"/>
  <c r="N6678" i="6"/>
  <c r="L6678" i="6"/>
  <c r="M6678" i="6"/>
  <c r="K6678" i="6"/>
  <c r="K6689" i="6"/>
  <c r="N6689" i="6"/>
  <c r="N6695" i="6"/>
  <c r="L6695" i="6"/>
  <c r="M6695" i="6"/>
  <c r="K6695" i="6"/>
  <c r="M6704" i="6"/>
  <c r="L6704" i="6"/>
  <c r="K6704" i="6"/>
  <c r="N6716" i="6"/>
  <c r="K6716" i="6"/>
  <c r="L6716" i="6"/>
  <c r="M6716" i="6"/>
  <c r="N6734" i="6"/>
  <c r="L6734" i="6"/>
  <c r="M6734" i="6"/>
  <c r="K6734" i="6"/>
  <c r="N6741" i="6"/>
  <c r="L6741" i="6"/>
  <c r="K6748" i="6"/>
  <c r="M6748" i="6"/>
  <c r="N6774" i="6"/>
  <c r="L6774" i="6"/>
  <c r="M6774" i="6"/>
  <c r="K6774" i="6"/>
  <c r="L6780" i="6"/>
  <c r="N6780" i="6"/>
  <c r="K6780" i="6"/>
  <c r="K6789" i="6"/>
  <c r="L6789" i="6"/>
  <c r="M6797" i="6"/>
  <c r="N6797" i="6"/>
  <c r="L6797" i="6"/>
  <c r="K6797" i="6"/>
  <c r="L6807" i="6"/>
  <c r="K6807" i="6"/>
  <c r="N6814" i="6"/>
  <c r="M6814" i="6"/>
  <c r="K6814" i="6"/>
  <c r="L6814" i="6"/>
  <c r="N6822" i="6"/>
  <c r="K6822" i="6"/>
  <c r="M6822" i="6"/>
  <c r="L6822" i="6"/>
  <c r="N6830" i="6"/>
  <c r="L6830" i="6"/>
  <c r="M6830" i="6"/>
  <c r="K6830" i="6"/>
  <c r="K6840" i="6"/>
  <c r="M6840" i="6"/>
  <c r="K6848" i="6"/>
  <c r="N6848" i="6"/>
  <c r="N6856" i="6"/>
  <c r="M6856" i="6"/>
  <c r="K6856" i="6"/>
  <c r="L6856" i="6"/>
  <c r="L6865" i="6"/>
  <c r="N6865" i="6"/>
  <c r="K6865" i="6"/>
  <c r="M6873" i="6"/>
  <c r="N6873" i="6"/>
  <c r="M6880" i="6"/>
  <c r="L6880" i="6"/>
  <c r="K6897" i="6"/>
  <c r="N6897" i="6"/>
  <c r="L6897" i="6"/>
  <c r="M6897" i="6"/>
  <c r="M6796" i="6"/>
  <c r="L3007" i="6"/>
  <c r="K3007" i="6"/>
  <c r="M3007" i="6"/>
  <c r="N3007" i="6"/>
  <c r="L3023" i="6"/>
  <c r="N3023" i="6"/>
  <c r="M3023" i="6"/>
  <c r="L3031" i="6"/>
  <c r="N3031" i="6"/>
  <c r="K3031" i="6"/>
  <c r="M3031" i="6"/>
  <c r="L3043" i="6"/>
  <c r="M3043" i="6"/>
  <c r="N3043" i="6"/>
  <c r="K3043" i="6"/>
  <c r="L3047" i="6"/>
  <c r="M3047" i="6"/>
  <c r="N3047" i="6"/>
  <c r="K3047" i="6"/>
  <c r="M3077" i="6"/>
  <c r="K3077" i="6"/>
  <c r="L3077" i="6"/>
  <c r="N3077" i="6"/>
  <c r="K3081" i="6"/>
  <c r="L3081" i="6"/>
  <c r="N3081" i="6"/>
  <c r="M3081" i="6"/>
  <c r="L3100" i="6"/>
  <c r="N3100" i="6"/>
  <c r="M3100" i="6"/>
  <c r="K3129" i="6"/>
  <c r="L3129" i="6"/>
  <c r="N3129" i="6"/>
  <c r="M3129" i="6"/>
  <c r="M3146" i="6"/>
  <c r="L3146" i="6"/>
  <c r="N3146" i="6"/>
  <c r="L3165" i="6"/>
  <c r="K3165" i="6"/>
  <c r="N3165" i="6"/>
  <c r="M3165" i="6"/>
  <c r="K3174" i="6"/>
  <c r="M3174" i="6"/>
  <c r="L3174" i="6"/>
  <c r="N3174" i="6"/>
  <c r="L3183" i="6"/>
  <c r="N3183" i="6"/>
  <c r="M3183" i="6"/>
  <c r="L3201" i="6"/>
  <c r="M3201" i="6"/>
  <c r="K3201" i="6"/>
  <c r="N3201" i="6"/>
  <c r="L3216" i="6"/>
  <c r="K3216" i="6"/>
  <c r="N3216" i="6"/>
  <c r="M3216" i="6"/>
  <c r="L3228" i="6"/>
  <c r="K3228" i="6"/>
  <c r="M3228" i="6"/>
  <c r="N3228" i="6"/>
  <c r="L3248" i="6"/>
  <c r="N3248" i="6"/>
  <c r="K3248" i="6"/>
  <c r="M3248" i="6"/>
  <c r="L3268" i="6"/>
  <c r="K3268" i="6"/>
  <c r="N3268" i="6"/>
  <c r="M3268" i="6"/>
  <c r="L3285" i="6"/>
  <c r="K3285" i="6"/>
  <c r="M3285" i="6"/>
  <c r="N3285" i="6"/>
  <c r="L3302" i="6"/>
  <c r="M3302" i="6"/>
  <c r="K3302" i="6"/>
  <c r="N3302" i="6"/>
  <c r="L3317" i="6"/>
  <c r="M3317" i="6"/>
  <c r="N3317" i="6"/>
  <c r="N3329" i="6"/>
  <c r="M3329" i="6"/>
  <c r="L3329" i="6"/>
  <c r="M3341" i="6"/>
  <c r="N3341" i="6"/>
  <c r="L3341" i="6"/>
  <c r="L3368" i="6"/>
  <c r="M3368" i="6"/>
  <c r="K3368" i="6"/>
  <c r="N3368" i="6"/>
  <c r="L3386" i="6"/>
  <c r="K3386" i="6"/>
  <c r="N3386" i="6"/>
  <c r="M3386" i="6"/>
  <c r="L3402" i="6"/>
  <c r="K3402" i="6"/>
  <c r="M3402" i="6"/>
  <c r="N3402" i="6"/>
  <c r="L3411" i="6"/>
  <c r="N3411" i="6"/>
  <c r="M3411" i="6"/>
  <c r="L3422" i="6"/>
  <c r="N3422" i="6"/>
  <c r="M3422" i="6"/>
  <c r="L3427" i="6"/>
  <c r="N3427" i="6"/>
  <c r="K3427" i="6"/>
  <c r="M3427" i="6"/>
  <c r="L3437" i="6"/>
  <c r="K3437" i="6"/>
  <c r="M3437" i="6"/>
  <c r="N3437" i="6"/>
  <c r="M3453" i="6"/>
  <c r="N3453" i="6"/>
  <c r="L3453" i="6"/>
  <c r="L3458" i="6"/>
  <c r="K3458" i="6"/>
  <c r="N3458" i="6"/>
  <c r="M3458" i="6"/>
  <c r="L3463" i="6"/>
  <c r="M3463" i="6"/>
  <c r="N3463" i="6"/>
  <c r="L3469" i="6"/>
  <c r="N3469" i="6"/>
  <c r="K3469" i="6"/>
  <c r="M3469" i="6"/>
  <c r="N3486" i="6"/>
  <c r="M3486" i="6"/>
  <c r="L3486" i="6"/>
  <c r="K3501" i="6"/>
  <c r="L3501" i="6"/>
  <c r="N3501" i="6"/>
  <c r="M3501" i="6"/>
  <c r="M3506" i="6"/>
  <c r="N3506" i="6"/>
  <c r="L3506" i="6"/>
  <c r="L3510" i="6"/>
  <c r="N3510" i="6"/>
  <c r="M3510" i="6"/>
  <c r="M3514" i="6"/>
  <c r="L3514" i="6"/>
  <c r="N3514" i="6"/>
  <c r="L3522" i="6"/>
  <c r="N3522" i="6"/>
  <c r="M3522" i="6"/>
  <c r="K3522" i="6"/>
  <c r="L3534" i="6"/>
  <c r="N3534" i="6"/>
  <c r="M3534" i="6"/>
  <c r="K3534" i="6"/>
  <c r="L3542" i="6"/>
  <c r="M3542" i="6"/>
  <c r="N3542" i="6"/>
  <c r="K3542" i="6"/>
  <c r="L3560" i="6"/>
  <c r="M3560" i="6"/>
  <c r="N3560" i="6"/>
  <c r="K3560" i="6"/>
  <c r="L3576" i="6"/>
  <c r="K3576" i="6"/>
  <c r="M3576" i="6"/>
  <c r="N3576" i="6"/>
  <c r="L3592" i="6"/>
  <c r="N3592" i="6"/>
  <c r="M3592" i="6"/>
  <c r="K3609" i="6"/>
  <c r="L3609" i="6"/>
  <c r="M3609" i="6"/>
  <c r="N3609" i="6"/>
  <c r="M3621" i="6"/>
  <c r="N3621" i="6"/>
  <c r="L3621" i="6"/>
  <c r="N3625" i="6"/>
  <c r="M3625" i="6"/>
  <c r="L3625" i="6"/>
  <c r="L3637" i="6"/>
  <c r="N3637" i="6"/>
  <c r="M3637" i="6"/>
  <c r="M3641" i="6"/>
  <c r="L3641" i="6"/>
  <c r="N3641" i="6"/>
  <c r="L3653" i="6"/>
  <c r="K3653" i="6"/>
  <c r="M3653" i="6"/>
  <c r="N3653" i="6"/>
  <c r="L3657" i="6"/>
  <c r="M3657" i="6"/>
  <c r="N3657" i="6"/>
  <c r="L3668" i="6"/>
  <c r="N3668" i="6"/>
  <c r="M3668" i="6"/>
  <c r="N3686" i="6"/>
  <c r="L3686" i="6"/>
  <c r="K3686" i="6"/>
  <c r="M3686" i="6"/>
  <c r="L3690" i="6"/>
  <c r="N3690" i="6"/>
  <c r="K3690" i="6"/>
  <c r="M3690" i="6"/>
  <c r="L3698" i="6"/>
  <c r="M3698" i="6"/>
  <c r="N3698" i="6"/>
  <c r="K3698" i="6"/>
  <c r="L3722" i="6"/>
  <c r="K3722" i="6"/>
  <c r="M3722" i="6"/>
  <c r="N3722" i="6"/>
  <c r="L3735" i="6"/>
  <c r="K3735" i="6"/>
  <c r="M3735" i="6"/>
  <c r="N3735" i="6"/>
  <c r="L3850" i="6"/>
  <c r="K3850" i="6"/>
  <c r="M3850" i="6"/>
  <c r="N3850" i="6"/>
  <c r="M3858" i="6"/>
  <c r="N3858" i="6"/>
  <c r="L3858" i="6"/>
  <c r="L3862" i="6"/>
  <c r="M3862" i="6"/>
  <c r="N3862" i="6"/>
  <c r="L3868" i="6"/>
  <c r="M3868" i="6"/>
  <c r="N3868" i="6"/>
  <c r="K3868" i="6"/>
  <c r="L3884" i="6"/>
  <c r="N3884" i="6"/>
  <c r="M3884" i="6"/>
  <c r="L3890" i="6"/>
  <c r="N3890" i="6"/>
  <c r="M3890" i="6"/>
  <c r="K3890" i="6"/>
  <c r="L3900" i="6"/>
  <c r="K3900" i="6"/>
  <c r="M3900" i="6"/>
  <c r="N3900" i="6"/>
  <c r="L3906" i="6"/>
  <c r="M3906" i="6"/>
  <c r="N3906" i="6"/>
  <c r="N3912" i="6"/>
  <c r="L3912" i="6"/>
  <c r="K3912" i="6"/>
  <c r="M3912" i="6"/>
  <c r="L3918" i="6"/>
  <c r="N3918" i="6"/>
  <c r="M3918" i="6"/>
  <c r="L3923" i="6"/>
  <c r="N3923" i="6"/>
  <c r="M3923" i="6"/>
  <c r="L3935" i="6"/>
  <c r="N3935" i="6"/>
  <c r="K3935" i="6"/>
  <c r="M3935" i="6"/>
  <c r="L3942" i="6"/>
  <c r="M3942" i="6"/>
  <c r="N3942" i="6"/>
  <c r="K3942" i="6"/>
  <c r="L3958" i="6"/>
  <c r="N3958" i="6"/>
  <c r="M3958" i="6"/>
  <c r="L3962" i="6"/>
  <c r="K3962" i="6"/>
  <c r="M3962" i="6"/>
  <c r="N3962" i="6"/>
  <c r="L3977" i="6"/>
  <c r="K3977" i="6"/>
  <c r="M3977" i="6"/>
  <c r="N3977" i="6"/>
  <c r="L3985" i="6"/>
  <c r="K3985" i="6"/>
  <c r="M3985" i="6"/>
  <c r="N3985" i="6"/>
  <c r="M3992" i="6"/>
  <c r="N3992" i="6"/>
  <c r="L3992" i="6"/>
  <c r="L4001" i="6"/>
  <c r="N4001" i="6"/>
  <c r="M4001" i="6"/>
  <c r="N4008" i="6"/>
  <c r="M4008" i="6"/>
  <c r="K4008" i="6"/>
  <c r="L4008" i="6"/>
  <c r="N4012" i="6"/>
  <c r="M4012" i="6"/>
  <c r="L4012" i="6"/>
  <c r="L4016" i="6"/>
  <c r="M4016" i="6"/>
  <c r="N4016" i="6"/>
  <c r="L4020" i="6"/>
  <c r="K4020" i="6"/>
  <c r="M4020" i="6"/>
  <c r="N4020" i="6"/>
  <c r="M4028" i="6"/>
  <c r="L4028" i="6"/>
  <c r="K4028" i="6"/>
  <c r="N4028" i="6"/>
  <c r="L4037" i="6"/>
  <c r="M4037" i="6"/>
  <c r="K4037" i="6"/>
  <c r="N4037" i="6"/>
  <c r="N4041" i="6"/>
  <c r="M4041" i="6"/>
  <c r="L4041" i="6"/>
  <c r="L4045" i="6"/>
  <c r="M4045" i="6"/>
  <c r="K4045" i="6"/>
  <c r="N4045" i="6"/>
  <c r="M4049" i="6"/>
  <c r="L4049" i="6"/>
  <c r="N4049" i="6"/>
  <c r="K4049" i="6"/>
  <c r="M4053" i="6"/>
  <c r="N4053" i="6"/>
  <c r="L4053" i="6"/>
  <c r="N4058" i="6"/>
  <c r="M4058" i="6"/>
  <c r="L4058" i="6"/>
  <c r="K4058" i="6"/>
  <c r="K4065" i="6"/>
  <c r="M4065" i="6"/>
  <c r="L4065" i="6"/>
  <c r="N4065" i="6"/>
  <c r="L4070" i="6"/>
  <c r="M4070" i="6"/>
  <c r="N4070" i="6"/>
  <c r="N4074" i="6"/>
  <c r="M4074" i="6"/>
  <c r="L4074" i="6"/>
  <c r="K4078" i="6"/>
  <c r="M4078" i="6"/>
  <c r="L4078" i="6"/>
  <c r="N4078" i="6"/>
  <c r="N4082" i="6"/>
  <c r="K4082" i="6"/>
  <c r="M4082" i="6"/>
  <c r="L4082" i="6"/>
  <c r="L4086" i="6"/>
  <c r="N4086" i="6"/>
  <c r="K4086" i="6"/>
  <c r="M4086" i="6"/>
  <c r="K4105" i="6"/>
  <c r="N4105" i="6"/>
  <c r="L4105" i="6"/>
  <c r="M4105" i="6"/>
  <c r="K4109" i="6"/>
  <c r="M4109" i="6"/>
  <c r="L4109" i="6"/>
  <c r="N4109" i="6"/>
  <c r="N4122" i="6"/>
  <c r="M4122" i="6"/>
  <c r="L4122" i="6"/>
  <c r="K4122" i="6"/>
  <c r="L4128" i="6"/>
  <c r="M4128" i="6"/>
  <c r="N4128" i="6"/>
  <c r="K4128" i="6"/>
  <c r="L4137" i="6"/>
  <c r="K4137" i="6"/>
  <c r="M4137" i="6"/>
  <c r="N4137" i="6"/>
  <c r="M4150" i="6"/>
  <c r="N4150" i="6"/>
  <c r="K4150" i="6"/>
  <c r="L4150" i="6"/>
  <c r="M4155" i="6"/>
  <c r="K4155" i="6"/>
  <c r="L4155" i="6"/>
  <c r="N4155" i="6"/>
  <c r="L4159" i="6"/>
  <c r="K4159" i="6"/>
  <c r="M4159" i="6"/>
  <c r="N4159" i="6"/>
  <c r="M4164" i="6"/>
  <c r="N4164" i="6"/>
  <c r="K4164" i="6"/>
  <c r="L4164" i="6"/>
  <c r="M4173" i="6"/>
  <c r="L4173" i="6"/>
  <c r="N4173" i="6"/>
  <c r="K4173" i="6"/>
  <c r="L4179" i="6"/>
  <c r="N4179" i="6"/>
  <c r="K4179" i="6"/>
  <c r="M4179" i="6"/>
  <c r="N4186" i="6"/>
  <c r="L4186" i="6"/>
  <c r="M4186" i="6"/>
  <c r="L4193" i="6"/>
  <c r="K4193" i="6"/>
  <c r="M4193" i="6"/>
  <c r="N4193" i="6"/>
  <c r="N4198" i="6"/>
  <c r="L4198" i="6"/>
  <c r="M4198" i="6"/>
  <c r="K4198" i="6"/>
  <c r="L4203" i="6"/>
  <c r="N4203" i="6"/>
  <c r="K4203" i="6"/>
  <c r="M4203" i="6"/>
  <c r="L4208" i="6"/>
  <c r="K4208" i="6"/>
  <c r="M4208" i="6"/>
  <c r="N4208" i="6"/>
  <c r="L4230" i="6"/>
  <c r="N4230" i="6"/>
  <c r="K4230" i="6"/>
  <c r="M4230" i="6"/>
  <c r="L4240" i="6"/>
  <c r="N4240" i="6"/>
  <c r="K4240" i="6"/>
  <c r="M4240" i="6"/>
  <c r="N4247" i="6"/>
  <c r="K4247" i="6"/>
  <c r="M4247" i="6"/>
  <c r="L4247" i="6"/>
  <c r="M4260" i="6"/>
  <c r="K4260" i="6"/>
  <c r="L4260" i="6"/>
  <c r="N4260" i="6"/>
  <c r="L4272" i="6"/>
  <c r="K4272" i="6"/>
  <c r="M4272" i="6"/>
  <c r="N4272" i="6"/>
  <c r="L4276" i="6"/>
  <c r="M4276" i="6"/>
  <c r="N4276" i="6"/>
  <c r="K4276" i="6"/>
  <c r="K4289" i="6"/>
  <c r="N4289" i="6"/>
  <c r="M4289" i="6"/>
  <c r="L4289" i="6"/>
  <c r="L4296" i="6"/>
  <c r="M4296" i="6"/>
  <c r="N4296" i="6"/>
  <c r="K4296" i="6"/>
  <c r="N4300" i="6"/>
  <c r="K4300" i="6"/>
  <c r="M4300" i="6"/>
  <c r="L4300" i="6"/>
  <c r="L4304" i="6"/>
  <c r="N4304" i="6"/>
  <c r="K4304" i="6"/>
  <c r="M4304" i="6"/>
  <c r="L4308" i="6"/>
  <c r="K4308" i="6"/>
  <c r="M4308" i="6"/>
  <c r="N4308" i="6"/>
  <c r="M4315" i="6"/>
  <c r="K4315" i="6"/>
  <c r="L4315" i="6"/>
  <c r="N4315" i="6"/>
  <c r="L4319" i="6"/>
  <c r="K4319" i="6"/>
  <c r="N4319" i="6"/>
  <c r="M4319" i="6"/>
  <c r="M4335" i="6"/>
  <c r="K4335" i="6"/>
  <c r="L4335" i="6"/>
  <c r="N4335" i="6"/>
  <c r="L4356" i="6"/>
  <c r="N4356" i="6"/>
  <c r="K4356" i="6"/>
  <c r="M4356" i="6"/>
  <c r="L4360" i="6"/>
  <c r="K4360" i="6"/>
  <c r="M4360" i="6"/>
  <c r="N4360" i="6"/>
  <c r="N4364" i="6"/>
  <c r="L4364" i="6"/>
  <c r="K4364" i="6"/>
  <c r="M4364" i="6"/>
  <c r="L4368" i="6"/>
  <c r="K4368" i="6"/>
  <c r="M4368" i="6"/>
  <c r="N4368" i="6"/>
  <c r="L4372" i="6"/>
  <c r="M4372" i="6"/>
  <c r="N4372" i="6"/>
  <c r="K4372" i="6"/>
  <c r="K4379" i="6"/>
  <c r="M4379" i="6"/>
  <c r="L4379" i="6"/>
  <c r="N4379" i="6"/>
  <c r="K4383" i="6"/>
  <c r="L4383" i="6"/>
  <c r="M4383" i="6"/>
  <c r="N4383" i="6"/>
  <c r="M4387" i="6"/>
  <c r="K4387" i="6"/>
  <c r="L4387" i="6"/>
  <c r="N4387" i="6"/>
  <c r="K4391" i="6"/>
  <c r="L4391" i="6"/>
  <c r="M4391" i="6"/>
  <c r="N4391" i="6"/>
  <c r="K4395" i="6"/>
  <c r="N4395" i="6"/>
  <c r="M4395" i="6"/>
  <c r="L4395" i="6"/>
  <c r="K4399" i="6"/>
  <c r="L4399" i="6"/>
  <c r="M4399" i="6"/>
  <c r="N4399" i="6"/>
  <c r="K4406" i="6"/>
  <c r="L4406" i="6"/>
  <c r="N4406" i="6"/>
  <c r="M4406" i="6"/>
  <c r="L4410" i="6"/>
  <c r="N4410" i="6"/>
  <c r="K4410" i="6"/>
  <c r="M4410" i="6"/>
  <c r="L4414" i="6"/>
  <c r="K4414" i="6"/>
  <c r="M4414" i="6"/>
  <c r="N4414" i="6"/>
  <c r="M4418" i="6"/>
  <c r="L4418" i="6"/>
  <c r="N4418" i="6"/>
  <c r="K4418" i="6"/>
  <c r="K4422" i="6"/>
  <c r="L4422" i="6"/>
  <c r="N4422" i="6"/>
  <c r="M4422" i="6"/>
  <c r="M4426" i="6"/>
  <c r="K4426" i="6"/>
  <c r="L4426" i="6"/>
  <c r="N4426" i="6"/>
  <c r="M4430" i="6"/>
  <c r="L4430" i="6"/>
  <c r="N4430" i="6"/>
  <c r="K4430" i="6"/>
  <c r="L4437" i="6"/>
  <c r="K4437" i="6"/>
  <c r="M4437" i="6"/>
  <c r="N4437" i="6"/>
  <c r="L4465" i="6"/>
  <c r="M4465" i="6"/>
  <c r="N4465" i="6"/>
  <c r="K4465" i="6"/>
  <c r="L4472" i="6"/>
  <c r="K4472" i="6"/>
  <c r="M4472" i="6"/>
  <c r="N4472" i="6"/>
  <c r="K4476" i="6"/>
  <c r="L4476" i="6"/>
  <c r="N4476" i="6"/>
  <c r="M4476" i="6"/>
  <c r="L4480" i="6"/>
  <c r="N4480" i="6"/>
  <c r="K4480" i="6"/>
  <c r="M4480" i="6"/>
  <c r="L4484" i="6"/>
  <c r="N4484" i="6"/>
  <c r="K4484" i="6"/>
  <c r="M4484" i="6"/>
  <c r="L4488" i="6"/>
  <c r="N4488" i="6"/>
  <c r="K4488" i="6"/>
  <c r="M4488" i="6"/>
  <c r="K4492" i="6"/>
  <c r="M4492" i="6"/>
  <c r="L4492" i="6"/>
  <c r="N4492" i="6"/>
  <c r="L4496" i="6"/>
  <c r="M4496" i="6"/>
  <c r="N4496" i="6"/>
  <c r="K4496" i="6"/>
  <c r="L4500" i="6"/>
  <c r="M4500" i="6"/>
  <c r="N4500" i="6"/>
  <c r="K4500" i="6"/>
  <c r="L4541" i="6"/>
  <c r="K4541" i="6"/>
  <c r="M4541" i="6"/>
  <c r="N4541" i="6"/>
  <c r="N4545" i="6"/>
  <c r="M4545" i="6"/>
  <c r="K4545" i="6"/>
  <c r="L4545" i="6"/>
  <c r="M4566" i="6"/>
  <c r="K4566" i="6"/>
  <c r="L4566" i="6"/>
  <c r="N4566" i="6"/>
  <c r="L4626" i="6"/>
  <c r="N4626" i="6"/>
  <c r="K4626" i="6"/>
  <c r="M4626" i="6"/>
  <c r="M4630" i="6"/>
  <c r="N4630" i="6"/>
  <c r="K4630" i="6"/>
  <c r="L4630" i="6"/>
  <c r="M4634" i="6"/>
  <c r="N4634" i="6"/>
  <c r="L4634" i="6"/>
  <c r="K4634" i="6"/>
  <c r="M4648" i="6"/>
  <c r="K4648" i="6"/>
  <c r="N4648" i="6"/>
  <c r="L4648" i="6"/>
  <c r="L4652" i="6"/>
  <c r="K4652" i="6"/>
  <c r="M4652" i="6"/>
  <c r="N4652" i="6"/>
  <c r="K4656" i="6"/>
  <c r="L4656" i="6"/>
  <c r="N4656" i="6"/>
  <c r="M4656" i="6"/>
  <c r="M4660" i="6"/>
  <c r="L4660" i="6"/>
  <c r="K4660" i="6"/>
  <c r="N4660" i="6"/>
  <c r="M4668" i="6"/>
  <c r="K4668" i="6"/>
  <c r="L4668" i="6"/>
  <c r="N4668" i="6"/>
  <c r="K4672" i="6"/>
  <c r="M4672" i="6"/>
  <c r="L4672" i="6"/>
  <c r="N4672" i="6"/>
  <c r="M4676" i="6"/>
  <c r="K4676" i="6"/>
  <c r="L4676" i="6"/>
  <c r="N4676" i="6"/>
  <c r="K4686" i="6"/>
  <c r="M4686" i="6"/>
  <c r="L4686" i="6"/>
  <c r="N4686" i="6"/>
  <c r="L4690" i="6"/>
  <c r="M4690" i="6"/>
  <c r="N4690" i="6"/>
  <c r="K4690" i="6"/>
  <c r="N4702" i="6"/>
  <c r="K4702" i="6"/>
  <c r="L4702" i="6"/>
  <c r="M4702" i="6"/>
  <c r="L4711" i="6"/>
  <c r="M4711" i="6"/>
  <c r="N4711" i="6"/>
  <c r="K4711" i="6"/>
  <c r="M4715" i="6"/>
  <c r="L4715" i="6"/>
  <c r="N4715" i="6"/>
  <c r="K4715" i="6"/>
  <c r="L4719" i="6"/>
  <c r="N4719" i="6"/>
  <c r="M4719" i="6"/>
  <c r="K4719" i="6"/>
  <c r="L4729" i="6"/>
  <c r="N4729" i="6"/>
  <c r="K4729" i="6"/>
  <c r="M4729" i="6"/>
  <c r="L4752" i="6"/>
  <c r="K4752" i="6"/>
  <c r="M4752" i="6"/>
  <c r="N4752" i="6"/>
  <c r="K4756" i="6"/>
  <c r="M4756" i="6"/>
  <c r="L4756" i="6"/>
  <c r="N4756" i="6"/>
  <c r="N4764" i="6"/>
  <c r="L4764" i="6"/>
  <c r="K4764" i="6"/>
  <c r="M4764" i="6"/>
  <c r="N4772" i="6"/>
  <c r="M4772" i="6"/>
  <c r="L4772" i="6"/>
  <c r="K4772" i="6"/>
  <c r="L4784" i="6"/>
  <c r="K4784" i="6"/>
  <c r="N4784" i="6"/>
  <c r="M4784" i="6"/>
  <c r="M4794" i="6"/>
  <c r="K4794" i="6"/>
  <c r="L4794" i="6"/>
  <c r="N4794" i="6"/>
  <c r="L4798" i="6"/>
  <c r="K4798" i="6"/>
  <c r="M4798" i="6"/>
  <c r="N4798" i="6"/>
  <c r="N4804" i="6"/>
  <c r="K4804" i="6"/>
  <c r="M4804" i="6"/>
  <c r="L4804" i="6"/>
  <c r="N4812" i="6"/>
  <c r="K4812" i="6"/>
  <c r="L4812" i="6"/>
  <c r="M4812" i="6"/>
  <c r="N4820" i="6"/>
  <c r="L4820" i="6"/>
  <c r="K4820" i="6"/>
  <c r="M4820" i="6"/>
  <c r="N4832" i="6"/>
  <c r="L4832" i="6"/>
  <c r="K4832" i="6"/>
  <c r="M4832" i="6"/>
  <c r="N4836" i="6"/>
  <c r="M4836" i="6"/>
  <c r="L4836" i="6"/>
  <c r="K4836" i="6"/>
  <c r="L4852" i="6"/>
  <c r="N4852" i="6"/>
  <c r="K4852" i="6"/>
  <c r="M4852" i="6"/>
  <c r="L4856" i="6"/>
  <c r="M4856" i="6"/>
  <c r="N4856" i="6"/>
  <c r="K4856" i="6"/>
  <c r="L4867" i="6"/>
  <c r="M4867" i="6"/>
  <c r="K4867" i="6"/>
  <c r="N4867" i="6"/>
  <c r="L4871" i="6"/>
  <c r="K4871" i="6"/>
  <c r="M4871" i="6"/>
  <c r="N4871" i="6"/>
  <c r="L4875" i="6"/>
  <c r="M4875" i="6"/>
  <c r="K4875" i="6"/>
  <c r="N4875" i="6"/>
  <c r="L4889" i="6"/>
  <c r="K4889" i="6"/>
  <c r="M4889" i="6"/>
  <c r="N4889" i="6"/>
  <c r="N4896" i="6"/>
  <c r="L4896" i="6"/>
  <c r="K4896" i="6"/>
  <c r="M4896" i="6"/>
  <c r="L4904" i="6"/>
  <c r="K4904" i="6"/>
  <c r="N4904" i="6"/>
  <c r="M4904" i="6"/>
  <c r="K4912" i="6"/>
  <c r="L4912" i="6"/>
  <c r="N4912" i="6"/>
  <c r="M4912" i="6"/>
  <c r="K4916" i="6"/>
  <c r="M4916" i="6"/>
  <c r="L4916" i="6"/>
  <c r="N4916" i="6"/>
  <c r="M4920" i="6"/>
  <c r="N4920" i="6"/>
  <c r="K4920" i="6"/>
  <c r="L4920" i="6"/>
  <c r="K4924" i="6"/>
  <c r="L4924" i="6"/>
  <c r="M4924" i="6"/>
  <c r="N4924" i="6"/>
  <c r="L4936" i="6"/>
  <c r="K4936" i="6"/>
  <c r="M4936" i="6"/>
  <c r="N4936" i="6"/>
  <c r="K4940" i="6"/>
  <c r="N4940" i="6"/>
  <c r="L4940" i="6"/>
  <c r="M4940" i="6"/>
  <c r="L4944" i="6"/>
  <c r="M4944" i="6"/>
  <c r="K4944" i="6"/>
  <c r="N4944" i="6"/>
  <c r="L4960" i="6"/>
  <c r="K4960" i="6"/>
  <c r="M4960" i="6"/>
  <c r="N4960" i="6"/>
  <c r="L4968" i="6"/>
  <c r="K4968" i="6"/>
  <c r="N4968" i="6"/>
  <c r="M4968" i="6"/>
  <c r="K4972" i="6"/>
  <c r="L4972" i="6"/>
  <c r="M4972" i="6"/>
  <c r="N4972" i="6"/>
  <c r="L4987" i="6"/>
  <c r="N4987" i="6"/>
  <c r="K4987" i="6"/>
  <c r="M4987" i="6"/>
  <c r="K4991" i="6"/>
  <c r="L4991" i="6"/>
  <c r="N4991" i="6"/>
  <c r="M4991" i="6"/>
  <c r="L4995" i="6"/>
  <c r="M4995" i="6"/>
  <c r="K4995" i="6"/>
  <c r="N4995" i="6"/>
  <c r="L5003" i="6"/>
  <c r="M5003" i="6"/>
  <c r="N5003" i="6"/>
  <c r="K5003" i="6"/>
  <c r="L5011" i="6"/>
  <c r="M5011" i="6"/>
  <c r="N5011" i="6"/>
  <c r="K5011" i="6"/>
  <c r="L5031" i="6"/>
  <c r="M5031" i="6"/>
  <c r="N5031" i="6"/>
  <c r="K5031" i="6"/>
  <c r="L5035" i="6"/>
  <c r="N5035" i="6"/>
  <c r="M5035" i="6"/>
  <c r="K5035" i="6"/>
  <c r="L5039" i="6"/>
  <c r="K5039" i="6"/>
  <c r="N5039" i="6"/>
  <c r="M5039" i="6"/>
  <c r="L5043" i="6"/>
  <c r="M5043" i="6"/>
  <c r="N5043" i="6"/>
  <c r="K5043" i="6"/>
  <c r="L5053" i="6"/>
  <c r="M5053" i="6"/>
  <c r="K5053" i="6"/>
  <c r="N5053" i="6"/>
  <c r="N5061" i="6"/>
  <c r="K5061" i="6"/>
  <c r="L5061" i="6"/>
  <c r="M5061" i="6"/>
  <c r="K5081" i="6"/>
  <c r="M5081" i="6"/>
  <c r="L5081" i="6"/>
  <c r="N5081" i="6"/>
  <c r="M5085" i="6"/>
  <c r="N5085" i="6"/>
  <c r="K5085" i="6"/>
  <c r="L5085" i="6"/>
  <c r="L5092" i="6"/>
  <c r="M5092" i="6"/>
  <c r="K5092" i="6"/>
  <c r="N5092" i="6"/>
  <c r="L5097" i="6"/>
  <c r="N5097" i="6"/>
  <c r="K5097" i="6"/>
  <c r="M5097" i="6"/>
  <c r="K5125" i="6"/>
  <c r="L5125" i="6"/>
  <c r="N5125" i="6"/>
  <c r="M5125" i="6"/>
  <c r="L5135" i="6"/>
  <c r="M5135" i="6"/>
  <c r="K5135" i="6"/>
  <c r="N5135" i="6"/>
  <c r="L5145" i="6"/>
  <c r="K5145" i="6"/>
  <c r="M5145" i="6"/>
  <c r="N5145" i="6"/>
  <c r="N5158" i="6"/>
  <c r="K5158" i="6"/>
  <c r="M5158" i="6"/>
  <c r="L5158" i="6"/>
  <c r="N5162" i="6"/>
  <c r="K5162" i="6"/>
  <c r="M5162" i="6"/>
  <c r="L5162" i="6"/>
  <c r="L5201" i="6"/>
  <c r="N5201" i="6"/>
  <c r="K5201" i="6"/>
  <c r="M5201" i="6"/>
  <c r="K5205" i="6"/>
  <c r="N5205" i="6"/>
  <c r="M5205" i="6"/>
  <c r="L5205" i="6"/>
  <c r="M5223" i="6"/>
  <c r="N5223" i="6"/>
  <c r="L5223" i="6"/>
  <c r="K5223" i="6"/>
  <c r="N5227" i="6"/>
  <c r="K5227" i="6"/>
  <c r="M5227" i="6"/>
  <c r="L5227" i="6"/>
  <c r="L5237" i="6"/>
  <c r="M5237" i="6"/>
  <c r="K5237" i="6"/>
  <c r="N5237" i="6"/>
  <c r="M5241" i="6"/>
  <c r="L5241" i="6"/>
  <c r="K5241" i="6"/>
  <c r="N5241" i="6"/>
  <c r="L5245" i="6"/>
  <c r="K5245" i="6"/>
  <c r="N5245" i="6"/>
  <c r="M5245" i="6"/>
  <c r="L5249" i="6"/>
  <c r="K5249" i="6"/>
  <c r="M5249" i="6"/>
  <c r="N5249" i="6"/>
  <c r="M5257" i="6"/>
  <c r="K5257" i="6"/>
  <c r="N5257" i="6"/>
  <c r="L5257" i="6"/>
  <c r="N5261" i="6"/>
  <c r="L5261" i="6"/>
  <c r="K5261" i="6"/>
  <c r="M5261" i="6"/>
  <c r="K5265" i="6"/>
  <c r="N5265" i="6"/>
  <c r="M5265" i="6"/>
  <c r="L5265" i="6"/>
  <c r="M5269" i="6"/>
  <c r="K5269" i="6"/>
  <c r="L5269" i="6"/>
  <c r="N5269" i="6"/>
  <c r="L5288" i="6"/>
  <c r="M5288" i="6"/>
  <c r="N5288" i="6"/>
  <c r="K5288" i="6"/>
  <c r="M5292" i="6"/>
  <c r="N5292" i="6"/>
  <c r="K5292" i="6"/>
  <c r="L5292" i="6"/>
  <c r="M5299" i="6"/>
  <c r="N5299" i="6"/>
  <c r="K5299" i="6"/>
  <c r="L5299" i="6"/>
  <c r="N5320" i="6"/>
  <c r="K5320" i="6"/>
  <c r="M5320" i="6"/>
  <c r="L5320" i="6"/>
  <c r="K5324" i="6"/>
  <c r="L5324" i="6"/>
  <c r="N5324" i="6"/>
  <c r="M5324" i="6"/>
  <c r="L5332" i="6"/>
  <c r="K5332" i="6"/>
  <c r="M5332" i="6"/>
  <c r="N5332" i="6"/>
  <c r="N5339" i="6"/>
  <c r="L5339" i="6"/>
  <c r="K5339" i="6"/>
  <c r="M5339" i="6"/>
  <c r="M5355" i="6"/>
  <c r="L5355" i="6"/>
  <c r="N5355" i="6"/>
  <c r="K5355" i="6"/>
  <c r="N5359" i="6"/>
  <c r="M5359" i="6"/>
  <c r="L5359" i="6"/>
  <c r="K5359" i="6"/>
  <c r="N5363" i="6"/>
  <c r="L5363" i="6"/>
  <c r="K5363" i="6"/>
  <c r="M5363" i="6"/>
  <c r="M5367" i="6"/>
  <c r="L5367" i="6"/>
  <c r="K5367" i="6"/>
  <c r="N5367" i="6"/>
  <c r="M5383" i="6"/>
  <c r="K5383" i="6"/>
  <c r="L5383" i="6"/>
  <c r="N5383" i="6"/>
  <c r="K5398" i="6"/>
  <c r="L5398" i="6"/>
  <c r="N5398" i="6"/>
  <c r="M5398" i="6"/>
  <c r="K5418" i="6"/>
  <c r="N5418" i="6"/>
  <c r="M5418" i="6"/>
  <c r="L5418" i="6"/>
  <c r="K5422" i="6"/>
  <c r="M5422" i="6"/>
  <c r="L5422" i="6"/>
  <c r="N5422" i="6"/>
  <c r="N5426" i="6"/>
  <c r="K5426" i="6"/>
  <c r="M5426" i="6"/>
  <c r="L5426" i="6"/>
  <c r="K5430" i="6"/>
  <c r="M5430" i="6"/>
  <c r="L5430" i="6"/>
  <c r="N5430" i="6"/>
  <c r="K5446" i="6"/>
  <c r="N5446" i="6"/>
  <c r="M5446" i="6"/>
  <c r="L5446" i="6"/>
  <c r="L5459" i="6"/>
  <c r="N5459" i="6"/>
  <c r="K5459" i="6"/>
  <c r="M5459" i="6"/>
  <c r="L5468" i="6"/>
  <c r="K5468" i="6"/>
  <c r="M5468" i="6"/>
  <c r="N5468" i="6"/>
  <c r="L5472" i="6"/>
  <c r="K5472" i="6"/>
  <c r="M5472" i="6"/>
  <c r="N5472" i="6"/>
  <c r="K5480" i="6"/>
  <c r="N5480" i="6"/>
  <c r="M5480" i="6"/>
  <c r="L5480" i="6"/>
  <c r="N5484" i="6"/>
  <c r="M5484" i="6"/>
  <c r="L5484" i="6"/>
  <c r="K5484" i="6"/>
  <c r="L5496" i="6"/>
  <c r="M5496" i="6"/>
  <c r="K5496" i="6"/>
  <c r="N5496" i="6"/>
  <c r="L5503" i="6"/>
  <c r="M5503" i="6"/>
  <c r="N5503" i="6"/>
  <c r="K5503" i="6"/>
  <c r="N5516" i="6"/>
  <c r="K5516" i="6"/>
  <c r="L5516" i="6"/>
  <c r="M5516" i="6"/>
  <c r="N5522" i="6"/>
  <c r="M5522" i="6"/>
  <c r="L5522" i="6"/>
  <c r="K5522" i="6"/>
  <c r="M5526" i="6"/>
  <c r="N5526" i="6"/>
  <c r="K5526" i="6"/>
  <c r="L5526" i="6"/>
  <c r="M5534" i="6"/>
  <c r="L5534" i="6"/>
  <c r="N5534" i="6"/>
  <c r="K5534" i="6"/>
  <c r="N5538" i="6"/>
  <c r="K5538" i="6"/>
  <c r="M5538" i="6"/>
  <c r="L5538" i="6"/>
  <c r="M5542" i="6"/>
  <c r="K5542" i="6"/>
  <c r="L5542" i="6"/>
  <c r="N5542" i="6"/>
  <c r="M5550" i="6"/>
  <c r="K5550" i="6"/>
  <c r="L5550" i="6"/>
  <c r="N5550" i="6"/>
  <c r="N5554" i="6"/>
  <c r="K5554" i="6"/>
  <c r="M5554" i="6"/>
  <c r="L5554" i="6"/>
  <c r="M5558" i="6"/>
  <c r="N5558" i="6"/>
  <c r="K5558" i="6"/>
  <c r="L5558" i="6"/>
  <c r="M5566" i="6"/>
  <c r="L5566" i="6"/>
  <c r="N5566" i="6"/>
  <c r="K5566" i="6"/>
  <c r="N5570" i="6"/>
  <c r="L5570" i="6"/>
  <c r="K5570" i="6"/>
  <c r="M5570" i="6"/>
  <c r="M5574" i="6"/>
  <c r="K5574" i="6"/>
  <c r="L5574" i="6"/>
  <c r="N5574" i="6"/>
  <c r="M5582" i="6"/>
  <c r="K5582" i="6"/>
  <c r="L5582" i="6"/>
  <c r="N5582" i="6"/>
  <c r="M5588" i="6"/>
  <c r="L5588" i="6"/>
  <c r="N5588" i="6"/>
  <c r="K5588" i="6"/>
  <c r="M5604" i="6"/>
  <c r="K5604" i="6"/>
  <c r="N5604" i="6"/>
  <c r="L5604" i="6"/>
  <c r="K5613" i="6"/>
  <c r="L5613" i="6"/>
  <c r="N5613" i="6"/>
  <c r="M5613" i="6"/>
  <c r="K5617" i="6"/>
  <c r="M5617" i="6"/>
  <c r="L5617" i="6"/>
  <c r="N5617" i="6"/>
  <c r="L5623" i="6"/>
  <c r="K5623" i="6"/>
  <c r="M5623" i="6"/>
  <c r="N5623" i="6"/>
  <c r="L5627" i="6"/>
  <c r="N5627" i="6"/>
  <c r="K5627" i="6"/>
  <c r="M5627" i="6"/>
  <c r="N5638" i="6"/>
  <c r="K5638" i="6"/>
  <c r="M5638" i="6"/>
  <c r="L5638" i="6"/>
  <c r="L5650" i="6"/>
  <c r="K5650" i="6"/>
  <c r="N5650" i="6"/>
  <c r="M5650" i="6"/>
  <c r="L5657" i="6"/>
  <c r="K5657" i="6"/>
  <c r="N5657" i="6"/>
  <c r="M5657" i="6"/>
  <c r="M5661" i="6"/>
  <c r="K5661" i="6"/>
  <c r="N5661" i="6"/>
  <c r="L5661" i="6"/>
  <c r="K5665" i="6"/>
  <c r="N5665" i="6"/>
  <c r="M5665" i="6"/>
  <c r="L5665" i="6"/>
  <c r="L5678" i="6"/>
  <c r="K5678" i="6"/>
  <c r="M5678" i="6"/>
  <c r="N5678" i="6"/>
  <c r="L5694" i="6"/>
  <c r="K5694" i="6"/>
  <c r="N5694" i="6"/>
  <c r="M5694" i="6"/>
  <c r="N5698" i="6"/>
  <c r="M5698" i="6"/>
  <c r="L5698" i="6"/>
  <c r="K5698" i="6"/>
  <c r="N5702" i="6"/>
  <c r="K5702" i="6"/>
  <c r="L5702" i="6"/>
  <c r="M5702" i="6"/>
  <c r="M5706" i="6"/>
  <c r="K5706" i="6"/>
  <c r="L5706" i="6"/>
  <c r="N5706" i="6"/>
  <c r="N5710" i="6"/>
  <c r="M5710" i="6"/>
  <c r="K5710" i="6"/>
  <c r="L5710" i="6"/>
  <c r="K5724" i="6"/>
  <c r="M5724" i="6"/>
  <c r="L5724" i="6"/>
  <c r="N5724" i="6"/>
  <c r="K5728" i="6"/>
  <c r="M5728" i="6"/>
  <c r="L5728" i="6"/>
  <c r="N5728" i="6"/>
  <c r="K5732" i="6"/>
  <c r="M5732" i="6"/>
  <c r="N5732" i="6"/>
  <c r="L5732" i="6"/>
  <c r="L5739" i="6"/>
  <c r="M5739" i="6"/>
  <c r="K5739" i="6"/>
  <c r="N5739" i="6"/>
  <c r="L5743" i="6"/>
  <c r="N5743" i="6"/>
  <c r="M5743" i="6"/>
  <c r="K5743" i="6"/>
  <c r="L5747" i="6"/>
  <c r="K5747" i="6"/>
  <c r="M5747" i="6"/>
  <c r="N5747" i="6"/>
  <c r="K5756" i="6"/>
  <c r="M5756" i="6"/>
  <c r="L5756" i="6"/>
  <c r="N5756" i="6"/>
  <c r="K5772" i="6"/>
  <c r="M5772" i="6"/>
  <c r="L5772" i="6"/>
  <c r="N5772" i="6"/>
  <c r="N5783" i="6"/>
  <c r="K5783" i="6"/>
  <c r="M5783" i="6"/>
  <c r="L5783" i="6"/>
  <c r="L5787" i="6"/>
  <c r="K5787" i="6"/>
  <c r="N5787" i="6"/>
  <c r="M5787" i="6"/>
  <c r="K5796" i="6"/>
  <c r="M5796" i="6"/>
  <c r="N5796" i="6"/>
  <c r="L5796" i="6"/>
  <c r="K5800" i="6"/>
  <c r="L5800" i="6"/>
  <c r="M5800" i="6"/>
  <c r="N5800" i="6"/>
  <c r="M5805" i="6"/>
  <c r="K5805" i="6"/>
  <c r="N5805" i="6"/>
  <c r="L5805" i="6"/>
  <c r="K5816" i="6"/>
  <c r="M5816" i="6"/>
  <c r="L5816" i="6"/>
  <c r="N5816" i="6"/>
  <c r="K5820" i="6"/>
  <c r="M5820" i="6"/>
  <c r="L5820" i="6"/>
  <c r="N5820" i="6"/>
  <c r="L5825" i="6"/>
  <c r="M5825" i="6"/>
  <c r="N5825" i="6"/>
  <c r="K5825" i="6"/>
  <c r="L5829" i="6"/>
  <c r="K5829" i="6"/>
  <c r="N5829" i="6"/>
  <c r="M5829" i="6"/>
  <c r="K5833" i="6"/>
  <c r="L5833" i="6"/>
  <c r="N5833" i="6"/>
  <c r="M5833" i="6"/>
  <c r="K5837" i="6"/>
  <c r="N5837" i="6"/>
  <c r="L5837" i="6"/>
  <c r="M5837" i="6"/>
  <c r="N5847" i="6"/>
  <c r="K5847" i="6"/>
  <c r="M5847" i="6"/>
  <c r="L5847" i="6"/>
  <c r="L5854" i="6"/>
  <c r="N5854" i="6"/>
  <c r="M5854" i="6"/>
  <c r="K5854" i="6"/>
  <c r="M5858" i="6"/>
  <c r="L5858" i="6"/>
  <c r="N5858" i="6"/>
  <c r="K5858" i="6"/>
  <c r="K5862" i="6"/>
  <c r="M5862" i="6"/>
  <c r="L5862" i="6"/>
  <c r="N5862" i="6"/>
  <c r="M5866" i="6"/>
  <c r="N5866" i="6"/>
  <c r="L5866" i="6"/>
  <c r="K5866" i="6"/>
  <c r="M5870" i="6"/>
  <c r="K5870" i="6"/>
  <c r="L5870" i="6"/>
  <c r="N5870" i="6"/>
  <c r="M5876" i="6"/>
  <c r="N5876" i="6"/>
  <c r="K5876" i="6"/>
  <c r="L5876" i="6"/>
  <c r="K5880" i="6"/>
  <c r="M5880" i="6"/>
  <c r="L5880" i="6"/>
  <c r="N5880" i="6"/>
  <c r="L5889" i="6"/>
  <c r="K5889" i="6"/>
  <c r="N5889" i="6"/>
  <c r="M5889" i="6"/>
  <c r="M5896" i="6"/>
  <c r="K5896" i="6"/>
  <c r="N5896" i="6"/>
  <c r="L5896" i="6"/>
  <c r="N5900" i="6"/>
  <c r="K5900" i="6"/>
  <c r="M5900" i="6"/>
  <c r="L5900" i="6"/>
  <c r="M5910" i="6"/>
  <c r="N5910" i="6"/>
  <c r="L5910" i="6"/>
  <c r="K5910" i="6"/>
  <c r="L5920" i="6"/>
  <c r="M5920" i="6"/>
  <c r="N5920" i="6"/>
  <c r="K5920" i="6"/>
  <c r="K5924" i="6"/>
  <c r="L5924" i="6"/>
  <c r="N5924" i="6"/>
  <c r="M5924" i="6"/>
  <c r="N5929" i="6"/>
  <c r="K5929" i="6"/>
  <c r="M5929" i="6"/>
  <c r="L5929" i="6"/>
  <c r="N5945" i="6"/>
  <c r="L5945" i="6"/>
  <c r="K5945" i="6"/>
  <c r="M5945" i="6"/>
  <c r="N5952" i="6"/>
  <c r="L5952" i="6"/>
  <c r="K5952" i="6"/>
  <c r="M5952" i="6"/>
  <c r="L5963" i="6"/>
  <c r="M5963" i="6"/>
  <c r="K5963" i="6"/>
  <c r="N5963" i="6"/>
  <c r="K5967" i="6"/>
  <c r="L5967" i="6"/>
  <c r="N5967" i="6"/>
  <c r="M5967" i="6"/>
  <c r="K5972" i="6"/>
  <c r="M5972" i="6"/>
  <c r="L5972" i="6"/>
  <c r="N5972" i="6"/>
  <c r="M5977" i="6"/>
  <c r="L5977" i="6"/>
  <c r="N5977" i="6"/>
  <c r="K5977" i="6"/>
  <c r="K5989" i="6"/>
  <c r="M5989" i="6"/>
  <c r="L5989" i="6"/>
  <c r="N5989" i="6"/>
  <c r="L5998" i="6"/>
  <c r="N5998" i="6"/>
  <c r="K5998" i="6"/>
  <c r="M5998" i="6"/>
  <c r="L6008" i="6"/>
  <c r="N6008" i="6"/>
  <c r="M6008" i="6"/>
  <c r="K6008" i="6"/>
  <c r="L6014" i="6"/>
  <c r="K6014" i="6"/>
  <c r="N6014" i="6"/>
  <c r="M6014" i="6"/>
  <c r="K6022" i="6"/>
  <c r="M6022" i="6"/>
  <c r="N6022" i="6"/>
  <c r="L6022" i="6"/>
  <c r="L6032" i="6"/>
  <c r="M6032" i="6"/>
  <c r="K6032" i="6"/>
  <c r="L6038" i="6"/>
  <c r="M6038" i="6"/>
  <c r="K6038" i="6"/>
  <c r="K6046" i="6"/>
  <c r="L6046" i="6"/>
  <c r="M6046" i="6"/>
  <c r="N6046" i="6"/>
  <c r="N6056" i="6"/>
  <c r="L6056" i="6"/>
  <c r="M6056" i="6"/>
  <c r="K6056" i="6"/>
  <c r="K6060" i="6"/>
  <c r="M6060" i="6"/>
  <c r="L6060" i="6"/>
  <c r="N6060" i="6"/>
  <c r="K6068" i="6"/>
  <c r="N6068" i="6"/>
  <c r="M6068" i="6"/>
  <c r="L6068" i="6"/>
  <c r="K6072" i="6"/>
  <c r="M6072" i="6"/>
  <c r="L6072" i="6"/>
  <c r="N6072" i="6"/>
  <c r="K6078" i="6"/>
  <c r="L6078" i="6"/>
  <c r="N6078" i="6"/>
  <c r="M6078" i="6"/>
  <c r="L6083" i="6"/>
  <c r="M6083" i="6"/>
  <c r="K6083" i="6"/>
  <c r="M6087" i="6"/>
  <c r="L6087" i="6"/>
  <c r="K6087" i="6"/>
  <c r="N6087" i="6"/>
  <c r="K6095" i="6"/>
  <c r="L6095" i="6"/>
  <c r="N6103" i="6"/>
  <c r="L6103" i="6"/>
  <c r="M6103" i="6"/>
  <c r="M6111" i="6"/>
  <c r="K6111" i="6"/>
  <c r="L6111" i="6"/>
  <c r="N6111" i="6"/>
  <c r="K6118" i="6"/>
  <c r="L6118" i="6"/>
  <c r="M6125" i="6"/>
  <c r="N6125" i="6"/>
  <c r="K6125" i="6"/>
  <c r="L6125" i="6"/>
  <c r="N6132" i="6"/>
  <c r="L6132" i="6"/>
  <c r="M6141" i="6"/>
  <c r="L6141" i="6"/>
  <c r="K6141" i="6"/>
  <c r="N6141" i="6"/>
  <c r="M6149" i="6"/>
  <c r="K6149" i="6"/>
  <c r="N6149" i="6"/>
  <c r="L6149" i="6"/>
  <c r="M6156" i="6"/>
  <c r="K6156" i="6"/>
  <c r="N6156" i="6"/>
  <c r="L6156" i="6"/>
  <c r="M6162" i="6"/>
  <c r="K6162" i="6"/>
  <c r="L6186" i="6"/>
  <c r="M6186" i="6"/>
  <c r="K6186" i="6"/>
  <c r="M6197" i="6"/>
  <c r="N6197" i="6"/>
  <c r="K6197" i="6"/>
  <c r="L6197" i="6"/>
  <c r="M6209" i="6"/>
  <c r="K6209" i="6"/>
  <c r="N6209" i="6"/>
  <c r="L6209" i="6"/>
  <c r="N6222" i="6"/>
  <c r="M6222" i="6"/>
  <c r="K6222" i="6"/>
  <c r="L6231" i="6"/>
  <c r="K6231" i="6"/>
  <c r="N6231" i="6"/>
  <c r="M6231" i="6"/>
  <c r="M6238" i="6"/>
  <c r="L6238" i="6"/>
  <c r="N6238" i="6"/>
  <c r="K6238" i="6"/>
  <c r="N6247" i="6"/>
  <c r="L6247" i="6"/>
  <c r="N6256" i="6"/>
  <c r="M6256" i="6"/>
  <c r="K6261" i="6"/>
  <c r="L6261" i="6"/>
  <c r="N6261" i="6"/>
  <c r="M6261" i="6"/>
  <c r="N6268" i="6"/>
  <c r="M6268" i="6"/>
  <c r="L6268" i="6"/>
  <c r="K6274" i="6"/>
  <c r="L6274" i="6"/>
  <c r="M6274" i="6"/>
  <c r="N6274" i="6"/>
  <c r="L6285" i="6"/>
  <c r="M6285" i="6"/>
  <c r="N6285" i="6"/>
  <c r="L6293" i="6"/>
  <c r="K6293" i="6"/>
  <c r="M6293" i="6"/>
  <c r="N6293" i="6"/>
  <c r="N6301" i="6"/>
  <c r="M6301" i="6"/>
  <c r="L6301" i="6"/>
  <c r="L6307" i="6"/>
  <c r="K6307" i="6"/>
  <c r="M6307" i="6"/>
  <c r="N6307" i="6"/>
  <c r="N6316" i="6"/>
  <c r="K6316" i="6"/>
  <c r="M6316" i="6"/>
  <c r="L6316" i="6"/>
  <c r="L6324" i="6"/>
  <c r="N6324" i="6"/>
  <c r="M6324" i="6"/>
  <c r="K6324" i="6"/>
  <c r="L6331" i="6"/>
  <c r="K6331" i="6"/>
  <c r="L6352" i="6"/>
  <c r="N6352" i="6"/>
  <c r="K6352" i="6"/>
  <c r="M6352" i="6"/>
  <c r="L6362" i="6"/>
  <c r="M6362" i="6"/>
  <c r="N6362" i="6"/>
  <c r="K6362" i="6"/>
  <c r="M6372" i="6"/>
  <c r="N6372" i="6"/>
  <c r="L6372" i="6"/>
  <c r="N6378" i="6"/>
  <c r="M6378" i="6"/>
  <c r="K6378" i="6"/>
  <c r="L6378" i="6"/>
  <c r="M6390" i="6"/>
  <c r="N6390" i="6"/>
  <c r="K6390" i="6"/>
  <c r="L6390" i="6"/>
  <c r="N6398" i="6"/>
  <c r="M6398" i="6"/>
  <c r="K6398" i="6"/>
  <c r="L6398" i="6"/>
  <c r="L6404" i="6"/>
  <c r="N6404" i="6"/>
  <c r="M6404" i="6"/>
  <c r="K6404" i="6"/>
  <c r="N6411" i="6"/>
  <c r="M6411" i="6"/>
  <c r="L6411" i="6"/>
  <c r="K6411" i="6"/>
  <c r="N6420" i="6"/>
  <c r="M6420" i="6"/>
  <c r="K6420" i="6"/>
  <c r="K6425" i="6"/>
  <c r="L6425" i="6"/>
  <c r="L6431" i="6"/>
  <c r="N6431" i="6"/>
  <c r="K6431" i="6"/>
  <c r="L6436" i="6"/>
  <c r="M6436" i="6"/>
  <c r="N6436" i="6"/>
  <c r="N6446" i="6"/>
  <c r="L6446" i="6"/>
  <c r="M6446" i="6"/>
  <c r="K6446" i="6"/>
  <c r="M6455" i="6"/>
  <c r="L6455" i="6"/>
  <c r="K6455" i="6"/>
  <c r="N6462" i="6"/>
  <c r="M6462" i="6"/>
  <c r="K6462" i="6"/>
  <c r="L6462" i="6"/>
  <c r="M6468" i="6"/>
  <c r="K6468" i="6"/>
  <c r="N6468" i="6"/>
  <c r="L6468" i="6"/>
  <c r="N6477" i="6"/>
  <c r="M6477" i="6"/>
  <c r="K6477" i="6"/>
  <c r="K6485" i="6"/>
  <c r="M6485" i="6"/>
  <c r="L6491" i="6"/>
  <c r="K6491" i="6"/>
  <c r="N6491" i="6"/>
  <c r="L6497" i="6"/>
  <c r="M6497" i="6"/>
  <c r="N6497" i="6"/>
  <c r="K6497" i="6"/>
  <c r="N6506" i="6"/>
  <c r="M6506" i="6"/>
  <c r="K6506" i="6"/>
  <c r="L6506" i="6"/>
  <c r="M6511" i="6"/>
  <c r="N6511" i="6"/>
  <c r="L6511" i="6"/>
  <c r="K6511" i="6"/>
  <c r="N6517" i="6"/>
  <c r="K6517" i="6"/>
  <c r="N6526" i="6"/>
  <c r="L6526" i="6"/>
  <c r="K6526" i="6"/>
  <c r="M6526" i="6"/>
  <c r="L6532" i="6"/>
  <c r="M6532" i="6"/>
  <c r="K6532" i="6"/>
  <c r="N6532" i="6"/>
  <c r="L6544" i="6"/>
  <c r="K6544" i="6"/>
  <c r="N6559" i="6"/>
  <c r="M6559" i="6"/>
  <c r="K6559" i="6"/>
  <c r="N6567" i="6"/>
  <c r="M6567" i="6"/>
  <c r="L6567" i="6"/>
  <c r="K6567" i="6"/>
  <c r="N6577" i="6"/>
  <c r="M6577" i="6"/>
  <c r="L6577" i="6"/>
  <c r="N6584" i="6"/>
  <c r="K6584" i="6"/>
  <c r="L6584" i="6"/>
  <c r="N6592" i="6"/>
  <c r="M6592" i="6"/>
  <c r="L6592" i="6"/>
  <c r="K6592" i="6"/>
  <c r="L6600" i="6"/>
  <c r="K6600" i="6"/>
  <c r="N6600" i="6"/>
  <c r="M6600" i="6"/>
  <c r="N6607" i="6"/>
  <c r="K6607" i="6"/>
  <c r="N6618" i="6"/>
  <c r="K6618" i="6"/>
  <c r="M6618" i="6"/>
  <c r="L6618" i="6"/>
  <c r="M6625" i="6"/>
  <c r="K6625" i="6"/>
  <c r="N6625" i="6"/>
  <c r="L6625" i="6"/>
  <c r="M6641" i="6"/>
  <c r="N6641" i="6"/>
  <c r="L6641" i="6"/>
  <c r="L6648" i="6"/>
  <c r="M6648" i="6"/>
  <c r="N6654" i="6"/>
  <c r="M6654" i="6"/>
  <c r="K6654" i="6"/>
  <c r="L6654" i="6"/>
  <c r="N6666" i="6"/>
  <c r="M6666" i="6"/>
  <c r="K6666" i="6"/>
  <c r="L6666" i="6"/>
  <c r="N6672" i="6"/>
  <c r="K6672" i="6"/>
  <c r="L6672" i="6"/>
  <c r="M6672" i="6"/>
  <c r="N6682" i="6"/>
  <c r="M6682" i="6"/>
  <c r="K6682" i="6"/>
  <c r="L6682" i="6"/>
  <c r="N6691" i="6"/>
  <c r="K6691" i="6"/>
  <c r="L6691" i="6"/>
  <c r="K6696" i="6"/>
  <c r="L6696" i="6"/>
  <c r="M6696" i="6"/>
  <c r="N6705" i="6"/>
  <c r="L6705" i="6"/>
  <c r="K6705" i="6"/>
  <c r="N6718" i="6"/>
  <c r="M6718" i="6"/>
  <c r="K6718" i="6"/>
  <c r="L6718" i="6"/>
  <c r="N6726" i="6"/>
  <c r="M6726" i="6"/>
  <c r="L6726" i="6"/>
  <c r="K6726" i="6"/>
  <c r="M6743" i="6"/>
  <c r="N6743" i="6"/>
  <c r="K6743" i="6"/>
  <c r="N6749" i="6"/>
  <c r="L6749" i="6"/>
  <c r="M6749" i="6"/>
  <c r="L6757" i="6"/>
  <c r="K6757" i="6"/>
  <c r="M6757" i="6"/>
  <c r="M6768" i="6"/>
  <c r="K6768" i="6"/>
  <c r="N6776" i="6"/>
  <c r="K6776" i="6"/>
  <c r="N6782" i="6"/>
  <c r="K6782" i="6"/>
  <c r="M6782" i="6"/>
  <c r="L6782" i="6"/>
  <c r="N6791" i="6"/>
  <c r="K6791" i="6"/>
  <c r="L6791" i="6"/>
  <c r="N6799" i="6"/>
  <c r="M6799" i="6"/>
  <c r="K6799" i="6"/>
  <c r="L6809" i="6"/>
  <c r="N6809" i="6"/>
  <c r="M6809" i="6"/>
  <c r="N6816" i="6"/>
  <c r="M6816" i="6"/>
  <c r="L6825" i="6"/>
  <c r="K6825" i="6"/>
  <c r="M6825" i="6"/>
  <c r="N6825" i="6"/>
  <c r="M6832" i="6"/>
  <c r="K6832" i="6"/>
  <c r="N6842" i="6"/>
  <c r="M6842" i="6"/>
  <c r="L6842" i="6"/>
  <c r="K6842" i="6"/>
  <c r="N6850" i="6"/>
  <c r="L6850" i="6"/>
  <c r="M6850" i="6"/>
  <c r="K6850" i="6"/>
  <c r="N6858" i="6"/>
  <c r="L6858" i="6"/>
  <c r="M6858" i="6"/>
  <c r="K6858" i="6"/>
  <c r="L6867" i="6"/>
  <c r="K6867" i="6"/>
  <c r="N6876" i="6"/>
  <c r="M6876" i="6"/>
  <c r="K6876" i="6"/>
  <c r="L6876" i="6"/>
  <c r="N6882" i="6"/>
  <c r="K6882" i="6"/>
  <c r="M6882" i="6"/>
  <c r="L6882" i="6"/>
  <c r="L6891" i="6"/>
  <c r="K6891" i="6"/>
  <c r="N6899" i="6"/>
  <c r="M6899" i="6"/>
  <c r="K6899" i="6"/>
  <c r="L6899" i="6"/>
  <c r="N6796" i="6"/>
  <c r="L3008" i="6"/>
  <c r="N3008" i="6"/>
  <c r="K3008" i="6"/>
  <c r="M3008" i="6"/>
  <c r="L3026" i="6"/>
  <c r="M3026" i="6"/>
  <c r="N3026" i="6"/>
  <c r="K3026" i="6"/>
  <c r="L3032" i="6"/>
  <c r="M3032" i="6"/>
  <c r="N3032" i="6"/>
  <c r="M3044" i="6"/>
  <c r="N3044" i="6"/>
  <c r="L3044" i="6"/>
  <c r="L3056" i="6"/>
  <c r="K3056" i="6"/>
  <c r="M3056" i="6"/>
  <c r="N3056" i="6"/>
  <c r="L3078" i="6"/>
  <c r="K3078" i="6"/>
  <c r="M3078" i="6"/>
  <c r="N3078" i="6"/>
  <c r="N3082" i="6"/>
  <c r="K3082" i="6"/>
  <c r="M3082" i="6"/>
  <c r="L3082" i="6"/>
  <c r="L3108" i="6"/>
  <c r="M3108" i="6"/>
  <c r="N3108" i="6"/>
  <c r="K3108" i="6"/>
  <c r="N3130" i="6"/>
  <c r="K3130" i="6"/>
  <c r="M3130" i="6"/>
  <c r="L3130" i="6"/>
  <c r="L3147" i="6"/>
  <c r="N3147" i="6"/>
  <c r="M3147" i="6"/>
  <c r="M3166" i="6"/>
  <c r="N3166" i="6"/>
  <c r="L3166" i="6"/>
  <c r="L3175" i="6"/>
  <c r="M3175" i="6"/>
  <c r="N3175" i="6"/>
  <c r="L3188" i="6"/>
  <c r="K3188" i="6"/>
  <c r="N3188" i="6"/>
  <c r="M3188" i="6"/>
  <c r="L3202" i="6"/>
  <c r="M3202" i="6"/>
  <c r="N3202" i="6"/>
  <c r="L3221" i="6"/>
  <c r="K3221" i="6"/>
  <c r="M3221" i="6"/>
  <c r="N3221" i="6"/>
  <c r="L3234" i="6"/>
  <c r="K3234" i="6"/>
  <c r="M3234" i="6"/>
  <c r="N3234" i="6"/>
  <c r="L3254" i="6"/>
  <c r="K3254" i="6"/>
  <c r="M3254" i="6"/>
  <c r="N3254" i="6"/>
  <c r="L3274" i="6"/>
  <c r="M3274" i="6"/>
  <c r="K3274" i="6"/>
  <c r="N3274" i="6"/>
  <c r="L3290" i="6"/>
  <c r="K3290" i="6"/>
  <c r="N3290" i="6"/>
  <c r="M3290" i="6"/>
  <c r="L3303" i="6"/>
  <c r="N3303" i="6"/>
  <c r="M3303" i="6"/>
  <c r="M3318" i="6"/>
  <c r="L3318" i="6"/>
  <c r="N3318" i="6"/>
  <c r="N3330" i="6"/>
  <c r="L3330" i="6"/>
  <c r="M3330" i="6"/>
  <c r="N3342" i="6"/>
  <c r="L3342" i="6"/>
  <c r="M3342" i="6"/>
  <c r="L3377" i="6"/>
  <c r="K3377" i="6"/>
  <c r="M3377" i="6"/>
  <c r="N3377" i="6"/>
  <c r="M3387" i="6"/>
  <c r="L3387" i="6"/>
  <c r="N3387" i="6"/>
  <c r="M3403" i="6"/>
  <c r="L3403" i="6"/>
  <c r="N3403" i="6"/>
  <c r="L3412" i="6"/>
  <c r="K3412" i="6"/>
  <c r="N3412" i="6"/>
  <c r="M3412" i="6"/>
  <c r="L3423" i="6"/>
  <c r="K3423" i="6"/>
  <c r="M3423" i="6"/>
  <c r="N3423" i="6"/>
  <c r="M3428" i="6"/>
  <c r="N3428" i="6"/>
  <c r="L3428" i="6"/>
  <c r="L3441" i="6"/>
  <c r="K3441" i="6"/>
  <c r="N3441" i="6"/>
  <c r="M3441" i="6"/>
  <c r="M3454" i="6"/>
  <c r="L3454" i="6"/>
  <c r="N3454" i="6"/>
  <c r="M3459" i="6"/>
  <c r="L3459" i="6"/>
  <c r="K3459" i="6"/>
  <c r="N3459" i="6"/>
  <c r="L3465" i="6"/>
  <c r="K3465" i="6"/>
  <c r="M3465" i="6"/>
  <c r="N3465" i="6"/>
  <c r="K3470" i="6"/>
  <c r="M3470" i="6"/>
  <c r="L3470" i="6"/>
  <c r="N3470" i="6"/>
  <c r="M3487" i="6"/>
  <c r="K3487" i="6"/>
  <c r="L3487" i="6"/>
  <c r="N3487" i="6"/>
  <c r="L3502" i="6"/>
  <c r="N3502" i="6"/>
  <c r="K3502" i="6"/>
  <c r="M3502" i="6"/>
  <c r="N3507" i="6"/>
  <c r="M3507" i="6"/>
  <c r="L3507" i="6"/>
  <c r="M3511" i="6"/>
  <c r="L3511" i="6"/>
  <c r="N3511" i="6"/>
  <c r="M3515" i="6"/>
  <c r="N3515" i="6"/>
  <c r="L3515" i="6"/>
  <c r="M3523" i="6"/>
  <c r="L3523" i="6"/>
  <c r="N3523" i="6"/>
  <c r="M3535" i="6"/>
  <c r="N3535" i="6"/>
  <c r="L3535" i="6"/>
  <c r="L3543" i="6"/>
  <c r="N3543" i="6"/>
  <c r="M3543" i="6"/>
  <c r="K3543" i="6"/>
  <c r="L3564" i="6"/>
  <c r="K3564" i="6"/>
  <c r="N3564" i="6"/>
  <c r="M3564" i="6"/>
  <c r="L3580" i="6"/>
  <c r="K3580" i="6"/>
  <c r="M3580" i="6"/>
  <c r="N3580" i="6"/>
  <c r="L3596" i="6"/>
  <c r="K3596" i="6"/>
  <c r="M3596" i="6"/>
  <c r="N3596" i="6"/>
  <c r="L3610" i="6"/>
  <c r="N3610" i="6"/>
  <c r="K3610" i="6"/>
  <c r="M3610" i="6"/>
  <c r="L3622" i="6"/>
  <c r="K3622" i="6"/>
  <c r="M3622" i="6"/>
  <c r="N3622" i="6"/>
  <c r="L3626" i="6"/>
  <c r="M3626" i="6"/>
  <c r="N3626" i="6"/>
  <c r="K3626" i="6"/>
  <c r="L3638" i="6"/>
  <c r="K3638" i="6"/>
  <c r="M3638" i="6"/>
  <c r="N3638" i="6"/>
  <c r="L3642" i="6"/>
  <c r="K3642" i="6"/>
  <c r="M3642" i="6"/>
  <c r="N3642" i="6"/>
  <c r="N3654" i="6"/>
  <c r="K3654" i="6"/>
  <c r="M3654" i="6"/>
  <c r="L3654" i="6"/>
  <c r="L3658" i="6"/>
  <c r="K3658" i="6"/>
  <c r="M3658" i="6"/>
  <c r="N3658" i="6"/>
  <c r="L3672" i="6"/>
  <c r="M3672" i="6"/>
  <c r="N3672" i="6"/>
  <c r="K3672" i="6"/>
  <c r="L3687" i="6"/>
  <c r="N3687" i="6"/>
  <c r="M3687" i="6"/>
  <c r="L3691" i="6"/>
  <c r="M3691" i="6"/>
  <c r="N3691" i="6"/>
  <c r="K3699" i="6"/>
  <c r="N3699" i="6"/>
  <c r="L3699" i="6"/>
  <c r="M3699" i="6"/>
  <c r="L3723" i="6"/>
  <c r="M3723" i="6"/>
  <c r="N3723" i="6"/>
  <c r="K3736" i="6"/>
  <c r="N3736" i="6"/>
  <c r="M3736" i="6"/>
  <c r="L3736" i="6"/>
  <c r="L3851" i="6"/>
  <c r="M3851" i="6"/>
  <c r="N3851" i="6"/>
  <c r="M3859" i="6"/>
  <c r="L3859" i="6"/>
  <c r="N3859" i="6"/>
  <c r="K3859" i="6"/>
  <c r="N3863" i="6"/>
  <c r="M3863" i="6"/>
  <c r="L3863" i="6"/>
  <c r="K3863" i="6"/>
  <c r="N3869" i="6"/>
  <c r="M3869" i="6"/>
  <c r="L3869" i="6"/>
  <c r="L3885" i="6"/>
  <c r="M3885" i="6"/>
  <c r="N3885" i="6"/>
  <c r="K3885" i="6"/>
  <c r="M3891" i="6"/>
  <c r="L3891" i="6"/>
  <c r="N3891" i="6"/>
  <c r="L3901" i="6"/>
  <c r="M3901" i="6"/>
  <c r="N3901" i="6"/>
  <c r="K3907" i="6"/>
  <c r="L3907" i="6"/>
  <c r="N3907" i="6"/>
  <c r="M3907" i="6"/>
  <c r="L3913" i="6"/>
  <c r="M3913" i="6"/>
  <c r="N3913" i="6"/>
  <c r="L3919" i="6"/>
  <c r="M3919" i="6"/>
  <c r="K3919" i="6"/>
  <c r="N3919" i="6"/>
  <c r="L3924" i="6"/>
  <c r="N3924" i="6"/>
  <c r="M3924" i="6"/>
  <c r="L3936" i="6"/>
  <c r="K3936" i="6"/>
  <c r="M3936" i="6"/>
  <c r="N3936" i="6"/>
  <c r="L3943" i="6"/>
  <c r="N3943" i="6"/>
  <c r="M3943" i="6"/>
  <c r="L3959" i="6"/>
  <c r="N3959" i="6"/>
  <c r="M3959" i="6"/>
  <c r="K3959" i="6"/>
  <c r="L3963" i="6"/>
  <c r="N3963" i="6"/>
  <c r="M3963" i="6"/>
  <c r="K3963" i="6"/>
  <c r="L3978" i="6"/>
  <c r="N3978" i="6"/>
  <c r="M3978" i="6"/>
  <c r="L3989" i="6"/>
  <c r="N3989" i="6"/>
  <c r="K3989" i="6"/>
  <c r="M3989" i="6"/>
  <c r="L3994" i="6"/>
  <c r="N3994" i="6"/>
  <c r="K3994" i="6"/>
  <c r="M3994" i="6"/>
  <c r="L4005" i="6"/>
  <c r="M4005" i="6"/>
  <c r="N4005" i="6"/>
  <c r="M4009" i="6"/>
  <c r="K4009" i="6"/>
  <c r="N4009" i="6"/>
  <c r="L4009" i="6"/>
  <c r="K4013" i="6"/>
  <c r="N4013" i="6"/>
  <c r="M4013" i="6"/>
  <c r="L4013" i="6"/>
  <c r="L4017" i="6"/>
  <c r="M4017" i="6"/>
  <c r="N4017" i="6"/>
  <c r="L4025" i="6"/>
  <c r="K4025" i="6"/>
  <c r="M4025" i="6"/>
  <c r="N4025" i="6"/>
  <c r="L4030" i="6"/>
  <c r="M4030" i="6"/>
  <c r="N4030" i="6"/>
  <c r="L4038" i="6"/>
  <c r="N4038" i="6"/>
  <c r="K4038" i="6"/>
  <c r="M4038" i="6"/>
  <c r="N4042" i="6"/>
  <c r="M4042" i="6"/>
  <c r="L4042" i="6"/>
  <c r="M4046" i="6"/>
  <c r="N4046" i="6"/>
  <c r="L4046" i="6"/>
  <c r="M4050" i="6"/>
  <c r="K4050" i="6"/>
  <c r="L4050" i="6"/>
  <c r="N4050" i="6"/>
  <c r="L4054" i="6"/>
  <c r="K4054" i="6"/>
  <c r="M4054" i="6"/>
  <c r="N4054" i="6"/>
  <c r="L4059" i="6"/>
  <c r="N4059" i="6"/>
  <c r="M4059" i="6"/>
  <c r="K4059" i="6"/>
  <c r="L4066" i="6"/>
  <c r="K4066" i="6"/>
  <c r="M4066" i="6"/>
  <c r="N4066" i="6"/>
  <c r="L4071" i="6"/>
  <c r="M4071" i="6"/>
  <c r="N4071" i="6"/>
  <c r="L4075" i="6"/>
  <c r="N4075" i="6"/>
  <c r="M4075" i="6"/>
  <c r="L4079" i="6"/>
  <c r="N4079" i="6"/>
  <c r="M4079" i="6"/>
  <c r="L4083" i="6"/>
  <c r="K4083" i="6"/>
  <c r="M4083" i="6"/>
  <c r="N4083" i="6"/>
  <c r="L4087" i="6"/>
  <c r="N4087" i="6"/>
  <c r="K4087" i="6"/>
  <c r="M4087" i="6"/>
  <c r="L4106" i="6"/>
  <c r="K4106" i="6"/>
  <c r="M4106" i="6"/>
  <c r="N4106" i="6"/>
  <c r="L4118" i="6"/>
  <c r="N4118" i="6"/>
  <c r="M4118" i="6"/>
  <c r="L4123" i="6"/>
  <c r="M4123" i="6"/>
  <c r="N4123" i="6"/>
  <c r="K4123" i="6"/>
  <c r="K4129" i="6"/>
  <c r="M4129" i="6"/>
  <c r="L4129" i="6"/>
  <c r="N4129" i="6"/>
  <c r="L4138" i="6"/>
  <c r="N4138" i="6"/>
  <c r="M4138" i="6"/>
  <c r="L4152" i="6"/>
  <c r="N4152" i="6"/>
  <c r="M4152" i="6"/>
  <c r="M4156" i="6"/>
  <c r="N4156" i="6"/>
  <c r="L4156" i="6"/>
  <c r="L4160" i="6"/>
  <c r="M4160" i="6"/>
  <c r="N4160" i="6"/>
  <c r="K4160" i="6"/>
  <c r="K4165" i="6"/>
  <c r="N4165" i="6"/>
  <c r="M4165" i="6"/>
  <c r="L4165" i="6"/>
  <c r="L4176" i="6"/>
  <c r="M4176" i="6"/>
  <c r="N4176" i="6"/>
  <c r="L4183" i="6"/>
  <c r="K4183" i="6"/>
  <c r="N4183" i="6"/>
  <c r="M4183" i="6"/>
  <c r="L4187" i="6"/>
  <c r="N4187" i="6"/>
  <c r="K4187" i="6"/>
  <c r="M4187" i="6"/>
  <c r="K4194" i="6"/>
  <c r="M4194" i="6"/>
  <c r="L4194" i="6"/>
  <c r="N4194" i="6"/>
  <c r="L4199" i="6"/>
  <c r="N4199" i="6"/>
  <c r="M4199" i="6"/>
  <c r="K4199" i="6"/>
  <c r="M4204" i="6"/>
  <c r="K4204" i="6"/>
  <c r="N4204" i="6"/>
  <c r="L4204" i="6"/>
  <c r="L4209" i="6"/>
  <c r="K4209" i="6"/>
  <c r="M4209" i="6"/>
  <c r="N4209" i="6"/>
  <c r="L4234" i="6"/>
  <c r="N4234" i="6"/>
  <c r="K4234" i="6"/>
  <c r="M4234" i="6"/>
  <c r="M4241" i="6"/>
  <c r="N4241" i="6"/>
  <c r="K4241" i="6"/>
  <c r="L4241" i="6"/>
  <c r="L4252" i="6"/>
  <c r="N4252" i="6"/>
  <c r="K4252" i="6"/>
  <c r="M4252" i="6"/>
  <c r="K4261" i="6"/>
  <c r="M4261" i="6"/>
  <c r="N4261" i="6"/>
  <c r="L4261" i="6"/>
  <c r="L4273" i="6"/>
  <c r="K4273" i="6"/>
  <c r="N4273" i="6"/>
  <c r="M4273" i="6"/>
  <c r="N4277" i="6"/>
  <c r="K4277" i="6"/>
  <c r="M4277" i="6"/>
  <c r="L4277" i="6"/>
  <c r="L4293" i="6"/>
  <c r="N4293" i="6"/>
  <c r="M4293" i="6"/>
  <c r="K4293" i="6"/>
  <c r="N4297" i="6"/>
  <c r="M4297" i="6"/>
  <c r="K4297" i="6"/>
  <c r="L4297" i="6"/>
  <c r="M4301" i="6"/>
  <c r="L4301" i="6"/>
  <c r="K4301" i="6"/>
  <c r="N4301" i="6"/>
  <c r="M4305" i="6"/>
  <c r="N4305" i="6"/>
  <c r="L4305" i="6"/>
  <c r="K4305" i="6"/>
  <c r="M4309" i="6"/>
  <c r="K4309" i="6"/>
  <c r="N4309" i="6"/>
  <c r="L4309" i="6"/>
  <c r="N4316" i="6"/>
  <c r="K4316" i="6"/>
  <c r="M4316" i="6"/>
  <c r="L4316" i="6"/>
  <c r="L4320" i="6"/>
  <c r="M4320" i="6"/>
  <c r="N4320" i="6"/>
  <c r="K4320" i="6"/>
  <c r="L4336" i="6"/>
  <c r="K4336" i="6"/>
  <c r="M4336" i="6"/>
  <c r="N4336" i="6"/>
  <c r="K4357" i="6"/>
  <c r="M4357" i="6"/>
  <c r="L4357" i="6"/>
  <c r="N4357" i="6"/>
  <c r="N4361" i="6"/>
  <c r="L4361" i="6"/>
  <c r="K4361" i="6"/>
  <c r="M4361" i="6"/>
  <c r="K4365" i="6"/>
  <c r="M4365" i="6"/>
  <c r="L4365" i="6"/>
  <c r="N4365" i="6"/>
  <c r="K4369" i="6"/>
  <c r="L4369" i="6"/>
  <c r="N4369" i="6"/>
  <c r="M4369" i="6"/>
  <c r="L4373" i="6"/>
  <c r="M4373" i="6"/>
  <c r="K4373" i="6"/>
  <c r="N4373" i="6"/>
  <c r="N4380" i="6"/>
  <c r="M4380" i="6"/>
  <c r="L4380" i="6"/>
  <c r="K4380" i="6"/>
  <c r="L4384" i="6"/>
  <c r="N4384" i="6"/>
  <c r="K4384" i="6"/>
  <c r="M4384" i="6"/>
  <c r="L4388" i="6"/>
  <c r="K4388" i="6"/>
  <c r="M4388" i="6"/>
  <c r="N4388" i="6"/>
  <c r="L4392" i="6"/>
  <c r="K4392" i="6"/>
  <c r="M4392" i="6"/>
  <c r="N4392" i="6"/>
  <c r="N4396" i="6"/>
  <c r="K4396" i="6"/>
  <c r="M4396" i="6"/>
  <c r="L4396" i="6"/>
  <c r="L4400" i="6"/>
  <c r="M4400" i="6"/>
  <c r="N4400" i="6"/>
  <c r="K4400" i="6"/>
  <c r="M4407" i="6"/>
  <c r="L4407" i="6"/>
  <c r="N4407" i="6"/>
  <c r="K4407" i="6"/>
  <c r="L4411" i="6"/>
  <c r="K4411" i="6"/>
  <c r="M4411" i="6"/>
  <c r="N4411" i="6"/>
  <c r="K4415" i="6"/>
  <c r="L4415" i="6"/>
  <c r="M4415" i="6"/>
  <c r="N4415" i="6"/>
  <c r="M4419" i="6"/>
  <c r="L4419" i="6"/>
  <c r="K4419" i="6"/>
  <c r="N4419" i="6"/>
  <c r="K4423" i="6"/>
  <c r="M4423" i="6"/>
  <c r="L4423" i="6"/>
  <c r="N4423" i="6"/>
  <c r="K4427" i="6"/>
  <c r="L4427" i="6"/>
  <c r="M4427" i="6"/>
  <c r="N4427" i="6"/>
  <c r="K4431" i="6"/>
  <c r="M4431" i="6"/>
  <c r="N4431" i="6"/>
  <c r="L4431" i="6"/>
  <c r="L4454" i="6"/>
  <c r="M4454" i="6"/>
  <c r="K4454" i="6"/>
  <c r="N4454" i="6"/>
  <c r="L4469" i="6"/>
  <c r="K4469" i="6"/>
  <c r="M4469" i="6"/>
  <c r="N4469" i="6"/>
  <c r="M4473" i="6"/>
  <c r="N4473" i="6"/>
  <c r="K4473" i="6"/>
  <c r="L4473" i="6"/>
  <c r="K4477" i="6"/>
  <c r="N4477" i="6"/>
  <c r="L4477" i="6"/>
  <c r="M4477" i="6"/>
  <c r="K4481" i="6"/>
  <c r="M4481" i="6"/>
  <c r="L4481" i="6"/>
  <c r="N4481" i="6"/>
  <c r="N4485" i="6"/>
  <c r="M4485" i="6"/>
  <c r="L4485" i="6"/>
  <c r="K4485" i="6"/>
  <c r="N4489" i="6"/>
  <c r="M4489" i="6"/>
  <c r="L4489" i="6"/>
  <c r="K4489" i="6"/>
  <c r="N4493" i="6"/>
  <c r="L4493" i="6"/>
  <c r="M4493" i="6"/>
  <c r="K4493" i="6"/>
  <c r="K4497" i="6"/>
  <c r="L4497" i="6"/>
  <c r="N4497" i="6"/>
  <c r="M4497" i="6"/>
  <c r="L4518" i="6"/>
  <c r="K4518" i="6"/>
  <c r="M4518" i="6"/>
  <c r="N4518" i="6"/>
  <c r="N4542" i="6"/>
  <c r="M4542" i="6"/>
  <c r="K4542" i="6"/>
  <c r="L4542" i="6"/>
  <c r="L4563" i="6"/>
  <c r="N4563" i="6"/>
  <c r="K4563" i="6"/>
  <c r="M4563" i="6"/>
  <c r="L4595" i="6"/>
  <c r="N4595" i="6"/>
  <c r="K4595" i="6"/>
  <c r="M4595" i="6"/>
  <c r="L4627" i="6"/>
  <c r="N4627" i="6"/>
  <c r="K4627" i="6"/>
  <c r="M4627" i="6"/>
  <c r="L4631" i="6"/>
  <c r="N4631" i="6"/>
  <c r="M4631" i="6"/>
  <c r="K4631" i="6"/>
  <c r="K4635" i="6"/>
  <c r="N4635" i="6"/>
  <c r="M4635" i="6"/>
  <c r="L4635" i="6"/>
  <c r="M4649" i="6"/>
  <c r="K4649" i="6"/>
  <c r="L4649" i="6"/>
  <c r="N4649" i="6"/>
  <c r="L4653" i="6"/>
  <c r="K4653" i="6"/>
  <c r="M4653" i="6"/>
  <c r="N4653" i="6"/>
  <c r="M4657" i="6"/>
  <c r="N4657" i="6"/>
  <c r="K4657" i="6"/>
  <c r="L4657" i="6"/>
  <c r="L4665" i="6"/>
  <c r="N4665" i="6"/>
  <c r="K4665" i="6"/>
  <c r="M4665" i="6"/>
  <c r="L4669" i="6"/>
  <c r="K4669" i="6"/>
  <c r="N4669" i="6"/>
  <c r="M4669" i="6"/>
  <c r="M4673" i="6"/>
  <c r="K4673" i="6"/>
  <c r="L4673" i="6"/>
  <c r="N4673" i="6"/>
  <c r="N4677" i="6"/>
  <c r="M4677" i="6"/>
  <c r="L4677" i="6"/>
  <c r="K4677" i="6"/>
  <c r="L4687" i="6"/>
  <c r="N4687" i="6"/>
  <c r="K4687" i="6"/>
  <c r="M4687" i="6"/>
  <c r="L4691" i="6"/>
  <c r="K4691" i="6"/>
  <c r="M4691" i="6"/>
  <c r="N4691" i="6"/>
  <c r="M4703" i="6"/>
  <c r="L4703" i="6"/>
  <c r="K4703" i="6"/>
  <c r="N4703" i="6"/>
  <c r="N4712" i="6"/>
  <c r="L4712" i="6"/>
  <c r="K4712" i="6"/>
  <c r="M4712" i="6"/>
  <c r="M4716" i="6"/>
  <c r="K4716" i="6"/>
  <c r="L4716" i="6"/>
  <c r="N4716" i="6"/>
  <c r="M4720" i="6"/>
  <c r="L4720" i="6"/>
  <c r="N4720" i="6"/>
  <c r="K4720" i="6"/>
  <c r="L4730" i="6"/>
  <c r="K4730" i="6"/>
  <c r="N4730" i="6"/>
  <c r="M4730" i="6"/>
  <c r="K4753" i="6"/>
  <c r="M4753" i="6"/>
  <c r="L4753" i="6"/>
  <c r="N4753" i="6"/>
  <c r="L4761" i="6"/>
  <c r="N4761" i="6"/>
  <c r="K4761" i="6"/>
  <c r="M4761" i="6"/>
  <c r="L4769" i="6"/>
  <c r="K4769" i="6"/>
  <c r="M4769" i="6"/>
  <c r="N4769" i="6"/>
  <c r="L4781" i="6"/>
  <c r="N4781" i="6"/>
  <c r="K4781" i="6"/>
  <c r="M4781" i="6"/>
  <c r="L4785" i="6"/>
  <c r="K4785" i="6"/>
  <c r="N4785" i="6"/>
  <c r="M4785" i="6"/>
  <c r="L4795" i="6"/>
  <c r="K4795" i="6"/>
  <c r="M4795" i="6"/>
  <c r="N4795" i="6"/>
  <c r="M4799" i="6"/>
  <c r="N4799" i="6"/>
  <c r="K4799" i="6"/>
  <c r="L4799" i="6"/>
  <c r="L4809" i="6"/>
  <c r="K4809" i="6"/>
  <c r="M4809" i="6"/>
  <c r="N4809" i="6"/>
  <c r="L4817" i="6"/>
  <c r="M4817" i="6"/>
  <c r="N4817" i="6"/>
  <c r="K4817" i="6"/>
  <c r="L4829" i="6"/>
  <c r="M4829" i="6"/>
  <c r="N4829" i="6"/>
  <c r="K4829" i="6"/>
  <c r="L4833" i="6"/>
  <c r="K4833" i="6"/>
  <c r="N4833" i="6"/>
  <c r="M4833" i="6"/>
  <c r="L4840" i="6"/>
  <c r="K4840" i="6"/>
  <c r="M4840" i="6"/>
  <c r="N4840" i="6"/>
  <c r="K4853" i="6"/>
  <c r="M4853" i="6"/>
  <c r="L4853" i="6"/>
  <c r="N4853" i="6"/>
  <c r="N4857" i="6"/>
  <c r="L4857" i="6"/>
  <c r="K4857" i="6"/>
  <c r="M4857" i="6"/>
  <c r="N4868" i="6"/>
  <c r="M4868" i="6"/>
  <c r="L4868" i="6"/>
  <c r="K4868" i="6"/>
  <c r="L4872" i="6"/>
  <c r="K4872" i="6"/>
  <c r="M4872" i="6"/>
  <c r="N4872" i="6"/>
  <c r="M4876" i="6"/>
  <c r="K4876" i="6"/>
  <c r="L4876" i="6"/>
  <c r="N4876" i="6"/>
  <c r="K4890" i="6"/>
  <c r="N4890" i="6"/>
  <c r="M4890" i="6"/>
  <c r="L4890" i="6"/>
  <c r="L4897" i="6"/>
  <c r="M4897" i="6"/>
  <c r="K4897" i="6"/>
  <c r="N4897" i="6"/>
  <c r="N4905" i="6"/>
  <c r="K4905" i="6"/>
  <c r="L4905" i="6"/>
  <c r="M4905" i="6"/>
  <c r="N4913" i="6"/>
  <c r="M4913" i="6"/>
  <c r="K4913" i="6"/>
  <c r="L4913" i="6"/>
  <c r="N4917" i="6"/>
  <c r="L4917" i="6"/>
  <c r="K4917" i="6"/>
  <c r="M4917" i="6"/>
  <c r="K4921" i="6"/>
  <c r="N4921" i="6"/>
  <c r="L4921" i="6"/>
  <c r="M4921" i="6"/>
  <c r="K4925" i="6"/>
  <c r="M4925" i="6"/>
  <c r="N4925" i="6"/>
  <c r="L4925" i="6"/>
  <c r="L4937" i="6"/>
  <c r="K4937" i="6"/>
  <c r="M4937" i="6"/>
  <c r="N4937" i="6"/>
  <c r="M4941" i="6"/>
  <c r="N4941" i="6"/>
  <c r="L4941" i="6"/>
  <c r="K4941" i="6"/>
  <c r="M4945" i="6"/>
  <c r="K4945" i="6"/>
  <c r="N4945" i="6"/>
  <c r="L4945" i="6"/>
  <c r="M4961" i="6"/>
  <c r="K4961" i="6"/>
  <c r="L4961" i="6"/>
  <c r="N4961" i="6"/>
  <c r="L4969" i="6"/>
  <c r="N4969" i="6"/>
  <c r="K4969" i="6"/>
  <c r="M4969" i="6"/>
  <c r="M4973" i="6"/>
  <c r="L4973" i="6"/>
  <c r="K4973" i="6"/>
  <c r="N4973" i="6"/>
  <c r="K4988" i="6"/>
  <c r="M4988" i="6"/>
  <c r="N4988" i="6"/>
  <c r="L4988" i="6"/>
  <c r="L4992" i="6"/>
  <c r="K4992" i="6"/>
  <c r="N4992" i="6"/>
  <c r="M4992" i="6"/>
  <c r="L4996" i="6"/>
  <c r="N4996" i="6"/>
  <c r="K4996" i="6"/>
  <c r="M4996" i="6"/>
  <c r="K5004" i="6"/>
  <c r="N5004" i="6"/>
  <c r="L5004" i="6"/>
  <c r="M5004" i="6"/>
  <c r="L5012" i="6"/>
  <c r="N5012" i="6"/>
  <c r="K5012" i="6"/>
  <c r="M5012" i="6"/>
  <c r="M5032" i="6"/>
  <c r="K5032" i="6"/>
  <c r="N5032" i="6"/>
  <c r="L5032" i="6"/>
  <c r="N5036" i="6"/>
  <c r="L5036" i="6"/>
  <c r="K5036" i="6"/>
  <c r="M5036" i="6"/>
  <c r="M5040" i="6"/>
  <c r="L5040" i="6"/>
  <c r="K5040" i="6"/>
  <c r="N5040" i="6"/>
  <c r="L5044" i="6"/>
  <c r="M5044" i="6"/>
  <c r="K5044" i="6"/>
  <c r="N5044" i="6"/>
  <c r="L5054" i="6"/>
  <c r="K5054" i="6"/>
  <c r="M5054" i="6"/>
  <c r="N5054" i="6"/>
  <c r="L5062" i="6"/>
  <c r="N5062" i="6"/>
  <c r="K5062" i="6"/>
  <c r="M5062" i="6"/>
  <c r="N5082" i="6"/>
  <c r="K5082" i="6"/>
  <c r="M5082" i="6"/>
  <c r="L5082" i="6"/>
  <c r="L5086" i="6"/>
  <c r="M5086" i="6"/>
  <c r="N5086" i="6"/>
  <c r="K5086" i="6"/>
  <c r="M5093" i="6"/>
  <c r="K5093" i="6"/>
  <c r="L5093" i="6"/>
  <c r="N5093" i="6"/>
  <c r="K5098" i="6"/>
  <c r="L5098" i="6"/>
  <c r="N5098" i="6"/>
  <c r="M5098" i="6"/>
  <c r="N5126" i="6"/>
  <c r="K5126" i="6"/>
  <c r="M5126" i="6"/>
  <c r="L5126" i="6"/>
  <c r="N5136" i="6"/>
  <c r="L5136" i="6"/>
  <c r="K5136" i="6"/>
  <c r="M5136" i="6"/>
  <c r="N5146" i="6"/>
  <c r="K5146" i="6"/>
  <c r="M5146" i="6"/>
  <c r="L5146" i="6"/>
  <c r="L5159" i="6"/>
  <c r="K5159" i="6"/>
  <c r="N5159" i="6"/>
  <c r="M5159" i="6"/>
  <c r="N5163" i="6"/>
  <c r="L5163" i="6"/>
  <c r="K5163" i="6"/>
  <c r="M5163" i="6"/>
  <c r="L5202" i="6"/>
  <c r="N5202" i="6"/>
  <c r="K5202" i="6"/>
  <c r="M5202" i="6"/>
  <c r="M5206" i="6"/>
  <c r="N5206" i="6"/>
  <c r="K5206" i="6"/>
  <c r="L5206" i="6"/>
  <c r="K5224" i="6"/>
  <c r="N5224" i="6"/>
  <c r="M5224" i="6"/>
  <c r="L5224" i="6"/>
  <c r="M5228" i="6"/>
  <c r="K5228" i="6"/>
  <c r="L5228" i="6"/>
  <c r="N5228" i="6"/>
  <c r="L5238" i="6"/>
  <c r="N5238" i="6"/>
  <c r="K5238" i="6"/>
  <c r="M5238" i="6"/>
  <c r="K5242" i="6"/>
  <c r="L5242" i="6"/>
  <c r="M5242" i="6"/>
  <c r="N5242" i="6"/>
  <c r="M5246" i="6"/>
  <c r="N5246" i="6"/>
  <c r="K5246" i="6"/>
  <c r="L5246" i="6"/>
  <c r="M5250" i="6"/>
  <c r="K5250" i="6"/>
  <c r="L5250" i="6"/>
  <c r="N5250" i="6"/>
  <c r="K5258" i="6"/>
  <c r="L5258" i="6"/>
  <c r="M5258" i="6"/>
  <c r="N5258" i="6"/>
  <c r="M5262" i="6"/>
  <c r="N5262" i="6"/>
  <c r="K5262" i="6"/>
  <c r="L5262" i="6"/>
  <c r="M5266" i="6"/>
  <c r="K5266" i="6"/>
  <c r="N5266" i="6"/>
  <c r="L5266" i="6"/>
  <c r="M5270" i="6"/>
  <c r="L5270" i="6"/>
  <c r="N5270" i="6"/>
  <c r="K5270" i="6"/>
  <c r="K5289" i="6"/>
  <c r="M5289" i="6"/>
  <c r="L5289" i="6"/>
  <c r="N5289" i="6"/>
  <c r="L5296" i="6"/>
  <c r="K5296" i="6"/>
  <c r="M5296" i="6"/>
  <c r="N5296" i="6"/>
  <c r="L5303" i="6"/>
  <c r="M5303" i="6"/>
  <c r="N5303" i="6"/>
  <c r="K5303" i="6"/>
  <c r="L5321" i="6"/>
  <c r="K5321" i="6"/>
  <c r="N5321" i="6"/>
  <c r="M5321" i="6"/>
  <c r="L5325" i="6"/>
  <c r="K5325" i="6"/>
  <c r="N5325" i="6"/>
  <c r="M5325" i="6"/>
  <c r="L5336" i="6"/>
  <c r="M5336" i="6"/>
  <c r="K5336" i="6"/>
  <c r="N5336" i="6"/>
  <c r="L5352" i="6"/>
  <c r="M5352" i="6"/>
  <c r="K5352" i="6"/>
  <c r="N5352" i="6"/>
  <c r="M5356" i="6"/>
  <c r="K5356" i="6"/>
  <c r="N5356" i="6"/>
  <c r="L5356" i="6"/>
  <c r="L5360" i="6"/>
  <c r="K5360" i="6"/>
  <c r="N5360" i="6"/>
  <c r="M5360" i="6"/>
  <c r="K5364" i="6"/>
  <c r="L5364" i="6"/>
  <c r="N5364" i="6"/>
  <c r="M5364" i="6"/>
  <c r="L5380" i="6"/>
  <c r="K5380" i="6"/>
  <c r="M5380" i="6"/>
  <c r="N5380" i="6"/>
  <c r="L5395" i="6"/>
  <c r="N5395" i="6"/>
  <c r="K5395" i="6"/>
  <c r="M5395" i="6"/>
  <c r="L5415" i="6"/>
  <c r="N5415" i="6"/>
  <c r="M5415" i="6"/>
  <c r="K5415" i="6"/>
  <c r="L5419" i="6"/>
  <c r="N5419" i="6"/>
  <c r="M5419" i="6"/>
  <c r="K5419" i="6"/>
  <c r="L5423" i="6"/>
  <c r="M5423" i="6"/>
  <c r="K5423" i="6"/>
  <c r="N5423" i="6"/>
  <c r="L5427" i="6"/>
  <c r="M5427" i="6"/>
  <c r="K5427" i="6"/>
  <c r="N5427" i="6"/>
  <c r="L5443" i="6"/>
  <c r="M5443" i="6"/>
  <c r="N5443" i="6"/>
  <c r="K5443" i="6"/>
  <c r="L5456" i="6"/>
  <c r="M5456" i="6"/>
  <c r="K5456" i="6"/>
  <c r="N5456" i="6"/>
  <c r="K5460" i="6"/>
  <c r="L5460" i="6"/>
  <c r="N5460" i="6"/>
  <c r="M5460" i="6"/>
  <c r="K5469" i="6"/>
  <c r="N5469" i="6"/>
  <c r="L5469" i="6"/>
  <c r="M5469" i="6"/>
  <c r="N5473" i="6"/>
  <c r="L5473" i="6"/>
  <c r="K5473" i="6"/>
  <c r="M5473" i="6"/>
  <c r="L5481" i="6"/>
  <c r="K5481" i="6"/>
  <c r="M5481" i="6"/>
  <c r="N5481" i="6"/>
  <c r="L5485" i="6"/>
  <c r="N5485" i="6"/>
  <c r="K5485" i="6"/>
  <c r="M5485" i="6"/>
  <c r="M5497" i="6"/>
  <c r="K5497" i="6"/>
  <c r="L5497" i="6"/>
  <c r="N5497" i="6"/>
  <c r="K5504" i="6"/>
  <c r="N5504" i="6"/>
  <c r="L5504" i="6"/>
  <c r="M5504" i="6"/>
  <c r="M5517" i="6"/>
  <c r="L5517" i="6"/>
  <c r="N5517" i="6"/>
  <c r="K5517" i="6"/>
  <c r="L5523" i="6"/>
  <c r="N5523" i="6"/>
  <c r="M5523" i="6"/>
  <c r="K5523" i="6"/>
  <c r="L5531" i="6"/>
  <c r="K5531" i="6"/>
  <c r="N5531" i="6"/>
  <c r="M5531" i="6"/>
  <c r="L5535" i="6"/>
  <c r="N5535" i="6"/>
  <c r="M5535" i="6"/>
  <c r="K5535" i="6"/>
  <c r="L5539" i="6"/>
  <c r="N5539" i="6"/>
  <c r="K5539" i="6"/>
  <c r="M5539" i="6"/>
  <c r="L5547" i="6"/>
  <c r="N5547" i="6"/>
  <c r="K5547" i="6"/>
  <c r="M5547" i="6"/>
  <c r="L5551" i="6"/>
  <c r="K5551" i="6"/>
  <c r="N5551" i="6"/>
  <c r="M5551" i="6"/>
  <c r="L5555" i="6"/>
  <c r="N5555" i="6"/>
  <c r="K5555" i="6"/>
  <c r="M5555" i="6"/>
  <c r="L5563" i="6"/>
  <c r="N5563" i="6"/>
  <c r="K5563" i="6"/>
  <c r="M5563" i="6"/>
  <c r="L5567" i="6"/>
  <c r="N5567" i="6"/>
  <c r="K5567" i="6"/>
  <c r="M5567" i="6"/>
  <c r="L5571" i="6"/>
  <c r="K5571" i="6"/>
  <c r="N5571" i="6"/>
  <c r="M5571" i="6"/>
  <c r="L5579" i="6"/>
  <c r="K5579" i="6"/>
  <c r="N5579" i="6"/>
  <c r="M5579" i="6"/>
  <c r="L5583" i="6"/>
  <c r="M5583" i="6"/>
  <c r="N5583" i="6"/>
  <c r="K5583" i="6"/>
  <c r="K5589" i="6"/>
  <c r="L5589" i="6"/>
  <c r="N5589" i="6"/>
  <c r="M5589" i="6"/>
  <c r="K5605" i="6"/>
  <c r="L5605" i="6"/>
  <c r="M5614" i="6"/>
  <c r="K5614" i="6"/>
  <c r="L5614" i="6"/>
  <c r="N5614" i="6"/>
  <c r="M5618" i="6"/>
  <c r="N5618" i="6"/>
  <c r="K5618" i="6"/>
  <c r="L5618" i="6"/>
  <c r="K5624" i="6"/>
  <c r="L5624" i="6"/>
  <c r="N5624" i="6"/>
  <c r="M5624" i="6"/>
  <c r="L5628" i="6"/>
  <c r="N5628" i="6"/>
  <c r="K5628" i="6"/>
  <c r="M5628" i="6"/>
  <c r="N5639" i="6"/>
  <c r="M5639" i="6"/>
  <c r="K5639" i="6"/>
  <c r="L5639" i="6"/>
  <c r="M5651" i="6"/>
  <c r="L5651" i="6"/>
  <c r="N5651" i="6"/>
  <c r="K5651" i="6"/>
  <c r="K5658" i="6"/>
  <c r="M5658" i="6"/>
  <c r="L5658" i="6"/>
  <c r="N5658" i="6"/>
  <c r="K5662" i="6"/>
  <c r="M5662" i="6"/>
  <c r="L5662" i="6"/>
  <c r="N5662" i="6"/>
  <c r="N5666" i="6"/>
  <c r="K5666" i="6"/>
  <c r="M5666" i="6"/>
  <c r="L5666" i="6"/>
  <c r="N5679" i="6"/>
  <c r="K5679" i="6"/>
  <c r="L5679" i="6"/>
  <c r="M5679" i="6"/>
  <c r="K5695" i="6"/>
  <c r="M5695" i="6"/>
  <c r="L5695" i="6"/>
  <c r="N5695" i="6"/>
  <c r="L5699" i="6"/>
  <c r="K5699" i="6"/>
  <c r="M5699" i="6"/>
  <c r="N5699" i="6"/>
  <c r="L5703" i="6"/>
  <c r="M5703" i="6"/>
  <c r="K5703" i="6"/>
  <c r="N5703" i="6"/>
  <c r="L5707" i="6"/>
  <c r="K5707" i="6"/>
  <c r="M5707" i="6"/>
  <c r="N5707" i="6"/>
  <c r="L5721" i="6"/>
  <c r="N5721" i="6"/>
  <c r="M5721" i="6"/>
  <c r="K5721" i="6"/>
  <c r="K5725" i="6"/>
  <c r="N5725" i="6"/>
  <c r="M5725" i="6"/>
  <c r="L5725" i="6"/>
  <c r="L5729" i="6"/>
  <c r="N5729" i="6"/>
  <c r="K5729" i="6"/>
  <c r="M5729" i="6"/>
  <c r="K5733" i="6"/>
  <c r="N5733" i="6"/>
  <c r="M5733" i="6"/>
  <c r="L5733" i="6"/>
  <c r="K5740" i="6"/>
  <c r="M5740" i="6"/>
  <c r="L5740" i="6"/>
  <c r="N5740" i="6"/>
  <c r="K5744" i="6"/>
  <c r="M5744" i="6"/>
  <c r="L5744" i="6"/>
  <c r="N5744" i="6"/>
  <c r="K5748" i="6"/>
  <c r="M5748" i="6"/>
  <c r="L5748" i="6"/>
  <c r="N5748" i="6"/>
  <c r="L5757" i="6"/>
  <c r="N5757" i="6"/>
  <c r="M5757" i="6"/>
  <c r="K5757" i="6"/>
  <c r="N5773" i="6"/>
  <c r="K5773" i="6"/>
  <c r="L5773" i="6"/>
  <c r="M5773" i="6"/>
  <c r="M5784" i="6"/>
  <c r="K5784" i="6"/>
  <c r="L5784" i="6"/>
  <c r="N5784" i="6"/>
  <c r="K5788" i="6"/>
  <c r="L5788" i="6"/>
  <c r="M5788" i="6"/>
  <c r="N5788" i="6"/>
  <c r="L5797" i="6"/>
  <c r="K5797" i="6"/>
  <c r="N5797" i="6"/>
  <c r="M5797" i="6"/>
  <c r="L5802" i="6"/>
  <c r="M5802" i="6"/>
  <c r="K5802" i="6"/>
  <c r="N5802" i="6"/>
  <c r="N5806" i="6"/>
  <c r="K5806" i="6"/>
  <c r="L5806" i="6"/>
  <c r="M5806" i="6"/>
  <c r="M5817" i="6"/>
  <c r="K5817" i="6"/>
  <c r="L5817" i="6"/>
  <c r="N5817" i="6"/>
  <c r="L5822" i="6"/>
  <c r="K5822" i="6"/>
  <c r="M5822" i="6"/>
  <c r="N5822" i="6"/>
  <c r="M5826" i="6"/>
  <c r="L5826" i="6"/>
  <c r="N5826" i="6"/>
  <c r="K5826" i="6"/>
  <c r="N5830" i="6"/>
  <c r="K5830" i="6"/>
  <c r="L5830" i="6"/>
  <c r="M5830" i="6"/>
  <c r="N5834" i="6"/>
  <c r="L5834" i="6"/>
  <c r="M5834" i="6"/>
  <c r="K5834" i="6"/>
  <c r="L5843" i="6"/>
  <c r="K5843" i="6"/>
  <c r="N5843" i="6"/>
  <c r="M5843" i="6"/>
  <c r="K5848" i="6"/>
  <c r="M5848" i="6"/>
  <c r="N5848" i="6"/>
  <c r="L5848" i="6"/>
  <c r="N5855" i="6"/>
  <c r="M5855" i="6"/>
  <c r="K5855" i="6"/>
  <c r="L5855" i="6"/>
  <c r="K5859" i="6"/>
  <c r="M5859" i="6"/>
  <c r="L5863" i="6"/>
  <c r="N5863" i="6"/>
  <c r="K5863" i="6"/>
  <c r="M5863" i="6"/>
  <c r="N5867" i="6"/>
  <c r="L5867" i="6"/>
  <c r="K5867" i="6"/>
  <c r="M5867" i="6"/>
  <c r="L5873" i="6"/>
  <c r="M5873" i="6"/>
  <c r="K5873" i="6"/>
  <c r="N5873" i="6"/>
  <c r="N5877" i="6"/>
  <c r="M5877" i="6"/>
  <c r="L5877" i="6"/>
  <c r="K5877" i="6"/>
  <c r="L5886" i="6"/>
  <c r="M5886" i="6"/>
  <c r="K5886" i="6"/>
  <c r="N5886" i="6"/>
  <c r="N5890" i="6"/>
  <c r="L5890" i="6"/>
  <c r="K5890" i="6"/>
  <c r="M5890" i="6"/>
  <c r="M5897" i="6"/>
  <c r="L5897" i="6"/>
  <c r="N5897" i="6"/>
  <c r="K5897" i="6"/>
  <c r="L5907" i="6"/>
  <c r="N5907" i="6"/>
  <c r="K5907" i="6"/>
  <c r="M5907" i="6"/>
  <c r="L5911" i="6"/>
  <c r="K5911" i="6"/>
  <c r="M5911" i="6"/>
  <c r="N5911" i="6"/>
  <c r="M5921" i="6"/>
  <c r="K5921" i="6"/>
  <c r="L5921" i="6"/>
  <c r="N5921" i="6"/>
  <c r="K5925" i="6"/>
  <c r="N5925" i="6"/>
  <c r="M5925" i="6"/>
  <c r="L5925" i="6"/>
  <c r="L5942" i="6"/>
  <c r="M5942" i="6"/>
  <c r="K5942" i="6"/>
  <c r="N5942" i="6"/>
  <c r="K5946" i="6"/>
  <c r="N5946" i="6"/>
  <c r="M5946" i="6"/>
  <c r="L5946" i="6"/>
  <c r="N5953" i="6"/>
  <c r="M5953" i="6"/>
  <c r="L5953" i="6"/>
  <c r="K5953" i="6"/>
  <c r="K5964" i="6"/>
  <c r="M5964" i="6"/>
  <c r="L5964" i="6"/>
  <c r="N5964" i="6"/>
  <c r="N5968" i="6"/>
  <c r="M5968" i="6"/>
  <c r="K5968" i="6"/>
  <c r="L5968" i="6"/>
  <c r="K5973" i="6"/>
  <c r="M5973" i="6"/>
  <c r="L5973" i="6"/>
  <c r="N5973" i="6"/>
  <c r="N5978" i="6"/>
  <c r="K5978" i="6"/>
  <c r="M5978" i="6"/>
  <c r="L5978" i="6"/>
  <c r="K5990" i="6"/>
  <c r="N5990" i="6"/>
  <c r="M5990" i="6"/>
  <c r="L5990" i="6"/>
  <c r="L5999" i="6"/>
  <c r="M5999" i="6"/>
  <c r="N5999" i="6"/>
  <c r="K5999" i="6"/>
  <c r="N6009" i="6"/>
  <c r="K6009" i="6"/>
  <c r="M6009" i="6"/>
  <c r="L6009" i="6"/>
  <c r="L6015" i="6"/>
  <c r="K6015" i="6"/>
  <c r="M6015" i="6"/>
  <c r="N6015" i="6"/>
  <c r="L6023" i="6"/>
  <c r="N6023" i="6"/>
  <c r="K6023" i="6"/>
  <c r="M6023" i="6"/>
  <c r="M6033" i="6"/>
  <c r="K6033" i="6"/>
  <c r="L6033" i="6"/>
  <c r="N6033" i="6"/>
  <c r="L6039" i="6"/>
  <c r="M6039" i="6"/>
  <c r="N6039" i="6"/>
  <c r="K6039" i="6"/>
  <c r="M6047" i="6"/>
  <c r="L6047" i="6"/>
  <c r="N6047" i="6"/>
  <c r="K6047" i="6"/>
  <c r="M6057" i="6"/>
  <c r="K6057" i="6"/>
  <c r="L6057" i="6"/>
  <c r="N6057" i="6"/>
  <c r="K6061" i="6"/>
  <c r="M6061" i="6"/>
  <c r="L6061" i="6"/>
  <c r="N6061" i="6"/>
  <c r="K6069" i="6"/>
  <c r="M6069" i="6"/>
  <c r="L6069" i="6"/>
  <c r="N6069" i="6"/>
  <c r="K6073" i="6"/>
  <c r="N6073" i="6"/>
  <c r="L6073" i="6"/>
  <c r="M6073" i="6"/>
  <c r="L6079" i="6"/>
  <c r="K6079" i="6"/>
  <c r="M6079" i="6"/>
  <c r="N6079" i="6"/>
  <c r="K6084" i="6"/>
  <c r="M6084" i="6"/>
  <c r="L6084" i="6"/>
  <c r="N6084" i="6"/>
  <c r="K6088" i="6"/>
  <c r="N6088" i="6"/>
  <c r="L6088" i="6"/>
  <c r="M6088" i="6"/>
  <c r="M6097" i="6"/>
  <c r="N6097" i="6"/>
  <c r="K6097" i="6"/>
  <c r="L6097" i="6"/>
  <c r="K6104" i="6"/>
  <c r="N6104" i="6"/>
  <c r="L6104" i="6"/>
  <c r="M6113" i="6"/>
  <c r="L6113" i="6"/>
  <c r="N6113" i="6"/>
  <c r="K6113" i="6"/>
  <c r="M6119" i="6"/>
  <c r="N6119" i="6"/>
  <c r="M6129" i="6"/>
  <c r="K6129" i="6"/>
  <c r="N6129" i="6"/>
  <c r="L6129" i="6"/>
  <c r="L6134" i="6"/>
  <c r="N6134" i="6"/>
  <c r="L6143" i="6"/>
  <c r="K6143" i="6"/>
  <c r="N6143" i="6"/>
  <c r="M6143" i="6"/>
  <c r="M6151" i="6"/>
  <c r="N6151" i="6"/>
  <c r="K6151" i="6"/>
  <c r="L6158" i="6"/>
  <c r="M6158" i="6"/>
  <c r="K6158" i="6"/>
  <c r="M6165" i="6"/>
  <c r="N6165" i="6"/>
  <c r="L6165" i="6"/>
  <c r="K6165" i="6"/>
  <c r="M6175" i="6"/>
  <c r="K6175" i="6"/>
  <c r="M6182" i="6"/>
  <c r="K6182" i="6"/>
  <c r="N6182" i="6"/>
  <c r="L6188" i="6"/>
  <c r="M6188" i="6"/>
  <c r="N6198" i="6"/>
  <c r="M6198" i="6"/>
  <c r="K6198" i="6"/>
  <c r="L6212" i="6"/>
  <c r="M6212" i="6"/>
  <c r="L6224" i="6"/>
  <c r="M6224" i="6"/>
  <c r="K6224" i="6"/>
  <c r="M6233" i="6"/>
  <c r="L6233" i="6"/>
  <c r="N6233" i="6"/>
  <c r="K6233" i="6"/>
  <c r="M6243" i="6"/>
  <c r="N6243" i="6"/>
  <c r="K6243" i="6"/>
  <c r="K6248" i="6"/>
  <c r="N6248" i="6"/>
  <c r="L6248" i="6"/>
  <c r="M6248" i="6"/>
  <c r="M6257" i="6"/>
  <c r="N6257" i="6"/>
  <c r="L6257" i="6"/>
  <c r="K6257" i="6"/>
  <c r="N6271" i="6"/>
  <c r="L6271" i="6"/>
  <c r="N6277" i="6"/>
  <c r="L6277" i="6"/>
  <c r="M6277" i="6"/>
  <c r="K6277" i="6"/>
  <c r="L6289" i="6"/>
  <c r="M6289" i="6"/>
  <c r="M6294" i="6"/>
  <c r="N6294" i="6"/>
  <c r="L6294" i="6"/>
  <c r="K6294" i="6"/>
  <c r="L6303" i="6"/>
  <c r="K6303" i="6"/>
  <c r="M6313" i="6"/>
  <c r="N6313" i="6"/>
  <c r="L6313" i="6"/>
  <c r="K6320" i="6"/>
  <c r="M6320" i="6"/>
  <c r="K6325" i="6"/>
  <c r="M6325" i="6"/>
  <c r="L6325" i="6"/>
  <c r="N6325" i="6"/>
  <c r="M6332" i="6"/>
  <c r="N6332" i="6"/>
  <c r="M6344" i="6"/>
  <c r="L6344" i="6"/>
  <c r="N6344" i="6"/>
  <c r="K6344" i="6"/>
  <c r="N6357" i="6"/>
  <c r="K6357" i="6"/>
  <c r="M6357" i="6"/>
  <c r="L6357" i="6"/>
  <c r="N6374" i="6"/>
  <c r="L6374" i="6"/>
  <c r="M6374" i="6"/>
  <c r="K6374" i="6"/>
  <c r="L6379" i="6"/>
  <c r="N6379" i="6"/>
  <c r="M6379" i="6"/>
  <c r="K6379" i="6"/>
  <c r="K6387" i="6"/>
  <c r="N6387" i="6"/>
  <c r="L6391" i="6"/>
  <c r="N6391" i="6"/>
  <c r="M6391" i="6"/>
  <c r="K6391" i="6"/>
  <c r="N6400" i="6"/>
  <c r="M6400" i="6"/>
  <c r="K6400" i="6"/>
  <c r="L6405" i="6"/>
  <c r="N6405" i="6"/>
  <c r="N6414" i="6"/>
  <c r="M6414" i="6"/>
  <c r="K6414" i="6"/>
  <c r="L6414" i="6"/>
  <c r="N6422" i="6"/>
  <c r="K6422" i="6"/>
  <c r="L6422" i="6"/>
  <c r="M6422" i="6"/>
  <c r="N6427" i="6"/>
  <c r="L6427" i="6"/>
  <c r="K6427" i="6"/>
  <c r="N6432" i="6"/>
  <c r="M6432" i="6"/>
  <c r="K6432" i="6"/>
  <c r="L6432" i="6"/>
  <c r="M6437" i="6"/>
  <c r="L6437" i="6"/>
  <c r="K6437" i="6"/>
  <c r="N6437" i="6"/>
  <c r="N6447" i="6"/>
  <c r="M6447" i="6"/>
  <c r="L6447" i="6"/>
  <c r="K6447" i="6"/>
  <c r="L6456" i="6"/>
  <c r="K6456" i="6"/>
  <c r="N6456" i="6"/>
  <c r="M6456" i="6"/>
  <c r="L6463" i="6"/>
  <c r="N6463" i="6"/>
  <c r="M6463" i="6"/>
  <c r="K6463" i="6"/>
  <c r="N6470" i="6"/>
  <c r="M6470" i="6"/>
  <c r="K6470" i="6"/>
  <c r="L6470" i="6"/>
  <c r="K6480" i="6"/>
  <c r="L6480" i="6"/>
  <c r="L6487" i="6"/>
  <c r="N6487" i="6"/>
  <c r="M6487" i="6"/>
  <c r="K6487" i="6"/>
  <c r="K6492" i="6"/>
  <c r="N6492" i="6"/>
  <c r="M6492" i="6"/>
  <c r="L6492" i="6"/>
  <c r="L6501" i="6"/>
  <c r="N6501" i="6"/>
  <c r="M6507" i="6"/>
  <c r="L6507" i="6"/>
  <c r="K6507" i="6"/>
  <c r="N6507" i="6"/>
  <c r="N6514" i="6"/>
  <c r="K6514" i="6"/>
  <c r="M6514" i="6"/>
  <c r="L6514" i="6"/>
  <c r="L6520" i="6"/>
  <c r="K6520" i="6"/>
  <c r="M6527" i="6"/>
  <c r="L6527" i="6"/>
  <c r="N6527" i="6"/>
  <c r="K6527" i="6"/>
  <c r="L6533" i="6"/>
  <c r="K6533" i="6"/>
  <c r="M6533" i="6"/>
  <c r="N6546" i="6"/>
  <c r="K6546" i="6"/>
  <c r="M6546" i="6"/>
  <c r="L6546" i="6"/>
  <c r="N6554" i="6"/>
  <c r="M6554" i="6"/>
  <c r="L6554" i="6"/>
  <c r="K6554" i="6"/>
  <c r="N6561" i="6"/>
  <c r="M6561" i="6"/>
  <c r="N6570" i="6"/>
  <c r="L6570" i="6"/>
  <c r="K6570" i="6"/>
  <c r="M6570" i="6"/>
  <c r="K6579" i="6"/>
  <c r="L6579" i="6"/>
  <c r="N6586" i="6"/>
  <c r="M6586" i="6"/>
  <c r="L6586" i="6"/>
  <c r="K6586" i="6"/>
  <c r="N6594" i="6"/>
  <c r="M6594" i="6"/>
  <c r="L6594" i="6"/>
  <c r="K6594" i="6"/>
  <c r="K6601" i="6"/>
  <c r="L6601" i="6"/>
  <c r="M6601" i="6"/>
  <c r="N6601" i="6"/>
  <c r="N6610" i="6"/>
  <c r="L6610" i="6"/>
  <c r="M6610" i="6"/>
  <c r="K6610" i="6"/>
  <c r="N6627" i="6"/>
  <c r="M6627" i="6"/>
  <c r="L6627" i="6"/>
  <c r="K6627" i="6"/>
  <c r="N6634" i="6"/>
  <c r="L6634" i="6"/>
  <c r="K6634" i="6"/>
  <c r="M6634" i="6"/>
  <c r="N6667" i="6"/>
  <c r="L6667" i="6"/>
  <c r="M6667" i="6"/>
  <c r="K6667" i="6"/>
  <c r="L6673" i="6"/>
  <c r="N6673" i="6"/>
  <c r="K6673" i="6"/>
  <c r="M6673" i="6"/>
  <c r="K6692" i="6"/>
  <c r="N6692" i="6"/>
  <c r="L6692" i="6"/>
  <c r="M6692" i="6"/>
  <c r="N6698" i="6"/>
  <c r="M6698" i="6"/>
  <c r="L6698" i="6"/>
  <c r="K6698" i="6"/>
  <c r="M6709" i="6"/>
  <c r="K6709" i="6"/>
  <c r="N6709" i="6"/>
  <c r="N6729" i="6"/>
  <c r="M6729" i="6"/>
  <c r="N6738" i="6"/>
  <c r="M6738" i="6"/>
  <c r="K6738" i="6"/>
  <c r="L6738" i="6"/>
  <c r="N6746" i="6"/>
  <c r="K6746" i="6"/>
  <c r="M6746" i="6"/>
  <c r="L6746" i="6"/>
  <c r="N6751" i="6"/>
  <c r="L6751" i="6"/>
  <c r="M6751" i="6"/>
  <c r="K6751" i="6"/>
  <c r="L6760" i="6"/>
  <c r="N6760" i="6"/>
  <c r="M6760" i="6"/>
  <c r="K6760" i="6"/>
  <c r="M6769" i="6"/>
  <c r="L6769" i="6"/>
  <c r="K6769" i="6"/>
  <c r="M6777" i="6"/>
  <c r="N6777" i="6"/>
  <c r="N6794" i="6"/>
  <c r="M6794" i="6"/>
  <c r="L6794" i="6"/>
  <c r="K6794" i="6"/>
  <c r="N6802" i="6"/>
  <c r="L6802" i="6"/>
  <c r="M6802" i="6"/>
  <c r="K6802" i="6"/>
  <c r="N6811" i="6"/>
  <c r="M6811" i="6"/>
  <c r="K6811" i="6"/>
  <c r="L6817" i="6"/>
  <c r="N6817" i="6"/>
  <c r="M6817" i="6"/>
  <c r="K6817" i="6"/>
  <c r="N6827" i="6"/>
  <c r="L6827" i="6"/>
  <c r="K6827" i="6"/>
  <c r="N6834" i="6"/>
  <c r="M6834" i="6"/>
  <c r="K6834" i="6"/>
  <c r="L6834" i="6"/>
  <c r="M6844" i="6"/>
  <c r="K6844" i="6"/>
  <c r="M6851" i="6"/>
  <c r="L6851" i="6"/>
  <c r="N6851" i="6"/>
  <c r="K6851" i="6"/>
  <c r="N6868" i="6"/>
  <c r="M6868" i="6"/>
  <c r="K6868" i="6"/>
  <c r="L6868" i="6"/>
  <c r="K6877" i="6"/>
  <c r="L6877" i="6"/>
  <c r="N6877" i="6"/>
  <c r="M6877" i="6"/>
  <c r="N6902" i="6"/>
  <c r="L6902" i="6"/>
  <c r="M6902" i="6"/>
  <c r="K6902" i="6"/>
  <c r="L6805" i="6"/>
  <c r="K6805" i="6"/>
  <c r="M6805" i="6"/>
  <c r="K6812" i="6"/>
  <c r="M6812" i="6"/>
  <c r="L6812" i="6"/>
  <c r="N6812" i="6"/>
  <c r="N6828" i="6"/>
  <c r="K6828" i="6"/>
  <c r="N6838" i="6"/>
  <c r="M6838" i="6"/>
  <c r="K6838" i="6"/>
  <c r="L6838" i="6"/>
  <c r="N6846" i="6"/>
  <c r="M6846" i="6"/>
  <c r="K6846" i="6"/>
  <c r="L6846" i="6"/>
  <c r="N6870" i="6"/>
  <c r="K6870" i="6"/>
  <c r="L6870" i="6"/>
  <c r="M6870" i="6"/>
  <c r="K6879" i="6"/>
  <c r="L6879" i="6"/>
  <c r="N6886" i="6"/>
  <c r="K6886" i="6"/>
  <c r="L6886" i="6"/>
  <c r="M6886" i="6"/>
  <c r="M606" i="6"/>
  <c r="L606" i="6"/>
  <c r="N606" i="6"/>
  <c r="M622" i="6"/>
  <c r="L622" i="6"/>
  <c r="N622" i="6"/>
  <c r="M638" i="6"/>
  <c r="L638" i="6"/>
  <c r="N638" i="6"/>
  <c r="M654" i="6"/>
  <c r="L654" i="6"/>
  <c r="N654" i="6"/>
  <c r="M670" i="6"/>
  <c r="L670" i="6"/>
  <c r="N670" i="6"/>
  <c r="M686" i="6"/>
  <c r="L686" i="6"/>
  <c r="N686" i="6"/>
  <c r="M702" i="6"/>
  <c r="L702" i="6"/>
  <c r="N702" i="6"/>
  <c r="K702" i="6"/>
  <c r="M718" i="6"/>
  <c r="L718" i="6"/>
  <c r="N718" i="6"/>
  <c r="K718" i="6"/>
  <c r="M734" i="6"/>
  <c r="L734" i="6"/>
  <c r="N734" i="6"/>
  <c r="K734" i="6"/>
  <c r="M750" i="6"/>
  <c r="L750" i="6"/>
  <c r="N750" i="6"/>
  <c r="K750" i="6"/>
  <c r="M766" i="6"/>
  <c r="L766" i="6"/>
  <c r="N766" i="6"/>
  <c r="K766" i="6"/>
  <c r="M782" i="6"/>
  <c r="L782" i="6"/>
  <c r="N782" i="6"/>
  <c r="K782" i="6"/>
  <c r="M798" i="6"/>
  <c r="L798" i="6"/>
  <c r="N798" i="6"/>
  <c r="K798" i="6"/>
  <c r="M814" i="6"/>
  <c r="L814" i="6"/>
  <c r="N814" i="6"/>
  <c r="K814" i="6"/>
  <c r="M830" i="6"/>
  <c r="L830" i="6"/>
  <c r="N830" i="6"/>
  <c r="K830" i="6"/>
  <c r="M846" i="6"/>
  <c r="L846" i="6"/>
  <c r="N846" i="6"/>
  <c r="K846" i="6"/>
  <c r="M862" i="6"/>
  <c r="L862" i="6"/>
  <c r="N862" i="6"/>
  <c r="K862" i="6"/>
  <c r="M878" i="6"/>
  <c r="L878" i="6"/>
  <c r="N878" i="6"/>
  <c r="K878" i="6"/>
  <c r="M894" i="6"/>
  <c r="L894" i="6"/>
  <c r="N894" i="6"/>
  <c r="K894" i="6"/>
  <c r="M910" i="6"/>
  <c r="L910" i="6"/>
  <c r="N910" i="6"/>
  <c r="K910" i="6"/>
  <c r="M926" i="6"/>
  <c r="L926" i="6"/>
  <c r="N926" i="6"/>
  <c r="K926" i="6"/>
  <c r="M942" i="6"/>
  <c r="L942" i="6"/>
  <c r="N942" i="6"/>
  <c r="K942" i="6"/>
  <c r="M958" i="6"/>
  <c r="L958" i="6"/>
  <c r="N958" i="6"/>
  <c r="K958" i="6"/>
  <c r="M974" i="6"/>
  <c r="L974" i="6"/>
  <c r="N974" i="6"/>
  <c r="K974" i="6"/>
  <c r="M990" i="6"/>
  <c r="L990" i="6"/>
  <c r="N990" i="6"/>
  <c r="K990" i="6"/>
  <c r="M1006" i="6"/>
  <c r="L1006" i="6"/>
  <c r="N1006" i="6"/>
  <c r="K1006" i="6"/>
  <c r="M1022" i="6"/>
  <c r="L1022" i="6"/>
  <c r="N1022" i="6"/>
  <c r="K1022" i="6"/>
  <c r="M1038" i="6"/>
  <c r="L1038" i="6"/>
  <c r="N1038" i="6"/>
  <c r="K1038" i="6"/>
  <c r="M1054" i="6"/>
  <c r="L1054" i="6"/>
  <c r="N1054" i="6"/>
  <c r="K1054" i="6"/>
  <c r="M1070" i="6"/>
  <c r="L1070" i="6"/>
  <c r="N1070" i="6"/>
  <c r="K1070" i="6"/>
  <c r="M1086" i="6"/>
  <c r="L1086" i="6"/>
  <c r="N1086" i="6"/>
  <c r="K1086" i="6"/>
  <c r="M1102" i="6"/>
  <c r="L1102" i="6"/>
  <c r="N1102" i="6"/>
  <c r="K1102" i="6"/>
  <c r="M1118" i="6"/>
  <c r="L1118" i="6"/>
  <c r="N1118" i="6"/>
  <c r="K1118" i="6"/>
  <c r="M1134" i="6"/>
  <c r="L1134" i="6"/>
  <c r="N1134" i="6"/>
  <c r="K1134" i="6"/>
  <c r="M1150" i="6"/>
  <c r="L1150" i="6"/>
  <c r="N1150" i="6"/>
  <c r="K1150" i="6"/>
  <c r="M1166" i="6"/>
  <c r="L1166" i="6"/>
  <c r="N1166" i="6"/>
  <c r="K1166" i="6"/>
  <c r="M1182" i="6"/>
  <c r="L1182" i="6"/>
  <c r="N1182" i="6"/>
  <c r="K1182" i="6"/>
  <c r="M1198" i="6"/>
  <c r="L1198" i="6"/>
  <c r="N1198" i="6"/>
  <c r="K1198" i="6"/>
  <c r="M1214" i="6"/>
  <c r="L1214" i="6"/>
  <c r="N1214" i="6"/>
  <c r="K1214" i="6"/>
  <c r="M1230" i="6"/>
  <c r="L1230" i="6"/>
  <c r="N1230" i="6"/>
  <c r="K1230" i="6"/>
  <c r="L278" i="6"/>
  <c r="N278" i="6" s="1"/>
  <c r="L310" i="6"/>
  <c r="N310" i="6" s="1"/>
  <c r="L409" i="6"/>
  <c r="M409" i="6"/>
  <c r="N409" i="6"/>
  <c r="K409" i="6"/>
  <c r="L441" i="6"/>
  <c r="N441" i="6"/>
  <c r="M441" i="6"/>
  <c r="K441" i="6"/>
  <c r="M473" i="6"/>
  <c r="L473" i="6"/>
  <c r="N473" i="6"/>
  <c r="K473" i="6"/>
  <c r="M505" i="6"/>
  <c r="L505" i="6"/>
  <c r="N505" i="6"/>
  <c r="K505" i="6"/>
  <c r="M521" i="6"/>
  <c r="L521" i="6"/>
  <c r="N521" i="6"/>
  <c r="K521" i="6"/>
  <c r="K553" i="6"/>
  <c r="L553" i="6"/>
  <c r="M553" i="6"/>
  <c r="N553" i="6"/>
  <c r="L585" i="6"/>
  <c r="M585" i="6"/>
  <c r="N585" i="6"/>
  <c r="K585" i="6"/>
  <c r="L617" i="6"/>
  <c r="N617" i="6"/>
  <c r="M617" i="6"/>
  <c r="K617" i="6"/>
  <c r="L649" i="6"/>
  <c r="N649" i="6"/>
  <c r="M649" i="6"/>
  <c r="K649" i="6"/>
  <c r="L665" i="6"/>
  <c r="M665" i="6"/>
  <c r="N665" i="6"/>
  <c r="K665" i="6"/>
  <c r="L697" i="6"/>
  <c r="M697" i="6"/>
  <c r="N697" i="6"/>
  <c r="K697" i="6"/>
  <c r="L729" i="6"/>
  <c r="M729" i="6"/>
  <c r="N729" i="6"/>
  <c r="K729" i="6"/>
  <c r="L761" i="6"/>
  <c r="M761" i="6"/>
  <c r="N761" i="6"/>
  <c r="K761" i="6"/>
  <c r="L777" i="6"/>
  <c r="M777" i="6"/>
  <c r="N777" i="6"/>
  <c r="K777" i="6"/>
  <c r="L809" i="6"/>
  <c r="M809" i="6"/>
  <c r="N809" i="6"/>
  <c r="K809" i="6"/>
  <c r="L841" i="6"/>
  <c r="M841" i="6"/>
  <c r="N841" i="6"/>
  <c r="K841" i="6"/>
  <c r="L873" i="6"/>
  <c r="M873" i="6"/>
  <c r="N873" i="6"/>
  <c r="K873" i="6"/>
  <c r="L905" i="6"/>
  <c r="M905" i="6"/>
  <c r="N905" i="6"/>
  <c r="K905" i="6"/>
  <c r="L937" i="6"/>
  <c r="M937" i="6"/>
  <c r="N937" i="6"/>
  <c r="K937" i="6"/>
  <c r="L953" i="6"/>
  <c r="M953" i="6"/>
  <c r="N953" i="6"/>
  <c r="K953" i="6"/>
  <c r="L985" i="6"/>
  <c r="M985" i="6"/>
  <c r="N985" i="6"/>
  <c r="K985" i="6"/>
  <c r="L1017" i="6"/>
  <c r="M1017" i="6"/>
  <c r="N1017" i="6"/>
  <c r="K1017" i="6"/>
  <c r="L1049" i="6"/>
  <c r="M1049" i="6"/>
  <c r="N1049" i="6"/>
  <c r="K1049" i="6"/>
  <c r="L1081" i="6"/>
  <c r="M1081" i="6"/>
  <c r="N1081" i="6"/>
  <c r="K1081" i="6"/>
  <c r="L1097" i="6"/>
  <c r="M1097" i="6"/>
  <c r="N1097" i="6"/>
  <c r="K1097" i="6"/>
  <c r="L1129" i="6"/>
  <c r="M1129" i="6"/>
  <c r="N1129" i="6"/>
  <c r="K1129" i="6"/>
  <c r="L1161" i="6"/>
  <c r="M1161" i="6"/>
  <c r="N1161" i="6"/>
  <c r="K1161" i="6"/>
  <c r="L1193" i="6"/>
  <c r="M1193" i="6"/>
  <c r="N1193" i="6"/>
  <c r="K1193" i="6"/>
  <c r="L1209" i="6"/>
  <c r="M1209" i="6"/>
  <c r="N1209" i="6"/>
  <c r="K1209" i="6"/>
  <c r="L1241" i="6"/>
  <c r="M1241" i="6"/>
  <c r="N1241" i="6"/>
  <c r="K1241" i="6"/>
  <c r="L1273" i="6"/>
  <c r="M1273" i="6"/>
  <c r="N1273" i="6"/>
  <c r="K1273" i="6"/>
  <c r="K1305" i="6"/>
  <c r="L1305" i="6"/>
  <c r="M1305" i="6"/>
  <c r="N1305" i="6"/>
  <c r="L1321" i="6"/>
  <c r="M1321" i="6"/>
  <c r="N1321" i="6"/>
  <c r="K1321" i="6"/>
  <c r="L1353" i="6"/>
  <c r="N1353" i="6"/>
  <c r="M1353" i="6"/>
  <c r="K1353" i="6"/>
  <c r="M1385" i="6"/>
  <c r="L1385" i="6"/>
  <c r="N1385" i="6"/>
  <c r="K1385" i="6"/>
  <c r="M1401" i="6"/>
  <c r="L1401" i="6"/>
  <c r="N1401" i="6"/>
  <c r="K1401" i="6"/>
  <c r="M1433" i="6"/>
  <c r="N1433" i="6"/>
  <c r="L1433" i="6"/>
  <c r="K1433" i="6"/>
  <c r="M1449" i="6"/>
  <c r="N1449" i="6"/>
  <c r="L1449" i="6"/>
  <c r="K1449" i="6"/>
  <c r="M1465" i="6"/>
  <c r="N1465" i="6"/>
  <c r="L1465" i="6"/>
  <c r="K1465" i="6"/>
  <c r="M1481" i="6"/>
  <c r="N1481" i="6"/>
  <c r="L1481" i="6"/>
  <c r="K1481" i="6"/>
  <c r="M1497" i="6"/>
  <c r="N1497" i="6"/>
  <c r="L1497" i="6"/>
  <c r="K1497" i="6"/>
  <c r="M1513" i="6"/>
  <c r="N1513" i="6"/>
  <c r="L1513" i="6"/>
  <c r="K1513" i="6"/>
  <c r="M1529" i="6"/>
  <c r="N1529" i="6"/>
  <c r="L1529" i="6"/>
  <c r="K1529" i="6"/>
  <c r="M1545" i="6"/>
  <c r="N1545" i="6"/>
  <c r="L1545" i="6"/>
  <c r="K1545" i="6"/>
  <c r="N1561" i="6"/>
  <c r="M1561" i="6"/>
  <c r="L1561" i="6"/>
  <c r="K1561" i="6"/>
  <c r="M1577" i="6"/>
  <c r="K1577" i="6"/>
  <c r="N1577" i="6"/>
  <c r="L1577" i="6"/>
  <c r="N1593" i="6"/>
  <c r="M1593" i="6"/>
  <c r="L1593" i="6"/>
  <c r="K1593" i="6"/>
  <c r="M1609" i="6"/>
  <c r="N1609" i="6"/>
  <c r="L1609" i="6"/>
  <c r="K1609" i="6"/>
  <c r="N1625" i="6"/>
  <c r="M1625" i="6"/>
  <c r="L1625" i="6"/>
  <c r="K1625" i="6"/>
  <c r="M1641" i="6"/>
  <c r="N1641" i="6"/>
  <c r="L1641" i="6"/>
  <c r="K1641" i="6"/>
  <c r="M1657" i="6"/>
  <c r="N1657" i="6"/>
  <c r="L1657" i="6"/>
  <c r="K1657" i="6"/>
  <c r="M1673" i="6"/>
  <c r="N1673" i="6"/>
  <c r="L1673" i="6"/>
  <c r="K1673" i="6"/>
  <c r="N1689" i="6"/>
  <c r="M1689" i="6"/>
  <c r="L1689" i="6"/>
  <c r="K1689" i="6"/>
  <c r="N1721" i="6"/>
  <c r="M1721" i="6"/>
  <c r="L1721" i="6"/>
  <c r="K1721" i="6"/>
  <c r="M1737" i="6"/>
  <c r="N1737" i="6"/>
  <c r="L1737" i="6"/>
  <c r="K1737" i="6"/>
  <c r="M1769" i="6"/>
  <c r="N1769" i="6"/>
  <c r="L1769" i="6"/>
  <c r="K1769" i="6"/>
  <c r="M1785" i="6"/>
  <c r="N1785" i="6"/>
  <c r="L1785" i="6"/>
  <c r="K1785" i="6"/>
  <c r="M1801" i="6"/>
  <c r="N1801" i="6"/>
  <c r="L1801" i="6"/>
  <c r="K1801" i="6"/>
  <c r="N1817" i="6"/>
  <c r="M1817" i="6"/>
  <c r="L1817" i="6"/>
  <c r="K1817" i="6"/>
  <c r="K1833" i="6"/>
  <c r="M1833" i="6"/>
  <c r="N1833" i="6"/>
  <c r="L1833" i="6"/>
  <c r="M1849" i="6"/>
  <c r="N1849" i="6"/>
  <c r="L1849" i="6"/>
  <c r="K1849" i="6"/>
  <c r="N1865" i="6"/>
  <c r="M1865" i="6"/>
  <c r="L1865" i="6"/>
  <c r="K1865" i="6"/>
  <c r="M1881" i="6"/>
  <c r="L1881" i="6"/>
  <c r="N1881" i="6"/>
  <c r="K1881" i="6"/>
  <c r="L1897" i="6"/>
  <c r="N1897" i="6"/>
  <c r="M1897" i="6"/>
  <c r="K1897" i="6"/>
  <c r="M1913" i="6"/>
  <c r="L1913" i="6"/>
  <c r="N1913" i="6"/>
  <c r="K1913" i="6"/>
  <c r="L1929" i="6"/>
  <c r="M1929" i="6"/>
  <c r="N1929" i="6"/>
  <c r="K1929" i="6"/>
  <c r="M1945" i="6"/>
  <c r="L1945" i="6"/>
  <c r="N1945" i="6"/>
  <c r="K1945" i="6"/>
  <c r="K1961" i="6"/>
  <c r="M1961" i="6"/>
  <c r="L1961" i="6"/>
  <c r="N1961" i="6"/>
  <c r="M1977" i="6"/>
  <c r="L1977" i="6"/>
  <c r="N1977" i="6"/>
  <c r="K1977" i="6"/>
  <c r="M1993" i="6"/>
  <c r="L1993" i="6"/>
  <c r="N1993" i="6"/>
  <c r="K1993" i="6"/>
  <c r="M2009" i="6"/>
  <c r="L2009" i="6"/>
  <c r="N2009" i="6"/>
  <c r="K2009" i="6"/>
  <c r="L2025" i="6"/>
  <c r="N2025" i="6"/>
  <c r="M2025" i="6"/>
  <c r="K2025" i="6"/>
  <c r="M2041" i="6"/>
  <c r="L2041" i="6"/>
  <c r="N2041" i="6"/>
  <c r="K2041" i="6"/>
  <c r="M2057" i="6"/>
  <c r="L2057" i="6"/>
  <c r="N2057" i="6"/>
  <c r="K2057" i="6"/>
  <c r="M2073" i="6"/>
  <c r="L2073" i="6"/>
  <c r="N2073" i="6"/>
  <c r="K2073" i="6"/>
  <c r="L2089" i="6"/>
  <c r="M2089" i="6"/>
  <c r="N2089" i="6"/>
  <c r="K2089" i="6"/>
  <c r="M2105" i="6"/>
  <c r="L2105" i="6"/>
  <c r="N2105" i="6"/>
  <c r="K2105" i="6"/>
  <c r="M2121" i="6"/>
  <c r="L2121" i="6"/>
  <c r="N2121" i="6"/>
  <c r="K2121" i="6"/>
  <c r="M2137" i="6"/>
  <c r="L2137" i="6"/>
  <c r="N2137" i="6"/>
  <c r="K2137" i="6"/>
  <c r="M2153" i="6"/>
  <c r="L2153" i="6"/>
  <c r="N2153" i="6"/>
  <c r="K2153" i="6"/>
  <c r="M2169" i="6"/>
  <c r="L2169" i="6"/>
  <c r="N2169" i="6"/>
  <c r="K2169" i="6"/>
  <c r="M2185" i="6"/>
  <c r="L2185" i="6"/>
  <c r="N2185" i="6"/>
  <c r="K2185" i="6"/>
  <c r="M2201" i="6"/>
  <c r="K2201" i="6"/>
  <c r="L2201" i="6"/>
  <c r="N2201" i="6"/>
  <c r="M2217" i="6"/>
  <c r="K2217" i="6"/>
  <c r="L2217" i="6"/>
  <c r="N2217" i="6"/>
  <c r="K2233" i="6"/>
  <c r="M2233" i="6"/>
  <c r="L2233" i="6"/>
  <c r="N2233" i="6"/>
  <c r="K2249" i="6"/>
  <c r="M2249" i="6"/>
  <c r="L2249" i="6"/>
  <c r="N2249" i="6"/>
  <c r="M2265" i="6"/>
  <c r="K2265" i="6"/>
  <c r="L2265" i="6"/>
  <c r="N2265" i="6"/>
  <c r="M2281" i="6"/>
  <c r="L2281" i="6"/>
  <c r="N2281" i="6"/>
  <c r="K2281" i="6"/>
  <c r="K2297" i="6"/>
  <c r="M2297" i="6"/>
  <c r="L2297" i="6"/>
  <c r="N2297" i="6"/>
  <c r="K2313" i="6"/>
  <c r="M2313" i="6"/>
  <c r="L2313" i="6"/>
  <c r="N2313" i="6"/>
  <c r="M2329" i="6"/>
  <c r="K2329" i="6"/>
  <c r="L2329" i="6"/>
  <c r="N2329" i="6"/>
  <c r="M2345" i="6"/>
  <c r="K2345" i="6"/>
  <c r="L2345" i="6"/>
  <c r="N2345" i="6"/>
  <c r="K2361" i="6"/>
  <c r="M2361" i="6"/>
  <c r="L2361" i="6"/>
  <c r="N2361" i="6"/>
  <c r="K2377" i="6"/>
  <c r="M2377" i="6"/>
  <c r="L2377" i="6"/>
  <c r="N2377" i="6"/>
  <c r="M2393" i="6"/>
  <c r="K2393" i="6"/>
  <c r="L2393" i="6"/>
  <c r="N2393" i="6"/>
  <c r="M2409" i="6"/>
  <c r="L2409" i="6"/>
  <c r="N2409" i="6"/>
  <c r="K2409" i="6"/>
  <c r="K2425" i="6"/>
  <c r="M2425" i="6"/>
  <c r="L2425" i="6"/>
  <c r="N2425" i="6"/>
  <c r="K2441" i="6"/>
  <c r="M2441" i="6"/>
  <c r="L2441" i="6"/>
  <c r="N2441" i="6"/>
  <c r="M2457" i="6"/>
  <c r="K2457" i="6"/>
  <c r="L2457" i="6"/>
  <c r="N2457" i="6"/>
  <c r="M2473" i="6"/>
  <c r="K2473" i="6"/>
  <c r="L2473" i="6"/>
  <c r="N2473" i="6"/>
  <c r="K2489" i="6"/>
  <c r="M2489" i="6"/>
  <c r="L2489" i="6"/>
  <c r="N2489" i="6"/>
  <c r="K2505" i="6"/>
  <c r="M2505" i="6"/>
  <c r="L2505" i="6"/>
  <c r="N2505" i="6"/>
  <c r="M2521" i="6"/>
  <c r="K2521" i="6"/>
  <c r="L2521" i="6"/>
  <c r="N2521" i="6"/>
  <c r="M2537" i="6"/>
  <c r="L2537" i="6"/>
  <c r="N2537" i="6"/>
  <c r="K2537" i="6"/>
  <c r="K2553" i="6"/>
  <c r="M2553" i="6"/>
  <c r="L2553" i="6"/>
  <c r="N2553" i="6"/>
  <c r="K2569" i="6"/>
  <c r="M2569" i="6"/>
  <c r="L2569" i="6"/>
  <c r="N2569" i="6"/>
  <c r="M2585" i="6"/>
  <c r="K2585" i="6"/>
  <c r="L2585" i="6"/>
  <c r="N2585" i="6"/>
  <c r="M2601" i="6"/>
  <c r="K2601" i="6"/>
  <c r="L2601" i="6"/>
  <c r="N2601" i="6"/>
  <c r="K2617" i="6"/>
  <c r="M2617" i="6"/>
  <c r="L2617" i="6"/>
  <c r="N2617" i="6"/>
  <c r="K2633" i="6"/>
  <c r="M2633" i="6"/>
  <c r="L2633" i="6"/>
  <c r="N2633" i="6"/>
  <c r="M2649" i="6"/>
  <c r="K2649" i="6"/>
  <c r="L2649" i="6"/>
  <c r="N2649" i="6"/>
  <c r="M2665" i="6"/>
  <c r="L2665" i="6"/>
  <c r="N2665" i="6"/>
  <c r="K2665" i="6"/>
  <c r="K2681" i="6"/>
  <c r="M2681" i="6"/>
  <c r="L2681" i="6"/>
  <c r="N2681" i="6"/>
  <c r="K2697" i="6"/>
  <c r="M2697" i="6"/>
  <c r="L2697" i="6"/>
  <c r="N2697" i="6"/>
  <c r="M2713" i="6"/>
  <c r="K2713" i="6"/>
  <c r="L2713" i="6"/>
  <c r="N2713" i="6"/>
  <c r="M2729" i="6"/>
  <c r="K2729" i="6"/>
  <c r="L2729" i="6"/>
  <c r="N2729" i="6"/>
  <c r="K2745" i="6"/>
  <c r="M2745" i="6"/>
  <c r="L2745" i="6"/>
  <c r="N2745" i="6"/>
  <c r="M2761" i="6"/>
  <c r="K2761" i="6"/>
  <c r="L2761" i="6"/>
  <c r="N2761" i="6"/>
  <c r="M2777" i="6"/>
  <c r="K2777" i="6"/>
  <c r="L2777" i="6"/>
  <c r="N2777" i="6"/>
  <c r="M2793" i="6"/>
  <c r="K2793" i="6"/>
  <c r="L2793" i="6"/>
  <c r="N2793" i="6"/>
  <c r="M2809" i="6"/>
  <c r="K2809" i="6"/>
  <c r="L2809" i="6"/>
  <c r="N2809" i="6"/>
  <c r="M2841" i="6"/>
  <c r="K2841" i="6"/>
  <c r="L2841" i="6"/>
  <c r="N2841" i="6"/>
  <c r="M2857" i="6"/>
  <c r="K2857" i="6"/>
  <c r="L2857" i="6"/>
  <c r="N2857" i="6"/>
  <c r="M2873" i="6"/>
  <c r="K2873" i="6"/>
  <c r="L2873" i="6"/>
  <c r="N2873" i="6"/>
  <c r="M2889" i="6"/>
  <c r="K2889" i="6"/>
  <c r="L2889" i="6"/>
  <c r="N2889" i="6"/>
  <c r="M2905" i="6"/>
  <c r="L2905" i="6"/>
  <c r="N2905" i="6"/>
  <c r="K2905" i="6"/>
  <c r="M2921" i="6"/>
  <c r="K2921" i="6"/>
  <c r="L2921" i="6"/>
  <c r="N2921" i="6"/>
  <c r="M2937" i="6"/>
  <c r="K2937" i="6"/>
  <c r="L2937" i="6"/>
  <c r="N2937" i="6"/>
  <c r="M2953" i="6"/>
  <c r="K2953" i="6"/>
  <c r="L2953" i="6"/>
  <c r="N2953" i="6"/>
  <c r="M2969" i="6"/>
  <c r="L2969" i="6"/>
  <c r="N2969" i="6"/>
  <c r="K2969" i="6"/>
  <c r="M2985" i="6"/>
  <c r="K2985" i="6"/>
  <c r="L2985" i="6"/>
  <c r="N2985" i="6"/>
  <c r="M3001" i="6"/>
  <c r="K3001" i="6"/>
  <c r="L3001" i="6"/>
  <c r="N3001" i="6"/>
  <c r="L414" i="6"/>
  <c r="M414" i="6"/>
  <c r="N414" i="6"/>
  <c r="N430" i="6"/>
  <c r="M430" i="6"/>
  <c r="L430" i="6"/>
  <c r="N446" i="6"/>
  <c r="M446" i="6"/>
  <c r="L446" i="6"/>
  <c r="L462" i="6"/>
  <c r="N462" i="6"/>
  <c r="M462" i="6"/>
  <c r="M478" i="6"/>
  <c r="L478" i="6"/>
  <c r="N478" i="6"/>
  <c r="M494" i="6"/>
  <c r="L494" i="6"/>
  <c r="N494" i="6"/>
  <c r="M510" i="6"/>
  <c r="N510" i="6"/>
  <c r="L510" i="6"/>
  <c r="M526" i="6"/>
  <c r="L526" i="6"/>
  <c r="N526" i="6"/>
  <c r="M542" i="6"/>
  <c r="L542" i="6"/>
  <c r="N542" i="6"/>
  <c r="M558" i="6"/>
  <c r="N558" i="6"/>
  <c r="L558" i="6"/>
  <c r="M574" i="6"/>
  <c r="N574" i="6"/>
  <c r="L574" i="6"/>
  <c r="M590" i="6"/>
  <c r="L590" i="6"/>
  <c r="N590" i="6"/>
  <c r="K13" i="6"/>
  <c r="M13" i="6" s="1"/>
  <c r="K29" i="6"/>
  <c r="M29" i="6" s="1"/>
  <c r="K174" i="6"/>
  <c r="M174" i="6" s="1"/>
  <c r="K478" i="6"/>
  <c r="K494" i="6"/>
  <c r="K510" i="6"/>
  <c r="K526" i="6"/>
  <c r="K542" i="6"/>
  <c r="K558" i="6"/>
  <c r="K574" i="6"/>
  <c r="K590" i="6"/>
  <c r="K606" i="6"/>
  <c r="N110" i="6"/>
  <c r="L294" i="6"/>
  <c r="N294" i="6" s="1"/>
  <c r="L326" i="6"/>
  <c r="N326" i="6" s="1"/>
  <c r="L425" i="6"/>
  <c r="M425" i="6"/>
  <c r="N425" i="6"/>
  <c r="K425" i="6"/>
  <c r="L457" i="6"/>
  <c r="N457" i="6"/>
  <c r="M457" i="6"/>
  <c r="K457" i="6"/>
  <c r="M489" i="6"/>
  <c r="L489" i="6"/>
  <c r="N489" i="6"/>
  <c r="K489" i="6"/>
  <c r="M537" i="6"/>
  <c r="L537" i="6"/>
  <c r="N537" i="6"/>
  <c r="K537" i="6"/>
  <c r="L569" i="6"/>
  <c r="N569" i="6"/>
  <c r="M569" i="6"/>
  <c r="K569" i="6"/>
  <c r="L601" i="6"/>
  <c r="M601" i="6"/>
  <c r="N601" i="6"/>
  <c r="K601" i="6"/>
  <c r="L633" i="6"/>
  <c r="M633" i="6"/>
  <c r="N633" i="6"/>
  <c r="K633" i="6"/>
  <c r="L681" i="6"/>
  <c r="N681" i="6"/>
  <c r="M681" i="6"/>
  <c r="K681" i="6"/>
  <c r="L713" i="6"/>
  <c r="M713" i="6"/>
  <c r="N713" i="6"/>
  <c r="K713" i="6"/>
  <c r="L745" i="6"/>
  <c r="M745" i="6"/>
  <c r="N745" i="6"/>
  <c r="K745" i="6"/>
  <c r="L793" i="6"/>
  <c r="M793" i="6"/>
  <c r="N793" i="6"/>
  <c r="K793" i="6"/>
  <c r="L825" i="6"/>
  <c r="M825" i="6"/>
  <c r="N825" i="6"/>
  <c r="K825" i="6"/>
  <c r="L857" i="6"/>
  <c r="M857" i="6"/>
  <c r="N857" i="6"/>
  <c r="K857" i="6"/>
  <c r="L889" i="6"/>
  <c r="M889" i="6"/>
  <c r="N889" i="6"/>
  <c r="K889" i="6"/>
  <c r="L921" i="6"/>
  <c r="M921" i="6"/>
  <c r="N921" i="6"/>
  <c r="K921" i="6"/>
  <c r="L969" i="6"/>
  <c r="M969" i="6"/>
  <c r="N969" i="6"/>
  <c r="K969" i="6"/>
  <c r="L1001" i="6"/>
  <c r="M1001" i="6"/>
  <c r="N1001" i="6"/>
  <c r="K1001" i="6"/>
  <c r="L1033" i="6"/>
  <c r="M1033" i="6"/>
  <c r="N1033" i="6"/>
  <c r="K1033" i="6"/>
  <c r="L1065" i="6"/>
  <c r="M1065" i="6"/>
  <c r="N1065" i="6"/>
  <c r="K1065" i="6"/>
  <c r="L1113" i="6"/>
  <c r="M1113" i="6"/>
  <c r="N1113" i="6"/>
  <c r="K1113" i="6"/>
  <c r="L1145" i="6"/>
  <c r="M1145" i="6"/>
  <c r="N1145" i="6"/>
  <c r="K1145" i="6"/>
  <c r="L1177" i="6"/>
  <c r="M1177" i="6"/>
  <c r="N1177" i="6"/>
  <c r="K1177" i="6"/>
  <c r="L1225" i="6"/>
  <c r="K1225" i="6"/>
  <c r="N1225" i="6"/>
  <c r="M1225" i="6"/>
  <c r="L1257" i="6"/>
  <c r="M1257" i="6"/>
  <c r="N1257" i="6"/>
  <c r="K1257" i="6"/>
  <c r="L1289" i="6"/>
  <c r="M1289" i="6"/>
  <c r="N1289" i="6"/>
  <c r="K1289" i="6"/>
  <c r="L1337" i="6"/>
  <c r="M1337" i="6"/>
  <c r="N1337" i="6"/>
  <c r="K1337" i="6"/>
  <c r="L1369" i="6"/>
  <c r="M1369" i="6"/>
  <c r="N1369" i="6"/>
  <c r="K1369" i="6"/>
  <c r="L1417" i="6"/>
  <c r="M1417" i="6"/>
  <c r="N1417" i="6"/>
  <c r="K1417" i="6"/>
  <c r="M1705" i="6"/>
  <c r="K1705" i="6"/>
  <c r="N1705" i="6"/>
  <c r="L1705" i="6"/>
  <c r="M1753" i="6"/>
  <c r="N1753" i="6"/>
  <c r="L1753" i="6"/>
  <c r="K1753" i="6"/>
  <c r="M2825" i="6"/>
  <c r="K2825" i="6"/>
  <c r="L2825" i="6"/>
  <c r="N2825" i="6"/>
  <c r="K17" i="6"/>
  <c r="M17" i="6" s="1"/>
  <c r="K33" i="6"/>
  <c r="M33" i="6" s="1"/>
  <c r="K254" i="6"/>
  <c r="M254" i="6" s="1"/>
  <c r="K414" i="6"/>
  <c r="K430" i="6"/>
  <c r="K446" i="6"/>
  <c r="K462" i="6"/>
  <c r="N174" i="6"/>
  <c r="N190" i="6"/>
  <c r="L24" i="6"/>
  <c r="N24" i="6" s="1"/>
  <c r="K24" i="6"/>
  <c r="M24" i="6" s="1"/>
  <c r="L56" i="6"/>
  <c r="N56" i="6" s="1"/>
  <c r="K56" i="6"/>
  <c r="M56" i="6" s="1"/>
  <c r="L104" i="6"/>
  <c r="N104" i="6" s="1"/>
  <c r="K104" i="6"/>
  <c r="M104" i="6" s="1"/>
  <c r="L152" i="6"/>
  <c r="N152" i="6" s="1"/>
  <c r="K152" i="6"/>
  <c r="M152" i="6" s="1"/>
  <c r="L168" i="6"/>
  <c r="N168" i="6" s="1"/>
  <c r="M168" i="6"/>
  <c r="L200" i="6"/>
  <c r="N200" i="6" s="1"/>
  <c r="K200" i="6"/>
  <c r="M200" i="6" s="1"/>
  <c r="L216" i="6"/>
  <c r="N216" i="6" s="1"/>
  <c r="K216" i="6"/>
  <c r="M216" i="6" s="1"/>
  <c r="L18" i="6"/>
  <c r="N18" i="6" s="1"/>
  <c r="L77" i="6"/>
  <c r="N77" i="6" s="1"/>
  <c r="L30" i="6"/>
  <c r="N30" i="6" s="1"/>
  <c r="L62" i="6"/>
  <c r="N62" i="6" s="1"/>
  <c r="K62" i="6"/>
  <c r="M62" i="6" s="1"/>
  <c r="L78" i="6"/>
  <c r="N78" i="6" s="1"/>
  <c r="L94" i="6"/>
  <c r="N94" i="6" s="1"/>
  <c r="K94" i="6"/>
  <c r="M94" i="6" s="1"/>
  <c r="L126" i="6"/>
  <c r="N126" i="6" s="1"/>
  <c r="L142" i="6"/>
  <c r="N142" i="6" s="1"/>
  <c r="K142" i="6"/>
  <c r="M142" i="6" s="1"/>
  <c r="L158" i="6"/>
  <c r="N158" i="6" s="1"/>
  <c r="K158" i="6"/>
  <c r="M158" i="6" s="1"/>
  <c r="L206" i="6"/>
  <c r="N206" i="6" s="1"/>
  <c r="K206" i="6"/>
  <c r="M206" i="6" s="1"/>
  <c r="L222" i="6"/>
  <c r="N222" i="6" s="1"/>
  <c r="K222" i="6"/>
  <c r="M222" i="6" s="1"/>
  <c r="M413" i="6"/>
  <c r="L413" i="6"/>
  <c r="N413" i="6"/>
  <c r="M429" i="6"/>
  <c r="L429" i="6"/>
  <c r="N429" i="6"/>
  <c r="M445" i="6"/>
  <c r="L445" i="6"/>
  <c r="N445" i="6"/>
  <c r="M461" i="6"/>
  <c r="L461" i="6"/>
  <c r="N461" i="6"/>
  <c r="L477" i="6"/>
  <c r="N477" i="6"/>
  <c r="M477" i="6"/>
  <c r="L493" i="6"/>
  <c r="N493" i="6"/>
  <c r="M493" i="6"/>
  <c r="L509" i="6"/>
  <c r="N509" i="6"/>
  <c r="M509" i="6"/>
  <c r="L525" i="6"/>
  <c r="N525" i="6"/>
  <c r="M525" i="6"/>
  <c r="L541" i="6"/>
  <c r="N541" i="6"/>
  <c r="M541" i="6"/>
  <c r="L557" i="6"/>
  <c r="N557" i="6"/>
  <c r="M557" i="6"/>
  <c r="L573" i="6"/>
  <c r="N573" i="6"/>
  <c r="M573" i="6"/>
  <c r="L589" i="6"/>
  <c r="N589" i="6"/>
  <c r="M589" i="6"/>
  <c r="L605" i="6"/>
  <c r="N605" i="6"/>
  <c r="M605" i="6"/>
  <c r="L621" i="6"/>
  <c r="M621" i="6"/>
  <c r="N621" i="6"/>
  <c r="L637" i="6"/>
  <c r="N637" i="6"/>
  <c r="M637" i="6"/>
  <c r="L653" i="6"/>
  <c r="M653" i="6"/>
  <c r="N653" i="6"/>
  <c r="L669" i="6"/>
  <c r="N669" i="6"/>
  <c r="M669" i="6"/>
  <c r="L685" i="6"/>
  <c r="M685" i="6"/>
  <c r="N685" i="6"/>
  <c r="L701" i="6"/>
  <c r="N701" i="6"/>
  <c r="M701" i="6"/>
  <c r="L717" i="6"/>
  <c r="M717" i="6"/>
  <c r="N717" i="6"/>
  <c r="L733" i="6"/>
  <c r="M733" i="6"/>
  <c r="N733" i="6"/>
  <c r="L749" i="6"/>
  <c r="M749" i="6"/>
  <c r="N749" i="6"/>
  <c r="L765" i="6"/>
  <c r="M765" i="6"/>
  <c r="N765" i="6"/>
  <c r="L781" i="6"/>
  <c r="M781" i="6"/>
  <c r="N781" i="6"/>
  <c r="L797" i="6"/>
  <c r="M797" i="6"/>
  <c r="N797" i="6"/>
  <c r="L813" i="6"/>
  <c r="M813" i="6"/>
  <c r="N813" i="6"/>
  <c r="L829" i="6"/>
  <c r="M829" i="6"/>
  <c r="N829" i="6"/>
  <c r="L845" i="6"/>
  <c r="M845" i="6"/>
  <c r="N845" i="6"/>
  <c r="L861" i="6"/>
  <c r="M861" i="6"/>
  <c r="N861" i="6"/>
  <c r="L877" i="6"/>
  <c r="M877" i="6"/>
  <c r="N877" i="6"/>
  <c r="L893" i="6"/>
  <c r="M893" i="6"/>
  <c r="N893" i="6"/>
  <c r="L909" i="6"/>
  <c r="M909" i="6"/>
  <c r="N909" i="6"/>
  <c r="L925" i="6"/>
  <c r="M925" i="6"/>
  <c r="N925" i="6"/>
  <c r="L941" i="6"/>
  <c r="M941" i="6"/>
  <c r="N941" i="6"/>
  <c r="L957" i="6"/>
  <c r="M957" i="6"/>
  <c r="N957" i="6"/>
  <c r="L973" i="6"/>
  <c r="M973" i="6"/>
  <c r="N973" i="6"/>
  <c r="L989" i="6"/>
  <c r="M989" i="6"/>
  <c r="N989" i="6"/>
  <c r="L1005" i="6"/>
  <c r="M1005" i="6"/>
  <c r="N1005" i="6"/>
  <c r="L1021" i="6"/>
  <c r="M1021" i="6"/>
  <c r="N1021" i="6"/>
  <c r="L1037" i="6"/>
  <c r="M1037" i="6"/>
  <c r="N1037" i="6"/>
  <c r="L1053" i="6"/>
  <c r="M1053" i="6"/>
  <c r="N1053" i="6"/>
  <c r="L1069" i="6"/>
  <c r="M1069" i="6"/>
  <c r="N1069" i="6"/>
  <c r="L1085" i="6"/>
  <c r="M1085" i="6"/>
  <c r="N1085" i="6"/>
  <c r="M1101" i="6"/>
  <c r="L1101" i="6"/>
  <c r="N1101" i="6"/>
  <c r="M1117" i="6"/>
  <c r="L1117" i="6"/>
  <c r="N1117" i="6"/>
  <c r="M1133" i="6"/>
  <c r="L1133" i="6"/>
  <c r="N1133" i="6"/>
  <c r="M1149" i="6"/>
  <c r="L1149" i="6"/>
  <c r="N1149" i="6"/>
  <c r="M1165" i="6"/>
  <c r="L1165" i="6"/>
  <c r="N1165" i="6"/>
  <c r="M1181" i="6"/>
  <c r="L1181" i="6"/>
  <c r="N1181" i="6"/>
  <c r="M1197" i="6"/>
  <c r="L1197" i="6"/>
  <c r="N1197" i="6"/>
  <c r="M1213" i="6"/>
  <c r="L1213" i="6"/>
  <c r="N1213" i="6"/>
  <c r="L1229" i="6"/>
  <c r="N1229" i="6"/>
  <c r="M1229" i="6"/>
  <c r="L1245" i="6"/>
  <c r="N1245" i="6"/>
  <c r="M1245" i="6"/>
  <c r="L1261" i="6"/>
  <c r="N1261" i="6"/>
  <c r="M1261" i="6"/>
  <c r="L1277" i="6"/>
  <c r="N1277" i="6"/>
  <c r="M1277" i="6"/>
  <c r="L1293" i="6"/>
  <c r="M1293" i="6"/>
  <c r="N1293" i="6"/>
  <c r="L1309" i="6"/>
  <c r="M1309" i="6"/>
  <c r="N1309" i="6"/>
  <c r="L1325" i="6"/>
  <c r="M1325" i="6"/>
  <c r="N1325" i="6"/>
  <c r="L1341" i="6"/>
  <c r="N1341" i="6"/>
  <c r="M1341" i="6"/>
  <c r="M1357" i="6"/>
  <c r="L1357" i="6"/>
  <c r="N1357" i="6"/>
  <c r="K1373" i="6"/>
  <c r="L1373" i="6"/>
  <c r="N1373" i="6"/>
  <c r="M1373" i="6"/>
  <c r="L1389" i="6"/>
  <c r="N1389" i="6"/>
  <c r="M1389" i="6"/>
  <c r="L1405" i="6"/>
  <c r="M1405" i="6"/>
  <c r="N1405" i="6"/>
  <c r="L1421" i="6"/>
  <c r="M1421" i="6"/>
  <c r="N1421" i="6"/>
  <c r="M1437" i="6"/>
  <c r="N1437" i="6"/>
  <c r="L1437" i="6"/>
  <c r="M1453" i="6"/>
  <c r="N1453" i="6"/>
  <c r="L1453" i="6"/>
  <c r="K1453" i="6"/>
  <c r="M1469" i="6"/>
  <c r="N1469" i="6"/>
  <c r="L1469" i="6"/>
  <c r="K1469" i="6"/>
  <c r="N1485" i="6"/>
  <c r="M1485" i="6"/>
  <c r="L1485" i="6"/>
  <c r="K1485" i="6"/>
  <c r="M1501" i="6"/>
  <c r="N1501" i="6"/>
  <c r="L1501" i="6"/>
  <c r="K1501" i="6"/>
  <c r="M1517" i="6"/>
  <c r="N1517" i="6"/>
  <c r="L1517" i="6"/>
  <c r="K1517" i="6"/>
  <c r="M1533" i="6"/>
  <c r="N1533" i="6"/>
  <c r="L1533" i="6"/>
  <c r="K1533" i="6"/>
  <c r="M1549" i="6"/>
  <c r="N1549" i="6"/>
  <c r="L1549" i="6"/>
  <c r="K1549" i="6"/>
  <c r="N1565" i="6"/>
  <c r="L1565" i="6"/>
  <c r="M1565" i="6"/>
  <c r="K1565" i="6"/>
  <c r="M1581" i="6"/>
  <c r="N1581" i="6"/>
  <c r="L1581" i="6"/>
  <c r="K1581" i="6"/>
  <c r="M1597" i="6"/>
  <c r="N1597" i="6"/>
  <c r="L1597" i="6"/>
  <c r="K1597" i="6"/>
  <c r="M1613" i="6"/>
  <c r="N1613" i="6"/>
  <c r="L1613" i="6"/>
  <c r="K1613" i="6"/>
  <c r="M1629" i="6"/>
  <c r="N1629" i="6"/>
  <c r="L1629" i="6"/>
  <c r="K1629" i="6"/>
  <c r="N1645" i="6"/>
  <c r="M1645" i="6"/>
  <c r="L1645" i="6"/>
  <c r="K1645" i="6"/>
  <c r="K1661" i="6"/>
  <c r="N1661" i="6"/>
  <c r="M1661" i="6"/>
  <c r="L1661" i="6"/>
  <c r="M1677" i="6"/>
  <c r="N1677" i="6"/>
  <c r="L1677" i="6"/>
  <c r="K1677" i="6"/>
  <c r="N1693" i="6"/>
  <c r="M1693" i="6"/>
  <c r="L1693" i="6"/>
  <c r="K1693" i="6"/>
  <c r="M1709" i="6"/>
  <c r="N1709" i="6"/>
  <c r="L1709" i="6"/>
  <c r="K1709" i="6"/>
  <c r="N1725" i="6"/>
  <c r="M1725" i="6"/>
  <c r="L1725" i="6"/>
  <c r="K1725" i="6"/>
  <c r="M1741" i="6"/>
  <c r="N1741" i="6"/>
  <c r="L1741" i="6"/>
  <c r="K1741" i="6"/>
  <c r="M1757" i="6"/>
  <c r="N1757" i="6"/>
  <c r="L1757" i="6"/>
  <c r="K1757" i="6"/>
  <c r="M1773" i="6"/>
  <c r="N1773" i="6"/>
  <c r="L1773" i="6"/>
  <c r="K1773" i="6"/>
  <c r="K1789" i="6"/>
  <c r="N1789" i="6"/>
  <c r="M1789" i="6"/>
  <c r="L1789" i="6"/>
  <c r="M1805" i="6"/>
  <c r="N1805" i="6"/>
  <c r="L1805" i="6"/>
  <c r="K1805" i="6"/>
  <c r="N1821" i="6"/>
  <c r="M1821" i="6"/>
  <c r="L1821" i="6"/>
  <c r="K1821" i="6"/>
  <c r="M1837" i="6"/>
  <c r="N1837" i="6"/>
  <c r="L1837" i="6"/>
  <c r="K1837" i="6"/>
  <c r="M1853" i="6"/>
  <c r="N1853" i="6"/>
  <c r="L1853" i="6"/>
  <c r="K1853" i="6"/>
  <c r="N1869" i="6"/>
  <c r="L1869" i="6"/>
  <c r="M1869" i="6"/>
  <c r="K1869" i="6"/>
  <c r="M1885" i="6"/>
  <c r="L1885" i="6"/>
  <c r="N1885" i="6"/>
  <c r="K1885" i="6"/>
  <c r="M1901" i="6"/>
  <c r="L1901" i="6"/>
  <c r="N1901" i="6"/>
  <c r="K1901" i="6"/>
  <c r="K1917" i="6"/>
  <c r="M1917" i="6"/>
  <c r="L1917" i="6"/>
  <c r="N1917" i="6"/>
  <c r="L1933" i="6"/>
  <c r="N1933" i="6"/>
  <c r="M1933" i="6"/>
  <c r="K1933" i="6"/>
  <c r="M1949" i="6"/>
  <c r="L1949" i="6"/>
  <c r="N1949" i="6"/>
  <c r="K1949" i="6"/>
  <c r="M1965" i="6"/>
  <c r="L1965" i="6"/>
  <c r="N1965" i="6"/>
  <c r="K1965" i="6"/>
  <c r="M1981" i="6"/>
  <c r="L1981" i="6"/>
  <c r="N1981" i="6"/>
  <c r="K1981" i="6"/>
  <c r="M1997" i="6"/>
  <c r="L1997" i="6"/>
  <c r="N1997" i="6"/>
  <c r="K1997" i="6"/>
  <c r="M2013" i="6"/>
  <c r="L2013" i="6"/>
  <c r="N2013" i="6"/>
  <c r="K2013" i="6"/>
  <c r="M2029" i="6"/>
  <c r="L2029" i="6"/>
  <c r="N2029" i="6"/>
  <c r="K2029" i="6"/>
  <c r="K2045" i="6"/>
  <c r="M2045" i="6"/>
  <c r="L2045" i="6"/>
  <c r="N2045" i="6"/>
  <c r="M2061" i="6"/>
  <c r="L2061" i="6"/>
  <c r="N2061" i="6"/>
  <c r="K2061" i="6"/>
  <c r="M2077" i="6"/>
  <c r="L2077" i="6"/>
  <c r="N2077" i="6"/>
  <c r="K2077" i="6"/>
  <c r="L2093" i="6"/>
  <c r="M2093" i="6"/>
  <c r="N2093" i="6"/>
  <c r="K2093" i="6"/>
  <c r="M2109" i="6"/>
  <c r="K2109" i="6"/>
  <c r="L2109" i="6"/>
  <c r="N2109" i="6"/>
  <c r="M2125" i="6"/>
  <c r="L2125" i="6"/>
  <c r="N2125" i="6"/>
  <c r="K2125" i="6"/>
  <c r="M2141" i="6"/>
  <c r="L2141" i="6"/>
  <c r="N2141" i="6"/>
  <c r="K2141" i="6"/>
  <c r="M2157" i="6"/>
  <c r="L2157" i="6"/>
  <c r="N2157" i="6"/>
  <c r="K2157" i="6"/>
  <c r="K2173" i="6"/>
  <c r="M2173" i="6"/>
  <c r="L2173" i="6"/>
  <c r="N2173" i="6"/>
  <c r="K2189" i="6"/>
  <c r="M2189" i="6"/>
  <c r="L2189" i="6"/>
  <c r="N2189" i="6"/>
  <c r="K2205" i="6"/>
  <c r="M2205" i="6"/>
  <c r="L2205" i="6"/>
  <c r="N2205" i="6"/>
  <c r="K2221" i="6"/>
  <c r="M2221" i="6"/>
  <c r="L2221" i="6"/>
  <c r="N2221" i="6"/>
  <c r="K2237" i="6"/>
  <c r="M2237" i="6"/>
  <c r="L2237" i="6"/>
  <c r="N2237" i="6"/>
  <c r="K2253" i="6"/>
  <c r="M2253" i="6"/>
  <c r="L2253" i="6"/>
  <c r="N2253" i="6"/>
  <c r="K2269" i="6"/>
  <c r="M2269" i="6"/>
  <c r="L2269" i="6"/>
  <c r="N2269" i="6"/>
  <c r="K2285" i="6"/>
  <c r="M2285" i="6"/>
  <c r="L2285" i="6"/>
  <c r="N2285" i="6"/>
  <c r="K2301" i="6"/>
  <c r="M2301" i="6"/>
  <c r="L2301" i="6"/>
  <c r="N2301" i="6"/>
  <c r="K2317" i="6"/>
  <c r="M2317" i="6"/>
  <c r="L2317" i="6"/>
  <c r="N2317" i="6"/>
  <c r="K2333" i="6"/>
  <c r="M2333" i="6"/>
  <c r="L2333" i="6"/>
  <c r="N2333" i="6"/>
  <c r="K2349" i="6"/>
  <c r="M2349" i="6"/>
  <c r="L2349" i="6"/>
  <c r="N2349" i="6"/>
  <c r="K2365" i="6"/>
  <c r="M2365" i="6"/>
  <c r="L2365" i="6"/>
  <c r="N2365" i="6"/>
  <c r="K2381" i="6"/>
  <c r="M2381" i="6"/>
  <c r="L2381" i="6"/>
  <c r="N2381" i="6"/>
  <c r="K2397" i="6"/>
  <c r="M2397" i="6"/>
  <c r="L2397" i="6"/>
  <c r="N2397" i="6"/>
  <c r="K2413" i="6"/>
  <c r="M2413" i="6"/>
  <c r="L2413" i="6"/>
  <c r="N2413" i="6"/>
  <c r="K2429" i="6"/>
  <c r="M2429" i="6"/>
  <c r="L2429" i="6"/>
  <c r="N2429" i="6"/>
  <c r="K2445" i="6"/>
  <c r="M2445" i="6"/>
  <c r="L2445" i="6"/>
  <c r="N2445" i="6"/>
  <c r="K2461" i="6"/>
  <c r="M2461" i="6"/>
  <c r="L2461" i="6"/>
  <c r="N2461" i="6"/>
  <c r="K2477" i="6"/>
  <c r="M2477" i="6"/>
  <c r="L2477" i="6"/>
  <c r="N2477" i="6"/>
  <c r="K2493" i="6"/>
  <c r="M2493" i="6"/>
  <c r="L2493" i="6"/>
  <c r="N2493" i="6"/>
  <c r="K2509" i="6"/>
  <c r="M2509" i="6"/>
  <c r="L2509" i="6"/>
  <c r="N2509" i="6"/>
  <c r="K2525" i="6"/>
  <c r="M2525" i="6"/>
  <c r="L2525" i="6"/>
  <c r="N2525" i="6"/>
  <c r="K2541" i="6"/>
  <c r="M2541" i="6"/>
  <c r="L2541" i="6"/>
  <c r="N2541" i="6"/>
  <c r="K2557" i="6"/>
  <c r="M2557" i="6"/>
  <c r="L2557" i="6"/>
  <c r="N2557" i="6"/>
  <c r="K2573" i="6"/>
  <c r="M2573" i="6"/>
  <c r="L2573" i="6"/>
  <c r="N2573" i="6"/>
  <c r="K2589" i="6"/>
  <c r="M2589" i="6"/>
  <c r="L2589" i="6"/>
  <c r="N2589" i="6"/>
  <c r="K2605" i="6"/>
  <c r="M2605" i="6"/>
  <c r="L2605" i="6"/>
  <c r="N2605" i="6"/>
  <c r="K2621" i="6"/>
  <c r="M2621" i="6"/>
  <c r="L2621" i="6"/>
  <c r="N2621" i="6"/>
  <c r="K2637" i="6"/>
  <c r="M2637" i="6"/>
  <c r="L2637" i="6"/>
  <c r="N2637" i="6"/>
  <c r="K2653" i="6"/>
  <c r="M2653" i="6"/>
  <c r="L2653" i="6"/>
  <c r="N2653" i="6"/>
  <c r="K2669" i="6"/>
  <c r="M2669" i="6"/>
  <c r="L2669" i="6"/>
  <c r="N2669" i="6"/>
  <c r="K2685" i="6"/>
  <c r="M2685" i="6"/>
  <c r="L2685" i="6"/>
  <c r="N2685" i="6"/>
  <c r="K2701" i="6"/>
  <c r="M2701" i="6"/>
  <c r="L2701" i="6"/>
  <c r="N2701" i="6"/>
  <c r="K2717" i="6"/>
  <c r="M2717" i="6"/>
  <c r="L2717" i="6"/>
  <c r="N2717" i="6"/>
  <c r="K2733" i="6"/>
  <c r="M2733" i="6"/>
  <c r="L2733" i="6"/>
  <c r="N2733" i="6"/>
  <c r="K2749" i="6"/>
  <c r="M2749" i="6"/>
  <c r="L2749" i="6"/>
  <c r="N2749" i="6"/>
  <c r="M2765" i="6"/>
  <c r="L2765" i="6"/>
  <c r="K2765" i="6"/>
  <c r="N2765" i="6"/>
  <c r="M2781" i="6"/>
  <c r="K2781" i="6"/>
  <c r="L2781" i="6"/>
  <c r="N2781" i="6"/>
  <c r="M2797" i="6"/>
  <c r="L2797" i="6"/>
  <c r="K2797" i="6"/>
  <c r="N2797" i="6"/>
  <c r="M2813" i="6"/>
  <c r="K2813" i="6"/>
  <c r="L2813" i="6"/>
  <c r="N2813" i="6"/>
  <c r="M2829" i="6"/>
  <c r="L2829" i="6"/>
  <c r="N2829" i="6"/>
  <c r="K2829" i="6"/>
  <c r="M2845" i="6"/>
  <c r="K2845" i="6"/>
  <c r="L2845" i="6"/>
  <c r="N2845" i="6"/>
  <c r="M2861" i="6"/>
  <c r="L2861" i="6"/>
  <c r="N2861" i="6"/>
  <c r="K2861" i="6"/>
  <c r="M2877" i="6"/>
  <c r="K2877" i="6"/>
  <c r="L2877" i="6"/>
  <c r="N2877" i="6"/>
  <c r="M2893" i="6"/>
  <c r="L2893" i="6"/>
  <c r="N2893" i="6"/>
  <c r="K2893" i="6"/>
  <c r="M2909" i="6"/>
  <c r="K2909" i="6"/>
  <c r="L2909" i="6"/>
  <c r="N2909" i="6"/>
  <c r="M2925" i="6"/>
  <c r="L2925" i="6"/>
  <c r="K2925" i="6"/>
  <c r="N2925" i="6"/>
  <c r="M2941" i="6"/>
  <c r="K2941" i="6"/>
  <c r="L2941" i="6"/>
  <c r="N2941" i="6"/>
  <c r="M2957" i="6"/>
  <c r="L2957" i="6"/>
  <c r="N2957" i="6"/>
  <c r="K2957" i="6"/>
  <c r="M2973" i="6"/>
  <c r="K2973" i="6"/>
  <c r="L2973" i="6"/>
  <c r="N2973" i="6"/>
  <c r="M2989" i="6"/>
  <c r="L2989" i="6"/>
  <c r="K2989" i="6"/>
  <c r="N2989" i="6"/>
  <c r="L402" i="6"/>
  <c r="M402" i="6"/>
  <c r="N402" i="6"/>
  <c r="L418" i="6"/>
  <c r="N418" i="6"/>
  <c r="M418" i="6"/>
  <c r="L434" i="6"/>
  <c r="N434" i="6"/>
  <c r="M434" i="6"/>
  <c r="L450" i="6"/>
  <c r="M450" i="6"/>
  <c r="N450" i="6"/>
  <c r="L466" i="6"/>
  <c r="M466" i="6"/>
  <c r="N466" i="6"/>
  <c r="M482" i="6"/>
  <c r="L482" i="6"/>
  <c r="N482" i="6"/>
  <c r="M498" i="6"/>
  <c r="L498" i="6"/>
  <c r="N498" i="6"/>
  <c r="M514" i="6"/>
  <c r="L514" i="6"/>
  <c r="N514" i="6"/>
  <c r="M530" i="6"/>
  <c r="L530" i="6"/>
  <c r="N530" i="6"/>
  <c r="M546" i="6"/>
  <c r="L546" i="6"/>
  <c r="N546" i="6"/>
  <c r="M562" i="6"/>
  <c r="L562" i="6"/>
  <c r="N562" i="6"/>
  <c r="M578" i="6"/>
  <c r="L578" i="6"/>
  <c r="N578" i="6"/>
  <c r="M594" i="6"/>
  <c r="L594" i="6"/>
  <c r="N594" i="6"/>
  <c r="M610" i="6"/>
  <c r="N610" i="6"/>
  <c r="L610" i="6"/>
  <c r="M626" i="6"/>
  <c r="L626" i="6"/>
  <c r="N626" i="6"/>
  <c r="M642" i="6"/>
  <c r="L642" i="6"/>
  <c r="N642" i="6"/>
  <c r="M658" i="6"/>
  <c r="L658" i="6"/>
  <c r="N658" i="6"/>
  <c r="M674" i="6"/>
  <c r="N674" i="6"/>
  <c r="L674" i="6"/>
  <c r="M690" i="6"/>
  <c r="L690" i="6"/>
  <c r="N690" i="6"/>
  <c r="M706" i="6"/>
  <c r="L706" i="6"/>
  <c r="N706" i="6"/>
  <c r="M722" i="6"/>
  <c r="L722" i="6"/>
  <c r="N722" i="6"/>
  <c r="M738" i="6"/>
  <c r="N738" i="6"/>
  <c r="L738" i="6"/>
  <c r="M754" i="6"/>
  <c r="L754" i="6"/>
  <c r="N754" i="6"/>
  <c r="M770" i="6"/>
  <c r="L770" i="6"/>
  <c r="N770" i="6"/>
  <c r="M786" i="6"/>
  <c r="L786" i="6"/>
  <c r="N786" i="6"/>
  <c r="M802" i="6"/>
  <c r="N802" i="6"/>
  <c r="L802" i="6"/>
  <c r="K802" i="6"/>
  <c r="M818" i="6"/>
  <c r="L818" i="6"/>
  <c r="N818" i="6"/>
  <c r="K818" i="6"/>
  <c r="M834" i="6"/>
  <c r="N834" i="6"/>
  <c r="L834" i="6"/>
  <c r="K834" i="6"/>
  <c r="M850" i="6"/>
  <c r="L850" i="6"/>
  <c r="N850" i="6"/>
  <c r="K850" i="6"/>
  <c r="M866" i="6"/>
  <c r="N866" i="6"/>
  <c r="L866" i="6"/>
  <c r="K866" i="6"/>
  <c r="M882" i="6"/>
  <c r="N882" i="6"/>
  <c r="L882" i="6"/>
  <c r="K882" i="6"/>
  <c r="M898" i="6"/>
  <c r="N898" i="6"/>
  <c r="L898" i="6"/>
  <c r="K898" i="6"/>
  <c r="M914" i="6"/>
  <c r="N914" i="6"/>
  <c r="L914" i="6"/>
  <c r="K914" i="6"/>
  <c r="M930" i="6"/>
  <c r="N930" i="6"/>
  <c r="L930" i="6"/>
  <c r="K930" i="6"/>
  <c r="M946" i="6"/>
  <c r="N946" i="6"/>
  <c r="L946" i="6"/>
  <c r="K946" i="6"/>
  <c r="M962" i="6"/>
  <c r="N962" i="6"/>
  <c r="L962" i="6"/>
  <c r="K962" i="6"/>
  <c r="M978" i="6"/>
  <c r="N978" i="6"/>
  <c r="L978" i="6"/>
  <c r="K978" i="6"/>
  <c r="M994" i="6"/>
  <c r="N994" i="6"/>
  <c r="L994" i="6"/>
  <c r="K994" i="6"/>
  <c r="M1010" i="6"/>
  <c r="N1010" i="6"/>
  <c r="L1010" i="6"/>
  <c r="K1010" i="6"/>
  <c r="M1026" i="6"/>
  <c r="N1026" i="6"/>
  <c r="L1026" i="6"/>
  <c r="K1026" i="6"/>
  <c r="M1042" i="6"/>
  <c r="N1042" i="6"/>
  <c r="L1042" i="6"/>
  <c r="K1042" i="6"/>
  <c r="M1058" i="6"/>
  <c r="N1058" i="6"/>
  <c r="L1058" i="6"/>
  <c r="K1058" i="6"/>
  <c r="M1074" i="6"/>
  <c r="N1074" i="6"/>
  <c r="L1074" i="6"/>
  <c r="K1074" i="6"/>
  <c r="M1090" i="6"/>
  <c r="N1090" i="6"/>
  <c r="L1090" i="6"/>
  <c r="K1090" i="6"/>
  <c r="M1106" i="6"/>
  <c r="N1106" i="6"/>
  <c r="L1106" i="6"/>
  <c r="K1106" i="6"/>
  <c r="M1122" i="6"/>
  <c r="N1122" i="6"/>
  <c r="L1122" i="6"/>
  <c r="K1122" i="6"/>
  <c r="M1138" i="6"/>
  <c r="N1138" i="6"/>
  <c r="L1138" i="6"/>
  <c r="K1138" i="6"/>
  <c r="M1154" i="6"/>
  <c r="N1154" i="6"/>
  <c r="L1154" i="6"/>
  <c r="K1154" i="6"/>
  <c r="M1170" i="6"/>
  <c r="N1170" i="6"/>
  <c r="L1170" i="6"/>
  <c r="K1170" i="6"/>
  <c r="M1186" i="6"/>
  <c r="N1186" i="6"/>
  <c r="L1186" i="6"/>
  <c r="K1186" i="6"/>
  <c r="M1202" i="6"/>
  <c r="N1202" i="6"/>
  <c r="L1202" i="6"/>
  <c r="K1202" i="6"/>
  <c r="N1218" i="6"/>
  <c r="M1218" i="6"/>
  <c r="L1218" i="6"/>
  <c r="K1218" i="6"/>
  <c r="N1234" i="6"/>
  <c r="M1234" i="6"/>
  <c r="L1234" i="6"/>
  <c r="K1234" i="6"/>
  <c r="N1250" i="6"/>
  <c r="M1250" i="6"/>
  <c r="L1250" i="6"/>
  <c r="K1250" i="6"/>
  <c r="N1266" i="6"/>
  <c r="M1266" i="6"/>
  <c r="L1266" i="6"/>
  <c r="K1266" i="6"/>
  <c r="N1282" i="6"/>
  <c r="M1282" i="6"/>
  <c r="L1282" i="6"/>
  <c r="K1282" i="6"/>
  <c r="M1298" i="6"/>
  <c r="N1298" i="6"/>
  <c r="L1298" i="6"/>
  <c r="K1298" i="6"/>
  <c r="M1314" i="6"/>
  <c r="N1314" i="6"/>
  <c r="L1314" i="6"/>
  <c r="K1314" i="6"/>
  <c r="M1330" i="6"/>
  <c r="N1330" i="6"/>
  <c r="L1330" i="6"/>
  <c r="K1330" i="6"/>
  <c r="N1346" i="6"/>
  <c r="M1346" i="6"/>
  <c r="L1346" i="6"/>
  <c r="K1346" i="6"/>
  <c r="M1362" i="6"/>
  <c r="N1362" i="6"/>
  <c r="L1362" i="6"/>
  <c r="K1362" i="6"/>
  <c r="M1378" i="6"/>
  <c r="N1378" i="6"/>
  <c r="L1378" i="6"/>
  <c r="K1378" i="6"/>
  <c r="M1394" i="6"/>
  <c r="N1394" i="6"/>
  <c r="L1394" i="6"/>
  <c r="K1394" i="6"/>
  <c r="M1410" i="6"/>
  <c r="N1410" i="6"/>
  <c r="L1410" i="6"/>
  <c r="K1410" i="6"/>
  <c r="K477" i="6"/>
  <c r="K493" i="6"/>
  <c r="K509" i="6"/>
  <c r="K525" i="6"/>
  <c r="K541" i="6"/>
  <c r="K1229" i="6"/>
  <c r="K1245" i="6"/>
  <c r="K1261" i="6"/>
  <c r="K1277" i="6"/>
  <c r="K1293" i="6"/>
  <c r="K124" i="6"/>
  <c r="M124" i="6" s="1"/>
  <c r="L417" i="6"/>
  <c r="M417" i="6"/>
  <c r="N417" i="6"/>
  <c r="L433" i="6"/>
  <c r="N433" i="6"/>
  <c r="M433" i="6"/>
  <c r="L449" i="6"/>
  <c r="N449" i="6"/>
  <c r="M449" i="6"/>
  <c r="L465" i="6"/>
  <c r="M465" i="6"/>
  <c r="N465" i="6"/>
  <c r="L481" i="6"/>
  <c r="M481" i="6"/>
  <c r="N481" i="6"/>
  <c r="L497" i="6"/>
  <c r="M497" i="6"/>
  <c r="N497" i="6"/>
  <c r="L513" i="6"/>
  <c r="N513" i="6"/>
  <c r="M513" i="6"/>
  <c r="L529" i="6"/>
  <c r="M529" i="6"/>
  <c r="N529" i="6"/>
  <c r="L545" i="6"/>
  <c r="M545" i="6"/>
  <c r="N545" i="6"/>
  <c r="L561" i="6"/>
  <c r="N561" i="6"/>
  <c r="M561" i="6"/>
  <c r="L577" i="6"/>
  <c r="M577" i="6"/>
  <c r="N577" i="6"/>
  <c r="L593" i="6"/>
  <c r="M593" i="6"/>
  <c r="N593" i="6"/>
  <c r="L609" i="6"/>
  <c r="M609" i="6"/>
  <c r="N609" i="6"/>
  <c r="L625" i="6"/>
  <c r="M625" i="6"/>
  <c r="N625" i="6"/>
  <c r="L641" i="6"/>
  <c r="M641" i="6"/>
  <c r="N641" i="6"/>
  <c r="L657" i="6"/>
  <c r="M657" i="6"/>
  <c r="N657" i="6"/>
  <c r="L673" i="6"/>
  <c r="M673" i="6"/>
  <c r="N673" i="6"/>
  <c r="L689" i="6"/>
  <c r="M689" i="6"/>
  <c r="N689" i="6"/>
  <c r="L705" i="6"/>
  <c r="M705" i="6"/>
  <c r="N705" i="6"/>
  <c r="M721" i="6"/>
  <c r="L721" i="6"/>
  <c r="N721" i="6"/>
  <c r="M737" i="6"/>
  <c r="L737" i="6"/>
  <c r="N737" i="6"/>
  <c r="M753" i="6"/>
  <c r="L753" i="6"/>
  <c r="N753" i="6"/>
  <c r="M769" i="6"/>
  <c r="L769" i="6"/>
  <c r="N769" i="6"/>
  <c r="M785" i="6"/>
  <c r="L785" i="6"/>
  <c r="N785" i="6"/>
  <c r="M801" i="6"/>
  <c r="L801" i="6"/>
  <c r="N801" i="6"/>
  <c r="M817" i="6"/>
  <c r="L817" i="6"/>
  <c r="N817" i="6"/>
  <c r="M833" i="6"/>
  <c r="L833" i="6"/>
  <c r="N833" i="6"/>
  <c r="M849" i="6"/>
  <c r="L849" i="6"/>
  <c r="N849" i="6"/>
  <c r="M865" i="6"/>
  <c r="L865" i="6"/>
  <c r="N865" i="6"/>
  <c r="M881" i="6"/>
  <c r="L881" i="6"/>
  <c r="N881" i="6"/>
  <c r="M897" i="6"/>
  <c r="L897" i="6"/>
  <c r="N897" i="6"/>
  <c r="M913" i="6"/>
  <c r="L913" i="6"/>
  <c r="N913" i="6"/>
  <c r="M929" i="6"/>
  <c r="L929" i="6"/>
  <c r="N929" i="6"/>
  <c r="M945" i="6"/>
  <c r="L945" i="6"/>
  <c r="N945" i="6"/>
  <c r="M961" i="6"/>
  <c r="L961" i="6"/>
  <c r="N961" i="6"/>
  <c r="M977" i="6"/>
  <c r="L977" i="6"/>
  <c r="N977" i="6"/>
  <c r="M993" i="6"/>
  <c r="L993" i="6"/>
  <c r="N993" i="6"/>
  <c r="M1009" i="6"/>
  <c r="L1009" i="6"/>
  <c r="N1009" i="6"/>
  <c r="M1025" i="6"/>
  <c r="L1025" i="6"/>
  <c r="N1025" i="6"/>
  <c r="M1041" i="6"/>
  <c r="L1041" i="6"/>
  <c r="N1041" i="6"/>
  <c r="M1057" i="6"/>
  <c r="L1057" i="6"/>
  <c r="N1057" i="6"/>
  <c r="M1073" i="6"/>
  <c r="L1073" i="6"/>
  <c r="N1073" i="6"/>
  <c r="K1089" i="6"/>
  <c r="L1089" i="6"/>
  <c r="M1089" i="6"/>
  <c r="N1089" i="6"/>
  <c r="L1105" i="6"/>
  <c r="M1105" i="6"/>
  <c r="N1105" i="6"/>
  <c r="L1121" i="6"/>
  <c r="M1121" i="6"/>
  <c r="N1121" i="6"/>
  <c r="L1137" i="6"/>
  <c r="M1137" i="6"/>
  <c r="N1137" i="6"/>
  <c r="L1153" i="6"/>
  <c r="M1153" i="6"/>
  <c r="N1153" i="6"/>
  <c r="L1169" i="6"/>
  <c r="M1169" i="6"/>
  <c r="N1169" i="6"/>
  <c r="L1185" i="6"/>
  <c r="M1185" i="6"/>
  <c r="N1185" i="6"/>
  <c r="L1201" i="6"/>
  <c r="M1201" i="6"/>
  <c r="N1201" i="6"/>
  <c r="L1217" i="6"/>
  <c r="K1217" i="6"/>
  <c r="M1217" i="6"/>
  <c r="N1217" i="6"/>
  <c r="M1233" i="6"/>
  <c r="L1233" i="6"/>
  <c r="N1233" i="6"/>
  <c r="M1249" i="6"/>
  <c r="L1249" i="6"/>
  <c r="N1249" i="6"/>
  <c r="M1265" i="6"/>
  <c r="L1265" i="6"/>
  <c r="N1265" i="6"/>
  <c r="M1281" i="6"/>
  <c r="L1281" i="6"/>
  <c r="N1281" i="6"/>
  <c r="L1297" i="6"/>
  <c r="M1297" i="6"/>
  <c r="N1297" i="6"/>
  <c r="L1313" i="6"/>
  <c r="M1313" i="6"/>
  <c r="N1313" i="6"/>
  <c r="L1329" i="6"/>
  <c r="M1329" i="6"/>
  <c r="N1329" i="6"/>
  <c r="M1345" i="6"/>
  <c r="L1345" i="6"/>
  <c r="N1345" i="6"/>
  <c r="L1361" i="6"/>
  <c r="M1361" i="6"/>
  <c r="N1361" i="6"/>
  <c r="L1377" i="6"/>
  <c r="M1377" i="6"/>
  <c r="N1377" i="6"/>
  <c r="L1393" i="6"/>
  <c r="M1393" i="6"/>
  <c r="N1393" i="6"/>
  <c r="L1409" i="6"/>
  <c r="M1409" i="6"/>
  <c r="N1409" i="6"/>
  <c r="M1425" i="6"/>
  <c r="L1425" i="6"/>
  <c r="N1425" i="6"/>
  <c r="M1441" i="6"/>
  <c r="N1441" i="6"/>
  <c r="L1441" i="6"/>
  <c r="M1457" i="6"/>
  <c r="N1457" i="6"/>
  <c r="L1457" i="6"/>
  <c r="K1457" i="6"/>
  <c r="M1473" i="6"/>
  <c r="N1473" i="6"/>
  <c r="L1473" i="6"/>
  <c r="K1473" i="6"/>
  <c r="N1489" i="6"/>
  <c r="M1489" i="6"/>
  <c r="L1489" i="6"/>
  <c r="K1489" i="6"/>
  <c r="M1505" i="6"/>
  <c r="N1505" i="6"/>
  <c r="L1505" i="6"/>
  <c r="K1505" i="6"/>
  <c r="M1521" i="6"/>
  <c r="N1521" i="6"/>
  <c r="L1521" i="6"/>
  <c r="K1521" i="6"/>
  <c r="N1537" i="6"/>
  <c r="M1537" i="6"/>
  <c r="L1537" i="6"/>
  <c r="K1537" i="6"/>
  <c r="M1553" i="6"/>
  <c r="N1553" i="6"/>
  <c r="L1553" i="6"/>
  <c r="K1553" i="6"/>
  <c r="M1569" i="6"/>
  <c r="N1569" i="6"/>
  <c r="L1569" i="6"/>
  <c r="K1569" i="6"/>
  <c r="N1585" i="6"/>
  <c r="L1585" i="6"/>
  <c r="M1585" i="6"/>
  <c r="K1585" i="6"/>
  <c r="M1601" i="6"/>
  <c r="N1601" i="6"/>
  <c r="L1601" i="6"/>
  <c r="K1601" i="6"/>
  <c r="N1617" i="6"/>
  <c r="M1617" i="6"/>
  <c r="L1617" i="6"/>
  <c r="K1617" i="6"/>
  <c r="M1633" i="6"/>
  <c r="N1633" i="6"/>
  <c r="L1633" i="6"/>
  <c r="K1633" i="6"/>
  <c r="M1649" i="6"/>
  <c r="N1649" i="6"/>
  <c r="L1649" i="6"/>
  <c r="K1649" i="6"/>
  <c r="N1665" i="6"/>
  <c r="L1665" i="6"/>
  <c r="M1665" i="6"/>
  <c r="K1665" i="6"/>
  <c r="M1681" i="6"/>
  <c r="N1681" i="6"/>
  <c r="L1681" i="6"/>
  <c r="K1681" i="6"/>
  <c r="M1697" i="6"/>
  <c r="N1697" i="6"/>
  <c r="L1697" i="6"/>
  <c r="K1697" i="6"/>
  <c r="M1713" i="6"/>
  <c r="N1713" i="6"/>
  <c r="L1713" i="6"/>
  <c r="K1713" i="6"/>
  <c r="M1729" i="6"/>
  <c r="N1729" i="6"/>
  <c r="L1729" i="6"/>
  <c r="K1729" i="6"/>
  <c r="M1745" i="6"/>
  <c r="N1745" i="6"/>
  <c r="L1745" i="6"/>
  <c r="K1745" i="6"/>
  <c r="N1761" i="6"/>
  <c r="M1761" i="6"/>
  <c r="L1761" i="6"/>
  <c r="K1761" i="6"/>
  <c r="M1777" i="6"/>
  <c r="N1777" i="6"/>
  <c r="L1777" i="6"/>
  <c r="K1777" i="6"/>
  <c r="N1793" i="6"/>
  <c r="M1793" i="6"/>
  <c r="L1793" i="6"/>
  <c r="K1793" i="6"/>
  <c r="M1809" i="6"/>
  <c r="N1809" i="6"/>
  <c r="L1809" i="6"/>
  <c r="K1809" i="6"/>
  <c r="M1825" i="6"/>
  <c r="N1825" i="6"/>
  <c r="L1825" i="6"/>
  <c r="K1825" i="6"/>
  <c r="M1841" i="6"/>
  <c r="N1841" i="6"/>
  <c r="L1841" i="6"/>
  <c r="K1841" i="6"/>
  <c r="M1857" i="6"/>
  <c r="N1857" i="6"/>
  <c r="L1857" i="6"/>
  <c r="K1857" i="6"/>
  <c r="M1873" i="6"/>
  <c r="L1873" i="6"/>
  <c r="N1873" i="6"/>
  <c r="K1873" i="6"/>
  <c r="L1889" i="6"/>
  <c r="N1889" i="6"/>
  <c r="M1889" i="6"/>
  <c r="K1889" i="6"/>
  <c r="M1905" i="6"/>
  <c r="L1905" i="6"/>
  <c r="N1905" i="6"/>
  <c r="K1905" i="6"/>
  <c r="M1921" i="6"/>
  <c r="L1921" i="6"/>
  <c r="N1921" i="6"/>
  <c r="K1921" i="6"/>
  <c r="M1937" i="6"/>
  <c r="L1937" i="6"/>
  <c r="N1937" i="6"/>
  <c r="K1937" i="6"/>
  <c r="M1953" i="6"/>
  <c r="L1953" i="6"/>
  <c r="N1953" i="6"/>
  <c r="K1953" i="6"/>
  <c r="M1969" i="6"/>
  <c r="L1969" i="6"/>
  <c r="N1969" i="6"/>
  <c r="K1969" i="6"/>
  <c r="M1985" i="6"/>
  <c r="L1985" i="6"/>
  <c r="N1985" i="6"/>
  <c r="K1985" i="6"/>
  <c r="M2001" i="6"/>
  <c r="L2001" i="6"/>
  <c r="N2001" i="6"/>
  <c r="K2001" i="6"/>
  <c r="M2017" i="6"/>
  <c r="L2017" i="6"/>
  <c r="N2017" i="6"/>
  <c r="K2017" i="6"/>
  <c r="M2033" i="6"/>
  <c r="L2033" i="6"/>
  <c r="N2033" i="6"/>
  <c r="K2033" i="6"/>
  <c r="M2049" i="6"/>
  <c r="L2049" i="6"/>
  <c r="N2049" i="6"/>
  <c r="K2049" i="6"/>
  <c r="M2065" i="6"/>
  <c r="L2065" i="6"/>
  <c r="N2065" i="6"/>
  <c r="K2065" i="6"/>
  <c r="L2081" i="6"/>
  <c r="M2081" i="6"/>
  <c r="N2081" i="6"/>
  <c r="K2081" i="6"/>
  <c r="M2097" i="6"/>
  <c r="L2097" i="6"/>
  <c r="N2097" i="6"/>
  <c r="K2097" i="6"/>
  <c r="M2113" i="6"/>
  <c r="L2113" i="6"/>
  <c r="N2113" i="6"/>
  <c r="K2113" i="6"/>
  <c r="M2129" i="6"/>
  <c r="L2129" i="6"/>
  <c r="N2129" i="6"/>
  <c r="K2129" i="6"/>
  <c r="M2145" i="6"/>
  <c r="L2145" i="6"/>
  <c r="N2145" i="6"/>
  <c r="K2145" i="6"/>
  <c r="M2161" i="6"/>
  <c r="L2161" i="6"/>
  <c r="N2161" i="6"/>
  <c r="K2161" i="6"/>
  <c r="M2177" i="6"/>
  <c r="L2177" i="6"/>
  <c r="N2177" i="6"/>
  <c r="K2177" i="6"/>
  <c r="M2193" i="6"/>
  <c r="K2193" i="6"/>
  <c r="L2193" i="6"/>
  <c r="N2193" i="6"/>
  <c r="M2209" i="6"/>
  <c r="K2209" i="6"/>
  <c r="L2209" i="6"/>
  <c r="N2209" i="6"/>
  <c r="M2225" i="6"/>
  <c r="K2225" i="6"/>
  <c r="L2225" i="6"/>
  <c r="N2225" i="6"/>
  <c r="M2241" i="6"/>
  <c r="K2241" i="6"/>
  <c r="L2241" i="6"/>
  <c r="N2241" i="6"/>
  <c r="M2257" i="6"/>
  <c r="K2257" i="6"/>
  <c r="L2257" i="6"/>
  <c r="N2257" i="6"/>
  <c r="M2273" i="6"/>
  <c r="K2273" i="6"/>
  <c r="L2273" i="6"/>
  <c r="N2273" i="6"/>
  <c r="M2289" i="6"/>
  <c r="K2289" i="6"/>
  <c r="L2289" i="6"/>
  <c r="N2289" i="6"/>
  <c r="M2305" i="6"/>
  <c r="K2305" i="6"/>
  <c r="L2305" i="6"/>
  <c r="N2305" i="6"/>
  <c r="M2321" i="6"/>
  <c r="K2321" i="6"/>
  <c r="L2321" i="6"/>
  <c r="N2321" i="6"/>
  <c r="M2337" i="6"/>
  <c r="K2337" i="6"/>
  <c r="L2337" i="6"/>
  <c r="N2337" i="6"/>
  <c r="M2353" i="6"/>
  <c r="K2353" i="6"/>
  <c r="L2353" i="6"/>
  <c r="N2353" i="6"/>
  <c r="M2369" i="6"/>
  <c r="K2369" i="6"/>
  <c r="L2369" i="6"/>
  <c r="N2369" i="6"/>
  <c r="M2385" i="6"/>
  <c r="K2385" i="6"/>
  <c r="L2385" i="6"/>
  <c r="N2385" i="6"/>
  <c r="M2401" i="6"/>
  <c r="K2401" i="6"/>
  <c r="L2401" i="6"/>
  <c r="N2401" i="6"/>
  <c r="M2417" i="6"/>
  <c r="K2417" i="6"/>
  <c r="L2417" i="6"/>
  <c r="N2417" i="6"/>
  <c r="M2433" i="6"/>
  <c r="K2433" i="6"/>
  <c r="L2433" i="6"/>
  <c r="N2433" i="6"/>
  <c r="M2449" i="6"/>
  <c r="K2449" i="6"/>
  <c r="L2449" i="6"/>
  <c r="N2449" i="6"/>
  <c r="M2465" i="6"/>
  <c r="K2465" i="6"/>
  <c r="L2465" i="6"/>
  <c r="N2465" i="6"/>
  <c r="M2481" i="6"/>
  <c r="K2481" i="6"/>
  <c r="L2481" i="6"/>
  <c r="N2481" i="6"/>
  <c r="M2497" i="6"/>
  <c r="K2497" i="6"/>
  <c r="L2497" i="6"/>
  <c r="N2497" i="6"/>
  <c r="M2513" i="6"/>
  <c r="K2513" i="6"/>
  <c r="L2513" i="6"/>
  <c r="N2513" i="6"/>
  <c r="M2529" i="6"/>
  <c r="K2529" i="6"/>
  <c r="L2529" i="6"/>
  <c r="N2529" i="6"/>
  <c r="M2545" i="6"/>
  <c r="K2545" i="6"/>
  <c r="L2545" i="6"/>
  <c r="N2545" i="6"/>
  <c r="M2561" i="6"/>
  <c r="K2561" i="6"/>
  <c r="L2561" i="6"/>
  <c r="N2561" i="6"/>
  <c r="M2577" i="6"/>
  <c r="K2577" i="6"/>
  <c r="L2577" i="6"/>
  <c r="N2577" i="6"/>
  <c r="M2593" i="6"/>
  <c r="K2593" i="6"/>
  <c r="L2593" i="6"/>
  <c r="N2593" i="6"/>
  <c r="M2609" i="6"/>
  <c r="K2609" i="6"/>
  <c r="L2609" i="6"/>
  <c r="N2609" i="6"/>
  <c r="M2625" i="6"/>
  <c r="K2625" i="6"/>
  <c r="L2625" i="6"/>
  <c r="N2625" i="6"/>
  <c r="M2641" i="6"/>
  <c r="K2641" i="6"/>
  <c r="L2641" i="6"/>
  <c r="N2641" i="6"/>
  <c r="M2657" i="6"/>
  <c r="K2657" i="6"/>
  <c r="L2657" i="6"/>
  <c r="N2657" i="6"/>
  <c r="M2673" i="6"/>
  <c r="K2673" i="6"/>
  <c r="L2673" i="6"/>
  <c r="N2673" i="6"/>
  <c r="M2689" i="6"/>
  <c r="K2689" i="6"/>
  <c r="L2689" i="6"/>
  <c r="N2689" i="6"/>
  <c r="M2705" i="6"/>
  <c r="K2705" i="6"/>
  <c r="L2705" i="6"/>
  <c r="N2705" i="6"/>
  <c r="M2721" i="6"/>
  <c r="K2721" i="6"/>
  <c r="L2721" i="6"/>
  <c r="N2721" i="6"/>
  <c r="M2737" i="6"/>
  <c r="K2737" i="6"/>
  <c r="L2737" i="6"/>
  <c r="N2737" i="6"/>
  <c r="M2753" i="6"/>
  <c r="K2753" i="6"/>
  <c r="L2753" i="6"/>
  <c r="N2753" i="6"/>
  <c r="M2769" i="6"/>
  <c r="K2769" i="6"/>
  <c r="L2769" i="6"/>
  <c r="N2769" i="6"/>
  <c r="M2785" i="6"/>
  <c r="K2785" i="6"/>
  <c r="L2785" i="6"/>
  <c r="N2785" i="6"/>
  <c r="M2801" i="6"/>
  <c r="K2801" i="6"/>
  <c r="L2801" i="6"/>
  <c r="N2801" i="6"/>
  <c r="M2817" i="6"/>
  <c r="K2817" i="6"/>
  <c r="L2817" i="6"/>
  <c r="N2817" i="6"/>
  <c r="M2833" i="6"/>
  <c r="K2833" i="6"/>
  <c r="L2833" i="6"/>
  <c r="N2833" i="6"/>
  <c r="M2849" i="6"/>
  <c r="K2849" i="6"/>
  <c r="L2849" i="6"/>
  <c r="N2849" i="6"/>
  <c r="M2865" i="6"/>
  <c r="K2865" i="6"/>
  <c r="L2865" i="6"/>
  <c r="N2865" i="6"/>
  <c r="M2881" i="6"/>
  <c r="K2881" i="6"/>
  <c r="L2881" i="6"/>
  <c r="N2881" i="6"/>
  <c r="M2897" i="6"/>
  <c r="K2897" i="6"/>
  <c r="L2897" i="6"/>
  <c r="N2897" i="6"/>
  <c r="M2913" i="6"/>
  <c r="K2913" i="6"/>
  <c r="L2913" i="6"/>
  <c r="N2913" i="6"/>
  <c r="M2929" i="6"/>
  <c r="L2929" i="6"/>
  <c r="K2929" i="6"/>
  <c r="N2929" i="6"/>
  <c r="M2945" i="6"/>
  <c r="K2945" i="6"/>
  <c r="L2945" i="6"/>
  <c r="N2945" i="6"/>
  <c r="M2961" i="6"/>
  <c r="K2961" i="6"/>
  <c r="L2961" i="6"/>
  <c r="N2961" i="6"/>
  <c r="M2977" i="6"/>
  <c r="K2977" i="6"/>
  <c r="L2977" i="6"/>
  <c r="N2977" i="6"/>
  <c r="M2993" i="6"/>
  <c r="L2993" i="6"/>
  <c r="N2993" i="6"/>
  <c r="K2993" i="6"/>
  <c r="N406" i="6"/>
  <c r="L406" i="6"/>
  <c r="M406" i="6"/>
  <c r="N422" i="6"/>
  <c r="M422" i="6"/>
  <c r="L422" i="6"/>
  <c r="N438" i="6"/>
  <c r="M438" i="6"/>
  <c r="L438" i="6"/>
  <c r="N454" i="6"/>
  <c r="L454" i="6"/>
  <c r="M454" i="6"/>
  <c r="M470" i="6"/>
  <c r="N470" i="6"/>
  <c r="L470" i="6"/>
  <c r="M486" i="6"/>
  <c r="N486" i="6"/>
  <c r="L486" i="6"/>
  <c r="M502" i="6"/>
  <c r="N502" i="6"/>
  <c r="L502" i="6"/>
  <c r="M518" i="6"/>
  <c r="N518" i="6"/>
  <c r="L518" i="6"/>
  <c r="M534" i="6"/>
  <c r="N534" i="6"/>
  <c r="L534" i="6"/>
  <c r="M550" i="6"/>
  <c r="N550" i="6"/>
  <c r="L550" i="6"/>
  <c r="N566" i="6"/>
  <c r="M566" i="6"/>
  <c r="L566" i="6"/>
  <c r="N582" i="6"/>
  <c r="L582" i="6"/>
  <c r="M582" i="6"/>
  <c r="N598" i="6"/>
  <c r="L598" i="6"/>
  <c r="M598" i="6"/>
  <c r="L614" i="6"/>
  <c r="N614" i="6"/>
  <c r="M614" i="6"/>
  <c r="L630" i="6"/>
  <c r="M630" i="6"/>
  <c r="N630" i="6"/>
  <c r="L646" i="6"/>
  <c r="N646" i="6"/>
  <c r="M646" i="6"/>
  <c r="L662" i="6"/>
  <c r="M662" i="6"/>
  <c r="N662" i="6"/>
  <c r="L678" i="6"/>
  <c r="N678" i="6"/>
  <c r="M678" i="6"/>
  <c r="L694" i="6"/>
  <c r="M694" i="6"/>
  <c r="N694" i="6"/>
  <c r="M710" i="6"/>
  <c r="L710" i="6"/>
  <c r="N710" i="6"/>
  <c r="M726" i="6"/>
  <c r="L726" i="6"/>
  <c r="N726" i="6"/>
  <c r="M742" i="6"/>
  <c r="L742" i="6"/>
  <c r="N742" i="6"/>
  <c r="M758" i="6"/>
  <c r="L758" i="6"/>
  <c r="N758" i="6"/>
  <c r="M774" i="6"/>
  <c r="L774" i="6"/>
  <c r="N774" i="6"/>
  <c r="M790" i="6"/>
  <c r="L790" i="6"/>
  <c r="N790" i="6"/>
  <c r="M806" i="6"/>
  <c r="L806" i="6"/>
  <c r="N806" i="6"/>
  <c r="K806" i="6"/>
  <c r="M822" i="6"/>
  <c r="L822" i="6"/>
  <c r="N822" i="6"/>
  <c r="K822" i="6"/>
  <c r="M838" i="6"/>
  <c r="L838" i="6"/>
  <c r="N838" i="6"/>
  <c r="K838" i="6"/>
  <c r="M854" i="6"/>
  <c r="L854" i="6"/>
  <c r="N854" i="6"/>
  <c r="K854" i="6"/>
  <c r="M870" i="6"/>
  <c r="L870" i="6"/>
  <c r="N870" i="6"/>
  <c r="K870" i="6"/>
  <c r="M886" i="6"/>
  <c r="L886" i="6"/>
  <c r="N886" i="6"/>
  <c r="K886" i="6"/>
  <c r="M902" i="6"/>
  <c r="L902" i="6"/>
  <c r="N902" i="6"/>
  <c r="K902" i="6"/>
  <c r="M918" i="6"/>
  <c r="L918" i="6"/>
  <c r="N918" i="6"/>
  <c r="K918" i="6"/>
  <c r="M934" i="6"/>
  <c r="L934" i="6"/>
  <c r="N934" i="6"/>
  <c r="K934" i="6"/>
  <c r="M950" i="6"/>
  <c r="L950" i="6"/>
  <c r="N950" i="6"/>
  <c r="K950" i="6"/>
  <c r="M966" i="6"/>
  <c r="L966" i="6"/>
  <c r="N966" i="6"/>
  <c r="K966" i="6"/>
  <c r="M982" i="6"/>
  <c r="L982" i="6"/>
  <c r="N982" i="6"/>
  <c r="K982" i="6"/>
  <c r="M998" i="6"/>
  <c r="L998" i="6"/>
  <c r="N998" i="6"/>
  <c r="K998" i="6"/>
  <c r="M1014" i="6"/>
  <c r="L1014" i="6"/>
  <c r="N1014" i="6"/>
  <c r="K1014" i="6"/>
  <c r="M1030" i="6"/>
  <c r="L1030" i="6"/>
  <c r="N1030" i="6"/>
  <c r="K1030" i="6"/>
  <c r="M1046" i="6"/>
  <c r="L1046" i="6"/>
  <c r="N1046" i="6"/>
  <c r="K1046" i="6"/>
  <c r="M1062" i="6"/>
  <c r="L1062" i="6"/>
  <c r="N1062" i="6"/>
  <c r="K1062" i="6"/>
  <c r="M1078" i="6"/>
  <c r="L1078" i="6"/>
  <c r="N1078" i="6"/>
  <c r="K1078" i="6"/>
  <c r="M1094" i="6"/>
  <c r="L1094" i="6"/>
  <c r="N1094" i="6"/>
  <c r="K1094" i="6"/>
  <c r="M1110" i="6"/>
  <c r="L1110" i="6"/>
  <c r="N1110" i="6"/>
  <c r="K1110" i="6"/>
  <c r="M1126" i="6"/>
  <c r="L1126" i="6"/>
  <c r="N1126" i="6"/>
  <c r="K1126" i="6"/>
  <c r="M1142" i="6"/>
  <c r="L1142" i="6"/>
  <c r="N1142" i="6"/>
  <c r="K1142" i="6"/>
  <c r="M1158" i="6"/>
  <c r="L1158" i="6"/>
  <c r="N1158" i="6"/>
  <c r="K1158" i="6"/>
  <c r="M1174" i="6"/>
  <c r="L1174" i="6"/>
  <c r="N1174" i="6"/>
  <c r="K1174" i="6"/>
  <c r="M1190" i="6"/>
  <c r="L1190" i="6"/>
  <c r="N1190" i="6"/>
  <c r="K1190" i="6"/>
  <c r="M1206" i="6"/>
  <c r="L1206" i="6"/>
  <c r="N1206" i="6"/>
  <c r="K1206" i="6"/>
  <c r="K1222" i="6"/>
  <c r="M1222" i="6"/>
  <c r="L1222" i="6"/>
  <c r="N1222" i="6"/>
  <c r="M1238" i="6"/>
  <c r="L1238" i="6"/>
  <c r="N1238" i="6"/>
  <c r="K1238" i="6"/>
  <c r="M1254" i="6"/>
  <c r="L1254" i="6"/>
  <c r="N1254" i="6"/>
  <c r="K1254" i="6"/>
  <c r="M1270" i="6"/>
  <c r="L1270" i="6"/>
  <c r="N1270" i="6"/>
  <c r="K1270" i="6"/>
  <c r="K1286" i="6"/>
  <c r="M1286" i="6"/>
  <c r="L1286" i="6"/>
  <c r="N1286" i="6"/>
  <c r="M1302" i="6"/>
  <c r="L1302" i="6"/>
  <c r="N1302" i="6"/>
  <c r="K1302" i="6"/>
  <c r="M1318" i="6"/>
  <c r="L1318" i="6"/>
  <c r="N1318" i="6"/>
  <c r="K1318" i="6"/>
  <c r="M1334" i="6"/>
  <c r="L1334" i="6"/>
  <c r="N1334" i="6"/>
  <c r="K1334" i="6"/>
  <c r="L1350" i="6"/>
  <c r="M1350" i="6"/>
  <c r="N1350" i="6"/>
  <c r="K1350" i="6"/>
  <c r="M1366" i="6"/>
  <c r="L1366" i="6"/>
  <c r="N1366" i="6"/>
  <c r="K1366" i="6"/>
  <c r="M1382" i="6"/>
  <c r="L1382" i="6"/>
  <c r="N1382" i="6"/>
  <c r="K1382" i="6"/>
  <c r="M1398" i="6"/>
  <c r="L1398" i="6"/>
  <c r="N1398" i="6"/>
  <c r="K1398" i="6"/>
  <c r="L1414" i="6"/>
  <c r="M1414" i="6"/>
  <c r="N1414" i="6"/>
  <c r="K1414" i="6"/>
  <c r="K413" i="6"/>
  <c r="K429" i="6"/>
  <c r="K445" i="6"/>
  <c r="K461" i="6"/>
  <c r="K481" i="6"/>
  <c r="K497" i="6"/>
  <c r="K513" i="6"/>
  <c r="K529" i="6"/>
  <c r="K545" i="6"/>
  <c r="K1233" i="6"/>
  <c r="K1249" i="6"/>
  <c r="K1265" i="6"/>
  <c r="K1281" i="6"/>
  <c r="K1297" i="6"/>
  <c r="K28" i="6"/>
  <c r="M28" i="6" s="1"/>
  <c r="N362" i="6"/>
  <c r="N394" i="6"/>
  <c r="L405" i="6"/>
  <c r="N405" i="6"/>
  <c r="M405" i="6"/>
  <c r="L421" i="6"/>
  <c r="N421" i="6"/>
  <c r="M421" i="6"/>
  <c r="L437" i="6"/>
  <c r="M437" i="6"/>
  <c r="N437" i="6"/>
  <c r="L453" i="6"/>
  <c r="N453" i="6"/>
  <c r="M453" i="6"/>
  <c r="L469" i="6"/>
  <c r="N469" i="6"/>
  <c r="M469" i="6"/>
  <c r="K469" i="6"/>
  <c r="L485" i="6"/>
  <c r="M485" i="6"/>
  <c r="N485" i="6"/>
  <c r="L501" i="6"/>
  <c r="M501" i="6"/>
  <c r="N501" i="6"/>
  <c r="L517" i="6"/>
  <c r="M517" i="6"/>
  <c r="N517" i="6"/>
  <c r="L533" i="6"/>
  <c r="N533" i="6"/>
  <c r="M533" i="6"/>
  <c r="L549" i="6"/>
  <c r="M549" i="6"/>
  <c r="N549" i="6"/>
  <c r="M565" i="6"/>
  <c r="L565" i="6"/>
  <c r="N565" i="6"/>
  <c r="M581" i="6"/>
  <c r="L581" i="6"/>
  <c r="N581" i="6"/>
  <c r="M597" i="6"/>
  <c r="L597" i="6"/>
  <c r="N597" i="6"/>
  <c r="M613" i="6"/>
  <c r="L613" i="6"/>
  <c r="N613" i="6"/>
  <c r="M629" i="6"/>
  <c r="L629" i="6"/>
  <c r="N629" i="6"/>
  <c r="M645" i="6"/>
  <c r="L645" i="6"/>
  <c r="N645" i="6"/>
  <c r="M661" i="6"/>
  <c r="L661" i="6"/>
  <c r="N661" i="6"/>
  <c r="M677" i="6"/>
  <c r="L677" i="6"/>
  <c r="N677" i="6"/>
  <c r="M693" i="6"/>
  <c r="L693" i="6"/>
  <c r="N693" i="6"/>
  <c r="L709" i="6"/>
  <c r="M709" i="6"/>
  <c r="N709" i="6"/>
  <c r="L725" i="6"/>
  <c r="M725" i="6"/>
  <c r="N725" i="6"/>
  <c r="L741" i="6"/>
  <c r="M741" i="6"/>
  <c r="N741" i="6"/>
  <c r="L757" i="6"/>
  <c r="M757" i="6"/>
  <c r="N757" i="6"/>
  <c r="L773" i="6"/>
  <c r="M773" i="6"/>
  <c r="N773" i="6"/>
  <c r="L789" i="6"/>
  <c r="M789" i="6"/>
  <c r="N789" i="6"/>
  <c r="L805" i="6"/>
  <c r="M805" i="6"/>
  <c r="N805" i="6"/>
  <c r="L821" i="6"/>
  <c r="M821" i="6"/>
  <c r="N821" i="6"/>
  <c r="L837" i="6"/>
  <c r="M837" i="6"/>
  <c r="N837" i="6"/>
  <c r="L853" i="6"/>
  <c r="M853" i="6"/>
  <c r="N853" i="6"/>
  <c r="L869" i="6"/>
  <c r="M869" i="6"/>
  <c r="N869" i="6"/>
  <c r="L885" i="6"/>
  <c r="M885" i="6"/>
  <c r="N885" i="6"/>
  <c r="L901" i="6"/>
  <c r="M901" i="6"/>
  <c r="N901" i="6"/>
  <c r="L917" i="6"/>
  <c r="M917" i="6"/>
  <c r="N917" i="6"/>
  <c r="L933" i="6"/>
  <c r="M933" i="6"/>
  <c r="N933" i="6"/>
  <c r="L949" i="6"/>
  <c r="M949" i="6"/>
  <c r="N949" i="6"/>
  <c r="L965" i="6"/>
  <c r="M965" i="6"/>
  <c r="N965" i="6"/>
  <c r="L981" i="6"/>
  <c r="M981" i="6"/>
  <c r="N981" i="6"/>
  <c r="L997" i="6"/>
  <c r="M997" i="6"/>
  <c r="N997" i="6"/>
  <c r="L1013" i="6"/>
  <c r="M1013" i="6"/>
  <c r="N1013" i="6"/>
  <c r="L1029" i="6"/>
  <c r="M1029" i="6"/>
  <c r="N1029" i="6"/>
  <c r="L1045" i="6"/>
  <c r="M1045" i="6"/>
  <c r="N1045" i="6"/>
  <c r="L1061" i="6"/>
  <c r="M1061" i="6"/>
  <c r="N1061" i="6"/>
  <c r="L1077" i="6"/>
  <c r="M1077" i="6"/>
  <c r="N1077" i="6"/>
  <c r="L1093" i="6"/>
  <c r="M1093" i="6"/>
  <c r="N1093" i="6"/>
  <c r="L1109" i="6"/>
  <c r="M1109" i="6"/>
  <c r="N1109" i="6"/>
  <c r="L1125" i="6"/>
  <c r="M1125" i="6"/>
  <c r="N1125" i="6"/>
  <c r="L1141" i="6"/>
  <c r="M1141" i="6"/>
  <c r="N1141" i="6"/>
  <c r="L1157" i="6"/>
  <c r="M1157" i="6"/>
  <c r="N1157" i="6"/>
  <c r="L1173" i="6"/>
  <c r="M1173" i="6"/>
  <c r="N1173" i="6"/>
  <c r="L1189" i="6"/>
  <c r="M1189" i="6"/>
  <c r="N1189" i="6"/>
  <c r="L1205" i="6"/>
  <c r="M1205" i="6"/>
  <c r="N1205" i="6"/>
  <c r="L1221" i="6"/>
  <c r="M1221" i="6"/>
  <c r="N1221" i="6"/>
  <c r="L1237" i="6"/>
  <c r="N1237" i="6"/>
  <c r="M1237" i="6"/>
  <c r="L1253" i="6"/>
  <c r="N1253" i="6"/>
  <c r="M1253" i="6"/>
  <c r="L1269" i="6"/>
  <c r="N1269" i="6"/>
  <c r="M1269" i="6"/>
  <c r="L1285" i="6"/>
  <c r="N1285" i="6"/>
  <c r="M1285" i="6"/>
  <c r="L1301" i="6"/>
  <c r="M1301" i="6"/>
  <c r="N1301" i="6"/>
  <c r="M1317" i="6"/>
  <c r="L1317" i="6"/>
  <c r="N1317" i="6"/>
  <c r="M1333" i="6"/>
  <c r="L1333" i="6"/>
  <c r="N1333" i="6"/>
  <c r="L1349" i="6"/>
  <c r="N1349" i="6"/>
  <c r="M1349" i="6"/>
  <c r="L1365" i="6"/>
  <c r="N1365" i="6"/>
  <c r="M1365" i="6"/>
  <c r="L1381" i="6"/>
  <c r="N1381" i="6"/>
  <c r="M1381" i="6"/>
  <c r="L1397" i="6"/>
  <c r="N1397" i="6"/>
  <c r="M1397" i="6"/>
  <c r="M1413" i="6"/>
  <c r="L1413" i="6"/>
  <c r="N1413" i="6"/>
  <c r="L1429" i="6"/>
  <c r="M1429" i="6"/>
  <c r="N1429" i="6"/>
  <c r="M1445" i="6"/>
  <c r="N1445" i="6"/>
  <c r="L1445" i="6"/>
  <c r="M1461" i="6"/>
  <c r="N1461" i="6"/>
  <c r="L1461" i="6"/>
  <c r="K1461" i="6"/>
  <c r="M1477" i="6"/>
  <c r="N1477" i="6"/>
  <c r="L1477" i="6"/>
  <c r="K1477" i="6"/>
  <c r="N1493" i="6"/>
  <c r="M1493" i="6"/>
  <c r="L1493" i="6"/>
  <c r="K1493" i="6"/>
  <c r="M1509" i="6"/>
  <c r="N1509" i="6"/>
  <c r="L1509" i="6"/>
  <c r="K1509" i="6"/>
  <c r="M1525" i="6"/>
  <c r="N1525" i="6"/>
  <c r="L1525" i="6"/>
  <c r="K1525" i="6"/>
  <c r="M1541" i="6"/>
  <c r="N1541" i="6"/>
  <c r="L1541" i="6"/>
  <c r="K1541" i="6"/>
  <c r="N1557" i="6"/>
  <c r="M1557" i="6"/>
  <c r="L1557" i="6"/>
  <c r="K1557" i="6"/>
  <c r="M1573" i="6"/>
  <c r="N1573" i="6"/>
  <c r="L1573" i="6"/>
  <c r="K1573" i="6"/>
  <c r="M1589" i="6"/>
  <c r="N1589" i="6"/>
  <c r="L1589" i="6"/>
  <c r="K1589" i="6"/>
  <c r="M1605" i="6"/>
  <c r="N1605" i="6"/>
  <c r="L1605" i="6"/>
  <c r="K1605" i="6"/>
  <c r="N1621" i="6"/>
  <c r="M1621" i="6"/>
  <c r="L1621" i="6"/>
  <c r="K1621" i="6"/>
  <c r="M1637" i="6"/>
  <c r="N1637" i="6"/>
  <c r="L1637" i="6"/>
  <c r="K1637" i="6"/>
  <c r="K1653" i="6"/>
  <c r="M1653" i="6"/>
  <c r="N1653" i="6"/>
  <c r="L1653" i="6"/>
  <c r="M1669" i="6"/>
  <c r="N1669" i="6"/>
  <c r="L1669" i="6"/>
  <c r="K1669" i="6"/>
  <c r="N1685" i="6"/>
  <c r="M1685" i="6"/>
  <c r="L1685" i="6"/>
  <c r="K1685" i="6"/>
  <c r="M1701" i="6"/>
  <c r="N1701" i="6"/>
  <c r="L1701" i="6"/>
  <c r="K1701" i="6"/>
  <c r="M1717" i="6"/>
  <c r="N1717" i="6"/>
  <c r="L1717" i="6"/>
  <c r="K1717" i="6"/>
  <c r="M1733" i="6"/>
  <c r="N1733" i="6"/>
  <c r="L1733" i="6"/>
  <c r="K1733" i="6"/>
  <c r="M1749" i="6"/>
  <c r="N1749" i="6"/>
  <c r="L1749" i="6"/>
  <c r="K1749" i="6"/>
  <c r="N1765" i="6"/>
  <c r="M1765" i="6"/>
  <c r="L1765" i="6"/>
  <c r="K1765" i="6"/>
  <c r="K1781" i="6"/>
  <c r="M1781" i="6"/>
  <c r="N1781" i="6"/>
  <c r="L1781" i="6"/>
  <c r="N1797" i="6"/>
  <c r="M1797" i="6"/>
  <c r="L1797" i="6"/>
  <c r="K1797" i="6"/>
  <c r="M1813" i="6"/>
  <c r="N1813" i="6"/>
  <c r="L1813" i="6"/>
  <c r="K1813" i="6"/>
  <c r="M1829" i="6"/>
  <c r="N1829" i="6"/>
  <c r="L1829" i="6"/>
  <c r="K1829" i="6"/>
  <c r="M1845" i="6"/>
  <c r="N1845" i="6"/>
  <c r="L1845" i="6"/>
  <c r="K1845" i="6"/>
  <c r="M1861" i="6"/>
  <c r="N1861" i="6"/>
  <c r="L1861" i="6"/>
  <c r="K1861" i="6"/>
  <c r="M1877" i="6"/>
  <c r="L1877" i="6"/>
  <c r="N1877" i="6"/>
  <c r="K1877" i="6"/>
  <c r="L1893" i="6"/>
  <c r="N1893" i="6"/>
  <c r="M1893" i="6"/>
  <c r="K1893" i="6"/>
  <c r="M1909" i="6"/>
  <c r="K1909" i="6"/>
  <c r="L1909" i="6"/>
  <c r="N1909" i="6"/>
  <c r="L1925" i="6"/>
  <c r="N1925" i="6"/>
  <c r="M1925" i="6"/>
  <c r="K1925" i="6"/>
  <c r="M1941" i="6"/>
  <c r="L1941" i="6"/>
  <c r="N1941" i="6"/>
  <c r="K1941" i="6"/>
  <c r="M1957" i="6"/>
  <c r="L1957" i="6"/>
  <c r="N1957" i="6"/>
  <c r="K1957" i="6"/>
  <c r="M1973" i="6"/>
  <c r="L1973" i="6"/>
  <c r="N1973" i="6"/>
  <c r="K1973" i="6"/>
  <c r="M1989" i="6"/>
  <c r="L1989" i="6"/>
  <c r="N1989" i="6"/>
  <c r="K1989" i="6"/>
  <c r="M2005" i="6"/>
  <c r="L2005" i="6"/>
  <c r="N2005" i="6"/>
  <c r="K2005" i="6"/>
  <c r="M2021" i="6"/>
  <c r="L2021" i="6"/>
  <c r="N2021" i="6"/>
  <c r="K2021" i="6"/>
  <c r="K2037" i="6"/>
  <c r="M2037" i="6"/>
  <c r="L2037" i="6"/>
  <c r="N2037" i="6"/>
  <c r="M2053" i="6"/>
  <c r="L2053" i="6"/>
  <c r="N2053" i="6"/>
  <c r="K2053" i="6"/>
  <c r="M2069" i="6"/>
  <c r="L2069" i="6"/>
  <c r="N2069" i="6"/>
  <c r="K2069" i="6"/>
  <c r="M2085" i="6"/>
  <c r="L2085" i="6"/>
  <c r="N2085" i="6"/>
  <c r="K2085" i="6"/>
  <c r="M2101" i="6"/>
  <c r="L2101" i="6"/>
  <c r="N2101" i="6"/>
  <c r="K2101" i="6"/>
  <c r="M2117" i="6"/>
  <c r="L2117" i="6"/>
  <c r="N2117" i="6"/>
  <c r="K2117" i="6"/>
  <c r="M2133" i="6"/>
  <c r="L2133" i="6"/>
  <c r="N2133" i="6"/>
  <c r="K2133" i="6"/>
  <c r="M2149" i="6"/>
  <c r="L2149" i="6"/>
  <c r="N2149" i="6"/>
  <c r="K2149" i="6"/>
  <c r="L2165" i="6"/>
  <c r="N2165" i="6"/>
  <c r="M2165" i="6"/>
  <c r="K2165" i="6"/>
  <c r="L2181" i="6"/>
  <c r="N2181" i="6"/>
  <c r="M2181" i="6"/>
  <c r="K2181" i="6"/>
  <c r="K2197" i="6"/>
  <c r="M2197" i="6"/>
  <c r="L2197" i="6"/>
  <c r="N2197" i="6"/>
  <c r="M2213" i="6"/>
  <c r="K2213" i="6"/>
  <c r="L2213" i="6"/>
  <c r="N2213" i="6"/>
  <c r="M2229" i="6"/>
  <c r="L2229" i="6"/>
  <c r="K2229" i="6"/>
  <c r="N2229" i="6"/>
  <c r="K2245" i="6"/>
  <c r="M2245" i="6"/>
  <c r="L2245" i="6"/>
  <c r="N2245" i="6"/>
  <c r="K2261" i="6"/>
  <c r="M2261" i="6"/>
  <c r="L2261" i="6"/>
  <c r="N2261" i="6"/>
  <c r="M2277" i="6"/>
  <c r="K2277" i="6"/>
  <c r="L2277" i="6"/>
  <c r="N2277" i="6"/>
  <c r="M2293" i="6"/>
  <c r="L2293" i="6"/>
  <c r="N2293" i="6"/>
  <c r="K2293" i="6"/>
  <c r="K2309" i="6"/>
  <c r="M2309" i="6"/>
  <c r="L2309" i="6"/>
  <c r="N2309" i="6"/>
  <c r="K2325" i="6"/>
  <c r="M2325" i="6"/>
  <c r="L2325" i="6"/>
  <c r="N2325" i="6"/>
  <c r="M2341" i="6"/>
  <c r="K2341" i="6"/>
  <c r="L2341" i="6"/>
  <c r="N2341" i="6"/>
  <c r="M2357" i="6"/>
  <c r="L2357" i="6"/>
  <c r="K2357" i="6"/>
  <c r="N2357" i="6"/>
  <c r="K2373" i="6"/>
  <c r="M2373" i="6"/>
  <c r="L2373" i="6"/>
  <c r="N2373" i="6"/>
  <c r="K2389" i="6"/>
  <c r="M2389" i="6"/>
  <c r="L2389" i="6"/>
  <c r="N2389" i="6"/>
  <c r="M2405" i="6"/>
  <c r="K2405" i="6"/>
  <c r="L2405" i="6"/>
  <c r="N2405" i="6"/>
  <c r="M2421" i="6"/>
  <c r="L2421" i="6"/>
  <c r="N2421" i="6"/>
  <c r="K2421" i="6"/>
  <c r="K2437" i="6"/>
  <c r="M2437" i="6"/>
  <c r="L2437" i="6"/>
  <c r="N2437" i="6"/>
  <c r="K2453" i="6"/>
  <c r="M2453" i="6"/>
  <c r="L2453" i="6"/>
  <c r="N2453" i="6"/>
  <c r="M2469" i="6"/>
  <c r="K2469" i="6"/>
  <c r="L2469" i="6"/>
  <c r="N2469" i="6"/>
  <c r="M2485" i="6"/>
  <c r="L2485" i="6"/>
  <c r="K2485" i="6"/>
  <c r="N2485" i="6"/>
  <c r="K2501" i="6"/>
  <c r="M2501" i="6"/>
  <c r="L2501" i="6"/>
  <c r="N2501" i="6"/>
  <c r="K2517" i="6"/>
  <c r="M2517" i="6"/>
  <c r="L2517" i="6"/>
  <c r="N2517" i="6"/>
  <c r="M2533" i="6"/>
  <c r="K2533" i="6"/>
  <c r="L2533" i="6"/>
  <c r="N2533" i="6"/>
  <c r="M2549" i="6"/>
  <c r="L2549" i="6"/>
  <c r="N2549" i="6"/>
  <c r="K2549" i="6"/>
  <c r="K2565" i="6"/>
  <c r="M2565" i="6"/>
  <c r="L2565" i="6"/>
  <c r="N2565" i="6"/>
  <c r="K2581" i="6"/>
  <c r="M2581" i="6"/>
  <c r="L2581" i="6"/>
  <c r="N2581" i="6"/>
  <c r="M2597" i="6"/>
  <c r="K2597" i="6"/>
  <c r="L2597" i="6"/>
  <c r="N2597" i="6"/>
  <c r="M2613" i="6"/>
  <c r="L2613" i="6"/>
  <c r="K2613" i="6"/>
  <c r="N2613" i="6"/>
  <c r="K2629" i="6"/>
  <c r="M2629" i="6"/>
  <c r="L2629" i="6"/>
  <c r="N2629" i="6"/>
  <c r="K2645" i="6"/>
  <c r="M2645" i="6"/>
  <c r="L2645" i="6"/>
  <c r="N2645" i="6"/>
  <c r="M2661" i="6"/>
  <c r="K2661" i="6"/>
  <c r="L2661" i="6"/>
  <c r="N2661" i="6"/>
  <c r="M2677" i="6"/>
  <c r="L2677" i="6"/>
  <c r="N2677" i="6"/>
  <c r="K2677" i="6"/>
  <c r="K2693" i="6"/>
  <c r="M2693" i="6"/>
  <c r="L2693" i="6"/>
  <c r="N2693" i="6"/>
  <c r="K2709" i="6"/>
  <c r="M2709" i="6"/>
  <c r="L2709" i="6"/>
  <c r="N2709" i="6"/>
  <c r="M2725" i="6"/>
  <c r="K2725" i="6"/>
  <c r="L2725" i="6"/>
  <c r="N2725" i="6"/>
  <c r="L2741" i="6"/>
  <c r="K2741" i="6"/>
  <c r="N2741" i="6"/>
  <c r="M2741" i="6"/>
  <c r="M2757" i="6"/>
  <c r="K2757" i="6"/>
  <c r="L2757" i="6"/>
  <c r="N2757" i="6"/>
  <c r="M2773" i="6"/>
  <c r="K2773" i="6"/>
  <c r="L2773" i="6"/>
  <c r="N2773" i="6"/>
  <c r="M2789" i="6"/>
  <c r="K2789" i="6"/>
  <c r="L2789" i="6"/>
  <c r="N2789" i="6"/>
  <c r="M2805" i="6"/>
  <c r="K2805" i="6"/>
  <c r="L2805" i="6"/>
  <c r="N2805" i="6"/>
  <c r="M2821" i="6"/>
  <c r="K2821" i="6"/>
  <c r="L2821" i="6"/>
  <c r="N2821" i="6"/>
  <c r="M2837" i="6"/>
  <c r="K2837" i="6"/>
  <c r="L2837" i="6"/>
  <c r="N2837" i="6"/>
  <c r="M2853" i="6"/>
  <c r="K2853" i="6"/>
  <c r="L2853" i="6"/>
  <c r="N2853" i="6"/>
  <c r="M2869" i="6"/>
  <c r="K2869" i="6"/>
  <c r="L2869" i="6"/>
  <c r="N2869" i="6"/>
  <c r="M2885" i="6"/>
  <c r="L2885" i="6"/>
  <c r="K2885" i="6"/>
  <c r="N2885" i="6"/>
  <c r="M2901" i="6"/>
  <c r="K2901" i="6"/>
  <c r="L2901" i="6"/>
  <c r="N2901" i="6"/>
  <c r="M2917" i="6"/>
  <c r="L2917" i="6"/>
  <c r="N2917" i="6"/>
  <c r="K2917" i="6"/>
  <c r="M2933" i="6"/>
  <c r="K2933" i="6"/>
  <c r="L2933" i="6"/>
  <c r="N2933" i="6"/>
  <c r="M2949" i="6"/>
  <c r="L2949" i="6"/>
  <c r="K2949" i="6"/>
  <c r="N2949" i="6"/>
  <c r="M2965" i="6"/>
  <c r="K2965" i="6"/>
  <c r="L2965" i="6"/>
  <c r="N2965" i="6"/>
  <c r="M2981" i="6"/>
  <c r="L2981" i="6"/>
  <c r="N2981" i="6"/>
  <c r="K2981" i="6"/>
  <c r="M2997" i="6"/>
  <c r="K2997" i="6"/>
  <c r="L2997" i="6"/>
  <c r="N2997" i="6"/>
  <c r="M410" i="6"/>
  <c r="N410" i="6"/>
  <c r="L410" i="6"/>
  <c r="M426" i="6"/>
  <c r="L426" i="6"/>
  <c r="N426" i="6"/>
  <c r="M442" i="6"/>
  <c r="L442" i="6"/>
  <c r="N442" i="6"/>
  <c r="M458" i="6"/>
  <c r="N458" i="6"/>
  <c r="L458" i="6"/>
  <c r="N474" i="6"/>
  <c r="M474" i="6"/>
  <c r="L474" i="6"/>
  <c r="L490" i="6"/>
  <c r="M490" i="6"/>
  <c r="N490" i="6"/>
  <c r="L506" i="6"/>
  <c r="M506" i="6"/>
  <c r="N506" i="6"/>
  <c r="M522" i="6"/>
  <c r="L522" i="6"/>
  <c r="N522" i="6"/>
  <c r="N538" i="6"/>
  <c r="M538" i="6"/>
  <c r="L538" i="6"/>
  <c r="M554" i="6"/>
  <c r="L554" i="6"/>
  <c r="N554" i="6"/>
  <c r="M570" i="6"/>
  <c r="L570" i="6"/>
  <c r="N570" i="6"/>
  <c r="M586" i="6"/>
  <c r="N586" i="6"/>
  <c r="L586" i="6"/>
  <c r="M602" i="6"/>
  <c r="N602" i="6"/>
  <c r="L602" i="6"/>
  <c r="M618" i="6"/>
  <c r="L618" i="6"/>
  <c r="N618" i="6"/>
  <c r="M634" i="6"/>
  <c r="N634" i="6"/>
  <c r="L634" i="6"/>
  <c r="M650" i="6"/>
  <c r="L650" i="6"/>
  <c r="N650" i="6"/>
  <c r="M666" i="6"/>
  <c r="N666" i="6"/>
  <c r="L666" i="6"/>
  <c r="M682" i="6"/>
  <c r="L682" i="6"/>
  <c r="N682" i="6"/>
  <c r="M698" i="6"/>
  <c r="N698" i="6"/>
  <c r="L698" i="6"/>
  <c r="M714" i="6"/>
  <c r="L714" i="6"/>
  <c r="N714" i="6"/>
  <c r="M730" i="6"/>
  <c r="N730" i="6"/>
  <c r="L730" i="6"/>
  <c r="M746" i="6"/>
  <c r="L746" i="6"/>
  <c r="N746" i="6"/>
  <c r="M762" i="6"/>
  <c r="N762" i="6"/>
  <c r="L762" i="6"/>
  <c r="M778" i="6"/>
  <c r="L778" i="6"/>
  <c r="N778" i="6"/>
  <c r="M794" i="6"/>
  <c r="N794" i="6"/>
  <c r="L794" i="6"/>
  <c r="M810" i="6"/>
  <c r="L810" i="6"/>
  <c r="N810" i="6"/>
  <c r="K810" i="6"/>
  <c r="M826" i="6"/>
  <c r="N826" i="6"/>
  <c r="L826" i="6"/>
  <c r="K826" i="6"/>
  <c r="M842" i="6"/>
  <c r="L842" i="6"/>
  <c r="N842" i="6"/>
  <c r="K842" i="6"/>
  <c r="M858" i="6"/>
  <c r="N858" i="6"/>
  <c r="L858" i="6"/>
  <c r="K858" i="6"/>
  <c r="M874" i="6"/>
  <c r="N874" i="6"/>
  <c r="L874" i="6"/>
  <c r="K874" i="6"/>
  <c r="M890" i="6"/>
  <c r="N890" i="6"/>
  <c r="L890" i="6"/>
  <c r="K890" i="6"/>
  <c r="M906" i="6"/>
  <c r="N906" i="6"/>
  <c r="L906" i="6"/>
  <c r="K906" i="6"/>
  <c r="M922" i="6"/>
  <c r="N922" i="6"/>
  <c r="L922" i="6"/>
  <c r="K922" i="6"/>
  <c r="M938" i="6"/>
  <c r="N938" i="6"/>
  <c r="L938" i="6"/>
  <c r="K938" i="6"/>
  <c r="M954" i="6"/>
  <c r="N954" i="6"/>
  <c r="L954" i="6"/>
  <c r="K954" i="6"/>
  <c r="M970" i="6"/>
  <c r="N970" i="6"/>
  <c r="L970" i="6"/>
  <c r="K970" i="6"/>
  <c r="M986" i="6"/>
  <c r="N986" i="6"/>
  <c r="L986" i="6"/>
  <c r="K986" i="6"/>
  <c r="M1002" i="6"/>
  <c r="N1002" i="6"/>
  <c r="L1002" i="6"/>
  <c r="K1002" i="6"/>
  <c r="M1018" i="6"/>
  <c r="N1018" i="6"/>
  <c r="L1018" i="6"/>
  <c r="K1018" i="6"/>
  <c r="M1034" i="6"/>
  <c r="N1034" i="6"/>
  <c r="L1034" i="6"/>
  <c r="K1034" i="6"/>
  <c r="M1050" i="6"/>
  <c r="N1050" i="6"/>
  <c r="L1050" i="6"/>
  <c r="K1050" i="6"/>
  <c r="M1066" i="6"/>
  <c r="N1066" i="6"/>
  <c r="L1066" i="6"/>
  <c r="K1066" i="6"/>
  <c r="M1082" i="6"/>
  <c r="N1082" i="6"/>
  <c r="L1082" i="6"/>
  <c r="K1082" i="6"/>
  <c r="M1098" i="6"/>
  <c r="N1098" i="6"/>
  <c r="L1098" i="6"/>
  <c r="K1098" i="6"/>
  <c r="M1114" i="6"/>
  <c r="N1114" i="6"/>
  <c r="L1114" i="6"/>
  <c r="K1114" i="6"/>
  <c r="M1130" i="6"/>
  <c r="N1130" i="6"/>
  <c r="L1130" i="6"/>
  <c r="K1130" i="6"/>
  <c r="M1146" i="6"/>
  <c r="N1146" i="6"/>
  <c r="L1146" i="6"/>
  <c r="K1146" i="6"/>
  <c r="M1162" i="6"/>
  <c r="N1162" i="6"/>
  <c r="L1162" i="6"/>
  <c r="K1162" i="6"/>
  <c r="M1178" i="6"/>
  <c r="N1178" i="6"/>
  <c r="L1178" i="6"/>
  <c r="K1178" i="6"/>
  <c r="M1194" i="6"/>
  <c r="N1194" i="6"/>
  <c r="L1194" i="6"/>
  <c r="K1194" i="6"/>
  <c r="M1210" i="6"/>
  <c r="N1210" i="6"/>
  <c r="L1210" i="6"/>
  <c r="K1210" i="6"/>
  <c r="M1226" i="6"/>
  <c r="N1226" i="6"/>
  <c r="L1226" i="6"/>
  <c r="K1226" i="6"/>
  <c r="M1242" i="6"/>
  <c r="N1242" i="6"/>
  <c r="L1242" i="6"/>
  <c r="K1242" i="6"/>
  <c r="M1258" i="6"/>
  <c r="N1258" i="6"/>
  <c r="L1258" i="6"/>
  <c r="K1258" i="6"/>
  <c r="M1274" i="6"/>
  <c r="N1274" i="6"/>
  <c r="L1274" i="6"/>
  <c r="K1274" i="6"/>
  <c r="M1290" i="6"/>
  <c r="N1290" i="6"/>
  <c r="L1290" i="6"/>
  <c r="K1290" i="6"/>
  <c r="N1306" i="6"/>
  <c r="L1306" i="6"/>
  <c r="M1306" i="6"/>
  <c r="K1306" i="6"/>
  <c r="N1322" i="6"/>
  <c r="M1322" i="6"/>
  <c r="L1322" i="6"/>
  <c r="K1322" i="6"/>
  <c r="N1338" i="6"/>
  <c r="L1338" i="6"/>
  <c r="M1338" i="6"/>
  <c r="K1338" i="6"/>
  <c r="N1354" i="6"/>
  <c r="M1354" i="6"/>
  <c r="L1354" i="6"/>
  <c r="K1354" i="6"/>
  <c r="M1370" i="6"/>
  <c r="N1370" i="6"/>
  <c r="L1370" i="6"/>
  <c r="K1370" i="6"/>
  <c r="N1386" i="6"/>
  <c r="M1386" i="6"/>
  <c r="L1386" i="6"/>
  <c r="K1386" i="6"/>
  <c r="N1402" i="6"/>
  <c r="M1402" i="6"/>
  <c r="L1402" i="6"/>
  <c r="K1402" i="6"/>
  <c r="M1418" i="6"/>
  <c r="N1418" i="6"/>
  <c r="L1418" i="6"/>
  <c r="K1418" i="6"/>
  <c r="K417" i="6"/>
  <c r="K433" i="6"/>
  <c r="K449" i="6"/>
  <c r="K465" i="6"/>
  <c r="K485" i="6"/>
  <c r="K501" i="6"/>
  <c r="K517" i="6"/>
  <c r="K533" i="6"/>
  <c r="K549" i="6"/>
  <c r="K1101" i="6"/>
  <c r="K1117" i="6"/>
  <c r="K1133" i="6"/>
  <c r="K1149" i="6"/>
  <c r="K1165" i="6"/>
  <c r="K1181" i="6"/>
  <c r="K1197" i="6"/>
  <c r="K1213" i="6"/>
  <c r="K1237" i="6"/>
  <c r="K1253" i="6"/>
  <c r="K1269" i="6"/>
  <c r="K1285" i="6"/>
  <c r="K1301" i="6"/>
  <c r="K1389" i="6"/>
  <c r="K1405" i="6"/>
  <c r="K1421" i="6"/>
  <c r="K1437" i="6"/>
  <c r="M1246" i="6"/>
  <c r="L1246" i="6"/>
  <c r="N1246" i="6"/>
  <c r="K1246" i="6"/>
  <c r="M1262" i="6"/>
  <c r="L1262" i="6"/>
  <c r="N1262" i="6"/>
  <c r="K1262" i="6"/>
  <c r="M1278" i="6"/>
  <c r="L1278" i="6"/>
  <c r="N1278" i="6"/>
  <c r="K1278" i="6"/>
  <c r="M1294" i="6"/>
  <c r="L1294" i="6"/>
  <c r="N1294" i="6"/>
  <c r="K1294" i="6"/>
  <c r="M1310" i="6"/>
  <c r="L1310" i="6"/>
  <c r="N1310" i="6"/>
  <c r="K1310" i="6"/>
  <c r="M1326" i="6"/>
  <c r="L1326" i="6"/>
  <c r="N1326" i="6"/>
  <c r="K1326" i="6"/>
  <c r="M1342" i="6"/>
  <c r="L1342" i="6"/>
  <c r="N1342" i="6"/>
  <c r="K1342" i="6"/>
  <c r="L1358" i="6"/>
  <c r="M1358" i="6"/>
  <c r="N1358" i="6"/>
  <c r="K1358" i="6"/>
  <c r="M1374" i="6"/>
  <c r="L1374" i="6"/>
  <c r="N1374" i="6"/>
  <c r="K1374" i="6"/>
  <c r="M1390" i="6"/>
  <c r="L1390" i="6"/>
  <c r="N1390" i="6"/>
  <c r="K1390" i="6"/>
  <c r="M1406" i="6"/>
  <c r="L1406" i="6"/>
  <c r="N1406" i="6"/>
  <c r="K1406" i="6"/>
  <c r="K405" i="6"/>
  <c r="K421" i="6"/>
  <c r="K437" i="6"/>
  <c r="K453" i="6"/>
  <c r="K557" i="6"/>
  <c r="K573" i="6"/>
  <c r="K589" i="6"/>
  <c r="K605" i="6"/>
  <c r="K621" i="6"/>
  <c r="K637" i="6"/>
  <c r="K653" i="6"/>
  <c r="K669" i="6"/>
  <c r="K685" i="6"/>
  <c r="K701" i="6"/>
  <c r="K717" i="6"/>
  <c r="K733" i="6"/>
  <c r="K749" i="6"/>
  <c r="K765" i="6"/>
  <c r="K781" i="6"/>
  <c r="K797" i="6"/>
  <c r="K813" i="6"/>
  <c r="K829" i="6"/>
  <c r="K845" i="6"/>
  <c r="K861" i="6"/>
  <c r="K877" i="6"/>
  <c r="K893" i="6"/>
  <c r="K909" i="6"/>
  <c r="K925" i="6"/>
  <c r="K941" i="6"/>
  <c r="K957" i="6"/>
  <c r="K973" i="6"/>
  <c r="K989" i="6"/>
  <c r="K1005" i="6"/>
  <c r="K1021" i="6"/>
  <c r="K1037" i="6"/>
  <c r="K1053" i="6"/>
  <c r="K1069" i="6"/>
  <c r="K1085" i="6"/>
  <c r="K1105" i="6"/>
  <c r="K1121" i="6"/>
  <c r="K1137" i="6"/>
  <c r="K1153" i="6"/>
  <c r="K1169" i="6"/>
  <c r="K1185" i="6"/>
  <c r="K1201" i="6"/>
  <c r="K1221" i="6"/>
  <c r="K1309" i="6"/>
  <c r="K1325" i="6"/>
  <c r="K1341" i="6"/>
  <c r="K1357" i="6"/>
  <c r="K1377" i="6"/>
  <c r="K1393" i="6"/>
  <c r="K1409" i="6"/>
  <c r="K1425" i="6"/>
  <c r="K1441" i="6"/>
  <c r="M1422" i="6"/>
  <c r="L1422" i="6"/>
  <c r="N1422" i="6"/>
  <c r="M1438" i="6"/>
  <c r="L1438" i="6"/>
  <c r="N1438" i="6"/>
  <c r="M1454" i="6"/>
  <c r="L1454" i="6"/>
  <c r="N1454" i="6"/>
  <c r="M1470" i="6"/>
  <c r="L1470" i="6"/>
  <c r="N1470" i="6"/>
  <c r="M1426" i="6"/>
  <c r="N1426" i="6"/>
  <c r="L1426" i="6"/>
  <c r="M1442" i="6"/>
  <c r="L1442" i="6"/>
  <c r="N1442" i="6"/>
  <c r="M1458" i="6"/>
  <c r="L1458" i="6"/>
  <c r="N1458" i="6"/>
  <c r="K1422" i="6"/>
  <c r="K1438" i="6"/>
  <c r="K1454" i="6"/>
  <c r="K1470" i="6"/>
  <c r="M1430" i="6"/>
  <c r="L1430" i="6"/>
  <c r="N1430" i="6"/>
  <c r="M1446" i="6"/>
  <c r="L1446" i="6"/>
  <c r="N1446" i="6"/>
  <c r="M1462" i="6"/>
  <c r="L1462" i="6"/>
  <c r="N1462" i="6"/>
  <c r="K1426" i="6"/>
  <c r="K1442" i="6"/>
  <c r="K1458" i="6"/>
  <c r="M1434" i="6"/>
  <c r="L1434" i="6"/>
  <c r="N1434" i="6"/>
  <c r="M1450" i="6"/>
  <c r="L1450" i="6"/>
  <c r="N1450" i="6"/>
  <c r="M1466" i="6"/>
  <c r="L1466" i="6"/>
  <c r="N1466" i="6"/>
  <c r="K1430" i="6"/>
  <c r="K1446" i="6"/>
  <c r="K1462" i="6"/>
  <c r="L290" i="6"/>
  <c r="N290" i="6" s="1"/>
  <c r="L306" i="6"/>
  <c r="N306" i="6" s="1"/>
  <c r="L322" i="6"/>
  <c r="N322" i="6" s="1"/>
  <c r="L342" i="6"/>
  <c r="N342" i="6" s="1"/>
  <c r="L358" i="6"/>
  <c r="N358" i="6" s="1"/>
  <c r="L374" i="6"/>
  <c r="N374" i="6" s="1"/>
  <c r="L390" i="6"/>
  <c r="N390" i="6" s="1"/>
  <c r="L282" i="6"/>
  <c r="N282" i="6" s="1"/>
  <c r="L298" i="6"/>
  <c r="N298" i="6" s="1"/>
  <c r="L314" i="6"/>
  <c r="N314" i="6" s="1"/>
  <c r="L330" i="6"/>
  <c r="N330" i="6" s="1"/>
  <c r="L350" i="6"/>
  <c r="N350" i="6" s="1"/>
  <c r="L366" i="6"/>
  <c r="N366" i="6" s="1"/>
  <c r="L382" i="6"/>
  <c r="N382" i="6" s="1"/>
  <c r="L398" i="6"/>
  <c r="N398" i="6" s="1"/>
  <c r="K12" i="6"/>
  <c r="M12" i="6" s="1"/>
  <c r="N82" i="6"/>
  <c r="L204" i="6"/>
  <c r="N204" i="6" s="1"/>
  <c r="K108" i="6"/>
  <c r="M108" i="6" s="1"/>
  <c r="K76" i="6"/>
  <c r="M76" i="6" s="1"/>
  <c r="N193" i="6"/>
  <c r="K44" i="6"/>
  <c r="M44" i="6" s="1"/>
  <c r="K92" i="6"/>
  <c r="M92" i="6" s="1"/>
  <c r="K156" i="6"/>
  <c r="M156" i="6" s="1"/>
  <c r="K172" i="6"/>
  <c r="M172" i="6" s="1"/>
  <c r="K60" i="6"/>
  <c r="M60" i="6" s="1"/>
  <c r="K140" i="6"/>
  <c r="M140" i="6" s="1"/>
  <c r="K220" i="6"/>
  <c r="M220" i="6" s="1"/>
  <c r="K276" i="6"/>
  <c r="M276" i="6" s="1"/>
  <c r="L276" i="6"/>
  <c r="N276" i="6" s="1"/>
  <c r="K292" i="6"/>
  <c r="M292" i="6" s="1"/>
  <c r="L292" i="6"/>
  <c r="N292" i="6" s="1"/>
  <c r="K308" i="6"/>
  <c r="M308" i="6" s="1"/>
  <c r="L308" i="6"/>
  <c r="N308" i="6" s="1"/>
  <c r="K324" i="6"/>
  <c r="M324" i="6" s="1"/>
  <c r="L324" i="6"/>
  <c r="N324" i="6" s="1"/>
  <c r="K340" i="6"/>
  <c r="M340" i="6" s="1"/>
  <c r="L340" i="6"/>
  <c r="N340" i="6" s="1"/>
  <c r="K356" i="6"/>
  <c r="M356" i="6" s="1"/>
  <c r="L356" i="6"/>
  <c r="N356" i="6" s="1"/>
  <c r="K372" i="6"/>
  <c r="M372" i="6" s="1"/>
  <c r="L372" i="6"/>
  <c r="N372" i="6" s="1"/>
  <c r="K388" i="6"/>
  <c r="M388" i="6" s="1"/>
  <c r="L388" i="6"/>
  <c r="N388" i="6" s="1"/>
  <c r="L261" i="6"/>
  <c r="N261" i="6" s="1"/>
  <c r="L277" i="6"/>
  <c r="N277" i="6" s="1"/>
  <c r="L293" i="6"/>
  <c r="N293" i="6" s="1"/>
  <c r="L309" i="6"/>
  <c r="N309" i="6" s="1"/>
  <c r="L325" i="6"/>
  <c r="N325" i="6" s="1"/>
  <c r="L341" i="6"/>
  <c r="N341" i="6" s="1"/>
  <c r="L357" i="6"/>
  <c r="N357" i="6" s="1"/>
  <c r="L373" i="6"/>
  <c r="N373" i="6" s="1"/>
  <c r="L389" i="6"/>
  <c r="N389" i="6" s="1"/>
  <c r="K260" i="6"/>
  <c r="M260" i="6" s="1"/>
  <c r="K280" i="6"/>
  <c r="M280" i="6" s="1"/>
  <c r="L280" i="6"/>
  <c r="N280" i="6" s="1"/>
  <c r="L296" i="6"/>
  <c r="N296" i="6" s="1"/>
  <c r="K296" i="6"/>
  <c r="M296" i="6" s="1"/>
  <c r="K312" i="6"/>
  <c r="M312" i="6" s="1"/>
  <c r="L312" i="6"/>
  <c r="N312" i="6" s="1"/>
  <c r="L328" i="6"/>
  <c r="N328" i="6" s="1"/>
  <c r="K328" i="6"/>
  <c r="M328" i="6" s="1"/>
  <c r="K344" i="6"/>
  <c r="M344" i="6" s="1"/>
  <c r="L344" i="6"/>
  <c r="N344" i="6" s="1"/>
  <c r="L360" i="6"/>
  <c r="N360" i="6" s="1"/>
  <c r="K360" i="6"/>
  <c r="M360" i="6" s="1"/>
  <c r="K376" i="6"/>
  <c r="M376" i="6" s="1"/>
  <c r="L376" i="6"/>
  <c r="N376" i="6" s="1"/>
  <c r="K392" i="6"/>
  <c r="M392" i="6" s="1"/>
  <c r="L392" i="6"/>
  <c r="N392" i="6" s="1"/>
  <c r="M265" i="6"/>
  <c r="L265" i="6"/>
  <c r="N265" i="6" s="1"/>
  <c r="M281" i="6"/>
  <c r="L281" i="6"/>
  <c r="N281" i="6" s="1"/>
  <c r="M297" i="6"/>
  <c r="L297" i="6"/>
  <c r="N297" i="6" s="1"/>
  <c r="M313" i="6"/>
  <c r="L313" i="6"/>
  <c r="N313" i="6" s="1"/>
  <c r="M329" i="6"/>
  <c r="L329" i="6"/>
  <c r="N329" i="6" s="1"/>
  <c r="M345" i="6"/>
  <c r="L345" i="6"/>
  <c r="N345" i="6" s="1"/>
  <c r="M361" i="6"/>
  <c r="L361" i="6"/>
  <c r="N361" i="6" s="1"/>
  <c r="M377" i="6"/>
  <c r="L377" i="6"/>
  <c r="N377" i="6" s="1"/>
  <c r="M393" i="6"/>
  <c r="L393" i="6"/>
  <c r="N393" i="6" s="1"/>
  <c r="K264" i="6"/>
  <c r="M264" i="6" s="1"/>
  <c r="K269" i="6"/>
  <c r="M269" i="6" s="1"/>
  <c r="L188" i="6"/>
  <c r="N188" i="6" s="1"/>
  <c r="K188" i="6"/>
  <c r="M188" i="6" s="1"/>
  <c r="K236" i="6"/>
  <c r="M236" i="6" s="1"/>
  <c r="L236" i="6"/>
  <c r="N236" i="6" s="1"/>
  <c r="L268" i="6"/>
  <c r="N268" i="6" s="1"/>
  <c r="K268" i="6"/>
  <c r="M268" i="6" s="1"/>
  <c r="K284" i="6"/>
  <c r="M284" i="6" s="1"/>
  <c r="L284" i="6"/>
  <c r="N284" i="6" s="1"/>
  <c r="K300" i="6"/>
  <c r="M300" i="6" s="1"/>
  <c r="L300" i="6"/>
  <c r="N300" i="6" s="1"/>
  <c r="K316" i="6"/>
  <c r="M316" i="6" s="1"/>
  <c r="L316" i="6"/>
  <c r="N316" i="6" s="1"/>
  <c r="K332" i="6"/>
  <c r="M332" i="6" s="1"/>
  <c r="L332" i="6"/>
  <c r="N332" i="6" s="1"/>
  <c r="K348" i="6"/>
  <c r="M348" i="6" s="1"/>
  <c r="L348" i="6"/>
  <c r="N348" i="6" s="1"/>
  <c r="K364" i="6"/>
  <c r="M364" i="6" s="1"/>
  <c r="L364" i="6"/>
  <c r="N364" i="6" s="1"/>
  <c r="K380" i="6"/>
  <c r="M380" i="6" s="1"/>
  <c r="L380" i="6"/>
  <c r="N380" i="6" s="1"/>
  <c r="K396" i="6"/>
  <c r="M396" i="6" s="1"/>
  <c r="L396" i="6"/>
  <c r="N396" i="6" s="1"/>
  <c r="M285" i="6"/>
  <c r="L285" i="6"/>
  <c r="N285" i="6" s="1"/>
  <c r="M301" i="6"/>
  <c r="L301" i="6"/>
  <c r="N301" i="6" s="1"/>
  <c r="M317" i="6"/>
  <c r="L317" i="6"/>
  <c r="N317" i="6" s="1"/>
  <c r="M333" i="6"/>
  <c r="L333" i="6"/>
  <c r="N333" i="6" s="1"/>
  <c r="M349" i="6"/>
  <c r="L349" i="6"/>
  <c r="N349" i="6" s="1"/>
  <c r="M365" i="6"/>
  <c r="L365" i="6"/>
  <c r="N365" i="6" s="1"/>
  <c r="M381" i="6"/>
  <c r="L381" i="6"/>
  <c r="N381" i="6" s="1"/>
  <c r="L397" i="6"/>
  <c r="N397" i="6" s="1"/>
  <c r="M397" i="6"/>
  <c r="K272" i="6"/>
  <c r="M272" i="6" s="1"/>
  <c r="K273" i="6"/>
  <c r="M273" i="6" s="1"/>
  <c r="K128" i="6"/>
  <c r="M128" i="6" s="1"/>
  <c r="L128" i="6"/>
  <c r="N128" i="6" s="1"/>
  <c r="K288" i="6"/>
  <c r="M288" i="6" s="1"/>
  <c r="L288" i="6"/>
  <c r="N288" i="6" s="1"/>
  <c r="K304" i="6"/>
  <c r="M304" i="6" s="1"/>
  <c r="L304" i="6"/>
  <c r="N304" i="6" s="1"/>
  <c r="K320" i="6"/>
  <c r="M320" i="6" s="1"/>
  <c r="L320" i="6"/>
  <c r="N320" i="6" s="1"/>
  <c r="K336" i="6"/>
  <c r="M336" i="6" s="1"/>
  <c r="L336" i="6"/>
  <c r="N336" i="6" s="1"/>
  <c r="K352" i="6"/>
  <c r="M352" i="6" s="1"/>
  <c r="L352" i="6"/>
  <c r="N352" i="6" s="1"/>
  <c r="K368" i="6"/>
  <c r="M368" i="6" s="1"/>
  <c r="L368" i="6"/>
  <c r="N368" i="6" s="1"/>
  <c r="K384" i="6"/>
  <c r="M384" i="6" s="1"/>
  <c r="L384" i="6"/>
  <c r="N384" i="6" s="1"/>
  <c r="K400" i="6"/>
  <c r="M400" i="6" s="1"/>
  <c r="L400" i="6"/>
  <c r="N400" i="6" s="1"/>
  <c r="L289" i="6"/>
  <c r="N289" i="6" s="1"/>
  <c r="M289" i="6"/>
  <c r="L305" i="6"/>
  <c r="N305" i="6" s="1"/>
  <c r="M305" i="6"/>
  <c r="L321" i="6"/>
  <c r="N321" i="6" s="1"/>
  <c r="M321" i="6"/>
  <c r="L337" i="6"/>
  <c r="N337" i="6" s="1"/>
  <c r="M337" i="6"/>
  <c r="L353" i="6"/>
  <c r="N353" i="6" s="1"/>
  <c r="M353" i="6"/>
  <c r="L369" i="6"/>
  <c r="N369" i="6" s="1"/>
  <c r="M369" i="6"/>
  <c r="L385" i="6"/>
  <c r="N385" i="6" s="1"/>
  <c r="M385" i="6"/>
  <c r="L401" i="6"/>
  <c r="N401" i="6" s="1"/>
  <c r="M401" i="6"/>
  <c r="K261" i="6"/>
  <c r="M261" i="6" s="1"/>
  <c r="K277" i="6"/>
  <c r="M277" i="6" s="1"/>
  <c r="K293" i="6"/>
  <c r="M293" i="6" s="1"/>
  <c r="K309" i="6"/>
  <c r="M309" i="6" s="1"/>
  <c r="K325" i="6"/>
  <c r="M325" i="6" s="1"/>
  <c r="K341" i="6"/>
  <c r="M341" i="6" s="1"/>
  <c r="K357" i="6"/>
  <c r="M357" i="6" s="1"/>
  <c r="K373" i="6"/>
  <c r="M373" i="6" s="1"/>
  <c r="K389" i="6"/>
  <c r="M389" i="6" s="1"/>
  <c r="K45" i="6"/>
  <c r="M45" i="6" s="1"/>
  <c r="M3011" i="6"/>
  <c r="K3011" i="6"/>
  <c r="L3011" i="6"/>
  <c r="N3011" i="6"/>
  <c r="K3025" i="6"/>
  <c r="M3025" i="6"/>
  <c r="L3025" i="6"/>
  <c r="N3025" i="6"/>
  <c r="K3037" i="6"/>
  <c r="M3037" i="6"/>
  <c r="L3037" i="6"/>
  <c r="N3037" i="6"/>
  <c r="L3058" i="6"/>
  <c r="N3058" i="6"/>
  <c r="K3058" i="6"/>
  <c r="M3058" i="6"/>
  <c r="N3086" i="6"/>
  <c r="K3086" i="6"/>
  <c r="M3086" i="6"/>
  <c r="L3086" i="6"/>
  <c r="M3090" i="6"/>
  <c r="L3090" i="6"/>
  <c r="N3090" i="6"/>
  <c r="K3090" i="6"/>
  <c r="L3016" i="6"/>
  <c r="K3016" i="6"/>
  <c r="N3016" i="6"/>
  <c r="M3016" i="6"/>
  <c r="N3094" i="6"/>
  <c r="K3094" i="6"/>
  <c r="M3094" i="6"/>
  <c r="L3094" i="6"/>
  <c r="L3103" i="6"/>
  <c r="M3103" i="6"/>
  <c r="N3103" i="6"/>
  <c r="K3103" i="6"/>
  <c r="L3117" i="6"/>
  <c r="N3117" i="6"/>
  <c r="K3117" i="6"/>
  <c r="M3117" i="6"/>
  <c r="N3133" i="6"/>
  <c r="K3133" i="6"/>
  <c r="M3133" i="6"/>
  <c r="L3133" i="6"/>
  <c r="K3150" i="6"/>
  <c r="M3150" i="6"/>
  <c r="N3150" i="6"/>
  <c r="L3150" i="6"/>
  <c r="L3168" i="6"/>
  <c r="N3168" i="6"/>
  <c r="M3168" i="6"/>
  <c r="L3190" i="6"/>
  <c r="M3190" i="6"/>
  <c r="N3190" i="6"/>
  <c r="L3224" i="6"/>
  <c r="M3224" i="6"/>
  <c r="N3224" i="6"/>
  <c r="M3231" i="6"/>
  <c r="L3231" i="6"/>
  <c r="N3231" i="6"/>
  <c r="M3242" i="6"/>
  <c r="L3242" i="6"/>
  <c r="N3242" i="6"/>
  <c r="M3263" i="6"/>
  <c r="L3263" i="6"/>
  <c r="N3263" i="6"/>
  <c r="L3287" i="6"/>
  <c r="N3287" i="6"/>
  <c r="M3287" i="6"/>
  <c r="L3311" i="6"/>
  <c r="K3311" i="6"/>
  <c r="N3311" i="6"/>
  <c r="M3311" i="6"/>
  <c r="M3321" i="6"/>
  <c r="L3321" i="6"/>
  <c r="K3321" i="6"/>
  <c r="N3321" i="6"/>
  <c r="M3333" i="6"/>
  <c r="K3333" i="6"/>
  <c r="N3333" i="6"/>
  <c r="L3333" i="6"/>
  <c r="L3344" i="6"/>
  <c r="N3344" i="6"/>
  <c r="M3344" i="6"/>
  <c r="L3358" i="6"/>
  <c r="N3358" i="6"/>
  <c r="M3358" i="6"/>
  <c r="L3371" i="6"/>
  <c r="M3371" i="6"/>
  <c r="N3371" i="6"/>
  <c r="L3388" i="6"/>
  <c r="M3388" i="6"/>
  <c r="N3388" i="6"/>
  <c r="L3407" i="6"/>
  <c r="M3407" i="6"/>
  <c r="K3407" i="6"/>
  <c r="N3407" i="6"/>
  <c r="L3019" i="6"/>
  <c r="K3019" i="6"/>
  <c r="M3019" i="6"/>
  <c r="N3019" i="6"/>
  <c r="L3050" i="6"/>
  <c r="K3050" i="6"/>
  <c r="N3050" i="6"/>
  <c r="M3050" i="6"/>
  <c r="L3062" i="6"/>
  <c r="N3062" i="6"/>
  <c r="M3062" i="6"/>
  <c r="K3062" i="6"/>
  <c r="M3066" i="6"/>
  <c r="L3066" i="6"/>
  <c r="N3066" i="6"/>
  <c r="K3066" i="6"/>
  <c r="N3070" i="6"/>
  <c r="K3070" i="6"/>
  <c r="M3070" i="6"/>
  <c r="L3070" i="6"/>
  <c r="M3074" i="6"/>
  <c r="L3074" i="6"/>
  <c r="N3074" i="6"/>
  <c r="K3074" i="6"/>
  <c r="L3104" i="6"/>
  <c r="K3104" i="6"/>
  <c r="M3104" i="6"/>
  <c r="N3104" i="6"/>
  <c r="M3122" i="6"/>
  <c r="L3122" i="6"/>
  <c r="N3122" i="6"/>
  <c r="K3122" i="6"/>
  <c r="M3137" i="6"/>
  <c r="L3137" i="6"/>
  <c r="N3137" i="6"/>
  <c r="K3137" i="6"/>
  <c r="L3152" i="6"/>
  <c r="N3152" i="6"/>
  <c r="M3152" i="6"/>
  <c r="L3170" i="6"/>
  <c r="K3170" i="6"/>
  <c r="M3170" i="6"/>
  <c r="N3170" i="6"/>
  <c r="L3179" i="6"/>
  <c r="K3179" i="6"/>
  <c r="M3179" i="6"/>
  <c r="N3179" i="6"/>
  <c r="K3198" i="6"/>
  <c r="L3198" i="6"/>
  <c r="N3198" i="6"/>
  <c r="M3198" i="6"/>
  <c r="K3207" i="6"/>
  <c r="M3207" i="6"/>
  <c r="L3207" i="6"/>
  <c r="N3207" i="6"/>
  <c r="L3225" i="6"/>
  <c r="M3225" i="6"/>
  <c r="N3225" i="6"/>
  <c r="L3250" i="6"/>
  <c r="N3250" i="6"/>
  <c r="M3250" i="6"/>
  <c r="K3259" i="6"/>
  <c r="M3259" i="6"/>
  <c r="L3259" i="6"/>
  <c r="N3259" i="6"/>
  <c r="L3282" i="6"/>
  <c r="K3282" i="6"/>
  <c r="M3282" i="6"/>
  <c r="N3282" i="6"/>
  <c r="L3298" i="6"/>
  <c r="N3298" i="6"/>
  <c r="M3298" i="6"/>
  <c r="L3314" i="6"/>
  <c r="K3314" i="6"/>
  <c r="N3314" i="6"/>
  <c r="M3314" i="6"/>
  <c r="L3336" i="6"/>
  <c r="K3336" i="6"/>
  <c r="M3336" i="6"/>
  <c r="N3336" i="6"/>
  <c r="L3351" i="6"/>
  <c r="M3351" i="6"/>
  <c r="N3351" i="6"/>
  <c r="L3363" i="6"/>
  <c r="K3363" i="6"/>
  <c r="M3363" i="6"/>
  <c r="N3363" i="6"/>
  <c r="K3373" i="6"/>
  <c r="L3373" i="6"/>
  <c r="N3373" i="6"/>
  <c r="M3373" i="6"/>
  <c r="L3383" i="6"/>
  <c r="M3383" i="6"/>
  <c r="K3383" i="6"/>
  <c r="N3383" i="6"/>
  <c r="M3039" i="6"/>
  <c r="L3039" i="6"/>
  <c r="N3039" i="6"/>
  <c r="L3105" i="6"/>
  <c r="M3105" i="6"/>
  <c r="N3105" i="6"/>
  <c r="K3105" i="6"/>
  <c r="L3124" i="6"/>
  <c r="M3124" i="6"/>
  <c r="K3124" i="6"/>
  <c r="N3124" i="6"/>
  <c r="K3187" i="6"/>
  <c r="L3187" i="6"/>
  <c r="N3187" i="6"/>
  <c r="M3187" i="6"/>
  <c r="L3200" i="6"/>
  <c r="K3200" i="6"/>
  <c r="M3200" i="6"/>
  <c r="N3200" i="6"/>
  <c r="L3213" i="6"/>
  <c r="K3213" i="6"/>
  <c r="M3213" i="6"/>
  <c r="N3213" i="6"/>
  <c r="K3253" i="6"/>
  <c r="M3253" i="6"/>
  <c r="L3253" i="6"/>
  <c r="N3253" i="6"/>
  <c r="K3266" i="6"/>
  <c r="M3266" i="6"/>
  <c r="N3266" i="6"/>
  <c r="L3266" i="6"/>
  <c r="L3289" i="6"/>
  <c r="K3289" i="6"/>
  <c r="M3289" i="6"/>
  <c r="N3289" i="6"/>
  <c r="L3301" i="6"/>
  <c r="M3301" i="6"/>
  <c r="N3301" i="6"/>
  <c r="L3364" i="6"/>
  <c r="K3364" i="6"/>
  <c r="N3364" i="6"/>
  <c r="M3364" i="6"/>
  <c r="K3388" i="6"/>
  <c r="L3425" i="6"/>
  <c r="K3425" i="6"/>
  <c r="M3425" i="6"/>
  <c r="N3425" i="6"/>
  <c r="K3433" i="6"/>
  <c r="M3433" i="6"/>
  <c r="L3433" i="6"/>
  <c r="N3433" i="6"/>
  <c r="L3442" i="6"/>
  <c r="N3442" i="6"/>
  <c r="M3442" i="6"/>
  <c r="K3442" i="6"/>
  <c r="K3446" i="6"/>
  <c r="M3446" i="6"/>
  <c r="L3446" i="6"/>
  <c r="N3446" i="6"/>
  <c r="L3457" i="6"/>
  <c r="N3457" i="6"/>
  <c r="M3457" i="6"/>
  <c r="M3475" i="6"/>
  <c r="L3475" i="6"/>
  <c r="N3475" i="6"/>
  <c r="K3475" i="6"/>
  <c r="L3479" i="6"/>
  <c r="N3479" i="6"/>
  <c r="K3479" i="6"/>
  <c r="M3479" i="6"/>
  <c r="K3483" i="6"/>
  <c r="M3483" i="6"/>
  <c r="L3483" i="6"/>
  <c r="N3483" i="6"/>
  <c r="K3495" i="6"/>
  <c r="M3495" i="6"/>
  <c r="L3495" i="6"/>
  <c r="N3495" i="6"/>
  <c r="L3499" i="6"/>
  <c r="M3499" i="6"/>
  <c r="K3499" i="6"/>
  <c r="N3499" i="6"/>
  <c r="N3538" i="6"/>
  <c r="K3538" i="6"/>
  <c r="M3538" i="6"/>
  <c r="L3538" i="6"/>
  <c r="N3554" i="6"/>
  <c r="K3554" i="6"/>
  <c r="M3554" i="6"/>
  <c r="L3554" i="6"/>
  <c r="N3562" i="6"/>
  <c r="K3562" i="6"/>
  <c r="M3562" i="6"/>
  <c r="L3562" i="6"/>
  <c r="N3570" i="6"/>
  <c r="K3570" i="6"/>
  <c r="M3570" i="6"/>
  <c r="L3570" i="6"/>
  <c r="L3579" i="6"/>
  <c r="N3579" i="6"/>
  <c r="K3579" i="6"/>
  <c r="M3579" i="6"/>
  <c r="L3587" i="6"/>
  <c r="M3587" i="6"/>
  <c r="N3587" i="6"/>
  <c r="N3604" i="6"/>
  <c r="L3604" i="6"/>
  <c r="K3604" i="6"/>
  <c r="M3604" i="6"/>
  <c r="L3628" i="6"/>
  <c r="M3628" i="6"/>
  <c r="N3628" i="6"/>
  <c r="L3644" i="6"/>
  <c r="M3644" i="6"/>
  <c r="N3644" i="6"/>
  <c r="L3663" i="6"/>
  <c r="M3663" i="6"/>
  <c r="N3663" i="6"/>
  <c r="K3663" i="6"/>
  <c r="L3671" i="6"/>
  <c r="N3671" i="6"/>
  <c r="K3671" i="6"/>
  <c r="M3671" i="6"/>
  <c r="L3695" i="6"/>
  <c r="K3695" i="6"/>
  <c r="M3695" i="6"/>
  <c r="N3695" i="6"/>
  <c r="M3725" i="6"/>
  <c r="L3725" i="6"/>
  <c r="N3725" i="6"/>
  <c r="N3729" i="6"/>
  <c r="K3729" i="6"/>
  <c r="M3729" i="6"/>
  <c r="L3729" i="6"/>
  <c r="L3852" i="6"/>
  <c r="M3852" i="6"/>
  <c r="N3852" i="6"/>
  <c r="K3873" i="6"/>
  <c r="M3873" i="6"/>
  <c r="L3873" i="6"/>
  <c r="N3873" i="6"/>
  <c r="K3877" i="6"/>
  <c r="M3877" i="6"/>
  <c r="L3877" i="6"/>
  <c r="N3877" i="6"/>
  <c r="L3881" i="6"/>
  <c r="N3881" i="6"/>
  <c r="K3881" i="6"/>
  <c r="M3881" i="6"/>
  <c r="K3905" i="6"/>
  <c r="M3905" i="6"/>
  <c r="L3905" i="6"/>
  <c r="N3905" i="6"/>
  <c r="K3928" i="6"/>
  <c r="M3928" i="6"/>
  <c r="L3928" i="6"/>
  <c r="N3928" i="6"/>
  <c r="M3932" i="6"/>
  <c r="K3932" i="6"/>
  <c r="L3932" i="6"/>
  <c r="N3932" i="6"/>
  <c r="L3946" i="6"/>
  <c r="N3946" i="6"/>
  <c r="K3946" i="6"/>
  <c r="M3946" i="6"/>
  <c r="L3967" i="6"/>
  <c r="N3967" i="6"/>
  <c r="K3967" i="6"/>
  <c r="M3967" i="6"/>
  <c r="L3971" i="6"/>
  <c r="N3971" i="6"/>
  <c r="K3971" i="6"/>
  <c r="M3971" i="6"/>
  <c r="L3975" i="6"/>
  <c r="N3975" i="6"/>
  <c r="K3975" i="6"/>
  <c r="M3975" i="6"/>
  <c r="L3997" i="6"/>
  <c r="K3997" i="6"/>
  <c r="M3997" i="6"/>
  <c r="N3997" i="6"/>
  <c r="L4021" i="6"/>
  <c r="M4021" i="6"/>
  <c r="K4021" i="6"/>
  <c r="N4021" i="6"/>
  <c r="L4035" i="6"/>
  <c r="N4035" i="6"/>
  <c r="K4035" i="6"/>
  <c r="M4035" i="6"/>
  <c r="K4092" i="6"/>
  <c r="L4092" i="6"/>
  <c r="N4092" i="6"/>
  <c r="M4092" i="6"/>
  <c r="N4096" i="6"/>
  <c r="K4096" i="6"/>
  <c r="M4096" i="6"/>
  <c r="L4096" i="6"/>
  <c r="L4100" i="6"/>
  <c r="N4100" i="6"/>
  <c r="M4100" i="6"/>
  <c r="L4120" i="6"/>
  <c r="M4120" i="6"/>
  <c r="K4120" i="6"/>
  <c r="N4120" i="6"/>
  <c r="L4132" i="6"/>
  <c r="N4132" i="6"/>
  <c r="M4132" i="6"/>
  <c r="L4141" i="6"/>
  <c r="N4141" i="6"/>
  <c r="M4141" i="6"/>
  <c r="M4145" i="6"/>
  <c r="L4145" i="6"/>
  <c r="N4145" i="6"/>
  <c r="L4161" i="6"/>
  <c r="K4161" i="6"/>
  <c r="M4161" i="6"/>
  <c r="N4161" i="6"/>
  <c r="L4188" i="6"/>
  <c r="K4188" i="6"/>
  <c r="M4188" i="6"/>
  <c r="N4188" i="6"/>
  <c r="L4201" i="6"/>
  <c r="K4201" i="6"/>
  <c r="M4201" i="6"/>
  <c r="N4201" i="6"/>
  <c r="N4214" i="6"/>
  <c r="L4214" i="6"/>
  <c r="K4214" i="6"/>
  <c r="M4214" i="6"/>
  <c r="N4218" i="6"/>
  <c r="M4218" i="6"/>
  <c r="L4218" i="6"/>
  <c r="K4218" i="6"/>
  <c r="L4231" i="6"/>
  <c r="N4231" i="6"/>
  <c r="K4231" i="6"/>
  <c r="M4231" i="6"/>
  <c r="N4243" i="6"/>
  <c r="M4243" i="6"/>
  <c r="K4243" i="6"/>
  <c r="L4243" i="6"/>
  <c r="L4255" i="6"/>
  <c r="N4255" i="6"/>
  <c r="M4255" i="6"/>
  <c r="K4255" i="6"/>
  <c r="L4278" i="6"/>
  <c r="K4278" i="6"/>
  <c r="M4278" i="6"/>
  <c r="N4278" i="6"/>
  <c r="L4282" i="6"/>
  <c r="M4282" i="6"/>
  <c r="N4282" i="6"/>
  <c r="K4282" i="6"/>
  <c r="K4286" i="6"/>
  <c r="M4286" i="6"/>
  <c r="N4286" i="6"/>
  <c r="L4286" i="6"/>
  <c r="L4337" i="6"/>
  <c r="M4337" i="6"/>
  <c r="K4337" i="6"/>
  <c r="N4337" i="6"/>
  <c r="K4341" i="6"/>
  <c r="N4341" i="6"/>
  <c r="M4341" i="6"/>
  <c r="L4341" i="6"/>
  <c r="K4345" i="6"/>
  <c r="L4345" i="6"/>
  <c r="N4345" i="6"/>
  <c r="M4345" i="6"/>
  <c r="L4349" i="6"/>
  <c r="M4349" i="6"/>
  <c r="N4349" i="6"/>
  <c r="K4349" i="6"/>
  <c r="M4353" i="6"/>
  <c r="L4353" i="6"/>
  <c r="N4353" i="6"/>
  <c r="K4353" i="6"/>
  <c r="L4438" i="6"/>
  <c r="M4438" i="6"/>
  <c r="K4438" i="6"/>
  <c r="N4438" i="6"/>
  <c r="L4442" i="6"/>
  <c r="N4442" i="6"/>
  <c r="K4442" i="6"/>
  <c r="M4442" i="6"/>
  <c r="K4446" i="6"/>
  <c r="L4446" i="6"/>
  <c r="N4446" i="6"/>
  <c r="M4446" i="6"/>
  <c r="L4450" i="6"/>
  <c r="K4450" i="6"/>
  <c r="M4450" i="6"/>
  <c r="N4450" i="6"/>
  <c r="L4466" i="6"/>
  <c r="K4466" i="6"/>
  <c r="N4466" i="6"/>
  <c r="M4466" i="6"/>
  <c r="K3055" i="6"/>
  <c r="M3055" i="6"/>
  <c r="L3055" i="6"/>
  <c r="N3055" i="6"/>
  <c r="L3113" i="6"/>
  <c r="K3113" i="6"/>
  <c r="M3113" i="6"/>
  <c r="N3113" i="6"/>
  <c r="K3141" i="6"/>
  <c r="M3141" i="6"/>
  <c r="L3141" i="6"/>
  <c r="N3141" i="6"/>
  <c r="M3162" i="6"/>
  <c r="L3162" i="6"/>
  <c r="N3162" i="6"/>
  <c r="K3168" i="6"/>
  <c r="L3220" i="6"/>
  <c r="K3220" i="6"/>
  <c r="N3220" i="6"/>
  <c r="M3220" i="6"/>
  <c r="K3225" i="6"/>
  <c r="L3245" i="6"/>
  <c r="M3245" i="6"/>
  <c r="N3245" i="6"/>
  <c r="K3250" i="6"/>
  <c r="L3273" i="6"/>
  <c r="M3273" i="6"/>
  <c r="N3273" i="6"/>
  <c r="L3327" i="6"/>
  <c r="M3327" i="6"/>
  <c r="N3327" i="6"/>
  <c r="L3352" i="6"/>
  <c r="M3352" i="6"/>
  <c r="N3352" i="6"/>
  <c r="K3358" i="6"/>
  <c r="L3394" i="6"/>
  <c r="N3394" i="6"/>
  <c r="M3394" i="6"/>
  <c r="K3394" i="6"/>
  <c r="L3408" i="6"/>
  <c r="K3408" i="6"/>
  <c r="M3408" i="6"/>
  <c r="N3408" i="6"/>
  <c r="M3418" i="6"/>
  <c r="L3418" i="6"/>
  <c r="N3418" i="6"/>
  <c r="L3429" i="6"/>
  <c r="M3429" i="6"/>
  <c r="N3429" i="6"/>
  <c r="L3439" i="6"/>
  <c r="M3439" i="6"/>
  <c r="K3439" i="6"/>
  <c r="N3439" i="6"/>
  <c r="L3461" i="6"/>
  <c r="M3461" i="6"/>
  <c r="N3461" i="6"/>
  <c r="L3489" i="6"/>
  <c r="N3489" i="6"/>
  <c r="M3489" i="6"/>
  <c r="L3504" i="6"/>
  <c r="K3504" i="6"/>
  <c r="M3504" i="6"/>
  <c r="N3504" i="6"/>
  <c r="K3527" i="6"/>
  <c r="M3527" i="6"/>
  <c r="L3527" i="6"/>
  <c r="N3527" i="6"/>
  <c r="M3531" i="6"/>
  <c r="K3531" i="6"/>
  <c r="L3531" i="6"/>
  <c r="N3531" i="6"/>
  <c r="L3544" i="6"/>
  <c r="M3544" i="6"/>
  <c r="N3544" i="6"/>
  <c r="L3548" i="6"/>
  <c r="N3548" i="6"/>
  <c r="M3548" i="6"/>
  <c r="L3557" i="6"/>
  <c r="M3557" i="6"/>
  <c r="N3557" i="6"/>
  <c r="N3566" i="6"/>
  <c r="K3566" i="6"/>
  <c r="M3566" i="6"/>
  <c r="L3566" i="6"/>
  <c r="K3574" i="6"/>
  <c r="M3574" i="6"/>
  <c r="L3574" i="6"/>
  <c r="N3574" i="6"/>
  <c r="M3582" i="6"/>
  <c r="L3582" i="6"/>
  <c r="N3582" i="6"/>
  <c r="K3582" i="6"/>
  <c r="L3591" i="6"/>
  <c r="M3591" i="6"/>
  <c r="K3591" i="6"/>
  <c r="N3591" i="6"/>
  <c r="L3612" i="6"/>
  <c r="M3612" i="6"/>
  <c r="K3612" i="6"/>
  <c r="N3612" i="6"/>
  <c r="M3616" i="6"/>
  <c r="L3616" i="6"/>
  <c r="N3616" i="6"/>
  <c r="K3616" i="6"/>
  <c r="K3628" i="6"/>
  <c r="N3636" i="6"/>
  <c r="M3636" i="6"/>
  <c r="L3636" i="6"/>
  <c r="K3651" i="6"/>
  <c r="M3651" i="6"/>
  <c r="L3651" i="6"/>
  <c r="N3651" i="6"/>
  <c r="M3667" i="6"/>
  <c r="K3667" i="6"/>
  <c r="L3667" i="6"/>
  <c r="N3667" i="6"/>
  <c r="M3675" i="6"/>
  <c r="L3675" i="6"/>
  <c r="N3675" i="6"/>
  <c r="N3679" i="6"/>
  <c r="M3679" i="6"/>
  <c r="L3679" i="6"/>
  <c r="K3679" i="6"/>
  <c r="L3683" i="6"/>
  <c r="N3683" i="6"/>
  <c r="M3683" i="6"/>
  <c r="N3702" i="6"/>
  <c r="K3702" i="6"/>
  <c r="M3702" i="6"/>
  <c r="L3702" i="6"/>
  <c r="N3706" i="6"/>
  <c r="K3706" i="6"/>
  <c r="M3706" i="6"/>
  <c r="L3706" i="6"/>
  <c r="N3710" i="6"/>
  <c r="K3710" i="6"/>
  <c r="M3710" i="6"/>
  <c r="L3710" i="6"/>
  <c r="N3714" i="6"/>
  <c r="K3714" i="6"/>
  <c r="M3714" i="6"/>
  <c r="L3714" i="6"/>
  <c r="N3718" i="6"/>
  <c r="K3718" i="6"/>
  <c r="M3718" i="6"/>
  <c r="L3718" i="6"/>
  <c r="L3740" i="6"/>
  <c r="N3740" i="6"/>
  <c r="M3740" i="6"/>
  <c r="N3744" i="6"/>
  <c r="K3744" i="6"/>
  <c r="M3744" i="6"/>
  <c r="L3744" i="6"/>
  <c r="K3748" i="6"/>
  <c r="M3748" i="6"/>
  <c r="L3748" i="6"/>
  <c r="N3748" i="6"/>
  <c r="N3752" i="6"/>
  <c r="K3752" i="6"/>
  <c r="M3752" i="6"/>
  <c r="L3752" i="6"/>
  <c r="L3756" i="6"/>
  <c r="N3756" i="6"/>
  <c r="K3756" i="6"/>
  <c r="M3756" i="6"/>
  <c r="N3760" i="6"/>
  <c r="K3760" i="6"/>
  <c r="M3760" i="6"/>
  <c r="L3760" i="6"/>
  <c r="N3764" i="6"/>
  <c r="K3764" i="6"/>
  <c r="M3764" i="6"/>
  <c r="L3764" i="6"/>
  <c r="N3768" i="6"/>
  <c r="K3768" i="6"/>
  <c r="M3768" i="6"/>
  <c r="L3768" i="6"/>
  <c r="K3772" i="6"/>
  <c r="M3772" i="6"/>
  <c r="L3772" i="6"/>
  <c r="N3772" i="6"/>
  <c r="N3776" i="6"/>
  <c r="K3776" i="6"/>
  <c r="M3776" i="6"/>
  <c r="L3776" i="6"/>
  <c r="K3780" i="6"/>
  <c r="M3780" i="6"/>
  <c r="L3780" i="6"/>
  <c r="N3780" i="6"/>
  <c r="N3784" i="6"/>
  <c r="K3784" i="6"/>
  <c r="M3784" i="6"/>
  <c r="L3784" i="6"/>
  <c r="L3788" i="6"/>
  <c r="N3788" i="6"/>
  <c r="K3788" i="6"/>
  <c r="M3788" i="6"/>
  <c r="N3792" i="6"/>
  <c r="K3792" i="6"/>
  <c r="M3792" i="6"/>
  <c r="L3792" i="6"/>
  <c r="N3796" i="6"/>
  <c r="K3796" i="6"/>
  <c r="M3796" i="6"/>
  <c r="L3796" i="6"/>
  <c r="N3800" i="6"/>
  <c r="K3800" i="6"/>
  <c r="M3800" i="6"/>
  <c r="L3800" i="6"/>
  <c r="K3804" i="6"/>
  <c r="M3804" i="6"/>
  <c r="L3804" i="6"/>
  <c r="N3804" i="6"/>
  <c r="N3808" i="6"/>
  <c r="K3808" i="6"/>
  <c r="M3808" i="6"/>
  <c r="L3808" i="6"/>
  <c r="K3812" i="6"/>
  <c r="M3812" i="6"/>
  <c r="L3812" i="6"/>
  <c r="N3812" i="6"/>
  <c r="N3816" i="6"/>
  <c r="K3816" i="6"/>
  <c r="M3816" i="6"/>
  <c r="L3816" i="6"/>
  <c r="L3820" i="6"/>
  <c r="N3820" i="6"/>
  <c r="K3820" i="6"/>
  <c r="M3820" i="6"/>
  <c r="N3824" i="6"/>
  <c r="K3824" i="6"/>
  <c r="M3824" i="6"/>
  <c r="L3824" i="6"/>
  <c r="N3828" i="6"/>
  <c r="K3828" i="6"/>
  <c r="M3828" i="6"/>
  <c r="L3828" i="6"/>
  <c r="N3832" i="6"/>
  <c r="K3832" i="6"/>
  <c r="M3832" i="6"/>
  <c r="L3832" i="6"/>
  <c r="N3836" i="6"/>
  <c r="K3836" i="6"/>
  <c r="M3836" i="6"/>
  <c r="L3836" i="6"/>
  <c r="N3840" i="6"/>
  <c r="K3840" i="6"/>
  <c r="M3840" i="6"/>
  <c r="L3840" i="6"/>
  <c r="K3844" i="6"/>
  <c r="M3844" i="6"/>
  <c r="L3844" i="6"/>
  <c r="N3844" i="6"/>
  <c r="M3848" i="6"/>
  <c r="L3848" i="6"/>
  <c r="N3848" i="6"/>
  <c r="K3848" i="6"/>
  <c r="L3867" i="6"/>
  <c r="M3867" i="6"/>
  <c r="N3867" i="6"/>
  <c r="K3899" i="6"/>
  <c r="M3899" i="6"/>
  <c r="L3899" i="6"/>
  <c r="N3899" i="6"/>
  <c r="N3909" i="6"/>
  <c r="K3909" i="6"/>
  <c r="M3909" i="6"/>
  <c r="L3909" i="6"/>
  <c r="L3951" i="6"/>
  <c r="N3951" i="6"/>
  <c r="M3951" i="6"/>
  <c r="L3955" i="6"/>
  <c r="N3955" i="6"/>
  <c r="M3955" i="6"/>
  <c r="K3982" i="6"/>
  <c r="L3982" i="6"/>
  <c r="M3982" i="6"/>
  <c r="N3982" i="6"/>
  <c r="L3993" i="6"/>
  <c r="M3993" i="6"/>
  <c r="N3993" i="6"/>
  <c r="L4056" i="6"/>
  <c r="M4056" i="6"/>
  <c r="N4056" i="6"/>
  <c r="N4113" i="6"/>
  <c r="L4113" i="6"/>
  <c r="K4113" i="6"/>
  <c r="M4113" i="6"/>
  <c r="K4117" i="6"/>
  <c r="M4117" i="6"/>
  <c r="L4117" i="6"/>
  <c r="N4117" i="6"/>
  <c r="N4167" i="6"/>
  <c r="K4167" i="6"/>
  <c r="M4167" i="6"/>
  <c r="L4167" i="6"/>
  <c r="L4180" i="6"/>
  <c r="M4180" i="6"/>
  <c r="K4180" i="6"/>
  <c r="N4180" i="6"/>
  <c r="L4223" i="6"/>
  <c r="K4223" i="6"/>
  <c r="M4223" i="6"/>
  <c r="N4223" i="6"/>
  <c r="L4227" i="6"/>
  <c r="M4227" i="6"/>
  <c r="K4227" i="6"/>
  <c r="N4227" i="6"/>
  <c r="M4237" i="6"/>
  <c r="N4237" i="6"/>
  <c r="K4237" i="6"/>
  <c r="L4237" i="6"/>
  <c r="N4250" i="6"/>
  <c r="M4250" i="6"/>
  <c r="L4250" i="6"/>
  <c r="K4250" i="6"/>
  <c r="N4266" i="6"/>
  <c r="K4266" i="6"/>
  <c r="M4266" i="6"/>
  <c r="L4266" i="6"/>
  <c r="K4270" i="6"/>
  <c r="M4270" i="6"/>
  <c r="L4270" i="6"/>
  <c r="N4270" i="6"/>
  <c r="L4322" i="6"/>
  <c r="M4322" i="6"/>
  <c r="K4322" i="6"/>
  <c r="N4322" i="6"/>
  <c r="N4326" i="6"/>
  <c r="L4326" i="6"/>
  <c r="K4326" i="6"/>
  <c r="M4326" i="6"/>
  <c r="K4330" i="6"/>
  <c r="M4330" i="6"/>
  <c r="L4330" i="6"/>
  <c r="N4330" i="6"/>
  <c r="L4374" i="6"/>
  <c r="K4374" i="6"/>
  <c r="M4374" i="6"/>
  <c r="N4374" i="6"/>
  <c r="M4435" i="6"/>
  <c r="K4435" i="6"/>
  <c r="N4435" i="6"/>
  <c r="L4435" i="6"/>
  <c r="K4459" i="6"/>
  <c r="M4459" i="6"/>
  <c r="N4459" i="6"/>
  <c r="L4459" i="6"/>
  <c r="K4463" i="6"/>
  <c r="M4463" i="6"/>
  <c r="L4463" i="6"/>
  <c r="N4463" i="6"/>
  <c r="K4503" i="6"/>
  <c r="M4503" i="6"/>
  <c r="L4503" i="6"/>
  <c r="N4503" i="6"/>
  <c r="K4507" i="6"/>
  <c r="M4507" i="6"/>
  <c r="N4507" i="6"/>
  <c r="L4507" i="6"/>
  <c r="L4511" i="6"/>
  <c r="N4511" i="6"/>
  <c r="K4511" i="6"/>
  <c r="M4511" i="6"/>
  <c r="L4515" i="6"/>
  <c r="N4515" i="6"/>
  <c r="K4515" i="6"/>
  <c r="M4515" i="6"/>
  <c r="L4547" i="6"/>
  <c r="N4547" i="6"/>
  <c r="K4547" i="6"/>
  <c r="M4547" i="6"/>
  <c r="K4569" i="6"/>
  <c r="L4569" i="6"/>
  <c r="N4569" i="6"/>
  <c r="M4569" i="6"/>
  <c r="N4573" i="6"/>
  <c r="M4573" i="6"/>
  <c r="L4573" i="6"/>
  <c r="K4573" i="6"/>
  <c r="L4577" i="6"/>
  <c r="M4577" i="6"/>
  <c r="N4577" i="6"/>
  <c r="K4577" i="6"/>
  <c r="K4581" i="6"/>
  <c r="M4581" i="6"/>
  <c r="L4581" i="6"/>
  <c r="N4581" i="6"/>
  <c r="N4585" i="6"/>
  <c r="K4585" i="6"/>
  <c r="M4585" i="6"/>
  <c r="L4585" i="6"/>
  <c r="N4589" i="6"/>
  <c r="K4589" i="6"/>
  <c r="M4589" i="6"/>
  <c r="L4589" i="6"/>
  <c r="K4593" i="6"/>
  <c r="L4593" i="6"/>
  <c r="N4593" i="6"/>
  <c r="M4593" i="6"/>
  <c r="M4608" i="6"/>
  <c r="K4608" i="6"/>
  <c r="L4608" i="6"/>
  <c r="N4608" i="6"/>
  <c r="K4638" i="6"/>
  <c r="M4638" i="6"/>
  <c r="L4638" i="6"/>
  <c r="N4638" i="6"/>
  <c r="L4661" i="6"/>
  <c r="K4661" i="6"/>
  <c r="M4661" i="6"/>
  <c r="N4661" i="6"/>
  <c r="M4681" i="6"/>
  <c r="L4681" i="6"/>
  <c r="N4681" i="6"/>
  <c r="K4681" i="6"/>
  <c r="K4705" i="6"/>
  <c r="M4705" i="6"/>
  <c r="L4705" i="6"/>
  <c r="N4705" i="6"/>
  <c r="L4721" i="6"/>
  <c r="N4721" i="6"/>
  <c r="K4721" i="6"/>
  <c r="M4721" i="6"/>
  <c r="L4733" i="6"/>
  <c r="K4733" i="6"/>
  <c r="N4733" i="6"/>
  <c r="M4733" i="6"/>
  <c r="L4757" i="6"/>
  <c r="N4757" i="6"/>
  <c r="K4757" i="6"/>
  <c r="M4757" i="6"/>
  <c r="L4773" i="6"/>
  <c r="N4773" i="6"/>
  <c r="K4773" i="6"/>
  <c r="M4773" i="6"/>
  <c r="L4787" i="6"/>
  <c r="K4787" i="6"/>
  <c r="N4787" i="6"/>
  <c r="M4787" i="6"/>
  <c r="K4145" i="6"/>
  <c r="L4551" i="6"/>
  <c r="N4551" i="6"/>
  <c r="K4551" i="6"/>
  <c r="M4551" i="6"/>
  <c r="K4555" i="6"/>
  <c r="M4555" i="6"/>
  <c r="L4555" i="6"/>
  <c r="N4555" i="6"/>
  <c r="K4598" i="6"/>
  <c r="L4598" i="6"/>
  <c r="N4598" i="6"/>
  <c r="M4598" i="6"/>
  <c r="L4602" i="6"/>
  <c r="N4602" i="6"/>
  <c r="K4602" i="6"/>
  <c r="M4602" i="6"/>
  <c r="K4663" i="6"/>
  <c r="L4663" i="6"/>
  <c r="N4663" i="6"/>
  <c r="M4663" i="6"/>
  <c r="L4694" i="6"/>
  <c r="K4694" i="6"/>
  <c r="N4694" i="6"/>
  <c r="M4694" i="6"/>
  <c r="L4698" i="6"/>
  <c r="K4698" i="6"/>
  <c r="N4698" i="6"/>
  <c r="M4698" i="6"/>
  <c r="L4739" i="6"/>
  <c r="K4739" i="6"/>
  <c r="N4739" i="6"/>
  <c r="M4739" i="6"/>
  <c r="M4743" i="6"/>
  <c r="N4743" i="6"/>
  <c r="K4743" i="6"/>
  <c r="L4743" i="6"/>
  <c r="N4768" i="6"/>
  <c r="L4768" i="6"/>
  <c r="K4768" i="6"/>
  <c r="M4768" i="6"/>
  <c r="M4808" i="6"/>
  <c r="L4808" i="6"/>
  <c r="N4808" i="6"/>
  <c r="K4808" i="6"/>
  <c r="M4824" i="6"/>
  <c r="N4824" i="6"/>
  <c r="K4824" i="6"/>
  <c r="L4824" i="6"/>
  <c r="L4860" i="6"/>
  <c r="M4860" i="6"/>
  <c r="K4860" i="6"/>
  <c r="N4860" i="6"/>
  <c r="L4877" i="6"/>
  <c r="N4877" i="6"/>
  <c r="K4877" i="6"/>
  <c r="M4877" i="6"/>
  <c r="K4881" i="6"/>
  <c r="M4881" i="6"/>
  <c r="L4881" i="6"/>
  <c r="N4881" i="6"/>
  <c r="L4900" i="6"/>
  <c r="M4900" i="6"/>
  <c r="K4900" i="6"/>
  <c r="N4900" i="6"/>
  <c r="L4928" i="6"/>
  <c r="M4928" i="6"/>
  <c r="K4928" i="6"/>
  <c r="N4928" i="6"/>
  <c r="L4948" i="6"/>
  <c r="K4948" i="6"/>
  <c r="M4948" i="6"/>
  <c r="N4948" i="6"/>
  <c r="L4952" i="6"/>
  <c r="N4952" i="6"/>
  <c r="K4952" i="6"/>
  <c r="M4952" i="6"/>
  <c r="K4956" i="6"/>
  <c r="M4956" i="6"/>
  <c r="L4956" i="6"/>
  <c r="N4956" i="6"/>
  <c r="L4976" i="6"/>
  <c r="K4976" i="6"/>
  <c r="M4976" i="6"/>
  <c r="N4976" i="6"/>
  <c r="N4980" i="6"/>
  <c r="K4980" i="6"/>
  <c r="M4980" i="6"/>
  <c r="L4980" i="6"/>
  <c r="L4997" i="6"/>
  <c r="K4997" i="6"/>
  <c r="N4997" i="6"/>
  <c r="M4997" i="6"/>
  <c r="L5015" i="6"/>
  <c r="K5015" i="6"/>
  <c r="M5015" i="6"/>
  <c r="N5015" i="6"/>
  <c r="L5019" i="6"/>
  <c r="N5019" i="6"/>
  <c r="K5019" i="6"/>
  <c r="M5019" i="6"/>
  <c r="L5023" i="6"/>
  <c r="N5023" i="6"/>
  <c r="K5023" i="6"/>
  <c r="M5023" i="6"/>
  <c r="L5047" i="6"/>
  <c r="K5047" i="6"/>
  <c r="N5047" i="6"/>
  <c r="M5047" i="6"/>
  <c r="L5051" i="6"/>
  <c r="N5051" i="6"/>
  <c r="M5051" i="6"/>
  <c r="K5051" i="6"/>
  <c r="K5090" i="6"/>
  <c r="M5090" i="6"/>
  <c r="L5090" i="6"/>
  <c r="N5090" i="6"/>
  <c r="M5102" i="6"/>
  <c r="L5102" i="6"/>
  <c r="N5102" i="6"/>
  <c r="K5102" i="6"/>
  <c r="L5131" i="6"/>
  <c r="N5131" i="6"/>
  <c r="K5131" i="6"/>
  <c r="M5131" i="6"/>
  <c r="L5148" i="6"/>
  <c r="K5148" i="6"/>
  <c r="M5148" i="6"/>
  <c r="N5148" i="6"/>
  <c r="L5152" i="6"/>
  <c r="K5152" i="6"/>
  <c r="M5152" i="6"/>
  <c r="N5152" i="6"/>
  <c r="K5165" i="6"/>
  <c r="N5165" i="6"/>
  <c r="M5165" i="6"/>
  <c r="L5165" i="6"/>
  <c r="K5169" i="6"/>
  <c r="N5169" i="6"/>
  <c r="M5169" i="6"/>
  <c r="L5169" i="6"/>
  <c r="L5173" i="6"/>
  <c r="K5173" i="6"/>
  <c r="M5173" i="6"/>
  <c r="N5173" i="6"/>
  <c r="M5177" i="6"/>
  <c r="N5177" i="6"/>
  <c r="K5177" i="6"/>
  <c r="L5177" i="6"/>
  <c r="N5181" i="6"/>
  <c r="M5181" i="6"/>
  <c r="L5181" i="6"/>
  <c r="K5181" i="6"/>
  <c r="L5185" i="6"/>
  <c r="K5185" i="6"/>
  <c r="M5185" i="6"/>
  <c r="N5185" i="6"/>
  <c r="M5189" i="6"/>
  <c r="N5189" i="6"/>
  <c r="K5189" i="6"/>
  <c r="L5189" i="6"/>
  <c r="N5193" i="6"/>
  <c r="M5193" i="6"/>
  <c r="K5193" i="6"/>
  <c r="L5193" i="6"/>
  <c r="K5197" i="6"/>
  <c r="M5197" i="6"/>
  <c r="L5197" i="6"/>
  <c r="N5197" i="6"/>
  <c r="L5251" i="6"/>
  <c r="K5251" i="6"/>
  <c r="N5251" i="6"/>
  <c r="M5251" i="6"/>
  <c r="L5274" i="6"/>
  <c r="N5274" i="6"/>
  <c r="K5274" i="6"/>
  <c r="M5274" i="6"/>
  <c r="L5293" i="6"/>
  <c r="M5293" i="6"/>
  <c r="K5293" i="6"/>
  <c r="N5293" i="6"/>
  <c r="K5306" i="6"/>
  <c r="L5306" i="6"/>
  <c r="M5306" i="6"/>
  <c r="N5306" i="6"/>
  <c r="L5310" i="6"/>
  <c r="N5310" i="6"/>
  <c r="K5310" i="6"/>
  <c r="M5310" i="6"/>
  <c r="K5314" i="6"/>
  <c r="M5314" i="6"/>
  <c r="L5314" i="6"/>
  <c r="N5314" i="6"/>
  <c r="K5330" i="6"/>
  <c r="M5330" i="6"/>
  <c r="L5330" i="6"/>
  <c r="N5330" i="6"/>
  <c r="K5342" i="6"/>
  <c r="M5342" i="6"/>
  <c r="L5342" i="6"/>
  <c r="N5342" i="6"/>
  <c r="K5346" i="6"/>
  <c r="M5346" i="6"/>
  <c r="L5346" i="6"/>
  <c r="N5346" i="6"/>
  <c r="K5370" i="6"/>
  <c r="L5370" i="6"/>
  <c r="M5370" i="6"/>
  <c r="N5370" i="6"/>
  <c r="K5374" i="6"/>
  <c r="M5374" i="6"/>
  <c r="L5374" i="6"/>
  <c r="N5374" i="6"/>
  <c r="K5378" i="6"/>
  <c r="M5378" i="6"/>
  <c r="L5378" i="6"/>
  <c r="N5378" i="6"/>
  <c r="K5401" i="6"/>
  <c r="L5401" i="6"/>
  <c r="N5401" i="6"/>
  <c r="M5401" i="6"/>
  <c r="K5405" i="6"/>
  <c r="M5405" i="6"/>
  <c r="L5405" i="6"/>
  <c r="N5405" i="6"/>
  <c r="N5409" i="6"/>
  <c r="M5409" i="6"/>
  <c r="L5409" i="6"/>
  <c r="K5409" i="6"/>
  <c r="M5433" i="6"/>
  <c r="L5433" i="6"/>
  <c r="K5433" i="6"/>
  <c r="N5433" i="6"/>
  <c r="N5437" i="6"/>
  <c r="K5437" i="6"/>
  <c r="M5437" i="6"/>
  <c r="L5437" i="6"/>
  <c r="K5441" i="6"/>
  <c r="M5441" i="6"/>
  <c r="L5441" i="6"/>
  <c r="N5441" i="6"/>
  <c r="L5475" i="6"/>
  <c r="N5475" i="6"/>
  <c r="K5475" i="6"/>
  <c r="M5475" i="6"/>
  <c r="L5500" i="6"/>
  <c r="M5500" i="6"/>
  <c r="K5500" i="6"/>
  <c r="N5500" i="6"/>
  <c r="K3636" i="6"/>
  <c r="L4558" i="6"/>
  <c r="K4558" i="6"/>
  <c r="M4558" i="6"/>
  <c r="N4558" i="6"/>
  <c r="L4562" i="6"/>
  <c r="N4562" i="6"/>
  <c r="K4562" i="6"/>
  <c r="M4562" i="6"/>
  <c r="L4614" i="6"/>
  <c r="M4614" i="6"/>
  <c r="N4614" i="6"/>
  <c r="K4614" i="6"/>
  <c r="K4618" i="6"/>
  <c r="N4618" i="6"/>
  <c r="M4618" i="6"/>
  <c r="L4618" i="6"/>
  <c r="L4622" i="6"/>
  <c r="N4622" i="6"/>
  <c r="K4622" i="6"/>
  <c r="M4622" i="6"/>
  <c r="L4727" i="6"/>
  <c r="N4727" i="6"/>
  <c r="K4727" i="6"/>
  <c r="M4727" i="6"/>
  <c r="K4791" i="6"/>
  <c r="M4791" i="6"/>
  <c r="L4791" i="6"/>
  <c r="N4791" i="6"/>
  <c r="L4815" i="6"/>
  <c r="K4815" i="6"/>
  <c r="M4815" i="6"/>
  <c r="N4815" i="6"/>
  <c r="N4866" i="6"/>
  <c r="K4866" i="6"/>
  <c r="M4866" i="6"/>
  <c r="L4866" i="6"/>
  <c r="L4932" i="6"/>
  <c r="K4932" i="6"/>
  <c r="M4932" i="6"/>
  <c r="N4932" i="6"/>
  <c r="L4964" i="6"/>
  <c r="K4964" i="6"/>
  <c r="M4964" i="6"/>
  <c r="N4964" i="6"/>
  <c r="L5027" i="6"/>
  <c r="N5027" i="6"/>
  <c r="K5027" i="6"/>
  <c r="M5027" i="6"/>
  <c r="L5056" i="6"/>
  <c r="K5056" i="6"/>
  <c r="M5056" i="6"/>
  <c r="N5056" i="6"/>
  <c r="L5104" i="6"/>
  <c r="K5104" i="6"/>
  <c r="M5104" i="6"/>
  <c r="N5104" i="6"/>
  <c r="L5108" i="6"/>
  <c r="M5108" i="6"/>
  <c r="N5108" i="6"/>
  <c r="K5108" i="6"/>
  <c r="L5112" i="6"/>
  <c r="N5112" i="6"/>
  <c r="K5112" i="6"/>
  <c r="M5112" i="6"/>
  <c r="L5116" i="6"/>
  <c r="N5116" i="6"/>
  <c r="K5116" i="6"/>
  <c r="M5116" i="6"/>
  <c r="N5120" i="6"/>
  <c r="L5120" i="6"/>
  <c r="K5120" i="6"/>
  <c r="M5120" i="6"/>
  <c r="L5139" i="6"/>
  <c r="N5139" i="6"/>
  <c r="K5139" i="6"/>
  <c r="M5139" i="6"/>
  <c r="L5143" i="6"/>
  <c r="N5143" i="6"/>
  <c r="K5143" i="6"/>
  <c r="M5143" i="6"/>
  <c r="L5233" i="6"/>
  <c r="N5233" i="6"/>
  <c r="K5233" i="6"/>
  <c r="M5233" i="6"/>
  <c r="L5316" i="6"/>
  <c r="K5316" i="6"/>
  <c r="M5316" i="6"/>
  <c r="N5316" i="6"/>
  <c r="K5334" i="6"/>
  <c r="M5334" i="6"/>
  <c r="L5334" i="6"/>
  <c r="N5334" i="6"/>
  <c r="M5413" i="6"/>
  <c r="N5413" i="6"/>
  <c r="K5413" i="6"/>
  <c r="L5413" i="6"/>
  <c r="M5449" i="6"/>
  <c r="L5449" i="6"/>
  <c r="N5449" i="6"/>
  <c r="K5449" i="6"/>
  <c r="L5453" i="6"/>
  <c r="M5453" i="6"/>
  <c r="N5453" i="6"/>
  <c r="K5453" i="6"/>
  <c r="K5506" i="6"/>
  <c r="M5506" i="6"/>
  <c r="L5506" i="6"/>
  <c r="N5506" i="6"/>
  <c r="K5510" i="6"/>
  <c r="M5510" i="6"/>
  <c r="L5510" i="6"/>
  <c r="N5510" i="6"/>
  <c r="L5543" i="6"/>
  <c r="N5543" i="6"/>
  <c r="K5543" i="6"/>
  <c r="M5543" i="6"/>
  <c r="L5575" i="6"/>
  <c r="N5575" i="6"/>
  <c r="K5575" i="6"/>
  <c r="M5575" i="6"/>
  <c r="L5591" i="6"/>
  <c r="N5591" i="6"/>
  <c r="K5591" i="6"/>
  <c r="M5591" i="6"/>
  <c r="L5595" i="6"/>
  <c r="N5595" i="6"/>
  <c r="K5595" i="6"/>
  <c r="M5595" i="6"/>
  <c r="L5599" i="6"/>
  <c r="N5599" i="6"/>
  <c r="K5599" i="6"/>
  <c r="M5599" i="6"/>
  <c r="L5619" i="6"/>
  <c r="K5619" i="6"/>
  <c r="M5619" i="6"/>
  <c r="N5619" i="6"/>
  <c r="N5642" i="6"/>
  <c r="L5642" i="6"/>
  <c r="K5642" i="6"/>
  <c r="M5642" i="6"/>
  <c r="L5670" i="6"/>
  <c r="N5670" i="6"/>
  <c r="K5670" i="6"/>
  <c r="M5670" i="6"/>
  <c r="N5674" i="6"/>
  <c r="M5674" i="6"/>
  <c r="L5674" i="6"/>
  <c r="K5674" i="6"/>
  <c r="L5711" i="6"/>
  <c r="N5711" i="6"/>
  <c r="K5711" i="6"/>
  <c r="M5711" i="6"/>
  <c r="L5715" i="6"/>
  <c r="N5715" i="6"/>
  <c r="K5715" i="6"/>
  <c r="M5715" i="6"/>
  <c r="L5719" i="6"/>
  <c r="K5719" i="6"/>
  <c r="M5719" i="6"/>
  <c r="N5719" i="6"/>
  <c r="K5752" i="6"/>
  <c r="M5752" i="6"/>
  <c r="N5752" i="6"/>
  <c r="L5752" i="6"/>
  <c r="K5776" i="6"/>
  <c r="M5776" i="6"/>
  <c r="N5776" i="6"/>
  <c r="L5776" i="6"/>
  <c r="M5780" i="6"/>
  <c r="K5780" i="6"/>
  <c r="L5780" i="6"/>
  <c r="N5780" i="6"/>
  <c r="L5845" i="6"/>
  <c r="K5845" i="6"/>
  <c r="M5845" i="6"/>
  <c r="N5845" i="6"/>
  <c r="K5892" i="6"/>
  <c r="M5892" i="6"/>
  <c r="L5892" i="6"/>
  <c r="N5892" i="6"/>
  <c r="L5926" i="6"/>
  <c r="K5926" i="6"/>
  <c r="M5926" i="6"/>
  <c r="N5926" i="6"/>
  <c r="L5959" i="6"/>
  <c r="K5959" i="6"/>
  <c r="M5959" i="6"/>
  <c r="N5959" i="6"/>
  <c r="L5974" i="6"/>
  <c r="K5974" i="6"/>
  <c r="M5974" i="6"/>
  <c r="N5974" i="6"/>
  <c r="K5994" i="6"/>
  <c r="M5994" i="6"/>
  <c r="L5994" i="6"/>
  <c r="N5994" i="6"/>
  <c r="L6016" i="6"/>
  <c r="N6016" i="6"/>
  <c r="K6016" i="6"/>
  <c r="M6016" i="6"/>
  <c r="L6030" i="6"/>
  <c r="N6030" i="6"/>
  <c r="M6030" i="6"/>
  <c r="K6030" i="6"/>
  <c r="L6042" i="6"/>
  <c r="K6042" i="6"/>
  <c r="M6042" i="6"/>
  <c r="N6042" i="6"/>
  <c r="N6053" i="6"/>
  <c r="K6053" i="6"/>
  <c r="M6053" i="6"/>
  <c r="L6053" i="6"/>
  <c r="N6090" i="6"/>
  <c r="M6090" i="6"/>
  <c r="L6090" i="6"/>
  <c r="K6090" i="6"/>
  <c r="M6109" i="6"/>
  <c r="N6109" i="6"/>
  <c r="L6109" i="6"/>
  <c r="K6109" i="6"/>
  <c r="M6124" i="6"/>
  <c r="K6124" i="6"/>
  <c r="N6124" i="6"/>
  <c r="L6124" i="6"/>
  <c r="N6147" i="6"/>
  <c r="L6147" i="6"/>
  <c r="K6147" i="6"/>
  <c r="M6147" i="6"/>
  <c r="M6163" i="6"/>
  <c r="N6163" i="6"/>
  <c r="K6163" i="6"/>
  <c r="L6163" i="6"/>
  <c r="M6177" i="6"/>
  <c r="N6177" i="6"/>
  <c r="K6177" i="6"/>
  <c r="L6177" i="6"/>
  <c r="L6194" i="6"/>
  <c r="N6194" i="6"/>
  <c r="M6194" i="6"/>
  <c r="K6194" i="6"/>
  <c r="L6206" i="6"/>
  <c r="N6206" i="6"/>
  <c r="M6206" i="6"/>
  <c r="K6206" i="6"/>
  <c r="N6214" i="6"/>
  <c r="L6214" i="6"/>
  <c r="M6214" i="6"/>
  <c r="K6214" i="6"/>
  <c r="L6230" i="6"/>
  <c r="M6230" i="6"/>
  <c r="N6230" i="6"/>
  <c r="K6230" i="6"/>
  <c r="L6251" i="6"/>
  <c r="M6251" i="6"/>
  <c r="K6251" i="6"/>
  <c r="N6251" i="6"/>
  <c r="L6262" i="6"/>
  <c r="N6262" i="6"/>
  <c r="K6262" i="6"/>
  <c r="M6262" i="6"/>
  <c r="M6281" i="6"/>
  <c r="N6281" i="6"/>
  <c r="K6281" i="6"/>
  <c r="L6281" i="6"/>
  <c r="N6302" i="6"/>
  <c r="M6302" i="6"/>
  <c r="K6302" i="6"/>
  <c r="L6302" i="6"/>
  <c r="K6311" i="6"/>
  <c r="M6311" i="6"/>
  <c r="N6311" i="6"/>
  <c r="L6311" i="6"/>
  <c r="N6335" i="6"/>
  <c r="M6335" i="6"/>
  <c r="K6335" i="6"/>
  <c r="L6335" i="6"/>
  <c r="M6342" i="6"/>
  <c r="L6342" i="6"/>
  <c r="N6342" i="6"/>
  <c r="K6342" i="6"/>
  <c r="K6350" i="6"/>
  <c r="M6350" i="6"/>
  <c r="N6350" i="6"/>
  <c r="L6350" i="6"/>
  <c r="K6366" i="6"/>
  <c r="N6366" i="6"/>
  <c r="L6366" i="6"/>
  <c r="M6366" i="6"/>
  <c r="M6383" i="6"/>
  <c r="N6383" i="6"/>
  <c r="L6383" i="6"/>
  <c r="K6383" i="6"/>
  <c r="N6402" i="6"/>
  <c r="M6402" i="6"/>
  <c r="L6402" i="6"/>
  <c r="K6402" i="6"/>
  <c r="N6417" i="6"/>
  <c r="L6417" i="6"/>
  <c r="K6417" i="6"/>
  <c r="M6417" i="6"/>
  <c r="M6439" i="6"/>
  <c r="N6439" i="6"/>
  <c r="L6439" i="6"/>
  <c r="K6439" i="6"/>
  <c r="M6449" i="6"/>
  <c r="N6449" i="6"/>
  <c r="L6449" i="6"/>
  <c r="K6449" i="6"/>
  <c r="M6471" i="6"/>
  <c r="L6471" i="6"/>
  <c r="N6471" i="6"/>
  <c r="K6471" i="6"/>
  <c r="N6479" i="6"/>
  <c r="M6479" i="6"/>
  <c r="L6479" i="6"/>
  <c r="K6479" i="6"/>
  <c r="N6502" i="6"/>
  <c r="M6502" i="6"/>
  <c r="L6502" i="6"/>
  <c r="K6502" i="6"/>
  <c r="N6523" i="6"/>
  <c r="L6523" i="6"/>
  <c r="M6523" i="6"/>
  <c r="K6523" i="6"/>
  <c r="N6536" i="6"/>
  <c r="M6536" i="6"/>
  <c r="L6536" i="6"/>
  <c r="K6536" i="6"/>
  <c r="L6552" i="6"/>
  <c r="N6552" i="6"/>
  <c r="K6552" i="6"/>
  <c r="M6552" i="6"/>
  <c r="M6563" i="6"/>
  <c r="N6563" i="6"/>
  <c r="L6563" i="6"/>
  <c r="K6563" i="6"/>
  <c r="N6578" i="6"/>
  <c r="M6578" i="6"/>
  <c r="L6578" i="6"/>
  <c r="K6578" i="6"/>
  <c r="N6602" i="6"/>
  <c r="K6602" i="6"/>
  <c r="M6602" i="6"/>
  <c r="L6602" i="6"/>
  <c r="M6613" i="6"/>
  <c r="K6613" i="6"/>
  <c r="N6613" i="6"/>
  <c r="L6613" i="6"/>
  <c r="K6633" i="6"/>
  <c r="N6633" i="6"/>
  <c r="M6633" i="6"/>
  <c r="L6633" i="6"/>
  <c r="M6653" i="6"/>
  <c r="K6653" i="6"/>
  <c r="N6653" i="6"/>
  <c r="L6653" i="6"/>
  <c r="N6664" i="6"/>
  <c r="K6664" i="6"/>
  <c r="M6664" i="6"/>
  <c r="L6664" i="6"/>
  <c r="L6677" i="6"/>
  <c r="N6677" i="6"/>
  <c r="M6677" i="6"/>
  <c r="K6677" i="6"/>
  <c r="L6693" i="6"/>
  <c r="M6693" i="6"/>
  <c r="N6693" i="6"/>
  <c r="K6693" i="6"/>
  <c r="N6706" i="6"/>
  <c r="M6706" i="6"/>
  <c r="L6706" i="6"/>
  <c r="K6706" i="6"/>
  <c r="L6715" i="6"/>
  <c r="M6715" i="6"/>
  <c r="N6715" i="6"/>
  <c r="K6715" i="6"/>
  <c r="L6728" i="6"/>
  <c r="K6728" i="6"/>
  <c r="M6728" i="6"/>
  <c r="N6728" i="6"/>
  <c r="N6750" i="6"/>
  <c r="K6750" i="6"/>
  <c r="L6750" i="6"/>
  <c r="M6750" i="6"/>
  <c r="M6767" i="6"/>
  <c r="L6767" i="6"/>
  <c r="N6767" i="6"/>
  <c r="K6767" i="6"/>
  <c r="N6783" i="6"/>
  <c r="L6783" i="6"/>
  <c r="M6783" i="6"/>
  <c r="K6783" i="6"/>
  <c r="N6800" i="6"/>
  <c r="K6800" i="6"/>
  <c r="M6800" i="6"/>
  <c r="L6800" i="6"/>
  <c r="N6815" i="6"/>
  <c r="M6815" i="6"/>
  <c r="L6815" i="6"/>
  <c r="K6815" i="6"/>
  <c r="N6835" i="6"/>
  <c r="L6835" i="6"/>
  <c r="M6835" i="6"/>
  <c r="K6835" i="6"/>
  <c r="L6845" i="6"/>
  <c r="K6845" i="6"/>
  <c r="M6845" i="6"/>
  <c r="N6845" i="6"/>
  <c r="N6859" i="6"/>
  <c r="L6859" i="6"/>
  <c r="M6859" i="6"/>
  <c r="K6859" i="6"/>
  <c r="N6874" i="6"/>
  <c r="M6874" i="6"/>
  <c r="K6874" i="6"/>
  <c r="L6874" i="6"/>
  <c r="N6890" i="6"/>
  <c r="K6890" i="6"/>
  <c r="M6890" i="6"/>
  <c r="L6890" i="6"/>
  <c r="L6901" i="6"/>
  <c r="N6901" i="6"/>
  <c r="M6901" i="6"/>
  <c r="K6901" i="6"/>
  <c r="K3418" i="6"/>
  <c r="K3489" i="6"/>
  <c r="K3951" i="6"/>
  <c r="K3955" i="6"/>
  <c r="L4523" i="6"/>
  <c r="N4523" i="6"/>
  <c r="K4523" i="6"/>
  <c r="M4523" i="6"/>
  <c r="L4527" i="6"/>
  <c r="N4527" i="6"/>
  <c r="K4527" i="6"/>
  <c r="M4527" i="6"/>
  <c r="L4531" i="6"/>
  <c r="N4531" i="6"/>
  <c r="K4531" i="6"/>
  <c r="M4531" i="6"/>
  <c r="L4535" i="6"/>
  <c r="N4535" i="6"/>
  <c r="K4535" i="6"/>
  <c r="M4535" i="6"/>
  <c r="L4539" i="6"/>
  <c r="N4539" i="6"/>
  <c r="K4539" i="6"/>
  <c r="M4539" i="6"/>
  <c r="M4644" i="6"/>
  <c r="K4644" i="6"/>
  <c r="L4644" i="6"/>
  <c r="N4644" i="6"/>
  <c r="N4745" i="6"/>
  <c r="K4745" i="6"/>
  <c r="M4745" i="6"/>
  <c r="L4745" i="6"/>
  <c r="M4749" i="6"/>
  <c r="L4749" i="6"/>
  <c r="N4749" i="6"/>
  <c r="K4749" i="6"/>
  <c r="K4778" i="6"/>
  <c r="M4778" i="6"/>
  <c r="L4778" i="6"/>
  <c r="N4778" i="6"/>
  <c r="L4826" i="6"/>
  <c r="N4826" i="6"/>
  <c r="K4826" i="6"/>
  <c r="M4826" i="6"/>
  <c r="L4844" i="6"/>
  <c r="N4844" i="6"/>
  <c r="K4844" i="6"/>
  <c r="M4844" i="6"/>
  <c r="L4848" i="6"/>
  <c r="K4848" i="6"/>
  <c r="M4848" i="6"/>
  <c r="N4848" i="6"/>
  <c r="L4893" i="6"/>
  <c r="N4893" i="6"/>
  <c r="K4893" i="6"/>
  <c r="M4893" i="6"/>
  <c r="K4909" i="6"/>
  <c r="N4909" i="6"/>
  <c r="M4909" i="6"/>
  <c r="L4909" i="6"/>
  <c r="K4986" i="6"/>
  <c r="M4986" i="6"/>
  <c r="L4986" i="6"/>
  <c r="N4986" i="6"/>
  <c r="M5008" i="6"/>
  <c r="L5008" i="6"/>
  <c r="N5008" i="6"/>
  <c r="K5008" i="6"/>
  <c r="L5068" i="6"/>
  <c r="N5068" i="6"/>
  <c r="K5068" i="6"/>
  <c r="M5068" i="6"/>
  <c r="L5072" i="6"/>
  <c r="M5072" i="6"/>
  <c r="N5072" i="6"/>
  <c r="K5072" i="6"/>
  <c r="N5076" i="6"/>
  <c r="K5076" i="6"/>
  <c r="M5076" i="6"/>
  <c r="L5076" i="6"/>
  <c r="L5096" i="6"/>
  <c r="M5096" i="6"/>
  <c r="K5096" i="6"/>
  <c r="N5096" i="6"/>
  <c r="M5208" i="6"/>
  <c r="K5208" i="6"/>
  <c r="L5208" i="6"/>
  <c r="N5208" i="6"/>
  <c r="K5212" i="6"/>
  <c r="M5212" i="6"/>
  <c r="L5212" i="6"/>
  <c r="N5212" i="6"/>
  <c r="L5216" i="6"/>
  <c r="N5216" i="6"/>
  <c r="K5216" i="6"/>
  <c r="M5216" i="6"/>
  <c r="K5220" i="6"/>
  <c r="M5220" i="6"/>
  <c r="L5220" i="6"/>
  <c r="N5220" i="6"/>
  <c r="K5281" i="6"/>
  <c r="M5281" i="6"/>
  <c r="L5281" i="6"/>
  <c r="N5281" i="6"/>
  <c r="K5285" i="6"/>
  <c r="M5285" i="6"/>
  <c r="L5285" i="6"/>
  <c r="N5285" i="6"/>
  <c r="L5302" i="6"/>
  <c r="N5302" i="6"/>
  <c r="K5302" i="6"/>
  <c r="M5302" i="6"/>
  <c r="L5351" i="6"/>
  <c r="N5351" i="6"/>
  <c r="K5351" i="6"/>
  <c r="M5351" i="6"/>
  <c r="L5387" i="6"/>
  <c r="N5387" i="6"/>
  <c r="K5387" i="6"/>
  <c r="M5387" i="6"/>
  <c r="L5391" i="6"/>
  <c r="K5391" i="6"/>
  <c r="N5391" i="6"/>
  <c r="M5391" i="6"/>
  <c r="L5465" i="6"/>
  <c r="K5465" i="6"/>
  <c r="M5465" i="6"/>
  <c r="N5465" i="6"/>
  <c r="L5489" i="6"/>
  <c r="N5489" i="6"/>
  <c r="K5489" i="6"/>
  <c r="M5489" i="6"/>
  <c r="K5493" i="6"/>
  <c r="L5493" i="6"/>
  <c r="N5493" i="6"/>
  <c r="M5493" i="6"/>
  <c r="K5514" i="6"/>
  <c r="L5514" i="6"/>
  <c r="M5514" i="6"/>
  <c r="N5514" i="6"/>
  <c r="K5530" i="6"/>
  <c r="L5530" i="6"/>
  <c r="M5530" i="6"/>
  <c r="N5530" i="6"/>
  <c r="K5562" i="6"/>
  <c r="L5562" i="6"/>
  <c r="M5562" i="6"/>
  <c r="N5562" i="6"/>
  <c r="N5608" i="6"/>
  <c r="M5608" i="6"/>
  <c r="L5608" i="6"/>
  <c r="K5608" i="6"/>
  <c r="L5629" i="6"/>
  <c r="K5629" i="6"/>
  <c r="M5629" i="6"/>
  <c r="N5629" i="6"/>
  <c r="N5633" i="6"/>
  <c r="M5633" i="6"/>
  <c r="L5633" i="6"/>
  <c r="K5633" i="6"/>
  <c r="M5646" i="6"/>
  <c r="L5646" i="6"/>
  <c r="N5646" i="6"/>
  <c r="K5646" i="6"/>
  <c r="L5667" i="6"/>
  <c r="K5667" i="6"/>
  <c r="N5667" i="6"/>
  <c r="M5667" i="6"/>
  <c r="M5685" i="6"/>
  <c r="L5685" i="6"/>
  <c r="N5685" i="6"/>
  <c r="K5685" i="6"/>
  <c r="N5689" i="6"/>
  <c r="M5689" i="6"/>
  <c r="K5689" i="6"/>
  <c r="L5689" i="6"/>
  <c r="M5693" i="6"/>
  <c r="L5693" i="6"/>
  <c r="N5693" i="6"/>
  <c r="K5693" i="6"/>
  <c r="L5758" i="6"/>
  <c r="M5758" i="6"/>
  <c r="K5758" i="6"/>
  <c r="N5758" i="6"/>
  <c r="K5762" i="6"/>
  <c r="L5762" i="6"/>
  <c r="N5762" i="6"/>
  <c r="M5762" i="6"/>
  <c r="N5766" i="6"/>
  <c r="K5766" i="6"/>
  <c r="M5766" i="6"/>
  <c r="L5766" i="6"/>
  <c r="L5790" i="6"/>
  <c r="M5790" i="6"/>
  <c r="K5790" i="6"/>
  <c r="N5790" i="6"/>
  <c r="K5794" i="6"/>
  <c r="L5794" i="6"/>
  <c r="N5794" i="6"/>
  <c r="M5794" i="6"/>
  <c r="M5810" i="6"/>
  <c r="L5810" i="6"/>
  <c r="N5810" i="6"/>
  <c r="K5810" i="6"/>
  <c r="L5838" i="6"/>
  <c r="N5838" i="6"/>
  <c r="M5838" i="6"/>
  <c r="K5838" i="6"/>
  <c r="N5842" i="6"/>
  <c r="K5842" i="6"/>
  <c r="M5842" i="6"/>
  <c r="L5842" i="6"/>
  <c r="L5881" i="6"/>
  <c r="K5881" i="6"/>
  <c r="N5881" i="6"/>
  <c r="M5881" i="6"/>
  <c r="M5885" i="6"/>
  <c r="L5885" i="6"/>
  <c r="N5885" i="6"/>
  <c r="K5885" i="6"/>
  <c r="M5904" i="6"/>
  <c r="K5904" i="6"/>
  <c r="L5904" i="6"/>
  <c r="N5904" i="6"/>
  <c r="L5917" i="6"/>
  <c r="N5917" i="6"/>
  <c r="K5917" i="6"/>
  <c r="M5917" i="6"/>
  <c r="M5931" i="6"/>
  <c r="L5931" i="6"/>
  <c r="N5931" i="6"/>
  <c r="K5931" i="6"/>
  <c r="K5935" i="6"/>
  <c r="N5935" i="6"/>
  <c r="M5935" i="6"/>
  <c r="L5935" i="6"/>
  <c r="L5939" i="6"/>
  <c r="K5939" i="6"/>
  <c r="M5939" i="6"/>
  <c r="N5939" i="6"/>
  <c r="M5956" i="6"/>
  <c r="L5956" i="6"/>
  <c r="N5956" i="6"/>
  <c r="K5956" i="6"/>
  <c r="M5980" i="6"/>
  <c r="K5980" i="6"/>
  <c r="L5980" i="6"/>
  <c r="N5980" i="6"/>
  <c r="K5984" i="6"/>
  <c r="L5984" i="6"/>
  <c r="M5984" i="6"/>
  <c r="N5984" i="6"/>
  <c r="L6001" i="6"/>
  <c r="N6001" i="6"/>
  <c r="K6001" i="6"/>
  <c r="M6001" i="6"/>
  <c r="K6013" i="6"/>
  <c r="M6013" i="6"/>
  <c r="L6013" i="6"/>
  <c r="N6013" i="6"/>
  <c r="M6027" i="6"/>
  <c r="L6027" i="6"/>
  <c r="N6027" i="6"/>
  <c r="K6027" i="6"/>
  <c r="L6049" i="6"/>
  <c r="N6049" i="6"/>
  <c r="K6049" i="6"/>
  <c r="M6049" i="6"/>
  <c r="K6066" i="6"/>
  <c r="M6066" i="6"/>
  <c r="L6066" i="6"/>
  <c r="N6066" i="6"/>
  <c r="M6099" i="6"/>
  <c r="L6099" i="6"/>
  <c r="K6099" i="6"/>
  <c r="N6099" i="6"/>
  <c r="M6112" i="6"/>
  <c r="K6112" i="6"/>
  <c r="N6112" i="6"/>
  <c r="L6112" i="6"/>
  <c r="N6127" i="6"/>
  <c r="L6127" i="6"/>
  <c r="K6127" i="6"/>
  <c r="M6127" i="6"/>
  <c r="K6140" i="6"/>
  <c r="M6140" i="6"/>
  <c r="N6140" i="6"/>
  <c r="L6140" i="6"/>
  <c r="M6161" i="6"/>
  <c r="K6161" i="6"/>
  <c r="L6161" i="6"/>
  <c r="N6161" i="6"/>
  <c r="M6174" i="6"/>
  <c r="N6174" i="6"/>
  <c r="L6174" i="6"/>
  <c r="K6174" i="6"/>
  <c r="L6190" i="6"/>
  <c r="N6190" i="6"/>
  <c r="M6190" i="6"/>
  <c r="K6190" i="6"/>
  <c r="K6203" i="6"/>
  <c r="N6203" i="6"/>
  <c r="M6203" i="6"/>
  <c r="L6203" i="6"/>
  <c r="M6218" i="6"/>
  <c r="L6218" i="6"/>
  <c r="K6218" i="6"/>
  <c r="N6218" i="6"/>
  <c r="N6226" i="6"/>
  <c r="M6226" i="6"/>
  <c r="L6226" i="6"/>
  <c r="K6226" i="6"/>
  <c r="K6240" i="6"/>
  <c r="N6240" i="6"/>
  <c r="L6240" i="6"/>
  <c r="M6240" i="6"/>
  <c r="M6258" i="6"/>
  <c r="L6258" i="6"/>
  <c r="N6258" i="6"/>
  <c r="K6258" i="6"/>
  <c r="L6278" i="6"/>
  <c r="N6278" i="6"/>
  <c r="K6278" i="6"/>
  <c r="M6278" i="6"/>
  <c r="L6288" i="6"/>
  <c r="N6288" i="6"/>
  <c r="K6288" i="6"/>
  <c r="M6288" i="6"/>
  <c r="K6299" i="6"/>
  <c r="M6299" i="6"/>
  <c r="N6299" i="6"/>
  <c r="L6299" i="6"/>
  <c r="M6319" i="6"/>
  <c r="N6319" i="6"/>
  <c r="L6319" i="6"/>
  <c r="K6319" i="6"/>
  <c r="N6338" i="6"/>
  <c r="M6338" i="6"/>
  <c r="K6338" i="6"/>
  <c r="L6338" i="6"/>
  <c r="K6354" i="6"/>
  <c r="M6354" i="6"/>
  <c r="N6354" i="6"/>
  <c r="L6354" i="6"/>
  <c r="N6370" i="6"/>
  <c r="L6370" i="6"/>
  <c r="M6370" i="6"/>
  <c r="K6370" i="6"/>
  <c r="N6394" i="6"/>
  <c r="K6394" i="6"/>
  <c r="L6394" i="6"/>
  <c r="M6394" i="6"/>
  <c r="N6410" i="6"/>
  <c r="M6410" i="6"/>
  <c r="K6410" i="6"/>
  <c r="L6410" i="6"/>
  <c r="N6434" i="6"/>
  <c r="M6434" i="6"/>
  <c r="L6434" i="6"/>
  <c r="K6434" i="6"/>
  <c r="K6452" i="6"/>
  <c r="L6452" i="6"/>
  <c r="M6452" i="6"/>
  <c r="N6452" i="6"/>
  <c r="N6469" i="6"/>
  <c r="M6469" i="6"/>
  <c r="K6469" i="6"/>
  <c r="L6469" i="6"/>
  <c r="N6493" i="6"/>
  <c r="M6493" i="6"/>
  <c r="L6493" i="6"/>
  <c r="K6493" i="6"/>
  <c r="L6505" i="6"/>
  <c r="K6505" i="6"/>
  <c r="N6505" i="6"/>
  <c r="M6505" i="6"/>
  <c r="N6525" i="6"/>
  <c r="M6525" i="6"/>
  <c r="K6525" i="6"/>
  <c r="L6525" i="6"/>
  <c r="N6540" i="6"/>
  <c r="M6540" i="6"/>
  <c r="K6540" i="6"/>
  <c r="L6540" i="6"/>
  <c r="L6560" i="6"/>
  <c r="M6560" i="6"/>
  <c r="N6560" i="6"/>
  <c r="K6560" i="6"/>
  <c r="L6576" i="6"/>
  <c r="N6576" i="6"/>
  <c r="K6576" i="6"/>
  <c r="M6576" i="6"/>
  <c r="N6591" i="6"/>
  <c r="M6591" i="6"/>
  <c r="L6591" i="6"/>
  <c r="K6591" i="6"/>
  <c r="N6605" i="6"/>
  <c r="M6605" i="6"/>
  <c r="L6605" i="6"/>
  <c r="K6605" i="6"/>
  <c r="N6617" i="6"/>
  <c r="L6617" i="6"/>
  <c r="K6617" i="6"/>
  <c r="M6617" i="6"/>
  <c r="L6636" i="6"/>
  <c r="K6636" i="6"/>
  <c r="N6636" i="6"/>
  <c r="M6636" i="6"/>
  <c r="N6650" i="6"/>
  <c r="M6650" i="6"/>
  <c r="K6650" i="6"/>
  <c r="L6650" i="6"/>
  <c r="N6668" i="6"/>
  <c r="L6668" i="6"/>
  <c r="K6668" i="6"/>
  <c r="M6668" i="6"/>
  <c r="M6681" i="6"/>
  <c r="K6681" i="6"/>
  <c r="N6681" i="6"/>
  <c r="L6681" i="6"/>
  <c r="L6703" i="6"/>
  <c r="M6703" i="6"/>
  <c r="K6703" i="6"/>
  <c r="N6703" i="6"/>
  <c r="L6717" i="6"/>
  <c r="M6717" i="6"/>
  <c r="K6717" i="6"/>
  <c r="N6717" i="6"/>
  <c r="M6731" i="6"/>
  <c r="L6731" i="6"/>
  <c r="N6731" i="6"/>
  <c r="K6731" i="6"/>
  <c r="N6745" i="6"/>
  <c r="M6745" i="6"/>
  <c r="L6745" i="6"/>
  <c r="K6745" i="6"/>
  <c r="N6759" i="6"/>
  <c r="L6759" i="6"/>
  <c r="M6759" i="6"/>
  <c r="K6759" i="6"/>
  <c r="N6775" i="6"/>
  <c r="L6775" i="6"/>
  <c r="M6775" i="6"/>
  <c r="K6775" i="6"/>
  <c r="L6792" i="6"/>
  <c r="N6792" i="6"/>
  <c r="K6792" i="6"/>
  <c r="M6792" i="6"/>
  <c r="N6804" i="6"/>
  <c r="M6804" i="6"/>
  <c r="L6804" i="6"/>
  <c r="N6819" i="6"/>
  <c r="L6819" i="6"/>
  <c r="M6819" i="6"/>
  <c r="K6819" i="6"/>
  <c r="L6833" i="6"/>
  <c r="N6833" i="6"/>
  <c r="M6833" i="6"/>
  <c r="K6833" i="6"/>
  <c r="N6852" i="6"/>
  <c r="M6852" i="6"/>
  <c r="K6852" i="6"/>
  <c r="L6852" i="6"/>
  <c r="N6871" i="6"/>
  <c r="L6871" i="6"/>
  <c r="M6871" i="6"/>
  <c r="K6871" i="6"/>
  <c r="N6887" i="6"/>
  <c r="L6887" i="6"/>
  <c r="M6887" i="6"/>
  <c r="K6887" i="6"/>
  <c r="N6903" i="6"/>
  <c r="M6903" i="6"/>
  <c r="L6903" i="6"/>
  <c r="K6903" i="6"/>
  <c r="K4132" i="6"/>
  <c r="M3012" i="6"/>
  <c r="L3012" i="6"/>
  <c r="N3012" i="6"/>
  <c r="K3012" i="6"/>
  <c r="L3034" i="6"/>
  <c r="K3034" i="6"/>
  <c r="M3034" i="6"/>
  <c r="N3034" i="6"/>
  <c r="L3048" i="6"/>
  <c r="K3048" i="6"/>
  <c r="M3048" i="6"/>
  <c r="N3048" i="6"/>
  <c r="L3059" i="6"/>
  <c r="N3059" i="6"/>
  <c r="K3059" i="6"/>
  <c r="M3059" i="6"/>
  <c r="M3087" i="6"/>
  <c r="L3087" i="6"/>
  <c r="N3087" i="6"/>
  <c r="K3087" i="6"/>
  <c r="K3091" i="6"/>
  <c r="M3091" i="6"/>
  <c r="L3091" i="6"/>
  <c r="N3091" i="6"/>
  <c r="M3017" i="6"/>
  <c r="L3017" i="6"/>
  <c r="N3017" i="6"/>
  <c r="K3017" i="6"/>
  <c r="L3060" i="6"/>
  <c r="K3060" i="6"/>
  <c r="M3060" i="6"/>
  <c r="N3060" i="6"/>
  <c r="L3095" i="6"/>
  <c r="M3095" i="6"/>
  <c r="N3095" i="6"/>
  <c r="L3109" i="6"/>
  <c r="M3109" i="6"/>
  <c r="N3109" i="6"/>
  <c r="K3109" i="6"/>
  <c r="N3118" i="6"/>
  <c r="K3118" i="6"/>
  <c r="M3118" i="6"/>
  <c r="L3118" i="6"/>
  <c r="N3134" i="6"/>
  <c r="K3134" i="6"/>
  <c r="M3134" i="6"/>
  <c r="L3134" i="6"/>
  <c r="L3151" i="6"/>
  <c r="M3151" i="6"/>
  <c r="N3151" i="6"/>
  <c r="M3169" i="6"/>
  <c r="N3169" i="6"/>
  <c r="L3169" i="6"/>
  <c r="L3184" i="6"/>
  <c r="M3184" i="6"/>
  <c r="N3184" i="6"/>
  <c r="K3191" i="6"/>
  <c r="M3191" i="6"/>
  <c r="L3191" i="6"/>
  <c r="N3191" i="6"/>
  <c r="L3210" i="6"/>
  <c r="N3210" i="6"/>
  <c r="M3210" i="6"/>
  <c r="L3236" i="6"/>
  <c r="M3236" i="6"/>
  <c r="N3236" i="6"/>
  <c r="M3243" i="6"/>
  <c r="L3243" i="6"/>
  <c r="N3243" i="6"/>
  <c r="L3256" i="6"/>
  <c r="M3256" i="6"/>
  <c r="N3256" i="6"/>
  <c r="L3269" i="6"/>
  <c r="M3269" i="6"/>
  <c r="N3269" i="6"/>
  <c r="L3276" i="6"/>
  <c r="M3276" i="6"/>
  <c r="N3276" i="6"/>
  <c r="L3292" i="6"/>
  <c r="M3292" i="6"/>
  <c r="N3292" i="6"/>
  <c r="K3312" i="6"/>
  <c r="M3312" i="6"/>
  <c r="L3312" i="6"/>
  <c r="N3312" i="6"/>
  <c r="K3322" i="6"/>
  <c r="N3322" i="6"/>
  <c r="M3322" i="6"/>
  <c r="L3322" i="6"/>
  <c r="K3334" i="6"/>
  <c r="L3334" i="6"/>
  <c r="N3334" i="6"/>
  <c r="M3334" i="6"/>
  <c r="K3345" i="6"/>
  <c r="M3345" i="6"/>
  <c r="L3345" i="6"/>
  <c r="N3345" i="6"/>
  <c r="L3359" i="6"/>
  <c r="M3359" i="6"/>
  <c r="N3359" i="6"/>
  <c r="L3380" i="6"/>
  <c r="N3380" i="6"/>
  <c r="M3380" i="6"/>
  <c r="K3389" i="6"/>
  <c r="L3389" i="6"/>
  <c r="N3389" i="6"/>
  <c r="M3389" i="6"/>
  <c r="L3397" i="6"/>
  <c r="N3397" i="6"/>
  <c r="M3397" i="6"/>
  <c r="L3404" i="6"/>
  <c r="N3404" i="6"/>
  <c r="M3404" i="6"/>
  <c r="L3413" i="6"/>
  <c r="K3413" i="6"/>
  <c r="M3413" i="6"/>
  <c r="N3413" i="6"/>
  <c r="K3020" i="6"/>
  <c r="M3020" i="6"/>
  <c r="L3020" i="6"/>
  <c r="N3020" i="6"/>
  <c r="L3051" i="6"/>
  <c r="M3051" i="6"/>
  <c r="N3051" i="6"/>
  <c r="M3063" i="6"/>
  <c r="L3063" i="6"/>
  <c r="N3063" i="6"/>
  <c r="K3063" i="6"/>
  <c r="N3067" i="6"/>
  <c r="K3067" i="6"/>
  <c r="M3067" i="6"/>
  <c r="L3067" i="6"/>
  <c r="M3071" i="6"/>
  <c r="L3071" i="6"/>
  <c r="N3071" i="6"/>
  <c r="K3071" i="6"/>
  <c r="N3075" i="6"/>
  <c r="K3075" i="6"/>
  <c r="M3075" i="6"/>
  <c r="L3075" i="6"/>
  <c r="L3112" i="6"/>
  <c r="M3112" i="6"/>
  <c r="N3112" i="6"/>
  <c r="L3123" i="6"/>
  <c r="M3123" i="6"/>
  <c r="K3123" i="6"/>
  <c r="N3123" i="6"/>
  <c r="M3138" i="6"/>
  <c r="L3138" i="6"/>
  <c r="N3138" i="6"/>
  <c r="K3138" i="6"/>
  <c r="K3153" i="6"/>
  <c r="M3153" i="6"/>
  <c r="L3153" i="6"/>
  <c r="N3153" i="6"/>
  <c r="L3171" i="6"/>
  <c r="M3171" i="6"/>
  <c r="K3171" i="6"/>
  <c r="L3185" i="6"/>
  <c r="K3185" i="6"/>
  <c r="N3185" i="6"/>
  <c r="M3185" i="6"/>
  <c r="K3199" i="6"/>
  <c r="L3199" i="6"/>
  <c r="M3199" i="6"/>
  <c r="N3199" i="6"/>
  <c r="L3212" i="6"/>
  <c r="N3212" i="6"/>
  <c r="M3212" i="6"/>
  <c r="L3232" i="6"/>
  <c r="M3232" i="6"/>
  <c r="N3232" i="6"/>
  <c r="M3251" i="6"/>
  <c r="L3251" i="6"/>
  <c r="N3251" i="6"/>
  <c r="L3264" i="6"/>
  <c r="M3264" i="6"/>
  <c r="N3264" i="6"/>
  <c r="K3283" i="6"/>
  <c r="M3283" i="6"/>
  <c r="L3283" i="6"/>
  <c r="N3283" i="6"/>
  <c r="M3299" i="6"/>
  <c r="L3299" i="6"/>
  <c r="N3299" i="6"/>
  <c r="L3315" i="6"/>
  <c r="M3315" i="6"/>
  <c r="N3315" i="6"/>
  <c r="L3348" i="6"/>
  <c r="K3348" i="6"/>
  <c r="M3348" i="6"/>
  <c r="N3348" i="6"/>
  <c r="L3360" i="6"/>
  <c r="K3360" i="6"/>
  <c r="M3360" i="6"/>
  <c r="N3360" i="6"/>
  <c r="K3374" i="6"/>
  <c r="L3374" i="6"/>
  <c r="N3374" i="6"/>
  <c r="M3374" i="6"/>
  <c r="L3392" i="6"/>
  <c r="N3392" i="6"/>
  <c r="M3392" i="6"/>
  <c r="L3040" i="6"/>
  <c r="N3040" i="6"/>
  <c r="K3040" i="6"/>
  <c r="M3040" i="6"/>
  <c r="M3106" i="6"/>
  <c r="L3106" i="6"/>
  <c r="N3106" i="6"/>
  <c r="K3106" i="6"/>
  <c r="M3125" i="6"/>
  <c r="L3125" i="6"/>
  <c r="N3125" i="6"/>
  <c r="L3154" i="6"/>
  <c r="K3154" i="6"/>
  <c r="M3154" i="6"/>
  <c r="N3154" i="6"/>
  <c r="L3172" i="6"/>
  <c r="M3172" i="6"/>
  <c r="K3172" i="6"/>
  <c r="N3172" i="6"/>
  <c r="L3214" i="6"/>
  <c r="K3214" i="6"/>
  <c r="M3214" i="6"/>
  <c r="N3214" i="6"/>
  <c r="L3226" i="6"/>
  <c r="M3226" i="6"/>
  <c r="N3226" i="6"/>
  <c r="K3232" i="6"/>
  <c r="K3242" i="6"/>
  <c r="K3267" i="6"/>
  <c r="M3267" i="6"/>
  <c r="L3267" i="6"/>
  <c r="N3267" i="6"/>
  <c r="L3278" i="6"/>
  <c r="K3278" i="6"/>
  <c r="M3278" i="6"/>
  <c r="N3278" i="6"/>
  <c r="L3337" i="6"/>
  <c r="M3337" i="6"/>
  <c r="N3337" i="6"/>
  <c r="M3365" i="6"/>
  <c r="L3365" i="6"/>
  <c r="N3365" i="6"/>
  <c r="L3384" i="6"/>
  <c r="N3384" i="6"/>
  <c r="M3384" i="6"/>
  <c r="K3392" i="6"/>
  <c r="M3434" i="6"/>
  <c r="L3434" i="6"/>
  <c r="N3434" i="6"/>
  <c r="K3434" i="6"/>
  <c r="L3443" i="6"/>
  <c r="M3443" i="6"/>
  <c r="N3443" i="6"/>
  <c r="N3447" i="6"/>
  <c r="K3447" i="6"/>
  <c r="L3447" i="6"/>
  <c r="M3447" i="6"/>
  <c r="L3472" i="6"/>
  <c r="N3472" i="6"/>
  <c r="M3472" i="6"/>
  <c r="L3476" i="6"/>
  <c r="N3476" i="6"/>
  <c r="K3476" i="6"/>
  <c r="M3476" i="6"/>
  <c r="M3480" i="6"/>
  <c r="K3480" i="6"/>
  <c r="L3480" i="6"/>
  <c r="N3480" i="6"/>
  <c r="M3484" i="6"/>
  <c r="N3484" i="6"/>
  <c r="K3484" i="6"/>
  <c r="L3484" i="6"/>
  <c r="L3496" i="6"/>
  <c r="K3496" i="6"/>
  <c r="M3496" i="6"/>
  <c r="N3496" i="6"/>
  <c r="L3516" i="6"/>
  <c r="N3516" i="6"/>
  <c r="M3516" i="6"/>
  <c r="K3539" i="6"/>
  <c r="M3539" i="6"/>
  <c r="L3539" i="6"/>
  <c r="N3539" i="6"/>
  <c r="L3555" i="6"/>
  <c r="N3555" i="6"/>
  <c r="K3555" i="6"/>
  <c r="M3555" i="6"/>
  <c r="L3563" i="6"/>
  <c r="N3563" i="6"/>
  <c r="K3563" i="6"/>
  <c r="M3563" i="6"/>
  <c r="L3571" i="6"/>
  <c r="N3571" i="6"/>
  <c r="K3571" i="6"/>
  <c r="M3571" i="6"/>
  <c r="L3593" i="6"/>
  <c r="N3593" i="6"/>
  <c r="K3593" i="6"/>
  <c r="M3593" i="6"/>
  <c r="L3601" i="6"/>
  <c r="N3601" i="6"/>
  <c r="K3601" i="6"/>
  <c r="M3601" i="6"/>
  <c r="K3605" i="6"/>
  <c r="L3605" i="6"/>
  <c r="M3605" i="6"/>
  <c r="N3605" i="6"/>
  <c r="K3629" i="6"/>
  <c r="M3629" i="6"/>
  <c r="L3629" i="6"/>
  <c r="N3629" i="6"/>
  <c r="K3645" i="6"/>
  <c r="M3645" i="6"/>
  <c r="L3645" i="6"/>
  <c r="N3645" i="6"/>
  <c r="L3660" i="6"/>
  <c r="M3660" i="6"/>
  <c r="N3660" i="6"/>
  <c r="L3692" i="6"/>
  <c r="M3692" i="6"/>
  <c r="N3692" i="6"/>
  <c r="N3726" i="6"/>
  <c r="K3726" i="6"/>
  <c r="M3726" i="6"/>
  <c r="L3726" i="6"/>
  <c r="K3730" i="6"/>
  <c r="M3730" i="6"/>
  <c r="L3730" i="6"/>
  <c r="N3730" i="6"/>
  <c r="M3853" i="6"/>
  <c r="L3853" i="6"/>
  <c r="N3853" i="6"/>
  <c r="K3853" i="6"/>
  <c r="K3874" i="6"/>
  <c r="M3874" i="6"/>
  <c r="N3874" i="6"/>
  <c r="L3874" i="6"/>
  <c r="M3878" i="6"/>
  <c r="L3878" i="6"/>
  <c r="N3878" i="6"/>
  <c r="K3878" i="6"/>
  <c r="N3882" i="6"/>
  <c r="K3882" i="6"/>
  <c r="M3882" i="6"/>
  <c r="L3882" i="6"/>
  <c r="L3892" i="6"/>
  <c r="N3892" i="6"/>
  <c r="M3892" i="6"/>
  <c r="L3916" i="6"/>
  <c r="N3916" i="6"/>
  <c r="M3916" i="6"/>
  <c r="L3925" i="6"/>
  <c r="M3925" i="6"/>
  <c r="N3925" i="6"/>
  <c r="N3929" i="6"/>
  <c r="L3929" i="6"/>
  <c r="K3929" i="6"/>
  <c r="M3929" i="6"/>
  <c r="L3947" i="6"/>
  <c r="N3947" i="6"/>
  <c r="M3947" i="6"/>
  <c r="K3947" i="6"/>
  <c r="K3968" i="6"/>
  <c r="M3968" i="6"/>
  <c r="N3968" i="6"/>
  <c r="L3968" i="6"/>
  <c r="K3972" i="6"/>
  <c r="M3972" i="6"/>
  <c r="N3972" i="6"/>
  <c r="L3972" i="6"/>
  <c r="K3976" i="6"/>
  <c r="M3976" i="6"/>
  <c r="N3976" i="6"/>
  <c r="L3976" i="6"/>
  <c r="L3986" i="6"/>
  <c r="N3986" i="6"/>
  <c r="M3986" i="6"/>
  <c r="M3998" i="6"/>
  <c r="L3998" i="6"/>
  <c r="N3998" i="6"/>
  <c r="L4022" i="6"/>
  <c r="N4022" i="6"/>
  <c r="K4022" i="6"/>
  <c r="M4022" i="6"/>
  <c r="K4036" i="6"/>
  <c r="M4036" i="6"/>
  <c r="N4036" i="6"/>
  <c r="L4036" i="6"/>
  <c r="L4061" i="6"/>
  <c r="N4061" i="6"/>
  <c r="M4061" i="6"/>
  <c r="K4061" i="6"/>
  <c r="L4089" i="6"/>
  <c r="K4089" i="6"/>
  <c r="N4089" i="6"/>
  <c r="M4089" i="6"/>
  <c r="N4093" i="6"/>
  <c r="K4093" i="6"/>
  <c r="M4093" i="6"/>
  <c r="L4093" i="6"/>
  <c r="L4097" i="6"/>
  <c r="N4097" i="6"/>
  <c r="K4097" i="6"/>
  <c r="M4097" i="6"/>
  <c r="N4101" i="6"/>
  <c r="M4101" i="6"/>
  <c r="L4101" i="6"/>
  <c r="L4133" i="6"/>
  <c r="N4133" i="6"/>
  <c r="M4133" i="6"/>
  <c r="N4142" i="6"/>
  <c r="L4142" i="6"/>
  <c r="M4142" i="6"/>
  <c r="L4146" i="6"/>
  <c r="N4146" i="6"/>
  <c r="K4146" i="6"/>
  <c r="M4146" i="6"/>
  <c r="N4189" i="6"/>
  <c r="K4189" i="6"/>
  <c r="M4189" i="6"/>
  <c r="L4189" i="6"/>
  <c r="L4211" i="6"/>
  <c r="M4211" i="6"/>
  <c r="N4211" i="6"/>
  <c r="K4211" i="6"/>
  <c r="L4215" i="6"/>
  <c r="N4215" i="6"/>
  <c r="K4215" i="6"/>
  <c r="M4215" i="6"/>
  <c r="L4219" i="6"/>
  <c r="M4219" i="6"/>
  <c r="N4219" i="6"/>
  <c r="K4219" i="6"/>
  <c r="M4232" i="6"/>
  <c r="L4232" i="6"/>
  <c r="N4232" i="6"/>
  <c r="K4232" i="6"/>
  <c r="N4244" i="6"/>
  <c r="K4244" i="6"/>
  <c r="M4244" i="6"/>
  <c r="L4244" i="6"/>
  <c r="N4256" i="6"/>
  <c r="M4256" i="6"/>
  <c r="K4256" i="6"/>
  <c r="L4256" i="6"/>
  <c r="N4279" i="6"/>
  <c r="K4279" i="6"/>
  <c r="M4279" i="6"/>
  <c r="L4279" i="6"/>
  <c r="L4283" i="6"/>
  <c r="M4283" i="6"/>
  <c r="N4283" i="6"/>
  <c r="K4283" i="6"/>
  <c r="L4310" i="6"/>
  <c r="M4310" i="6"/>
  <c r="N4310" i="6"/>
  <c r="K4310" i="6"/>
  <c r="K4338" i="6"/>
  <c r="L4338" i="6"/>
  <c r="M4338" i="6"/>
  <c r="N4338" i="6"/>
  <c r="L4342" i="6"/>
  <c r="N4342" i="6"/>
  <c r="K4342" i="6"/>
  <c r="M4342" i="6"/>
  <c r="M4346" i="6"/>
  <c r="L4346" i="6"/>
  <c r="N4346" i="6"/>
  <c r="K4346" i="6"/>
  <c r="L4350" i="6"/>
  <c r="K4350" i="6"/>
  <c r="M4350" i="6"/>
  <c r="N4350" i="6"/>
  <c r="L4402" i="6"/>
  <c r="K4402" i="6"/>
  <c r="M4402" i="6"/>
  <c r="N4402" i="6"/>
  <c r="K4439" i="6"/>
  <c r="M4439" i="6"/>
  <c r="L4439" i="6"/>
  <c r="N4439" i="6"/>
  <c r="K4443" i="6"/>
  <c r="M4443" i="6"/>
  <c r="N4443" i="6"/>
  <c r="L4443" i="6"/>
  <c r="M4447" i="6"/>
  <c r="K4447" i="6"/>
  <c r="L4447" i="6"/>
  <c r="N4447" i="6"/>
  <c r="K4451" i="6"/>
  <c r="M4451" i="6"/>
  <c r="N4451" i="6"/>
  <c r="L4451" i="6"/>
  <c r="K4467" i="6"/>
  <c r="M4467" i="6"/>
  <c r="N4467" i="6"/>
  <c r="L4467" i="6"/>
  <c r="L3097" i="6"/>
  <c r="K3097" i="6"/>
  <c r="N3097" i="6"/>
  <c r="M3097" i="6"/>
  <c r="M3114" i="6"/>
  <c r="L3114" i="6"/>
  <c r="N3114" i="6"/>
  <c r="K3114" i="6"/>
  <c r="K3142" i="6"/>
  <c r="M3142" i="6"/>
  <c r="N3142" i="6"/>
  <c r="L3142" i="6"/>
  <c r="L3163" i="6"/>
  <c r="N3163" i="6"/>
  <c r="M3163" i="6"/>
  <c r="K3169" i="6"/>
  <c r="K3184" i="6"/>
  <c r="L3208" i="6"/>
  <c r="M3208" i="6"/>
  <c r="N3208" i="6"/>
  <c r="L3233" i="6"/>
  <c r="M3233" i="6"/>
  <c r="N3233" i="6"/>
  <c r="K3233" i="6"/>
  <c r="L3246" i="6"/>
  <c r="K3246" i="6"/>
  <c r="N3246" i="6"/>
  <c r="M3246" i="6"/>
  <c r="L3260" i="6"/>
  <c r="K3260" i="6"/>
  <c r="M3260" i="6"/>
  <c r="N3260" i="6"/>
  <c r="K3276" i="6"/>
  <c r="K3298" i="6"/>
  <c r="L3353" i="6"/>
  <c r="K3353" i="6"/>
  <c r="N3353" i="6"/>
  <c r="M3353" i="6"/>
  <c r="L3376" i="6"/>
  <c r="N3376" i="6"/>
  <c r="K3376" i="6"/>
  <c r="M3376" i="6"/>
  <c r="K3395" i="6"/>
  <c r="M3395" i="6"/>
  <c r="N3395" i="6"/>
  <c r="L3395" i="6"/>
  <c r="N3419" i="6"/>
  <c r="L3419" i="6"/>
  <c r="M3419" i="6"/>
  <c r="M3440" i="6"/>
  <c r="N3440" i="6"/>
  <c r="K3440" i="6"/>
  <c r="L3440" i="6"/>
  <c r="L3468" i="6"/>
  <c r="K3468" i="6"/>
  <c r="M3468" i="6"/>
  <c r="N3468" i="6"/>
  <c r="L3490" i="6"/>
  <c r="N3490" i="6"/>
  <c r="K3490" i="6"/>
  <c r="M3490" i="6"/>
  <c r="L3518" i="6"/>
  <c r="N3518" i="6"/>
  <c r="M3518" i="6"/>
  <c r="K3518" i="6"/>
  <c r="L3528" i="6"/>
  <c r="N3528" i="6"/>
  <c r="K3528" i="6"/>
  <c r="M3528" i="6"/>
  <c r="M3532" i="6"/>
  <c r="L3532" i="6"/>
  <c r="N3532" i="6"/>
  <c r="K3532" i="6"/>
  <c r="M3545" i="6"/>
  <c r="K3545" i="6"/>
  <c r="N3545" i="6"/>
  <c r="L3545" i="6"/>
  <c r="K3549" i="6"/>
  <c r="N3549" i="6"/>
  <c r="M3549" i="6"/>
  <c r="L3549" i="6"/>
  <c r="L3558" i="6"/>
  <c r="N3558" i="6"/>
  <c r="K3558" i="6"/>
  <c r="M3558" i="6"/>
  <c r="N3567" i="6"/>
  <c r="M3567" i="6"/>
  <c r="L3567" i="6"/>
  <c r="K3567" i="6"/>
  <c r="N3575" i="6"/>
  <c r="M3575" i="6"/>
  <c r="L3575" i="6"/>
  <c r="L3583" i="6"/>
  <c r="N3583" i="6"/>
  <c r="M3583" i="6"/>
  <c r="K3583" i="6"/>
  <c r="L3597" i="6"/>
  <c r="N3597" i="6"/>
  <c r="M3597" i="6"/>
  <c r="M3613" i="6"/>
  <c r="K3613" i="6"/>
  <c r="L3613" i="6"/>
  <c r="N3613" i="6"/>
  <c r="K3617" i="6"/>
  <c r="M3617" i="6"/>
  <c r="L3617" i="6"/>
  <c r="N3617" i="6"/>
  <c r="L3633" i="6"/>
  <c r="N3633" i="6"/>
  <c r="K3633" i="6"/>
  <c r="M3633" i="6"/>
  <c r="K3644" i="6"/>
  <c r="M3652" i="6"/>
  <c r="L3652" i="6"/>
  <c r="N3652" i="6"/>
  <c r="K3652" i="6"/>
  <c r="K3660" i="6"/>
  <c r="M3676" i="6"/>
  <c r="L3676" i="6"/>
  <c r="N3676" i="6"/>
  <c r="L3680" i="6"/>
  <c r="M3680" i="6"/>
  <c r="N3680" i="6"/>
  <c r="K3692" i="6"/>
  <c r="L3703" i="6"/>
  <c r="K3703" i="6"/>
  <c r="M3703" i="6"/>
  <c r="N3703" i="6"/>
  <c r="M3707" i="6"/>
  <c r="N3707" i="6"/>
  <c r="K3707" i="6"/>
  <c r="L3707" i="6"/>
  <c r="L3711" i="6"/>
  <c r="N3711" i="6"/>
  <c r="K3711" i="6"/>
  <c r="M3711" i="6"/>
  <c r="N3715" i="6"/>
  <c r="L3715" i="6"/>
  <c r="M3715" i="6"/>
  <c r="L3719" i="6"/>
  <c r="N3719" i="6"/>
  <c r="M3719" i="6"/>
  <c r="M3741" i="6"/>
  <c r="L3741" i="6"/>
  <c r="N3741" i="6"/>
  <c r="K3741" i="6"/>
  <c r="K3745" i="6"/>
  <c r="M3745" i="6"/>
  <c r="L3745" i="6"/>
  <c r="N3745" i="6"/>
  <c r="M3749" i="6"/>
  <c r="L3749" i="6"/>
  <c r="N3749" i="6"/>
  <c r="K3749" i="6"/>
  <c r="M3753" i="6"/>
  <c r="L3753" i="6"/>
  <c r="N3753" i="6"/>
  <c r="K3753" i="6"/>
  <c r="M3757" i="6"/>
  <c r="L3757" i="6"/>
  <c r="N3757" i="6"/>
  <c r="K3757" i="6"/>
  <c r="L3761" i="6"/>
  <c r="N3761" i="6"/>
  <c r="K3761" i="6"/>
  <c r="M3761" i="6"/>
  <c r="M3765" i="6"/>
  <c r="L3765" i="6"/>
  <c r="N3765" i="6"/>
  <c r="K3765" i="6"/>
  <c r="L3769" i="6"/>
  <c r="N3769" i="6"/>
  <c r="K3769" i="6"/>
  <c r="M3769" i="6"/>
  <c r="M3773" i="6"/>
  <c r="L3773" i="6"/>
  <c r="N3773" i="6"/>
  <c r="K3773" i="6"/>
  <c r="K3777" i="6"/>
  <c r="M3777" i="6"/>
  <c r="L3777" i="6"/>
  <c r="N3777" i="6"/>
  <c r="M3781" i="6"/>
  <c r="L3781" i="6"/>
  <c r="N3781" i="6"/>
  <c r="K3781" i="6"/>
  <c r="M3785" i="6"/>
  <c r="L3785" i="6"/>
  <c r="N3785" i="6"/>
  <c r="K3785" i="6"/>
  <c r="M3789" i="6"/>
  <c r="L3789" i="6"/>
  <c r="N3789" i="6"/>
  <c r="K3789" i="6"/>
  <c r="M3793" i="6"/>
  <c r="L3793" i="6"/>
  <c r="N3793" i="6"/>
  <c r="K3793" i="6"/>
  <c r="M3797" i="6"/>
  <c r="L3797" i="6"/>
  <c r="N3797" i="6"/>
  <c r="K3797" i="6"/>
  <c r="L3801" i="6"/>
  <c r="N3801" i="6"/>
  <c r="K3801" i="6"/>
  <c r="M3801" i="6"/>
  <c r="M3805" i="6"/>
  <c r="L3805" i="6"/>
  <c r="N3805" i="6"/>
  <c r="K3805" i="6"/>
  <c r="K3809" i="6"/>
  <c r="M3809" i="6"/>
  <c r="L3809" i="6"/>
  <c r="N3809" i="6"/>
  <c r="M3813" i="6"/>
  <c r="L3813" i="6"/>
  <c r="N3813" i="6"/>
  <c r="K3813" i="6"/>
  <c r="M3817" i="6"/>
  <c r="L3817" i="6"/>
  <c r="N3817" i="6"/>
  <c r="K3817" i="6"/>
  <c r="M3821" i="6"/>
  <c r="L3821" i="6"/>
  <c r="N3821" i="6"/>
  <c r="K3821" i="6"/>
  <c r="N3825" i="6"/>
  <c r="K3825" i="6"/>
  <c r="M3825" i="6"/>
  <c r="L3825" i="6"/>
  <c r="M3829" i="6"/>
  <c r="L3829" i="6"/>
  <c r="N3829" i="6"/>
  <c r="K3829" i="6"/>
  <c r="L3833" i="6"/>
  <c r="N3833" i="6"/>
  <c r="K3833" i="6"/>
  <c r="M3833" i="6"/>
  <c r="M3837" i="6"/>
  <c r="L3837" i="6"/>
  <c r="N3837" i="6"/>
  <c r="K3837" i="6"/>
  <c r="K3841" i="6"/>
  <c r="M3841" i="6"/>
  <c r="L3841" i="6"/>
  <c r="N3841" i="6"/>
  <c r="M3845" i="6"/>
  <c r="L3845" i="6"/>
  <c r="N3845" i="6"/>
  <c r="K3845" i="6"/>
  <c r="L3849" i="6"/>
  <c r="N3849" i="6"/>
  <c r="K3849" i="6"/>
  <c r="M3849" i="6"/>
  <c r="L3888" i="6"/>
  <c r="N3888" i="6"/>
  <c r="M3888" i="6"/>
  <c r="L3896" i="6"/>
  <c r="M3896" i="6"/>
  <c r="N3896" i="6"/>
  <c r="K3896" i="6"/>
  <c r="L3921" i="6"/>
  <c r="M3921" i="6"/>
  <c r="N3921" i="6"/>
  <c r="L3938" i="6"/>
  <c r="M3938" i="6"/>
  <c r="N3938" i="6"/>
  <c r="M3952" i="6"/>
  <c r="L3952" i="6"/>
  <c r="N3952" i="6"/>
  <c r="K3956" i="6"/>
  <c r="M3956" i="6"/>
  <c r="N3956" i="6"/>
  <c r="L3956" i="6"/>
  <c r="L3983" i="6"/>
  <c r="N3983" i="6"/>
  <c r="K3983" i="6"/>
  <c r="M3983" i="6"/>
  <c r="L4002" i="6"/>
  <c r="N4002" i="6"/>
  <c r="M4002" i="6"/>
  <c r="K4002" i="6"/>
  <c r="L4110" i="6"/>
  <c r="K4110" i="6"/>
  <c r="M4110" i="6"/>
  <c r="N4110" i="6"/>
  <c r="N4114" i="6"/>
  <c r="M4114" i="6"/>
  <c r="L4114" i="6"/>
  <c r="L4124" i="6"/>
  <c r="M4124" i="6"/>
  <c r="N4124" i="6"/>
  <c r="L4151" i="6"/>
  <c r="N4151" i="6"/>
  <c r="M4151" i="6"/>
  <c r="K4151" i="6"/>
  <c r="K4168" i="6"/>
  <c r="N4168" i="6"/>
  <c r="M4168" i="6"/>
  <c r="L4168" i="6"/>
  <c r="M4181" i="6"/>
  <c r="L4181" i="6"/>
  <c r="N4181" i="6"/>
  <c r="K4181" i="6"/>
  <c r="M4224" i="6"/>
  <c r="N4224" i="6"/>
  <c r="K4224" i="6"/>
  <c r="L4224" i="6"/>
  <c r="L4228" i="6"/>
  <c r="K4228" i="6"/>
  <c r="M4228" i="6"/>
  <c r="N4228" i="6"/>
  <c r="M4238" i="6"/>
  <c r="L4238" i="6"/>
  <c r="N4238" i="6"/>
  <c r="K4238" i="6"/>
  <c r="N4251" i="6"/>
  <c r="M4251" i="6"/>
  <c r="L4251" i="6"/>
  <c r="K4251" i="6"/>
  <c r="K4267" i="6"/>
  <c r="M4267" i="6"/>
  <c r="L4267" i="6"/>
  <c r="N4267" i="6"/>
  <c r="L4290" i="6"/>
  <c r="K4290" i="6"/>
  <c r="M4290" i="6"/>
  <c r="N4290" i="6"/>
  <c r="K4323" i="6"/>
  <c r="M4323" i="6"/>
  <c r="N4323" i="6"/>
  <c r="L4323" i="6"/>
  <c r="K4327" i="6"/>
  <c r="M4327" i="6"/>
  <c r="L4327" i="6"/>
  <c r="N4327" i="6"/>
  <c r="M4331" i="6"/>
  <c r="K4331" i="6"/>
  <c r="N4331" i="6"/>
  <c r="L4331" i="6"/>
  <c r="K4375" i="6"/>
  <c r="M4375" i="6"/>
  <c r="L4375" i="6"/>
  <c r="N4375" i="6"/>
  <c r="N4436" i="6"/>
  <c r="K4436" i="6"/>
  <c r="M4436" i="6"/>
  <c r="L4436" i="6"/>
  <c r="L4460" i="6"/>
  <c r="N4460" i="6"/>
  <c r="K4460" i="6"/>
  <c r="M4460" i="6"/>
  <c r="L4464" i="6"/>
  <c r="N4464" i="6"/>
  <c r="K4464" i="6"/>
  <c r="M4464" i="6"/>
  <c r="L4504" i="6"/>
  <c r="N4504" i="6"/>
  <c r="K4504" i="6"/>
  <c r="M4504" i="6"/>
  <c r="K4508" i="6"/>
  <c r="N4508" i="6"/>
  <c r="M4508" i="6"/>
  <c r="L4508" i="6"/>
  <c r="L4512" i="6"/>
  <c r="K4512" i="6"/>
  <c r="N4512" i="6"/>
  <c r="M4512" i="6"/>
  <c r="K4516" i="6"/>
  <c r="N4516" i="6"/>
  <c r="M4516" i="6"/>
  <c r="L4516" i="6"/>
  <c r="K4548" i="6"/>
  <c r="N4548" i="6"/>
  <c r="M4548" i="6"/>
  <c r="L4548" i="6"/>
  <c r="N4570" i="6"/>
  <c r="L4570" i="6"/>
  <c r="K4570" i="6"/>
  <c r="M4570" i="6"/>
  <c r="L4574" i="6"/>
  <c r="N4574" i="6"/>
  <c r="K4574" i="6"/>
  <c r="M4574" i="6"/>
  <c r="L4578" i="6"/>
  <c r="N4578" i="6"/>
  <c r="M4578" i="6"/>
  <c r="K4578" i="6"/>
  <c r="M4582" i="6"/>
  <c r="L4582" i="6"/>
  <c r="N4582" i="6"/>
  <c r="K4582" i="6"/>
  <c r="K4586" i="6"/>
  <c r="M4586" i="6"/>
  <c r="L4586" i="6"/>
  <c r="N4586" i="6"/>
  <c r="L4590" i="6"/>
  <c r="M4590" i="6"/>
  <c r="N4590" i="6"/>
  <c r="K4590" i="6"/>
  <c r="M4594" i="6"/>
  <c r="K4594" i="6"/>
  <c r="L4594" i="6"/>
  <c r="N4594" i="6"/>
  <c r="K4609" i="6"/>
  <c r="M4609" i="6"/>
  <c r="L4609" i="6"/>
  <c r="N4609" i="6"/>
  <c r="L4639" i="6"/>
  <c r="N4639" i="6"/>
  <c r="K4639" i="6"/>
  <c r="M4639" i="6"/>
  <c r="L4678" i="6"/>
  <c r="N4678" i="6"/>
  <c r="K4678" i="6"/>
  <c r="M4678" i="6"/>
  <c r="N4682" i="6"/>
  <c r="K4682" i="6"/>
  <c r="M4682" i="6"/>
  <c r="L4682" i="6"/>
  <c r="K4706" i="6"/>
  <c r="M4706" i="6"/>
  <c r="L4706" i="6"/>
  <c r="N4706" i="6"/>
  <c r="K4722" i="6"/>
  <c r="M4722" i="6"/>
  <c r="L4722" i="6"/>
  <c r="N4722" i="6"/>
  <c r="L4734" i="6"/>
  <c r="N4734" i="6"/>
  <c r="K4734" i="6"/>
  <c r="M4734" i="6"/>
  <c r="L4758" i="6"/>
  <c r="K4758" i="6"/>
  <c r="N4758" i="6"/>
  <c r="M4758" i="6"/>
  <c r="K4774" i="6"/>
  <c r="M4774" i="6"/>
  <c r="L4774" i="6"/>
  <c r="N4774" i="6"/>
  <c r="L4788" i="6"/>
  <c r="K4788" i="6"/>
  <c r="M4788" i="6"/>
  <c r="N4788" i="6"/>
  <c r="K4141" i="6"/>
  <c r="L4552" i="6"/>
  <c r="K4552" i="6"/>
  <c r="N4552" i="6"/>
  <c r="M4552" i="6"/>
  <c r="M4556" i="6"/>
  <c r="K4556" i="6"/>
  <c r="N4556" i="6"/>
  <c r="L4556" i="6"/>
  <c r="K4599" i="6"/>
  <c r="M4599" i="6"/>
  <c r="L4599" i="6"/>
  <c r="N4599" i="6"/>
  <c r="L4603" i="6"/>
  <c r="N4603" i="6"/>
  <c r="K4603" i="6"/>
  <c r="M4603" i="6"/>
  <c r="K4664" i="6"/>
  <c r="M4664" i="6"/>
  <c r="L4664" i="6"/>
  <c r="N4664" i="6"/>
  <c r="L4695" i="6"/>
  <c r="N4695" i="6"/>
  <c r="K4695" i="6"/>
  <c r="M4695" i="6"/>
  <c r="K4699" i="6"/>
  <c r="M4699" i="6"/>
  <c r="L4699" i="6"/>
  <c r="N4699" i="6"/>
  <c r="K4740" i="6"/>
  <c r="N4740" i="6"/>
  <c r="M4740" i="6"/>
  <c r="L4740" i="6"/>
  <c r="L4765" i="6"/>
  <c r="N4765" i="6"/>
  <c r="K4765" i="6"/>
  <c r="M4765" i="6"/>
  <c r="L4805" i="6"/>
  <c r="N4805" i="6"/>
  <c r="K4805" i="6"/>
  <c r="M4805" i="6"/>
  <c r="L4821" i="6"/>
  <c r="N4821" i="6"/>
  <c r="K4821" i="6"/>
  <c r="M4821" i="6"/>
  <c r="L4837" i="6"/>
  <c r="K4837" i="6"/>
  <c r="M4837" i="6"/>
  <c r="N4837" i="6"/>
  <c r="N4861" i="6"/>
  <c r="K4861" i="6"/>
  <c r="M4861" i="6"/>
  <c r="L4861" i="6"/>
  <c r="K4878" i="6"/>
  <c r="M4878" i="6"/>
  <c r="L4878" i="6"/>
  <c r="N4878" i="6"/>
  <c r="N4882" i="6"/>
  <c r="K4882" i="6"/>
  <c r="M4882" i="6"/>
  <c r="L4882" i="6"/>
  <c r="M4901" i="6"/>
  <c r="N4901" i="6"/>
  <c r="L4901" i="6"/>
  <c r="K4901" i="6"/>
  <c r="M4929" i="6"/>
  <c r="L4929" i="6"/>
  <c r="N4929" i="6"/>
  <c r="K4929" i="6"/>
  <c r="K4949" i="6"/>
  <c r="N4949" i="6"/>
  <c r="M4949" i="6"/>
  <c r="L4949" i="6"/>
  <c r="M4953" i="6"/>
  <c r="K4953" i="6"/>
  <c r="L4953" i="6"/>
  <c r="N4953" i="6"/>
  <c r="M4957" i="6"/>
  <c r="N4957" i="6"/>
  <c r="K4957" i="6"/>
  <c r="L4957" i="6"/>
  <c r="M4977" i="6"/>
  <c r="L4977" i="6"/>
  <c r="N4977" i="6"/>
  <c r="K4977" i="6"/>
  <c r="N4981" i="6"/>
  <c r="M4981" i="6"/>
  <c r="K4981" i="6"/>
  <c r="L4981" i="6"/>
  <c r="K4998" i="6"/>
  <c r="M4998" i="6"/>
  <c r="L4998" i="6"/>
  <c r="N4998" i="6"/>
  <c r="N5016" i="6"/>
  <c r="K5016" i="6"/>
  <c r="M5016" i="6"/>
  <c r="L5016" i="6"/>
  <c r="K5020" i="6"/>
  <c r="N5020" i="6"/>
  <c r="M5020" i="6"/>
  <c r="L5020" i="6"/>
  <c r="L5024" i="6"/>
  <c r="M5024" i="6"/>
  <c r="N5024" i="6"/>
  <c r="K5024" i="6"/>
  <c r="M5048" i="6"/>
  <c r="K5048" i="6"/>
  <c r="L5048" i="6"/>
  <c r="N5048" i="6"/>
  <c r="N5052" i="6"/>
  <c r="K5052" i="6"/>
  <c r="M5052" i="6"/>
  <c r="L5052" i="6"/>
  <c r="M5091" i="6"/>
  <c r="L5091" i="6"/>
  <c r="N5091" i="6"/>
  <c r="K5091" i="6"/>
  <c r="L5103" i="6"/>
  <c r="N5103" i="6"/>
  <c r="K5103" i="6"/>
  <c r="M5103" i="6"/>
  <c r="N5132" i="6"/>
  <c r="K5132" i="6"/>
  <c r="M5132" i="6"/>
  <c r="L5132" i="6"/>
  <c r="L5149" i="6"/>
  <c r="N5149" i="6"/>
  <c r="K5149" i="6"/>
  <c r="M5149" i="6"/>
  <c r="K5153" i="6"/>
  <c r="M5153" i="6"/>
  <c r="L5153" i="6"/>
  <c r="N5153" i="6"/>
  <c r="M5166" i="6"/>
  <c r="K5166" i="6"/>
  <c r="L5166" i="6"/>
  <c r="N5166" i="6"/>
  <c r="K5170" i="6"/>
  <c r="M5170" i="6"/>
  <c r="L5170" i="6"/>
  <c r="N5170" i="6"/>
  <c r="K5174" i="6"/>
  <c r="M5174" i="6"/>
  <c r="N5174" i="6"/>
  <c r="L5174" i="6"/>
  <c r="K5178" i="6"/>
  <c r="M5178" i="6"/>
  <c r="L5178" i="6"/>
  <c r="N5178" i="6"/>
  <c r="K5182" i="6"/>
  <c r="M5182" i="6"/>
  <c r="L5182" i="6"/>
  <c r="N5182" i="6"/>
  <c r="K5186" i="6"/>
  <c r="M5186" i="6"/>
  <c r="L5186" i="6"/>
  <c r="N5186" i="6"/>
  <c r="M5190" i="6"/>
  <c r="K5190" i="6"/>
  <c r="N5190" i="6"/>
  <c r="L5190" i="6"/>
  <c r="K5194" i="6"/>
  <c r="M5194" i="6"/>
  <c r="L5194" i="6"/>
  <c r="N5194" i="6"/>
  <c r="N5198" i="6"/>
  <c r="M5198" i="6"/>
  <c r="L5198" i="6"/>
  <c r="K5198" i="6"/>
  <c r="K5252" i="6"/>
  <c r="M5252" i="6"/>
  <c r="L5252" i="6"/>
  <c r="N5252" i="6"/>
  <c r="M5275" i="6"/>
  <c r="K5275" i="6"/>
  <c r="N5275" i="6"/>
  <c r="L5275" i="6"/>
  <c r="L5294" i="6"/>
  <c r="N5294" i="6"/>
  <c r="K5294" i="6"/>
  <c r="M5294" i="6"/>
  <c r="L5307" i="6"/>
  <c r="N5307" i="6"/>
  <c r="M5307" i="6"/>
  <c r="K5307" i="6"/>
  <c r="N5311" i="6"/>
  <c r="M5311" i="6"/>
  <c r="L5311" i="6"/>
  <c r="K5311" i="6"/>
  <c r="M5315" i="6"/>
  <c r="N5315" i="6"/>
  <c r="K5315" i="6"/>
  <c r="L5315" i="6"/>
  <c r="N5331" i="6"/>
  <c r="K5331" i="6"/>
  <c r="M5331" i="6"/>
  <c r="L5331" i="6"/>
  <c r="K5343" i="6"/>
  <c r="M5343" i="6"/>
  <c r="L5343" i="6"/>
  <c r="N5343" i="6"/>
  <c r="N5347" i="6"/>
  <c r="K5347" i="6"/>
  <c r="M5347" i="6"/>
  <c r="L5347" i="6"/>
  <c r="K5371" i="6"/>
  <c r="M5371" i="6"/>
  <c r="L5371" i="6"/>
  <c r="N5371" i="6"/>
  <c r="M5375" i="6"/>
  <c r="N5375" i="6"/>
  <c r="K5375" i="6"/>
  <c r="L5375" i="6"/>
  <c r="N5379" i="6"/>
  <c r="K5379" i="6"/>
  <c r="M5379" i="6"/>
  <c r="L5379" i="6"/>
  <c r="K5402" i="6"/>
  <c r="L5402" i="6"/>
  <c r="M5402" i="6"/>
  <c r="N5402" i="6"/>
  <c r="K5406" i="6"/>
  <c r="M5406" i="6"/>
  <c r="L5406" i="6"/>
  <c r="N5406" i="6"/>
  <c r="K5410" i="6"/>
  <c r="M5410" i="6"/>
  <c r="L5410" i="6"/>
  <c r="N5410" i="6"/>
  <c r="K5434" i="6"/>
  <c r="L5434" i="6"/>
  <c r="M5434" i="6"/>
  <c r="N5434" i="6"/>
  <c r="K5438" i="6"/>
  <c r="M5438" i="6"/>
  <c r="L5438" i="6"/>
  <c r="N5438" i="6"/>
  <c r="K5442" i="6"/>
  <c r="M5442" i="6"/>
  <c r="L5442" i="6"/>
  <c r="N5442" i="6"/>
  <c r="N5476" i="6"/>
  <c r="K5476" i="6"/>
  <c r="M5476" i="6"/>
  <c r="L5476" i="6"/>
  <c r="M5501" i="6"/>
  <c r="L5501" i="6"/>
  <c r="N5501" i="6"/>
  <c r="K5501" i="6"/>
  <c r="K3676" i="6"/>
  <c r="N4559" i="6"/>
  <c r="M4559" i="6"/>
  <c r="L4559" i="6"/>
  <c r="K4559" i="6"/>
  <c r="L4611" i="6"/>
  <c r="N4611" i="6"/>
  <c r="K4611" i="6"/>
  <c r="M4611" i="6"/>
  <c r="K4615" i="6"/>
  <c r="M4615" i="6"/>
  <c r="L4615" i="6"/>
  <c r="N4615" i="6"/>
  <c r="L4619" i="6"/>
  <c r="N4619" i="6"/>
  <c r="K4619" i="6"/>
  <c r="M4619" i="6"/>
  <c r="L4623" i="6"/>
  <c r="N4623" i="6"/>
  <c r="K4623" i="6"/>
  <c r="M4623" i="6"/>
  <c r="K4728" i="6"/>
  <c r="M4728" i="6"/>
  <c r="L4728" i="6"/>
  <c r="N4728" i="6"/>
  <c r="N4792" i="6"/>
  <c r="K4792" i="6"/>
  <c r="M4792" i="6"/>
  <c r="L4792" i="6"/>
  <c r="N4816" i="6"/>
  <c r="K4816" i="6"/>
  <c r="M4816" i="6"/>
  <c r="L4816" i="6"/>
  <c r="L4885" i="6"/>
  <c r="M4885" i="6"/>
  <c r="K4885" i="6"/>
  <c r="N4885" i="6"/>
  <c r="K4933" i="6"/>
  <c r="M4933" i="6"/>
  <c r="L4933" i="6"/>
  <c r="N4933" i="6"/>
  <c r="N4965" i="6"/>
  <c r="M4965" i="6"/>
  <c r="L4965" i="6"/>
  <c r="K4965" i="6"/>
  <c r="M5028" i="6"/>
  <c r="L5028" i="6"/>
  <c r="N5028" i="6"/>
  <c r="K5028" i="6"/>
  <c r="M5057" i="6"/>
  <c r="N5057" i="6"/>
  <c r="L5057" i="6"/>
  <c r="K5057" i="6"/>
  <c r="K5105" i="6"/>
  <c r="M5105" i="6"/>
  <c r="L5105" i="6"/>
  <c r="N5105" i="6"/>
  <c r="N5109" i="6"/>
  <c r="K5109" i="6"/>
  <c r="M5109" i="6"/>
  <c r="L5109" i="6"/>
  <c r="K5113" i="6"/>
  <c r="M5113" i="6"/>
  <c r="N5113" i="6"/>
  <c r="L5113" i="6"/>
  <c r="L5117" i="6"/>
  <c r="K5117" i="6"/>
  <c r="M5117" i="6"/>
  <c r="N5117" i="6"/>
  <c r="K5121" i="6"/>
  <c r="N5121" i="6"/>
  <c r="M5121" i="6"/>
  <c r="L5121" i="6"/>
  <c r="K5140" i="6"/>
  <c r="L5140" i="6"/>
  <c r="N5140" i="6"/>
  <c r="M5140" i="6"/>
  <c r="K5144" i="6"/>
  <c r="M5144" i="6"/>
  <c r="L5144" i="6"/>
  <c r="N5144" i="6"/>
  <c r="K5234" i="6"/>
  <c r="M5234" i="6"/>
  <c r="N5234" i="6"/>
  <c r="L5234" i="6"/>
  <c r="M5317" i="6"/>
  <c r="L5317" i="6"/>
  <c r="N5317" i="6"/>
  <c r="K5317" i="6"/>
  <c r="M5335" i="6"/>
  <c r="N5335" i="6"/>
  <c r="K5335" i="6"/>
  <c r="L5335" i="6"/>
  <c r="K5414" i="6"/>
  <c r="M5414" i="6"/>
  <c r="L5414" i="6"/>
  <c r="N5414" i="6"/>
  <c r="K5450" i="6"/>
  <c r="L5450" i="6"/>
  <c r="M5450" i="6"/>
  <c r="N5450" i="6"/>
  <c r="K5454" i="6"/>
  <c r="M5454" i="6"/>
  <c r="L5454" i="6"/>
  <c r="N5454" i="6"/>
  <c r="K5507" i="6"/>
  <c r="M5507" i="6"/>
  <c r="L5507" i="6"/>
  <c r="N5507" i="6"/>
  <c r="K5511" i="6"/>
  <c r="M5511" i="6"/>
  <c r="L5511" i="6"/>
  <c r="N5511" i="6"/>
  <c r="N5544" i="6"/>
  <c r="M5544" i="6"/>
  <c r="L5544" i="6"/>
  <c r="K5544" i="6"/>
  <c r="N5576" i="6"/>
  <c r="M5576" i="6"/>
  <c r="L5576" i="6"/>
  <c r="K5576" i="6"/>
  <c r="L5592" i="6"/>
  <c r="M5592" i="6"/>
  <c r="N5592" i="6"/>
  <c r="K5592" i="6"/>
  <c r="K5596" i="6"/>
  <c r="M5596" i="6"/>
  <c r="L5596" i="6"/>
  <c r="N5596" i="6"/>
  <c r="N5600" i="6"/>
  <c r="K5600" i="6"/>
  <c r="M5600" i="6"/>
  <c r="L5600" i="6"/>
  <c r="K5620" i="6"/>
  <c r="M5620" i="6"/>
  <c r="L5620" i="6"/>
  <c r="N5620" i="6"/>
  <c r="L5654" i="6"/>
  <c r="M5654" i="6"/>
  <c r="K5654" i="6"/>
  <c r="N5654" i="6"/>
  <c r="L5671" i="6"/>
  <c r="K5671" i="6"/>
  <c r="M5671" i="6"/>
  <c r="N5671" i="6"/>
  <c r="L5675" i="6"/>
  <c r="N5675" i="6"/>
  <c r="K5675" i="6"/>
  <c r="M5675" i="6"/>
  <c r="K5712" i="6"/>
  <c r="M5712" i="6"/>
  <c r="N5712" i="6"/>
  <c r="L5712" i="6"/>
  <c r="M5716" i="6"/>
  <c r="K5716" i="6"/>
  <c r="L5716" i="6"/>
  <c r="N5716" i="6"/>
  <c r="M5720" i="6"/>
  <c r="K5720" i="6"/>
  <c r="N5720" i="6"/>
  <c r="L5720" i="6"/>
  <c r="M5753" i="6"/>
  <c r="K5753" i="6"/>
  <c r="L5753" i="6"/>
  <c r="N5753" i="6"/>
  <c r="K5777" i="6"/>
  <c r="L5777" i="6"/>
  <c r="N5777" i="6"/>
  <c r="M5777" i="6"/>
  <c r="K5781" i="6"/>
  <c r="L5781" i="6"/>
  <c r="M5781" i="6"/>
  <c r="N5781" i="6"/>
  <c r="L5871" i="6"/>
  <c r="N5871" i="6"/>
  <c r="M5871" i="6"/>
  <c r="K5871" i="6"/>
  <c r="N5893" i="6"/>
  <c r="L5893" i="6"/>
  <c r="K5893" i="6"/>
  <c r="M5893" i="6"/>
  <c r="L5947" i="6"/>
  <c r="K5947" i="6"/>
  <c r="M5947" i="6"/>
  <c r="N5947" i="6"/>
  <c r="M5960" i="6"/>
  <c r="L5960" i="6"/>
  <c r="N5960" i="6"/>
  <c r="K5960" i="6"/>
  <c r="L5991" i="6"/>
  <c r="M5991" i="6"/>
  <c r="K5991" i="6"/>
  <c r="N5991" i="6"/>
  <c r="M5995" i="6"/>
  <c r="N5995" i="6"/>
  <c r="K5995" i="6"/>
  <c r="L5995" i="6"/>
  <c r="L6017" i="6"/>
  <c r="N6017" i="6"/>
  <c r="K6017" i="6"/>
  <c r="M6017" i="6"/>
  <c r="L6031" i="6"/>
  <c r="N6031" i="6"/>
  <c r="K6031" i="6"/>
  <c r="M6031" i="6"/>
  <c r="L6043" i="6"/>
  <c r="N6043" i="6"/>
  <c r="K6043" i="6"/>
  <c r="M6043" i="6"/>
  <c r="M6054" i="6"/>
  <c r="N6054" i="6"/>
  <c r="L6054" i="6"/>
  <c r="K6054" i="6"/>
  <c r="N6091" i="6"/>
  <c r="K6091" i="6"/>
  <c r="L6091" i="6"/>
  <c r="M6091" i="6"/>
  <c r="K6110" i="6"/>
  <c r="N6110" i="6"/>
  <c r="L6110" i="6"/>
  <c r="M6110" i="6"/>
  <c r="M6133" i="6"/>
  <c r="K6133" i="6"/>
  <c r="N6133" i="6"/>
  <c r="L6133" i="6"/>
  <c r="M6148" i="6"/>
  <c r="K6148" i="6"/>
  <c r="N6148" i="6"/>
  <c r="L6148" i="6"/>
  <c r="N6164" i="6"/>
  <c r="M6164" i="6"/>
  <c r="L6164" i="6"/>
  <c r="K6164" i="6"/>
  <c r="M6181" i="6"/>
  <c r="K6181" i="6"/>
  <c r="L6181" i="6"/>
  <c r="N6181" i="6"/>
  <c r="L6199" i="6"/>
  <c r="K6199" i="6"/>
  <c r="M6199" i="6"/>
  <c r="N6199" i="6"/>
  <c r="L6207" i="6"/>
  <c r="M6207" i="6"/>
  <c r="N6207" i="6"/>
  <c r="M6215" i="6"/>
  <c r="N6215" i="6"/>
  <c r="L6215" i="6"/>
  <c r="K6215" i="6"/>
  <c r="M6235" i="6"/>
  <c r="K6235" i="6"/>
  <c r="L6235" i="6"/>
  <c r="N6235" i="6"/>
  <c r="M6252" i="6"/>
  <c r="N6252" i="6"/>
  <c r="L6252" i="6"/>
  <c r="K6252" i="6"/>
  <c r="M6267" i="6"/>
  <c r="L6267" i="6"/>
  <c r="N6267" i="6"/>
  <c r="K6267" i="6"/>
  <c r="M6282" i="6"/>
  <c r="L6282" i="6"/>
  <c r="K6282" i="6"/>
  <c r="N6282" i="6"/>
  <c r="L6308" i="6"/>
  <c r="K6308" i="6"/>
  <c r="N6308" i="6"/>
  <c r="M6308" i="6"/>
  <c r="N6312" i="6"/>
  <c r="L6312" i="6"/>
  <c r="M6312" i="6"/>
  <c r="K6312" i="6"/>
  <c r="K6336" i="6"/>
  <c r="N6336" i="6"/>
  <c r="M6336" i="6"/>
  <c r="L6336" i="6"/>
  <c r="N6343" i="6"/>
  <c r="K6343" i="6"/>
  <c r="M6343" i="6"/>
  <c r="L6343" i="6"/>
  <c r="N6358" i="6"/>
  <c r="K6358" i="6"/>
  <c r="M6358" i="6"/>
  <c r="L6358" i="6"/>
  <c r="K6367" i="6"/>
  <c r="L6367" i="6"/>
  <c r="N6367" i="6"/>
  <c r="M6367" i="6"/>
  <c r="L6384" i="6"/>
  <c r="N6384" i="6"/>
  <c r="M6384" i="6"/>
  <c r="K6384" i="6"/>
  <c r="M6408" i="6"/>
  <c r="K6408" i="6"/>
  <c r="N6408" i="6"/>
  <c r="L6408" i="6"/>
  <c r="N6421" i="6"/>
  <c r="K6421" i="6"/>
  <c r="L6421" i="6"/>
  <c r="M6421" i="6"/>
  <c r="L6440" i="6"/>
  <c r="K6440" i="6"/>
  <c r="N6440" i="6"/>
  <c r="M6440" i="6"/>
  <c r="L6457" i="6"/>
  <c r="K6457" i="6"/>
  <c r="N6457" i="6"/>
  <c r="M6457" i="6"/>
  <c r="K6472" i="6"/>
  <c r="N6472" i="6"/>
  <c r="L6472" i="6"/>
  <c r="M6472" i="6"/>
  <c r="L6484" i="6"/>
  <c r="K6484" i="6"/>
  <c r="M6484" i="6"/>
  <c r="N6484" i="6"/>
  <c r="L6509" i="6"/>
  <c r="K6509" i="6"/>
  <c r="N6509" i="6"/>
  <c r="M6509" i="6"/>
  <c r="M6528" i="6"/>
  <c r="K6528" i="6"/>
  <c r="N6528" i="6"/>
  <c r="L6528" i="6"/>
  <c r="N6542" i="6"/>
  <c r="K6542" i="6"/>
  <c r="L6542" i="6"/>
  <c r="M6542" i="6"/>
  <c r="L6553" i="6"/>
  <c r="N6553" i="6"/>
  <c r="M6553" i="6"/>
  <c r="K6553" i="6"/>
  <c r="L6568" i="6"/>
  <c r="K6568" i="6"/>
  <c r="N6568" i="6"/>
  <c r="M6568" i="6"/>
  <c r="N6585" i="6"/>
  <c r="K6585" i="6"/>
  <c r="M6585" i="6"/>
  <c r="L6585" i="6"/>
  <c r="N6603" i="6"/>
  <c r="L6603" i="6"/>
  <c r="M6603" i="6"/>
  <c r="K6603" i="6"/>
  <c r="M6619" i="6"/>
  <c r="L6619" i="6"/>
  <c r="N6619" i="6"/>
  <c r="K6619" i="6"/>
  <c r="M6639" i="6"/>
  <c r="L6639" i="6"/>
  <c r="N6639" i="6"/>
  <c r="K6639" i="6"/>
  <c r="N6658" i="6"/>
  <c r="L6658" i="6"/>
  <c r="M6658" i="6"/>
  <c r="K6658" i="6"/>
  <c r="M6665" i="6"/>
  <c r="N6665" i="6"/>
  <c r="K6665" i="6"/>
  <c r="L6665" i="6"/>
  <c r="M6683" i="6"/>
  <c r="L6683" i="6"/>
  <c r="N6683" i="6"/>
  <c r="K6683" i="6"/>
  <c r="N6699" i="6"/>
  <c r="L6699" i="6"/>
  <c r="M6699" i="6"/>
  <c r="K6699" i="6"/>
  <c r="N6707" i="6"/>
  <c r="L6707" i="6"/>
  <c r="M6707" i="6"/>
  <c r="K6707" i="6"/>
  <c r="L6719" i="6"/>
  <c r="M6719" i="6"/>
  <c r="K6719" i="6"/>
  <c r="N6719" i="6"/>
  <c r="L6733" i="6"/>
  <c r="M6733" i="6"/>
  <c r="N6733" i="6"/>
  <c r="K6733" i="6"/>
  <c r="L6755" i="6"/>
  <c r="M6755" i="6"/>
  <c r="N6755" i="6"/>
  <c r="K6755" i="6"/>
  <c r="L6772" i="6"/>
  <c r="N6772" i="6"/>
  <c r="M6772" i="6"/>
  <c r="K6772" i="6"/>
  <c r="N6784" i="6"/>
  <c r="L6784" i="6"/>
  <c r="M6784" i="6"/>
  <c r="K6784" i="6"/>
  <c r="L6801" i="6"/>
  <c r="M6801" i="6"/>
  <c r="N6801" i="6"/>
  <c r="K6801" i="6"/>
  <c r="L6821" i="6"/>
  <c r="N6821" i="6"/>
  <c r="K6821" i="6"/>
  <c r="M6821" i="6"/>
  <c r="N6836" i="6"/>
  <c r="M6836" i="6"/>
  <c r="L6836" i="6"/>
  <c r="K6836" i="6"/>
  <c r="L6849" i="6"/>
  <c r="N6849" i="6"/>
  <c r="M6849" i="6"/>
  <c r="K6849" i="6"/>
  <c r="L6860" i="6"/>
  <c r="N6860" i="6"/>
  <c r="M6860" i="6"/>
  <c r="K6860" i="6"/>
  <c r="M6875" i="6"/>
  <c r="L6875" i="6"/>
  <c r="N6875" i="6"/>
  <c r="K6875" i="6"/>
  <c r="N6894" i="6"/>
  <c r="K6894" i="6"/>
  <c r="L6894" i="6"/>
  <c r="M6894" i="6"/>
  <c r="K3952" i="6"/>
  <c r="K4524" i="6"/>
  <c r="N4524" i="6"/>
  <c r="M4524" i="6"/>
  <c r="L4524" i="6"/>
  <c r="L4528" i="6"/>
  <c r="K4528" i="6"/>
  <c r="N4528" i="6"/>
  <c r="M4528" i="6"/>
  <c r="K4532" i="6"/>
  <c r="N4532" i="6"/>
  <c r="M4532" i="6"/>
  <c r="L4532" i="6"/>
  <c r="L4536" i="6"/>
  <c r="K4536" i="6"/>
  <c r="N4536" i="6"/>
  <c r="M4536" i="6"/>
  <c r="K4540" i="6"/>
  <c r="N4540" i="6"/>
  <c r="M4540" i="6"/>
  <c r="L4540" i="6"/>
  <c r="L4645" i="6"/>
  <c r="N4645" i="6"/>
  <c r="K4645" i="6"/>
  <c r="M4645" i="6"/>
  <c r="K4746" i="6"/>
  <c r="L4746" i="6"/>
  <c r="M4746" i="6"/>
  <c r="N4746" i="6"/>
  <c r="N4750" i="6"/>
  <c r="K4750" i="6"/>
  <c r="L4750" i="6"/>
  <c r="M4750" i="6"/>
  <c r="L4779" i="6"/>
  <c r="N4779" i="6"/>
  <c r="M4779" i="6"/>
  <c r="K4779" i="6"/>
  <c r="N4827" i="6"/>
  <c r="K4827" i="6"/>
  <c r="M4827" i="6"/>
  <c r="L4827" i="6"/>
  <c r="N4845" i="6"/>
  <c r="K4845" i="6"/>
  <c r="M4845" i="6"/>
  <c r="L4845" i="6"/>
  <c r="N4849" i="6"/>
  <c r="L4849" i="6"/>
  <c r="K4849" i="6"/>
  <c r="M4849" i="6"/>
  <c r="K4894" i="6"/>
  <c r="M4894" i="6"/>
  <c r="L4894" i="6"/>
  <c r="N4894" i="6"/>
  <c r="K4910" i="6"/>
  <c r="M4910" i="6"/>
  <c r="L4910" i="6"/>
  <c r="N4910" i="6"/>
  <c r="L5005" i="6"/>
  <c r="N5005" i="6"/>
  <c r="K5005" i="6"/>
  <c r="M5005" i="6"/>
  <c r="L5065" i="6"/>
  <c r="N5065" i="6"/>
  <c r="K5065" i="6"/>
  <c r="M5065" i="6"/>
  <c r="K5069" i="6"/>
  <c r="L5069" i="6"/>
  <c r="N5069" i="6"/>
  <c r="M5069" i="6"/>
  <c r="L5073" i="6"/>
  <c r="M5073" i="6"/>
  <c r="N5073" i="6"/>
  <c r="K5073" i="6"/>
  <c r="N5077" i="6"/>
  <c r="M5077" i="6"/>
  <c r="L5077" i="6"/>
  <c r="K5077" i="6"/>
  <c r="L5155" i="6"/>
  <c r="N5155" i="6"/>
  <c r="K5155" i="6"/>
  <c r="M5155" i="6"/>
  <c r="K5209" i="6"/>
  <c r="M5209" i="6"/>
  <c r="L5209" i="6"/>
  <c r="N5209" i="6"/>
  <c r="L5213" i="6"/>
  <c r="N5213" i="6"/>
  <c r="K5213" i="6"/>
  <c r="M5213" i="6"/>
  <c r="L5217" i="6"/>
  <c r="N5217" i="6"/>
  <c r="K5217" i="6"/>
  <c r="M5217" i="6"/>
  <c r="L5278" i="6"/>
  <c r="N5278" i="6"/>
  <c r="K5278" i="6"/>
  <c r="M5278" i="6"/>
  <c r="K5282" i="6"/>
  <c r="M5282" i="6"/>
  <c r="L5282" i="6"/>
  <c r="N5282" i="6"/>
  <c r="M5286" i="6"/>
  <c r="L5286" i="6"/>
  <c r="N5286" i="6"/>
  <c r="K5286" i="6"/>
  <c r="L5348" i="6"/>
  <c r="M5348" i="6"/>
  <c r="K5348" i="6"/>
  <c r="N5348" i="6"/>
  <c r="L5384" i="6"/>
  <c r="K5384" i="6"/>
  <c r="M5384" i="6"/>
  <c r="N5384" i="6"/>
  <c r="L5388" i="6"/>
  <c r="M5388" i="6"/>
  <c r="N5388" i="6"/>
  <c r="K5388" i="6"/>
  <c r="M5392" i="6"/>
  <c r="L5392" i="6"/>
  <c r="N5392" i="6"/>
  <c r="K5392" i="6"/>
  <c r="K5466" i="6"/>
  <c r="L5466" i="6"/>
  <c r="M5466" i="6"/>
  <c r="N5466" i="6"/>
  <c r="K5490" i="6"/>
  <c r="M5490" i="6"/>
  <c r="L5490" i="6"/>
  <c r="N5490" i="6"/>
  <c r="K5494" i="6"/>
  <c r="M5494" i="6"/>
  <c r="L5494" i="6"/>
  <c r="N5494" i="6"/>
  <c r="L5527" i="6"/>
  <c r="N5527" i="6"/>
  <c r="K5527" i="6"/>
  <c r="M5527" i="6"/>
  <c r="L5559" i="6"/>
  <c r="N5559" i="6"/>
  <c r="K5559" i="6"/>
  <c r="M5559" i="6"/>
  <c r="L5585" i="6"/>
  <c r="N5585" i="6"/>
  <c r="K5585" i="6"/>
  <c r="M5585" i="6"/>
  <c r="M5609" i="6"/>
  <c r="N5609" i="6"/>
  <c r="K5609" i="6"/>
  <c r="L5609" i="6"/>
  <c r="L5630" i="6"/>
  <c r="N5630" i="6"/>
  <c r="K5630" i="6"/>
  <c r="M5630" i="6"/>
  <c r="K5634" i="6"/>
  <c r="M5634" i="6"/>
  <c r="L5634" i="6"/>
  <c r="N5634" i="6"/>
  <c r="L5647" i="6"/>
  <c r="M5647" i="6"/>
  <c r="N5647" i="6"/>
  <c r="K5647" i="6"/>
  <c r="L5682" i="6"/>
  <c r="M5682" i="6"/>
  <c r="N5682" i="6"/>
  <c r="K5682" i="6"/>
  <c r="L5686" i="6"/>
  <c r="M5686" i="6"/>
  <c r="N5686" i="6"/>
  <c r="K5686" i="6"/>
  <c r="K5690" i="6"/>
  <c r="N5690" i="6"/>
  <c r="M5690" i="6"/>
  <c r="L5690" i="6"/>
  <c r="L5735" i="6"/>
  <c r="N5735" i="6"/>
  <c r="K5735" i="6"/>
  <c r="M5735" i="6"/>
  <c r="M5759" i="6"/>
  <c r="L5759" i="6"/>
  <c r="N5759" i="6"/>
  <c r="K5759" i="6"/>
  <c r="L5763" i="6"/>
  <c r="K5763" i="6"/>
  <c r="N5763" i="6"/>
  <c r="M5763" i="6"/>
  <c r="L5767" i="6"/>
  <c r="K5767" i="6"/>
  <c r="N5767" i="6"/>
  <c r="M5767" i="6"/>
  <c r="M5791" i="6"/>
  <c r="L5791" i="6"/>
  <c r="N5791" i="6"/>
  <c r="K5791" i="6"/>
  <c r="L5807" i="6"/>
  <c r="K5807" i="6"/>
  <c r="N5807" i="6"/>
  <c r="M5807" i="6"/>
  <c r="K5811" i="6"/>
  <c r="N5811" i="6"/>
  <c r="M5811" i="6"/>
  <c r="L5811" i="6"/>
  <c r="K5839" i="6"/>
  <c r="L5839" i="6"/>
  <c r="N5839" i="6"/>
  <c r="M5839" i="6"/>
  <c r="L5851" i="6"/>
  <c r="N5851" i="6"/>
  <c r="M5851" i="6"/>
  <c r="K5851" i="6"/>
  <c r="M5882" i="6"/>
  <c r="L5882" i="6"/>
  <c r="N5882" i="6"/>
  <c r="K5882" i="6"/>
  <c r="L5901" i="6"/>
  <c r="M5901" i="6"/>
  <c r="N5901" i="6"/>
  <c r="K5901" i="6"/>
  <c r="N5905" i="6"/>
  <c r="M5905" i="6"/>
  <c r="L5905" i="6"/>
  <c r="K5905" i="6"/>
  <c r="K5918" i="6"/>
  <c r="L5918" i="6"/>
  <c r="N5918" i="6"/>
  <c r="M5918" i="6"/>
  <c r="N5932" i="6"/>
  <c r="K5932" i="6"/>
  <c r="M5932" i="6"/>
  <c r="L5932" i="6"/>
  <c r="K5936" i="6"/>
  <c r="L5936" i="6"/>
  <c r="M5936" i="6"/>
  <c r="N5936" i="6"/>
  <c r="M5940" i="6"/>
  <c r="N5940" i="6"/>
  <c r="K5940" i="6"/>
  <c r="L5940" i="6"/>
  <c r="L5957" i="6"/>
  <c r="N5957" i="6"/>
  <c r="K5957" i="6"/>
  <c r="M5957" i="6"/>
  <c r="M5981" i="6"/>
  <c r="L5981" i="6"/>
  <c r="N5981" i="6"/>
  <c r="K5981" i="6"/>
  <c r="L5985" i="6"/>
  <c r="N5985" i="6"/>
  <c r="K5985" i="6"/>
  <c r="M5985" i="6"/>
  <c r="K6002" i="6"/>
  <c r="M6002" i="6"/>
  <c r="N6002" i="6"/>
  <c r="L6002" i="6"/>
  <c r="L6024" i="6"/>
  <c r="N6024" i="6"/>
  <c r="K6024" i="6"/>
  <c r="M6024" i="6"/>
  <c r="L6036" i="6"/>
  <c r="M6036" i="6"/>
  <c r="K6036" i="6"/>
  <c r="N6036" i="6"/>
  <c r="L6063" i="6"/>
  <c r="K6063" i="6"/>
  <c r="M6063" i="6"/>
  <c r="N6063" i="6"/>
  <c r="L6082" i="6"/>
  <c r="M6082" i="6"/>
  <c r="N6082" i="6"/>
  <c r="K6082" i="6"/>
  <c r="K6100" i="6"/>
  <c r="M6100" i="6"/>
  <c r="N6100" i="6"/>
  <c r="L6100" i="6"/>
  <c r="N6116" i="6"/>
  <c r="M6116" i="6"/>
  <c r="K6116" i="6"/>
  <c r="L6116" i="6"/>
  <c r="K6128" i="6"/>
  <c r="M6128" i="6"/>
  <c r="N6128" i="6"/>
  <c r="L6128" i="6"/>
  <c r="M6145" i="6"/>
  <c r="N6145" i="6"/>
  <c r="K6145" i="6"/>
  <c r="L6145" i="6"/>
  <c r="L6167" i="6"/>
  <c r="K6167" i="6"/>
  <c r="N6167" i="6"/>
  <c r="M6167" i="6"/>
  <c r="L6179" i="6"/>
  <c r="N6179" i="6"/>
  <c r="M6179" i="6"/>
  <c r="K6179" i="6"/>
  <c r="L6191" i="6"/>
  <c r="M6191" i="6"/>
  <c r="K6191" i="6"/>
  <c r="N6191" i="6"/>
  <c r="M6210" i="6"/>
  <c r="N6210" i="6"/>
  <c r="L6210" i="6"/>
  <c r="K6210" i="6"/>
  <c r="K6219" i="6"/>
  <c r="L6219" i="6"/>
  <c r="N6219" i="6"/>
  <c r="M6219" i="6"/>
  <c r="N6241" i="6"/>
  <c r="L6241" i="6"/>
  <c r="M6241" i="6"/>
  <c r="K6241" i="6"/>
  <c r="N6264" i="6"/>
  <c r="L6264" i="6"/>
  <c r="M6264" i="6"/>
  <c r="K6264" i="6"/>
  <c r="L6279" i="6"/>
  <c r="N6279" i="6"/>
  <c r="M6279" i="6"/>
  <c r="K6279" i="6"/>
  <c r="N6296" i="6"/>
  <c r="L6296" i="6"/>
  <c r="M6296" i="6"/>
  <c r="K6296" i="6"/>
  <c r="L6305" i="6"/>
  <c r="N6305" i="6"/>
  <c r="K6305" i="6"/>
  <c r="M6305" i="6"/>
  <c r="M6327" i="6"/>
  <c r="N6327" i="6"/>
  <c r="K6327" i="6"/>
  <c r="L6327" i="6"/>
  <c r="N6345" i="6"/>
  <c r="M6345" i="6"/>
  <c r="K6345" i="6"/>
  <c r="L6345" i="6"/>
  <c r="K6355" i="6"/>
  <c r="L6355" i="6"/>
  <c r="M6355" i="6"/>
  <c r="N6355" i="6"/>
  <c r="L6371" i="6"/>
  <c r="N6371" i="6"/>
  <c r="M6371" i="6"/>
  <c r="K6371" i="6"/>
  <c r="N6395" i="6"/>
  <c r="M6395" i="6"/>
  <c r="L6395" i="6"/>
  <c r="K6395" i="6"/>
  <c r="L6415" i="6"/>
  <c r="N6415" i="6"/>
  <c r="K6415" i="6"/>
  <c r="M6415" i="6"/>
  <c r="N6444" i="6"/>
  <c r="K6444" i="6"/>
  <c r="L6444" i="6"/>
  <c r="M6444" i="6"/>
  <c r="L6453" i="6"/>
  <c r="M6453" i="6"/>
  <c r="K6453" i="6"/>
  <c r="N6453" i="6"/>
  <c r="L6475" i="6"/>
  <c r="N6475" i="6"/>
  <c r="M6475" i="6"/>
  <c r="K6475" i="6"/>
  <c r="N6498" i="6"/>
  <c r="M6498" i="6"/>
  <c r="L6498" i="6"/>
  <c r="K6498" i="6"/>
  <c r="N6512" i="6"/>
  <c r="L6512" i="6"/>
  <c r="K6512" i="6"/>
  <c r="M6512" i="6"/>
  <c r="N6530" i="6"/>
  <c r="M6530" i="6"/>
  <c r="L6530" i="6"/>
  <c r="K6530" i="6"/>
  <c r="N6545" i="6"/>
  <c r="K6545" i="6"/>
  <c r="L6545" i="6"/>
  <c r="M6545" i="6"/>
  <c r="L6565" i="6"/>
  <c r="M6565" i="6"/>
  <c r="N6565" i="6"/>
  <c r="K6565" i="6"/>
  <c r="N6580" i="6"/>
  <c r="M6580" i="6"/>
  <c r="L6580" i="6"/>
  <c r="K6580" i="6"/>
  <c r="N6595" i="6"/>
  <c r="L6595" i="6"/>
  <c r="K6595" i="6"/>
  <c r="M6595" i="6"/>
  <c r="N6611" i="6"/>
  <c r="L6611" i="6"/>
  <c r="M6611" i="6"/>
  <c r="K6611" i="6"/>
  <c r="N6622" i="6"/>
  <c r="K6622" i="6"/>
  <c r="L6622" i="6"/>
  <c r="M6622" i="6"/>
  <c r="N6637" i="6"/>
  <c r="K6637" i="6"/>
  <c r="L6637" i="6"/>
  <c r="M6637" i="6"/>
  <c r="N6655" i="6"/>
  <c r="M6655" i="6"/>
  <c r="K6655" i="6"/>
  <c r="L6655" i="6"/>
  <c r="N6674" i="6"/>
  <c r="M6674" i="6"/>
  <c r="L6674" i="6"/>
  <c r="K6674" i="6"/>
  <c r="N6686" i="6"/>
  <c r="K6686" i="6"/>
  <c r="L6686" i="6"/>
  <c r="M6686" i="6"/>
  <c r="N6710" i="6"/>
  <c r="L6710" i="6"/>
  <c r="M6710" i="6"/>
  <c r="K6710" i="6"/>
  <c r="N6721" i="6"/>
  <c r="K6721" i="6"/>
  <c r="L6721" i="6"/>
  <c r="M6721" i="6"/>
  <c r="L6735" i="6"/>
  <c r="M6735" i="6"/>
  <c r="K6735" i="6"/>
  <c r="N6735" i="6"/>
  <c r="N6752" i="6"/>
  <c r="M6752" i="6"/>
  <c r="L6752" i="6"/>
  <c r="K6752" i="6"/>
  <c r="N6763" i="6"/>
  <c r="M6763" i="6"/>
  <c r="L6763" i="6"/>
  <c r="K6763" i="6"/>
  <c r="L6781" i="6"/>
  <c r="N6781" i="6"/>
  <c r="M6781" i="6"/>
  <c r="K6781" i="6"/>
  <c r="L6793" i="6"/>
  <c r="M6793" i="6"/>
  <c r="K6793" i="6"/>
  <c r="N6793" i="6"/>
  <c r="L6808" i="6"/>
  <c r="K6808" i="6"/>
  <c r="N6808" i="6"/>
  <c r="M6808" i="6"/>
  <c r="N6823" i="6"/>
  <c r="L6823" i="6"/>
  <c r="M6823" i="6"/>
  <c r="K6823" i="6"/>
  <c r="N6839" i="6"/>
  <c r="M6839" i="6"/>
  <c r="L6839" i="6"/>
  <c r="K6839" i="6"/>
  <c r="L6857" i="6"/>
  <c r="N6857" i="6"/>
  <c r="K6857" i="6"/>
  <c r="M6857" i="6"/>
  <c r="M6872" i="6"/>
  <c r="N6872" i="6"/>
  <c r="L6872" i="6"/>
  <c r="K6872" i="6"/>
  <c r="K6888" i="6"/>
  <c r="N6888" i="6"/>
  <c r="M6888" i="6"/>
  <c r="L6888" i="6"/>
  <c r="M6904" i="6"/>
  <c r="L6904" i="6"/>
  <c r="K6904" i="6"/>
  <c r="N6904" i="6"/>
  <c r="K4133" i="6"/>
  <c r="L3013" i="6"/>
  <c r="N3013" i="6"/>
  <c r="K3013" i="6"/>
  <c r="M3013" i="6"/>
  <c r="L3035" i="6"/>
  <c r="N3035" i="6"/>
  <c r="K3035" i="6"/>
  <c r="M3035" i="6"/>
  <c r="M3049" i="6"/>
  <c r="L3049" i="6"/>
  <c r="N3049" i="6"/>
  <c r="K3049" i="6"/>
  <c r="L3084" i="6"/>
  <c r="N3084" i="6"/>
  <c r="K3084" i="6"/>
  <c r="M3084" i="6"/>
  <c r="M3088" i="6"/>
  <c r="N3088" i="6"/>
  <c r="K3088" i="6"/>
  <c r="L3088" i="6"/>
  <c r="L3014" i="6"/>
  <c r="N3014" i="6"/>
  <c r="M3014" i="6"/>
  <c r="K3014" i="6"/>
  <c r="L3028" i="6"/>
  <c r="M3028" i="6"/>
  <c r="K3028" i="6"/>
  <c r="N3028" i="6"/>
  <c r="N3061" i="6"/>
  <c r="K3061" i="6"/>
  <c r="M3061" i="6"/>
  <c r="L3061" i="6"/>
  <c r="L3101" i="6"/>
  <c r="M3101" i="6"/>
  <c r="N3101" i="6"/>
  <c r="K3101" i="6"/>
  <c r="N3110" i="6"/>
  <c r="K3110" i="6"/>
  <c r="M3110" i="6"/>
  <c r="L3110" i="6"/>
  <c r="L3119" i="6"/>
  <c r="M3119" i="6"/>
  <c r="N3119" i="6"/>
  <c r="L3135" i="6"/>
  <c r="M3135" i="6"/>
  <c r="K3135" i="6"/>
  <c r="N3135" i="6"/>
  <c r="L3158" i="6"/>
  <c r="M3158" i="6"/>
  <c r="N3158" i="6"/>
  <c r="L3176" i="6"/>
  <c r="M3176" i="6"/>
  <c r="N3176" i="6"/>
  <c r="L3196" i="6"/>
  <c r="M3196" i="6"/>
  <c r="K3196" i="6"/>
  <c r="N3196" i="6"/>
  <c r="L3211" i="6"/>
  <c r="N3211" i="6"/>
  <c r="M3211" i="6"/>
  <c r="L3229" i="6"/>
  <c r="N3229" i="6"/>
  <c r="M3229" i="6"/>
  <c r="M3270" i="6"/>
  <c r="L3270" i="6"/>
  <c r="N3270" i="6"/>
  <c r="L3281" i="6"/>
  <c r="M3281" i="6"/>
  <c r="N3281" i="6"/>
  <c r="L3297" i="6"/>
  <c r="M3297" i="6"/>
  <c r="N3297" i="6"/>
  <c r="L3304" i="6"/>
  <c r="N3304" i="6"/>
  <c r="M3304" i="6"/>
  <c r="K3313" i="6"/>
  <c r="L3313" i="6"/>
  <c r="N3313" i="6"/>
  <c r="M3313" i="6"/>
  <c r="L3323" i="6"/>
  <c r="M3323" i="6"/>
  <c r="K3323" i="6"/>
  <c r="N3323" i="6"/>
  <c r="L3335" i="6"/>
  <c r="K3335" i="6"/>
  <c r="M3335" i="6"/>
  <c r="N3335" i="6"/>
  <c r="K3346" i="6"/>
  <c r="M3346" i="6"/>
  <c r="L3346" i="6"/>
  <c r="N3346" i="6"/>
  <c r="L3369" i="6"/>
  <c r="N3369" i="6"/>
  <c r="M3369" i="6"/>
  <c r="K3381" i="6"/>
  <c r="M3381" i="6"/>
  <c r="L3381" i="6"/>
  <c r="N3381" i="6"/>
  <c r="K3390" i="6"/>
  <c r="M3390" i="6"/>
  <c r="L3390" i="6"/>
  <c r="N3390" i="6"/>
  <c r="L3398" i="6"/>
  <c r="N3398" i="6"/>
  <c r="M3398" i="6"/>
  <c r="K3405" i="6"/>
  <c r="N3405" i="6"/>
  <c r="M3405" i="6"/>
  <c r="L3405" i="6"/>
  <c r="M3021" i="6"/>
  <c r="L3021" i="6"/>
  <c r="N3021" i="6"/>
  <c r="K3021" i="6"/>
  <c r="K3052" i="6"/>
  <c r="M3052" i="6"/>
  <c r="L3052" i="6"/>
  <c r="N3052" i="6"/>
  <c r="M3064" i="6"/>
  <c r="K3064" i="6"/>
  <c r="L3064" i="6"/>
  <c r="N3064" i="6"/>
  <c r="K3068" i="6"/>
  <c r="L3068" i="6"/>
  <c r="M3068" i="6"/>
  <c r="N3068" i="6"/>
  <c r="L3072" i="6"/>
  <c r="N3072" i="6"/>
  <c r="K3072" i="6"/>
  <c r="M3072" i="6"/>
  <c r="L3096" i="6"/>
  <c r="K3096" i="6"/>
  <c r="M3096" i="6"/>
  <c r="N3096" i="6"/>
  <c r="L3120" i="6"/>
  <c r="M3120" i="6"/>
  <c r="K3120" i="6"/>
  <c r="N3120" i="6"/>
  <c r="L3139" i="6"/>
  <c r="K3139" i="6"/>
  <c r="M3139" i="6"/>
  <c r="N3139" i="6"/>
  <c r="L3160" i="6"/>
  <c r="K3160" i="6"/>
  <c r="M3160" i="6"/>
  <c r="N3160" i="6"/>
  <c r="L3177" i="6"/>
  <c r="M3177" i="6"/>
  <c r="K3177" i="6"/>
  <c r="N3177" i="6"/>
  <c r="L3192" i="6"/>
  <c r="M3192" i="6"/>
  <c r="N3192" i="6"/>
  <c r="L3205" i="6"/>
  <c r="K3205" i="6"/>
  <c r="M3205" i="6"/>
  <c r="N3205" i="6"/>
  <c r="L3218" i="6"/>
  <c r="N3218" i="6"/>
  <c r="M3218" i="6"/>
  <c r="L3237" i="6"/>
  <c r="M3237" i="6"/>
  <c r="N3237" i="6"/>
  <c r="L3257" i="6"/>
  <c r="K3257" i="6"/>
  <c r="N3257" i="6"/>
  <c r="M3257" i="6"/>
  <c r="L3272" i="6"/>
  <c r="M3272" i="6"/>
  <c r="N3272" i="6"/>
  <c r="L3288" i="6"/>
  <c r="M3288" i="6"/>
  <c r="N3288" i="6"/>
  <c r="L3300" i="6"/>
  <c r="M3300" i="6"/>
  <c r="N3300" i="6"/>
  <c r="M3349" i="6"/>
  <c r="L3349" i="6"/>
  <c r="N3349" i="6"/>
  <c r="K3361" i="6"/>
  <c r="M3361" i="6"/>
  <c r="L3361" i="6"/>
  <c r="N3361" i="6"/>
  <c r="L3375" i="6"/>
  <c r="K3375" i="6"/>
  <c r="M3375" i="6"/>
  <c r="N3375" i="6"/>
  <c r="L3393" i="6"/>
  <c r="M3393" i="6"/>
  <c r="N3393" i="6"/>
  <c r="M3041" i="6"/>
  <c r="L3041" i="6"/>
  <c r="N3041" i="6"/>
  <c r="K3041" i="6"/>
  <c r="K3107" i="6"/>
  <c r="M3107" i="6"/>
  <c r="L3107" i="6"/>
  <c r="N3107" i="6"/>
  <c r="N3126" i="6"/>
  <c r="K3126" i="6"/>
  <c r="M3126" i="6"/>
  <c r="L3126" i="6"/>
  <c r="L3155" i="6"/>
  <c r="M3155" i="6"/>
  <c r="N3155" i="6"/>
  <c r="K3155" i="6"/>
  <c r="K3176" i="6"/>
  <c r="K3190" i="6"/>
  <c r="K3215" i="6"/>
  <c r="L3215" i="6"/>
  <c r="M3215" i="6"/>
  <c r="N3215" i="6"/>
  <c r="L3227" i="6"/>
  <c r="N3227" i="6"/>
  <c r="M3227" i="6"/>
  <c r="L3238" i="6"/>
  <c r="M3238" i="6"/>
  <c r="N3238" i="6"/>
  <c r="K3256" i="6"/>
  <c r="K3269" i="6"/>
  <c r="K3279" i="6"/>
  <c r="M3279" i="6"/>
  <c r="L3279" i="6"/>
  <c r="N3279" i="6"/>
  <c r="K3292" i="6"/>
  <c r="L3316" i="6"/>
  <c r="M3316" i="6"/>
  <c r="K3316" i="6"/>
  <c r="N3316" i="6"/>
  <c r="K3338" i="6"/>
  <c r="L3338" i="6"/>
  <c r="N3338" i="6"/>
  <c r="M3338" i="6"/>
  <c r="L3366" i="6"/>
  <c r="N3366" i="6"/>
  <c r="M3366" i="6"/>
  <c r="K3385" i="6"/>
  <c r="M3385" i="6"/>
  <c r="L3385" i="6"/>
  <c r="N3385" i="6"/>
  <c r="L3401" i="6"/>
  <c r="M3401" i="6"/>
  <c r="N3401" i="6"/>
  <c r="K3435" i="6"/>
  <c r="M3435" i="6"/>
  <c r="L3435" i="6"/>
  <c r="N3435" i="6"/>
  <c r="N3444" i="6"/>
  <c r="K3444" i="6"/>
  <c r="M3444" i="6"/>
  <c r="L3444" i="6"/>
  <c r="K3448" i="6"/>
  <c r="M3448" i="6"/>
  <c r="L3448" i="6"/>
  <c r="N3448" i="6"/>
  <c r="M3473" i="6"/>
  <c r="L3473" i="6"/>
  <c r="N3473" i="6"/>
  <c r="K3473" i="6"/>
  <c r="L3477" i="6"/>
  <c r="N3477" i="6"/>
  <c r="K3477" i="6"/>
  <c r="M3477" i="6"/>
  <c r="K3481" i="6"/>
  <c r="L3481" i="6"/>
  <c r="N3481" i="6"/>
  <c r="M3481" i="6"/>
  <c r="N3497" i="6"/>
  <c r="K3497" i="6"/>
  <c r="M3497" i="6"/>
  <c r="L3497" i="6"/>
  <c r="L3521" i="6"/>
  <c r="M3521" i="6"/>
  <c r="N3521" i="6"/>
  <c r="K3521" i="6"/>
  <c r="L3536" i="6"/>
  <c r="M3536" i="6"/>
  <c r="N3536" i="6"/>
  <c r="L3577" i="6"/>
  <c r="N3577" i="6"/>
  <c r="M3577" i="6"/>
  <c r="L3585" i="6"/>
  <c r="N3585" i="6"/>
  <c r="K3585" i="6"/>
  <c r="M3585" i="6"/>
  <c r="N3594" i="6"/>
  <c r="K3594" i="6"/>
  <c r="M3594" i="6"/>
  <c r="L3594" i="6"/>
  <c r="N3602" i="6"/>
  <c r="K3602" i="6"/>
  <c r="M3602" i="6"/>
  <c r="L3602" i="6"/>
  <c r="L3606" i="6"/>
  <c r="N3606" i="6"/>
  <c r="K3606" i="6"/>
  <c r="M3606" i="6"/>
  <c r="L3630" i="6"/>
  <c r="N3630" i="6"/>
  <c r="K3630" i="6"/>
  <c r="M3630" i="6"/>
  <c r="L3646" i="6"/>
  <c r="N3646" i="6"/>
  <c r="K3646" i="6"/>
  <c r="M3646" i="6"/>
  <c r="K3661" i="6"/>
  <c r="M3661" i="6"/>
  <c r="L3661" i="6"/>
  <c r="N3661" i="6"/>
  <c r="L3669" i="6"/>
  <c r="N3669" i="6"/>
  <c r="M3669" i="6"/>
  <c r="M3693" i="6"/>
  <c r="L3693" i="6"/>
  <c r="N3693" i="6"/>
  <c r="K3693" i="6"/>
  <c r="L3727" i="6"/>
  <c r="N3727" i="6"/>
  <c r="K3727" i="6"/>
  <c r="M3727" i="6"/>
  <c r="N3731" i="6"/>
  <c r="K3731" i="6"/>
  <c r="M3731" i="6"/>
  <c r="L3731" i="6"/>
  <c r="L3854" i="6"/>
  <c r="K3854" i="6"/>
  <c r="N3854" i="6"/>
  <c r="M3854" i="6"/>
  <c r="K3875" i="6"/>
  <c r="L3875" i="6"/>
  <c r="N3875" i="6"/>
  <c r="M3875" i="6"/>
  <c r="L3879" i="6"/>
  <c r="K3879" i="6"/>
  <c r="M3879" i="6"/>
  <c r="N3879" i="6"/>
  <c r="M3883" i="6"/>
  <c r="L3883" i="6"/>
  <c r="N3883" i="6"/>
  <c r="K3893" i="6"/>
  <c r="M3893" i="6"/>
  <c r="L3893" i="6"/>
  <c r="N3893" i="6"/>
  <c r="M3917" i="6"/>
  <c r="N3917" i="6"/>
  <c r="L3917" i="6"/>
  <c r="N3926" i="6"/>
  <c r="K3926" i="6"/>
  <c r="M3926" i="6"/>
  <c r="L3926" i="6"/>
  <c r="K3930" i="6"/>
  <c r="L3930" i="6"/>
  <c r="N3930" i="6"/>
  <c r="M3930" i="6"/>
  <c r="M3948" i="6"/>
  <c r="K3948" i="6"/>
  <c r="L3948" i="6"/>
  <c r="N3948" i="6"/>
  <c r="M3969" i="6"/>
  <c r="K3969" i="6"/>
  <c r="N3969" i="6"/>
  <c r="L3969" i="6"/>
  <c r="K3973" i="6"/>
  <c r="M3973" i="6"/>
  <c r="N3973" i="6"/>
  <c r="L3973" i="6"/>
  <c r="L3987" i="6"/>
  <c r="N3987" i="6"/>
  <c r="K3987" i="6"/>
  <c r="M3987" i="6"/>
  <c r="L3999" i="6"/>
  <c r="N3999" i="6"/>
  <c r="M3999" i="6"/>
  <c r="L4023" i="6"/>
  <c r="N4023" i="6"/>
  <c r="K4023" i="6"/>
  <c r="M4023" i="6"/>
  <c r="L4033" i="6"/>
  <c r="M4033" i="6"/>
  <c r="N4033" i="6"/>
  <c r="L4062" i="6"/>
  <c r="N4062" i="6"/>
  <c r="K4062" i="6"/>
  <c r="M4062" i="6"/>
  <c r="L4090" i="6"/>
  <c r="N4090" i="6"/>
  <c r="K4090" i="6"/>
  <c r="M4090" i="6"/>
  <c r="M4094" i="6"/>
  <c r="L4094" i="6"/>
  <c r="N4094" i="6"/>
  <c r="K4094" i="6"/>
  <c r="N4098" i="6"/>
  <c r="K4098" i="6"/>
  <c r="M4098" i="6"/>
  <c r="L4098" i="6"/>
  <c r="M4102" i="6"/>
  <c r="L4102" i="6"/>
  <c r="N4102" i="6"/>
  <c r="L4130" i="6"/>
  <c r="N4130" i="6"/>
  <c r="K4130" i="6"/>
  <c r="M4130" i="6"/>
  <c r="K4143" i="6"/>
  <c r="M4143" i="6"/>
  <c r="L4143" i="6"/>
  <c r="N4143" i="6"/>
  <c r="L4147" i="6"/>
  <c r="N4147" i="6"/>
  <c r="M4147" i="6"/>
  <c r="L4174" i="6"/>
  <c r="K4174" i="6"/>
  <c r="N4174" i="6"/>
  <c r="M4174" i="6"/>
  <c r="L4190" i="6"/>
  <c r="N4190" i="6"/>
  <c r="M4190" i="6"/>
  <c r="K4212" i="6"/>
  <c r="L4212" i="6"/>
  <c r="N4212" i="6"/>
  <c r="M4212" i="6"/>
  <c r="N4216" i="6"/>
  <c r="K4216" i="6"/>
  <c r="M4216" i="6"/>
  <c r="L4216" i="6"/>
  <c r="N4220" i="6"/>
  <c r="M4220" i="6"/>
  <c r="L4220" i="6"/>
  <c r="K4220" i="6"/>
  <c r="L4233" i="6"/>
  <c r="N4233" i="6"/>
  <c r="K4233" i="6"/>
  <c r="M4233" i="6"/>
  <c r="L4253" i="6"/>
  <c r="M4253" i="6"/>
  <c r="N4253" i="6"/>
  <c r="K4253" i="6"/>
  <c r="L4262" i="6"/>
  <c r="M4262" i="6"/>
  <c r="K4262" i="6"/>
  <c r="N4262" i="6"/>
  <c r="M4280" i="6"/>
  <c r="L4280" i="6"/>
  <c r="N4280" i="6"/>
  <c r="K4280" i="6"/>
  <c r="N4284" i="6"/>
  <c r="K4284" i="6"/>
  <c r="M4284" i="6"/>
  <c r="L4284" i="6"/>
  <c r="K4311" i="6"/>
  <c r="L4311" i="6"/>
  <c r="M4311" i="6"/>
  <c r="N4311" i="6"/>
  <c r="K4339" i="6"/>
  <c r="M4339" i="6"/>
  <c r="N4339" i="6"/>
  <c r="L4339" i="6"/>
  <c r="K4343" i="6"/>
  <c r="M4343" i="6"/>
  <c r="L4343" i="6"/>
  <c r="N4343" i="6"/>
  <c r="K4347" i="6"/>
  <c r="M4347" i="6"/>
  <c r="N4347" i="6"/>
  <c r="L4347" i="6"/>
  <c r="K4351" i="6"/>
  <c r="M4351" i="6"/>
  <c r="L4351" i="6"/>
  <c r="N4351" i="6"/>
  <c r="K4403" i="6"/>
  <c r="M4403" i="6"/>
  <c r="N4403" i="6"/>
  <c r="L4403" i="6"/>
  <c r="L4440" i="6"/>
  <c r="N4440" i="6"/>
  <c r="K4440" i="6"/>
  <c r="M4440" i="6"/>
  <c r="L4444" i="6"/>
  <c r="N4444" i="6"/>
  <c r="K4444" i="6"/>
  <c r="M4444" i="6"/>
  <c r="L4448" i="6"/>
  <c r="N4448" i="6"/>
  <c r="K4448" i="6"/>
  <c r="M4448" i="6"/>
  <c r="N4452" i="6"/>
  <c r="K4452" i="6"/>
  <c r="M4452" i="6"/>
  <c r="L4452" i="6"/>
  <c r="N4468" i="6"/>
  <c r="K4468" i="6"/>
  <c r="M4468" i="6"/>
  <c r="L4468" i="6"/>
  <c r="M3098" i="6"/>
  <c r="L3098" i="6"/>
  <c r="N3098" i="6"/>
  <c r="K3098" i="6"/>
  <c r="N3115" i="6"/>
  <c r="K3115" i="6"/>
  <c r="M3115" i="6"/>
  <c r="L3115" i="6"/>
  <c r="L3143" i="6"/>
  <c r="M3143" i="6"/>
  <c r="N3143" i="6"/>
  <c r="K3143" i="6"/>
  <c r="K3152" i="6"/>
  <c r="K3164" i="6"/>
  <c r="L3164" i="6"/>
  <c r="N3164" i="6"/>
  <c r="M3164" i="6"/>
  <c r="L3180" i="6"/>
  <c r="N3180" i="6"/>
  <c r="M3180" i="6"/>
  <c r="L3193" i="6"/>
  <c r="M3193" i="6"/>
  <c r="K3193" i="6"/>
  <c r="N3193" i="6"/>
  <c r="K3210" i="6"/>
  <c r="K3236" i="6"/>
  <c r="K3247" i="6"/>
  <c r="M3247" i="6"/>
  <c r="L3247" i="6"/>
  <c r="N3247" i="6"/>
  <c r="L3294" i="6"/>
  <c r="N3294" i="6"/>
  <c r="K3294" i="6"/>
  <c r="M3294" i="6"/>
  <c r="L3306" i="6"/>
  <c r="N3306" i="6"/>
  <c r="K3306" i="6"/>
  <c r="M3306" i="6"/>
  <c r="L3325" i="6"/>
  <c r="N3325" i="6"/>
  <c r="K3325" i="6"/>
  <c r="M3325" i="6"/>
  <c r="K3354" i="6"/>
  <c r="L3354" i="6"/>
  <c r="N3354" i="6"/>
  <c r="M3354" i="6"/>
  <c r="K3397" i="6"/>
  <c r="L3416" i="6"/>
  <c r="K3416" i="6"/>
  <c r="N3416" i="6"/>
  <c r="M3416" i="6"/>
  <c r="L3420" i="6"/>
  <c r="N3420" i="6"/>
  <c r="M3420" i="6"/>
  <c r="L3450" i="6"/>
  <c r="N3450" i="6"/>
  <c r="M3450" i="6"/>
  <c r="K3472" i="6"/>
  <c r="L3491" i="6"/>
  <c r="M3491" i="6"/>
  <c r="N3491" i="6"/>
  <c r="K3519" i="6"/>
  <c r="M3519" i="6"/>
  <c r="L3519" i="6"/>
  <c r="N3519" i="6"/>
  <c r="K3529" i="6"/>
  <c r="N3529" i="6"/>
  <c r="M3529" i="6"/>
  <c r="L3529" i="6"/>
  <c r="K3533" i="6"/>
  <c r="M3533" i="6"/>
  <c r="L3533" i="6"/>
  <c r="N3533" i="6"/>
  <c r="N3546" i="6"/>
  <c r="K3546" i="6"/>
  <c r="M3546" i="6"/>
  <c r="L3546" i="6"/>
  <c r="M3550" i="6"/>
  <c r="L3550" i="6"/>
  <c r="N3550" i="6"/>
  <c r="K3550" i="6"/>
  <c r="L3559" i="6"/>
  <c r="N3559" i="6"/>
  <c r="K3559" i="6"/>
  <c r="M3559" i="6"/>
  <c r="K3577" i="6"/>
  <c r="L3589" i="6"/>
  <c r="K3589" i="6"/>
  <c r="M3589" i="6"/>
  <c r="N3589" i="6"/>
  <c r="L3598" i="6"/>
  <c r="N3598" i="6"/>
  <c r="K3598" i="6"/>
  <c r="M3598" i="6"/>
  <c r="L3614" i="6"/>
  <c r="N3614" i="6"/>
  <c r="K3614" i="6"/>
  <c r="M3614" i="6"/>
  <c r="N3618" i="6"/>
  <c r="K3618" i="6"/>
  <c r="M3618" i="6"/>
  <c r="L3618" i="6"/>
  <c r="N3634" i="6"/>
  <c r="K3634" i="6"/>
  <c r="M3634" i="6"/>
  <c r="L3634" i="6"/>
  <c r="L3649" i="6"/>
  <c r="N3649" i="6"/>
  <c r="M3649" i="6"/>
  <c r="L3665" i="6"/>
  <c r="M3665" i="6"/>
  <c r="N3665" i="6"/>
  <c r="L3673" i="6"/>
  <c r="N3673" i="6"/>
  <c r="K3673" i="6"/>
  <c r="M3673" i="6"/>
  <c r="L3677" i="6"/>
  <c r="N3677" i="6"/>
  <c r="M3677" i="6"/>
  <c r="M3681" i="6"/>
  <c r="L3681" i="6"/>
  <c r="N3681" i="6"/>
  <c r="L3700" i="6"/>
  <c r="M3700" i="6"/>
  <c r="N3700" i="6"/>
  <c r="N3704" i="6"/>
  <c r="K3704" i="6"/>
  <c r="M3704" i="6"/>
  <c r="L3704" i="6"/>
  <c r="M3708" i="6"/>
  <c r="L3708" i="6"/>
  <c r="N3708" i="6"/>
  <c r="K3708" i="6"/>
  <c r="M3712" i="6"/>
  <c r="L3712" i="6"/>
  <c r="N3712" i="6"/>
  <c r="M3716" i="6"/>
  <c r="L3716" i="6"/>
  <c r="N3716" i="6"/>
  <c r="K3716" i="6"/>
  <c r="M3742" i="6"/>
  <c r="L3742" i="6"/>
  <c r="N3742" i="6"/>
  <c r="K3742" i="6"/>
  <c r="M3746" i="6"/>
  <c r="L3746" i="6"/>
  <c r="N3746" i="6"/>
  <c r="K3746" i="6"/>
  <c r="M3750" i="6"/>
  <c r="L3750" i="6"/>
  <c r="N3750" i="6"/>
  <c r="K3750" i="6"/>
  <c r="M3754" i="6"/>
  <c r="L3754" i="6"/>
  <c r="N3754" i="6"/>
  <c r="K3754" i="6"/>
  <c r="L3758" i="6"/>
  <c r="N3758" i="6"/>
  <c r="K3758" i="6"/>
  <c r="M3758" i="6"/>
  <c r="M3762" i="6"/>
  <c r="L3762" i="6"/>
  <c r="N3762" i="6"/>
  <c r="K3762" i="6"/>
  <c r="K3766" i="6"/>
  <c r="M3766" i="6"/>
  <c r="L3766" i="6"/>
  <c r="N3766" i="6"/>
  <c r="M3770" i="6"/>
  <c r="L3770" i="6"/>
  <c r="N3770" i="6"/>
  <c r="K3770" i="6"/>
  <c r="M3774" i="6"/>
  <c r="L3774" i="6"/>
  <c r="N3774" i="6"/>
  <c r="K3774" i="6"/>
  <c r="M3778" i="6"/>
  <c r="L3778" i="6"/>
  <c r="N3778" i="6"/>
  <c r="K3778" i="6"/>
  <c r="N3782" i="6"/>
  <c r="K3782" i="6"/>
  <c r="M3782" i="6"/>
  <c r="L3782" i="6"/>
  <c r="M3786" i="6"/>
  <c r="L3786" i="6"/>
  <c r="N3786" i="6"/>
  <c r="K3786" i="6"/>
  <c r="L3790" i="6"/>
  <c r="N3790" i="6"/>
  <c r="K3790" i="6"/>
  <c r="M3790" i="6"/>
  <c r="M3794" i="6"/>
  <c r="L3794" i="6"/>
  <c r="N3794" i="6"/>
  <c r="K3794" i="6"/>
  <c r="K3798" i="6"/>
  <c r="M3798" i="6"/>
  <c r="L3798" i="6"/>
  <c r="N3798" i="6"/>
  <c r="M3802" i="6"/>
  <c r="L3802" i="6"/>
  <c r="N3802" i="6"/>
  <c r="K3802" i="6"/>
  <c r="M3806" i="6"/>
  <c r="L3806" i="6"/>
  <c r="N3806" i="6"/>
  <c r="K3806" i="6"/>
  <c r="M3810" i="6"/>
  <c r="L3810" i="6"/>
  <c r="N3810" i="6"/>
  <c r="K3810" i="6"/>
  <c r="L3814" i="6"/>
  <c r="N3814" i="6"/>
  <c r="K3814" i="6"/>
  <c r="M3814" i="6"/>
  <c r="M3818" i="6"/>
  <c r="L3818" i="6"/>
  <c r="N3818" i="6"/>
  <c r="K3818" i="6"/>
  <c r="L3822" i="6"/>
  <c r="N3822" i="6"/>
  <c r="K3822" i="6"/>
  <c r="M3822" i="6"/>
  <c r="M3826" i="6"/>
  <c r="L3826" i="6"/>
  <c r="N3826" i="6"/>
  <c r="K3826" i="6"/>
  <c r="K3830" i="6"/>
  <c r="M3830" i="6"/>
  <c r="L3830" i="6"/>
  <c r="N3830" i="6"/>
  <c r="M3834" i="6"/>
  <c r="L3834" i="6"/>
  <c r="N3834" i="6"/>
  <c r="K3834" i="6"/>
  <c r="M3838" i="6"/>
  <c r="L3838" i="6"/>
  <c r="N3838" i="6"/>
  <c r="K3838" i="6"/>
  <c r="M3842" i="6"/>
  <c r="L3842" i="6"/>
  <c r="N3842" i="6"/>
  <c r="K3842" i="6"/>
  <c r="K3846" i="6"/>
  <c r="L3846" i="6"/>
  <c r="N3846" i="6"/>
  <c r="M3846" i="6"/>
  <c r="K3852" i="6"/>
  <c r="L3889" i="6"/>
  <c r="N3889" i="6"/>
  <c r="K3889" i="6"/>
  <c r="M3889" i="6"/>
  <c r="N3897" i="6"/>
  <c r="K3897" i="6"/>
  <c r="M3897" i="6"/>
  <c r="L3897" i="6"/>
  <c r="L3939" i="6"/>
  <c r="N3939" i="6"/>
  <c r="K3939" i="6"/>
  <c r="M3939" i="6"/>
  <c r="M3953" i="6"/>
  <c r="L3953" i="6"/>
  <c r="N3953" i="6"/>
  <c r="M3957" i="6"/>
  <c r="L3957" i="6"/>
  <c r="N3957" i="6"/>
  <c r="M3984" i="6"/>
  <c r="K3984" i="6"/>
  <c r="L3984" i="6"/>
  <c r="N3984" i="6"/>
  <c r="L4003" i="6"/>
  <c r="N4003" i="6"/>
  <c r="K4003" i="6"/>
  <c r="M4003" i="6"/>
  <c r="L4029" i="6"/>
  <c r="M4029" i="6"/>
  <c r="N4029" i="6"/>
  <c r="L4067" i="6"/>
  <c r="N4067" i="6"/>
  <c r="M4067" i="6"/>
  <c r="L4111" i="6"/>
  <c r="N4111" i="6"/>
  <c r="K4111" i="6"/>
  <c r="M4111" i="6"/>
  <c r="M4115" i="6"/>
  <c r="N4115" i="6"/>
  <c r="L4115" i="6"/>
  <c r="K4125" i="6"/>
  <c r="N4125" i="6"/>
  <c r="M4125" i="6"/>
  <c r="L4125" i="6"/>
  <c r="M4169" i="6"/>
  <c r="N4169" i="6"/>
  <c r="K4169" i="6"/>
  <c r="L4169" i="6"/>
  <c r="N4182" i="6"/>
  <c r="L4182" i="6"/>
  <c r="K4182" i="6"/>
  <c r="M4182" i="6"/>
  <c r="L4195" i="6"/>
  <c r="N4195" i="6"/>
  <c r="M4195" i="6"/>
  <c r="N4225" i="6"/>
  <c r="M4225" i="6"/>
  <c r="K4225" i="6"/>
  <c r="L4225" i="6"/>
  <c r="L4229" i="6"/>
  <c r="N4229" i="6"/>
  <c r="K4229" i="6"/>
  <c r="M4229" i="6"/>
  <c r="L4248" i="6"/>
  <c r="M4248" i="6"/>
  <c r="K4248" i="6"/>
  <c r="N4248" i="6"/>
  <c r="L4258" i="6"/>
  <c r="M4258" i="6"/>
  <c r="K4258" i="6"/>
  <c r="N4258" i="6"/>
  <c r="K4268" i="6"/>
  <c r="N4268" i="6"/>
  <c r="M4268" i="6"/>
  <c r="L4268" i="6"/>
  <c r="K4291" i="6"/>
  <c r="M4291" i="6"/>
  <c r="N4291" i="6"/>
  <c r="L4291" i="6"/>
  <c r="L4324" i="6"/>
  <c r="N4324" i="6"/>
  <c r="K4324" i="6"/>
  <c r="M4324" i="6"/>
  <c r="L4328" i="6"/>
  <c r="N4328" i="6"/>
  <c r="K4328" i="6"/>
  <c r="M4328" i="6"/>
  <c r="M4332" i="6"/>
  <c r="L4332" i="6"/>
  <c r="N4332" i="6"/>
  <c r="K4332" i="6"/>
  <c r="L4376" i="6"/>
  <c r="N4376" i="6"/>
  <c r="K4376" i="6"/>
  <c r="M4376" i="6"/>
  <c r="L4457" i="6"/>
  <c r="N4457" i="6"/>
  <c r="K4457" i="6"/>
  <c r="M4457" i="6"/>
  <c r="K4461" i="6"/>
  <c r="M4461" i="6"/>
  <c r="L4461" i="6"/>
  <c r="N4461" i="6"/>
  <c r="L4501" i="6"/>
  <c r="M4501" i="6"/>
  <c r="K4501" i="6"/>
  <c r="N4501" i="6"/>
  <c r="N4505" i="6"/>
  <c r="K4505" i="6"/>
  <c r="M4505" i="6"/>
  <c r="L4505" i="6"/>
  <c r="M4509" i="6"/>
  <c r="L4509" i="6"/>
  <c r="N4509" i="6"/>
  <c r="K4509" i="6"/>
  <c r="N4513" i="6"/>
  <c r="K4513" i="6"/>
  <c r="M4513" i="6"/>
  <c r="L4513" i="6"/>
  <c r="M4517" i="6"/>
  <c r="L4517" i="6"/>
  <c r="N4517" i="6"/>
  <c r="K4517" i="6"/>
  <c r="L4567" i="6"/>
  <c r="N4567" i="6"/>
  <c r="K4567" i="6"/>
  <c r="M4567" i="6"/>
  <c r="M4571" i="6"/>
  <c r="L4571" i="6"/>
  <c r="N4571" i="6"/>
  <c r="K4571" i="6"/>
  <c r="L4575" i="6"/>
  <c r="N4575" i="6"/>
  <c r="K4575" i="6"/>
  <c r="M4575" i="6"/>
  <c r="L4579" i="6"/>
  <c r="N4579" i="6"/>
  <c r="K4579" i="6"/>
  <c r="M4579" i="6"/>
  <c r="L4583" i="6"/>
  <c r="N4583" i="6"/>
  <c r="K4583" i="6"/>
  <c r="M4583" i="6"/>
  <c r="K4587" i="6"/>
  <c r="M4587" i="6"/>
  <c r="L4587" i="6"/>
  <c r="N4587" i="6"/>
  <c r="L4591" i="6"/>
  <c r="N4591" i="6"/>
  <c r="K4591" i="6"/>
  <c r="M4591" i="6"/>
  <c r="L4606" i="6"/>
  <c r="N4606" i="6"/>
  <c r="M4606" i="6"/>
  <c r="K4606" i="6"/>
  <c r="K4610" i="6"/>
  <c r="M4610" i="6"/>
  <c r="L4610" i="6"/>
  <c r="N4610" i="6"/>
  <c r="K4640" i="6"/>
  <c r="M4640" i="6"/>
  <c r="L4640" i="6"/>
  <c r="N4640" i="6"/>
  <c r="L4679" i="6"/>
  <c r="N4679" i="6"/>
  <c r="K4679" i="6"/>
  <c r="M4679" i="6"/>
  <c r="L4683" i="6"/>
  <c r="K4683" i="6"/>
  <c r="N4683" i="6"/>
  <c r="M4683" i="6"/>
  <c r="M4707" i="6"/>
  <c r="K4707" i="6"/>
  <c r="L4707" i="6"/>
  <c r="N4707" i="6"/>
  <c r="L4723" i="6"/>
  <c r="K4723" i="6"/>
  <c r="N4723" i="6"/>
  <c r="M4723" i="6"/>
  <c r="M4735" i="6"/>
  <c r="L4735" i="6"/>
  <c r="N4735" i="6"/>
  <c r="K4735" i="6"/>
  <c r="K4759" i="6"/>
  <c r="N4759" i="6"/>
  <c r="M4759" i="6"/>
  <c r="L4759" i="6"/>
  <c r="M4775" i="6"/>
  <c r="L4775" i="6"/>
  <c r="N4775" i="6"/>
  <c r="K4775" i="6"/>
  <c r="L4801" i="6"/>
  <c r="K4801" i="6"/>
  <c r="M4801" i="6"/>
  <c r="N4801" i="6"/>
  <c r="K3917" i="6"/>
  <c r="K4142" i="6"/>
  <c r="L4549" i="6"/>
  <c r="M4549" i="6"/>
  <c r="K4549" i="6"/>
  <c r="N4549" i="6"/>
  <c r="K4553" i="6"/>
  <c r="M4553" i="6"/>
  <c r="L4553" i="6"/>
  <c r="N4553" i="6"/>
  <c r="N4557" i="6"/>
  <c r="M4557" i="6"/>
  <c r="K4557" i="6"/>
  <c r="L4557" i="6"/>
  <c r="M4600" i="6"/>
  <c r="K4600" i="6"/>
  <c r="L4600" i="6"/>
  <c r="N4600" i="6"/>
  <c r="K4604" i="6"/>
  <c r="M4604" i="6"/>
  <c r="L4604" i="6"/>
  <c r="N4604" i="6"/>
  <c r="L4692" i="6"/>
  <c r="M4692" i="6"/>
  <c r="K4692" i="6"/>
  <c r="N4692" i="6"/>
  <c r="K4696" i="6"/>
  <c r="N4696" i="6"/>
  <c r="M4696" i="6"/>
  <c r="L4696" i="6"/>
  <c r="L4737" i="6"/>
  <c r="N4737" i="6"/>
  <c r="K4737" i="6"/>
  <c r="M4737" i="6"/>
  <c r="M4741" i="6"/>
  <c r="N4741" i="6"/>
  <c r="K4741" i="6"/>
  <c r="L4741" i="6"/>
  <c r="K4766" i="6"/>
  <c r="M4766" i="6"/>
  <c r="L4766" i="6"/>
  <c r="N4766" i="6"/>
  <c r="K4806" i="6"/>
  <c r="M4806" i="6"/>
  <c r="L4806" i="6"/>
  <c r="N4806" i="6"/>
  <c r="K4822" i="6"/>
  <c r="M4822" i="6"/>
  <c r="L4822" i="6"/>
  <c r="N4822" i="6"/>
  <c r="K4838" i="6"/>
  <c r="M4838" i="6"/>
  <c r="L4838" i="6"/>
  <c r="N4838" i="6"/>
  <c r="K4862" i="6"/>
  <c r="M4862" i="6"/>
  <c r="L4862" i="6"/>
  <c r="N4862" i="6"/>
  <c r="M4879" i="6"/>
  <c r="L4879" i="6"/>
  <c r="N4879" i="6"/>
  <c r="K4879" i="6"/>
  <c r="M4883" i="6"/>
  <c r="K4883" i="6"/>
  <c r="L4883" i="6"/>
  <c r="N4883" i="6"/>
  <c r="K4902" i="6"/>
  <c r="M4902" i="6"/>
  <c r="L4902" i="6"/>
  <c r="N4902" i="6"/>
  <c r="N4930" i="6"/>
  <c r="K4930" i="6"/>
  <c r="M4930" i="6"/>
  <c r="L4930" i="6"/>
  <c r="K4950" i="6"/>
  <c r="M4950" i="6"/>
  <c r="L4950" i="6"/>
  <c r="N4950" i="6"/>
  <c r="N4954" i="6"/>
  <c r="K4954" i="6"/>
  <c r="M4954" i="6"/>
  <c r="L4954" i="6"/>
  <c r="K4958" i="6"/>
  <c r="M4958" i="6"/>
  <c r="L4958" i="6"/>
  <c r="N4958" i="6"/>
  <c r="N4978" i="6"/>
  <c r="K4978" i="6"/>
  <c r="M4978" i="6"/>
  <c r="L4978" i="6"/>
  <c r="K4982" i="6"/>
  <c r="M4982" i="6"/>
  <c r="L4982" i="6"/>
  <c r="N4982" i="6"/>
  <c r="K4999" i="6"/>
  <c r="M4999" i="6"/>
  <c r="L4999" i="6"/>
  <c r="N4999" i="6"/>
  <c r="M5017" i="6"/>
  <c r="K5017" i="6"/>
  <c r="L5017" i="6"/>
  <c r="N5017" i="6"/>
  <c r="K5021" i="6"/>
  <c r="L5021" i="6"/>
  <c r="N5021" i="6"/>
  <c r="M5021" i="6"/>
  <c r="K5025" i="6"/>
  <c r="M5025" i="6"/>
  <c r="L5025" i="6"/>
  <c r="N5025" i="6"/>
  <c r="N5049" i="6"/>
  <c r="M5049" i="6"/>
  <c r="L5049" i="6"/>
  <c r="K5049" i="6"/>
  <c r="L5064" i="6"/>
  <c r="M5064" i="6"/>
  <c r="K5064" i="6"/>
  <c r="N5064" i="6"/>
  <c r="L5100" i="6"/>
  <c r="K5100" i="6"/>
  <c r="M5100" i="6"/>
  <c r="N5100" i="6"/>
  <c r="L5129" i="6"/>
  <c r="N5129" i="6"/>
  <c r="K5129" i="6"/>
  <c r="M5129" i="6"/>
  <c r="K5133" i="6"/>
  <c r="L5133" i="6"/>
  <c r="N5133" i="6"/>
  <c r="M5133" i="6"/>
  <c r="M5150" i="6"/>
  <c r="L5150" i="6"/>
  <c r="N5150" i="6"/>
  <c r="K5150" i="6"/>
  <c r="K5154" i="6"/>
  <c r="M5154" i="6"/>
  <c r="L5154" i="6"/>
  <c r="N5154" i="6"/>
  <c r="L5167" i="6"/>
  <c r="N5167" i="6"/>
  <c r="K5167" i="6"/>
  <c r="M5167" i="6"/>
  <c r="K5171" i="6"/>
  <c r="M5171" i="6"/>
  <c r="L5171" i="6"/>
  <c r="N5171" i="6"/>
  <c r="L5175" i="6"/>
  <c r="N5175" i="6"/>
  <c r="K5175" i="6"/>
  <c r="M5175" i="6"/>
  <c r="L5179" i="6"/>
  <c r="K5179" i="6"/>
  <c r="M5179" i="6"/>
  <c r="N5179" i="6"/>
  <c r="M5183" i="6"/>
  <c r="N5183" i="6"/>
  <c r="K5183" i="6"/>
  <c r="L5183" i="6"/>
  <c r="K5187" i="6"/>
  <c r="L5187" i="6"/>
  <c r="N5187" i="6"/>
  <c r="M5187" i="6"/>
  <c r="L5191" i="6"/>
  <c r="N5191" i="6"/>
  <c r="K5191" i="6"/>
  <c r="M5191" i="6"/>
  <c r="L5195" i="6"/>
  <c r="N5195" i="6"/>
  <c r="K5195" i="6"/>
  <c r="M5195" i="6"/>
  <c r="L5229" i="6"/>
  <c r="N5229" i="6"/>
  <c r="M5229" i="6"/>
  <c r="K5229" i="6"/>
  <c r="M5253" i="6"/>
  <c r="L5253" i="6"/>
  <c r="K5253" i="6"/>
  <c r="N5253" i="6"/>
  <c r="L5276" i="6"/>
  <c r="K5276" i="6"/>
  <c r="M5276" i="6"/>
  <c r="N5276" i="6"/>
  <c r="K5295" i="6"/>
  <c r="M5295" i="6"/>
  <c r="L5295" i="6"/>
  <c r="N5295" i="6"/>
  <c r="M5308" i="6"/>
  <c r="K5308" i="6"/>
  <c r="L5308" i="6"/>
  <c r="N5308" i="6"/>
  <c r="K5312" i="6"/>
  <c r="L5312" i="6"/>
  <c r="N5312" i="6"/>
  <c r="M5312" i="6"/>
  <c r="L5328" i="6"/>
  <c r="M5328" i="6"/>
  <c r="K5328" i="6"/>
  <c r="N5328" i="6"/>
  <c r="L5340" i="6"/>
  <c r="K5340" i="6"/>
  <c r="M5340" i="6"/>
  <c r="N5340" i="6"/>
  <c r="L5344" i="6"/>
  <c r="N5344" i="6"/>
  <c r="K5344" i="6"/>
  <c r="M5344" i="6"/>
  <c r="L5368" i="6"/>
  <c r="M5368" i="6"/>
  <c r="K5368" i="6"/>
  <c r="N5368" i="6"/>
  <c r="K5372" i="6"/>
  <c r="L5372" i="6"/>
  <c r="N5372" i="6"/>
  <c r="M5372" i="6"/>
  <c r="N5376" i="6"/>
  <c r="K5376" i="6"/>
  <c r="M5376" i="6"/>
  <c r="L5376" i="6"/>
  <c r="L5399" i="6"/>
  <c r="N5399" i="6"/>
  <c r="K5399" i="6"/>
  <c r="M5399" i="6"/>
  <c r="L5403" i="6"/>
  <c r="N5403" i="6"/>
  <c r="K5403" i="6"/>
  <c r="M5403" i="6"/>
  <c r="L5407" i="6"/>
  <c r="N5407" i="6"/>
  <c r="K5407" i="6"/>
  <c r="M5407" i="6"/>
  <c r="L5431" i="6"/>
  <c r="N5431" i="6"/>
  <c r="K5431" i="6"/>
  <c r="M5431" i="6"/>
  <c r="L5435" i="6"/>
  <c r="N5435" i="6"/>
  <c r="K5435" i="6"/>
  <c r="M5435" i="6"/>
  <c r="L5439" i="6"/>
  <c r="K5439" i="6"/>
  <c r="N5439" i="6"/>
  <c r="M5439" i="6"/>
  <c r="L5463" i="6"/>
  <c r="N5463" i="6"/>
  <c r="K5463" i="6"/>
  <c r="M5463" i="6"/>
  <c r="N5477" i="6"/>
  <c r="L5477" i="6"/>
  <c r="K5477" i="6"/>
  <c r="M5477" i="6"/>
  <c r="K5502" i="6"/>
  <c r="M5502" i="6"/>
  <c r="L5502" i="6"/>
  <c r="N5502" i="6"/>
  <c r="K3677" i="6"/>
  <c r="K4100" i="6"/>
  <c r="K4114" i="6"/>
  <c r="M4560" i="6"/>
  <c r="K4560" i="6"/>
  <c r="L4560" i="6"/>
  <c r="N4560" i="6"/>
  <c r="M4612" i="6"/>
  <c r="K4612" i="6"/>
  <c r="L4612" i="6"/>
  <c r="N4612" i="6"/>
  <c r="M4616" i="6"/>
  <c r="K4616" i="6"/>
  <c r="L4616" i="6"/>
  <c r="N4616" i="6"/>
  <c r="K4620" i="6"/>
  <c r="M4620" i="6"/>
  <c r="L4620" i="6"/>
  <c r="N4620" i="6"/>
  <c r="K4624" i="6"/>
  <c r="M4624" i="6"/>
  <c r="L4624" i="6"/>
  <c r="N4624" i="6"/>
  <c r="L4789" i="6"/>
  <c r="K4789" i="6"/>
  <c r="N4789" i="6"/>
  <c r="M4789" i="6"/>
  <c r="L4813" i="6"/>
  <c r="N4813" i="6"/>
  <c r="K4813" i="6"/>
  <c r="M4813" i="6"/>
  <c r="L4864" i="6"/>
  <c r="K4864" i="6"/>
  <c r="M4864" i="6"/>
  <c r="N4864" i="6"/>
  <c r="K4886" i="6"/>
  <c r="M4886" i="6"/>
  <c r="L4886" i="6"/>
  <c r="N4886" i="6"/>
  <c r="K4934" i="6"/>
  <c r="M4934" i="6"/>
  <c r="L4934" i="6"/>
  <c r="N4934" i="6"/>
  <c r="K4966" i="6"/>
  <c r="M4966" i="6"/>
  <c r="L4966" i="6"/>
  <c r="N4966" i="6"/>
  <c r="L5029" i="6"/>
  <c r="K5029" i="6"/>
  <c r="N5029" i="6"/>
  <c r="M5029" i="6"/>
  <c r="K5058" i="6"/>
  <c r="M5058" i="6"/>
  <c r="L5058" i="6"/>
  <c r="N5058" i="6"/>
  <c r="M5106" i="6"/>
  <c r="K5106" i="6"/>
  <c r="L5106" i="6"/>
  <c r="N5106" i="6"/>
  <c r="M5110" i="6"/>
  <c r="L5110" i="6"/>
  <c r="N5110" i="6"/>
  <c r="K5110" i="6"/>
  <c r="M5114" i="6"/>
  <c r="L5114" i="6"/>
  <c r="N5114" i="6"/>
  <c r="K5114" i="6"/>
  <c r="M5118" i="6"/>
  <c r="L5118" i="6"/>
  <c r="N5118" i="6"/>
  <c r="K5118" i="6"/>
  <c r="K5122" i="6"/>
  <c r="M5122" i="6"/>
  <c r="L5122" i="6"/>
  <c r="N5122" i="6"/>
  <c r="N5141" i="6"/>
  <c r="K5141" i="6"/>
  <c r="M5141" i="6"/>
  <c r="L5141" i="6"/>
  <c r="L5231" i="6"/>
  <c r="N5231" i="6"/>
  <c r="M5231" i="6"/>
  <c r="K5231" i="6"/>
  <c r="L5271" i="6"/>
  <c r="K5271" i="6"/>
  <c r="M5271" i="6"/>
  <c r="N5271" i="6"/>
  <c r="L5318" i="6"/>
  <c r="N5318" i="6"/>
  <c r="K5318" i="6"/>
  <c r="M5318" i="6"/>
  <c r="L5411" i="6"/>
  <c r="N5411" i="6"/>
  <c r="K5411" i="6"/>
  <c r="M5411" i="6"/>
  <c r="L5447" i="6"/>
  <c r="N5447" i="6"/>
  <c r="K5447" i="6"/>
  <c r="M5447" i="6"/>
  <c r="M5451" i="6"/>
  <c r="N5451" i="6"/>
  <c r="K5451" i="6"/>
  <c r="L5451" i="6"/>
  <c r="N5455" i="6"/>
  <c r="K5455" i="6"/>
  <c r="M5455" i="6"/>
  <c r="L5455" i="6"/>
  <c r="L5508" i="6"/>
  <c r="K5508" i="6"/>
  <c r="M5508" i="6"/>
  <c r="N5508" i="6"/>
  <c r="L5519" i="6"/>
  <c r="K5519" i="6"/>
  <c r="N5519" i="6"/>
  <c r="M5519" i="6"/>
  <c r="N5545" i="6"/>
  <c r="L5545" i="6"/>
  <c r="K5545" i="6"/>
  <c r="M5545" i="6"/>
  <c r="K5577" i="6"/>
  <c r="N5577" i="6"/>
  <c r="M5577" i="6"/>
  <c r="L5577" i="6"/>
  <c r="K5593" i="6"/>
  <c r="M5593" i="6"/>
  <c r="L5593" i="6"/>
  <c r="N5593" i="6"/>
  <c r="K5597" i="6"/>
  <c r="M5597" i="6"/>
  <c r="L5597" i="6"/>
  <c r="N5597" i="6"/>
  <c r="M5601" i="6"/>
  <c r="N5601" i="6"/>
  <c r="L5601" i="6"/>
  <c r="K5601" i="6"/>
  <c r="L5640" i="6"/>
  <c r="K5640" i="6"/>
  <c r="M5640" i="6"/>
  <c r="N5640" i="6"/>
  <c r="K5655" i="6"/>
  <c r="N5655" i="6"/>
  <c r="M5655" i="6"/>
  <c r="L5655" i="6"/>
  <c r="M5672" i="6"/>
  <c r="K5672" i="6"/>
  <c r="L5672" i="6"/>
  <c r="N5672" i="6"/>
  <c r="M5676" i="6"/>
  <c r="K5676" i="6"/>
  <c r="N5676" i="6"/>
  <c r="L5676" i="6"/>
  <c r="M5713" i="6"/>
  <c r="L5713" i="6"/>
  <c r="N5713" i="6"/>
  <c r="K5713" i="6"/>
  <c r="N5717" i="6"/>
  <c r="K5717" i="6"/>
  <c r="M5717" i="6"/>
  <c r="L5717" i="6"/>
  <c r="L5750" i="6"/>
  <c r="K5750" i="6"/>
  <c r="M5750" i="6"/>
  <c r="N5750" i="6"/>
  <c r="L5754" i="6"/>
  <c r="N5754" i="6"/>
  <c r="K5754" i="6"/>
  <c r="M5754" i="6"/>
  <c r="M5778" i="6"/>
  <c r="L5778" i="6"/>
  <c r="N5778" i="6"/>
  <c r="K5778" i="6"/>
  <c r="L5801" i="6"/>
  <c r="K5801" i="6"/>
  <c r="N5801" i="6"/>
  <c r="M5801" i="6"/>
  <c r="K5872" i="6"/>
  <c r="M5872" i="6"/>
  <c r="L5872" i="6"/>
  <c r="N5872" i="6"/>
  <c r="L5912" i="6"/>
  <c r="N5912" i="6"/>
  <c r="K5912" i="6"/>
  <c r="M5912" i="6"/>
  <c r="K5948" i="6"/>
  <c r="M5948" i="6"/>
  <c r="L5948" i="6"/>
  <c r="N5948" i="6"/>
  <c r="L5961" i="6"/>
  <c r="N5961" i="6"/>
  <c r="K5961" i="6"/>
  <c r="M5961" i="6"/>
  <c r="K5992" i="6"/>
  <c r="M5992" i="6"/>
  <c r="L5992" i="6"/>
  <c r="N5992" i="6"/>
  <c r="L6006" i="6"/>
  <c r="K6006" i="6"/>
  <c r="N6006" i="6"/>
  <c r="M6006" i="6"/>
  <c r="K6018" i="6"/>
  <c r="M6018" i="6"/>
  <c r="N6018" i="6"/>
  <c r="L6018" i="6"/>
  <c r="L6040" i="6"/>
  <c r="N6040" i="6"/>
  <c r="K6040" i="6"/>
  <c r="M6040" i="6"/>
  <c r="L6051" i="6"/>
  <c r="M6051" i="6"/>
  <c r="K6051" i="6"/>
  <c r="N6051" i="6"/>
  <c r="L6074" i="6"/>
  <c r="M6074" i="6"/>
  <c r="K6074" i="6"/>
  <c r="N6074" i="6"/>
  <c r="N6096" i="6"/>
  <c r="K6096" i="6"/>
  <c r="M6096" i="6"/>
  <c r="L6096" i="6"/>
  <c r="M6114" i="6"/>
  <c r="N6114" i="6"/>
  <c r="L6114" i="6"/>
  <c r="K6114" i="6"/>
  <c r="M6137" i="6"/>
  <c r="N6137" i="6"/>
  <c r="K6137" i="6"/>
  <c r="L6137" i="6"/>
  <c r="M6152" i="6"/>
  <c r="K6152" i="6"/>
  <c r="N6152" i="6"/>
  <c r="L6152" i="6"/>
  <c r="M6170" i="6"/>
  <c r="N6170" i="6"/>
  <c r="L6170" i="6"/>
  <c r="K6170" i="6"/>
  <c r="M6187" i="6"/>
  <c r="N6187" i="6"/>
  <c r="L6187" i="6"/>
  <c r="K6187" i="6"/>
  <c r="L6200" i="6"/>
  <c r="M6200" i="6"/>
  <c r="N6200" i="6"/>
  <c r="K6200" i="6"/>
  <c r="L6208" i="6"/>
  <c r="K6208" i="6"/>
  <c r="M6208" i="6"/>
  <c r="N6208" i="6"/>
  <c r="M6223" i="6"/>
  <c r="L6223" i="6"/>
  <c r="K6223" i="6"/>
  <c r="N6223" i="6"/>
  <c r="K6236" i="6"/>
  <c r="M6236" i="6"/>
  <c r="N6236" i="6"/>
  <c r="L6236" i="6"/>
  <c r="M6253" i="6"/>
  <c r="N6253" i="6"/>
  <c r="K6253" i="6"/>
  <c r="L6253" i="6"/>
  <c r="M6275" i="6"/>
  <c r="N6275" i="6"/>
  <c r="K6275" i="6"/>
  <c r="L6275" i="6"/>
  <c r="L6283" i="6"/>
  <c r="N6283" i="6"/>
  <c r="K6283" i="6"/>
  <c r="M6283" i="6"/>
  <c r="K6309" i="6"/>
  <c r="L6309" i="6"/>
  <c r="M6309" i="6"/>
  <c r="N6309" i="6"/>
  <c r="N6323" i="6"/>
  <c r="M6323" i="6"/>
  <c r="L6323" i="6"/>
  <c r="K6323" i="6"/>
  <c r="L6340" i="6"/>
  <c r="N6340" i="6"/>
  <c r="K6340" i="6"/>
  <c r="M6340" i="6"/>
  <c r="K6348" i="6"/>
  <c r="M6348" i="6"/>
  <c r="N6348" i="6"/>
  <c r="L6348" i="6"/>
  <c r="K6359" i="6"/>
  <c r="M6359" i="6"/>
  <c r="N6359" i="6"/>
  <c r="L6359" i="6"/>
  <c r="M6373" i="6"/>
  <c r="N6373" i="6"/>
  <c r="L6373" i="6"/>
  <c r="K6373" i="6"/>
  <c r="N6392" i="6"/>
  <c r="M6392" i="6"/>
  <c r="K6392" i="6"/>
  <c r="L6392" i="6"/>
  <c r="N6412" i="6"/>
  <c r="L6412" i="6"/>
  <c r="M6412" i="6"/>
  <c r="K6412" i="6"/>
  <c r="L6429" i="6"/>
  <c r="M6429" i="6"/>
  <c r="K6429" i="6"/>
  <c r="N6429" i="6"/>
  <c r="N6441" i="6"/>
  <c r="M6441" i="6"/>
  <c r="L6441" i="6"/>
  <c r="K6441" i="6"/>
  <c r="N6461" i="6"/>
  <c r="M6461" i="6"/>
  <c r="K6461" i="6"/>
  <c r="L6461" i="6"/>
  <c r="M6473" i="6"/>
  <c r="K6473" i="6"/>
  <c r="N6473" i="6"/>
  <c r="L6473" i="6"/>
  <c r="L6489" i="6"/>
  <c r="M6489" i="6"/>
  <c r="K6489" i="6"/>
  <c r="N6489" i="6"/>
  <c r="N6518" i="6"/>
  <c r="L6518" i="6"/>
  <c r="M6518" i="6"/>
  <c r="K6518" i="6"/>
  <c r="N6534" i="6"/>
  <c r="L6534" i="6"/>
  <c r="K6534" i="6"/>
  <c r="M6534" i="6"/>
  <c r="N6543" i="6"/>
  <c r="L6543" i="6"/>
  <c r="M6543" i="6"/>
  <c r="K6543" i="6"/>
  <c r="N6557" i="6"/>
  <c r="L6557" i="6"/>
  <c r="K6557" i="6"/>
  <c r="M6557" i="6"/>
  <c r="K6569" i="6"/>
  <c r="L6569" i="6"/>
  <c r="M6569" i="6"/>
  <c r="N6569" i="6"/>
  <c r="L6589" i="6"/>
  <c r="N6589" i="6"/>
  <c r="K6589" i="6"/>
  <c r="M6589" i="6"/>
  <c r="M6608" i="6"/>
  <c r="L6608" i="6"/>
  <c r="N6608" i="6"/>
  <c r="K6608" i="6"/>
  <c r="N6626" i="6"/>
  <c r="M6626" i="6"/>
  <c r="L6626" i="6"/>
  <c r="K6626" i="6"/>
  <c r="L6640" i="6"/>
  <c r="N6640" i="6"/>
  <c r="K6640" i="6"/>
  <c r="M6640" i="6"/>
  <c r="N6659" i="6"/>
  <c r="M6659" i="6"/>
  <c r="L6659" i="6"/>
  <c r="K6659" i="6"/>
  <c r="N6670" i="6"/>
  <c r="M6670" i="6"/>
  <c r="K6670" i="6"/>
  <c r="L6670" i="6"/>
  <c r="N6684" i="6"/>
  <c r="L6684" i="6"/>
  <c r="K6684" i="6"/>
  <c r="M6684" i="6"/>
  <c r="N6700" i="6"/>
  <c r="K6700" i="6"/>
  <c r="M6700" i="6"/>
  <c r="L6700" i="6"/>
  <c r="M6708" i="6"/>
  <c r="L6708" i="6"/>
  <c r="K6708" i="6"/>
  <c r="N6708" i="6"/>
  <c r="M6723" i="6"/>
  <c r="L6723" i="6"/>
  <c r="N6723" i="6"/>
  <c r="K6723" i="6"/>
  <c r="N6737" i="6"/>
  <c r="K6737" i="6"/>
  <c r="M6737" i="6"/>
  <c r="L6737" i="6"/>
  <c r="M6761" i="6"/>
  <c r="L6761" i="6"/>
  <c r="K6761" i="6"/>
  <c r="N6761" i="6"/>
  <c r="L6773" i="6"/>
  <c r="K6773" i="6"/>
  <c r="N6773" i="6"/>
  <c r="M6773" i="6"/>
  <c r="N6790" i="6"/>
  <c r="M6790" i="6"/>
  <c r="L6790" i="6"/>
  <c r="K6790" i="6"/>
  <c r="N6806" i="6"/>
  <c r="L6806" i="6"/>
  <c r="M6806" i="6"/>
  <c r="K6806" i="6"/>
  <c r="N6826" i="6"/>
  <c r="K6826" i="6"/>
  <c r="M6826" i="6"/>
  <c r="L6826" i="6"/>
  <c r="L6837" i="6"/>
  <c r="M6837" i="6"/>
  <c r="N6837" i="6"/>
  <c r="K6837" i="6"/>
  <c r="N6854" i="6"/>
  <c r="M6854" i="6"/>
  <c r="L6854" i="6"/>
  <c r="K6854" i="6"/>
  <c r="M6864" i="6"/>
  <c r="K6864" i="6"/>
  <c r="L6864" i="6"/>
  <c r="N6864" i="6"/>
  <c r="L6881" i="6"/>
  <c r="K6881" i="6"/>
  <c r="M6881" i="6"/>
  <c r="N6881" i="6"/>
  <c r="N6895" i="6"/>
  <c r="L6895" i="6"/>
  <c r="M6895" i="6"/>
  <c r="K6895" i="6"/>
  <c r="K3953" i="6"/>
  <c r="K3998" i="6"/>
  <c r="L4521" i="6"/>
  <c r="M4521" i="6"/>
  <c r="K4521" i="6"/>
  <c r="N4521" i="6"/>
  <c r="M4525" i="6"/>
  <c r="L4525" i="6"/>
  <c r="N4525" i="6"/>
  <c r="K4525" i="6"/>
  <c r="K4529" i="6"/>
  <c r="L4529" i="6"/>
  <c r="M4529" i="6"/>
  <c r="N4529" i="6"/>
  <c r="L4533" i="6"/>
  <c r="N4533" i="6"/>
  <c r="K4533" i="6"/>
  <c r="M4533" i="6"/>
  <c r="K4537" i="6"/>
  <c r="N4537" i="6"/>
  <c r="M4537" i="6"/>
  <c r="L4537" i="6"/>
  <c r="L4642" i="6"/>
  <c r="M4642" i="6"/>
  <c r="K4642" i="6"/>
  <c r="N4642" i="6"/>
  <c r="L4646" i="6"/>
  <c r="N4646" i="6"/>
  <c r="K4646" i="6"/>
  <c r="M4646" i="6"/>
  <c r="N4747" i="6"/>
  <c r="K4747" i="6"/>
  <c r="M4747" i="6"/>
  <c r="L4747" i="6"/>
  <c r="N4751" i="6"/>
  <c r="M4751" i="6"/>
  <c r="L4751" i="6"/>
  <c r="K4751" i="6"/>
  <c r="M4780" i="6"/>
  <c r="N4780" i="6"/>
  <c r="L4780" i="6"/>
  <c r="K4780" i="6"/>
  <c r="L4828" i="6"/>
  <c r="N4828" i="6"/>
  <c r="K4828" i="6"/>
  <c r="M4828" i="6"/>
  <c r="K4846" i="6"/>
  <c r="M4846" i="6"/>
  <c r="L4846" i="6"/>
  <c r="N4846" i="6"/>
  <c r="N4850" i="6"/>
  <c r="K4850" i="6"/>
  <c r="M4850" i="6"/>
  <c r="L4850" i="6"/>
  <c r="L4907" i="6"/>
  <c r="K4907" i="6"/>
  <c r="N4907" i="6"/>
  <c r="M4907" i="6"/>
  <c r="L4984" i="6"/>
  <c r="K4984" i="6"/>
  <c r="M4984" i="6"/>
  <c r="N4984" i="6"/>
  <c r="K5006" i="6"/>
  <c r="M5006" i="6"/>
  <c r="L5006" i="6"/>
  <c r="N5006" i="6"/>
  <c r="K5066" i="6"/>
  <c r="M5066" i="6"/>
  <c r="L5066" i="6"/>
  <c r="N5066" i="6"/>
  <c r="L5070" i="6"/>
  <c r="N5070" i="6"/>
  <c r="K5070" i="6"/>
  <c r="M5070" i="6"/>
  <c r="M5074" i="6"/>
  <c r="L5074" i="6"/>
  <c r="N5074" i="6"/>
  <c r="K5074" i="6"/>
  <c r="L5078" i="6"/>
  <c r="N5078" i="6"/>
  <c r="K5078" i="6"/>
  <c r="M5078" i="6"/>
  <c r="K5156" i="6"/>
  <c r="M5156" i="6"/>
  <c r="L5156" i="6"/>
  <c r="N5156" i="6"/>
  <c r="K5210" i="6"/>
  <c r="M5210" i="6"/>
  <c r="L5210" i="6"/>
  <c r="N5210" i="6"/>
  <c r="K5214" i="6"/>
  <c r="M5214" i="6"/>
  <c r="L5214" i="6"/>
  <c r="N5214" i="6"/>
  <c r="K5218" i="6"/>
  <c r="M5218" i="6"/>
  <c r="N5218" i="6"/>
  <c r="L5218" i="6"/>
  <c r="L5279" i="6"/>
  <c r="K5279" i="6"/>
  <c r="M5279" i="6"/>
  <c r="N5279" i="6"/>
  <c r="M5283" i="6"/>
  <c r="N5283" i="6"/>
  <c r="K5283" i="6"/>
  <c r="L5283" i="6"/>
  <c r="L5300" i="6"/>
  <c r="K5300" i="6"/>
  <c r="M5300" i="6"/>
  <c r="N5300" i="6"/>
  <c r="N5349" i="6"/>
  <c r="K5349" i="6"/>
  <c r="M5349" i="6"/>
  <c r="L5349" i="6"/>
  <c r="K5385" i="6"/>
  <c r="N5385" i="6"/>
  <c r="M5385" i="6"/>
  <c r="L5385" i="6"/>
  <c r="N5389" i="6"/>
  <c r="K5389" i="6"/>
  <c r="L5389" i="6"/>
  <c r="M5389" i="6"/>
  <c r="L5393" i="6"/>
  <c r="K5393" i="6"/>
  <c r="M5393" i="6"/>
  <c r="N5393" i="6"/>
  <c r="M5467" i="6"/>
  <c r="L5467" i="6"/>
  <c r="N5467" i="6"/>
  <c r="K5467" i="6"/>
  <c r="K5491" i="6"/>
  <c r="M5491" i="6"/>
  <c r="L5491" i="6"/>
  <c r="N5491" i="6"/>
  <c r="K5495" i="6"/>
  <c r="L5495" i="6"/>
  <c r="N5495" i="6"/>
  <c r="M5495" i="6"/>
  <c r="N5528" i="6"/>
  <c r="M5528" i="6"/>
  <c r="L5528" i="6"/>
  <c r="K5528" i="6"/>
  <c r="N5560" i="6"/>
  <c r="M5560" i="6"/>
  <c r="L5560" i="6"/>
  <c r="K5560" i="6"/>
  <c r="K5586" i="6"/>
  <c r="M5586" i="6"/>
  <c r="L5586" i="6"/>
  <c r="N5586" i="6"/>
  <c r="K5610" i="6"/>
  <c r="L5610" i="6"/>
  <c r="M5610" i="6"/>
  <c r="N5610" i="6"/>
  <c r="K5631" i="6"/>
  <c r="M5631" i="6"/>
  <c r="L5631" i="6"/>
  <c r="N5631" i="6"/>
  <c r="M5635" i="6"/>
  <c r="L5635" i="6"/>
  <c r="N5635" i="6"/>
  <c r="K5635" i="6"/>
  <c r="N5648" i="6"/>
  <c r="M5648" i="6"/>
  <c r="L5648" i="6"/>
  <c r="K5648" i="6"/>
  <c r="L5683" i="6"/>
  <c r="N5683" i="6"/>
  <c r="K5683" i="6"/>
  <c r="M5683" i="6"/>
  <c r="K5687" i="6"/>
  <c r="L5687" i="6"/>
  <c r="N5687" i="6"/>
  <c r="M5687" i="6"/>
  <c r="L5691" i="6"/>
  <c r="M5691" i="6"/>
  <c r="N5691" i="6"/>
  <c r="K5691" i="6"/>
  <c r="M5736" i="6"/>
  <c r="K5736" i="6"/>
  <c r="N5736" i="6"/>
  <c r="L5736" i="6"/>
  <c r="M5760" i="6"/>
  <c r="K5760" i="6"/>
  <c r="N5760" i="6"/>
  <c r="L5760" i="6"/>
  <c r="M5764" i="6"/>
  <c r="K5764" i="6"/>
  <c r="L5764" i="6"/>
  <c r="N5764" i="6"/>
  <c r="M5768" i="6"/>
  <c r="K5768" i="6"/>
  <c r="N5768" i="6"/>
  <c r="L5768" i="6"/>
  <c r="M5792" i="6"/>
  <c r="K5792" i="6"/>
  <c r="N5792" i="6"/>
  <c r="L5792" i="6"/>
  <c r="M5808" i="6"/>
  <c r="K5808" i="6"/>
  <c r="N5808" i="6"/>
  <c r="L5808" i="6"/>
  <c r="M5812" i="6"/>
  <c r="K5812" i="6"/>
  <c r="L5812" i="6"/>
  <c r="N5812" i="6"/>
  <c r="K5840" i="6"/>
  <c r="M5840" i="6"/>
  <c r="N5840" i="6"/>
  <c r="L5840" i="6"/>
  <c r="K5852" i="6"/>
  <c r="M5852" i="6"/>
  <c r="L5852" i="6"/>
  <c r="N5852" i="6"/>
  <c r="K5883" i="6"/>
  <c r="N5883" i="6"/>
  <c r="M5883" i="6"/>
  <c r="L5883" i="6"/>
  <c r="M5902" i="6"/>
  <c r="N5902" i="6"/>
  <c r="K5902" i="6"/>
  <c r="L5902" i="6"/>
  <c r="N5906" i="6"/>
  <c r="L5906" i="6"/>
  <c r="K5906" i="6"/>
  <c r="M5906" i="6"/>
  <c r="N5919" i="6"/>
  <c r="K5919" i="6"/>
  <c r="M5919" i="6"/>
  <c r="L5919" i="6"/>
  <c r="L5933" i="6"/>
  <c r="N5933" i="6"/>
  <c r="K5933" i="6"/>
  <c r="M5933" i="6"/>
  <c r="L5937" i="6"/>
  <c r="N5937" i="6"/>
  <c r="K5937" i="6"/>
  <c r="M5937" i="6"/>
  <c r="L5941" i="6"/>
  <c r="N5941" i="6"/>
  <c r="K5941" i="6"/>
  <c r="M5941" i="6"/>
  <c r="L5970" i="6"/>
  <c r="K5970" i="6"/>
  <c r="M5970" i="6"/>
  <c r="N5970" i="6"/>
  <c r="K5982" i="6"/>
  <c r="M5982" i="6"/>
  <c r="L5982" i="6"/>
  <c r="N5982" i="6"/>
  <c r="K5986" i="6"/>
  <c r="L5986" i="6"/>
  <c r="N5986" i="6"/>
  <c r="M5986" i="6"/>
  <c r="N6003" i="6"/>
  <c r="K6003" i="6"/>
  <c r="M6003" i="6"/>
  <c r="L6003" i="6"/>
  <c r="L6025" i="6"/>
  <c r="N6025" i="6"/>
  <c r="K6025" i="6"/>
  <c r="M6025" i="6"/>
  <c r="N6037" i="6"/>
  <c r="K6037" i="6"/>
  <c r="M6037" i="6"/>
  <c r="L6037" i="6"/>
  <c r="K6064" i="6"/>
  <c r="L6064" i="6"/>
  <c r="M6064" i="6"/>
  <c r="N6064" i="6"/>
  <c r="M6093" i="6"/>
  <c r="L6093" i="6"/>
  <c r="N6093" i="6"/>
  <c r="K6093" i="6"/>
  <c r="M6105" i="6"/>
  <c r="N6105" i="6"/>
  <c r="K6105" i="6"/>
  <c r="L6105" i="6"/>
  <c r="N6122" i="6"/>
  <c r="M6122" i="6"/>
  <c r="K6122" i="6"/>
  <c r="L6122" i="6"/>
  <c r="L6135" i="6"/>
  <c r="N6135" i="6"/>
  <c r="K6135" i="6"/>
  <c r="M6135" i="6"/>
  <c r="L6150" i="6"/>
  <c r="M6150" i="6"/>
  <c r="K6150" i="6"/>
  <c r="N6150" i="6"/>
  <c r="K6168" i="6"/>
  <c r="M6168" i="6"/>
  <c r="L6168" i="6"/>
  <c r="N6168" i="6"/>
  <c r="M6185" i="6"/>
  <c r="L6185" i="6"/>
  <c r="N6185" i="6"/>
  <c r="K6185" i="6"/>
  <c r="M6196" i="6"/>
  <c r="K6196" i="6"/>
  <c r="L6196" i="6"/>
  <c r="N6196" i="6"/>
  <c r="K6211" i="6"/>
  <c r="N6211" i="6"/>
  <c r="M6211" i="6"/>
  <c r="L6211" i="6"/>
  <c r="N6220" i="6"/>
  <c r="L6220" i="6"/>
  <c r="K6220" i="6"/>
  <c r="M6220" i="6"/>
  <c r="N6232" i="6"/>
  <c r="L6232" i="6"/>
  <c r="M6232" i="6"/>
  <c r="K6232" i="6"/>
  <c r="N6242" i="6"/>
  <c r="M6242" i="6"/>
  <c r="L6242" i="6"/>
  <c r="K6242" i="6"/>
  <c r="M6269" i="6"/>
  <c r="K6269" i="6"/>
  <c r="L6269" i="6"/>
  <c r="N6269" i="6"/>
  <c r="M6286" i="6"/>
  <c r="N6286" i="6"/>
  <c r="K6286" i="6"/>
  <c r="L6286" i="6"/>
  <c r="N6297" i="6"/>
  <c r="M6297" i="6"/>
  <c r="L6297" i="6"/>
  <c r="K6297" i="6"/>
  <c r="N6317" i="6"/>
  <c r="L6317" i="6"/>
  <c r="K6317" i="6"/>
  <c r="M6317" i="6"/>
  <c r="L6328" i="6"/>
  <c r="N6328" i="6"/>
  <c r="M6328" i="6"/>
  <c r="K6328" i="6"/>
  <c r="M6346" i="6"/>
  <c r="L6346" i="6"/>
  <c r="N6346" i="6"/>
  <c r="K6346" i="6"/>
  <c r="L6356" i="6"/>
  <c r="N6356" i="6"/>
  <c r="M6356" i="6"/>
  <c r="K6356" i="6"/>
  <c r="L6377" i="6"/>
  <c r="M6377" i="6"/>
  <c r="N6377" i="6"/>
  <c r="K6377" i="6"/>
  <c r="L6399" i="6"/>
  <c r="N6399" i="6"/>
  <c r="M6399" i="6"/>
  <c r="K6399" i="6"/>
  <c r="M6419" i="6"/>
  <c r="N6419" i="6"/>
  <c r="L6419" i="6"/>
  <c r="K6419" i="6"/>
  <c r="N6445" i="6"/>
  <c r="K6445" i="6"/>
  <c r="L6445" i="6"/>
  <c r="M6445" i="6"/>
  <c r="L6459" i="6"/>
  <c r="M6459" i="6"/>
  <c r="N6459" i="6"/>
  <c r="K6459" i="6"/>
  <c r="M6481" i="6"/>
  <c r="N6481" i="6"/>
  <c r="L6481" i="6"/>
  <c r="K6481" i="6"/>
  <c r="M6499" i="6"/>
  <c r="L6499" i="6"/>
  <c r="N6499" i="6"/>
  <c r="K6499" i="6"/>
  <c r="L6513" i="6"/>
  <c r="M6513" i="6"/>
  <c r="N6513" i="6"/>
  <c r="K6513" i="6"/>
  <c r="N6538" i="6"/>
  <c r="K6538" i="6"/>
  <c r="L6538" i="6"/>
  <c r="M6538" i="6"/>
  <c r="N6550" i="6"/>
  <c r="M6550" i="6"/>
  <c r="L6550" i="6"/>
  <c r="K6550" i="6"/>
  <c r="M6571" i="6"/>
  <c r="L6571" i="6"/>
  <c r="N6571" i="6"/>
  <c r="K6571" i="6"/>
  <c r="N6581" i="6"/>
  <c r="K6581" i="6"/>
  <c r="M6581" i="6"/>
  <c r="L6581" i="6"/>
  <c r="L6596" i="6"/>
  <c r="K6596" i="6"/>
  <c r="M6596" i="6"/>
  <c r="N6596" i="6"/>
  <c r="N6615" i="6"/>
  <c r="L6615" i="6"/>
  <c r="M6615" i="6"/>
  <c r="K6615" i="6"/>
  <c r="N6623" i="6"/>
  <c r="L6623" i="6"/>
  <c r="M6623" i="6"/>
  <c r="K6623" i="6"/>
  <c r="N6642" i="6"/>
  <c r="M6642" i="6"/>
  <c r="L6642" i="6"/>
  <c r="K6642" i="6"/>
  <c r="K6656" i="6"/>
  <c r="M6656" i="6"/>
  <c r="L6656" i="6"/>
  <c r="N6656" i="6"/>
  <c r="L6679" i="6"/>
  <c r="N6679" i="6"/>
  <c r="M6679" i="6"/>
  <c r="K6679" i="6"/>
  <c r="N6690" i="6"/>
  <c r="M6690" i="6"/>
  <c r="L6690" i="6"/>
  <c r="K6690" i="6"/>
  <c r="L6711" i="6"/>
  <c r="N6711" i="6"/>
  <c r="M6711" i="6"/>
  <c r="K6711" i="6"/>
  <c r="M6725" i="6"/>
  <c r="L6725" i="6"/>
  <c r="N6725" i="6"/>
  <c r="K6725" i="6"/>
  <c r="M6739" i="6"/>
  <c r="L6739" i="6"/>
  <c r="N6739" i="6"/>
  <c r="K6739" i="6"/>
  <c r="L6753" i="6"/>
  <c r="K6753" i="6"/>
  <c r="M6753" i="6"/>
  <c r="N6753" i="6"/>
  <c r="M6764" i="6"/>
  <c r="N6764" i="6"/>
  <c r="L6764" i="6"/>
  <c r="K6764" i="6"/>
  <c r="N6786" i="6"/>
  <c r="M6786" i="6"/>
  <c r="L6786" i="6"/>
  <c r="K6786" i="6"/>
  <c r="N6798" i="6"/>
  <c r="K6798" i="6"/>
  <c r="L6798" i="6"/>
  <c r="M6798" i="6"/>
  <c r="L6813" i="6"/>
  <c r="M6813" i="6"/>
  <c r="K6813" i="6"/>
  <c r="N6813" i="6"/>
  <c r="K6824" i="6"/>
  <c r="N6824" i="6"/>
  <c r="M6824" i="6"/>
  <c r="L6824" i="6"/>
  <c r="N6843" i="6"/>
  <c r="M6843" i="6"/>
  <c r="L6843" i="6"/>
  <c r="K6843" i="6"/>
  <c r="N6862" i="6"/>
  <c r="K6862" i="6"/>
  <c r="L6862" i="6"/>
  <c r="M6862" i="6"/>
  <c r="N6878" i="6"/>
  <c r="K6878" i="6"/>
  <c r="L6878" i="6"/>
  <c r="M6878" i="6"/>
  <c r="M6892" i="6"/>
  <c r="L6892" i="6"/>
  <c r="K6892" i="6"/>
  <c r="N6892" i="6"/>
  <c r="K3725" i="6"/>
  <c r="K6207" i="6"/>
  <c r="L3010" i="6"/>
  <c r="N3010" i="6"/>
  <c r="K3010" i="6"/>
  <c r="M3010" i="6"/>
  <c r="L3024" i="6"/>
  <c r="M3024" i="6"/>
  <c r="N3024" i="6"/>
  <c r="N3036" i="6"/>
  <c r="K3036" i="6"/>
  <c r="M3036" i="6"/>
  <c r="L3036" i="6"/>
  <c r="N3085" i="6"/>
  <c r="K3085" i="6"/>
  <c r="M3085" i="6"/>
  <c r="L3085" i="6"/>
  <c r="M3089" i="6"/>
  <c r="L3089" i="6"/>
  <c r="N3089" i="6"/>
  <c r="K3089" i="6"/>
  <c r="L3015" i="6"/>
  <c r="N3015" i="6"/>
  <c r="K3015" i="6"/>
  <c r="M3015" i="6"/>
  <c r="K3029" i="6"/>
  <c r="M3029" i="6"/>
  <c r="L3029" i="6"/>
  <c r="N3029" i="6"/>
  <c r="L3093" i="6"/>
  <c r="N3093" i="6"/>
  <c r="K3093" i="6"/>
  <c r="M3093" i="6"/>
  <c r="N3102" i="6"/>
  <c r="K3102" i="6"/>
  <c r="M3102" i="6"/>
  <c r="L3102" i="6"/>
  <c r="L3111" i="6"/>
  <c r="K3111" i="6"/>
  <c r="N3111" i="6"/>
  <c r="M3111" i="6"/>
  <c r="L3132" i="6"/>
  <c r="M3132" i="6"/>
  <c r="N3132" i="6"/>
  <c r="L3149" i="6"/>
  <c r="M3149" i="6"/>
  <c r="N3149" i="6"/>
  <c r="L3159" i="6"/>
  <c r="N3159" i="6"/>
  <c r="M3159" i="6"/>
  <c r="K3159" i="6"/>
  <c r="L3189" i="6"/>
  <c r="M3189" i="6"/>
  <c r="N3189" i="6"/>
  <c r="L3204" i="6"/>
  <c r="N3204" i="6"/>
  <c r="M3204" i="6"/>
  <c r="L3217" i="6"/>
  <c r="N3217" i="6"/>
  <c r="M3217" i="6"/>
  <c r="M3230" i="6"/>
  <c r="L3230" i="6"/>
  <c r="N3230" i="6"/>
  <c r="L3241" i="6"/>
  <c r="N3241" i="6"/>
  <c r="M3241" i="6"/>
  <c r="L3249" i="6"/>
  <c r="N3249" i="6"/>
  <c r="M3249" i="6"/>
  <c r="L3262" i="6"/>
  <c r="N3262" i="6"/>
  <c r="M3262" i="6"/>
  <c r="L3271" i="6"/>
  <c r="N3271" i="6"/>
  <c r="M3271" i="6"/>
  <c r="L3286" i="6"/>
  <c r="M3286" i="6"/>
  <c r="N3286" i="6"/>
  <c r="L3310" i="6"/>
  <c r="N3310" i="6"/>
  <c r="M3310" i="6"/>
  <c r="L3320" i="6"/>
  <c r="K3320" i="6"/>
  <c r="M3320" i="6"/>
  <c r="N3320" i="6"/>
  <c r="L3332" i="6"/>
  <c r="K3332" i="6"/>
  <c r="N3332" i="6"/>
  <c r="M3332" i="6"/>
  <c r="L3347" i="6"/>
  <c r="M3347" i="6"/>
  <c r="K3347" i="6"/>
  <c r="N3347" i="6"/>
  <c r="L3357" i="6"/>
  <c r="K3357" i="6"/>
  <c r="N3357" i="6"/>
  <c r="M3357" i="6"/>
  <c r="K3370" i="6"/>
  <c r="M3370" i="6"/>
  <c r="L3370" i="6"/>
  <c r="N3370" i="6"/>
  <c r="L3391" i="6"/>
  <c r="M3391" i="6"/>
  <c r="N3391" i="6"/>
  <c r="L3399" i="6"/>
  <c r="M3399" i="6"/>
  <c r="N3399" i="6"/>
  <c r="K3406" i="6"/>
  <c r="M3406" i="6"/>
  <c r="L3406" i="6"/>
  <c r="N3406" i="6"/>
  <c r="L3018" i="6"/>
  <c r="N3018" i="6"/>
  <c r="K3018" i="6"/>
  <c r="M3018" i="6"/>
  <c r="K3024" i="6"/>
  <c r="N3053" i="6"/>
  <c r="K3053" i="6"/>
  <c r="M3053" i="6"/>
  <c r="L3053" i="6"/>
  <c r="M3065" i="6"/>
  <c r="L3065" i="6"/>
  <c r="N3065" i="6"/>
  <c r="K3065" i="6"/>
  <c r="N3069" i="6"/>
  <c r="K3069" i="6"/>
  <c r="M3069" i="6"/>
  <c r="L3069" i="6"/>
  <c r="M3073" i="6"/>
  <c r="L3073" i="6"/>
  <c r="N3073" i="6"/>
  <c r="K3073" i="6"/>
  <c r="M3121" i="6"/>
  <c r="L3121" i="6"/>
  <c r="N3121" i="6"/>
  <c r="K3121" i="6"/>
  <c r="L3136" i="6"/>
  <c r="K3136" i="6"/>
  <c r="M3136" i="6"/>
  <c r="N3136" i="6"/>
  <c r="M3178" i="6"/>
  <c r="N3178" i="6"/>
  <c r="L3178" i="6"/>
  <c r="L3197" i="6"/>
  <c r="M3197" i="6"/>
  <c r="N3197" i="6"/>
  <c r="N3206" i="6"/>
  <c r="K3206" i="6"/>
  <c r="M3206" i="6"/>
  <c r="L3206" i="6"/>
  <c r="L3219" i="6"/>
  <c r="N3219" i="6"/>
  <c r="M3219" i="6"/>
  <c r="L3244" i="6"/>
  <c r="M3244" i="6"/>
  <c r="N3244" i="6"/>
  <c r="L3258" i="6"/>
  <c r="M3258" i="6"/>
  <c r="N3258" i="6"/>
  <c r="L3277" i="6"/>
  <c r="M3277" i="6"/>
  <c r="N3277" i="6"/>
  <c r="L3293" i="6"/>
  <c r="M3293" i="6"/>
  <c r="N3293" i="6"/>
  <c r="L3305" i="6"/>
  <c r="K3305" i="6"/>
  <c r="M3305" i="6"/>
  <c r="N3305" i="6"/>
  <c r="L3324" i="6"/>
  <c r="K3324" i="6"/>
  <c r="M3324" i="6"/>
  <c r="N3324" i="6"/>
  <c r="L3350" i="6"/>
  <c r="N3350" i="6"/>
  <c r="M3350" i="6"/>
  <c r="K3362" i="6"/>
  <c r="N3362" i="6"/>
  <c r="M3362" i="6"/>
  <c r="L3362" i="6"/>
  <c r="L3372" i="6"/>
  <c r="K3372" i="6"/>
  <c r="M3372" i="6"/>
  <c r="N3372" i="6"/>
  <c r="L3382" i="6"/>
  <c r="K3382" i="6"/>
  <c r="M3382" i="6"/>
  <c r="N3382" i="6"/>
  <c r="L3038" i="6"/>
  <c r="M3038" i="6"/>
  <c r="N3038" i="6"/>
  <c r="K3038" i="6"/>
  <c r="L3127" i="6"/>
  <c r="N3127" i="6"/>
  <c r="K3127" i="6"/>
  <c r="M3127" i="6"/>
  <c r="K3156" i="6"/>
  <c r="N3156" i="6"/>
  <c r="M3156" i="6"/>
  <c r="L3156" i="6"/>
  <c r="L3186" i="6"/>
  <c r="M3186" i="6"/>
  <c r="N3186" i="6"/>
  <c r="K3192" i="6"/>
  <c r="K3204" i="6"/>
  <c r="K3217" i="6"/>
  <c r="K3229" i="6"/>
  <c r="K3239" i="6"/>
  <c r="L3239" i="6"/>
  <c r="N3239" i="6"/>
  <c r="M3239" i="6"/>
  <c r="L3252" i="6"/>
  <c r="N3252" i="6"/>
  <c r="M3252" i="6"/>
  <c r="L3265" i="6"/>
  <c r="N3265" i="6"/>
  <c r="K3265" i="6"/>
  <c r="M3265" i="6"/>
  <c r="K3270" i="6"/>
  <c r="K3281" i="6"/>
  <c r="K3293" i="6"/>
  <c r="L3339" i="6"/>
  <c r="K3339" i="6"/>
  <c r="M3339" i="6"/>
  <c r="N3339" i="6"/>
  <c r="K3344" i="6"/>
  <c r="L3367" i="6"/>
  <c r="K3367" i="6"/>
  <c r="M3367" i="6"/>
  <c r="N3367" i="6"/>
  <c r="K3404" i="6"/>
  <c r="L3432" i="6"/>
  <c r="M3432" i="6"/>
  <c r="N3432" i="6"/>
  <c r="K3436" i="6"/>
  <c r="L3436" i="6"/>
  <c r="N3436" i="6"/>
  <c r="M3436" i="6"/>
  <c r="K3445" i="6"/>
  <c r="M3445" i="6"/>
  <c r="L3445" i="6"/>
  <c r="N3445" i="6"/>
  <c r="L3464" i="6"/>
  <c r="K3464" i="6"/>
  <c r="M3464" i="6"/>
  <c r="N3464" i="6"/>
  <c r="K3474" i="6"/>
  <c r="M3474" i="6"/>
  <c r="L3474" i="6"/>
  <c r="N3474" i="6"/>
  <c r="K3478" i="6"/>
  <c r="M3478" i="6"/>
  <c r="L3478" i="6"/>
  <c r="N3478" i="6"/>
  <c r="K3482" i="6"/>
  <c r="M3482" i="6"/>
  <c r="L3482" i="6"/>
  <c r="N3482" i="6"/>
  <c r="L3494" i="6"/>
  <c r="N3494" i="6"/>
  <c r="K3494" i="6"/>
  <c r="M3494" i="6"/>
  <c r="M3498" i="6"/>
  <c r="K3498" i="6"/>
  <c r="N3498" i="6"/>
  <c r="L3498" i="6"/>
  <c r="K3537" i="6"/>
  <c r="M3537" i="6"/>
  <c r="N3537" i="6"/>
  <c r="L3537" i="6"/>
  <c r="L3553" i="6"/>
  <c r="M3553" i="6"/>
  <c r="N3553" i="6"/>
  <c r="K3553" i="6"/>
  <c r="L3561" i="6"/>
  <c r="K3561" i="6"/>
  <c r="N3561" i="6"/>
  <c r="M3561" i="6"/>
  <c r="L3569" i="6"/>
  <c r="N3569" i="6"/>
  <c r="M3569" i="6"/>
  <c r="N3578" i="6"/>
  <c r="K3578" i="6"/>
  <c r="M3578" i="6"/>
  <c r="L3578" i="6"/>
  <c r="N3586" i="6"/>
  <c r="K3586" i="6"/>
  <c r="M3586" i="6"/>
  <c r="L3586" i="6"/>
  <c r="N3595" i="6"/>
  <c r="K3595" i="6"/>
  <c r="M3595" i="6"/>
  <c r="L3595" i="6"/>
  <c r="L3603" i="6"/>
  <c r="K3603" i="6"/>
  <c r="M3603" i="6"/>
  <c r="N3603" i="6"/>
  <c r="L3607" i="6"/>
  <c r="N3607" i="6"/>
  <c r="K3607" i="6"/>
  <c r="M3607" i="6"/>
  <c r="L3631" i="6"/>
  <c r="M3631" i="6"/>
  <c r="N3631" i="6"/>
  <c r="K3631" i="6"/>
  <c r="L3647" i="6"/>
  <c r="M3647" i="6"/>
  <c r="N3647" i="6"/>
  <c r="K3647" i="6"/>
  <c r="N3662" i="6"/>
  <c r="K3662" i="6"/>
  <c r="M3662" i="6"/>
  <c r="L3662" i="6"/>
  <c r="N3670" i="6"/>
  <c r="K3670" i="6"/>
  <c r="M3670" i="6"/>
  <c r="L3670" i="6"/>
  <c r="N3694" i="6"/>
  <c r="K3694" i="6"/>
  <c r="M3694" i="6"/>
  <c r="L3694" i="6"/>
  <c r="L3724" i="6"/>
  <c r="K3724" i="6"/>
  <c r="M3724" i="6"/>
  <c r="N3724" i="6"/>
  <c r="N3728" i="6"/>
  <c r="M3728" i="6"/>
  <c r="L3728" i="6"/>
  <c r="K3728" i="6"/>
  <c r="N3732" i="6"/>
  <c r="K3732" i="6"/>
  <c r="M3732" i="6"/>
  <c r="L3732" i="6"/>
  <c r="K3855" i="6"/>
  <c r="M3855" i="6"/>
  <c r="L3855" i="6"/>
  <c r="N3855" i="6"/>
  <c r="L3872" i="6"/>
  <c r="N3872" i="6"/>
  <c r="M3872" i="6"/>
  <c r="K3876" i="6"/>
  <c r="M3876" i="6"/>
  <c r="L3876" i="6"/>
  <c r="N3876" i="6"/>
  <c r="M3880" i="6"/>
  <c r="L3880" i="6"/>
  <c r="N3880" i="6"/>
  <c r="L3904" i="6"/>
  <c r="N3904" i="6"/>
  <c r="M3904" i="6"/>
  <c r="K3904" i="6"/>
  <c r="L3927" i="6"/>
  <c r="N3927" i="6"/>
  <c r="K3927" i="6"/>
  <c r="M3927" i="6"/>
  <c r="L3931" i="6"/>
  <c r="N3931" i="6"/>
  <c r="K3931" i="6"/>
  <c r="M3931" i="6"/>
  <c r="L3945" i="6"/>
  <c r="M3945" i="6"/>
  <c r="N3945" i="6"/>
  <c r="L3966" i="6"/>
  <c r="K3966" i="6"/>
  <c r="M3966" i="6"/>
  <c r="N3966" i="6"/>
  <c r="N3970" i="6"/>
  <c r="K3970" i="6"/>
  <c r="M3970" i="6"/>
  <c r="L3970" i="6"/>
  <c r="K3974" i="6"/>
  <c r="L3974" i="6"/>
  <c r="M3974" i="6"/>
  <c r="N3974" i="6"/>
  <c r="K3988" i="6"/>
  <c r="M3988" i="6"/>
  <c r="L3988" i="6"/>
  <c r="N3988" i="6"/>
  <c r="M4000" i="6"/>
  <c r="L4000" i="6"/>
  <c r="N4000" i="6"/>
  <c r="M4024" i="6"/>
  <c r="K4024" i="6"/>
  <c r="N4024" i="6"/>
  <c r="L4024" i="6"/>
  <c r="K4034" i="6"/>
  <c r="L4034" i="6"/>
  <c r="N4034" i="6"/>
  <c r="M4034" i="6"/>
  <c r="L4063" i="6"/>
  <c r="N4063" i="6"/>
  <c r="K4063" i="6"/>
  <c r="M4063" i="6"/>
  <c r="K4091" i="6"/>
  <c r="N4091" i="6"/>
  <c r="M4091" i="6"/>
  <c r="L4091" i="6"/>
  <c r="M4095" i="6"/>
  <c r="L4095" i="6"/>
  <c r="N4095" i="6"/>
  <c r="K4095" i="6"/>
  <c r="L4099" i="6"/>
  <c r="N4099" i="6"/>
  <c r="K4099" i="6"/>
  <c r="M4099" i="6"/>
  <c r="L4103" i="6"/>
  <c r="M4103" i="6"/>
  <c r="N4103" i="6"/>
  <c r="K4103" i="6"/>
  <c r="L4131" i="6"/>
  <c r="M4131" i="6"/>
  <c r="N4131" i="6"/>
  <c r="K4131" i="6"/>
  <c r="L4140" i="6"/>
  <c r="K4140" i="6"/>
  <c r="M4140" i="6"/>
  <c r="N4140" i="6"/>
  <c r="L4144" i="6"/>
  <c r="N4144" i="6"/>
  <c r="M4144" i="6"/>
  <c r="L4148" i="6"/>
  <c r="N4148" i="6"/>
  <c r="M4148" i="6"/>
  <c r="M4175" i="6"/>
  <c r="L4175" i="6"/>
  <c r="N4175" i="6"/>
  <c r="M4213" i="6"/>
  <c r="L4213" i="6"/>
  <c r="N4213" i="6"/>
  <c r="K4213" i="6"/>
  <c r="K4217" i="6"/>
  <c r="L4217" i="6"/>
  <c r="N4217" i="6"/>
  <c r="M4217" i="6"/>
  <c r="L4221" i="6"/>
  <c r="N4221" i="6"/>
  <c r="K4221" i="6"/>
  <c r="M4221" i="6"/>
  <c r="L4242" i="6"/>
  <c r="K4242" i="6"/>
  <c r="M4242" i="6"/>
  <c r="N4242" i="6"/>
  <c r="N4254" i="6"/>
  <c r="K4254" i="6"/>
  <c r="M4254" i="6"/>
  <c r="L4254" i="6"/>
  <c r="K4263" i="6"/>
  <c r="M4263" i="6"/>
  <c r="L4263" i="6"/>
  <c r="N4263" i="6"/>
  <c r="L4281" i="6"/>
  <c r="N4281" i="6"/>
  <c r="K4281" i="6"/>
  <c r="M4281" i="6"/>
  <c r="K4285" i="6"/>
  <c r="M4285" i="6"/>
  <c r="L4285" i="6"/>
  <c r="N4285" i="6"/>
  <c r="L4312" i="6"/>
  <c r="N4312" i="6"/>
  <c r="K4312" i="6"/>
  <c r="M4312" i="6"/>
  <c r="L4340" i="6"/>
  <c r="N4340" i="6"/>
  <c r="K4340" i="6"/>
  <c r="M4340" i="6"/>
  <c r="L4344" i="6"/>
  <c r="N4344" i="6"/>
  <c r="K4344" i="6"/>
  <c r="M4344" i="6"/>
  <c r="M4348" i="6"/>
  <c r="L4348" i="6"/>
  <c r="N4348" i="6"/>
  <c r="K4348" i="6"/>
  <c r="L4352" i="6"/>
  <c r="N4352" i="6"/>
  <c r="K4352" i="6"/>
  <c r="M4352" i="6"/>
  <c r="N4404" i="6"/>
  <c r="K4404" i="6"/>
  <c r="M4404" i="6"/>
  <c r="L4404" i="6"/>
  <c r="K4441" i="6"/>
  <c r="M4441" i="6"/>
  <c r="L4441" i="6"/>
  <c r="N4441" i="6"/>
  <c r="M4445" i="6"/>
  <c r="L4445" i="6"/>
  <c r="N4445" i="6"/>
  <c r="K4445" i="6"/>
  <c r="M4449" i="6"/>
  <c r="K4449" i="6"/>
  <c r="L4449" i="6"/>
  <c r="N4449" i="6"/>
  <c r="K4453" i="6"/>
  <c r="L4453" i="6"/>
  <c r="M4453" i="6"/>
  <c r="N4453" i="6"/>
  <c r="L3054" i="6"/>
  <c r="M3054" i="6"/>
  <c r="N3054" i="6"/>
  <c r="K3054" i="6"/>
  <c r="N3099" i="6"/>
  <c r="M3099" i="6"/>
  <c r="L3099" i="6"/>
  <c r="L3140" i="6"/>
  <c r="M3140" i="6"/>
  <c r="K3140" i="6"/>
  <c r="N3140" i="6"/>
  <c r="L3144" i="6"/>
  <c r="N3144" i="6"/>
  <c r="M3144" i="6"/>
  <c r="L3161" i="6"/>
  <c r="K3161" i="6"/>
  <c r="M3161" i="6"/>
  <c r="N3161" i="6"/>
  <c r="K3212" i="6"/>
  <c r="K3224" i="6"/>
  <c r="K3237" i="6"/>
  <c r="K3249" i="6"/>
  <c r="K3264" i="6"/>
  <c r="L3284" i="6"/>
  <c r="K3284" i="6"/>
  <c r="N3284" i="6"/>
  <c r="M3284" i="6"/>
  <c r="K3295" i="6"/>
  <c r="M3295" i="6"/>
  <c r="L3295" i="6"/>
  <c r="N3295" i="6"/>
  <c r="M3307" i="6"/>
  <c r="K3307" i="6"/>
  <c r="L3307" i="6"/>
  <c r="N3307" i="6"/>
  <c r="K3326" i="6"/>
  <c r="L3326" i="6"/>
  <c r="N3326" i="6"/>
  <c r="M3326" i="6"/>
  <c r="L3355" i="6"/>
  <c r="M3355" i="6"/>
  <c r="N3355" i="6"/>
  <c r="K3380" i="6"/>
  <c r="K3398" i="6"/>
  <c r="L3417" i="6"/>
  <c r="N3417" i="6"/>
  <c r="M3417" i="6"/>
  <c r="K3421" i="6"/>
  <c r="M3421" i="6"/>
  <c r="L3421" i="6"/>
  <c r="N3421" i="6"/>
  <c r="L3438" i="6"/>
  <c r="N3438" i="6"/>
  <c r="K3438" i="6"/>
  <c r="M3438" i="6"/>
  <c r="K3451" i="6"/>
  <c r="N3451" i="6"/>
  <c r="M3451" i="6"/>
  <c r="L3451" i="6"/>
  <c r="K3457" i="6"/>
  <c r="L3488" i="6"/>
  <c r="M3488" i="6"/>
  <c r="N3488" i="6"/>
  <c r="K3488" i="6"/>
  <c r="N3492" i="6"/>
  <c r="K3492" i="6"/>
  <c r="M3492" i="6"/>
  <c r="L3492" i="6"/>
  <c r="L3526" i="6"/>
  <c r="N3526" i="6"/>
  <c r="M3526" i="6"/>
  <c r="M3530" i="6"/>
  <c r="N3530" i="6"/>
  <c r="K3530" i="6"/>
  <c r="L3530" i="6"/>
  <c r="K3536" i="6"/>
  <c r="L3547" i="6"/>
  <c r="N3547" i="6"/>
  <c r="K3547" i="6"/>
  <c r="M3547" i="6"/>
  <c r="L3551" i="6"/>
  <c r="M3551" i="6"/>
  <c r="N3551" i="6"/>
  <c r="L3565" i="6"/>
  <c r="M3565" i="6"/>
  <c r="N3565" i="6"/>
  <c r="L3573" i="6"/>
  <c r="K3573" i="6"/>
  <c r="M3573" i="6"/>
  <c r="N3573" i="6"/>
  <c r="L3581" i="6"/>
  <c r="M3581" i="6"/>
  <c r="N3581" i="6"/>
  <c r="L3590" i="6"/>
  <c r="N3590" i="6"/>
  <c r="K3590" i="6"/>
  <c r="M3590" i="6"/>
  <c r="N3599" i="6"/>
  <c r="M3599" i="6"/>
  <c r="L3599" i="6"/>
  <c r="K3615" i="6"/>
  <c r="M3615" i="6"/>
  <c r="L3615" i="6"/>
  <c r="N3615" i="6"/>
  <c r="K3619" i="6"/>
  <c r="M3619" i="6"/>
  <c r="L3619" i="6"/>
  <c r="N3619" i="6"/>
  <c r="N3635" i="6"/>
  <c r="K3635" i="6"/>
  <c r="M3635" i="6"/>
  <c r="L3635" i="6"/>
  <c r="N3650" i="6"/>
  <c r="K3650" i="6"/>
  <c r="M3650" i="6"/>
  <c r="L3650" i="6"/>
  <c r="N3666" i="6"/>
  <c r="K3666" i="6"/>
  <c r="M3666" i="6"/>
  <c r="L3666" i="6"/>
  <c r="N3674" i="6"/>
  <c r="K3674" i="6"/>
  <c r="M3674" i="6"/>
  <c r="L3674" i="6"/>
  <c r="N3678" i="6"/>
  <c r="K3678" i="6"/>
  <c r="M3678" i="6"/>
  <c r="L3678" i="6"/>
  <c r="N3682" i="6"/>
  <c r="K3682" i="6"/>
  <c r="M3682" i="6"/>
  <c r="L3682" i="6"/>
  <c r="M3701" i="6"/>
  <c r="L3701" i="6"/>
  <c r="N3701" i="6"/>
  <c r="K3701" i="6"/>
  <c r="K3705" i="6"/>
  <c r="M3705" i="6"/>
  <c r="L3705" i="6"/>
  <c r="N3705" i="6"/>
  <c r="K3709" i="6"/>
  <c r="M3709" i="6"/>
  <c r="L3709" i="6"/>
  <c r="N3709" i="6"/>
  <c r="K3713" i="6"/>
  <c r="M3713" i="6"/>
  <c r="L3713" i="6"/>
  <c r="N3713" i="6"/>
  <c r="M3717" i="6"/>
  <c r="L3717" i="6"/>
  <c r="N3717" i="6"/>
  <c r="L3739" i="6"/>
  <c r="K3739" i="6"/>
  <c r="M3739" i="6"/>
  <c r="N3739" i="6"/>
  <c r="L3743" i="6"/>
  <c r="M3743" i="6"/>
  <c r="N3743" i="6"/>
  <c r="M3747" i="6"/>
  <c r="L3747" i="6"/>
  <c r="N3747" i="6"/>
  <c r="K3747" i="6"/>
  <c r="L3751" i="6"/>
  <c r="M3751" i="6"/>
  <c r="N3751" i="6"/>
  <c r="L3755" i="6"/>
  <c r="N3755" i="6"/>
  <c r="M3755" i="6"/>
  <c r="K3755" i="6"/>
  <c r="L3759" i="6"/>
  <c r="M3759" i="6"/>
  <c r="N3759" i="6"/>
  <c r="L3763" i="6"/>
  <c r="M3763" i="6"/>
  <c r="K3763" i="6"/>
  <c r="N3763" i="6"/>
  <c r="L3767" i="6"/>
  <c r="K3767" i="6"/>
  <c r="M3767" i="6"/>
  <c r="N3767" i="6"/>
  <c r="M3771" i="6"/>
  <c r="L3771" i="6"/>
  <c r="N3771" i="6"/>
  <c r="L3775" i="6"/>
  <c r="M3775" i="6"/>
  <c r="N3775" i="6"/>
  <c r="N3779" i="6"/>
  <c r="L3779" i="6"/>
  <c r="M3779" i="6"/>
  <c r="L3783" i="6"/>
  <c r="N3783" i="6"/>
  <c r="K3783" i="6"/>
  <c r="M3783" i="6"/>
  <c r="L3787" i="6"/>
  <c r="N3787" i="6"/>
  <c r="K3787" i="6"/>
  <c r="M3787" i="6"/>
  <c r="M3791" i="6"/>
  <c r="L3791" i="6"/>
  <c r="N3791" i="6"/>
  <c r="K3791" i="6"/>
  <c r="N3795" i="6"/>
  <c r="K3795" i="6"/>
  <c r="M3795" i="6"/>
  <c r="L3795" i="6"/>
  <c r="L3799" i="6"/>
  <c r="N3799" i="6"/>
  <c r="K3799" i="6"/>
  <c r="M3799" i="6"/>
  <c r="K3803" i="6"/>
  <c r="M3803" i="6"/>
  <c r="L3803" i="6"/>
  <c r="N3803" i="6"/>
  <c r="K3807" i="6"/>
  <c r="M3807" i="6"/>
  <c r="L3807" i="6"/>
  <c r="N3807" i="6"/>
  <c r="L3811" i="6"/>
  <c r="M3811" i="6"/>
  <c r="N3811" i="6"/>
  <c r="K3811" i="6"/>
  <c r="M3815" i="6"/>
  <c r="K3815" i="6"/>
  <c r="L3815" i="6"/>
  <c r="N3815" i="6"/>
  <c r="N3819" i="6"/>
  <c r="L3819" i="6"/>
  <c r="K3819" i="6"/>
  <c r="M3819" i="6"/>
  <c r="L3823" i="6"/>
  <c r="K3823" i="6"/>
  <c r="M3823" i="6"/>
  <c r="N3823" i="6"/>
  <c r="N3827" i="6"/>
  <c r="K3827" i="6"/>
  <c r="M3827" i="6"/>
  <c r="L3827" i="6"/>
  <c r="L3831" i="6"/>
  <c r="M3831" i="6"/>
  <c r="N3831" i="6"/>
  <c r="K3831" i="6"/>
  <c r="K3835" i="6"/>
  <c r="L3835" i="6"/>
  <c r="N3835" i="6"/>
  <c r="M3835" i="6"/>
  <c r="L3839" i="6"/>
  <c r="K3839" i="6"/>
  <c r="M3839" i="6"/>
  <c r="N3839" i="6"/>
  <c r="N3843" i="6"/>
  <c r="K3843" i="6"/>
  <c r="M3843" i="6"/>
  <c r="L3843" i="6"/>
  <c r="L3847" i="6"/>
  <c r="M3847" i="6"/>
  <c r="K3847" i="6"/>
  <c r="N3847" i="6"/>
  <c r="L3866" i="6"/>
  <c r="K3866" i="6"/>
  <c r="M3866" i="6"/>
  <c r="N3866" i="6"/>
  <c r="N3898" i="6"/>
  <c r="K3898" i="6"/>
  <c r="M3898" i="6"/>
  <c r="L3898" i="6"/>
  <c r="L3908" i="6"/>
  <c r="N3908" i="6"/>
  <c r="K3908" i="6"/>
  <c r="M3908" i="6"/>
  <c r="M3940" i="6"/>
  <c r="L3940" i="6"/>
  <c r="N3940" i="6"/>
  <c r="L3950" i="6"/>
  <c r="K3950" i="6"/>
  <c r="M3950" i="6"/>
  <c r="N3950" i="6"/>
  <c r="M3954" i="6"/>
  <c r="L3954" i="6"/>
  <c r="N3954" i="6"/>
  <c r="L3981" i="6"/>
  <c r="M3981" i="6"/>
  <c r="N3981" i="6"/>
  <c r="K3986" i="6"/>
  <c r="M4004" i="6"/>
  <c r="L4004" i="6"/>
  <c r="N4004" i="6"/>
  <c r="K4033" i="6"/>
  <c r="M4112" i="6"/>
  <c r="L4112" i="6"/>
  <c r="N4112" i="6"/>
  <c r="M4116" i="6"/>
  <c r="L4116" i="6"/>
  <c r="N4116" i="6"/>
  <c r="K4116" i="6"/>
  <c r="L4136" i="6"/>
  <c r="M4136" i="6"/>
  <c r="N4136" i="6"/>
  <c r="L4166" i="6"/>
  <c r="M4166" i="6"/>
  <c r="N4166" i="6"/>
  <c r="L4170" i="6"/>
  <c r="N4170" i="6"/>
  <c r="K4170" i="6"/>
  <c r="M4170" i="6"/>
  <c r="L4206" i="6"/>
  <c r="N4206" i="6"/>
  <c r="K4206" i="6"/>
  <c r="M4206" i="6"/>
  <c r="K4226" i="6"/>
  <c r="M4226" i="6"/>
  <c r="N4226" i="6"/>
  <c r="L4226" i="6"/>
  <c r="L4236" i="6"/>
  <c r="K4236" i="6"/>
  <c r="M4236" i="6"/>
  <c r="N4236" i="6"/>
  <c r="M4249" i="6"/>
  <c r="L4249" i="6"/>
  <c r="N4249" i="6"/>
  <c r="K4249" i="6"/>
  <c r="L4265" i="6"/>
  <c r="M4265" i="6"/>
  <c r="K4265" i="6"/>
  <c r="N4265" i="6"/>
  <c r="M4269" i="6"/>
  <c r="L4269" i="6"/>
  <c r="N4269" i="6"/>
  <c r="K4269" i="6"/>
  <c r="M4292" i="6"/>
  <c r="L4292" i="6"/>
  <c r="N4292" i="6"/>
  <c r="K4292" i="6"/>
  <c r="M4325" i="6"/>
  <c r="K4325" i="6"/>
  <c r="L4325" i="6"/>
  <c r="N4325" i="6"/>
  <c r="N4329" i="6"/>
  <c r="K4329" i="6"/>
  <c r="M4329" i="6"/>
  <c r="L4329" i="6"/>
  <c r="N4333" i="6"/>
  <c r="M4333" i="6"/>
  <c r="L4333" i="6"/>
  <c r="K4333" i="6"/>
  <c r="L4434" i="6"/>
  <c r="M4434" i="6"/>
  <c r="K4434" i="6"/>
  <c r="N4434" i="6"/>
  <c r="K4458" i="6"/>
  <c r="M4458" i="6"/>
  <c r="L4458" i="6"/>
  <c r="N4458" i="6"/>
  <c r="K4462" i="6"/>
  <c r="M4462" i="6"/>
  <c r="L4462" i="6"/>
  <c r="N4462" i="6"/>
  <c r="K4502" i="6"/>
  <c r="M4502" i="6"/>
  <c r="N4502" i="6"/>
  <c r="L4502" i="6"/>
  <c r="M4506" i="6"/>
  <c r="L4506" i="6"/>
  <c r="N4506" i="6"/>
  <c r="K4506" i="6"/>
  <c r="L4510" i="6"/>
  <c r="N4510" i="6"/>
  <c r="K4510" i="6"/>
  <c r="M4510" i="6"/>
  <c r="L4514" i="6"/>
  <c r="N4514" i="6"/>
  <c r="K4514" i="6"/>
  <c r="M4514" i="6"/>
  <c r="L4546" i="6"/>
  <c r="K4546" i="6"/>
  <c r="M4546" i="6"/>
  <c r="N4546" i="6"/>
  <c r="M4568" i="6"/>
  <c r="K4568" i="6"/>
  <c r="L4568" i="6"/>
  <c r="N4568" i="6"/>
  <c r="K4572" i="6"/>
  <c r="M4572" i="6"/>
  <c r="N4572" i="6"/>
  <c r="L4572" i="6"/>
  <c r="K4576" i="6"/>
  <c r="M4576" i="6"/>
  <c r="L4576" i="6"/>
  <c r="N4576" i="6"/>
  <c r="M4580" i="6"/>
  <c r="K4580" i="6"/>
  <c r="N4580" i="6"/>
  <c r="L4580" i="6"/>
  <c r="K4584" i="6"/>
  <c r="M4584" i="6"/>
  <c r="L4584" i="6"/>
  <c r="N4584" i="6"/>
  <c r="K4588" i="6"/>
  <c r="M4588" i="6"/>
  <c r="N4588" i="6"/>
  <c r="L4588" i="6"/>
  <c r="K4592" i="6"/>
  <c r="M4592" i="6"/>
  <c r="L4592" i="6"/>
  <c r="N4592" i="6"/>
  <c r="N4607" i="6"/>
  <c r="M4607" i="6"/>
  <c r="K4607" i="6"/>
  <c r="L4607" i="6"/>
  <c r="L4637" i="6"/>
  <c r="N4637" i="6"/>
  <c r="K4637" i="6"/>
  <c r="M4637" i="6"/>
  <c r="N4641" i="6"/>
  <c r="K4641" i="6"/>
  <c r="M4641" i="6"/>
  <c r="L4641" i="6"/>
  <c r="M4680" i="6"/>
  <c r="K4680" i="6"/>
  <c r="L4680" i="6"/>
  <c r="N4680" i="6"/>
  <c r="L4704" i="6"/>
  <c r="K4704" i="6"/>
  <c r="M4704" i="6"/>
  <c r="N4704" i="6"/>
  <c r="L4708" i="6"/>
  <c r="M4708" i="6"/>
  <c r="N4708" i="6"/>
  <c r="K4708" i="6"/>
  <c r="L4724" i="6"/>
  <c r="M4724" i="6"/>
  <c r="N4724" i="6"/>
  <c r="K4724" i="6"/>
  <c r="M4736" i="6"/>
  <c r="L4736" i="6"/>
  <c r="N4736" i="6"/>
  <c r="K4736" i="6"/>
  <c r="N4760" i="6"/>
  <c r="L4760" i="6"/>
  <c r="K4760" i="6"/>
  <c r="M4760" i="6"/>
  <c r="N4776" i="6"/>
  <c r="M4776" i="6"/>
  <c r="L4776" i="6"/>
  <c r="K4776" i="6"/>
  <c r="N4802" i="6"/>
  <c r="K4802" i="6"/>
  <c r="M4802" i="6"/>
  <c r="L4802" i="6"/>
  <c r="K4144" i="6"/>
  <c r="N4550" i="6"/>
  <c r="M4550" i="6"/>
  <c r="L4550" i="6"/>
  <c r="K4550" i="6"/>
  <c r="L4554" i="6"/>
  <c r="K4554" i="6"/>
  <c r="M4554" i="6"/>
  <c r="N4554" i="6"/>
  <c r="L4597" i="6"/>
  <c r="K4597" i="6"/>
  <c r="N4597" i="6"/>
  <c r="M4597" i="6"/>
  <c r="N4601" i="6"/>
  <c r="M4601" i="6"/>
  <c r="L4601" i="6"/>
  <c r="K4601" i="6"/>
  <c r="L4662" i="6"/>
  <c r="M4662" i="6"/>
  <c r="N4662" i="6"/>
  <c r="K4662" i="6"/>
  <c r="M4693" i="6"/>
  <c r="L4693" i="6"/>
  <c r="N4693" i="6"/>
  <c r="K4693" i="6"/>
  <c r="M4697" i="6"/>
  <c r="L4697" i="6"/>
  <c r="N4697" i="6"/>
  <c r="K4697" i="6"/>
  <c r="K4738" i="6"/>
  <c r="M4738" i="6"/>
  <c r="L4738" i="6"/>
  <c r="N4738" i="6"/>
  <c r="L4742" i="6"/>
  <c r="N4742" i="6"/>
  <c r="K4742" i="6"/>
  <c r="M4742" i="6"/>
  <c r="M4767" i="6"/>
  <c r="N4767" i="6"/>
  <c r="K4767" i="6"/>
  <c r="L4767" i="6"/>
  <c r="M4807" i="6"/>
  <c r="L4807" i="6"/>
  <c r="N4807" i="6"/>
  <c r="K4807" i="6"/>
  <c r="M4823" i="6"/>
  <c r="L4823" i="6"/>
  <c r="N4823" i="6"/>
  <c r="K4823" i="6"/>
  <c r="N4839" i="6"/>
  <c r="K4839" i="6"/>
  <c r="M4839" i="6"/>
  <c r="L4839" i="6"/>
  <c r="L4863" i="6"/>
  <c r="N4863" i="6"/>
  <c r="K4863" i="6"/>
  <c r="M4863" i="6"/>
  <c r="L4880" i="6"/>
  <c r="N4880" i="6"/>
  <c r="K4880" i="6"/>
  <c r="M4880" i="6"/>
  <c r="L4892" i="6"/>
  <c r="M4892" i="6"/>
  <c r="K4892" i="6"/>
  <c r="N4892" i="6"/>
  <c r="M4903" i="6"/>
  <c r="K4903" i="6"/>
  <c r="L4903" i="6"/>
  <c r="N4903" i="6"/>
  <c r="L4931" i="6"/>
  <c r="M4931" i="6"/>
  <c r="K4931" i="6"/>
  <c r="N4931" i="6"/>
  <c r="L4951" i="6"/>
  <c r="K4951" i="6"/>
  <c r="N4951" i="6"/>
  <c r="M4951" i="6"/>
  <c r="M4955" i="6"/>
  <c r="N4955" i="6"/>
  <c r="L4955" i="6"/>
  <c r="K4955" i="6"/>
  <c r="M4959" i="6"/>
  <c r="K4959" i="6"/>
  <c r="L4959" i="6"/>
  <c r="N4959" i="6"/>
  <c r="M4979" i="6"/>
  <c r="L4979" i="6"/>
  <c r="N4979" i="6"/>
  <c r="K4979" i="6"/>
  <c r="L4983" i="6"/>
  <c r="K4983" i="6"/>
  <c r="M4983" i="6"/>
  <c r="N4983" i="6"/>
  <c r="K5000" i="6"/>
  <c r="M5000" i="6"/>
  <c r="L5000" i="6"/>
  <c r="N5000" i="6"/>
  <c r="M5018" i="6"/>
  <c r="L5018" i="6"/>
  <c r="N5018" i="6"/>
  <c r="K5018" i="6"/>
  <c r="L5022" i="6"/>
  <c r="N5022" i="6"/>
  <c r="K5022" i="6"/>
  <c r="M5022" i="6"/>
  <c r="M5026" i="6"/>
  <c r="K5026" i="6"/>
  <c r="L5026" i="6"/>
  <c r="N5026" i="6"/>
  <c r="M5050" i="6"/>
  <c r="L5050" i="6"/>
  <c r="N5050" i="6"/>
  <c r="K5050" i="6"/>
  <c r="L5089" i="6"/>
  <c r="K5089" i="6"/>
  <c r="N5089" i="6"/>
  <c r="M5089" i="6"/>
  <c r="N5101" i="6"/>
  <c r="M5101" i="6"/>
  <c r="L5101" i="6"/>
  <c r="K5101" i="6"/>
  <c r="K5130" i="6"/>
  <c r="M5130" i="6"/>
  <c r="L5130" i="6"/>
  <c r="N5130" i="6"/>
  <c r="M5134" i="6"/>
  <c r="L5134" i="6"/>
  <c r="N5134" i="6"/>
  <c r="K5134" i="6"/>
  <c r="L5151" i="6"/>
  <c r="N5151" i="6"/>
  <c r="K5151" i="6"/>
  <c r="M5151" i="6"/>
  <c r="L5164" i="6"/>
  <c r="M5164" i="6"/>
  <c r="K5164" i="6"/>
  <c r="N5164" i="6"/>
  <c r="K5168" i="6"/>
  <c r="L5168" i="6"/>
  <c r="N5168" i="6"/>
  <c r="M5168" i="6"/>
  <c r="M5172" i="6"/>
  <c r="K5172" i="6"/>
  <c r="L5172" i="6"/>
  <c r="N5172" i="6"/>
  <c r="M5176" i="6"/>
  <c r="K5176" i="6"/>
  <c r="L5176" i="6"/>
  <c r="N5176" i="6"/>
  <c r="L5180" i="6"/>
  <c r="N5180" i="6"/>
  <c r="K5180" i="6"/>
  <c r="M5180" i="6"/>
  <c r="M5184" i="6"/>
  <c r="K5184" i="6"/>
  <c r="L5184" i="6"/>
  <c r="N5184" i="6"/>
  <c r="K5188" i="6"/>
  <c r="M5188" i="6"/>
  <c r="L5188" i="6"/>
  <c r="N5188" i="6"/>
  <c r="M5192" i="6"/>
  <c r="K5192" i="6"/>
  <c r="N5192" i="6"/>
  <c r="L5192" i="6"/>
  <c r="K5196" i="6"/>
  <c r="M5196" i="6"/>
  <c r="L5196" i="6"/>
  <c r="N5196" i="6"/>
  <c r="K5230" i="6"/>
  <c r="L5230" i="6"/>
  <c r="M5230" i="6"/>
  <c r="N5230" i="6"/>
  <c r="N5254" i="6"/>
  <c r="K5254" i="6"/>
  <c r="M5254" i="6"/>
  <c r="L5254" i="6"/>
  <c r="M5277" i="6"/>
  <c r="L5277" i="6"/>
  <c r="N5277" i="6"/>
  <c r="K5277" i="6"/>
  <c r="L5305" i="6"/>
  <c r="M5305" i="6"/>
  <c r="K5305" i="6"/>
  <c r="N5305" i="6"/>
  <c r="N5309" i="6"/>
  <c r="L5309" i="6"/>
  <c r="K5309" i="6"/>
  <c r="M5309" i="6"/>
  <c r="K5313" i="6"/>
  <c r="M5313" i="6"/>
  <c r="L5313" i="6"/>
  <c r="N5313" i="6"/>
  <c r="M5329" i="6"/>
  <c r="N5329" i="6"/>
  <c r="K5329" i="6"/>
  <c r="L5329" i="6"/>
  <c r="L5341" i="6"/>
  <c r="K5341" i="6"/>
  <c r="M5341" i="6"/>
  <c r="N5341" i="6"/>
  <c r="L5345" i="6"/>
  <c r="N5345" i="6"/>
  <c r="K5345" i="6"/>
  <c r="M5345" i="6"/>
  <c r="K5369" i="6"/>
  <c r="M5369" i="6"/>
  <c r="L5369" i="6"/>
  <c r="N5369" i="6"/>
  <c r="L5373" i="6"/>
  <c r="N5373" i="6"/>
  <c r="K5373" i="6"/>
  <c r="M5373" i="6"/>
  <c r="K5377" i="6"/>
  <c r="N5377" i="6"/>
  <c r="M5377" i="6"/>
  <c r="L5377" i="6"/>
  <c r="L5400" i="6"/>
  <c r="K5400" i="6"/>
  <c r="M5400" i="6"/>
  <c r="N5400" i="6"/>
  <c r="N5404" i="6"/>
  <c r="M5404" i="6"/>
  <c r="L5404" i="6"/>
  <c r="K5404" i="6"/>
  <c r="L5408" i="6"/>
  <c r="N5408" i="6"/>
  <c r="K5408" i="6"/>
  <c r="M5408" i="6"/>
  <c r="L5432" i="6"/>
  <c r="N5432" i="6"/>
  <c r="K5432" i="6"/>
  <c r="M5432" i="6"/>
  <c r="M5436" i="6"/>
  <c r="L5436" i="6"/>
  <c r="N5436" i="6"/>
  <c r="K5436" i="6"/>
  <c r="M5440" i="6"/>
  <c r="L5440" i="6"/>
  <c r="N5440" i="6"/>
  <c r="K5440" i="6"/>
  <c r="N5464" i="6"/>
  <c r="K5464" i="6"/>
  <c r="M5464" i="6"/>
  <c r="L5464" i="6"/>
  <c r="K5478" i="6"/>
  <c r="M5478" i="6"/>
  <c r="L5478" i="6"/>
  <c r="N5478" i="6"/>
  <c r="K3548" i="6"/>
  <c r="K3680" i="6"/>
  <c r="K4101" i="6"/>
  <c r="K4115" i="6"/>
  <c r="N4561" i="6"/>
  <c r="K4561" i="6"/>
  <c r="M4561" i="6"/>
  <c r="L4561" i="6"/>
  <c r="L4613" i="6"/>
  <c r="K4613" i="6"/>
  <c r="M4613" i="6"/>
  <c r="N4613" i="6"/>
  <c r="L4617" i="6"/>
  <c r="N4617" i="6"/>
  <c r="K4617" i="6"/>
  <c r="M4617" i="6"/>
  <c r="K4621" i="6"/>
  <c r="M4621" i="6"/>
  <c r="L4621" i="6"/>
  <c r="N4621" i="6"/>
  <c r="K4625" i="6"/>
  <c r="N4625" i="6"/>
  <c r="M4625" i="6"/>
  <c r="L4625" i="6"/>
  <c r="K4790" i="6"/>
  <c r="M4790" i="6"/>
  <c r="L4790" i="6"/>
  <c r="N4790" i="6"/>
  <c r="K4814" i="6"/>
  <c r="M4814" i="6"/>
  <c r="L4814" i="6"/>
  <c r="N4814" i="6"/>
  <c r="M4865" i="6"/>
  <c r="L4865" i="6"/>
  <c r="N4865" i="6"/>
  <c r="K4865" i="6"/>
  <c r="M4887" i="6"/>
  <c r="L4887" i="6"/>
  <c r="N4887" i="6"/>
  <c r="K4887" i="6"/>
  <c r="M4935" i="6"/>
  <c r="N4935" i="6"/>
  <c r="K4935" i="6"/>
  <c r="L4935" i="6"/>
  <c r="K4967" i="6"/>
  <c r="M4967" i="6"/>
  <c r="L4967" i="6"/>
  <c r="N4967" i="6"/>
  <c r="L5030" i="6"/>
  <c r="N5030" i="6"/>
  <c r="K5030" i="6"/>
  <c r="M5030" i="6"/>
  <c r="L5059" i="6"/>
  <c r="K5059" i="6"/>
  <c r="M5059" i="6"/>
  <c r="N5059" i="6"/>
  <c r="M5107" i="6"/>
  <c r="L5107" i="6"/>
  <c r="N5107" i="6"/>
  <c r="K5107" i="6"/>
  <c r="L5111" i="6"/>
  <c r="M5111" i="6"/>
  <c r="N5111" i="6"/>
  <c r="K5111" i="6"/>
  <c r="N5115" i="6"/>
  <c r="M5115" i="6"/>
  <c r="K5115" i="6"/>
  <c r="L5115" i="6"/>
  <c r="L5119" i="6"/>
  <c r="K5119" i="6"/>
  <c r="M5119" i="6"/>
  <c r="N5119" i="6"/>
  <c r="K5123" i="6"/>
  <c r="M5123" i="6"/>
  <c r="L5123" i="6"/>
  <c r="N5123" i="6"/>
  <c r="M5142" i="6"/>
  <c r="L5142" i="6"/>
  <c r="N5142" i="6"/>
  <c r="K5142" i="6"/>
  <c r="K5232" i="6"/>
  <c r="M5232" i="6"/>
  <c r="L5232" i="6"/>
  <c r="N5232" i="6"/>
  <c r="K5272" i="6"/>
  <c r="M5272" i="6"/>
  <c r="L5272" i="6"/>
  <c r="N5272" i="6"/>
  <c r="L5333" i="6"/>
  <c r="K5333" i="6"/>
  <c r="M5333" i="6"/>
  <c r="N5333" i="6"/>
  <c r="M5412" i="6"/>
  <c r="N5412" i="6"/>
  <c r="L5412" i="6"/>
  <c r="K5412" i="6"/>
  <c r="L5448" i="6"/>
  <c r="N5448" i="6"/>
  <c r="K5448" i="6"/>
  <c r="M5448" i="6"/>
  <c r="L5452" i="6"/>
  <c r="N5452" i="6"/>
  <c r="K5452" i="6"/>
  <c r="M5452" i="6"/>
  <c r="L5505" i="6"/>
  <c r="K5505" i="6"/>
  <c r="M5505" i="6"/>
  <c r="N5505" i="6"/>
  <c r="K5509" i="6"/>
  <c r="M5509" i="6"/>
  <c r="L5509" i="6"/>
  <c r="N5509" i="6"/>
  <c r="N5520" i="6"/>
  <c r="K5520" i="6"/>
  <c r="M5520" i="6"/>
  <c r="L5520" i="6"/>
  <c r="K5546" i="6"/>
  <c r="L5546" i="6"/>
  <c r="M5546" i="6"/>
  <c r="N5546" i="6"/>
  <c r="K5578" i="6"/>
  <c r="L5578" i="6"/>
  <c r="M5578" i="6"/>
  <c r="N5578" i="6"/>
  <c r="K5594" i="6"/>
  <c r="L5594" i="6"/>
  <c r="M5594" i="6"/>
  <c r="N5594" i="6"/>
  <c r="M5598" i="6"/>
  <c r="L5598" i="6"/>
  <c r="N5598" i="6"/>
  <c r="K5598" i="6"/>
  <c r="K5602" i="6"/>
  <c r="M5602" i="6"/>
  <c r="L5602" i="6"/>
  <c r="N5602" i="6"/>
  <c r="K5641" i="6"/>
  <c r="N5641" i="6"/>
  <c r="L5641" i="6"/>
  <c r="M5641" i="6"/>
  <c r="M5656" i="6"/>
  <c r="K5656" i="6"/>
  <c r="L5656" i="6"/>
  <c r="N5656" i="6"/>
  <c r="N5673" i="6"/>
  <c r="K5673" i="6"/>
  <c r="M5673" i="6"/>
  <c r="L5673" i="6"/>
  <c r="L5677" i="6"/>
  <c r="N5677" i="6"/>
  <c r="K5677" i="6"/>
  <c r="M5677" i="6"/>
  <c r="L5714" i="6"/>
  <c r="N5714" i="6"/>
  <c r="K5714" i="6"/>
  <c r="M5714" i="6"/>
  <c r="N5718" i="6"/>
  <c r="L5718" i="6"/>
  <c r="K5718" i="6"/>
  <c r="M5718" i="6"/>
  <c r="N5751" i="6"/>
  <c r="M5751" i="6"/>
  <c r="L5751" i="6"/>
  <c r="K5751" i="6"/>
  <c r="L5775" i="6"/>
  <c r="K5775" i="6"/>
  <c r="N5775" i="6"/>
  <c r="M5775" i="6"/>
  <c r="K5779" i="6"/>
  <c r="M5779" i="6"/>
  <c r="L5779" i="6"/>
  <c r="N5779" i="6"/>
  <c r="L5821" i="6"/>
  <c r="K5821" i="6"/>
  <c r="M5821" i="6"/>
  <c r="N5821" i="6"/>
  <c r="L5891" i="6"/>
  <c r="M5891" i="6"/>
  <c r="N5891" i="6"/>
  <c r="K5891" i="6"/>
  <c r="L5913" i="6"/>
  <c r="N5913" i="6"/>
  <c r="K5913" i="6"/>
  <c r="M5913" i="6"/>
  <c r="L5949" i="6"/>
  <c r="N5949" i="6"/>
  <c r="K5949" i="6"/>
  <c r="M5949" i="6"/>
  <c r="K5962" i="6"/>
  <c r="M5962" i="6"/>
  <c r="L5962" i="6"/>
  <c r="N5962" i="6"/>
  <c r="L5993" i="6"/>
  <c r="N5993" i="6"/>
  <c r="K5993" i="6"/>
  <c r="M5993" i="6"/>
  <c r="L6007" i="6"/>
  <c r="N6007" i="6"/>
  <c r="K6007" i="6"/>
  <c r="M6007" i="6"/>
  <c r="N6019" i="6"/>
  <c r="L6019" i="6"/>
  <c r="K6019" i="6"/>
  <c r="M6019" i="6"/>
  <c r="L6041" i="6"/>
  <c r="N6041" i="6"/>
  <c r="K6041" i="6"/>
  <c r="M6041" i="6"/>
  <c r="K6052" i="6"/>
  <c r="M6052" i="6"/>
  <c r="L6052" i="6"/>
  <c r="N6052" i="6"/>
  <c r="N6075" i="6"/>
  <c r="M6075" i="6"/>
  <c r="K6075" i="6"/>
  <c r="L6075" i="6"/>
  <c r="L6102" i="6"/>
  <c r="N6102" i="6"/>
  <c r="K6102" i="6"/>
  <c r="M6102" i="6"/>
  <c r="N6120" i="6"/>
  <c r="K6120" i="6"/>
  <c r="M6120" i="6"/>
  <c r="L6120" i="6"/>
  <c r="M6142" i="6"/>
  <c r="N6142" i="6"/>
  <c r="L6142" i="6"/>
  <c r="K6142" i="6"/>
  <c r="M6157" i="6"/>
  <c r="L6157" i="6"/>
  <c r="N6157" i="6"/>
  <c r="K6157" i="6"/>
  <c r="N6171" i="6"/>
  <c r="K6171" i="6"/>
  <c r="L6171" i="6"/>
  <c r="M6171" i="6"/>
  <c r="M6193" i="6"/>
  <c r="K6193" i="6"/>
  <c r="L6193" i="6"/>
  <c r="N6193" i="6"/>
  <c r="M6205" i="6"/>
  <c r="N6205" i="6"/>
  <c r="L6205" i="6"/>
  <c r="K6205" i="6"/>
  <c r="M6213" i="6"/>
  <c r="K6213" i="6"/>
  <c r="N6213" i="6"/>
  <c r="L6213" i="6"/>
  <c r="M6229" i="6"/>
  <c r="K6229" i="6"/>
  <c r="L6229" i="6"/>
  <c r="N6229" i="6"/>
  <c r="N6245" i="6"/>
  <c r="K6245" i="6"/>
  <c r="L6245" i="6"/>
  <c r="M6245" i="6"/>
  <c r="M6254" i="6"/>
  <c r="L6254" i="6"/>
  <c r="K6254" i="6"/>
  <c r="N6254" i="6"/>
  <c r="K6276" i="6"/>
  <c r="L6276" i="6"/>
  <c r="M6276" i="6"/>
  <c r="N6276" i="6"/>
  <c r="M6291" i="6"/>
  <c r="L6291" i="6"/>
  <c r="K6291" i="6"/>
  <c r="N6291" i="6"/>
  <c r="N6310" i="6"/>
  <c r="M6310" i="6"/>
  <c r="L6310" i="6"/>
  <c r="K6310" i="6"/>
  <c r="L6330" i="6"/>
  <c r="N6330" i="6"/>
  <c r="M6330" i="6"/>
  <c r="K6330" i="6"/>
  <c r="K6341" i="6"/>
  <c r="N6341" i="6"/>
  <c r="L6341" i="6"/>
  <c r="M6341" i="6"/>
  <c r="L6349" i="6"/>
  <c r="N6349" i="6"/>
  <c r="K6349" i="6"/>
  <c r="M6349" i="6"/>
  <c r="N6365" i="6"/>
  <c r="L6365" i="6"/>
  <c r="K6365" i="6"/>
  <c r="M6365" i="6"/>
  <c r="N6382" i="6"/>
  <c r="K6382" i="6"/>
  <c r="L6382" i="6"/>
  <c r="M6382" i="6"/>
  <c r="L6397" i="6"/>
  <c r="N6397" i="6"/>
  <c r="K6397" i="6"/>
  <c r="M6397" i="6"/>
  <c r="N6413" i="6"/>
  <c r="K6413" i="6"/>
  <c r="M6413" i="6"/>
  <c r="L6413" i="6"/>
  <c r="N6438" i="6"/>
  <c r="L6438" i="6"/>
  <c r="K6438" i="6"/>
  <c r="M6438" i="6"/>
  <c r="L6448" i="6"/>
  <c r="K6448" i="6"/>
  <c r="M6448" i="6"/>
  <c r="N6448" i="6"/>
  <c r="N6466" i="6"/>
  <c r="L6466" i="6"/>
  <c r="M6466" i="6"/>
  <c r="K6466" i="6"/>
  <c r="N6478" i="6"/>
  <c r="K6478" i="6"/>
  <c r="L6478" i="6"/>
  <c r="M6478" i="6"/>
  <c r="M6495" i="6"/>
  <c r="N6495" i="6"/>
  <c r="K6495" i="6"/>
  <c r="L6495" i="6"/>
  <c r="N6519" i="6"/>
  <c r="L6519" i="6"/>
  <c r="M6519" i="6"/>
  <c r="K6519" i="6"/>
  <c r="N6535" i="6"/>
  <c r="M6535" i="6"/>
  <c r="K6535" i="6"/>
  <c r="L6535" i="6"/>
  <c r="L6547" i="6"/>
  <c r="N6547" i="6"/>
  <c r="M6547" i="6"/>
  <c r="K6547" i="6"/>
  <c r="N6562" i="6"/>
  <c r="M6562" i="6"/>
  <c r="L6562" i="6"/>
  <c r="K6562" i="6"/>
  <c r="N6573" i="6"/>
  <c r="L6573" i="6"/>
  <c r="K6573" i="6"/>
  <c r="M6573" i="6"/>
  <c r="L6593" i="6"/>
  <c r="K6593" i="6"/>
  <c r="M6593" i="6"/>
  <c r="N6593" i="6"/>
  <c r="L6609" i="6"/>
  <c r="K6609" i="6"/>
  <c r="N6609" i="6"/>
  <c r="M6609" i="6"/>
  <c r="L6632" i="6"/>
  <c r="K6632" i="6"/>
  <c r="M6632" i="6"/>
  <c r="N6632" i="6"/>
  <c r="N6645" i="6"/>
  <c r="K6645" i="6"/>
  <c r="M6645" i="6"/>
  <c r="L6645" i="6"/>
  <c r="L6660" i="6"/>
  <c r="K6660" i="6"/>
  <c r="N6660" i="6"/>
  <c r="M6660" i="6"/>
  <c r="N6676" i="6"/>
  <c r="M6676" i="6"/>
  <c r="K6676" i="6"/>
  <c r="L6676" i="6"/>
  <c r="N6688" i="6"/>
  <c r="L6688" i="6"/>
  <c r="M6688" i="6"/>
  <c r="K6688" i="6"/>
  <c r="N6701" i="6"/>
  <c r="M6701" i="6"/>
  <c r="K6701" i="6"/>
  <c r="L6701" i="6"/>
  <c r="N6714" i="6"/>
  <c r="M6714" i="6"/>
  <c r="K6714" i="6"/>
  <c r="L6714" i="6"/>
  <c r="N6727" i="6"/>
  <c r="M6727" i="6"/>
  <c r="L6727" i="6"/>
  <c r="K6727" i="6"/>
  <c r="N6742" i="6"/>
  <c r="M6742" i="6"/>
  <c r="L6742" i="6"/>
  <c r="K6742" i="6"/>
  <c r="N6766" i="6"/>
  <c r="K6766" i="6"/>
  <c r="L6766" i="6"/>
  <c r="M6766" i="6"/>
  <c r="N6778" i="6"/>
  <c r="M6778" i="6"/>
  <c r="K6778" i="6"/>
  <c r="L6778" i="6"/>
  <c r="N6795" i="6"/>
  <c r="M6795" i="6"/>
  <c r="K6795" i="6"/>
  <c r="L6795" i="6"/>
  <c r="N6810" i="6"/>
  <c r="M6810" i="6"/>
  <c r="K6810" i="6"/>
  <c r="L6810" i="6"/>
  <c r="N6831" i="6"/>
  <c r="M6831" i="6"/>
  <c r="L6831" i="6"/>
  <c r="K6831" i="6"/>
  <c r="L6841" i="6"/>
  <c r="M6841" i="6"/>
  <c r="K6841" i="6"/>
  <c r="N6841" i="6"/>
  <c r="M6855" i="6"/>
  <c r="N6855" i="6"/>
  <c r="L6855" i="6"/>
  <c r="K6855" i="6"/>
  <c r="L6869" i="6"/>
  <c r="N6869" i="6"/>
  <c r="K6869" i="6"/>
  <c r="M6869" i="6"/>
  <c r="L6885" i="6"/>
  <c r="N6885" i="6"/>
  <c r="M6885" i="6"/>
  <c r="K6885" i="6"/>
  <c r="N6900" i="6"/>
  <c r="K6900" i="6"/>
  <c r="L6900" i="6"/>
  <c r="M6900" i="6"/>
  <c r="K3417" i="6"/>
  <c r="K3880" i="6"/>
  <c r="K3954" i="6"/>
  <c r="K3999" i="6"/>
  <c r="M4522" i="6"/>
  <c r="L4522" i="6"/>
  <c r="N4522" i="6"/>
  <c r="K4522" i="6"/>
  <c r="L4526" i="6"/>
  <c r="N4526" i="6"/>
  <c r="K4526" i="6"/>
  <c r="M4526" i="6"/>
  <c r="M4530" i="6"/>
  <c r="K4530" i="6"/>
  <c r="L4530" i="6"/>
  <c r="N4530" i="6"/>
  <c r="N4534" i="6"/>
  <c r="L4534" i="6"/>
  <c r="K4534" i="6"/>
  <c r="M4534" i="6"/>
  <c r="M4538" i="6"/>
  <c r="N4538" i="6"/>
  <c r="K4538" i="6"/>
  <c r="L4538" i="6"/>
  <c r="K4643" i="6"/>
  <c r="N4643" i="6"/>
  <c r="M4643" i="6"/>
  <c r="L4643" i="6"/>
  <c r="L4744" i="6"/>
  <c r="K4744" i="6"/>
  <c r="M4744" i="6"/>
  <c r="N4744" i="6"/>
  <c r="L4748" i="6"/>
  <c r="N4748" i="6"/>
  <c r="K4748" i="6"/>
  <c r="M4748" i="6"/>
  <c r="L4777" i="6"/>
  <c r="K4777" i="6"/>
  <c r="M4777" i="6"/>
  <c r="N4777" i="6"/>
  <c r="L4825" i="6"/>
  <c r="M4825" i="6"/>
  <c r="K4825" i="6"/>
  <c r="N4825" i="6"/>
  <c r="L4843" i="6"/>
  <c r="K4843" i="6"/>
  <c r="N4843" i="6"/>
  <c r="M4843" i="6"/>
  <c r="L4847" i="6"/>
  <c r="K4847" i="6"/>
  <c r="M4847" i="6"/>
  <c r="N4847" i="6"/>
  <c r="L4851" i="6"/>
  <c r="K4851" i="6"/>
  <c r="M4851" i="6"/>
  <c r="N4851" i="6"/>
  <c r="N4908" i="6"/>
  <c r="K4908" i="6"/>
  <c r="M4908" i="6"/>
  <c r="L4908" i="6"/>
  <c r="K4985" i="6"/>
  <c r="L4985" i="6"/>
  <c r="M4985" i="6"/>
  <c r="N4985" i="6"/>
  <c r="N5007" i="6"/>
  <c r="M5007" i="6"/>
  <c r="L5007" i="6"/>
  <c r="K5007" i="6"/>
  <c r="M5067" i="6"/>
  <c r="L5067" i="6"/>
  <c r="N5067" i="6"/>
  <c r="K5067" i="6"/>
  <c r="L5071" i="6"/>
  <c r="K5071" i="6"/>
  <c r="M5071" i="6"/>
  <c r="N5071" i="6"/>
  <c r="M5075" i="6"/>
  <c r="L5075" i="6"/>
  <c r="N5075" i="6"/>
  <c r="K5075" i="6"/>
  <c r="M5079" i="6"/>
  <c r="L5079" i="6"/>
  <c r="N5079" i="6"/>
  <c r="K5079" i="6"/>
  <c r="L5207" i="6"/>
  <c r="K5207" i="6"/>
  <c r="M5207" i="6"/>
  <c r="N5207" i="6"/>
  <c r="L5211" i="6"/>
  <c r="N5211" i="6"/>
  <c r="K5211" i="6"/>
  <c r="M5211" i="6"/>
  <c r="N5215" i="6"/>
  <c r="M5215" i="6"/>
  <c r="L5215" i="6"/>
  <c r="K5215" i="6"/>
  <c r="L5219" i="6"/>
  <c r="N5219" i="6"/>
  <c r="K5219" i="6"/>
  <c r="M5219" i="6"/>
  <c r="K5280" i="6"/>
  <c r="L5280" i="6"/>
  <c r="N5280" i="6"/>
  <c r="M5280" i="6"/>
  <c r="L5284" i="6"/>
  <c r="M5284" i="6"/>
  <c r="N5284" i="6"/>
  <c r="K5284" i="6"/>
  <c r="M5301" i="6"/>
  <c r="N5301" i="6"/>
  <c r="L5301" i="6"/>
  <c r="K5301" i="6"/>
  <c r="K5350" i="6"/>
  <c r="M5350" i="6"/>
  <c r="L5350" i="6"/>
  <c r="N5350" i="6"/>
  <c r="K5386" i="6"/>
  <c r="L5386" i="6"/>
  <c r="M5386" i="6"/>
  <c r="N5386" i="6"/>
  <c r="K5390" i="6"/>
  <c r="M5390" i="6"/>
  <c r="L5390" i="6"/>
  <c r="N5390" i="6"/>
  <c r="K5394" i="6"/>
  <c r="M5394" i="6"/>
  <c r="L5394" i="6"/>
  <c r="N5394" i="6"/>
  <c r="L5488" i="6"/>
  <c r="K5488" i="6"/>
  <c r="M5488" i="6"/>
  <c r="N5488" i="6"/>
  <c r="K5492" i="6"/>
  <c r="M5492" i="6"/>
  <c r="L5492" i="6"/>
  <c r="N5492" i="6"/>
  <c r="L5513" i="6"/>
  <c r="M5513" i="6"/>
  <c r="K5513" i="6"/>
  <c r="N5513" i="6"/>
  <c r="L5529" i="6"/>
  <c r="K5529" i="6"/>
  <c r="M5529" i="6"/>
  <c r="N5529" i="6"/>
  <c r="N5561" i="6"/>
  <c r="K5561" i="6"/>
  <c r="M5561" i="6"/>
  <c r="L5561" i="6"/>
  <c r="L5607" i="6"/>
  <c r="K5607" i="6"/>
  <c r="N5607" i="6"/>
  <c r="M5607" i="6"/>
  <c r="N5611" i="6"/>
  <c r="K5611" i="6"/>
  <c r="M5611" i="6"/>
  <c r="L5611" i="6"/>
  <c r="K5632" i="6"/>
  <c r="M5632" i="6"/>
  <c r="N5632" i="6"/>
  <c r="L5632" i="6"/>
  <c r="L5645" i="6"/>
  <c r="K5645" i="6"/>
  <c r="M5645" i="6"/>
  <c r="N5645" i="6"/>
  <c r="M5649" i="6"/>
  <c r="L5649" i="6"/>
  <c r="N5649" i="6"/>
  <c r="K5649" i="6"/>
  <c r="K5684" i="6"/>
  <c r="M5684" i="6"/>
  <c r="N5684" i="6"/>
  <c r="L5684" i="6"/>
  <c r="K5688" i="6"/>
  <c r="M5688" i="6"/>
  <c r="L5688" i="6"/>
  <c r="N5688" i="6"/>
  <c r="M5692" i="6"/>
  <c r="K5692" i="6"/>
  <c r="N5692" i="6"/>
  <c r="L5692" i="6"/>
  <c r="M5737" i="6"/>
  <c r="K5737" i="6"/>
  <c r="L5737" i="6"/>
  <c r="N5737" i="6"/>
  <c r="N5761" i="6"/>
  <c r="K5761" i="6"/>
  <c r="M5761" i="6"/>
  <c r="L5761" i="6"/>
  <c r="K5765" i="6"/>
  <c r="N5765" i="6"/>
  <c r="L5765" i="6"/>
  <c r="M5765" i="6"/>
  <c r="M5769" i="6"/>
  <c r="N5769" i="6"/>
  <c r="K5769" i="6"/>
  <c r="L5769" i="6"/>
  <c r="N5793" i="6"/>
  <c r="K5793" i="6"/>
  <c r="M5793" i="6"/>
  <c r="L5793" i="6"/>
  <c r="K5809" i="6"/>
  <c r="N5809" i="6"/>
  <c r="M5809" i="6"/>
  <c r="L5809" i="6"/>
  <c r="K5813" i="6"/>
  <c r="L5813" i="6"/>
  <c r="N5813" i="6"/>
  <c r="M5813" i="6"/>
  <c r="M5841" i="6"/>
  <c r="L5841" i="6"/>
  <c r="K5841" i="6"/>
  <c r="N5841" i="6"/>
  <c r="N5853" i="6"/>
  <c r="K5853" i="6"/>
  <c r="M5853" i="6"/>
  <c r="L5853" i="6"/>
  <c r="M5884" i="6"/>
  <c r="K5884" i="6"/>
  <c r="L5884" i="6"/>
  <c r="N5884" i="6"/>
  <c r="N5903" i="6"/>
  <c r="K5903" i="6"/>
  <c r="M5903" i="6"/>
  <c r="L5903" i="6"/>
  <c r="L5916" i="6"/>
  <c r="K5916" i="6"/>
  <c r="M5916" i="6"/>
  <c r="N5916" i="6"/>
  <c r="L5930" i="6"/>
  <c r="K5930" i="6"/>
  <c r="M5930" i="6"/>
  <c r="N5930" i="6"/>
  <c r="K5934" i="6"/>
  <c r="N5934" i="6"/>
  <c r="M5934" i="6"/>
  <c r="L5934" i="6"/>
  <c r="N5938" i="6"/>
  <c r="K5938" i="6"/>
  <c r="M5938" i="6"/>
  <c r="L5938" i="6"/>
  <c r="L5955" i="6"/>
  <c r="K5955" i="6"/>
  <c r="M5955" i="6"/>
  <c r="N5955" i="6"/>
  <c r="L5979" i="6"/>
  <c r="K5979" i="6"/>
  <c r="M5979" i="6"/>
  <c r="N5979" i="6"/>
  <c r="N5983" i="6"/>
  <c r="L5983" i="6"/>
  <c r="K5983" i="6"/>
  <c r="M5983" i="6"/>
  <c r="L6000" i="6"/>
  <c r="N6000" i="6"/>
  <c r="K6000" i="6"/>
  <c r="M6000" i="6"/>
  <c r="L6012" i="6"/>
  <c r="M6012" i="6"/>
  <c r="N6012" i="6"/>
  <c r="K6012" i="6"/>
  <c r="K6026" i="6"/>
  <c r="M6026" i="6"/>
  <c r="N6026" i="6"/>
  <c r="L6026" i="6"/>
  <c r="L6048" i="6"/>
  <c r="N6048" i="6"/>
  <c r="K6048" i="6"/>
  <c r="M6048" i="6"/>
  <c r="L6065" i="6"/>
  <c r="N6065" i="6"/>
  <c r="K6065" i="6"/>
  <c r="M6065" i="6"/>
  <c r="L6094" i="6"/>
  <c r="N6094" i="6"/>
  <c r="K6094" i="6"/>
  <c r="M6094" i="6"/>
  <c r="M6106" i="6"/>
  <c r="N6106" i="6"/>
  <c r="K6106" i="6"/>
  <c r="L6106" i="6"/>
  <c r="M6126" i="6"/>
  <c r="L6126" i="6"/>
  <c r="N6126" i="6"/>
  <c r="K6126" i="6"/>
  <c r="N6139" i="6"/>
  <c r="K6139" i="6"/>
  <c r="M6139" i="6"/>
  <c r="L6139" i="6"/>
  <c r="N6154" i="6"/>
  <c r="M6154" i="6"/>
  <c r="L6154" i="6"/>
  <c r="K6154" i="6"/>
  <c r="M6173" i="6"/>
  <c r="N6173" i="6"/>
  <c r="L6173" i="6"/>
  <c r="K6173" i="6"/>
  <c r="M6189" i="6"/>
  <c r="L6189" i="6"/>
  <c r="N6189" i="6"/>
  <c r="K6189" i="6"/>
  <c r="L6202" i="6"/>
  <c r="N6202" i="6"/>
  <c r="M6202" i="6"/>
  <c r="K6202" i="6"/>
  <c r="M6217" i="6"/>
  <c r="L6217" i="6"/>
  <c r="N6217" i="6"/>
  <c r="K6217" i="6"/>
  <c r="M6225" i="6"/>
  <c r="K6225" i="6"/>
  <c r="L6225" i="6"/>
  <c r="N6225" i="6"/>
  <c r="N6239" i="6"/>
  <c r="M6239" i="6"/>
  <c r="L6239" i="6"/>
  <c r="K6239" i="6"/>
  <c r="M6249" i="6"/>
  <c r="K6249" i="6"/>
  <c r="L6249" i="6"/>
  <c r="N6249" i="6"/>
  <c r="L6270" i="6"/>
  <c r="M6270" i="6"/>
  <c r="K6270" i="6"/>
  <c r="N6270" i="6"/>
  <c r="K6287" i="6"/>
  <c r="N6287" i="6"/>
  <c r="L6287" i="6"/>
  <c r="M6287" i="6"/>
  <c r="M6298" i="6"/>
  <c r="L6298" i="6"/>
  <c r="N6298" i="6"/>
  <c r="K6298" i="6"/>
  <c r="L6318" i="6"/>
  <c r="K6318" i="6"/>
  <c r="N6318" i="6"/>
  <c r="M6318" i="6"/>
  <c r="N6333" i="6"/>
  <c r="K6333" i="6"/>
  <c r="M6333" i="6"/>
  <c r="L6333" i="6"/>
  <c r="N6353" i="6"/>
  <c r="K6353" i="6"/>
  <c r="M6353" i="6"/>
  <c r="L6353" i="6"/>
  <c r="L6363" i="6"/>
  <c r="K6363" i="6"/>
  <c r="M6363" i="6"/>
  <c r="N6363" i="6"/>
  <c r="N6386" i="6"/>
  <c r="M6386" i="6"/>
  <c r="L6386" i="6"/>
  <c r="K6386" i="6"/>
  <c r="N6406" i="6"/>
  <c r="M6406" i="6"/>
  <c r="L6406" i="6"/>
  <c r="K6406" i="6"/>
  <c r="N6426" i="6"/>
  <c r="M6426" i="6"/>
  <c r="K6426" i="6"/>
  <c r="L6426" i="6"/>
  <c r="N6451" i="6"/>
  <c r="L6451" i="6"/>
  <c r="M6451" i="6"/>
  <c r="K6451" i="6"/>
  <c r="L6464" i="6"/>
  <c r="N6464" i="6"/>
  <c r="M6464" i="6"/>
  <c r="K6464" i="6"/>
  <c r="N6486" i="6"/>
  <c r="L6486" i="6"/>
  <c r="K6486" i="6"/>
  <c r="M6486" i="6"/>
  <c r="M6500" i="6"/>
  <c r="L6500" i="6"/>
  <c r="K6500" i="6"/>
  <c r="N6500" i="6"/>
  <c r="N6521" i="6"/>
  <c r="L6521" i="6"/>
  <c r="K6521" i="6"/>
  <c r="M6521" i="6"/>
  <c r="L6539" i="6"/>
  <c r="M6539" i="6"/>
  <c r="N6539" i="6"/>
  <c r="K6539" i="6"/>
  <c r="N6555" i="6"/>
  <c r="L6555" i="6"/>
  <c r="M6555" i="6"/>
  <c r="K6555" i="6"/>
  <c r="N6575" i="6"/>
  <c r="M6575" i="6"/>
  <c r="L6575" i="6"/>
  <c r="K6575" i="6"/>
  <c r="M6587" i="6"/>
  <c r="N6587" i="6"/>
  <c r="L6587" i="6"/>
  <c r="K6587" i="6"/>
  <c r="L6597" i="6"/>
  <c r="K6597" i="6"/>
  <c r="N6597" i="6"/>
  <c r="M6597" i="6"/>
  <c r="M6616" i="6"/>
  <c r="L6616" i="6"/>
  <c r="N6616" i="6"/>
  <c r="K6616" i="6"/>
  <c r="N6630" i="6"/>
  <c r="M6630" i="6"/>
  <c r="L6630" i="6"/>
  <c r="K6630" i="6"/>
  <c r="N6643" i="6"/>
  <c r="L6643" i="6"/>
  <c r="M6643" i="6"/>
  <c r="K6643" i="6"/>
  <c r="N6662" i="6"/>
  <c r="M6662" i="6"/>
  <c r="L6662" i="6"/>
  <c r="K6662" i="6"/>
  <c r="M6680" i="6"/>
  <c r="N6680" i="6"/>
  <c r="K6680" i="6"/>
  <c r="L6680" i="6"/>
  <c r="L6697" i="6"/>
  <c r="N6697" i="6"/>
  <c r="K6697" i="6"/>
  <c r="M6697" i="6"/>
  <c r="K6712" i="6"/>
  <c r="L6712" i="6"/>
  <c r="N6712" i="6"/>
  <c r="M6712" i="6"/>
  <c r="N6730" i="6"/>
  <c r="K6730" i="6"/>
  <c r="L6730" i="6"/>
  <c r="M6730" i="6"/>
  <c r="L6744" i="6"/>
  <c r="N6744" i="6"/>
  <c r="K6744" i="6"/>
  <c r="M6744" i="6"/>
  <c r="N6758" i="6"/>
  <c r="L6758" i="6"/>
  <c r="M6758" i="6"/>
  <c r="K6758" i="6"/>
  <c r="N6770" i="6"/>
  <c r="M6770" i="6"/>
  <c r="L6770" i="6"/>
  <c r="K6770" i="6"/>
  <c r="L6787" i="6"/>
  <c r="N6787" i="6"/>
  <c r="M6787" i="6"/>
  <c r="K6787" i="6"/>
  <c r="N6803" i="6"/>
  <c r="L6803" i="6"/>
  <c r="M6803" i="6"/>
  <c r="K6803" i="6"/>
  <c r="N6818" i="6"/>
  <c r="M6818" i="6"/>
  <c r="L6818" i="6"/>
  <c r="K6818" i="6"/>
  <c r="L6829" i="6"/>
  <c r="N6829" i="6"/>
  <c r="K6829" i="6"/>
  <c r="M6829" i="6"/>
  <c r="N6847" i="6"/>
  <c r="M6847" i="6"/>
  <c r="L6847" i="6"/>
  <c r="K6847" i="6"/>
  <c r="N6866" i="6"/>
  <c r="M6866" i="6"/>
  <c r="L6866" i="6"/>
  <c r="K6866" i="6"/>
  <c r="N6883" i="6"/>
  <c r="M6883" i="6"/>
  <c r="L6883" i="6"/>
  <c r="K6883" i="6"/>
  <c r="N6898" i="6"/>
  <c r="M6898" i="6"/>
  <c r="L6898" i="6"/>
  <c r="K6898" i="6"/>
  <c r="K3740" i="6"/>
  <c r="K81" i="6"/>
  <c r="M81" i="6" s="1"/>
  <c r="K34" i="6"/>
  <c r="M34" i="6" s="1"/>
  <c r="K98" i="6"/>
  <c r="M98" i="6" s="1"/>
  <c r="K114" i="6"/>
  <c r="M114" i="6" s="1"/>
  <c r="K130" i="6"/>
  <c r="M130" i="6" s="1"/>
  <c r="K146" i="6"/>
  <c r="M146" i="6" s="1"/>
  <c r="K162" i="6"/>
  <c r="M162" i="6" s="1"/>
  <c r="K178" i="6"/>
  <c r="M178" i="6" s="1"/>
  <c r="K194" i="6"/>
  <c r="M194" i="6" s="1"/>
  <c r="K210" i="6"/>
  <c r="M210" i="6" s="1"/>
  <c r="K226" i="6"/>
  <c r="M226" i="6" s="1"/>
  <c r="K242" i="6"/>
  <c r="M242" i="6" s="1"/>
  <c r="K258" i="6"/>
  <c r="M258" i="6" s="1"/>
  <c r="K66" i="6"/>
  <c r="M66" i="6" s="1"/>
  <c r="K49" i="6"/>
  <c r="M49" i="6" s="1"/>
  <c r="N162" i="6"/>
  <c r="K78" i="6"/>
  <c r="M78" i="6" s="1"/>
  <c r="N9" i="6"/>
  <c r="N29" i="6"/>
  <c r="N14" i="6"/>
  <c r="K61" i="6"/>
  <c r="M61" i="6" s="1"/>
  <c r="K82" i="6"/>
  <c r="M82" i="6" s="1"/>
  <c r="N178" i="6"/>
  <c r="N146" i="6"/>
  <c r="N13" i="6"/>
  <c r="N45" i="6"/>
  <c r="N130" i="6"/>
  <c r="N114" i="6"/>
  <c r="N98" i="6"/>
  <c r="K65" i="6"/>
  <c r="M65" i="6" s="1"/>
  <c r="N49" i="6"/>
  <c r="N194" i="6"/>
  <c r="K58" i="6"/>
  <c r="M58" i="6" s="1"/>
  <c r="K73" i="6"/>
  <c r="M73" i="6" s="1"/>
  <c r="K109" i="6"/>
  <c r="M109" i="6" s="1"/>
  <c r="K125" i="6"/>
  <c r="M125" i="6" s="1"/>
  <c r="K145" i="6"/>
  <c r="M145" i="6" s="1"/>
  <c r="K161" i="6"/>
  <c r="M161" i="6" s="1"/>
  <c r="K177" i="6"/>
  <c r="M177" i="6" s="1"/>
  <c r="K193" i="6"/>
  <c r="M193" i="6" s="1"/>
  <c r="K209" i="6"/>
  <c r="M209" i="6" s="1"/>
  <c r="K225" i="6"/>
  <c r="M225" i="6" s="1"/>
  <c r="K241" i="6"/>
  <c r="M241" i="6" s="1"/>
  <c r="K257" i="6"/>
  <c r="M257" i="6" s="1"/>
  <c r="L229" i="6"/>
  <c r="N229" i="6" s="1"/>
  <c r="L245" i="6"/>
  <c r="N245" i="6" s="1"/>
  <c r="K46" i="6"/>
  <c r="M46" i="6" s="1"/>
  <c r="K93" i="6"/>
  <c r="M93" i="6" s="1"/>
  <c r="K113" i="6"/>
  <c r="M113" i="6" s="1"/>
  <c r="K129" i="6"/>
  <c r="M129" i="6" s="1"/>
  <c r="K149" i="6"/>
  <c r="M149" i="6" s="1"/>
  <c r="K165" i="6"/>
  <c r="M165" i="6" s="1"/>
  <c r="K181" i="6"/>
  <c r="M181" i="6" s="1"/>
  <c r="K197" i="6"/>
  <c r="M197" i="6" s="1"/>
  <c r="K213" i="6"/>
  <c r="M213" i="6" s="1"/>
  <c r="K229" i="6"/>
  <c r="M229" i="6" s="1"/>
  <c r="K245" i="6"/>
  <c r="M245" i="6" s="1"/>
  <c r="N17" i="6"/>
  <c r="N33" i="6"/>
  <c r="L217" i="6"/>
  <c r="N217" i="6" s="1"/>
  <c r="L233" i="6"/>
  <c r="N233" i="6" s="1"/>
  <c r="L249" i="6"/>
  <c r="N249" i="6" s="1"/>
  <c r="K50" i="6"/>
  <c r="M50" i="6" s="1"/>
  <c r="K97" i="6"/>
  <c r="M97" i="6" s="1"/>
  <c r="K117" i="6"/>
  <c r="M117" i="6" s="1"/>
  <c r="K133" i="6"/>
  <c r="M133" i="6" s="1"/>
  <c r="K153" i="6"/>
  <c r="M153" i="6" s="1"/>
  <c r="K169" i="6"/>
  <c r="M169" i="6" s="1"/>
  <c r="K185" i="6"/>
  <c r="M185" i="6" s="1"/>
  <c r="K201" i="6"/>
  <c r="M201" i="6" s="1"/>
  <c r="K217" i="6"/>
  <c r="M217" i="6" s="1"/>
  <c r="K233" i="6"/>
  <c r="M233" i="6" s="1"/>
  <c r="K249" i="6"/>
  <c r="M249" i="6" s="1"/>
  <c r="K141" i="6"/>
  <c r="M141" i="6" s="1"/>
  <c r="K54" i="6"/>
  <c r="M54" i="6" s="1"/>
  <c r="K105" i="6"/>
  <c r="M105" i="6" s="1"/>
  <c r="K121" i="6"/>
  <c r="M121" i="6" s="1"/>
  <c r="K137" i="6"/>
  <c r="M137" i="6" s="1"/>
  <c r="K157" i="6"/>
  <c r="M157" i="6" s="1"/>
  <c r="K173" i="6"/>
  <c r="M173" i="6" s="1"/>
  <c r="K189" i="6"/>
  <c r="M189" i="6" s="1"/>
  <c r="K205" i="6"/>
  <c r="M205" i="6" s="1"/>
  <c r="K221" i="6"/>
  <c r="M221" i="6" s="1"/>
  <c r="K237" i="6"/>
  <c r="M237" i="6" s="1"/>
  <c r="K253" i="6"/>
  <c r="M253" i="6" s="1"/>
  <c r="K101" i="6"/>
  <c r="M101" i="6" s="1"/>
</calcChain>
</file>

<file path=xl/sharedStrings.xml><?xml version="1.0" encoding="utf-8"?>
<sst xmlns="http://schemas.openxmlformats.org/spreadsheetml/2006/main" count="4256" uniqueCount="849">
  <si>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</si>
  <si>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</si>
  <si>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</si>
  <si>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</si>
  <si>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</si>
  <si>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</si>
  <si>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</si>
  <si>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</si>
  <si>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</si>
  <si>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</si>
  <si>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</si>
  <si>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</si>
  <si>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</si>
  <si>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</si>
  <si>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</si>
  <si>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</si>
  <si>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</si>
  <si>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</si>
  <si>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</si>
  <si>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</si>
  <si>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</si>
  <si>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</si>
  <si>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</si>
  <si>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</si>
  <si>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</si>
  <si>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</si>
  <si>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</si>
  <si>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</si>
  <si>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</si>
  <si>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</si>
  <si>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</si>
  <si>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</si>
  <si>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</si>
  <si>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</si>
  <si>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</si>
  <si>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</si>
  <si>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</si>
  <si>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</si>
  <si>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</si>
  <si>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</si>
  <si>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</si>
  <si>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</si>
  <si>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</si>
  <si>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</si>
  <si>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</si>
  <si>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</si>
  <si>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</si>
  <si>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</si>
  <si>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</si>
  <si>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</si>
  <si>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</si>
  <si>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</si>
  <si>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</si>
  <si>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</si>
  <si>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alp_ecom_conversao_ecom_facebook_social_pagepost_social_rasteiras-you_curte-havaianas_cpc_1200x628_111113</t>
  </si>
  <si>
    <t>242206023</t>
  </si>
  <si>
    <t>438842639</t>
  </si>
  <si>
    <t>alp_marca</t>
  </si>
  <si>
    <t>Elhombre_Puig</t>
  </si>
  <si>
    <t>243290121</t>
  </si>
  <si>
    <t>439773376</t>
  </si>
  <si>
    <t>papodehomem.com.br</t>
  </si>
  <si>
    <t>Instagram</t>
  </si>
  <si>
    <t>Oath BR</t>
  </si>
  <si>
    <t>Steal The Look</t>
  </si>
  <si>
    <t>MTV Brasil</t>
  </si>
  <si>
    <t>alp_marca_alcance_jovem_facebook_social_dark-post_social_got_all_cpm_1080x1080_111121</t>
  </si>
  <si>
    <t>jovemnerd.com.br</t>
  </si>
  <si>
    <t>Standard_Tracking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</si>
  <si>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</si>
  <si>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</si>
  <si>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</si>
  <si>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</si>
  <si>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</si>
  <si>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</si>
  <si>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</si>
  <si>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</si>
  <si>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</si>
  <si>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</si>
  <si>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</si>
  <si>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</si>
  <si>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</si>
  <si>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</si>
  <si>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</si>
  <si>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</si>
  <si>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</si>
  <si>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</si>
  <si>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</si>
  <si>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</si>
  <si>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</si>
  <si>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</si>
  <si>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</si>
  <si>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</si>
  <si>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</si>
  <si>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</si>
  <si>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</si>
  <si>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</si>
  <si>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</si>
  <si>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</si>
  <si>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</si>
  <si>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</si>
  <si>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</si>
  <si>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</si>
  <si>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</si>
  <si>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</si>
  <si>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</si>
  <si>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</si>
  <si>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</si>
  <si>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alp_ecom_conversao_ecom_facebook_social_pagepost_social_got_interesse-got_cpm_1200x628_111202</t>
  </si>
  <si>
    <t>247894816</t>
  </si>
  <si>
    <t>444247220</t>
  </si>
  <si>
    <t>alp_ecom_conversao_ecom_facebook_social_pagepost_social_slim-hits_curte-havaianas_cpm_1200x628_111200</t>
  </si>
  <si>
    <t>247726396</t>
  </si>
  <si>
    <t>443998716</t>
  </si>
  <si>
    <t>Pipocando</t>
  </si>
  <si>
    <t>alp_marca_alcance_feminino_facebook_social_pagepost_social_slim-hits_all_cpm_1200x628_111196</t>
  </si>
  <si>
    <t>248134076</t>
  </si>
  <si>
    <t>444678955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</si>
  <si>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</si>
  <si>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</si>
  <si>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</si>
  <si>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</si>
  <si>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</si>
  <si>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</si>
  <si>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alp_marca_engajamentos_feminino_facebook_social_dark-post_social_rasteiras_style_cpm_500x500_111176</t>
  </si>
  <si>
    <t>246588286</t>
  </si>
  <si>
    <t>442981506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</si>
  <si>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</si>
  <si>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</si>
  <si>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</si>
  <si>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</si>
  <si>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</si>
  <si>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</si>
  <si>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</si>
  <si>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</si>
  <si>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</si>
  <si>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alp_marca_engajamentos_masculino_facebook_social_dark-post_social_hype_sports_cpm_500x500_111188</t>
  </si>
  <si>
    <t>246959852</t>
  </si>
  <si>
    <t>443465073</t>
  </si>
  <si>
    <t>globoesporte.globo.com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</si>
  <si>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</si>
  <si>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</si>
  <si>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</si>
  <si>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</si>
  <si>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</si>
  <si>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</si>
  <si>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</si>
  <si>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</si>
  <si>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</si>
  <si>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alp_ecom_conversao_ecom_facebook_social_pagepost_social_stranger-things_curte-havaianas_cpm_1080x1080_111214</t>
  </si>
  <si>
    <t>250561323</t>
  </si>
  <si>
    <t>446675965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</si>
  <si>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</si>
  <si>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</si>
  <si>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</si>
  <si>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</si>
  <si>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</si>
  <si>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</si>
  <si>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</si>
  <si>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</si>
  <si>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</si>
  <si>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alp_ecom_conversao_ecom_facebook_social_video-social_social_stranger-things_rmk-30-mobile_cpm_de-5s-ate-10s_111215</t>
  </si>
  <si>
    <t>250155785</t>
  </si>
  <si>
    <t>446691631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</si>
  <si>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</si>
  <si>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</si>
  <si>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</si>
  <si>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</si>
  <si>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</si>
  <si>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</si>
  <si>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</si>
  <si>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</si>
  <si>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</si>
  <si>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</si>
  <si>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</si>
  <si>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</si>
  <si>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</si>
  <si>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</si>
  <si>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</si>
  <si>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</si>
  <si>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</si>
  <si>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</si>
  <si>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</si>
  <si>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</si>
  <si>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</si>
  <si>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alp_marca_alcance_todos_sua-musica_display_diaria-bg_home_sao-joao_all_cpm_1900x1020_111276</t>
  </si>
  <si>
    <t>249903469</t>
  </si>
  <si>
    <t>446129080</t>
  </si>
  <si>
    <t>alp_marca_alcance_todos_sua-musica_display_interstitial-mobile_ros_sao-joao_all_cpm_320x480_111221</t>
  </si>
  <si>
    <t>248521784</t>
  </si>
  <si>
    <t>444923805</t>
  </si>
  <si>
    <t>adorocinema.com</t>
  </si>
  <si>
    <t>eco21.com.br</t>
  </si>
  <si>
    <t>alp_marca_alcance_feminino_facebook_social_pagepost_social_rasteiras_all_cpm_1080x1080_111228</t>
  </si>
  <si>
    <t>249100214</t>
  </si>
  <si>
    <t>445480692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</si>
  <si>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</si>
  <si>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</si>
  <si>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</si>
  <si>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alp_marca_alcance_jovem_facebook_social_pagepost_social_toy-story_all_cpm_1080x1080_111245</t>
  </si>
  <si>
    <t>249266750</t>
  </si>
  <si>
    <t>445737839</t>
  </si>
  <si>
    <t>alp_marca_alcance_todos_facebook_social_video-social_social_havaianas-ipe_all_cpm_de-11s-ate-29s_111212</t>
  </si>
  <si>
    <t>248672104</t>
  </si>
  <si>
    <t>444990895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</si>
  <si>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</si>
  <si>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</si>
  <si>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</si>
  <si>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</si>
  <si>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</si>
  <si>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</si>
  <si>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</si>
  <si>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</si>
  <si>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</si>
  <si>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</si>
  <si>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</si>
  <si>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</si>
  <si>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</si>
  <si>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universa-uol_puig</t>
  </si>
  <si>
    <t>Criteo</t>
  </si>
  <si>
    <t>alp_ecom_conversao_ecom_facebook_social_carrossel_social_rei-leao_curte-havaianas_cpm_1080x1080_111221</t>
  </si>
  <si>
    <t>251366940</t>
  </si>
  <si>
    <t>447333084</t>
  </si>
  <si>
    <t>alp_ecom_conversao_ecom_facebook_social_carrossel_social_rei-leao_interesse-rei-leao_cpm_1080x1080_111221</t>
  </si>
  <si>
    <t>251366916</t>
  </si>
  <si>
    <t>447333060</t>
  </si>
  <si>
    <t>alp_ecom_conversao_ecom_facebook_social_carrossel_social_rei-leao_rmk-30-mobile_cpm_1080x1080_111221</t>
  </si>
  <si>
    <t>251366919</t>
  </si>
  <si>
    <t>447333063</t>
  </si>
  <si>
    <t>alp_ecom_conversao_ecom_facebook_social_collection_social_harry-potter_curte-havaianas_cpm_dinamico_111223</t>
  </si>
  <si>
    <t>251366910</t>
  </si>
  <si>
    <t>447333054</t>
  </si>
  <si>
    <t>alp_ecom_conversao_ecom_facebook_social_collection_social_harry-potter_rmk-30-mobile_cpm_dinamico_111223</t>
  </si>
  <si>
    <t>251366892</t>
  </si>
  <si>
    <t>447333036</t>
  </si>
  <si>
    <t>alp_ecom_conversao_ecom_facebook_social_pagepost_social_havaianas-novidades_interesse-promocao_cpm_1200x628_111227</t>
  </si>
  <si>
    <t>251879663</t>
  </si>
  <si>
    <t>448207521</t>
  </si>
  <si>
    <t>alp_ecom_conversao_ecom_facebook_social_pagepost_social_havaianas-novidades_rmk-30-mobile_cpm_1200x628_111227</t>
  </si>
  <si>
    <t>252287298</t>
  </si>
  <si>
    <t>448205523</t>
  </si>
  <si>
    <t>alp_ecom_conversao_ecom_facebook_social_pagepost_social_rei-leao_curte-havaianas_cpm_1200x628_111220</t>
  </si>
  <si>
    <t>251366988</t>
  </si>
  <si>
    <t>447333132</t>
  </si>
  <si>
    <t>alp_ecom_conversao_ecom_facebook_social_pagepost_social_rei-leao_interesse-rei-leao_cpm_1200x628_111220</t>
  </si>
  <si>
    <t>251366946</t>
  </si>
  <si>
    <t>447333090</t>
  </si>
  <si>
    <t>alp_ecom_conversao_ecom_facebook_social_pagepost_social_rei-leao_rmk-30-mobile_cpm_1200x628_111220</t>
  </si>
  <si>
    <t>251366952</t>
  </si>
  <si>
    <t>447333096</t>
  </si>
  <si>
    <t>alp_ecom_conversao_ecom_facebook_social_pagepost_social_stranger-things_look-1-mobile_cpm_1080x1080_111214</t>
  </si>
  <si>
    <t>250561311</t>
  </si>
  <si>
    <t>446675977</t>
  </si>
  <si>
    <t>alp_ecom_conversao_ecom_facebook_social_pagepost_social_stranger-things_rmk-30_cpm_1080x1080_111214</t>
  </si>
  <si>
    <t>250561293</t>
  </si>
  <si>
    <t>446675995</t>
  </si>
  <si>
    <t>Editora Globo</t>
  </si>
  <si>
    <t>alp_marca_alcance_feminino_editora-globo_display_retangulo_ros_rasteiras_fashion_cpm_300x250_111341</t>
  </si>
  <si>
    <t>251923660</t>
  </si>
  <si>
    <t>448013603</t>
  </si>
  <si>
    <t>alp_marca_alcance_feminino_oath-verizon_display_billboard_ros_rasteiras_fashion_cpm_970x250_111341</t>
  </si>
  <si>
    <t>251230706</t>
  </si>
  <si>
    <t>447627221</t>
  </si>
  <si>
    <t>alp_marca_alcance_feminino_oath-verizon_display_retangulo_ros_rasteiras_fashion_cpm_300x250_111341</t>
  </si>
  <si>
    <t>251526127</t>
  </si>
  <si>
    <t>447709948</t>
  </si>
  <si>
    <t>alp_marca_alcance_feminino_oath-verizon_display_retangulo_ros_rasteiras_funcional_cpm_300x250_111340</t>
  </si>
  <si>
    <t>251621979</t>
  </si>
  <si>
    <t>447710785</t>
  </si>
  <si>
    <t>alp_marca_alcance_feminino_oath-verizon_display_superbanner_ros_rasteiras_fashion_cpm_728x90_111341</t>
  </si>
  <si>
    <t>251527402</t>
  </si>
  <si>
    <t>447711490</t>
  </si>
  <si>
    <t>alp_marca_alcance_masculino_oath-verizon_video_video_ros_havaianas-urban-rubinho_all_cpm_de-11s-ate-29s_111333</t>
  </si>
  <si>
    <t>251320243</t>
  </si>
  <si>
    <t>447398574</t>
  </si>
  <si>
    <t>alp_marca_engajamentos_feminino_steal-the-look_conteudo-veiculo_publieditorial_ros_rasteiras-you_all_cpm_no-size_111354</t>
  </si>
  <si>
    <t>252202933</t>
  </si>
  <si>
    <t>448198305</t>
  </si>
  <si>
    <t>alp_marca_engajamentos_feminino_steal-the-look_conteudo-veiculo_publieditorial_ros_rasteiras-you_all_cpm_no-size_111355</t>
  </si>
  <si>
    <t>251870939</t>
  </si>
  <si>
    <t>448251389</t>
  </si>
  <si>
    <t>alp_marca_alcance_jovem_facebook_social_dark-post_social_got_all_cpm_1080x1080_111136</t>
  </si>
  <si>
    <t>244294036</t>
  </si>
  <si>
    <t>441044553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</si>
  <si>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</si>
  <si>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</si>
  <si>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</si>
  <si>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</si>
  <si>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</si>
  <si>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</si>
  <si>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</si>
  <si>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</si>
  <si>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</si>
  <si>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</si>
  <si>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</si>
  <si>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</si>
  <si>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</si>
  <si>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</si>
  <si>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</si>
  <si>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</si>
  <si>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</si>
  <si>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</si>
  <si>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</si>
  <si>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</si>
  <si>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</si>
  <si>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alp_marca_alcance_masculino_facebook_social_video-social_social_havaianas-urban-rubinho_all_cpm_de-11s-ate-29s_111349</t>
  </si>
  <si>
    <t>251458439</t>
  </si>
  <si>
    <t>447939268</t>
  </si>
  <si>
    <t>alp_marca_alcance_masculino_facebook_social_video-social_social_havaianas-urban-rubinho_all_cpm_de-11s-ate-29s_111350</t>
  </si>
  <si>
    <t>251457926</t>
  </si>
  <si>
    <t>447940573</t>
  </si>
  <si>
    <t>alp_marca_engajamentos_feminino_facebook_social_dark-post_social_rasteiras_funcional_cpm_1080x1080_111334</t>
  </si>
  <si>
    <t>251079740</t>
  </si>
  <si>
    <t>447455193</t>
  </si>
  <si>
    <t>alp_marca_alcance_feminino_universa-uol_display_billboard_ros_rasteiras_fashion_cpm_970x250_111341</t>
  </si>
  <si>
    <t>252033517</t>
  </si>
  <si>
    <t>448038642</t>
  </si>
  <si>
    <t>alp_marca_alcance_feminino_universa-uol_display_retangulo_ros_rasteiras_fashion_cpm_300x250_111341</t>
  </si>
  <si>
    <t>252034849</t>
  </si>
  <si>
    <t>448038630</t>
  </si>
  <si>
    <t>alp_ecom_conversao_ecom_facebook_social_carrossel_social_havaianas-hype_curte-havaianas_cpm_1080x1080_111243</t>
  </si>
  <si>
    <t>253910500</t>
  </si>
  <si>
    <t>449984779</t>
  </si>
  <si>
    <t>alp_ecom_conversao_ecom_facebook_social_carrossel_social_havaianas-hype_interesse-masculino-praia_cpm_1080x1080_111243</t>
  </si>
  <si>
    <t>253910476</t>
  </si>
  <si>
    <t>449984755</t>
  </si>
  <si>
    <t>alp_ecom_conversao_ecom_facebook_social_carrossel_social_havaianas-hype_look-1-mobile_cpm_1080x1080_111243</t>
  </si>
  <si>
    <t>253910491</t>
  </si>
  <si>
    <t>449984770</t>
  </si>
  <si>
    <t>alp_ecom_conversao_ecom_facebook_social_carrossel_social_havaianas-hype_rmk-30-mobile_cpm_1080x1080_111231</t>
  </si>
  <si>
    <t>252787663</t>
  </si>
  <si>
    <t>448761771</t>
  </si>
  <si>
    <t>alp_ecom_conversao_ecom_facebook_social_carrossel_social_havaianas-hype_rmk-30-mobile_cpm_1080x1080_111243</t>
  </si>
  <si>
    <t>253910479</t>
  </si>
  <si>
    <t>449984758</t>
  </si>
  <si>
    <t>alp_ecom_conversao_ecom_facebook_social_carrossel_social_rei-leao_look-1-mobile_cpm_1080x1080_111221</t>
  </si>
  <si>
    <t>251366931</t>
  </si>
  <si>
    <t>447333075</t>
  </si>
  <si>
    <t>alp_ecom_conversao_ecom_facebook_social_carrossel_social_rei-leao_rmk-30_cpm_1080x1080_111221</t>
  </si>
  <si>
    <t>251366922</t>
  </si>
  <si>
    <t>447333066</t>
  </si>
  <si>
    <t>alp_ecom_conversao_ecom_facebook_social_pagepost_social_havaianas-hype_curte-havaianas_cpm_1080x1080_111230</t>
  </si>
  <si>
    <t>252787705</t>
  </si>
  <si>
    <t>448761813</t>
  </si>
  <si>
    <t>alp_ecom_conversao_ecom_facebook_social_pagepost_social_havaianas-hype_curte-havaianas_cpm_1200x628_111242</t>
  </si>
  <si>
    <t>253394693</t>
  </si>
  <si>
    <t>449824048</t>
  </si>
  <si>
    <t>alp_ecom_conversao_ecom_facebook_social_pagepost_social_havaianas-hype_interesse-masculino-praia_cpm_1080x1080_111230</t>
  </si>
  <si>
    <t>252787684</t>
  </si>
  <si>
    <t>448761792</t>
  </si>
  <si>
    <t>alp_ecom_conversao_ecom_facebook_social_pagepost_social_havaianas-hype_interesse-masculino-praia_cpm_1200x628_111242</t>
  </si>
  <si>
    <t>253394714</t>
  </si>
  <si>
    <t>449824027</t>
  </si>
  <si>
    <t>alp_ecom_conversao_ecom_facebook_social_pagepost_social_havaianas-hype_look-1-mobile_cpm_1080x1080_111230</t>
  </si>
  <si>
    <t>252787699</t>
  </si>
  <si>
    <t>448761807</t>
  </si>
  <si>
    <t>alp_ecom_conversao_ecom_facebook_social_pagepost_social_havaianas-hype_rmk-30-mobile_cpm_1080x1080_111230</t>
  </si>
  <si>
    <t>252787687</t>
  </si>
  <si>
    <t>448761795</t>
  </si>
  <si>
    <t>alp_ecom_conversao_ecom_facebook_social_pagepost_social_havaianas-hype_rmk-30-mobile_cpm_1200x628_111242</t>
  </si>
  <si>
    <t>253394711</t>
  </si>
  <si>
    <t>449824030</t>
  </si>
  <si>
    <t>alp_ecom_conversao_ecom_facebook_social_pagepost_social_havaianas-hype_rmk-30_cpm_1080x1080_111230</t>
  </si>
  <si>
    <t>252787690</t>
  </si>
  <si>
    <t>448761798</t>
  </si>
  <si>
    <t>alp_ecom_conversao_ecom_facebook_social_pagepost_social_havaianas-la-casa-de-papel_curte-havaianas_cpm_1200x628_111229</t>
  </si>
  <si>
    <t>252204941</t>
  </si>
  <si>
    <t>448601474</t>
  </si>
  <si>
    <t>alp_ecom_conversao_ecom_facebook_social_pagepost_social_havaianas-la-casa-de-papel_interesse-la-casa-de-papel_cpm_1200x628_111229</t>
  </si>
  <si>
    <t>252207911</t>
  </si>
  <si>
    <t>448671577</t>
  </si>
  <si>
    <t>alp_ecom_conversao_ecom_facebook_social_pagepost_social_havaianas-la-casa-de-papel_rmk-30-mobile_cpm_1200x628_111229</t>
  </si>
  <si>
    <t>252207725</t>
  </si>
  <si>
    <t>448601342</t>
  </si>
  <si>
    <t>alp_ecom_conversao_ecom_facebook_social_pagepost_social_havaianas-novidades_curte-havaianas_cpm_1200x628_111227</t>
  </si>
  <si>
    <t>252286563</t>
  </si>
  <si>
    <t>448342999</t>
  </si>
  <si>
    <t>alp_ecom_conversao_ecom_facebook_social_pagepost_social_havaianas-novidades_look-1-mobile_cpm_1200x628_111227</t>
  </si>
  <si>
    <t>251878943</t>
  </si>
  <si>
    <t>448342399</t>
  </si>
  <si>
    <t>alp_ecom_conversao_ecom_facebook_social_pagepost_social_havaianas-novidades_rmk-30_cpm_1200x628_111227</t>
  </si>
  <si>
    <t>252210166</t>
  </si>
  <si>
    <t>448260959</t>
  </si>
  <si>
    <t>alp_ecom_conversao_ecom_facebook_social_pagepost_social_rei-leao_rmk-30_cpm_1200x628_111220</t>
  </si>
  <si>
    <t>251366958</t>
  </si>
  <si>
    <t>447333102</t>
  </si>
  <si>
    <t>alp_ecom_conversao_ecom_facebook_social_stories_social_havaianas-hype_interesse-masculino-praia_cpm_de-11s-ate-29s_111245</t>
  </si>
  <si>
    <t>253920074</t>
  </si>
  <si>
    <t>450298460</t>
  </si>
  <si>
    <t>BR UOL.</t>
  </si>
  <si>
    <t>alp_marca_alcance_feminino_editora-globo_display_billboard_ros_rasteiras_funcional_cpm_970x250_111340</t>
  </si>
  <si>
    <t>251944198</t>
  </si>
  <si>
    <t>448098286</t>
  </si>
  <si>
    <t>444930120</t>
  </si>
  <si>
    <t>alp_marca_engajamentos_jovem_instagram_social_stories_social_rei-leao-nah-cardoso_all_cpm_de-11s-ate-29s_111367</t>
  </si>
  <si>
    <t>253119451</t>
  </si>
  <si>
    <t>449126217</t>
  </si>
  <si>
    <t>alp_marca_alcance_masculino_oath-verizon_display_retangulo-expansivel_ros_havaianas-urban-rubinho_all_cpm_300x250_111376</t>
  </si>
  <si>
    <t>253037135</t>
  </si>
  <si>
    <t>449494873</t>
  </si>
  <si>
    <t>alp_marca_alcance_masculino_oath-verizon_display_video-canvas_ros_havaianas-urban-rubinho_all_cpm_no-size_111375</t>
  </si>
  <si>
    <t>253037627</t>
  </si>
  <si>
    <t>449391336</t>
  </si>
  <si>
    <t>alp_marca_alcance_todos_eco-21_social_banner_social_havaianas-ipe_all_cpm_840x90_111385</t>
  </si>
  <si>
    <t>253917313</t>
  </si>
  <si>
    <t>449875482</t>
  </si>
  <si>
    <t>alp_marca_alcance_feminino_facebook_social_pagepost_social_artistas-barbara_all_cpm_1080x1080_111350</t>
  </si>
  <si>
    <t>252977848</t>
  </si>
  <si>
    <t>448984472</t>
  </si>
  <si>
    <t>alp_marca_alcance_feminino_facebook_social_pagepost_social_havaianas-origine-elastic-cru-preto_all_cpm_1080x1080_111386</t>
  </si>
  <si>
    <t>253711742</t>
  </si>
  <si>
    <t>450148066</t>
  </si>
  <si>
    <t>alp_marca_alcance_feminino_facebook_social_pagepost_social_lancamento-core_all_cpm_1080x1080_111380</t>
  </si>
  <si>
    <t>253453276</t>
  </si>
  <si>
    <t>449494268</t>
  </si>
  <si>
    <t>alp_marca_alcance_feminino_facebook_social_pagepost_social_lancamento-core_all_cpm_1080x1080_111383</t>
  </si>
  <si>
    <t>253849482</t>
  </si>
  <si>
    <t>449838277</t>
  </si>
  <si>
    <t>alp_marca_alcance_feminino_facebook_social_pagepost_social_lancamento-core_all_cpm_1080x1080_111384</t>
  </si>
  <si>
    <t>253760116</t>
  </si>
  <si>
    <t>449838280</t>
  </si>
  <si>
    <t>alp_marca_alcance_feminino_facebook_social_pagepost_social_rasteiras-you_all_cpm_1080x1080_111349</t>
  </si>
  <si>
    <t>252979732</t>
  </si>
  <si>
    <t>448984454</t>
  </si>
  <si>
    <t>Almap BBDO</t>
  </si>
  <si>
    <t>alp_ecom_conversao_ecom_almap-geral_social_e-mail_social_semana-do-cliente_almap-semana-do-cliente_cpm_no-size_111255</t>
  </si>
  <si>
    <t>255029693</t>
  </si>
  <si>
    <t>451341977</t>
  </si>
  <si>
    <t>alp_ecom_conversao_ecom_criteo_display_arranha-ceu-largo_rmkt_semana-do-cliente_rmk-criteo_cpm_160x600_111246</t>
  </si>
  <si>
    <t>255067755</t>
  </si>
  <si>
    <t>450910592</t>
  </si>
  <si>
    <t>alp_ecom_conversao_ecom_criteo_display_half-page_rmkt_semana-do-cliente_rmk-criteo_cpm_300x600_111248</t>
  </si>
  <si>
    <t>255067749</t>
  </si>
  <si>
    <t>450910586</t>
  </si>
  <si>
    <t>alp_ecom_conversao_ecom_criteo_display_header-mobile_rmkt_semana-do-cliente_rmk-criteo_cpm_320x50_111250</t>
  </si>
  <si>
    <t>255067743</t>
  </si>
  <si>
    <t>450910580</t>
  </si>
  <si>
    <t>alp_ecom_conversao_ecom_criteo_display_retangulo_rmkt_semana-do-cliente_rmk-criteo_cpm_300x250_111247</t>
  </si>
  <si>
    <t>255067752</t>
  </si>
  <si>
    <t>450910589</t>
  </si>
  <si>
    <t>alp_ecom_conversao_ecom_oath_native_native-ads_ros_semana-do-cliente_interesse-promocao_cpc_no-size_111253</t>
  </si>
  <si>
    <t>254708531</t>
  </si>
  <si>
    <t>450964056</t>
  </si>
  <si>
    <t>OutBrain - Br</t>
  </si>
  <si>
    <t>alp_ecom_conversao_ecom_outbrain_native_native-ads_ros_dia-das-maes_all_cpc_no-size_111149</t>
  </si>
  <si>
    <t>245434138</t>
  </si>
  <si>
    <t>442124315</t>
  </si>
  <si>
    <t>alp_ecom_conversao_ecom_facebook_social_carrossel_social_semana-do-cliente-dpa_rmk-30_cpm_1080x1080_111252</t>
  </si>
  <si>
    <t>255023102</t>
  </si>
  <si>
    <t>451284702</t>
  </si>
  <si>
    <t>alp_ecom_conversao_ecom_facebook_social_collection_social_semana-do-cliente_rmk-30_cpm_1080x1080_111252</t>
  </si>
  <si>
    <t>255042046</t>
  </si>
  <si>
    <t>451032143</t>
  </si>
  <si>
    <t>alp_ecom_conversao_ecom_facebook_social_pagepost_social_alpargatas-free_curte-havaianas_cpm_1200x628_111259</t>
  </si>
  <si>
    <t>256752787</t>
  </si>
  <si>
    <t>452584938</t>
  </si>
  <si>
    <t>alp_ecom_conversao_ecom_facebook_social_pagepost_social_alpargatas-free_look-1-desk_cpm_1200x628_111259</t>
  </si>
  <si>
    <t>256752784</t>
  </si>
  <si>
    <t>452584935</t>
  </si>
  <si>
    <t>alp_ecom_conversao_ecom_facebook_social_pagepost_social_alpargatas-free_look-1-mobile_cpm_1200x628_111259</t>
  </si>
  <si>
    <t>256752781</t>
  </si>
  <si>
    <t>452584932</t>
  </si>
  <si>
    <t>alp_ecom_conversao_ecom_facebook_social_pagepost_social_alpargatas-free_look-2-mobile_cpm_1200x628_111259</t>
  </si>
  <si>
    <t>256752775</t>
  </si>
  <si>
    <t>452584926</t>
  </si>
  <si>
    <t>alp_ecom_conversao_ecom_facebook_social_pagepost_social_alpargatas-free_rmk-30-mobile_cpm_1200x628_111259</t>
  </si>
  <si>
    <t>256752769</t>
  </si>
  <si>
    <t>452584920</t>
  </si>
  <si>
    <t>alp_ecom_conversao_ecom_facebook_social_pagepost_social_alpargatas-free_rmk-30_cpm_1200x628_111259</t>
  </si>
  <si>
    <t>256752772</t>
  </si>
  <si>
    <t>452584923</t>
  </si>
  <si>
    <t>alp_ecom_conversao_ecom_facebook_social_pagepost_social_havaianas-hype_look-1-mobile_cpm_1200x628_111242</t>
  </si>
  <si>
    <t>253394699</t>
  </si>
  <si>
    <t>449824042</t>
  </si>
  <si>
    <t>alp_ecom_conversao_ecom_facebook_social_pagepost_social_havaianas-hype_look-2-mobile_cpm_1080x1080_111230</t>
  </si>
  <si>
    <t>252787693</t>
  </si>
  <si>
    <t>448761801</t>
  </si>
  <si>
    <t>alp_ecom_conversao_ecom_facebook_social_pagepost_social_havaianas-slide_curte-havaianas_cpm_1080x1080_111256</t>
  </si>
  <si>
    <t>256054542</t>
  </si>
  <si>
    <t>451911526</t>
  </si>
  <si>
    <t>alp_ecom_conversao_ecom_facebook_social_pagepost_social_havaianas-slide_look-1-desk_cpm_1080x1080_111256</t>
  </si>
  <si>
    <t>256054539</t>
  </si>
  <si>
    <t>451911523</t>
  </si>
  <si>
    <t>alp_ecom_conversao_ecom_facebook_social_pagepost_social_havaianas-slide_look-1-mobile_cpm_1080x1080_111256</t>
  </si>
  <si>
    <t>256054536</t>
  </si>
  <si>
    <t>451911520</t>
  </si>
  <si>
    <t>alp_ecom_conversao_ecom_facebook_social_pagepost_social_havaianas-slide_look-2-mobile_cpm_1080x1080_111256</t>
  </si>
  <si>
    <t>256054530</t>
  </si>
  <si>
    <t>451911514</t>
  </si>
  <si>
    <t>alp_ecom_conversao_ecom_facebook_social_pagepost_social_havaianas-slide_rmk-30-mobile_cpm_1080x1080_111256</t>
  </si>
  <si>
    <t>256054524</t>
  </si>
  <si>
    <t>451911508</t>
  </si>
  <si>
    <t>alp_ecom_conversao_ecom_facebook_social_pagepost_social_havaianas-slide_rmk-30_cpm_1080x1080_111256</t>
  </si>
  <si>
    <t>256054527</t>
  </si>
  <si>
    <t>451911511</t>
  </si>
  <si>
    <t>alp_ecom_conversao_ecom_facebook_social_pagepost_social_havaianas-top-verano_curte-havaianas_cpm_1200x628_111257</t>
  </si>
  <si>
    <t>256409478</t>
  </si>
  <si>
    <t>452248351</t>
  </si>
  <si>
    <t>alp_ecom_conversao_ecom_facebook_social_pagepost_social_havaianas-top-verano_interesse-praia_cpm_1200x628_111257</t>
  </si>
  <si>
    <t>256409457</t>
  </si>
  <si>
    <t>452248330</t>
  </si>
  <si>
    <t>alp_ecom_conversao_ecom_facebook_social_pagepost_social_havaianas-top-verano_look-1-mobile_cpm_1200x628_111257</t>
  </si>
  <si>
    <t>256409472</t>
  </si>
  <si>
    <t>452248345</t>
  </si>
  <si>
    <t>alp_ecom_conversao_ecom_facebook_social_pagepost_social_havaianas-top-verano_look-2-mobile_cpm_1200x628_111257</t>
  </si>
  <si>
    <t>256409466</t>
  </si>
  <si>
    <t>452248339</t>
  </si>
  <si>
    <t>alp_ecom_conversao_ecom_facebook_social_pagepost_social_havaianas-top-verano_rmk-30-mobile_cpm_1200x628_111257</t>
  </si>
  <si>
    <t>256409460</t>
  </si>
  <si>
    <t>452248333</t>
  </si>
  <si>
    <t>alp_ecom_conversao_ecom_facebook_social_pagepost_social_havaianas-top-verano_rmk-30_cpm_1200x628_111257</t>
  </si>
  <si>
    <t>256409463</t>
  </si>
  <si>
    <t>452248336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</si>
  <si>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</si>
  <si>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</si>
  <si>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</si>
  <si>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alp_ecom_conversao_ecom_facebook_social_stories_social_havaianas-slide_curte-havaianas_cpm_de-5s-ate-10s_111256</t>
  </si>
  <si>
    <t>256054521</t>
  </si>
  <si>
    <t>451911505</t>
  </si>
  <si>
    <t>alp_ecom_conversao_ecom_facebook_social_stories_social_havaianas-top-verano_curte-havaianas_cpm_de-5s-ate-10s_111258</t>
  </si>
  <si>
    <t>256616748</t>
  </si>
  <si>
    <t>452322090</t>
  </si>
  <si>
    <t>alp_ecom_conversao_ecom_facebook_social_stories_social_havaianas-top-verano_interesse-praia_cpm_de-5s-ate-10s_111258</t>
  </si>
  <si>
    <t>256472698</t>
  </si>
  <si>
    <t>452364284</t>
  </si>
  <si>
    <t>alp_ecom_conversao_ecom_facebook_social_video-social_social_stranger-things_interesses-stranger-things_cpm_de-5s-ate-10s_111215</t>
  </si>
  <si>
    <t>250155782</t>
  </si>
  <si>
    <t>446691634</t>
  </si>
  <si>
    <t>alp_ecom_conversao_ecom_facebook_social_video-social_social_stranger-things_interesses-stranger-things_cpm_de-5s-ate-10s_111216</t>
  </si>
  <si>
    <t>250155806</t>
  </si>
  <si>
    <t>446691610</t>
  </si>
  <si>
    <t>alp_marca_alcance_masculino_uol_display_billboard_ros_havaianas-surf_sports_cpm_970x250_111394</t>
  </si>
  <si>
    <t>255584355</t>
  </si>
  <si>
    <t>451374660</t>
  </si>
  <si>
    <t>alp_marca_alcance_masculino_uol_display_billboard_ros_havaianas-urban_moda_cpm_970x250_111393</t>
  </si>
  <si>
    <t>255584385</t>
  </si>
  <si>
    <t>451374690</t>
  </si>
  <si>
    <t>alp_marca_alcance_masculino_uol_display_billboard_ros_la-casa-de-papel_licenciados_cpm_970x250_111392</t>
  </si>
  <si>
    <t>255584370</t>
  </si>
  <si>
    <t>451374675</t>
  </si>
  <si>
    <t>alp_marca_alcance_masculino_uol_display_half-page_ros_havaianas-surf_sports_cpm_300x600_111394</t>
  </si>
  <si>
    <t>255584349</t>
  </si>
  <si>
    <t>451374654</t>
  </si>
  <si>
    <t>alp_marca_alcance_masculino_uol_display_half-page_ros_havaianas-urban_moda_cpm_300x600_111393</t>
  </si>
  <si>
    <t>255584379</t>
  </si>
  <si>
    <t>451374684</t>
  </si>
  <si>
    <t>alp_marca_alcance_masculino_uol_display_half-page_ros_la-casa-de-papel_licenciados_cpm_300x600_111392</t>
  </si>
  <si>
    <t>255584364</t>
  </si>
  <si>
    <t>451374669</t>
  </si>
  <si>
    <t>alp_marca_alcance_masculino_uol_display_retangulo_ros_havaianas-surf_sports_cpm_300x250_111394</t>
  </si>
  <si>
    <t>255584358</t>
  </si>
  <si>
    <t>451374663</t>
  </si>
  <si>
    <t>alp_marca_alcance_masculino_uol_display_retangulo_ros_havaianas-urban_moda_cpm_300x250_111393</t>
  </si>
  <si>
    <t>255584388</t>
  </si>
  <si>
    <t>451374693</t>
  </si>
  <si>
    <t>alp_marca_alcance_masculino_uol_display_retangulo_ros_la-casa-de-papel_licenciados_cpm_300x250_111392</t>
  </si>
  <si>
    <t>255584373</t>
  </si>
  <si>
    <t>451374678</t>
  </si>
  <si>
    <t>alp_marca_alcance_masculino_uol_display_superbanner_ros_havaianas-surf_sports_cpm_728x90_111394</t>
  </si>
  <si>
    <t>255584346</t>
  </si>
  <si>
    <t>451374651</t>
  </si>
  <si>
    <t>alp_marca_alcance_masculino_uol_display_superbanner_ros_havaianas-urban_moda_cpm_728x90_111393</t>
  </si>
  <si>
    <t>255584376</t>
  </si>
  <si>
    <t>451374681</t>
  </si>
  <si>
    <t>alp_marca_alcance_masculino_uol_display_superbanner_ros_la-casa-de-papel_licenciados_cpm_728x90_111392</t>
  </si>
  <si>
    <t>255584361</t>
  </si>
  <si>
    <t>451374666</t>
  </si>
  <si>
    <t>alp_marca_alcance_masculino_el-hombre_conteudo-veiculo_publieditorial_lifestyle_rotacional_all_cpc_no-size_111118</t>
  </si>
  <si>
    <t>241629483</t>
  </si>
  <si>
    <t>438245550</t>
  </si>
  <si>
    <t>alp_marca_alcance_masculino_el-hombre_display_diaria-bg_home_havaianas-urban_moda_cpm_1900x1020_111393_no</t>
  </si>
  <si>
    <t>255160060</t>
  </si>
  <si>
    <t>451197799</t>
  </si>
  <si>
    <t>alp_marca_alcance_masculino_el-hombre_display_superheader-mobile_home_havaianas-urban_moda_cpm_320x100_111393_no</t>
  </si>
  <si>
    <t>255160066</t>
  </si>
  <si>
    <t>451197805</t>
  </si>
  <si>
    <t>GQ (Brazil)</t>
  </si>
  <si>
    <t>alp_marca_alcance_masculino_gq_display_billboard_ros_havaianas-urban_moda_cpm_970x250_111393_no</t>
  </si>
  <si>
    <t>255307713</t>
  </si>
  <si>
    <t>451164566</t>
  </si>
  <si>
    <t>alp_marca_alcance_masculino_gq_display_retangulo_ros_havaianas-urban_moda_cpm_300x250_111393_no</t>
  </si>
  <si>
    <t>255183400</t>
  </si>
  <si>
    <t>451220416</t>
  </si>
  <si>
    <t>alp_marca_engajamentos_masculino_gq_social_stories_social_havaianas-urban_moda_cpm_de-5s-ate-10s_111395_dark-post</t>
  </si>
  <si>
    <t>254998022</t>
  </si>
  <si>
    <t>451358905</t>
  </si>
  <si>
    <t>alp_marca_alcance_masculino_instagram_social_stories_social_havaianas-urban-rubinho_all_cpm_de-5s-ate-10s_111330</t>
  </si>
  <si>
    <t>251320150</t>
  </si>
  <si>
    <t>447520354</t>
  </si>
  <si>
    <t>alp_marca_engajamentos_feminino_instagram_social_pagepost_social_paisage_all_cpm_1080x1080_111406_organico-pt</t>
  </si>
  <si>
    <t>255953535</t>
  </si>
  <si>
    <t>451819348</t>
  </si>
  <si>
    <t>alp_marca_engajamentos_feminino_instagram_social_pagepost_social_top-verano_all_cpm_1080x1080_111408_organico-pt</t>
  </si>
  <si>
    <t>255953577</t>
  </si>
  <si>
    <t>451819390</t>
  </si>
  <si>
    <t>alp_marca_engajamentos_masculino_instagram_social_pagepost_social_gq-color-block_all_cpm_1080x1080_111405_organico-pt</t>
  </si>
  <si>
    <t>255951189</t>
  </si>
  <si>
    <t>451819402</t>
  </si>
  <si>
    <t>alp_marca_engajamentos_masculino_instagram_social_pagepost_social_gq-urban-craft_all_cpm_1080x1080_111404_organico-pt</t>
  </si>
  <si>
    <t>255953526</t>
  </si>
  <si>
    <t>451819342</t>
  </si>
  <si>
    <t>alp_marca_engajamentos_masculino_instagram_social_pagepost_social_havaianas-aloha_all_cpm_1080x1080_111418_organico-pt</t>
  </si>
  <si>
    <t>256479737</t>
  </si>
  <si>
    <t>452651051</t>
  </si>
  <si>
    <t>alp_marca_engajamentos_masculino_instagram_social_pagepost_social_top-infinity_all_cpm_1080x1080_111417_organico-pt</t>
  </si>
  <si>
    <t>256480694</t>
  </si>
  <si>
    <t>452597418</t>
  </si>
  <si>
    <t>alp_marca_engajamentos_masculino_instagram_social_pagepost_social_top-infinity_all_cpm_1080x1080_111419_organico-pt</t>
  </si>
  <si>
    <t>256479788</t>
  </si>
  <si>
    <t>452649914</t>
  </si>
  <si>
    <t>alp_marca_engajamentos_masculino_instagram_social_pagepost_social_urban-basic_all_cpm_1080x1080_111403_organico-pt</t>
  </si>
  <si>
    <t>255953529</t>
  </si>
  <si>
    <t>451716423</t>
  </si>
  <si>
    <t>alp_marca_engajamentos_jovem_mtv_display_logo_ros_logo-ema_all_cpm_no-size_111416</t>
  </si>
  <si>
    <t>256746043</t>
  </si>
  <si>
    <t>452572824</t>
  </si>
  <si>
    <t>alp_marca_alcance_feminino_oath-verizon_display_billboard_ros_rasteiras-rainbow-vermelho_funcional_cpm_970x250_111399_no</t>
  </si>
  <si>
    <t>255945996</t>
  </si>
  <si>
    <t>451823152</t>
  </si>
  <si>
    <t>alp_marca_alcance_feminino_oath-verizon_display_billboard_ros_rasteiras-riviera-vermelho_funcional_cpm_970x250_111401_no</t>
  </si>
  <si>
    <t>255945966</t>
  </si>
  <si>
    <t>451823122</t>
  </si>
  <si>
    <t>alp_marca_alcance_feminino_oath-verizon_display_billboard_ros_rasteiras_fashion_cpm_970x250_111391_no</t>
  </si>
  <si>
    <t>255295758</t>
  </si>
  <si>
    <t>451150655</t>
  </si>
  <si>
    <t>alp_marca_alcance_feminino_oath-verizon_display_billboard_ros_rasteiras_funcional_cpm_970x250_111390_no</t>
  </si>
  <si>
    <t>255179614</t>
  </si>
  <si>
    <t>451217416</t>
  </si>
  <si>
    <t>alp_marca_alcance_feminino_oath-verizon_display_half-page_ros_rasteiras-print-roxo_fashion_cpm_300x600_111397_no</t>
  </si>
  <si>
    <t>255946032</t>
  </si>
  <si>
    <t>451823188</t>
  </si>
  <si>
    <t>alp_marca_alcance_feminino_oath-verizon_display_half-page_ros_rasteiras-print-vermelho_funcional_cpm_300x600_111400_no</t>
  </si>
  <si>
    <t>255945987</t>
  </si>
  <si>
    <t>451823143</t>
  </si>
  <si>
    <t>alp_marca_alcance_feminino_oath-verizon_display_half-page_ros_rasteiras-rainbow-vermelho_funcional_cpm_300x600_111399_no</t>
  </si>
  <si>
    <t>255946002</t>
  </si>
  <si>
    <t>451823158</t>
  </si>
  <si>
    <t>alp_marca_alcance_feminino_oath-verizon_display_half-page_ros_rasteiras-riviera-roxo_fashion_cpm_300x600_111398_no</t>
  </si>
  <si>
    <t>255946017</t>
  </si>
  <si>
    <t>451823173</t>
  </si>
  <si>
    <t>alp_marca_alcance_feminino_oath-verizon_display_retangulo_ros_rasteiras-print-roxo_fashion_cpm_300x250_111397_no</t>
  </si>
  <si>
    <t>255946029</t>
  </si>
  <si>
    <t>451823185</t>
  </si>
  <si>
    <t>alp_marca_alcance_feminino_oath-verizon_display_retangulo_ros_rasteiras-rainbow-roxo_fashion_cpm_300x250_111396_no</t>
  </si>
  <si>
    <t>255946044</t>
  </si>
  <si>
    <t>451823200</t>
  </si>
  <si>
    <t>alp_marca_alcance_feminino_oath-verizon_display_retangulo_ros_rasteiras-rainbow-vermelho_funcional_cpm_300x250_111399_no</t>
  </si>
  <si>
    <t>255945999</t>
  </si>
  <si>
    <t>451823155</t>
  </si>
  <si>
    <t>alp_marca_alcance_feminino_oath-verizon_display_retangulo_ros_rasteiras-riviera-roxo_fashion_cpm_300x250_111398_no</t>
  </si>
  <si>
    <t>255946014</t>
  </si>
  <si>
    <t>451823170</t>
  </si>
  <si>
    <t>alp_marca_alcance_feminino_oath-verizon_display_retangulo_ros_rasteiras-riviera-vermelho_funcional_cpm_300x250_111401_no</t>
  </si>
  <si>
    <t>255945969</t>
  </si>
  <si>
    <t>451823125</t>
  </si>
  <si>
    <t>alp_marca_alcance_feminino_oath-verizon_display_retangulo_ros_rasteiras_fashion_cpm_300x250_111391_no</t>
  </si>
  <si>
    <t>254831621</t>
  </si>
  <si>
    <t>451150649</t>
  </si>
  <si>
    <t>alp_marca_alcance_feminino_oath-verizon_display_retangulo_ros_rasteiras_funcional_cpm_300x250_111390_no</t>
  </si>
  <si>
    <t>254844014</t>
  </si>
  <si>
    <t>451217413</t>
  </si>
  <si>
    <t>alp_marca_alcance_feminino_oath-verizon_display_superbanner_ros_rasteiras-print-roxo_fashion_cpm_728x90_111397_no</t>
  </si>
  <si>
    <t>255946038</t>
  </si>
  <si>
    <t>451823194</t>
  </si>
  <si>
    <t>alp_marca_alcance_feminino_oath-verizon_display_superbanner_ros_rasteiras-print-vermelho_funcional_cpm_728x90_111400_no</t>
  </si>
  <si>
    <t>255945993</t>
  </si>
  <si>
    <t>451823149</t>
  </si>
  <si>
    <t>alp_marca_alcance_feminino_oath-verizon_display_superbanner_ros_rasteiras-rainbow-vermelho_funcional_cpm_728x90_111399_no</t>
  </si>
  <si>
    <t>255946008</t>
  </si>
  <si>
    <t>451823164</t>
  </si>
  <si>
    <t>alp_marca_alcance_feminino_oath-verizon_display_superbanner_ros_rasteiras_funcional_cpm_728x90_111390_no</t>
  </si>
  <si>
    <t>254843891</t>
  </si>
  <si>
    <t>451107786</t>
  </si>
  <si>
    <t>alp_marca_alcance_feminino_oath-verizon_display_superheader-mobile_ros_rasteiras-print-roxo_fashion_cpm_320x100_111397_no</t>
  </si>
  <si>
    <t>255946035</t>
  </si>
  <si>
    <t>451823191</t>
  </si>
  <si>
    <t>alp_marca_alcance_feminino_oath-verizon_display_superheader-mobile_ros_rasteiras-print-vermelho_funcional_cpm_320x100_111400_no</t>
  </si>
  <si>
    <t>255945990</t>
  </si>
  <si>
    <t>451823146</t>
  </si>
  <si>
    <t>alp_marca_alcance_feminino_oath-verizon_display_superheader-mobile_ros_rasteiras-rainbow-roxo_fashion_cpm_320x100_111396_no</t>
  </si>
  <si>
    <t>255946050</t>
  </si>
  <si>
    <t>451823206</t>
  </si>
  <si>
    <t>alp_marca_alcance_feminino_oath-verizon_display_superheader-mobile_ros_rasteiras-riviera-roxo_fashion_cpm_320x100_111398_no</t>
  </si>
  <si>
    <t>255946020</t>
  </si>
  <si>
    <t>451823176</t>
  </si>
  <si>
    <t>alp_marca_alcance_feminino_oath-verizon_display_superheader-mobile_ros_rasteiras-riviera-vermelho_funcional_cpm_320x100_111401_no</t>
  </si>
  <si>
    <t>255945975</t>
  </si>
  <si>
    <t>451823131</t>
  </si>
  <si>
    <t>alp_marca_alcance_feminino_oath-verizon_display_superheader-mobile_ros_rasteiras_fashion_cpm_320x100_111391_no</t>
  </si>
  <si>
    <t>254831618</t>
  </si>
  <si>
    <t>451104663</t>
  </si>
  <si>
    <t>alp_marca_alcance_feminino_oath-verizon_display_superheader-mobile_ros_rasteiras_funcional_cpm_320x100_111390_no</t>
  </si>
  <si>
    <t>254843897</t>
  </si>
  <si>
    <t>451161041</t>
  </si>
  <si>
    <t>alp_marca_alcance_jovem_adoro-cinema_display_half-page-expand_ros_rei-leao_all_fixo_de-5s-ate-10s_111347</t>
  </si>
  <si>
    <t>251609371</t>
  </si>
  <si>
    <t>447776953</t>
  </si>
  <si>
    <t>alp_marca_alcance_feminino_facebook_social_video-social_social_artistas-barbara_all_cpm_1080x1080_111388</t>
  </si>
  <si>
    <t>254523327</t>
  </si>
  <si>
    <t>450380424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</si>
  <si>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</si>
  <si>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</si>
  <si>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</si>
  <si>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alp_marca_alcance_masculino_facebook_social_video-social_social_artistas-barbara_all_cpm_1080x1080_111389</t>
  </si>
  <si>
    <t>254419504</t>
  </si>
  <si>
    <t>450478441</t>
  </si>
  <si>
    <t>alp_marca_engajamentos_feminino_facebook_social_dark-post_social_rasteiras-print-roxo_funcional_cpm_1080x1080_111397_dark-post</t>
  </si>
  <si>
    <t>255683603</t>
  </si>
  <si>
    <t>451995979</t>
  </si>
  <si>
    <t>alp_marca_engajamentos_feminino_facebook_social_dark-post_social_rasteiras-print-vermelho_fashion_cpm_1080x1080_111400_dark-post</t>
  </si>
  <si>
    <t>255683612</t>
  </si>
  <si>
    <t>451995988</t>
  </si>
  <si>
    <t>alp_marca_engajamentos_feminino_facebook_social_dark-post_social_rasteiras-rainbow-roxo_funcional_cpm_1080x1080_111396_dark-post</t>
  </si>
  <si>
    <t>255683615</t>
  </si>
  <si>
    <t>451995991</t>
  </si>
  <si>
    <t>alp_marca_engajamentos_feminino_facebook_social_dark-post_social_rasteiras-rainbow-vermelho_fashion_cpm_1080x1080_111399_dark-post</t>
  </si>
  <si>
    <t>255683588</t>
  </si>
  <si>
    <t>451995964</t>
  </si>
  <si>
    <t>alp_marca_engajamentos_feminino_facebook_social_dark-post_social_rasteiras-riviera-roxo_funcional_cpm_1080x1080_111398_dark-post</t>
  </si>
  <si>
    <t>255683594</t>
  </si>
  <si>
    <t>451995970</t>
  </si>
  <si>
    <t>alp_marca_engajamentos_feminino_facebook_social_dark-post_social_rasteiras-riviera-vermelho_fashion_cpm_1080x1080_111401_dark-post</t>
  </si>
  <si>
    <t>255683600</t>
  </si>
  <si>
    <t>451995976</t>
  </si>
  <si>
    <t>alp_marca_engajamentos_feminino_facebook_social_dark-post_social_rasteiras_fashion_cpm_1080x1080_111391_dark-post</t>
  </si>
  <si>
    <t>255160033</t>
  </si>
  <si>
    <t>451197772</t>
  </si>
  <si>
    <t>alp_marca_engajamentos_feminino_facebook_social_dark-post_social_rasteiras_funcional_cpm_1080x1080_111390_dark-post</t>
  </si>
  <si>
    <t>255160039</t>
  </si>
  <si>
    <t>451197778</t>
  </si>
  <si>
    <t>alp_marca_engajamentos_feminino_facebook_social_stories_social_rasteiras-print-roxo_funcional_cpm_de-5s-ate-10s_111397_dark-post</t>
  </si>
  <si>
    <t>255683609</t>
  </si>
  <si>
    <t>451995985</t>
  </si>
  <si>
    <t>alp_marca_engajamentos_feminino_facebook_social_stories_social_rasteiras-print-vermelho_fashion_cpm_de-5s-ate-10s_111400_dark-post</t>
  </si>
  <si>
    <t>255683618</t>
  </si>
  <si>
    <t>451995994</t>
  </si>
  <si>
    <t>alp_marca_engajamentos_feminino_facebook_social_stories_social_rasteiras-rainbow-roxo_funcional_cpm_de-5s-ate-10s_111396_dark-post</t>
  </si>
  <si>
    <t>255683621</t>
  </si>
  <si>
    <t>451995997</t>
  </si>
  <si>
    <t>alp_marca_engajamentos_feminino_facebook_social_stories_social_rasteiras-rainbow-vermelho_fashion_cpm_de-5s-ate-10s_111399_dark-post</t>
  </si>
  <si>
    <t>255683591</t>
  </si>
  <si>
    <t>451995967</t>
  </si>
  <si>
    <t>alp_marca_engajamentos_feminino_facebook_social_stories_social_rasteiras-riviera-roxo_funcional_cpm_de-5s-ate-10s_111398_dark-post</t>
  </si>
  <si>
    <t>255683597</t>
  </si>
  <si>
    <t>451995973</t>
  </si>
  <si>
    <t>alp_marca_engajamentos_feminino_facebook_social_stories_social_rasteiras-riviera-vermelho_fashion_cpm_de-5s-ate-10s_111401_dark-post</t>
  </si>
  <si>
    <t>255683606</t>
  </si>
  <si>
    <t>451995982</t>
  </si>
  <si>
    <t>alp_marca_engajamentos_feminino_facebook_social_stories_social_rasteiras_fashion_cpm_de-5s-ate-10s_111391_dark-post</t>
  </si>
  <si>
    <t>255160036</t>
  </si>
  <si>
    <t>451197775</t>
  </si>
  <si>
    <t>alp_marca_engajamentos_feminino_facebook_social_stories_social_rasteiras_funcional_cpm_de-5s-ate-10s_111390_dark-post</t>
  </si>
  <si>
    <t>255160042</t>
  </si>
  <si>
    <t>451197781</t>
  </si>
  <si>
    <t>alp_marca_engajamentos_feminino_facebook_social_stories_social_warm-up-concept-sp_all_cpm_de-5s-ate-10s_111413_dark-post</t>
  </si>
  <si>
    <t>256443935</t>
  </si>
  <si>
    <t>452678653</t>
  </si>
  <si>
    <t>alp_marca_engajamentos_masculino_facebook_social_dark-post_social_havaianas-surf_sports_cpm_1080x1080_111394_dark-post</t>
  </si>
  <si>
    <t>255160048</t>
  </si>
  <si>
    <t>451197787</t>
  </si>
  <si>
    <t>alp_marca_engajamentos_masculino_facebook_social_dark-post_social_havaianas-urban_moda_cpm_1080x1080_111393_dark-post</t>
  </si>
  <si>
    <t>255160045</t>
  </si>
  <si>
    <t>451197784</t>
  </si>
  <si>
    <t>alp_marca_engajamentos_masculino_facebook_social_dark-post_social_la-casa-de-papel_licenciados_cpm_1080x1080_111392_dark-post</t>
  </si>
  <si>
    <t>255160057</t>
  </si>
  <si>
    <t>451197796</t>
  </si>
  <si>
    <t>alp_marca_engajamentos_masculino_facebook_social_stories_social_havaianas-surf_sports_cpm_de-5s-ate-10s_111394_dark-post</t>
  </si>
  <si>
    <t>255160054</t>
  </si>
  <si>
    <t>451197793</t>
  </si>
  <si>
    <t>alp_marca_engajamentos_masculino_facebook_social_stories_social_havaianas-urban_moda_cpm_de-5s-ate-10s_111393_dark-post</t>
  </si>
  <si>
    <t>255160051</t>
  </si>
  <si>
    <t>451197790</t>
  </si>
  <si>
    <t>alp_marca_engajamentos_masculino_facebook_social_stories_social_la-casa-de-papel_licenciados_cpm_de-5s-ate-10s_111392_dark-post</t>
  </si>
  <si>
    <t>255160063</t>
  </si>
  <si>
    <t>451197802</t>
  </si>
  <si>
    <t>alp_marca_alcance_masculino_globo-esporte_display_billboard_ros_havaianas-surf_sports_cpm_970x250_111394_no</t>
  </si>
  <si>
    <t>255182692</t>
  </si>
  <si>
    <t>451164908</t>
  </si>
  <si>
    <t>alp_marca_alcance_masculino_globo-esporte_display_maxiboard_ros_havaianas-surf_sports_cpm_970x150_111394_no</t>
  </si>
  <si>
    <t>255308259</t>
  </si>
  <si>
    <t>451112427</t>
  </si>
  <si>
    <t>alp_marca_alcance_masculino_globo-esporte_display_retangulo_ros_havaianas-surf_sports_cpm_300x250_111394_no</t>
  </si>
  <si>
    <t>255183484</t>
  </si>
  <si>
    <t>451111368</t>
  </si>
  <si>
    <t>alp_marca_alcance_masculino_papo-de-homem_display_billboard_ros_havaianas-urban_moda_cpm_970x250_111393_no</t>
  </si>
  <si>
    <t>254847386</t>
  </si>
  <si>
    <t>451163837</t>
  </si>
  <si>
    <t>alp_marca_alcance_masculino_papo-de-homem_display_retangulo_ros_havaianas-urban_moda_cpm_300x250_111393_no</t>
  </si>
  <si>
    <t>254847347</t>
  </si>
  <si>
    <t>451220314</t>
  </si>
  <si>
    <t>alp_ecom_conversao_ecom_facebook_social_carrossel_social_havaianas-hype_rmk-30_cpm_1080x1080_111243</t>
  </si>
  <si>
    <t>253910482</t>
  </si>
  <si>
    <t>449984761</t>
  </si>
  <si>
    <t>alp_ecom_conversao_ecom_facebook_social_collection_social_harry-potter_look-1-mobile_cpm_dinamico_111223</t>
  </si>
  <si>
    <t>251366904</t>
  </si>
  <si>
    <t>447333048</t>
  </si>
  <si>
    <t>alp_ecom_conversao_ecom_facebook_social_pagepost_social_havaianas-hype_rmk-30_cpm_1200x628_111242</t>
  </si>
  <si>
    <t>253394708</t>
  </si>
  <si>
    <t>449824033</t>
  </si>
  <si>
    <t>alp_ecom_conversao_ecom_facebook_social_pagepost_social_havaianas-la-casa-de-papel_look-1-mobile_cpm_1200x628_111229</t>
  </si>
  <si>
    <t>252207320</t>
  </si>
  <si>
    <t>448549629</t>
  </si>
  <si>
    <t>alp_ecom_conversao_ecom_facebook_social_pagepost_social_havaianas-top-verano_look-1-desk_cpm_1200x628_111257</t>
  </si>
  <si>
    <t>256409475</t>
  </si>
  <si>
    <t>452248348</t>
  </si>
  <si>
    <t>alp_ecom_conversao_ecom_facebook_social_pagepost_social_mario-bros_look-2-desk_cpc_1200x628_111118</t>
  </si>
  <si>
    <t>242342697</t>
  </si>
  <si>
    <t>438874533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</si>
  <si>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</si>
  <si>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</si>
  <si>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</si>
  <si>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alp_ecom_conversao_ecom_facebook_social_pagepost_social_slim-hits_look-2-mobile_cpm_1200x628_111200</t>
  </si>
  <si>
    <t>247726384</t>
  </si>
  <si>
    <t>443998704</t>
  </si>
  <si>
    <t>alp_ecom_conversao_ecom_facebook_social_pagepost_social_top-disney_curte-havaianas_cpm_1200x628_111161</t>
  </si>
  <si>
    <t>245715951</t>
  </si>
  <si>
    <t>442194964</t>
  </si>
  <si>
    <t>alp_marca_alcance_feminino_editora-globo_display_retangulo_ros_rasteiras_funcional_cpm_300x250_111340</t>
  </si>
  <si>
    <t>251617343</t>
  </si>
  <si>
    <t>448013573</t>
  </si>
  <si>
    <t>alp_marca_alcance_feminino_editora-globo_display_superbanner_ros_rasteiras_fashion_cpm_728x90_111341</t>
  </si>
  <si>
    <t>252022254</t>
  </si>
  <si>
    <t>448014857</t>
  </si>
  <si>
    <t>alp_marca_alcance_feminino_editora-globo_display_superbanner_ros_rasteiras_funcional_cpm_728x90_111340</t>
  </si>
  <si>
    <t>251942962</t>
  </si>
  <si>
    <t>448013588</t>
  </si>
  <si>
    <t>alp_marca_alcance_masculino_gq_display_half-page_ros_havaianas-urban_moda_cpm_300x600_111393_no</t>
  </si>
  <si>
    <t>255182593</t>
  </si>
  <si>
    <t>451164812</t>
  </si>
  <si>
    <t>alp_marca_alcance_masculino_gq_display_superbanner_ros_havaianas-urban_moda_cpm_728x90_111393_no</t>
  </si>
  <si>
    <t>255306915</t>
  </si>
  <si>
    <t>451164272</t>
  </si>
  <si>
    <t>1x1 Default Web Ad</t>
  </si>
  <si>
    <t>438503523</t>
  </si>
  <si>
    <t>alp_marca_alcance_jovem_facebook_social_dark-post_social_got_all_cpm_1080x1080_111123</t>
  </si>
  <si>
    <t>243290370</t>
  </si>
  <si>
    <t>439674651</t>
  </si>
  <si>
    <t>alp_marca_alcance_jovem_facebook_social_video-social_social_stranger-things_all_cpm_acima-de-30s_111288</t>
  </si>
  <si>
    <t>249800777</t>
  </si>
  <si>
    <t>446208887</t>
  </si>
  <si>
    <t>alp_marca_alcance_masculino_facebook_social_carrossel_social_qualquer-joao_all_cpm_1080x1080_111210</t>
  </si>
  <si>
    <t>248427463</t>
  </si>
  <si>
    <t>444788611</t>
  </si>
  <si>
    <t>alp_marca_alcance_jovem_jovem-nerd_display_intervencao_ros_got_all_diaria_1280x700_111160</t>
  </si>
  <si>
    <t>246075390</t>
  </si>
  <si>
    <t>442506469</t>
  </si>
  <si>
    <t>alp_marca_alcance_feminino_universa-uol_display_superbanner_ros_rasteiras_fashion_cpm_728x90_111341</t>
  </si>
  <si>
    <t>252035758</t>
  </si>
  <si>
    <t>448092575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</si>
</sst>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0" fillId="38" borderId="0" xfId="0" applyFill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>
      <calculatedColumnFormula>IF(Table1[[#This Row],[Impressions]]&gt;Table1[[#This Row],[Clicks]],"Standard",VLOOKUP(CONCATENATE(bd_adtype,"_",bd_creativetype),tabela,2,FALSE))</calculatedColumnFormula>
    </tableColumn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811"/>
  <sheetViews>
    <sheetView workbookViewId="0">
      <selection activeCell="A2" sqref="A2:XFD7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52</v>
      </c>
      <c r="B2" s="19" t="s">
        <v>424</v>
      </c>
      <c r="C2" s="19" t="s">
        <v>425</v>
      </c>
      <c r="D2" s="19" t="s">
        <v>426</v>
      </c>
      <c r="E2" s="20" t="s">
        <v>32</v>
      </c>
      <c r="F2" s="19" t="s">
        <v>425</v>
      </c>
      <c r="G2" s="19" t="s">
        <v>427</v>
      </c>
      <c r="H2" s="19" t="s">
        <v>32</v>
      </c>
      <c r="I2" s="26">
        <v>0</v>
      </c>
      <c r="J2">
        <v>1</v>
      </c>
      <c r="K2" s="1"/>
    </row>
    <row r="3" spans="1:11">
      <c r="A3" s="17" t="s">
        <v>52</v>
      </c>
      <c r="B3" s="19" t="s">
        <v>219</v>
      </c>
      <c r="C3" s="19" t="s">
        <v>428</v>
      </c>
      <c r="D3" s="19" t="s">
        <v>429</v>
      </c>
      <c r="E3" s="20" t="s">
        <v>32</v>
      </c>
      <c r="F3" s="19" t="s">
        <v>428</v>
      </c>
      <c r="G3" s="19" t="s">
        <v>430</v>
      </c>
      <c r="H3" s="19" t="s">
        <v>32</v>
      </c>
      <c r="I3" s="26">
        <v>0</v>
      </c>
      <c r="J3">
        <v>3</v>
      </c>
      <c r="K3" s="1"/>
    </row>
    <row r="4" spans="1:11">
      <c r="A4" s="17" t="s">
        <v>52</v>
      </c>
      <c r="B4" s="19" t="s">
        <v>219</v>
      </c>
      <c r="C4" s="19" t="s">
        <v>431</v>
      </c>
      <c r="D4" s="19" t="s">
        <v>432</v>
      </c>
      <c r="E4" s="20" t="s">
        <v>32</v>
      </c>
      <c r="F4" s="19" t="s">
        <v>431</v>
      </c>
      <c r="G4" s="19" t="s">
        <v>433</v>
      </c>
      <c r="H4" s="19" t="s">
        <v>32</v>
      </c>
      <c r="I4" s="26">
        <v>0</v>
      </c>
      <c r="J4">
        <v>3</v>
      </c>
      <c r="K4" s="1"/>
    </row>
    <row r="5" spans="1:11">
      <c r="A5" s="17" t="s">
        <v>52</v>
      </c>
      <c r="B5" s="19" t="s">
        <v>219</v>
      </c>
      <c r="C5" s="19" t="s">
        <v>434</v>
      </c>
      <c r="D5" s="19" t="s">
        <v>435</v>
      </c>
      <c r="E5" s="20" t="s">
        <v>32</v>
      </c>
      <c r="F5" s="19" t="s">
        <v>434</v>
      </c>
      <c r="G5" s="19" t="s">
        <v>436</v>
      </c>
      <c r="H5" s="19" t="s">
        <v>32</v>
      </c>
      <c r="I5" s="26">
        <v>0</v>
      </c>
      <c r="J5">
        <v>5</v>
      </c>
      <c r="K5" s="1"/>
    </row>
    <row r="6" spans="1:11">
      <c r="A6" s="17" t="s">
        <v>52</v>
      </c>
      <c r="B6" s="19" t="s">
        <v>219</v>
      </c>
      <c r="C6" s="19" t="s">
        <v>437</v>
      </c>
      <c r="D6" s="19" t="s">
        <v>438</v>
      </c>
      <c r="E6" s="20" t="s">
        <v>32</v>
      </c>
      <c r="F6" s="19" t="s">
        <v>437</v>
      </c>
      <c r="G6" s="19" t="s">
        <v>439</v>
      </c>
      <c r="H6" s="19" t="s">
        <v>32</v>
      </c>
      <c r="I6" s="26">
        <v>0</v>
      </c>
      <c r="J6">
        <v>3</v>
      </c>
      <c r="K6" s="1"/>
    </row>
    <row r="7" spans="1:11">
      <c r="A7" s="17" t="s">
        <v>52</v>
      </c>
      <c r="B7" s="19" t="s">
        <v>63</v>
      </c>
      <c r="C7" s="19" t="s">
        <v>440</v>
      </c>
      <c r="D7" s="19" t="s">
        <v>441</v>
      </c>
      <c r="E7" s="20" t="s">
        <v>32</v>
      </c>
      <c r="F7" s="19" t="s">
        <v>440</v>
      </c>
      <c r="G7" s="19" t="s">
        <v>442</v>
      </c>
      <c r="H7" s="19" t="s">
        <v>32</v>
      </c>
      <c r="I7" s="26">
        <v>18</v>
      </c>
      <c r="J7">
        <v>2</v>
      </c>
      <c r="K7" s="1"/>
    </row>
    <row r="8" spans="1:11">
      <c r="A8" s="17" t="s">
        <v>52</v>
      </c>
      <c r="B8" s="19" t="s">
        <v>443</v>
      </c>
      <c r="C8" s="19" t="s">
        <v>444</v>
      </c>
      <c r="D8" s="19" t="s">
        <v>445</v>
      </c>
      <c r="E8" s="20" t="s">
        <v>32</v>
      </c>
      <c r="F8" s="19" t="s">
        <v>444</v>
      </c>
      <c r="G8" s="19" t="s">
        <v>446</v>
      </c>
      <c r="H8" s="19" t="s">
        <v>32</v>
      </c>
      <c r="I8" s="26">
        <v>0</v>
      </c>
      <c r="J8">
        <v>3</v>
      </c>
      <c r="K8" s="1"/>
    </row>
    <row r="9" spans="1:11">
      <c r="A9" s="17" t="s">
        <v>52</v>
      </c>
      <c r="B9" s="19" t="s">
        <v>64</v>
      </c>
      <c r="C9" s="19" t="s">
        <v>69</v>
      </c>
      <c r="D9" s="19" t="s">
        <v>70</v>
      </c>
      <c r="E9" s="20" t="s">
        <v>32</v>
      </c>
      <c r="F9" s="19" t="s">
        <v>69</v>
      </c>
      <c r="G9" s="19" t="s">
        <v>71</v>
      </c>
      <c r="H9" s="19" t="s">
        <v>32</v>
      </c>
      <c r="I9" s="26">
        <v>8</v>
      </c>
      <c r="J9">
        <v>0</v>
      </c>
      <c r="K9" s="1"/>
    </row>
    <row r="10" spans="1:11">
      <c r="A10" s="17" t="s">
        <v>52</v>
      </c>
      <c r="B10" s="19" t="s">
        <v>64</v>
      </c>
      <c r="C10" s="19" t="s">
        <v>72</v>
      </c>
      <c r="D10" s="19" t="s">
        <v>73</v>
      </c>
      <c r="E10" s="20" t="s">
        <v>32</v>
      </c>
      <c r="F10" s="19" t="s">
        <v>72</v>
      </c>
      <c r="G10" s="19" t="s">
        <v>74</v>
      </c>
      <c r="H10" s="19" t="s">
        <v>32</v>
      </c>
      <c r="I10" s="26">
        <v>8</v>
      </c>
      <c r="J10">
        <v>0</v>
      </c>
      <c r="K10" s="1"/>
    </row>
    <row r="11" spans="1:11">
      <c r="A11" s="17" t="s">
        <v>52</v>
      </c>
      <c r="B11" s="19" t="s">
        <v>64</v>
      </c>
      <c r="C11" s="19" t="s">
        <v>75</v>
      </c>
      <c r="D11" s="19" t="s">
        <v>76</v>
      </c>
      <c r="E11" s="20" t="s">
        <v>32</v>
      </c>
      <c r="F11" s="19" t="s">
        <v>75</v>
      </c>
      <c r="G11" s="19" t="s">
        <v>77</v>
      </c>
      <c r="H11" s="19" t="s">
        <v>32</v>
      </c>
      <c r="I11" s="26">
        <v>8</v>
      </c>
      <c r="J11">
        <v>0</v>
      </c>
      <c r="K11" s="1"/>
    </row>
    <row r="12" spans="1:11">
      <c r="A12" s="17" t="s">
        <v>52</v>
      </c>
      <c r="B12" s="19" t="s">
        <v>64</v>
      </c>
      <c r="C12" s="19" t="s">
        <v>78</v>
      </c>
      <c r="D12" s="19" t="s">
        <v>79</v>
      </c>
      <c r="E12" s="20" t="s">
        <v>32</v>
      </c>
      <c r="F12" s="19" t="s">
        <v>78</v>
      </c>
      <c r="G12" s="19" t="s">
        <v>80</v>
      </c>
      <c r="H12" s="19" t="s">
        <v>32</v>
      </c>
      <c r="I12" s="26">
        <v>8</v>
      </c>
      <c r="J12">
        <v>0</v>
      </c>
      <c r="K12" s="1"/>
    </row>
    <row r="13" spans="1:11">
      <c r="A13" s="17" t="s">
        <v>52</v>
      </c>
      <c r="B13" s="19" t="s">
        <v>64</v>
      </c>
      <c r="C13" s="19" t="s">
        <v>81</v>
      </c>
      <c r="D13" s="19" t="s">
        <v>82</v>
      </c>
      <c r="E13" s="20" t="s">
        <v>32</v>
      </c>
      <c r="F13" s="19" t="s">
        <v>81</v>
      </c>
      <c r="G13" s="19" t="s">
        <v>83</v>
      </c>
      <c r="H13" s="19" t="s">
        <v>32</v>
      </c>
      <c r="I13" s="26">
        <v>8</v>
      </c>
      <c r="J13">
        <v>0</v>
      </c>
      <c r="K13" s="1"/>
    </row>
    <row r="14" spans="1:11">
      <c r="A14" s="17" t="s">
        <v>52</v>
      </c>
      <c r="B14" s="19" t="s">
        <v>64</v>
      </c>
      <c r="C14" s="19" t="s">
        <v>84</v>
      </c>
      <c r="D14" s="19" t="s">
        <v>85</v>
      </c>
      <c r="E14" s="20" t="s">
        <v>32</v>
      </c>
      <c r="F14" s="19" t="s">
        <v>84</v>
      </c>
      <c r="G14" s="19" t="s">
        <v>86</v>
      </c>
      <c r="H14" s="19" t="s">
        <v>32</v>
      </c>
      <c r="I14" s="26">
        <v>8</v>
      </c>
      <c r="J14">
        <v>0</v>
      </c>
      <c r="K14" s="1"/>
    </row>
    <row r="15" spans="1:11">
      <c r="A15" s="17" t="s">
        <v>52</v>
      </c>
      <c r="B15" s="19" t="s">
        <v>64</v>
      </c>
      <c r="C15" s="19" t="s">
        <v>87</v>
      </c>
      <c r="D15" s="19" t="s">
        <v>88</v>
      </c>
      <c r="E15" s="20" t="s">
        <v>32</v>
      </c>
      <c r="F15" s="19" t="s">
        <v>87</v>
      </c>
      <c r="G15" s="19" t="s">
        <v>89</v>
      </c>
      <c r="H15" s="19" t="s">
        <v>32</v>
      </c>
      <c r="I15" s="26">
        <v>8</v>
      </c>
      <c r="J15">
        <v>0</v>
      </c>
      <c r="K15" s="1"/>
    </row>
    <row r="16" spans="1:11">
      <c r="A16" s="17" t="s">
        <v>52</v>
      </c>
      <c r="B16" s="19" t="s">
        <v>64</v>
      </c>
      <c r="C16" s="19" t="s">
        <v>90</v>
      </c>
      <c r="D16" s="19" t="s">
        <v>91</v>
      </c>
      <c r="E16" s="20" t="s">
        <v>32</v>
      </c>
      <c r="F16" s="19" t="s">
        <v>90</v>
      </c>
      <c r="G16" s="19" t="s">
        <v>92</v>
      </c>
      <c r="H16" s="19" t="s">
        <v>32</v>
      </c>
      <c r="I16" s="26">
        <v>8</v>
      </c>
      <c r="J16">
        <v>0</v>
      </c>
      <c r="K16" s="1"/>
    </row>
    <row r="17" spans="1:11">
      <c r="A17" s="17" t="s">
        <v>52</v>
      </c>
      <c r="B17" s="19" t="s">
        <v>64</v>
      </c>
      <c r="C17" s="19" t="s">
        <v>93</v>
      </c>
      <c r="D17" s="19" t="s">
        <v>94</v>
      </c>
      <c r="E17" s="20" t="s">
        <v>32</v>
      </c>
      <c r="F17" s="19" t="s">
        <v>93</v>
      </c>
      <c r="G17" s="19" t="s">
        <v>95</v>
      </c>
      <c r="H17" s="19" t="s">
        <v>32</v>
      </c>
      <c r="I17" s="26">
        <v>8</v>
      </c>
      <c r="J17">
        <v>1</v>
      </c>
      <c r="K17" s="1"/>
    </row>
    <row r="18" spans="1:11">
      <c r="A18" s="17" t="s">
        <v>52</v>
      </c>
      <c r="B18" s="19" t="s">
        <v>64</v>
      </c>
      <c r="C18" s="19" t="s">
        <v>96</v>
      </c>
      <c r="D18" s="19" t="s">
        <v>97</v>
      </c>
      <c r="E18" s="20" t="s">
        <v>32</v>
      </c>
      <c r="F18" s="19" t="s">
        <v>96</v>
      </c>
      <c r="G18" s="19" t="s">
        <v>98</v>
      </c>
      <c r="H18" s="19" t="s">
        <v>32</v>
      </c>
      <c r="I18" s="26">
        <v>8</v>
      </c>
      <c r="J18">
        <v>0</v>
      </c>
      <c r="K18" s="1"/>
    </row>
    <row r="19" spans="1:11">
      <c r="A19" s="17" t="s">
        <v>52</v>
      </c>
      <c r="B19" s="19" t="s">
        <v>64</v>
      </c>
      <c r="C19" s="19" t="s">
        <v>99</v>
      </c>
      <c r="D19" s="19" t="s">
        <v>100</v>
      </c>
      <c r="E19" s="20" t="s">
        <v>32</v>
      </c>
      <c r="F19" s="19" t="s">
        <v>99</v>
      </c>
      <c r="G19" s="19" t="s">
        <v>101</v>
      </c>
      <c r="H19" s="19" t="s">
        <v>32</v>
      </c>
      <c r="I19" s="26">
        <v>8</v>
      </c>
      <c r="J19">
        <v>0</v>
      </c>
      <c r="K19" s="1"/>
    </row>
    <row r="20" spans="1:11">
      <c r="A20" s="17" t="s">
        <v>52</v>
      </c>
      <c r="B20" s="19" t="s">
        <v>64</v>
      </c>
      <c r="C20" s="19" t="s">
        <v>102</v>
      </c>
      <c r="D20" s="19" t="s">
        <v>103</v>
      </c>
      <c r="E20" s="20" t="s">
        <v>32</v>
      </c>
      <c r="F20" s="19" t="s">
        <v>102</v>
      </c>
      <c r="G20" s="19" t="s">
        <v>104</v>
      </c>
      <c r="H20" s="19" t="s">
        <v>32</v>
      </c>
      <c r="I20" s="26">
        <v>8</v>
      </c>
      <c r="J20">
        <v>0</v>
      </c>
      <c r="K20" s="1"/>
    </row>
    <row r="21" spans="1:11">
      <c r="A21" s="17" t="s">
        <v>52</v>
      </c>
      <c r="B21" s="19" t="s">
        <v>64</v>
      </c>
      <c r="C21" s="19" t="s">
        <v>105</v>
      </c>
      <c r="D21" s="19" t="s">
        <v>106</v>
      </c>
      <c r="E21" s="20" t="s">
        <v>32</v>
      </c>
      <c r="F21" s="19" t="s">
        <v>105</v>
      </c>
      <c r="G21" s="19" t="s">
        <v>107</v>
      </c>
      <c r="H21" s="19" t="s">
        <v>32</v>
      </c>
      <c r="I21" s="26">
        <v>8</v>
      </c>
      <c r="J21">
        <v>0</v>
      </c>
      <c r="K21" s="1"/>
    </row>
    <row r="22" spans="1:11">
      <c r="A22" s="17" t="s">
        <v>52</v>
      </c>
      <c r="B22" s="19" t="s">
        <v>53</v>
      </c>
      <c r="C22" s="19" t="s">
        <v>140</v>
      </c>
      <c r="D22" s="19" t="s">
        <v>141</v>
      </c>
      <c r="E22" s="20" t="s">
        <v>32</v>
      </c>
      <c r="F22" s="19" t="s">
        <v>140</v>
      </c>
      <c r="G22" s="19" t="s">
        <v>142</v>
      </c>
      <c r="H22" s="19" t="s">
        <v>32</v>
      </c>
      <c r="I22" s="26">
        <v>0</v>
      </c>
      <c r="J22">
        <v>1</v>
      </c>
      <c r="K22" s="1"/>
    </row>
    <row r="23" spans="1:11">
      <c r="A23" s="17" t="s">
        <v>52</v>
      </c>
      <c r="B23" s="19" t="s">
        <v>53</v>
      </c>
      <c r="C23" s="19" t="s">
        <v>143</v>
      </c>
      <c r="D23" s="19" t="s">
        <v>144</v>
      </c>
      <c r="E23" s="20" t="s">
        <v>32</v>
      </c>
      <c r="F23" s="19" t="s">
        <v>143</v>
      </c>
      <c r="G23" s="19" t="s">
        <v>145</v>
      </c>
      <c r="H23" s="19" t="s">
        <v>32</v>
      </c>
      <c r="I23" s="26">
        <v>0</v>
      </c>
      <c r="J23">
        <v>326</v>
      </c>
      <c r="K23" s="1"/>
    </row>
    <row r="24" spans="1:11">
      <c r="A24" s="17" t="s">
        <v>52</v>
      </c>
      <c r="B24" s="19" t="s">
        <v>53</v>
      </c>
      <c r="C24" s="19" t="s">
        <v>146</v>
      </c>
      <c r="D24" s="19" t="s">
        <v>147</v>
      </c>
      <c r="E24" s="20" t="s">
        <v>32</v>
      </c>
      <c r="F24" s="19" t="s">
        <v>146</v>
      </c>
      <c r="G24" s="19" t="s">
        <v>148</v>
      </c>
      <c r="H24" s="19" t="s">
        <v>32</v>
      </c>
      <c r="I24" s="26">
        <v>0</v>
      </c>
      <c r="J24">
        <v>1312</v>
      </c>
      <c r="K24" s="1"/>
    </row>
    <row r="25" spans="1:11">
      <c r="A25" s="17" t="s">
        <v>52</v>
      </c>
      <c r="B25" s="19" t="s">
        <v>53</v>
      </c>
      <c r="C25" s="19" t="s">
        <v>320</v>
      </c>
      <c r="D25" s="19" t="s">
        <v>321</v>
      </c>
      <c r="E25" s="20" t="s">
        <v>32</v>
      </c>
      <c r="F25" s="19" t="s">
        <v>320</v>
      </c>
      <c r="G25" s="19" t="s">
        <v>322</v>
      </c>
      <c r="H25" s="19" t="s">
        <v>32</v>
      </c>
      <c r="I25" s="26">
        <v>0</v>
      </c>
      <c r="J25">
        <v>1735</v>
      </c>
      <c r="K25" s="1"/>
    </row>
    <row r="26" spans="1:11">
      <c r="A26" s="17" t="s">
        <v>52</v>
      </c>
      <c r="B26" s="19" t="s">
        <v>53</v>
      </c>
      <c r="C26" s="19" t="s">
        <v>323</v>
      </c>
      <c r="D26" s="19" t="s">
        <v>324</v>
      </c>
      <c r="E26" s="20" t="s">
        <v>32</v>
      </c>
      <c r="F26" s="19" t="s">
        <v>323</v>
      </c>
      <c r="G26" s="19" t="s">
        <v>325</v>
      </c>
      <c r="H26" s="19" t="s">
        <v>32</v>
      </c>
      <c r="I26" s="26">
        <v>0</v>
      </c>
      <c r="J26">
        <v>286</v>
      </c>
      <c r="K26" s="1"/>
    </row>
    <row r="27" spans="1:11">
      <c r="A27" s="17" t="s">
        <v>52</v>
      </c>
      <c r="B27" s="19" t="s">
        <v>53</v>
      </c>
      <c r="C27" s="19" t="s">
        <v>326</v>
      </c>
      <c r="D27" s="19" t="s">
        <v>327</v>
      </c>
      <c r="E27" s="20" t="s">
        <v>32</v>
      </c>
      <c r="F27" s="19" t="s">
        <v>326</v>
      </c>
      <c r="G27" s="19" t="s">
        <v>328</v>
      </c>
      <c r="H27" s="19" t="s">
        <v>32</v>
      </c>
      <c r="I27" s="26">
        <v>0</v>
      </c>
      <c r="J27">
        <v>24</v>
      </c>
      <c r="K27" s="1"/>
    </row>
    <row r="28" spans="1:11">
      <c r="A28" s="17" t="s">
        <v>52</v>
      </c>
      <c r="B28" s="19" t="s">
        <v>53</v>
      </c>
      <c r="C28" s="19" t="s">
        <v>329</v>
      </c>
      <c r="D28" s="19" t="s">
        <v>330</v>
      </c>
      <c r="E28" s="20" t="s">
        <v>32</v>
      </c>
      <c r="F28" s="19" t="s">
        <v>329</v>
      </c>
      <c r="G28" s="19" t="s">
        <v>331</v>
      </c>
      <c r="H28" s="19" t="s">
        <v>32</v>
      </c>
      <c r="I28" s="26">
        <v>0</v>
      </c>
      <c r="J28">
        <v>40</v>
      </c>
      <c r="K28" s="1"/>
    </row>
    <row r="29" spans="1:11">
      <c r="A29" s="17" t="s">
        <v>52</v>
      </c>
      <c r="B29" s="19" t="s">
        <v>53</v>
      </c>
      <c r="C29" s="19" t="s">
        <v>332</v>
      </c>
      <c r="D29" s="19" t="s">
        <v>333</v>
      </c>
      <c r="E29" s="20" t="s">
        <v>32</v>
      </c>
      <c r="F29" s="19" t="s">
        <v>332</v>
      </c>
      <c r="G29" s="19" t="s">
        <v>334</v>
      </c>
      <c r="H29" s="19" t="s">
        <v>32</v>
      </c>
      <c r="I29" s="26">
        <v>0</v>
      </c>
      <c r="J29">
        <v>72</v>
      </c>
      <c r="K29" s="1"/>
    </row>
    <row r="30" spans="1:11">
      <c r="A30" s="17" t="s">
        <v>52</v>
      </c>
      <c r="B30" s="19" t="s">
        <v>53</v>
      </c>
      <c r="C30" s="19" t="s">
        <v>790</v>
      </c>
      <c r="D30" s="19" t="s">
        <v>791</v>
      </c>
      <c r="E30" s="20" t="s">
        <v>32</v>
      </c>
      <c r="F30" s="19" t="s">
        <v>790</v>
      </c>
      <c r="G30" s="19" t="s">
        <v>792</v>
      </c>
      <c r="H30" s="19" t="s">
        <v>32</v>
      </c>
      <c r="I30" s="26">
        <v>0</v>
      </c>
      <c r="J30">
        <v>2</v>
      </c>
      <c r="K30" s="1"/>
    </row>
    <row r="31" spans="1:11">
      <c r="A31" s="17" t="s">
        <v>52</v>
      </c>
      <c r="B31" s="19" t="s">
        <v>53</v>
      </c>
      <c r="C31" s="19" t="s">
        <v>220</v>
      </c>
      <c r="D31" s="19" t="s">
        <v>221</v>
      </c>
      <c r="E31" s="20" t="s">
        <v>32</v>
      </c>
      <c r="F31" s="19" t="s">
        <v>220</v>
      </c>
      <c r="G31" s="19" t="s">
        <v>222</v>
      </c>
      <c r="H31" s="19" t="s">
        <v>32</v>
      </c>
      <c r="I31" s="26">
        <v>0</v>
      </c>
      <c r="J31">
        <v>4409</v>
      </c>
      <c r="K31" s="1"/>
    </row>
    <row r="32" spans="1:11">
      <c r="A32" s="17" t="s">
        <v>52</v>
      </c>
      <c r="B32" s="19" t="s">
        <v>53</v>
      </c>
      <c r="C32" s="19" t="s">
        <v>223</v>
      </c>
      <c r="D32" s="19" t="s">
        <v>224</v>
      </c>
      <c r="E32" s="20" t="s">
        <v>32</v>
      </c>
      <c r="F32" s="19" t="s">
        <v>223</v>
      </c>
      <c r="G32" s="19" t="s">
        <v>225</v>
      </c>
      <c r="H32" s="19" t="s">
        <v>32</v>
      </c>
      <c r="I32" s="26">
        <v>0</v>
      </c>
      <c r="J32">
        <v>7863</v>
      </c>
      <c r="K32" s="1"/>
    </row>
    <row r="33" spans="1:11">
      <c r="A33" s="17" t="s">
        <v>52</v>
      </c>
      <c r="B33" s="19" t="s">
        <v>53</v>
      </c>
      <c r="C33" s="19" t="s">
        <v>335</v>
      </c>
      <c r="D33" s="19" t="s">
        <v>336</v>
      </c>
      <c r="E33" s="20" t="s">
        <v>32</v>
      </c>
      <c r="F33" s="19" t="s">
        <v>335</v>
      </c>
      <c r="G33" s="19" t="s">
        <v>337</v>
      </c>
      <c r="H33" s="19" t="s">
        <v>32</v>
      </c>
      <c r="I33" s="26">
        <v>0</v>
      </c>
      <c r="J33">
        <v>1019</v>
      </c>
      <c r="K33" s="1"/>
    </row>
    <row r="34" spans="1:11">
      <c r="A34" s="17" t="s">
        <v>52</v>
      </c>
      <c r="B34" s="19" t="s">
        <v>53</v>
      </c>
      <c r="C34" s="19" t="s">
        <v>226</v>
      </c>
      <c r="D34" s="19" t="s">
        <v>227</v>
      </c>
      <c r="E34" s="20" t="s">
        <v>32</v>
      </c>
      <c r="F34" s="19" t="s">
        <v>226</v>
      </c>
      <c r="G34" s="19" t="s">
        <v>228</v>
      </c>
      <c r="H34" s="19" t="s">
        <v>32</v>
      </c>
      <c r="I34" s="26">
        <v>0</v>
      </c>
      <c r="J34">
        <v>456</v>
      </c>
      <c r="K34" s="1"/>
    </row>
    <row r="35" spans="1:11">
      <c r="A35" s="17" t="s">
        <v>52</v>
      </c>
      <c r="B35" s="19" t="s">
        <v>53</v>
      </c>
      <c r="C35" s="19" t="s">
        <v>338</v>
      </c>
      <c r="D35" s="19" t="s">
        <v>339</v>
      </c>
      <c r="E35" s="20" t="s">
        <v>32</v>
      </c>
      <c r="F35" s="19" t="s">
        <v>338</v>
      </c>
      <c r="G35" s="19" t="s">
        <v>340</v>
      </c>
      <c r="H35" s="19" t="s">
        <v>32</v>
      </c>
      <c r="I35" s="26">
        <v>0</v>
      </c>
      <c r="J35">
        <v>45</v>
      </c>
      <c r="K35" s="1"/>
    </row>
    <row r="36" spans="1:11">
      <c r="A36" s="17" t="s">
        <v>52</v>
      </c>
      <c r="B36" s="19" t="s">
        <v>53</v>
      </c>
      <c r="C36" s="19" t="s">
        <v>447</v>
      </c>
      <c r="D36" s="19" t="s">
        <v>448</v>
      </c>
      <c r="E36" s="20" t="s">
        <v>32</v>
      </c>
      <c r="F36" s="19" t="s">
        <v>447</v>
      </c>
      <c r="G36" s="19" t="s">
        <v>449</v>
      </c>
      <c r="H36" s="19" t="s">
        <v>32</v>
      </c>
      <c r="I36" s="26">
        <v>0</v>
      </c>
      <c r="J36">
        <v>1</v>
      </c>
      <c r="K36" s="1"/>
    </row>
    <row r="37" spans="1:11">
      <c r="A37" s="17" t="s">
        <v>52</v>
      </c>
      <c r="B37" s="19" t="s">
        <v>53</v>
      </c>
      <c r="C37" s="19" t="s">
        <v>229</v>
      </c>
      <c r="D37" s="19" t="s">
        <v>230</v>
      </c>
      <c r="E37" s="20" t="s">
        <v>32</v>
      </c>
      <c r="F37" s="19" t="s">
        <v>229</v>
      </c>
      <c r="G37" s="19" t="s">
        <v>231</v>
      </c>
      <c r="H37" s="19" t="s">
        <v>32</v>
      </c>
      <c r="I37" s="26">
        <v>0</v>
      </c>
      <c r="J37">
        <v>1</v>
      </c>
      <c r="K37" s="1"/>
    </row>
    <row r="38" spans="1:11">
      <c r="A38" s="17" t="s">
        <v>52</v>
      </c>
      <c r="B38" s="19" t="s">
        <v>53</v>
      </c>
      <c r="C38" s="19" t="s">
        <v>793</v>
      </c>
      <c r="D38" s="19" t="s">
        <v>794</v>
      </c>
      <c r="E38" s="20" t="s">
        <v>32</v>
      </c>
      <c r="F38" s="19" t="s">
        <v>793</v>
      </c>
      <c r="G38" s="19" t="s">
        <v>795</v>
      </c>
      <c r="H38" s="19" t="s">
        <v>32</v>
      </c>
      <c r="I38" s="26">
        <v>0</v>
      </c>
      <c r="J38">
        <v>1</v>
      </c>
      <c r="K38" s="1"/>
    </row>
    <row r="39" spans="1:11">
      <c r="A39" s="17" t="s">
        <v>52</v>
      </c>
      <c r="B39" s="19" t="s">
        <v>53</v>
      </c>
      <c r="C39" s="19" t="s">
        <v>232</v>
      </c>
      <c r="D39" s="19" t="s">
        <v>233</v>
      </c>
      <c r="E39" s="20" t="s">
        <v>32</v>
      </c>
      <c r="F39" s="19" t="s">
        <v>232</v>
      </c>
      <c r="G39" s="19" t="s">
        <v>234</v>
      </c>
      <c r="H39" s="19" t="s">
        <v>32</v>
      </c>
      <c r="I39" s="26">
        <v>0</v>
      </c>
      <c r="J39">
        <v>7</v>
      </c>
      <c r="K39" s="1"/>
    </row>
    <row r="40" spans="1:11">
      <c r="A40" s="17" t="s">
        <v>52</v>
      </c>
      <c r="B40" s="19" t="s">
        <v>53</v>
      </c>
      <c r="C40" s="19" t="s">
        <v>450</v>
      </c>
      <c r="D40" s="19" t="s">
        <v>451</v>
      </c>
      <c r="E40" s="20" t="s">
        <v>32</v>
      </c>
      <c r="F40" s="19" t="s">
        <v>450</v>
      </c>
      <c r="G40" s="19" t="s">
        <v>452</v>
      </c>
      <c r="H40" s="19" t="s">
        <v>32</v>
      </c>
      <c r="I40" s="26">
        <v>0</v>
      </c>
      <c r="J40">
        <v>1</v>
      </c>
      <c r="K40" s="1"/>
    </row>
    <row r="41" spans="1:11">
      <c r="A41" s="17" t="s">
        <v>52</v>
      </c>
      <c r="B41" s="19" t="s">
        <v>53</v>
      </c>
      <c r="C41" s="19" t="s">
        <v>453</v>
      </c>
      <c r="D41" s="19" t="s">
        <v>454</v>
      </c>
      <c r="E41" s="20" t="s">
        <v>32</v>
      </c>
      <c r="F41" s="19" t="s">
        <v>453</v>
      </c>
      <c r="G41" s="19" t="s">
        <v>455</v>
      </c>
      <c r="H41" s="19" t="s">
        <v>32</v>
      </c>
      <c r="I41" s="26">
        <v>0</v>
      </c>
      <c r="J41">
        <v>9273</v>
      </c>
      <c r="K41" s="1"/>
    </row>
    <row r="42" spans="1:11">
      <c r="A42" s="17" t="s">
        <v>52</v>
      </c>
      <c r="B42" s="19" t="s">
        <v>53</v>
      </c>
      <c r="C42" s="19" t="s">
        <v>456</v>
      </c>
      <c r="D42" s="19" t="s">
        <v>457</v>
      </c>
      <c r="E42" s="20" t="s">
        <v>32</v>
      </c>
      <c r="F42" s="19" t="s">
        <v>456</v>
      </c>
      <c r="G42" s="19" t="s">
        <v>458</v>
      </c>
      <c r="H42" s="19" t="s">
        <v>32</v>
      </c>
      <c r="I42" s="26">
        <v>0</v>
      </c>
      <c r="J42">
        <v>34</v>
      </c>
      <c r="K42" s="1"/>
    </row>
    <row r="43" spans="1:11">
      <c r="A43" s="17" t="s">
        <v>52</v>
      </c>
      <c r="B43" s="19" t="s">
        <v>53</v>
      </c>
      <c r="C43" s="19" t="s">
        <v>459</v>
      </c>
      <c r="D43" s="19" t="s">
        <v>460</v>
      </c>
      <c r="E43" s="20" t="s">
        <v>32</v>
      </c>
      <c r="F43" s="19" t="s">
        <v>459</v>
      </c>
      <c r="G43" s="19" t="s">
        <v>461</v>
      </c>
      <c r="H43" s="19" t="s">
        <v>32</v>
      </c>
      <c r="I43" s="26">
        <v>0</v>
      </c>
      <c r="J43">
        <v>740</v>
      </c>
      <c r="K43" s="1"/>
    </row>
    <row r="44" spans="1:11">
      <c r="A44" s="17" t="s">
        <v>52</v>
      </c>
      <c r="B44" s="19" t="s">
        <v>53</v>
      </c>
      <c r="C44" s="19" t="s">
        <v>462</v>
      </c>
      <c r="D44" s="19" t="s">
        <v>463</v>
      </c>
      <c r="E44" s="20" t="s">
        <v>32</v>
      </c>
      <c r="F44" s="19" t="s">
        <v>462</v>
      </c>
      <c r="G44" s="19" t="s">
        <v>464</v>
      </c>
      <c r="H44" s="19" t="s">
        <v>32</v>
      </c>
      <c r="I44" s="26">
        <v>0</v>
      </c>
      <c r="J44">
        <v>49</v>
      </c>
      <c r="K44" s="1"/>
    </row>
    <row r="45" spans="1:11">
      <c r="A45" s="17" t="s">
        <v>52</v>
      </c>
      <c r="B45" s="19" t="s">
        <v>53</v>
      </c>
      <c r="C45" s="19" t="s">
        <v>465</v>
      </c>
      <c r="D45" s="19" t="s">
        <v>466</v>
      </c>
      <c r="E45" s="20" t="s">
        <v>32</v>
      </c>
      <c r="F45" s="19" t="s">
        <v>465</v>
      </c>
      <c r="G45" s="19" t="s">
        <v>467</v>
      </c>
      <c r="H45" s="19" t="s">
        <v>32</v>
      </c>
      <c r="I45" s="26">
        <v>0</v>
      </c>
      <c r="J45">
        <v>527</v>
      </c>
      <c r="K45" s="1"/>
    </row>
    <row r="46" spans="1:11">
      <c r="A46" s="17" t="s">
        <v>52</v>
      </c>
      <c r="B46" s="19" t="s">
        <v>53</v>
      </c>
      <c r="C46" s="19" t="s">
        <v>468</v>
      </c>
      <c r="D46" s="19" t="s">
        <v>469</v>
      </c>
      <c r="E46" s="20" t="s">
        <v>32</v>
      </c>
      <c r="F46" s="19" t="s">
        <v>468</v>
      </c>
      <c r="G46" s="19" t="s">
        <v>470</v>
      </c>
      <c r="H46" s="19" t="s">
        <v>32</v>
      </c>
      <c r="I46" s="26">
        <v>0</v>
      </c>
      <c r="J46">
        <v>102</v>
      </c>
      <c r="K46" s="1"/>
    </row>
    <row r="47" spans="1:11">
      <c r="A47" s="17" t="s">
        <v>52</v>
      </c>
      <c r="B47" s="19" t="s">
        <v>53</v>
      </c>
      <c r="C47" s="19" t="s">
        <v>108</v>
      </c>
      <c r="D47" s="19" t="s">
        <v>109</v>
      </c>
      <c r="E47" s="20" t="s">
        <v>32</v>
      </c>
      <c r="F47" s="19" t="s">
        <v>108</v>
      </c>
      <c r="G47" s="19" t="s">
        <v>110</v>
      </c>
      <c r="H47" s="19" t="s">
        <v>32</v>
      </c>
      <c r="I47" s="26">
        <v>0</v>
      </c>
      <c r="J47">
        <v>1</v>
      </c>
      <c r="K47" s="1"/>
    </row>
    <row r="48" spans="1:11">
      <c r="A48" s="17" t="s">
        <v>52</v>
      </c>
      <c r="B48" s="19" t="s">
        <v>53</v>
      </c>
      <c r="C48" s="19" t="s">
        <v>341</v>
      </c>
      <c r="D48" s="19" t="s">
        <v>342</v>
      </c>
      <c r="E48" s="20" t="s">
        <v>32</v>
      </c>
      <c r="F48" s="19" t="s">
        <v>341</v>
      </c>
      <c r="G48" s="19" t="s">
        <v>343</v>
      </c>
      <c r="H48" s="19" t="s">
        <v>32</v>
      </c>
      <c r="I48" s="26">
        <v>0</v>
      </c>
      <c r="J48">
        <v>744</v>
      </c>
      <c r="K48" s="1"/>
    </row>
    <row r="49" spans="1:11">
      <c r="A49" s="17" t="s">
        <v>52</v>
      </c>
      <c r="B49" s="19" t="s">
        <v>53</v>
      </c>
      <c r="C49" s="19" t="s">
        <v>344</v>
      </c>
      <c r="D49" s="19" t="s">
        <v>345</v>
      </c>
      <c r="E49" s="20" t="s">
        <v>32</v>
      </c>
      <c r="F49" s="19" t="s">
        <v>344</v>
      </c>
      <c r="G49" s="19" t="s">
        <v>346</v>
      </c>
      <c r="H49" s="19" t="s">
        <v>32</v>
      </c>
      <c r="I49" s="26">
        <v>0</v>
      </c>
      <c r="J49">
        <v>873</v>
      </c>
      <c r="K49" s="1"/>
    </row>
    <row r="50" spans="1:11">
      <c r="A50" s="17" t="s">
        <v>52</v>
      </c>
      <c r="B50" s="19" t="s">
        <v>53</v>
      </c>
      <c r="C50" s="19" t="s">
        <v>347</v>
      </c>
      <c r="D50" s="19" t="s">
        <v>348</v>
      </c>
      <c r="E50" s="20" t="s">
        <v>32</v>
      </c>
      <c r="F50" s="19" t="s">
        <v>347</v>
      </c>
      <c r="G50" s="19" t="s">
        <v>349</v>
      </c>
      <c r="H50" s="19" t="s">
        <v>32</v>
      </c>
      <c r="I50" s="26">
        <v>0</v>
      </c>
      <c r="J50">
        <v>748</v>
      </c>
      <c r="K50" s="1"/>
    </row>
    <row r="51" spans="1:11">
      <c r="A51" s="17" t="s">
        <v>52</v>
      </c>
      <c r="B51" s="19" t="s">
        <v>53</v>
      </c>
      <c r="C51" s="19" t="s">
        <v>350</v>
      </c>
      <c r="D51" s="19" t="s">
        <v>351</v>
      </c>
      <c r="E51" s="20" t="s">
        <v>32</v>
      </c>
      <c r="F51" s="19" t="s">
        <v>350</v>
      </c>
      <c r="G51" s="19" t="s">
        <v>352</v>
      </c>
      <c r="H51" s="19" t="s">
        <v>32</v>
      </c>
      <c r="I51" s="26">
        <v>0</v>
      </c>
      <c r="J51">
        <v>578</v>
      </c>
      <c r="K51" s="1"/>
    </row>
    <row r="52" spans="1:11">
      <c r="A52" s="17" t="s">
        <v>52</v>
      </c>
      <c r="B52" s="19" t="s">
        <v>53</v>
      </c>
      <c r="C52" s="19" t="s">
        <v>353</v>
      </c>
      <c r="D52" s="19" t="s">
        <v>354</v>
      </c>
      <c r="E52" s="20" t="s">
        <v>32</v>
      </c>
      <c r="F52" s="19" t="s">
        <v>353</v>
      </c>
      <c r="G52" s="19" t="s">
        <v>355</v>
      </c>
      <c r="H52" s="19" t="s">
        <v>32</v>
      </c>
      <c r="I52" s="26">
        <v>0</v>
      </c>
      <c r="J52">
        <v>46</v>
      </c>
      <c r="K52" s="1"/>
    </row>
    <row r="53" spans="1:11">
      <c r="A53" s="17" t="s">
        <v>52</v>
      </c>
      <c r="B53" s="19" t="s">
        <v>53</v>
      </c>
      <c r="C53" s="19" t="s">
        <v>471</v>
      </c>
      <c r="D53" s="19" t="s">
        <v>472</v>
      </c>
      <c r="E53" s="20" t="s">
        <v>32</v>
      </c>
      <c r="F53" s="19" t="s">
        <v>471</v>
      </c>
      <c r="G53" s="19" t="s">
        <v>473</v>
      </c>
      <c r="H53" s="19" t="s">
        <v>32</v>
      </c>
      <c r="I53" s="26">
        <v>0</v>
      </c>
      <c r="J53">
        <v>7</v>
      </c>
      <c r="K53" s="1"/>
    </row>
    <row r="54" spans="1:11">
      <c r="A54" s="17" t="s">
        <v>52</v>
      </c>
      <c r="B54" s="19" t="s">
        <v>53</v>
      </c>
      <c r="C54" s="19" t="s">
        <v>474</v>
      </c>
      <c r="D54" s="19" t="s">
        <v>475</v>
      </c>
      <c r="E54" s="20" t="s">
        <v>32</v>
      </c>
      <c r="F54" s="19" t="s">
        <v>474</v>
      </c>
      <c r="G54" s="19" t="s">
        <v>476</v>
      </c>
      <c r="H54" s="19" t="s">
        <v>32</v>
      </c>
      <c r="I54" s="26">
        <v>0</v>
      </c>
      <c r="J54">
        <v>26</v>
      </c>
      <c r="K54" s="1"/>
    </row>
    <row r="55" spans="1:11">
      <c r="A55" s="17" t="s">
        <v>52</v>
      </c>
      <c r="B55" s="19" t="s">
        <v>53</v>
      </c>
      <c r="C55" s="19" t="s">
        <v>356</v>
      </c>
      <c r="D55" s="19" t="s">
        <v>357</v>
      </c>
      <c r="E55" s="20" t="s">
        <v>32</v>
      </c>
      <c r="F55" s="19" t="s">
        <v>356</v>
      </c>
      <c r="G55" s="19" t="s">
        <v>358</v>
      </c>
      <c r="H55" s="19" t="s">
        <v>32</v>
      </c>
      <c r="I55" s="26">
        <v>0</v>
      </c>
      <c r="J55">
        <v>397</v>
      </c>
      <c r="K55" s="1"/>
    </row>
    <row r="56" spans="1:11">
      <c r="A56" s="17" t="s">
        <v>52</v>
      </c>
      <c r="B56" s="19" t="s">
        <v>53</v>
      </c>
      <c r="C56" s="19" t="s">
        <v>359</v>
      </c>
      <c r="D56" s="19" t="s">
        <v>360</v>
      </c>
      <c r="E56" s="20" t="s">
        <v>32</v>
      </c>
      <c r="F56" s="19" t="s">
        <v>359</v>
      </c>
      <c r="G56" s="19" t="s">
        <v>361</v>
      </c>
      <c r="H56" s="19" t="s">
        <v>32</v>
      </c>
      <c r="I56" s="26">
        <v>0</v>
      </c>
      <c r="J56">
        <v>21</v>
      </c>
      <c r="K56" s="1"/>
    </row>
    <row r="57" spans="1:11">
      <c r="A57" s="17" t="s">
        <v>52</v>
      </c>
      <c r="B57" s="19" t="s">
        <v>53</v>
      </c>
      <c r="C57" s="19" t="s">
        <v>362</v>
      </c>
      <c r="D57" s="19" t="s">
        <v>363</v>
      </c>
      <c r="E57" s="20" t="s">
        <v>32</v>
      </c>
      <c r="F57" s="19" t="s">
        <v>362</v>
      </c>
      <c r="G57" s="19" t="s">
        <v>364</v>
      </c>
      <c r="H57" s="19" t="s">
        <v>32</v>
      </c>
      <c r="I57" s="26">
        <v>0</v>
      </c>
      <c r="J57">
        <v>6</v>
      </c>
      <c r="K57" s="1"/>
    </row>
    <row r="58" spans="1:11">
      <c r="A58" s="17" t="s">
        <v>52</v>
      </c>
      <c r="B58" s="19" t="s">
        <v>53</v>
      </c>
      <c r="C58" s="19" t="s">
        <v>796</v>
      </c>
      <c r="D58" s="19" t="s">
        <v>797</v>
      </c>
      <c r="E58" s="20" t="s">
        <v>32</v>
      </c>
      <c r="F58" s="19" t="s">
        <v>796</v>
      </c>
      <c r="G58" s="19" t="s">
        <v>798</v>
      </c>
      <c r="H58" s="19" t="s">
        <v>32</v>
      </c>
      <c r="I58" s="26">
        <v>0</v>
      </c>
      <c r="J58">
        <v>1</v>
      </c>
      <c r="K58" s="1"/>
    </row>
    <row r="59" spans="1:11">
      <c r="A59" s="17" t="s">
        <v>52</v>
      </c>
      <c r="B59" s="19" t="s">
        <v>53</v>
      </c>
      <c r="C59" s="19" t="s">
        <v>365</v>
      </c>
      <c r="D59" s="19" t="s">
        <v>366</v>
      </c>
      <c r="E59" s="20" t="s">
        <v>32</v>
      </c>
      <c r="F59" s="19" t="s">
        <v>365</v>
      </c>
      <c r="G59" s="19" t="s">
        <v>367</v>
      </c>
      <c r="H59" s="19" t="s">
        <v>32</v>
      </c>
      <c r="I59" s="26">
        <v>0</v>
      </c>
      <c r="J59">
        <v>472</v>
      </c>
      <c r="K59" s="1"/>
    </row>
    <row r="60" spans="1:11">
      <c r="A60" s="17" t="s">
        <v>52</v>
      </c>
      <c r="B60" s="19" t="s">
        <v>53</v>
      </c>
      <c r="C60" s="19" t="s">
        <v>368</v>
      </c>
      <c r="D60" s="19" t="s">
        <v>369</v>
      </c>
      <c r="E60" s="20" t="s">
        <v>32</v>
      </c>
      <c r="F60" s="19" t="s">
        <v>368</v>
      </c>
      <c r="G60" s="19" t="s">
        <v>370</v>
      </c>
      <c r="H60" s="19" t="s">
        <v>32</v>
      </c>
      <c r="I60" s="26">
        <v>0</v>
      </c>
      <c r="J60">
        <v>3760</v>
      </c>
      <c r="K60" s="1"/>
    </row>
    <row r="61" spans="1:11">
      <c r="A61" s="17" t="s">
        <v>52</v>
      </c>
      <c r="B61" s="19" t="s">
        <v>53</v>
      </c>
      <c r="C61" s="19" t="s">
        <v>799</v>
      </c>
      <c r="D61" s="19" t="s">
        <v>800</v>
      </c>
      <c r="E61" s="20" t="s">
        <v>32</v>
      </c>
      <c r="F61" s="19" t="s">
        <v>799</v>
      </c>
      <c r="G61" s="19" t="s">
        <v>801</v>
      </c>
      <c r="H61" s="19" t="s">
        <v>32</v>
      </c>
      <c r="I61" s="26">
        <v>0</v>
      </c>
      <c r="J61">
        <v>7</v>
      </c>
      <c r="K61" s="1"/>
    </row>
    <row r="62" spans="1:11">
      <c r="A62" s="17" t="s">
        <v>52</v>
      </c>
      <c r="B62" s="19" t="s">
        <v>53</v>
      </c>
      <c r="C62" s="19" t="s">
        <v>371</v>
      </c>
      <c r="D62" s="19" t="s">
        <v>372</v>
      </c>
      <c r="E62" s="20" t="s">
        <v>32</v>
      </c>
      <c r="F62" s="19" t="s">
        <v>371</v>
      </c>
      <c r="G62" s="19" t="s">
        <v>373</v>
      </c>
      <c r="H62" s="19" t="s">
        <v>32</v>
      </c>
      <c r="I62" s="26">
        <v>0</v>
      </c>
      <c r="J62">
        <v>30</v>
      </c>
      <c r="K62" s="1"/>
    </row>
    <row r="63" spans="1:11">
      <c r="A63" s="17" t="s">
        <v>52</v>
      </c>
      <c r="B63" s="19" t="s">
        <v>53</v>
      </c>
      <c r="C63" s="19" t="s">
        <v>374</v>
      </c>
      <c r="D63" s="19" t="s">
        <v>375</v>
      </c>
      <c r="E63" s="20" t="s">
        <v>32</v>
      </c>
      <c r="F63" s="19" t="s">
        <v>374</v>
      </c>
      <c r="G63" s="19" t="s">
        <v>376</v>
      </c>
      <c r="H63" s="19" t="s">
        <v>32</v>
      </c>
      <c r="I63" s="26">
        <v>0</v>
      </c>
      <c r="J63">
        <v>4467</v>
      </c>
      <c r="K63" s="1"/>
    </row>
    <row r="64" spans="1:11">
      <c r="A64" s="17" t="s">
        <v>52</v>
      </c>
      <c r="B64" s="19" t="s">
        <v>53</v>
      </c>
      <c r="C64" s="19" t="s">
        <v>235</v>
      </c>
      <c r="D64" s="19" t="s">
        <v>236</v>
      </c>
      <c r="E64" s="20" t="s">
        <v>32</v>
      </c>
      <c r="F64" s="19" t="s">
        <v>235</v>
      </c>
      <c r="G64" s="19" t="s">
        <v>237</v>
      </c>
      <c r="H64" s="19" t="s">
        <v>32</v>
      </c>
      <c r="I64" s="26">
        <v>0</v>
      </c>
      <c r="J64">
        <v>4132</v>
      </c>
      <c r="K64" s="1"/>
    </row>
    <row r="65" spans="1:11">
      <c r="A65" s="17" t="s">
        <v>52</v>
      </c>
      <c r="B65" s="19" t="s">
        <v>53</v>
      </c>
      <c r="C65" s="19" t="s">
        <v>377</v>
      </c>
      <c r="D65" s="19" t="s">
        <v>378</v>
      </c>
      <c r="E65" s="20" t="s">
        <v>32</v>
      </c>
      <c r="F65" s="19" t="s">
        <v>377</v>
      </c>
      <c r="G65" s="19" t="s">
        <v>379</v>
      </c>
      <c r="H65" s="19" t="s">
        <v>32</v>
      </c>
      <c r="I65" s="26">
        <v>0</v>
      </c>
      <c r="J65">
        <v>372</v>
      </c>
      <c r="K65" s="1"/>
    </row>
    <row r="66" spans="1:11">
      <c r="A66" s="17" t="s">
        <v>52</v>
      </c>
      <c r="B66" s="19" t="s">
        <v>53</v>
      </c>
      <c r="C66" s="19" t="s">
        <v>238</v>
      </c>
      <c r="D66" s="19" t="s">
        <v>239</v>
      </c>
      <c r="E66" s="20" t="s">
        <v>32</v>
      </c>
      <c r="F66" s="19" t="s">
        <v>238</v>
      </c>
      <c r="G66" s="19" t="s">
        <v>240</v>
      </c>
      <c r="H66" s="19" t="s">
        <v>32</v>
      </c>
      <c r="I66" s="26">
        <v>0</v>
      </c>
      <c r="J66">
        <v>1356</v>
      </c>
      <c r="K66" s="1"/>
    </row>
    <row r="67" spans="1:11">
      <c r="A67" s="17" t="s">
        <v>52</v>
      </c>
      <c r="B67" s="19" t="s">
        <v>53</v>
      </c>
      <c r="C67" s="19" t="s">
        <v>380</v>
      </c>
      <c r="D67" s="19" t="s">
        <v>381</v>
      </c>
      <c r="E67" s="20" t="s">
        <v>32</v>
      </c>
      <c r="F67" s="19" t="s">
        <v>380</v>
      </c>
      <c r="G67" s="19" t="s">
        <v>382</v>
      </c>
      <c r="H67" s="19" t="s">
        <v>32</v>
      </c>
      <c r="I67" s="26">
        <v>0</v>
      </c>
      <c r="J67">
        <v>56</v>
      </c>
      <c r="K67" s="1"/>
    </row>
    <row r="68" spans="1:11">
      <c r="A68" s="17" t="s">
        <v>52</v>
      </c>
      <c r="B68" s="19" t="s">
        <v>53</v>
      </c>
      <c r="C68" s="19" t="s">
        <v>477</v>
      </c>
      <c r="D68" s="19" t="s">
        <v>478</v>
      </c>
      <c r="E68" s="20" t="s">
        <v>32</v>
      </c>
      <c r="F68" s="19" t="s">
        <v>477</v>
      </c>
      <c r="G68" s="19" t="s">
        <v>479</v>
      </c>
      <c r="H68" s="19" t="s">
        <v>32</v>
      </c>
      <c r="I68" s="26">
        <v>0</v>
      </c>
      <c r="J68">
        <v>7376</v>
      </c>
      <c r="K68" s="1"/>
    </row>
    <row r="69" spans="1:11">
      <c r="A69" s="17" t="s">
        <v>52</v>
      </c>
      <c r="B69" s="19" t="s">
        <v>53</v>
      </c>
      <c r="C69" s="19" t="s">
        <v>480</v>
      </c>
      <c r="D69" s="19" t="s">
        <v>481</v>
      </c>
      <c r="E69" s="20" t="s">
        <v>32</v>
      </c>
      <c r="F69" s="19" t="s">
        <v>480</v>
      </c>
      <c r="G69" s="19" t="s">
        <v>482</v>
      </c>
      <c r="H69" s="19" t="s">
        <v>32</v>
      </c>
      <c r="I69" s="26">
        <v>0</v>
      </c>
      <c r="J69">
        <v>4</v>
      </c>
      <c r="K69" s="1"/>
    </row>
    <row r="70" spans="1:11">
      <c r="A70" s="17" t="s">
        <v>52</v>
      </c>
      <c r="B70" s="19" t="s">
        <v>53</v>
      </c>
      <c r="C70" s="19" t="s">
        <v>483</v>
      </c>
      <c r="D70" s="19" t="s">
        <v>484</v>
      </c>
      <c r="E70" s="20" t="s">
        <v>32</v>
      </c>
      <c r="F70" s="19" t="s">
        <v>483</v>
      </c>
      <c r="G70" s="19" t="s">
        <v>485</v>
      </c>
      <c r="H70" s="19" t="s">
        <v>32</v>
      </c>
      <c r="I70" s="26">
        <v>0</v>
      </c>
      <c r="J70">
        <v>39</v>
      </c>
      <c r="K70" s="1"/>
    </row>
    <row r="71" spans="1:11">
      <c r="A71" s="17" t="s">
        <v>52</v>
      </c>
      <c r="B71" s="19" t="s">
        <v>53</v>
      </c>
      <c r="C71" s="19" t="s">
        <v>486</v>
      </c>
      <c r="D71" s="19" t="s">
        <v>487</v>
      </c>
      <c r="E71" s="20" t="s">
        <v>32</v>
      </c>
      <c r="F71" s="19" t="s">
        <v>486</v>
      </c>
      <c r="G71" s="19" t="s">
        <v>488</v>
      </c>
      <c r="H71" s="19" t="s">
        <v>32</v>
      </c>
      <c r="I71" s="26">
        <v>0</v>
      </c>
      <c r="J71">
        <v>54</v>
      </c>
      <c r="K71" s="1"/>
    </row>
    <row r="72" spans="1:11">
      <c r="A72" s="17" t="s">
        <v>52</v>
      </c>
      <c r="B72" s="19" t="s">
        <v>53</v>
      </c>
      <c r="C72" s="19" t="s">
        <v>489</v>
      </c>
      <c r="D72" s="19" t="s">
        <v>490</v>
      </c>
      <c r="E72" s="20" t="s">
        <v>32</v>
      </c>
      <c r="F72" s="19" t="s">
        <v>489</v>
      </c>
      <c r="G72" s="19" t="s">
        <v>491</v>
      </c>
      <c r="H72" s="19" t="s">
        <v>32</v>
      </c>
      <c r="I72" s="26">
        <v>0</v>
      </c>
      <c r="J72">
        <v>300</v>
      </c>
      <c r="K72" s="1"/>
    </row>
    <row r="73" spans="1:11">
      <c r="A73" s="17" t="s">
        <v>52</v>
      </c>
      <c r="B73" s="19" t="s">
        <v>53</v>
      </c>
      <c r="C73" s="19" t="s">
        <v>492</v>
      </c>
      <c r="D73" s="19" t="s">
        <v>493</v>
      </c>
      <c r="E73" s="20" t="s">
        <v>32</v>
      </c>
      <c r="F73" s="19" t="s">
        <v>492</v>
      </c>
      <c r="G73" s="19" t="s">
        <v>494</v>
      </c>
      <c r="H73" s="19" t="s">
        <v>32</v>
      </c>
      <c r="I73" s="26">
        <v>0</v>
      </c>
      <c r="J73">
        <v>8</v>
      </c>
      <c r="K73" s="1"/>
    </row>
    <row r="74" spans="1:11">
      <c r="A74" s="17" t="s">
        <v>52</v>
      </c>
      <c r="B74" s="19" t="s">
        <v>53</v>
      </c>
      <c r="C74" s="19" t="s">
        <v>495</v>
      </c>
      <c r="D74" s="19" t="s">
        <v>496</v>
      </c>
      <c r="E74" s="20" t="s">
        <v>32</v>
      </c>
      <c r="F74" s="19" t="s">
        <v>495</v>
      </c>
      <c r="G74" s="19" t="s">
        <v>497</v>
      </c>
      <c r="H74" s="19" t="s">
        <v>32</v>
      </c>
      <c r="I74" s="26">
        <v>0</v>
      </c>
      <c r="J74">
        <v>7611</v>
      </c>
      <c r="K74" s="1"/>
    </row>
    <row r="75" spans="1:11">
      <c r="A75" s="17" t="s">
        <v>52</v>
      </c>
      <c r="B75" s="19" t="s">
        <v>53</v>
      </c>
      <c r="C75" s="19" t="s">
        <v>498</v>
      </c>
      <c r="D75" s="19" t="s">
        <v>499</v>
      </c>
      <c r="E75" s="20" t="s">
        <v>32</v>
      </c>
      <c r="F75" s="19" t="s">
        <v>498</v>
      </c>
      <c r="G75" s="19" t="s">
        <v>500</v>
      </c>
      <c r="H75" s="19" t="s">
        <v>32</v>
      </c>
      <c r="I75" s="26">
        <v>0</v>
      </c>
      <c r="J75">
        <v>2631</v>
      </c>
      <c r="K75" s="1"/>
    </row>
    <row r="76" spans="1:11">
      <c r="A76" s="17" t="s">
        <v>52</v>
      </c>
      <c r="B76" s="19" t="s">
        <v>53</v>
      </c>
      <c r="C76" s="19" t="s">
        <v>802</v>
      </c>
      <c r="D76" s="19" t="s">
        <v>803</v>
      </c>
      <c r="E76" s="20" t="s">
        <v>32</v>
      </c>
      <c r="F76" s="19" t="s">
        <v>802</v>
      </c>
      <c r="G76" s="19" t="s">
        <v>804</v>
      </c>
      <c r="H76" s="19" t="s">
        <v>32</v>
      </c>
      <c r="I76" s="26">
        <v>0</v>
      </c>
      <c r="J76">
        <v>17</v>
      </c>
      <c r="K76" s="1"/>
    </row>
    <row r="77" spans="1:11">
      <c r="A77" s="17" t="s">
        <v>52</v>
      </c>
      <c r="B77" s="19" t="s">
        <v>53</v>
      </c>
      <c r="C77" s="19" t="s">
        <v>501</v>
      </c>
      <c r="D77" s="19" t="s">
        <v>502</v>
      </c>
      <c r="E77" s="20" t="s">
        <v>32</v>
      </c>
      <c r="F77" s="19" t="s">
        <v>501</v>
      </c>
      <c r="G77" s="19" t="s">
        <v>503</v>
      </c>
      <c r="H77" s="19" t="s">
        <v>32</v>
      </c>
      <c r="I77" s="26">
        <v>0</v>
      </c>
      <c r="J77">
        <v>47</v>
      </c>
      <c r="K77" s="1"/>
    </row>
    <row r="78" spans="1:11">
      <c r="A78" s="17" t="s">
        <v>52</v>
      </c>
      <c r="B78" s="19" t="s">
        <v>53</v>
      </c>
      <c r="C78" s="19" t="s">
        <v>504</v>
      </c>
      <c r="D78" s="19" t="s">
        <v>505</v>
      </c>
      <c r="E78" s="20" t="s">
        <v>32</v>
      </c>
      <c r="F78" s="19" t="s">
        <v>504</v>
      </c>
      <c r="G78" s="19" t="s">
        <v>506</v>
      </c>
      <c r="H78" s="19" t="s">
        <v>32</v>
      </c>
      <c r="I78" s="26">
        <v>0</v>
      </c>
      <c r="J78">
        <v>72</v>
      </c>
      <c r="K78" s="1"/>
    </row>
    <row r="79" spans="1:11">
      <c r="A79" s="17" t="s">
        <v>52</v>
      </c>
      <c r="B79" s="19" t="s">
        <v>53</v>
      </c>
      <c r="C79" s="19" t="s">
        <v>507</v>
      </c>
      <c r="D79" s="19" t="s">
        <v>508</v>
      </c>
      <c r="E79" s="20" t="s">
        <v>32</v>
      </c>
      <c r="F79" s="19" t="s">
        <v>507</v>
      </c>
      <c r="G79" s="19" t="s">
        <v>509</v>
      </c>
      <c r="H79" s="19" t="s">
        <v>32</v>
      </c>
      <c r="I79" s="26">
        <v>0</v>
      </c>
      <c r="J79">
        <v>62</v>
      </c>
      <c r="K79" s="1"/>
    </row>
    <row r="80" spans="1:11">
      <c r="A80" s="17" t="s">
        <v>52</v>
      </c>
      <c r="B80" s="19" t="s">
        <v>53</v>
      </c>
      <c r="C80" s="19" t="s">
        <v>510</v>
      </c>
      <c r="D80" s="19" t="s">
        <v>511</v>
      </c>
      <c r="E80" s="20" t="s">
        <v>32</v>
      </c>
      <c r="F80" s="19" t="s">
        <v>510</v>
      </c>
      <c r="G80" s="19" t="s">
        <v>512</v>
      </c>
      <c r="H80" s="19" t="s">
        <v>32</v>
      </c>
      <c r="I80" s="26">
        <v>0</v>
      </c>
      <c r="J80">
        <v>15</v>
      </c>
      <c r="K80" s="1"/>
    </row>
    <row r="81" spans="1:11">
      <c r="A81" s="17" t="s">
        <v>52</v>
      </c>
      <c r="B81" s="19" t="s">
        <v>53</v>
      </c>
      <c r="C81" s="19" t="s">
        <v>805</v>
      </c>
      <c r="D81" s="19" t="s">
        <v>806</v>
      </c>
      <c r="E81" s="20" t="s">
        <v>32</v>
      </c>
      <c r="F81" s="19" t="s">
        <v>805</v>
      </c>
      <c r="G81" s="19" t="s">
        <v>807</v>
      </c>
      <c r="H81" s="19" t="s">
        <v>32</v>
      </c>
      <c r="I81" s="26">
        <v>0</v>
      </c>
      <c r="J81">
        <v>14</v>
      </c>
      <c r="K81" s="1"/>
    </row>
    <row r="82" spans="1:11">
      <c r="A82" s="17" t="s">
        <v>52</v>
      </c>
      <c r="B82" s="19" t="s">
        <v>53</v>
      </c>
      <c r="C82" s="19" t="s">
        <v>54</v>
      </c>
      <c r="D82" s="19" t="s">
        <v>55</v>
      </c>
      <c r="E82" s="20" t="s">
        <v>32</v>
      </c>
      <c r="F82" s="19" t="s">
        <v>54</v>
      </c>
      <c r="G82" s="19" t="s">
        <v>56</v>
      </c>
      <c r="H82" s="19" t="s">
        <v>32</v>
      </c>
      <c r="I82" s="26">
        <v>0</v>
      </c>
      <c r="J82">
        <v>6</v>
      </c>
      <c r="K82" s="1"/>
    </row>
    <row r="83" spans="1:11">
      <c r="A83" s="17" t="s">
        <v>52</v>
      </c>
      <c r="B83" s="19" t="s">
        <v>53</v>
      </c>
      <c r="C83" s="19" t="s">
        <v>808</v>
      </c>
      <c r="D83" s="19" t="s">
        <v>809</v>
      </c>
      <c r="E83" s="20" t="s">
        <v>32</v>
      </c>
      <c r="F83" s="19" t="s">
        <v>808</v>
      </c>
      <c r="G83" s="19" t="s">
        <v>810</v>
      </c>
      <c r="H83" s="19" t="s">
        <v>32</v>
      </c>
      <c r="I83" s="26">
        <v>0</v>
      </c>
      <c r="J83">
        <v>4</v>
      </c>
      <c r="K83" s="1"/>
    </row>
    <row r="84" spans="1:11">
      <c r="A84" s="17" t="s">
        <v>52</v>
      </c>
      <c r="B84" s="19" t="s">
        <v>53</v>
      </c>
      <c r="C84" s="19" t="s">
        <v>241</v>
      </c>
      <c r="D84" s="19" t="s">
        <v>242</v>
      </c>
      <c r="E84" s="20" t="s">
        <v>32</v>
      </c>
      <c r="F84" s="19" t="s">
        <v>241</v>
      </c>
      <c r="G84" s="19" t="s">
        <v>243</v>
      </c>
      <c r="H84" s="19" t="s">
        <v>32</v>
      </c>
      <c r="I84" s="26">
        <v>0</v>
      </c>
      <c r="J84">
        <v>349</v>
      </c>
      <c r="K84" s="1"/>
    </row>
    <row r="85" spans="1:11">
      <c r="A85" s="17" t="s">
        <v>52</v>
      </c>
      <c r="B85" s="19" t="s">
        <v>53</v>
      </c>
      <c r="C85" s="19" t="s">
        <v>244</v>
      </c>
      <c r="D85" s="19" t="s">
        <v>245</v>
      </c>
      <c r="E85" s="20" t="s">
        <v>32</v>
      </c>
      <c r="F85" s="19" t="s">
        <v>244</v>
      </c>
      <c r="G85" s="19" t="s">
        <v>246</v>
      </c>
      <c r="H85" s="19" t="s">
        <v>32</v>
      </c>
      <c r="I85" s="26">
        <v>0</v>
      </c>
      <c r="J85">
        <v>940</v>
      </c>
      <c r="K85" s="1"/>
    </row>
    <row r="86" spans="1:11">
      <c r="A86" s="17" t="s">
        <v>52</v>
      </c>
      <c r="B86" s="19" t="s">
        <v>53</v>
      </c>
      <c r="C86" s="19" t="s">
        <v>247</v>
      </c>
      <c r="D86" s="19" t="s">
        <v>248</v>
      </c>
      <c r="E86" s="20" t="s">
        <v>32</v>
      </c>
      <c r="F86" s="19" t="s">
        <v>247</v>
      </c>
      <c r="G86" s="19" t="s">
        <v>249</v>
      </c>
      <c r="H86" s="19" t="s">
        <v>32</v>
      </c>
      <c r="I86" s="26">
        <v>0</v>
      </c>
      <c r="J86">
        <v>55</v>
      </c>
      <c r="K86" s="1"/>
    </row>
    <row r="87" spans="1:11">
      <c r="A87" s="17" t="s">
        <v>52</v>
      </c>
      <c r="B87" s="19" t="s">
        <v>53</v>
      </c>
      <c r="C87" s="19" t="s">
        <v>383</v>
      </c>
      <c r="D87" s="19" t="s">
        <v>384</v>
      </c>
      <c r="E87" s="20" t="s">
        <v>32</v>
      </c>
      <c r="F87" s="19" t="s">
        <v>383</v>
      </c>
      <c r="G87" s="19" t="s">
        <v>385</v>
      </c>
      <c r="H87" s="19" t="s">
        <v>32</v>
      </c>
      <c r="I87" s="26">
        <v>0</v>
      </c>
      <c r="J87">
        <v>4</v>
      </c>
      <c r="K87" s="1"/>
    </row>
    <row r="88" spans="1:11">
      <c r="A88" s="17" t="s">
        <v>52</v>
      </c>
      <c r="B88" s="19" t="s">
        <v>53</v>
      </c>
      <c r="C88" s="19" t="s">
        <v>111</v>
      </c>
      <c r="D88" s="19" t="s">
        <v>112</v>
      </c>
      <c r="E88" s="20" t="s">
        <v>32</v>
      </c>
      <c r="F88" s="19" t="s">
        <v>111</v>
      </c>
      <c r="G88" s="19" t="s">
        <v>113</v>
      </c>
      <c r="H88" s="19" t="s">
        <v>32</v>
      </c>
      <c r="I88" s="26">
        <v>0</v>
      </c>
      <c r="J88">
        <v>12</v>
      </c>
      <c r="K88" s="1"/>
    </row>
    <row r="89" spans="1:11">
      <c r="A89" s="17" t="s">
        <v>52</v>
      </c>
      <c r="B89" s="19" t="s">
        <v>53</v>
      </c>
      <c r="C89" s="19" t="s">
        <v>811</v>
      </c>
      <c r="D89" s="19" t="s">
        <v>812</v>
      </c>
      <c r="E89" s="20" t="s">
        <v>32</v>
      </c>
      <c r="F89" s="19" t="s">
        <v>811</v>
      </c>
      <c r="G89" s="19" t="s">
        <v>813</v>
      </c>
      <c r="H89" s="19" t="s">
        <v>32</v>
      </c>
      <c r="I89" s="26">
        <v>0</v>
      </c>
      <c r="J89">
        <v>1</v>
      </c>
      <c r="K89" s="1"/>
    </row>
    <row r="90" spans="1:11">
      <c r="A90" s="17" t="s">
        <v>52</v>
      </c>
      <c r="B90" s="19" t="s">
        <v>53</v>
      </c>
      <c r="C90" s="19" t="s">
        <v>149</v>
      </c>
      <c r="D90" s="19" t="s">
        <v>150</v>
      </c>
      <c r="E90" s="20" t="s">
        <v>32</v>
      </c>
      <c r="F90" s="19" t="s">
        <v>149</v>
      </c>
      <c r="G90" s="19" t="s">
        <v>151</v>
      </c>
      <c r="H90" s="19" t="s">
        <v>32</v>
      </c>
      <c r="I90" s="26">
        <v>0</v>
      </c>
      <c r="J90">
        <v>1300</v>
      </c>
      <c r="K90" s="1"/>
    </row>
    <row r="91" spans="1:11">
      <c r="A91" s="17" t="s">
        <v>52</v>
      </c>
      <c r="B91" s="19" t="s">
        <v>53</v>
      </c>
      <c r="C91" s="19" t="s">
        <v>513</v>
      </c>
      <c r="D91" s="19" t="s">
        <v>514</v>
      </c>
      <c r="E91" s="20" t="s">
        <v>32</v>
      </c>
      <c r="F91" s="19" t="s">
        <v>513</v>
      </c>
      <c r="G91" s="19" t="s">
        <v>515</v>
      </c>
      <c r="H91" s="19" t="s">
        <v>32</v>
      </c>
      <c r="I91" s="26">
        <v>0</v>
      </c>
      <c r="J91">
        <v>50</v>
      </c>
      <c r="K91" s="1"/>
    </row>
    <row r="92" spans="1:11">
      <c r="A92" s="17" t="s">
        <v>52</v>
      </c>
      <c r="B92" s="19" t="s">
        <v>53</v>
      </c>
      <c r="C92" s="19" t="s">
        <v>250</v>
      </c>
      <c r="D92" s="19" t="s">
        <v>251</v>
      </c>
      <c r="E92" s="20" t="s">
        <v>32</v>
      </c>
      <c r="F92" s="19" t="s">
        <v>250</v>
      </c>
      <c r="G92" s="19" t="s">
        <v>252</v>
      </c>
      <c r="H92" s="19" t="s">
        <v>32</v>
      </c>
      <c r="I92" s="26">
        <v>0</v>
      </c>
      <c r="J92">
        <v>56</v>
      </c>
      <c r="K92" s="1"/>
    </row>
    <row r="93" spans="1:11">
      <c r="A93" s="17" t="s">
        <v>52</v>
      </c>
      <c r="B93" s="19" t="s">
        <v>53</v>
      </c>
      <c r="C93" s="19" t="s">
        <v>253</v>
      </c>
      <c r="D93" s="19" t="s">
        <v>254</v>
      </c>
      <c r="E93" s="20" t="s">
        <v>32</v>
      </c>
      <c r="F93" s="19" t="s">
        <v>253</v>
      </c>
      <c r="G93" s="19" t="s">
        <v>255</v>
      </c>
      <c r="H93" s="19" t="s">
        <v>32</v>
      </c>
      <c r="I93" s="26">
        <v>0</v>
      </c>
      <c r="J93">
        <v>6</v>
      </c>
      <c r="K93" s="1"/>
    </row>
    <row r="94" spans="1:11">
      <c r="A94" s="17" t="s">
        <v>52</v>
      </c>
      <c r="B94" s="19" t="s">
        <v>53</v>
      </c>
      <c r="C94" s="19" t="s">
        <v>814</v>
      </c>
      <c r="D94" s="19" t="s">
        <v>815</v>
      </c>
      <c r="E94" s="20" t="s">
        <v>32</v>
      </c>
      <c r="F94" s="19" t="s">
        <v>814</v>
      </c>
      <c r="G94" s="19" t="s">
        <v>816</v>
      </c>
      <c r="H94" s="19" t="s">
        <v>32</v>
      </c>
      <c r="I94" s="26">
        <v>0</v>
      </c>
      <c r="J94">
        <v>2</v>
      </c>
      <c r="K94" s="1"/>
    </row>
    <row r="95" spans="1:11">
      <c r="A95" s="17" t="s">
        <v>52</v>
      </c>
      <c r="B95" s="19" t="s">
        <v>53</v>
      </c>
      <c r="C95" s="19" t="s">
        <v>386</v>
      </c>
      <c r="D95" s="19" t="s">
        <v>387</v>
      </c>
      <c r="E95" s="20" t="s">
        <v>32</v>
      </c>
      <c r="F95" s="19" t="s">
        <v>386</v>
      </c>
      <c r="G95" s="19" t="s">
        <v>388</v>
      </c>
      <c r="H95" s="19" t="s">
        <v>32</v>
      </c>
      <c r="I95" s="26">
        <v>0</v>
      </c>
      <c r="J95">
        <v>100</v>
      </c>
      <c r="K95" s="1"/>
    </row>
    <row r="96" spans="1:11">
      <c r="A96" s="17" t="s">
        <v>52</v>
      </c>
      <c r="B96" s="19" t="s">
        <v>53</v>
      </c>
      <c r="C96" s="19" t="s">
        <v>516</v>
      </c>
      <c r="D96" s="19" t="s">
        <v>517</v>
      </c>
      <c r="E96" s="20" t="s">
        <v>32</v>
      </c>
      <c r="F96" s="19" t="s">
        <v>516</v>
      </c>
      <c r="G96" s="19" t="s">
        <v>518</v>
      </c>
      <c r="H96" s="19" t="s">
        <v>32</v>
      </c>
      <c r="I96" s="26">
        <v>0</v>
      </c>
      <c r="J96">
        <v>30653</v>
      </c>
      <c r="K96" s="1"/>
    </row>
    <row r="97" spans="1:11">
      <c r="A97" s="17" t="s">
        <v>52</v>
      </c>
      <c r="B97" s="19" t="s">
        <v>53</v>
      </c>
      <c r="C97" s="19" t="s">
        <v>519</v>
      </c>
      <c r="D97" s="19" t="s">
        <v>520</v>
      </c>
      <c r="E97" s="20" t="s">
        <v>32</v>
      </c>
      <c r="F97" s="19" t="s">
        <v>519</v>
      </c>
      <c r="G97" s="19" t="s">
        <v>521</v>
      </c>
      <c r="H97" s="19" t="s">
        <v>32</v>
      </c>
      <c r="I97" s="26">
        <v>0</v>
      </c>
      <c r="J97">
        <v>3925</v>
      </c>
      <c r="K97" s="1"/>
    </row>
    <row r="98" spans="1:11">
      <c r="A98" s="17" t="s">
        <v>52</v>
      </c>
      <c r="B98" s="19" t="s">
        <v>53</v>
      </c>
      <c r="C98" s="19" t="s">
        <v>522</v>
      </c>
      <c r="D98" s="19" t="s">
        <v>523</v>
      </c>
      <c r="E98" s="20" t="s">
        <v>32</v>
      </c>
      <c r="F98" s="19" t="s">
        <v>522</v>
      </c>
      <c r="G98" s="19" t="s">
        <v>524</v>
      </c>
      <c r="H98" s="19" t="s">
        <v>32</v>
      </c>
      <c r="I98" s="26">
        <v>0</v>
      </c>
      <c r="J98">
        <v>2269</v>
      </c>
      <c r="K98" s="1"/>
    </row>
    <row r="99" spans="1:11">
      <c r="A99" s="17" t="s">
        <v>52</v>
      </c>
      <c r="B99" s="19" t="s">
        <v>53</v>
      </c>
      <c r="C99" s="19" t="s">
        <v>152</v>
      </c>
      <c r="D99" s="19" t="s">
        <v>153</v>
      </c>
      <c r="E99" s="20" t="s">
        <v>32</v>
      </c>
      <c r="F99" s="19" t="s">
        <v>152</v>
      </c>
      <c r="G99" s="19" t="s">
        <v>154</v>
      </c>
      <c r="H99" s="19" t="s">
        <v>32</v>
      </c>
      <c r="I99" s="26">
        <v>0</v>
      </c>
      <c r="J99">
        <v>112</v>
      </c>
      <c r="K99" s="1"/>
    </row>
    <row r="100" spans="1:11">
      <c r="A100" s="17" t="s">
        <v>52</v>
      </c>
      <c r="B100" s="19" t="s">
        <v>53</v>
      </c>
      <c r="C100" s="19" t="s">
        <v>155</v>
      </c>
      <c r="D100" s="19" t="s">
        <v>156</v>
      </c>
      <c r="E100" s="20" t="s">
        <v>32</v>
      </c>
      <c r="F100" s="19" t="s">
        <v>155</v>
      </c>
      <c r="G100" s="19" t="s">
        <v>157</v>
      </c>
      <c r="H100" s="19" t="s">
        <v>32</v>
      </c>
      <c r="I100" s="26">
        <v>0</v>
      </c>
      <c r="J100">
        <v>221</v>
      </c>
      <c r="K100" s="1"/>
    </row>
    <row r="101" spans="1:11">
      <c r="A101" s="17" t="s">
        <v>52</v>
      </c>
      <c r="B101" s="19" t="s">
        <v>53</v>
      </c>
      <c r="C101" s="19" t="s">
        <v>525</v>
      </c>
      <c r="D101" s="19" t="s">
        <v>526</v>
      </c>
      <c r="E101" s="20" t="s">
        <v>32</v>
      </c>
      <c r="F101" s="19" t="s">
        <v>525</v>
      </c>
      <c r="G101" s="19" t="s">
        <v>527</v>
      </c>
      <c r="H101" s="19" t="s">
        <v>32</v>
      </c>
      <c r="I101" s="26">
        <v>0</v>
      </c>
      <c r="J101">
        <v>145</v>
      </c>
      <c r="K101" s="1"/>
    </row>
    <row r="102" spans="1:11">
      <c r="A102" s="17" t="s">
        <v>52</v>
      </c>
      <c r="B102" s="19" t="s">
        <v>53</v>
      </c>
      <c r="C102" s="19" t="s">
        <v>528</v>
      </c>
      <c r="D102" s="19" t="s">
        <v>529</v>
      </c>
      <c r="E102" s="20" t="s">
        <v>32</v>
      </c>
      <c r="F102" s="19" t="s">
        <v>528</v>
      </c>
      <c r="G102" s="19" t="s">
        <v>530</v>
      </c>
      <c r="H102" s="19" t="s">
        <v>32</v>
      </c>
      <c r="I102" s="26">
        <v>0</v>
      </c>
      <c r="J102">
        <v>9</v>
      </c>
      <c r="K102" s="1"/>
    </row>
    <row r="103" spans="1:11">
      <c r="A103" s="17" t="s">
        <v>52</v>
      </c>
      <c r="B103" s="19" t="s">
        <v>53</v>
      </c>
      <c r="C103" s="19" t="s">
        <v>158</v>
      </c>
      <c r="D103" s="19" t="s">
        <v>159</v>
      </c>
      <c r="E103" s="20" t="s">
        <v>32</v>
      </c>
      <c r="F103" s="19" t="s">
        <v>158</v>
      </c>
      <c r="G103" s="19" t="s">
        <v>160</v>
      </c>
      <c r="H103" s="19" t="s">
        <v>32</v>
      </c>
      <c r="I103" s="26">
        <v>0</v>
      </c>
      <c r="J103">
        <v>13</v>
      </c>
      <c r="K103" s="1"/>
    </row>
    <row r="104" spans="1:11">
      <c r="A104" s="17" t="s">
        <v>52</v>
      </c>
      <c r="B104" s="19" t="s">
        <v>53</v>
      </c>
      <c r="C104" s="19" t="s">
        <v>161</v>
      </c>
      <c r="D104" s="19" t="s">
        <v>162</v>
      </c>
      <c r="E104" s="20" t="s">
        <v>32</v>
      </c>
      <c r="F104" s="19" t="s">
        <v>161</v>
      </c>
      <c r="G104" s="19" t="s">
        <v>163</v>
      </c>
      <c r="H104" s="19" t="s">
        <v>32</v>
      </c>
      <c r="I104" s="26">
        <v>0</v>
      </c>
      <c r="J104">
        <v>35</v>
      </c>
      <c r="K104" s="1"/>
    </row>
    <row r="105" spans="1:11">
      <c r="A105" s="17" t="s">
        <v>57</v>
      </c>
      <c r="B105" s="19" t="s">
        <v>389</v>
      </c>
      <c r="C105" s="19" t="s">
        <v>531</v>
      </c>
      <c r="D105" s="19" t="s">
        <v>532</v>
      </c>
      <c r="E105" s="20" t="s">
        <v>12</v>
      </c>
      <c r="F105" s="19" t="s">
        <v>531</v>
      </c>
      <c r="G105" s="19" t="s">
        <v>533</v>
      </c>
      <c r="H105" s="19" t="s">
        <v>31</v>
      </c>
      <c r="I105" s="26">
        <v>15889</v>
      </c>
      <c r="J105">
        <v>10</v>
      </c>
      <c r="K105" s="1"/>
    </row>
    <row r="106" spans="1:11">
      <c r="A106" s="17" t="s">
        <v>57</v>
      </c>
      <c r="B106" s="19" t="s">
        <v>389</v>
      </c>
      <c r="C106" s="19" t="s">
        <v>534</v>
      </c>
      <c r="D106" s="19" t="s">
        <v>535</v>
      </c>
      <c r="E106" s="20" t="s">
        <v>12</v>
      </c>
      <c r="F106" s="19" t="s">
        <v>534</v>
      </c>
      <c r="G106" s="19" t="s">
        <v>536</v>
      </c>
      <c r="H106" s="19" t="s">
        <v>31</v>
      </c>
      <c r="I106" s="26">
        <v>13598</v>
      </c>
      <c r="J106">
        <v>24</v>
      </c>
      <c r="K106" s="1"/>
    </row>
    <row r="107" spans="1:11">
      <c r="A107" s="17" t="s">
        <v>57</v>
      </c>
      <c r="B107" s="19" t="s">
        <v>389</v>
      </c>
      <c r="C107" s="19" t="s">
        <v>537</v>
      </c>
      <c r="D107" s="19" t="s">
        <v>538</v>
      </c>
      <c r="E107" s="20" t="s">
        <v>12</v>
      </c>
      <c r="F107" s="19" t="s">
        <v>537</v>
      </c>
      <c r="G107" s="19" t="s">
        <v>539</v>
      </c>
      <c r="H107" s="19" t="s">
        <v>31</v>
      </c>
      <c r="I107" s="26">
        <v>15632</v>
      </c>
      <c r="J107">
        <v>14</v>
      </c>
      <c r="K107" s="1"/>
    </row>
    <row r="108" spans="1:11">
      <c r="A108" s="17" t="s">
        <v>57</v>
      </c>
      <c r="B108" s="19" t="s">
        <v>389</v>
      </c>
      <c r="C108" s="19" t="s">
        <v>540</v>
      </c>
      <c r="D108" s="19" t="s">
        <v>541</v>
      </c>
      <c r="E108" s="20" t="s">
        <v>12</v>
      </c>
      <c r="F108" s="19" t="s">
        <v>540</v>
      </c>
      <c r="G108" s="19" t="s">
        <v>542</v>
      </c>
      <c r="H108" s="19" t="s">
        <v>31</v>
      </c>
      <c r="I108" s="26">
        <v>88511</v>
      </c>
      <c r="J108">
        <v>53</v>
      </c>
      <c r="K108" s="1"/>
    </row>
    <row r="109" spans="1:11">
      <c r="A109" s="17" t="s">
        <v>57</v>
      </c>
      <c r="B109" s="19" t="s">
        <v>389</v>
      </c>
      <c r="C109" s="19" t="s">
        <v>543</v>
      </c>
      <c r="D109" s="19" t="s">
        <v>544</v>
      </c>
      <c r="E109" s="20" t="s">
        <v>12</v>
      </c>
      <c r="F109" s="19" t="s">
        <v>543</v>
      </c>
      <c r="G109" s="19" t="s">
        <v>545</v>
      </c>
      <c r="H109" s="19" t="s">
        <v>31</v>
      </c>
      <c r="I109" s="26">
        <v>96403</v>
      </c>
      <c r="J109">
        <v>321</v>
      </c>
      <c r="K109" s="1"/>
    </row>
    <row r="110" spans="1:11">
      <c r="A110" s="17" t="s">
        <v>57</v>
      </c>
      <c r="B110" s="19" t="s">
        <v>389</v>
      </c>
      <c r="C110" s="19" t="s">
        <v>546</v>
      </c>
      <c r="D110" s="19" t="s">
        <v>547</v>
      </c>
      <c r="E110" s="20" t="s">
        <v>12</v>
      </c>
      <c r="F110" s="19" t="s">
        <v>546</v>
      </c>
      <c r="G110" s="19" t="s">
        <v>548</v>
      </c>
      <c r="H110" s="19" t="s">
        <v>31</v>
      </c>
      <c r="I110" s="26">
        <v>126325</v>
      </c>
      <c r="J110">
        <v>115</v>
      </c>
      <c r="K110" s="1"/>
    </row>
    <row r="111" spans="1:11">
      <c r="A111" s="17" t="s">
        <v>57</v>
      </c>
      <c r="B111" s="19" t="s">
        <v>389</v>
      </c>
      <c r="C111" s="19" t="s">
        <v>549</v>
      </c>
      <c r="D111" s="19" t="s">
        <v>550</v>
      </c>
      <c r="E111" s="20" t="s">
        <v>12</v>
      </c>
      <c r="F111" s="19" t="s">
        <v>549</v>
      </c>
      <c r="G111" s="19" t="s">
        <v>551</v>
      </c>
      <c r="H111" s="19" t="s">
        <v>31</v>
      </c>
      <c r="I111" s="26">
        <v>358611</v>
      </c>
      <c r="J111">
        <v>483</v>
      </c>
      <c r="K111" s="1"/>
    </row>
    <row r="112" spans="1:11">
      <c r="A112" s="17" t="s">
        <v>57</v>
      </c>
      <c r="B112" s="19" t="s">
        <v>389</v>
      </c>
      <c r="C112" s="19" t="s">
        <v>552</v>
      </c>
      <c r="D112" s="19" t="s">
        <v>553</v>
      </c>
      <c r="E112" s="20" t="s">
        <v>12</v>
      </c>
      <c r="F112" s="19" t="s">
        <v>552</v>
      </c>
      <c r="G112" s="19" t="s">
        <v>554</v>
      </c>
      <c r="H112" s="19" t="s">
        <v>31</v>
      </c>
      <c r="I112" s="26">
        <v>247896</v>
      </c>
      <c r="J112">
        <v>479</v>
      </c>
      <c r="K112" s="1"/>
    </row>
    <row r="113" spans="1:11">
      <c r="A113" s="17" t="s">
        <v>57</v>
      </c>
      <c r="B113" s="19" t="s">
        <v>389</v>
      </c>
      <c r="C113" s="19" t="s">
        <v>555</v>
      </c>
      <c r="D113" s="19" t="s">
        <v>556</v>
      </c>
      <c r="E113" s="20" t="s">
        <v>12</v>
      </c>
      <c r="F113" s="19" t="s">
        <v>555</v>
      </c>
      <c r="G113" s="19" t="s">
        <v>557</v>
      </c>
      <c r="H113" s="19" t="s">
        <v>31</v>
      </c>
      <c r="I113" s="26">
        <v>306707</v>
      </c>
      <c r="J113">
        <v>503</v>
      </c>
      <c r="K113" s="1"/>
    </row>
    <row r="114" spans="1:11">
      <c r="A114" s="17" t="s">
        <v>57</v>
      </c>
      <c r="B114" s="19" t="s">
        <v>389</v>
      </c>
      <c r="C114" s="19" t="s">
        <v>558</v>
      </c>
      <c r="D114" s="19" t="s">
        <v>559</v>
      </c>
      <c r="E114" s="20" t="s">
        <v>12</v>
      </c>
      <c r="F114" s="19" t="s">
        <v>558</v>
      </c>
      <c r="G114" s="19" t="s">
        <v>560</v>
      </c>
      <c r="H114" s="19" t="s">
        <v>31</v>
      </c>
      <c r="I114" s="26">
        <v>40133</v>
      </c>
      <c r="J114">
        <v>11</v>
      </c>
      <c r="K114" s="1"/>
    </row>
    <row r="115" spans="1:11">
      <c r="A115" s="17" t="s">
        <v>57</v>
      </c>
      <c r="B115" s="19" t="s">
        <v>389</v>
      </c>
      <c r="C115" s="19" t="s">
        <v>561</v>
      </c>
      <c r="D115" s="19" t="s">
        <v>562</v>
      </c>
      <c r="E115" s="20" t="s">
        <v>12</v>
      </c>
      <c r="F115" s="19" t="s">
        <v>561</v>
      </c>
      <c r="G115" s="19" t="s">
        <v>563</v>
      </c>
      <c r="H115" s="19" t="s">
        <v>31</v>
      </c>
      <c r="I115" s="26">
        <v>29241</v>
      </c>
      <c r="J115">
        <v>24</v>
      </c>
      <c r="K115" s="1"/>
    </row>
    <row r="116" spans="1:11">
      <c r="A116" s="17" t="s">
        <v>57</v>
      </c>
      <c r="B116" s="19" t="s">
        <v>389</v>
      </c>
      <c r="C116" s="19" t="s">
        <v>564</v>
      </c>
      <c r="D116" s="19" t="s">
        <v>565</v>
      </c>
      <c r="E116" s="20" t="s">
        <v>12</v>
      </c>
      <c r="F116" s="19" t="s">
        <v>564</v>
      </c>
      <c r="G116" s="19" t="s">
        <v>566</v>
      </c>
      <c r="H116" s="19" t="s">
        <v>31</v>
      </c>
      <c r="I116" s="26">
        <v>54671</v>
      </c>
      <c r="J116">
        <v>38</v>
      </c>
      <c r="K116" s="1"/>
    </row>
    <row r="117" spans="1:11">
      <c r="A117" s="17" t="s">
        <v>57</v>
      </c>
      <c r="B117" s="19" t="s">
        <v>256</v>
      </c>
      <c r="C117" s="19" t="s">
        <v>390</v>
      </c>
      <c r="D117" s="19" t="s">
        <v>391</v>
      </c>
      <c r="E117" s="20" t="s">
        <v>32</v>
      </c>
      <c r="F117" s="19" t="s">
        <v>390</v>
      </c>
      <c r="G117" s="19" t="s">
        <v>392</v>
      </c>
      <c r="H117" s="19" t="s">
        <v>32</v>
      </c>
      <c r="I117" s="26">
        <v>1</v>
      </c>
      <c r="J117">
        <v>0</v>
      </c>
      <c r="K117" s="1"/>
    </row>
    <row r="118" spans="1:11">
      <c r="A118" s="17" t="s">
        <v>57</v>
      </c>
      <c r="B118" s="19" t="s">
        <v>256</v>
      </c>
      <c r="C118" s="19" t="s">
        <v>257</v>
      </c>
      <c r="D118" s="19" t="s">
        <v>258</v>
      </c>
      <c r="E118" s="20" t="s">
        <v>32</v>
      </c>
      <c r="F118" s="19" t="s">
        <v>257</v>
      </c>
      <c r="G118" s="19" t="s">
        <v>259</v>
      </c>
      <c r="H118" s="19" t="s">
        <v>32</v>
      </c>
      <c r="I118" s="26">
        <v>1</v>
      </c>
      <c r="J118">
        <v>0</v>
      </c>
      <c r="K118" s="1"/>
    </row>
    <row r="119" spans="1:11">
      <c r="A119" s="17" t="s">
        <v>57</v>
      </c>
      <c r="B119" s="19" t="s">
        <v>256</v>
      </c>
      <c r="C119" s="19" t="s">
        <v>817</v>
      </c>
      <c r="D119" s="19" t="s">
        <v>818</v>
      </c>
      <c r="E119" s="20" t="s">
        <v>32</v>
      </c>
      <c r="F119" s="19" t="s">
        <v>817</v>
      </c>
      <c r="G119" s="19" t="s">
        <v>819</v>
      </c>
      <c r="H119" s="19" t="s">
        <v>32</v>
      </c>
      <c r="I119" s="26">
        <v>11</v>
      </c>
      <c r="J119">
        <v>0</v>
      </c>
      <c r="K119" s="1"/>
    </row>
    <row r="120" spans="1:11">
      <c r="A120" s="17" t="s">
        <v>57</v>
      </c>
      <c r="B120" s="19" t="s">
        <v>256</v>
      </c>
      <c r="C120" s="19" t="s">
        <v>820</v>
      </c>
      <c r="D120" s="19" t="s">
        <v>821</v>
      </c>
      <c r="E120" s="20" t="s">
        <v>32</v>
      </c>
      <c r="F120" s="19" t="s">
        <v>820</v>
      </c>
      <c r="G120" s="19" t="s">
        <v>822</v>
      </c>
      <c r="H120" s="19" t="s">
        <v>32</v>
      </c>
      <c r="I120" s="26">
        <v>1</v>
      </c>
      <c r="J120">
        <v>0</v>
      </c>
      <c r="K120" s="1"/>
    </row>
    <row r="121" spans="1:11">
      <c r="A121" s="17" t="s">
        <v>57</v>
      </c>
      <c r="B121" s="19" t="s">
        <v>256</v>
      </c>
      <c r="C121" s="19" t="s">
        <v>823</v>
      </c>
      <c r="D121" s="19" t="s">
        <v>824</v>
      </c>
      <c r="E121" s="20" t="s">
        <v>32</v>
      </c>
      <c r="F121" s="19" t="s">
        <v>823</v>
      </c>
      <c r="G121" s="19" t="s">
        <v>825</v>
      </c>
      <c r="H121" s="19" t="s">
        <v>32</v>
      </c>
      <c r="I121" s="26">
        <v>1</v>
      </c>
      <c r="J121">
        <v>0</v>
      </c>
      <c r="K121" s="1"/>
    </row>
    <row r="122" spans="1:11">
      <c r="A122" s="17" t="s">
        <v>57</v>
      </c>
      <c r="B122" s="19" t="s">
        <v>58</v>
      </c>
      <c r="C122" s="19" t="s">
        <v>567</v>
      </c>
      <c r="D122" s="19" t="s">
        <v>568</v>
      </c>
      <c r="E122" s="20" t="s">
        <v>32</v>
      </c>
      <c r="F122" s="19" t="s">
        <v>567</v>
      </c>
      <c r="G122" s="19" t="s">
        <v>569</v>
      </c>
      <c r="H122" s="19" t="s">
        <v>32</v>
      </c>
      <c r="I122" s="26">
        <v>0</v>
      </c>
      <c r="J122">
        <v>2</v>
      </c>
      <c r="K122" s="1"/>
    </row>
    <row r="123" spans="1:11">
      <c r="A123" s="17" t="s">
        <v>57</v>
      </c>
      <c r="B123" s="19" t="s">
        <v>58</v>
      </c>
      <c r="C123" s="19" t="s">
        <v>164</v>
      </c>
      <c r="D123" s="19" t="s">
        <v>165</v>
      </c>
      <c r="E123" s="20" t="s">
        <v>32</v>
      </c>
      <c r="F123" s="19" t="s">
        <v>164</v>
      </c>
      <c r="G123" s="19" t="s">
        <v>166</v>
      </c>
      <c r="H123" s="19" t="s">
        <v>32</v>
      </c>
      <c r="I123" s="26">
        <v>7013</v>
      </c>
      <c r="J123">
        <v>280</v>
      </c>
      <c r="K123" s="1"/>
    </row>
    <row r="124" spans="1:11">
      <c r="A124" s="17" t="s">
        <v>57</v>
      </c>
      <c r="B124" s="19" t="s">
        <v>58</v>
      </c>
      <c r="C124" s="19" t="s">
        <v>570</v>
      </c>
      <c r="D124" s="19" t="s">
        <v>571</v>
      </c>
      <c r="E124" s="20" t="s">
        <v>32</v>
      </c>
      <c r="F124" s="19" t="s">
        <v>570</v>
      </c>
      <c r="G124" s="19" t="s">
        <v>572</v>
      </c>
      <c r="H124" s="19" t="s">
        <v>32</v>
      </c>
      <c r="I124">
        <v>16397</v>
      </c>
      <c r="J124">
        <v>0</v>
      </c>
      <c r="K124" s="1"/>
    </row>
    <row r="125" spans="1:11">
      <c r="A125" s="17" t="s">
        <v>57</v>
      </c>
      <c r="B125" s="19" t="s">
        <v>58</v>
      </c>
      <c r="C125" s="19" t="s">
        <v>167</v>
      </c>
      <c r="D125" s="19" t="s">
        <v>168</v>
      </c>
      <c r="E125" s="20" t="s">
        <v>32</v>
      </c>
      <c r="F125" s="19" t="s">
        <v>167</v>
      </c>
      <c r="G125" s="19" t="s">
        <v>393</v>
      </c>
      <c r="H125" s="19" t="s">
        <v>32</v>
      </c>
      <c r="I125">
        <v>41781</v>
      </c>
      <c r="J125">
        <v>727</v>
      </c>
      <c r="K125" s="1"/>
    </row>
    <row r="126" spans="1:11">
      <c r="A126" s="17" t="s">
        <v>57</v>
      </c>
      <c r="B126" s="19" t="s">
        <v>58</v>
      </c>
      <c r="C126" s="19" t="s">
        <v>573</v>
      </c>
      <c r="D126" s="19" t="s">
        <v>574</v>
      </c>
      <c r="E126" s="20" t="s">
        <v>32</v>
      </c>
      <c r="F126" s="19" t="s">
        <v>573</v>
      </c>
      <c r="G126" s="19" t="s">
        <v>575</v>
      </c>
      <c r="H126" s="19" t="s">
        <v>32</v>
      </c>
      <c r="I126" s="26">
        <v>106107</v>
      </c>
      <c r="J126">
        <v>0</v>
      </c>
      <c r="K126" s="1"/>
    </row>
    <row r="127" spans="1:11">
      <c r="A127" s="17" t="s">
        <v>57</v>
      </c>
      <c r="B127" s="19" t="s">
        <v>576</v>
      </c>
      <c r="C127" s="19" t="s">
        <v>577</v>
      </c>
      <c r="D127" s="19" t="s">
        <v>578</v>
      </c>
      <c r="E127" s="20" t="s">
        <v>12</v>
      </c>
      <c r="F127" s="19" t="s">
        <v>577</v>
      </c>
      <c r="G127" s="19" t="s">
        <v>579</v>
      </c>
      <c r="H127" s="19" t="s">
        <v>31</v>
      </c>
      <c r="I127" s="26">
        <v>146</v>
      </c>
      <c r="J127">
        <v>1</v>
      </c>
      <c r="K127" s="1"/>
    </row>
    <row r="128" spans="1:11">
      <c r="A128" s="17" t="s">
        <v>57</v>
      </c>
      <c r="B128" s="19" t="s">
        <v>576</v>
      </c>
      <c r="C128" s="19" t="s">
        <v>826</v>
      </c>
      <c r="D128" s="19" t="s">
        <v>827</v>
      </c>
      <c r="E128" s="20" t="s">
        <v>12</v>
      </c>
      <c r="F128" s="19" t="s">
        <v>826</v>
      </c>
      <c r="G128" s="19" t="s">
        <v>828</v>
      </c>
      <c r="H128" s="19" t="s">
        <v>31</v>
      </c>
      <c r="I128">
        <v>159</v>
      </c>
      <c r="J128">
        <v>2</v>
      </c>
      <c r="K128" s="1"/>
    </row>
    <row r="129" spans="1:11">
      <c r="A129" s="17" t="s">
        <v>57</v>
      </c>
      <c r="B129" s="19" t="s">
        <v>576</v>
      </c>
      <c r="C129" s="19" t="s">
        <v>580</v>
      </c>
      <c r="D129" s="19" t="s">
        <v>581</v>
      </c>
      <c r="E129" s="20" t="s">
        <v>12</v>
      </c>
      <c r="F129" s="19" t="s">
        <v>580</v>
      </c>
      <c r="G129" s="19" t="s">
        <v>582</v>
      </c>
      <c r="H129" s="19" t="s">
        <v>31</v>
      </c>
      <c r="I129">
        <v>1024</v>
      </c>
      <c r="J129">
        <v>10</v>
      </c>
      <c r="K129" s="1"/>
    </row>
    <row r="130" spans="1:11">
      <c r="A130" s="17" t="s">
        <v>57</v>
      </c>
      <c r="B130" s="19" t="s">
        <v>576</v>
      </c>
      <c r="C130" s="19" t="s">
        <v>829</v>
      </c>
      <c r="D130" s="19" t="s">
        <v>830</v>
      </c>
      <c r="E130" s="20" t="s">
        <v>12</v>
      </c>
      <c r="F130" s="19" t="s">
        <v>829</v>
      </c>
      <c r="G130" s="19" t="s">
        <v>831</v>
      </c>
      <c r="H130" s="19" t="s">
        <v>31</v>
      </c>
      <c r="I130" s="26">
        <v>63</v>
      </c>
      <c r="J130">
        <v>0</v>
      </c>
      <c r="K130" s="1"/>
    </row>
    <row r="131" spans="1:11">
      <c r="A131" s="17" t="s">
        <v>57</v>
      </c>
      <c r="B131" s="19" t="s">
        <v>576</v>
      </c>
      <c r="C131" s="19" t="s">
        <v>583</v>
      </c>
      <c r="D131" s="19" t="s">
        <v>584</v>
      </c>
      <c r="E131" s="20" t="s">
        <v>32</v>
      </c>
      <c r="F131" s="19" t="s">
        <v>583</v>
      </c>
      <c r="G131" s="19" t="s">
        <v>585</v>
      </c>
      <c r="H131" s="19" t="s">
        <v>32</v>
      </c>
      <c r="I131" s="26">
        <v>0</v>
      </c>
      <c r="J131">
        <v>18</v>
      </c>
      <c r="K131" s="1"/>
    </row>
    <row r="132" spans="1:11">
      <c r="A132" s="17" t="s">
        <v>57</v>
      </c>
      <c r="B132" s="19" t="s">
        <v>62</v>
      </c>
      <c r="C132" s="19" t="s">
        <v>586</v>
      </c>
      <c r="D132" s="19" t="s">
        <v>587</v>
      </c>
      <c r="E132" s="20" t="s">
        <v>32</v>
      </c>
      <c r="F132" s="19" t="s">
        <v>586</v>
      </c>
      <c r="G132" s="19" t="s">
        <v>588</v>
      </c>
      <c r="H132" s="19" t="s">
        <v>32</v>
      </c>
      <c r="I132" s="26">
        <v>0</v>
      </c>
      <c r="J132">
        <v>1</v>
      </c>
      <c r="K132" s="1"/>
    </row>
    <row r="133" spans="1:11">
      <c r="A133" s="17" t="s">
        <v>57</v>
      </c>
      <c r="B133" s="19" t="s">
        <v>62</v>
      </c>
      <c r="C133" s="19" t="s">
        <v>589</v>
      </c>
      <c r="D133" s="19" t="s">
        <v>590</v>
      </c>
      <c r="E133" s="20" t="s">
        <v>32</v>
      </c>
      <c r="F133" s="19" t="s">
        <v>589</v>
      </c>
      <c r="G133" s="19" t="s">
        <v>591</v>
      </c>
      <c r="H133" s="19" t="s">
        <v>32</v>
      </c>
      <c r="I133" s="26">
        <v>0</v>
      </c>
      <c r="J133">
        <v>5</v>
      </c>
      <c r="K133" s="1"/>
    </row>
    <row r="134" spans="1:11">
      <c r="A134" s="17" t="s">
        <v>57</v>
      </c>
      <c r="B134" s="19" t="s">
        <v>62</v>
      </c>
      <c r="C134" s="19" t="s">
        <v>592</v>
      </c>
      <c r="D134" s="19" t="s">
        <v>593</v>
      </c>
      <c r="E134" s="20" t="s">
        <v>32</v>
      </c>
      <c r="F134" s="19" t="s">
        <v>592</v>
      </c>
      <c r="G134" s="19" t="s">
        <v>594</v>
      </c>
      <c r="H134" s="19" t="s">
        <v>32</v>
      </c>
      <c r="I134" s="26">
        <v>0</v>
      </c>
      <c r="J134">
        <v>3</v>
      </c>
      <c r="K134" s="1"/>
    </row>
    <row r="135" spans="1:11">
      <c r="A135" s="17" t="s">
        <v>57</v>
      </c>
      <c r="B135" s="19" t="s">
        <v>62</v>
      </c>
      <c r="C135" s="19" t="s">
        <v>394</v>
      </c>
      <c r="D135" s="19" t="s">
        <v>395</v>
      </c>
      <c r="E135" s="20" t="s">
        <v>32</v>
      </c>
      <c r="F135" s="19" t="s">
        <v>394</v>
      </c>
      <c r="G135" s="19" t="s">
        <v>396</v>
      </c>
      <c r="H135" s="19" t="s">
        <v>32</v>
      </c>
      <c r="I135" s="26">
        <v>0</v>
      </c>
      <c r="J135">
        <v>1</v>
      </c>
      <c r="K135" s="1"/>
    </row>
    <row r="136" spans="1:11">
      <c r="A136" s="17" t="s">
        <v>57</v>
      </c>
      <c r="B136" s="19" t="s">
        <v>62</v>
      </c>
      <c r="C136" s="19" t="s">
        <v>595</v>
      </c>
      <c r="D136" s="19" t="s">
        <v>596</v>
      </c>
      <c r="E136" s="20" t="s">
        <v>32</v>
      </c>
      <c r="F136" s="19" t="s">
        <v>595</v>
      </c>
      <c r="G136" s="19" t="s">
        <v>597</v>
      </c>
      <c r="H136" s="19" t="s">
        <v>32</v>
      </c>
      <c r="I136" s="26">
        <v>0</v>
      </c>
      <c r="J136">
        <v>6</v>
      </c>
      <c r="K136" s="1"/>
    </row>
    <row r="137" spans="1:11">
      <c r="A137" s="17" t="s">
        <v>57</v>
      </c>
      <c r="B137" s="19" t="s">
        <v>62</v>
      </c>
      <c r="C137" s="19" t="s">
        <v>598</v>
      </c>
      <c r="D137" s="19" t="s">
        <v>599</v>
      </c>
      <c r="E137" s="20" t="s">
        <v>32</v>
      </c>
      <c r="F137" s="19" t="s">
        <v>598</v>
      </c>
      <c r="G137" s="19" t="s">
        <v>600</v>
      </c>
      <c r="H137" s="19" t="s">
        <v>32</v>
      </c>
      <c r="I137" s="26">
        <v>0</v>
      </c>
      <c r="J137">
        <v>2</v>
      </c>
      <c r="K137" s="1"/>
    </row>
    <row r="138" spans="1:11">
      <c r="A138" s="17" t="s">
        <v>57</v>
      </c>
      <c r="B138" s="19" t="s">
        <v>62</v>
      </c>
      <c r="C138" s="19" t="s">
        <v>601</v>
      </c>
      <c r="D138" s="19" t="s">
        <v>602</v>
      </c>
      <c r="E138" s="20" t="s">
        <v>32</v>
      </c>
      <c r="F138" s="19" t="s">
        <v>601</v>
      </c>
      <c r="G138" s="19" t="s">
        <v>603</v>
      </c>
      <c r="H138" s="19" t="s">
        <v>32</v>
      </c>
      <c r="I138">
        <v>9</v>
      </c>
      <c r="J138">
        <v>13</v>
      </c>
      <c r="K138" s="1"/>
    </row>
    <row r="139" spans="1:11">
      <c r="A139" s="17" t="s">
        <v>57</v>
      </c>
      <c r="B139" s="19" t="s">
        <v>62</v>
      </c>
      <c r="C139" s="19" t="s">
        <v>604</v>
      </c>
      <c r="D139" s="19" t="s">
        <v>605</v>
      </c>
      <c r="E139" s="20" t="s">
        <v>32</v>
      </c>
      <c r="F139" s="19" t="s">
        <v>604</v>
      </c>
      <c r="G139" s="19" t="s">
        <v>606</v>
      </c>
      <c r="H139" s="19" t="s">
        <v>32</v>
      </c>
      <c r="I139">
        <v>0</v>
      </c>
      <c r="J139">
        <v>10</v>
      </c>
      <c r="K139" s="1"/>
    </row>
    <row r="140" spans="1:11">
      <c r="A140" s="17" t="s">
        <v>57</v>
      </c>
      <c r="B140" s="19" t="s">
        <v>62</v>
      </c>
      <c r="C140" s="19" t="s">
        <v>607</v>
      </c>
      <c r="D140" s="19" t="s">
        <v>608</v>
      </c>
      <c r="E140" s="20" t="s">
        <v>32</v>
      </c>
      <c r="F140" s="19" t="s">
        <v>607</v>
      </c>
      <c r="G140" s="19" t="s">
        <v>609</v>
      </c>
      <c r="H140" s="19" t="s">
        <v>32</v>
      </c>
      <c r="I140" s="26">
        <v>2736</v>
      </c>
      <c r="J140">
        <v>82</v>
      </c>
      <c r="K140" s="1"/>
    </row>
    <row r="141" spans="1:11">
      <c r="A141" s="17" t="s">
        <v>57</v>
      </c>
      <c r="B141" s="19" t="s">
        <v>62</v>
      </c>
      <c r="C141" s="19" t="s">
        <v>610</v>
      </c>
      <c r="D141" s="19" t="s">
        <v>611</v>
      </c>
      <c r="E141" s="20" t="s">
        <v>32</v>
      </c>
      <c r="F141" s="19" t="s">
        <v>610</v>
      </c>
      <c r="G141" s="19" t="s">
        <v>612</v>
      </c>
      <c r="H141" s="19" t="s">
        <v>32</v>
      </c>
      <c r="I141">
        <v>1</v>
      </c>
      <c r="J141">
        <v>4</v>
      </c>
      <c r="K141" s="1"/>
    </row>
    <row r="142" spans="1:11">
      <c r="A142" s="17" t="s">
        <v>57</v>
      </c>
      <c r="B142" s="19" t="s">
        <v>65</v>
      </c>
      <c r="C142" s="19" t="s">
        <v>613</v>
      </c>
      <c r="D142" s="19" t="s">
        <v>614</v>
      </c>
      <c r="E142" s="20" t="s">
        <v>32</v>
      </c>
      <c r="F142" s="19" t="s">
        <v>613</v>
      </c>
      <c r="G142" s="19" t="s">
        <v>615</v>
      </c>
      <c r="H142" s="19" t="s">
        <v>32</v>
      </c>
      <c r="I142">
        <v>3620522</v>
      </c>
      <c r="J142">
        <v>2542</v>
      </c>
      <c r="K142" s="1"/>
    </row>
    <row r="143" spans="1:11">
      <c r="A143" s="17" t="s">
        <v>57</v>
      </c>
      <c r="B143" s="19" t="s">
        <v>63</v>
      </c>
      <c r="C143" s="19" t="s">
        <v>616</v>
      </c>
      <c r="D143" s="19" t="s">
        <v>617</v>
      </c>
      <c r="E143" s="20" t="s">
        <v>12</v>
      </c>
      <c r="F143" s="19" t="s">
        <v>616</v>
      </c>
      <c r="G143" s="19" t="s">
        <v>618</v>
      </c>
      <c r="H143" s="19" t="s">
        <v>31</v>
      </c>
      <c r="I143">
        <v>2</v>
      </c>
      <c r="J143">
        <v>0</v>
      </c>
      <c r="K143" s="1"/>
    </row>
    <row r="144" spans="1:11">
      <c r="A144" s="17" t="s">
        <v>57</v>
      </c>
      <c r="B144" s="19" t="s">
        <v>63</v>
      </c>
      <c r="C144" s="19" t="s">
        <v>619</v>
      </c>
      <c r="D144" s="19" t="s">
        <v>620</v>
      </c>
      <c r="E144" s="20" t="s">
        <v>12</v>
      </c>
      <c r="F144" s="19" t="s">
        <v>619</v>
      </c>
      <c r="G144" s="19" t="s">
        <v>621</v>
      </c>
      <c r="H144" s="19" t="s">
        <v>31</v>
      </c>
      <c r="I144">
        <v>2</v>
      </c>
      <c r="J144">
        <v>0</v>
      </c>
      <c r="K144" s="1"/>
    </row>
    <row r="145" spans="1:11">
      <c r="A145" s="17" t="s">
        <v>57</v>
      </c>
      <c r="B145" s="19" t="s">
        <v>63</v>
      </c>
      <c r="C145" s="19" t="s">
        <v>260</v>
      </c>
      <c r="D145" s="19" t="s">
        <v>261</v>
      </c>
      <c r="E145" s="20" t="s">
        <v>32</v>
      </c>
      <c r="F145" s="19" t="s">
        <v>260</v>
      </c>
      <c r="G145" s="19" t="s">
        <v>262</v>
      </c>
      <c r="H145" s="19" t="s">
        <v>32</v>
      </c>
      <c r="I145">
        <v>6</v>
      </c>
      <c r="J145">
        <v>0</v>
      </c>
      <c r="K145" s="1"/>
    </row>
    <row r="146" spans="1:11">
      <c r="A146" s="17" t="s">
        <v>57</v>
      </c>
      <c r="B146" s="19" t="s">
        <v>63</v>
      </c>
      <c r="C146" s="19" t="s">
        <v>622</v>
      </c>
      <c r="D146" s="19" t="s">
        <v>623</v>
      </c>
      <c r="E146" s="20" t="s">
        <v>12</v>
      </c>
      <c r="F146" s="19" t="s">
        <v>622</v>
      </c>
      <c r="G146" s="19" t="s">
        <v>624</v>
      </c>
      <c r="H146" s="19" t="s">
        <v>31</v>
      </c>
      <c r="I146">
        <v>2</v>
      </c>
      <c r="J146">
        <v>0</v>
      </c>
      <c r="K146" s="1"/>
    </row>
    <row r="147" spans="1:11">
      <c r="A147" s="17" t="s">
        <v>57</v>
      </c>
      <c r="B147" s="19" t="s">
        <v>63</v>
      </c>
      <c r="C147" s="19" t="s">
        <v>625</v>
      </c>
      <c r="D147" s="19" t="s">
        <v>626</v>
      </c>
      <c r="E147" s="20" t="s">
        <v>12</v>
      </c>
      <c r="F147" s="19" t="s">
        <v>625</v>
      </c>
      <c r="G147" s="19" t="s">
        <v>627</v>
      </c>
      <c r="H147" s="19" t="s">
        <v>31</v>
      </c>
      <c r="I147">
        <v>1</v>
      </c>
      <c r="J147">
        <v>0</v>
      </c>
      <c r="K147" s="1"/>
    </row>
    <row r="148" spans="1:11">
      <c r="A148" s="17" t="s">
        <v>57</v>
      </c>
      <c r="B148" s="19" t="s">
        <v>63</v>
      </c>
      <c r="C148" s="19" t="s">
        <v>628</v>
      </c>
      <c r="D148" s="19" t="s">
        <v>629</v>
      </c>
      <c r="E148" s="20" t="s">
        <v>12</v>
      </c>
      <c r="F148" s="19" t="s">
        <v>628</v>
      </c>
      <c r="G148" s="19" t="s">
        <v>630</v>
      </c>
      <c r="H148" s="19" t="s">
        <v>31</v>
      </c>
      <c r="I148">
        <v>2</v>
      </c>
      <c r="J148">
        <v>0</v>
      </c>
      <c r="K148" s="1"/>
    </row>
    <row r="149" spans="1:11">
      <c r="A149" s="17" t="s">
        <v>57</v>
      </c>
      <c r="B149" s="19" t="s">
        <v>63</v>
      </c>
      <c r="C149" s="19" t="s">
        <v>631</v>
      </c>
      <c r="D149" s="19" t="s">
        <v>632</v>
      </c>
      <c r="E149" s="20" t="s">
        <v>12</v>
      </c>
      <c r="F149" s="19" t="s">
        <v>631</v>
      </c>
      <c r="G149" s="19" t="s">
        <v>633</v>
      </c>
      <c r="H149" s="19" t="s">
        <v>31</v>
      </c>
      <c r="I149">
        <v>1</v>
      </c>
      <c r="J149">
        <v>0</v>
      </c>
      <c r="K149" s="1"/>
    </row>
    <row r="150" spans="1:11">
      <c r="A150" s="17" t="s">
        <v>57</v>
      </c>
      <c r="B150" s="19" t="s">
        <v>63</v>
      </c>
      <c r="C150" s="19" t="s">
        <v>634</v>
      </c>
      <c r="D150" s="19" t="s">
        <v>635</v>
      </c>
      <c r="E150" s="20" t="s">
        <v>12</v>
      </c>
      <c r="F150" s="19" t="s">
        <v>634</v>
      </c>
      <c r="G150" s="19" t="s">
        <v>636</v>
      </c>
      <c r="H150" s="19" t="s">
        <v>31</v>
      </c>
      <c r="I150" s="26">
        <v>2</v>
      </c>
      <c r="J150">
        <v>0</v>
      </c>
      <c r="K150" s="1"/>
    </row>
    <row r="151" spans="1:11">
      <c r="A151" s="17" t="s">
        <v>57</v>
      </c>
      <c r="B151" s="19" t="s">
        <v>63</v>
      </c>
      <c r="C151" s="19" t="s">
        <v>637</v>
      </c>
      <c r="D151" s="19" t="s">
        <v>638</v>
      </c>
      <c r="E151" s="20" t="s">
        <v>12</v>
      </c>
      <c r="F151" s="19" t="s">
        <v>637</v>
      </c>
      <c r="G151" s="19" t="s">
        <v>639</v>
      </c>
      <c r="H151" s="19" t="s">
        <v>31</v>
      </c>
      <c r="I151" s="26">
        <v>1</v>
      </c>
      <c r="J151">
        <v>0</v>
      </c>
      <c r="K151" s="1"/>
    </row>
    <row r="152" spans="1:11">
      <c r="A152" s="17" t="s">
        <v>57</v>
      </c>
      <c r="B152" s="19" t="s">
        <v>63</v>
      </c>
      <c r="C152" s="19" t="s">
        <v>640</v>
      </c>
      <c r="D152" s="19" t="s">
        <v>641</v>
      </c>
      <c r="E152" s="20" t="s">
        <v>12</v>
      </c>
      <c r="F152" s="19" t="s">
        <v>640</v>
      </c>
      <c r="G152" s="19" t="s">
        <v>642</v>
      </c>
      <c r="H152" s="19" t="s">
        <v>31</v>
      </c>
      <c r="I152" s="26">
        <v>3</v>
      </c>
      <c r="J152">
        <v>0</v>
      </c>
      <c r="K152" s="1"/>
    </row>
    <row r="153" spans="1:11">
      <c r="A153" s="17" t="s">
        <v>57</v>
      </c>
      <c r="B153" s="19" t="s">
        <v>63</v>
      </c>
      <c r="C153" s="19" t="s">
        <v>643</v>
      </c>
      <c r="D153" s="19" t="s">
        <v>644</v>
      </c>
      <c r="E153" s="20" t="s">
        <v>12</v>
      </c>
      <c r="F153" s="19" t="s">
        <v>643</v>
      </c>
      <c r="G153" s="19" t="s">
        <v>645</v>
      </c>
      <c r="H153" s="19" t="s">
        <v>31</v>
      </c>
      <c r="I153" s="26">
        <v>4</v>
      </c>
      <c r="J153">
        <v>0</v>
      </c>
      <c r="K153" s="1"/>
    </row>
    <row r="154" spans="1:11">
      <c r="A154" s="17" t="s">
        <v>57</v>
      </c>
      <c r="B154" s="19" t="s">
        <v>63</v>
      </c>
      <c r="C154" s="19" t="s">
        <v>646</v>
      </c>
      <c r="D154" s="19" t="s">
        <v>647</v>
      </c>
      <c r="E154" s="20" t="s">
        <v>12</v>
      </c>
      <c r="F154" s="19" t="s">
        <v>646</v>
      </c>
      <c r="G154" s="19" t="s">
        <v>648</v>
      </c>
      <c r="H154" s="19" t="s">
        <v>31</v>
      </c>
      <c r="I154" s="26">
        <v>1</v>
      </c>
      <c r="J154">
        <v>0</v>
      </c>
      <c r="K154" s="1"/>
    </row>
    <row r="155" spans="1:11">
      <c r="A155" s="17" t="s">
        <v>57</v>
      </c>
      <c r="B155" s="19" t="s">
        <v>63</v>
      </c>
      <c r="C155" s="19" t="s">
        <v>649</v>
      </c>
      <c r="D155" s="19" t="s">
        <v>650</v>
      </c>
      <c r="E155" s="20" t="s">
        <v>12</v>
      </c>
      <c r="F155" s="19" t="s">
        <v>649</v>
      </c>
      <c r="G155" s="19" t="s">
        <v>651</v>
      </c>
      <c r="H155" s="19" t="s">
        <v>31</v>
      </c>
      <c r="I155">
        <v>3</v>
      </c>
      <c r="J155">
        <v>0</v>
      </c>
      <c r="K155" s="1"/>
    </row>
    <row r="156" spans="1:11">
      <c r="A156" s="17" t="s">
        <v>57</v>
      </c>
      <c r="B156" s="19" t="s">
        <v>63</v>
      </c>
      <c r="C156" s="19" t="s">
        <v>652</v>
      </c>
      <c r="D156" s="19" t="s">
        <v>653</v>
      </c>
      <c r="E156" s="20" t="s">
        <v>12</v>
      </c>
      <c r="F156" s="19" t="s">
        <v>652</v>
      </c>
      <c r="G156" s="19" t="s">
        <v>654</v>
      </c>
      <c r="H156" s="19" t="s">
        <v>31</v>
      </c>
      <c r="I156">
        <v>1</v>
      </c>
      <c r="J156">
        <v>0</v>
      </c>
      <c r="K156" s="1"/>
    </row>
    <row r="157" spans="1:11">
      <c r="A157" s="17" t="s">
        <v>57</v>
      </c>
      <c r="B157" s="19" t="s">
        <v>63</v>
      </c>
      <c r="C157" s="19" t="s">
        <v>263</v>
      </c>
      <c r="D157" s="19" t="s">
        <v>264</v>
      </c>
      <c r="E157" s="20" t="s">
        <v>11</v>
      </c>
      <c r="F157" s="19" t="s">
        <v>832</v>
      </c>
      <c r="G157" s="19" t="s">
        <v>833</v>
      </c>
      <c r="H157" s="19" t="s">
        <v>31</v>
      </c>
      <c r="I157" s="26">
        <v>1</v>
      </c>
      <c r="J157">
        <v>0</v>
      </c>
      <c r="K157" s="1"/>
    </row>
    <row r="158" spans="1:11">
      <c r="A158" s="17" t="s">
        <v>57</v>
      </c>
      <c r="B158" s="19" t="s">
        <v>63</v>
      </c>
      <c r="C158" s="19" t="s">
        <v>263</v>
      </c>
      <c r="D158" s="19" t="s">
        <v>264</v>
      </c>
      <c r="E158" s="20" t="s">
        <v>32</v>
      </c>
      <c r="F158" s="19" t="s">
        <v>263</v>
      </c>
      <c r="G158" s="19" t="s">
        <v>265</v>
      </c>
      <c r="H158" s="19" t="s">
        <v>32</v>
      </c>
      <c r="I158">
        <v>1</v>
      </c>
      <c r="J158">
        <v>0</v>
      </c>
      <c r="K158" s="1"/>
    </row>
    <row r="159" spans="1:11">
      <c r="A159" s="17" t="s">
        <v>57</v>
      </c>
      <c r="B159" s="19" t="s">
        <v>63</v>
      </c>
      <c r="C159" s="19" t="s">
        <v>655</v>
      </c>
      <c r="D159" s="19" t="s">
        <v>656</v>
      </c>
      <c r="E159" s="20" t="s">
        <v>12</v>
      </c>
      <c r="F159" s="19" t="s">
        <v>655</v>
      </c>
      <c r="G159" s="19" t="s">
        <v>657</v>
      </c>
      <c r="H159" s="19" t="s">
        <v>31</v>
      </c>
      <c r="I159">
        <v>1</v>
      </c>
      <c r="J159">
        <v>0</v>
      </c>
      <c r="K159" s="1"/>
    </row>
    <row r="160" spans="1:11">
      <c r="A160" s="17" t="s">
        <v>57</v>
      </c>
      <c r="B160" s="19" t="s">
        <v>63</v>
      </c>
      <c r="C160" s="19" t="s">
        <v>266</v>
      </c>
      <c r="D160" s="19" t="s">
        <v>267</v>
      </c>
      <c r="E160" s="20" t="s">
        <v>11</v>
      </c>
      <c r="F160" s="19" t="s">
        <v>832</v>
      </c>
      <c r="G160" s="19" t="s">
        <v>833</v>
      </c>
      <c r="H160" s="19" t="s">
        <v>31</v>
      </c>
      <c r="I160">
        <v>1</v>
      </c>
      <c r="J160">
        <v>0</v>
      </c>
      <c r="K160" s="1"/>
    </row>
    <row r="161" spans="1:11">
      <c r="A161" s="17" t="s">
        <v>57</v>
      </c>
      <c r="B161" s="19" t="s">
        <v>63</v>
      </c>
      <c r="C161" s="19" t="s">
        <v>266</v>
      </c>
      <c r="D161" s="19" t="s">
        <v>267</v>
      </c>
      <c r="E161" s="20" t="s">
        <v>32</v>
      </c>
      <c r="F161" s="19" t="s">
        <v>266</v>
      </c>
      <c r="G161" s="19" t="s">
        <v>268</v>
      </c>
      <c r="H161" s="19" t="s">
        <v>32</v>
      </c>
      <c r="I161" s="26">
        <v>1</v>
      </c>
      <c r="J161">
        <v>0</v>
      </c>
      <c r="K161" s="1"/>
    </row>
    <row r="162" spans="1:11">
      <c r="A162" s="17" t="s">
        <v>57</v>
      </c>
      <c r="B162" s="19" t="s">
        <v>63</v>
      </c>
      <c r="C162" s="19" t="s">
        <v>658</v>
      </c>
      <c r="D162" s="19" t="s">
        <v>659</v>
      </c>
      <c r="E162" s="20" t="s">
        <v>12</v>
      </c>
      <c r="F162" s="19" t="s">
        <v>658</v>
      </c>
      <c r="G162" s="19" t="s">
        <v>660</v>
      </c>
      <c r="H162" s="19" t="s">
        <v>31</v>
      </c>
      <c r="I162">
        <v>1</v>
      </c>
      <c r="J162">
        <v>0</v>
      </c>
      <c r="K162" s="1"/>
    </row>
    <row r="163" spans="1:11">
      <c r="A163" s="17" t="s">
        <v>57</v>
      </c>
      <c r="B163" s="19" t="s">
        <v>63</v>
      </c>
      <c r="C163" s="19" t="s">
        <v>661</v>
      </c>
      <c r="D163" s="19" t="s">
        <v>662</v>
      </c>
      <c r="E163" s="20" t="s">
        <v>12</v>
      </c>
      <c r="F163" s="19" t="s">
        <v>661</v>
      </c>
      <c r="G163" s="19" t="s">
        <v>663</v>
      </c>
      <c r="H163" s="19" t="s">
        <v>31</v>
      </c>
      <c r="I163">
        <v>1</v>
      </c>
      <c r="J163">
        <v>0</v>
      </c>
      <c r="K163" s="1"/>
    </row>
    <row r="164" spans="1:11">
      <c r="A164" s="17" t="s">
        <v>57</v>
      </c>
      <c r="B164" s="19" t="s">
        <v>63</v>
      </c>
      <c r="C164" s="19" t="s">
        <v>664</v>
      </c>
      <c r="D164" s="19" t="s">
        <v>665</v>
      </c>
      <c r="E164" s="20" t="s">
        <v>12</v>
      </c>
      <c r="F164" s="19" t="s">
        <v>664</v>
      </c>
      <c r="G164" s="19" t="s">
        <v>666</v>
      </c>
      <c r="H164" s="19" t="s">
        <v>31</v>
      </c>
      <c r="I164" s="26">
        <v>1</v>
      </c>
      <c r="J164">
        <v>0</v>
      </c>
      <c r="K164" s="1"/>
    </row>
    <row r="165" spans="1:11">
      <c r="A165" s="17" t="s">
        <v>57</v>
      </c>
      <c r="B165" s="19" t="s">
        <v>63</v>
      </c>
      <c r="C165" s="19" t="s">
        <v>667</v>
      </c>
      <c r="D165" s="19" t="s">
        <v>668</v>
      </c>
      <c r="E165" s="20" t="s">
        <v>12</v>
      </c>
      <c r="F165" s="19" t="s">
        <v>667</v>
      </c>
      <c r="G165" s="19" t="s">
        <v>669</v>
      </c>
      <c r="H165" s="19" t="s">
        <v>31</v>
      </c>
      <c r="I165">
        <v>1</v>
      </c>
      <c r="J165">
        <v>0</v>
      </c>
      <c r="K165" s="1"/>
    </row>
    <row r="166" spans="1:11">
      <c r="A166" s="17" t="s">
        <v>57</v>
      </c>
      <c r="B166" s="19" t="s">
        <v>63</v>
      </c>
      <c r="C166" s="19" t="s">
        <v>269</v>
      </c>
      <c r="D166" s="19" t="s">
        <v>270</v>
      </c>
      <c r="E166" s="20" t="s">
        <v>32</v>
      </c>
      <c r="F166" s="19" t="s">
        <v>269</v>
      </c>
      <c r="G166" s="19" t="s">
        <v>271</v>
      </c>
      <c r="H166" s="19" t="s">
        <v>32</v>
      </c>
      <c r="I166">
        <v>0</v>
      </c>
      <c r="J166">
        <v>2</v>
      </c>
      <c r="K166" s="1"/>
    </row>
    <row r="167" spans="1:11">
      <c r="A167" s="17" t="s">
        <v>57</v>
      </c>
      <c r="B167" s="19" t="s">
        <v>63</v>
      </c>
      <c r="C167" s="19" t="s">
        <v>670</v>
      </c>
      <c r="D167" s="19" t="s">
        <v>671</v>
      </c>
      <c r="E167" s="20" t="s">
        <v>12</v>
      </c>
      <c r="F167" s="19" t="s">
        <v>670</v>
      </c>
      <c r="G167" s="19" t="s">
        <v>672</v>
      </c>
      <c r="H167" s="19" t="s">
        <v>31</v>
      </c>
      <c r="I167">
        <v>2</v>
      </c>
      <c r="J167">
        <v>0</v>
      </c>
      <c r="K167" s="1"/>
    </row>
    <row r="168" spans="1:11">
      <c r="A168" s="17" t="s">
        <v>57</v>
      </c>
      <c r="B168" s="19" t="s">
        <v>63</v>
      </c>
      <c r="C168" s="19" t="s">
        <v>673</v>
      </c>
      <c r="D168" s="19" t="s">
        <v>674</v>
      </c>
      <c r="E168" s="20" t="s">
        <v>12</v>
      </c>
      <c r="F168" s="19" t="s">
        <v>673</v>
      </c>
      <c r="G168" s="19" t="s">
        <v>675</v>
      </c>
      <c r="H168" s="19" t="s">
        <v>31</v>
      </c>
      <c r="I168" s="26">
        <v>3</v>
      </c>
      <c r="J168">
        <v>0</v>
      </c>
      <c r="K168" s="1"/>
    </row>
    <row r="169" spans="1:11">
      <c r="A169" s="17" t="s">
        <v>57</v>
      </c>
      <c r="B169" s="19" t="s">
        <v>63</v>
      </c>
      <c r="C169" s="19" t="s">
        <v>676</v>
      </c>
      <c r="D169" s="19" t="s">
        <v>677</v>
      </c>
      <c r="E169" s="20" t="s">
        <v>12</v>
      </c>
      <c r="F169" s="19" t="s">
        <v>676</v>
      </c>
      <c r="G169" s="19" t="s">
        <v>678</v>
      </c>
      <c r="H169" s="19" t="s">
        <v>31</v>
      </c>
      <c r="I169">
        <v>1</v>
      </c>
      <c r="J169">
        <v>0</v>
      </c>
      <c r="K169" s="1"/>
    </row>
    <row r="170" spans="1:11">
      <c r="A170" s="17" t="s">
        <v>57</v>
      </c>
      <c r="B170" s="19" t="s">
        <v>63</v>
      </c>
      <c r="C170" s="19" t="s">
        <v>679</v>
      </c>
      <c r="D170" s="19" t="s">
        <v>680</v>
      </c>
      <c r="E170" s="20" t="s">
        <v>12</v>
      </c>
      <c r="F170" s="19" t="s">
        <v>679</v>
      </c>
      <c r="G170" s="19" t="s">
        <v>681</v>
      </c>
      <c r="H170" s="19" t="s">
        <v>31</v>
      </c>
      <c r="I170">
        <v>2</v>
      </c>
      <c r="J170">
        <v>0</v>
      </c>
      <c r="K170" s="1"/>
    </row>
    <row r="171" spans="1:11">
      <c r="A171" s="17" t="s">
        <v>57</v>
      </c>
      <c r="B171" s="19" t="s">
        <v>63</v>
      </c>
      <c r="C171" s="19" t="s">
        <v>682</v>
      </c>
      <c r="D171" s="19" t="s">
        <v>683</v>
      </c>
      <c r="E171" s="20" t="s">
        <v>12</v>
      </c>
      <c r="F171" s="19" t="s">
        <v>682</v>
      </c>
      <c r="G171" s="19" t="s">
        <v>684</v>
      </c>
      <c r="H171" s="19" t="s">
        <v>31</v>
      </c>
      <c r="I171" s="26">
        <v>5</v>
      </c>
      <c r="J171">
        <v>0</v>
      </c>
      <c r="K171" s="1"/>
    </row>
    <row r="172" spans="1:11">
      <c r="A172" s="17" t="s">
        <v>57</v>
      </c>
      <c r="B172" s="19" t="s">
        <v>63</v>
      </c>
      <c r="C172" s="19" t="s">
        <v>685</v>
      </c>
      <c r="D172" s="19" t="s">
        <v>686</v>
      </c>
      <c r="E172" s="20" t="s">
        <v>12</v>
      </c>
      <c r="F172" s="19" t="s">
        <v>685</v>
      </c>
      <c r="G172" s="19" t="s">
        <v>687</v>
      </c>
      <c r="H172" s="19" t="s">
        <v>31</v>
      </c>
      <c r="I172" s="26">
        <v>1</v>
      </c>
      <c r="J172">
        <v>0</v>
      </c>
      <c r="K172" s="1"/>
    </row>
    <row r="173" spans="1:11">
      <c r="A173" s="17" t="s">
        <v>57</v>
      </c>
      <c r="B173" s="19" t="s">
        <v>63</v>
      </c>
      <c r="C173" s="19" t="s">
        <v>688</v>
      </c>
      <c r="D173" s="19" t="s">
        <v>689</v>
      </c>
      <c r="E173" s="20" t="s">
        <v>12</v>
      </c>
      <c r="F173" s="19" t="s">
        <v>688</v>
      </c>
      <c r="G173" s="19" t="s">
        <v>690</v>
      </c>
      <c r="H173" s="19" t="s">
        <v>31</v>
      </c>
      <c r="I173">
        <v>3</v>
      </c>
      <c r="J173">
        <v>0</v>
      </c>
      <c r="K173" s="1"/>
    </row>
    <row r="174" spans="1:11">
      <c r="A174" s="17" t="s">
        <v>57</v>
      </c>
      <c r="B174" s="19" t="s">
        <v>63</v>
      </c>
      <c r="C174" s="19" t="s">
        <v>691</v>
      </c>
      <c r="D174" s="19" t="s">
        <v>692</v>
      </c>
      <c r="E174" s="20" t="s">
        <v>12</v>
      </c>
      <c r="F174" s="19" t="s">
        <v>691</v>
      </c>
      <c r="G174" s="19" t="s">
        <v>693</v>
      </c>
      <c r="H174" s="19" t="s">
        <v>31</v>
      </c>
      <c r="I174" s="26">
        <v>1</v>
      </c>
      <c r="J174">
        <v>0</v>
      </c>
      <c r="K174" s="1"/>
    </row>
    <row r="175" spans="1:11">
      <c r="A175" s="17" t="s">
        <v>57</v>
      </c>
      <c r="B175" s="19" t="s">
        <v>63</v>
      </c>
      <c r="C175" s="19" t="s">
        <v>397</v>
      </c>
      <c r="D175" s="19" t="s">
        <v>398</v>
      </c>
      <c r="E175" s="20" t="s">
        <v>32</v>
      </c>
      <c r="F175" s="19" t="s">
        <v>397</v>
      </c>
      <c r="G175" s="19" t="s">
        <v>399</v>
      </c>
      <c r="H175" s="19" t="s">
        <v>32</v>
      </c>
      <c r="I175" s="26">
        <v>0</v>
      </c>
      <c r="J175">
        <v>27</v>
      </c>
      <c r="K175" s="1"/>
    </row>
    <row r="176" spans="1:11">
      <c r="A176" s="17" t="s">
        <v>57</v>
      </c>
      <c r="B176" s="19" t="s">
        <v>63</v>
      </c>
      <c r="C176" s="19" t="s">
        <v>400</v>
      </c>
      <c r="D176" s="19" t="s">
        <v>401</v>
      </c>
      <c r="E176" s="20" t="s">
        <v>32</v>
      </c>
      <c r="F176" s="19" t="s">
        <v>400</v>
      </c>
      <c r="G176" s="19" t="s">
        <v>402</v>
      </c>
      <c r="H176" s="19" t="s">
        <v>32</v>
      </c>
      <c r="I176" s="26">
        <v>1</v>
      </c>
      <c r="J176">
        <v>1</v>
      </c>
      <c r="K176" s="1"/>
    </row>
    <row r="177" spans="1:11">
      <c r="A177" s="17" t="s">
        <v>57</v>
      </c>
      <c r="B177" s="19" t="s">
        <v>63</v>
      </c>
      <c r="C177" s="19" t="s">
        <v>272</v>
      </c>
      <c r="D177" s="19" t="s">
        <v>273</v>
      </c>
      <c r="E177" s="20" t="s">
        <v>32</v>
      </c>
      <c r="F177" s="19" t="s">
        <v>272</v>
      </c>
      <c r="G177" s="19" t="s">
        <v>274</v>
      </c>
      <c r="H177" s="19" t="s">
        <v>32</v>
      </c>
      <c r="I177" s="26">
        <v>11</v>
      </c>
      <c r="J177">
        <v>38</v>
      </c>
      <c r="K177" s="1"/>
    </row>
    <row r="178" spans="1:11">
      <c r="A178" s="17" t="s">
        <v>57</v>
      </c>
      <c r="B178" s="19" t="s">
        <v>114</v>
      </c>
      <c r="C178" s="19" t="s">
        <v>169</v>
      </c>
      <c r="D178" s="19" t="s">
        <v>170</v>
      </c>
      <c r="E178" s="20" t="s">
        <v>32</v>
      </c>
      <c r="F178" s="19" t="s">
        <v>169</v>
      </c>
      <c r="G178" s="19" t="s">
        <v>171</v>
      </c>
      <c r="H178" s="19" t="s">
        <v>32</v>
      </c>
      <c r="I178" s="26">
        <v>0</v>
      </c>
      <c r="J178">
        <v>1</v>
      </c>
      <c r="K178" s="1"/>
    </row>
    <row r="179" spans="1:11">
      <c r="A179" s="17" t="s">
        <v>57</v>
      </c>
      <c r="B179" s="19" t="s">
        <v>64</v>
      </c>
      <c r="C179" s="19" t="s">
        <v>172</v>
      </c>
      <c r="D179" s="19" t="s">
        <v>173</v>
      </c>
      <c r="E179" s="20" t="s">
        <v>32</v>
      </c>
      <c r="F179" s="19" t="s">
        <v>172</v>
      </c>
      <c r="G179" s="19" t="s">
        <v>174</v>
      </c>
      <c r="H179" s="19" t="s">
        <v>32</v>
      </c>
      <c r="I179">
        <v>0</v>
      </c>
      <c r="J179">
        <v>4</v>
      </c>
      <c r="K179" s="1"/>
    </row>
    <row r="180" spans="1:11">
      <c r="A180" s="17" t="s">
        <v>57</v>
      </c>
      <c r="B180" s="19" t="s">
        <v>64</v>
      </c>
      <c r="C180" s="19" t="s">
        <v>175</v>
      </c>
      <c r="D180" s="19" t="s">
        <v>176</v>
      </c>
      <c r="E180" s="20" t="s">
        <v>32</v>
      </c>
      <c r="F180" s="19" t="s">
        <v>175</v>
      </c>
      <c r="G180" s="19" t="s">
        <v>177</v>
      </c>
      <c r="H180" s="19" t="s">
        <v>32</v>
      </c>
      <c r="I180">
        <v>0</v>
      </c>
      <c r="J180">
        <v>3</v>
      </c>
      <c r="K180" s="1"/>
    </row>
    <row r="181" spans="1:11">
      <c r="A181" s="17" t="s">
        <v>57</v>
      </c>
      <c r="B181" s="19" t="s">
        <v>64</v>
      </c>
      <c r="C181" s="19" t="s">
        <v>178</v>
      </c>
      <c r="D181" s="19" t="s">
        <v>179</v>
      </c>
      <c r="E181" s="20" t="s">
        <v>32</v>
      </c>
      <c r="F181" s="19" t="s">
        <v>178</v>
      </c>
      <c r="G181" s="19" t="s">
        <v>180</v>
      </c>
      <c r="H181" s="19" t="s">
        <v>32</v>
      </c>
      <c r="I181">
        <v>0</v>
      </c>
      <c r="J181">
        <v>2</v>
      </c>
      <c r="K181" s="1"/>
    </row>
    <row r="182" spans="1:11">
      <c r="A182" s="17" t="s">
        <v>57</v>
      </c>
      <c r="B182" s="19" t="s">
        <v>64</v>
      </c>
      <c r="C182" s="19" t="s">
        <v>181</v>
      </c>
      <c r="D182" s="19" t="s">
        <v>182</v>
      </c>
      <c r="E182" s="20" t="s">
        <v>32</v>
      </c>
      <c r="F182" s="19" t="s">
        <v>181</v>
      </c>
      <c r="G182" s="19" t="s">
        <v>183</v>
      </c>
      <c r="H182" s="19" t="s">
        <v>32</v>
      </c>
      <c r="I182">
        <v>0</v>
      </c>
      <c r="J182">
        <v>2</v>
      </c>
      <c r="K182" s="1"/>
    </row>
    <row r="183" spans="1:11">
      <c r="A183" s="17" t="s">
        <v>57</v>
      </c>
      <c r="B183" s="19" t="s">
        <v>64</v>
      </c>
      <c r="C183" s="19" t="s">
        <v>275</v>
      </c>
      <c r="D183" s="19" t="s">
        <v>276</v>
      </c>
      <c r="E183" s="20" t="s">
        <v>32</v>
      </c>
      <c r="F183" s="19" t="s">
        <v>275</v>
      </c>
      <c r="G183" s="19" t="s">
        <v>277</v>
      </c>
      <c r="H183" s="19" t="s">
        <v>32</v>
      </c>
      <c r="I183">
        <v>0</v>
      </c>
      <c r="J183">
        <v>3</v>
      </c>
      <c r="K183" s="1"/>
    </row>
    <row r="184" spans="1:11">
      <c r="A184" s="17" t="s">
        <v>57</v>
      </c>
      <c r="B184" s="19" t="s">
        <v>64</v>
      </c>
      <c r="C184" s="19" t="s">
        <v>278</v>
      </c>
      <c r="D184" s="19" t="s">
        <v>279</v>
      </c>
      <c r="E184" s="20" t="s">
        <v>32</v>
      </c>
      <c r="F184" s="19" t="s">
        <v>278</v>
      </c>
      <c r="G184" s="19" t="s">
        <v>280</v>
      </c>
      <c r="H184" s="19" t="s">
        <v>32</v>
      </c>
      <c r="I184">
        <v>0</v>
      </c>
      <c r="J184">
        <v>4</v>
      </c>
      <c r="K184" s="1"/>
    </row>
    <row r="185" spans="1:11">
      <c r="A185" s="17" t="s">
        <v>57</v>
      </c>
      <c r="B185" s="19" t="s">
        <v>184</v>
      </c>
      <c r="C185" s="19" t="s">
        <v>185</v>
      </c>
      <c r="D185" s="19" t="s">
        <v>186</v>
      </c>
      <c r="E185" s="20" t="s">
        <v>32</v>
      </c>
      <c r="F185" s="19" t="s">
        <v>185</v>
      </c>
      <c r="G185" s="19" t="s">
        <v>187</v>
      </c>
      <c r="H185" s="19" t="s">
        <v>32</v>
      </c>
      <c r="I185">
        <v>0</v>
      </c>
      <c r="J185">
        <v>2</v>
      </c>
      <c r="K185" s="1"/>
    </row>
    <row r="186" spans="1:11">
      <c r="A186" s="17" t="s">
        <v>57</v>
      </c>
      <c r="B186" s="19" t="s">
        <v>184</v>
      </c>
      <c r="C186" s="19" t="s">
        <v>188</v>
      </c>
      <c r="D186" s="19" t="s">
        <v>189</v>
      </c>
      <c r="E186" s="20" t="s">
        <v>32</v>
      </c>
      <c r="F186" s="19" t="s">
        <v>188</v>
      </c>
      <c r="G186" s="19" t="s">
        <v>190</v>
      </c>
      <c r="H186" s="19" t="s">
        <v>32</v>
      </c>
      <c r="I186">
        <v>0</v>
      </c>
      <c r="J186">
        <v>2</v>
      </c>
      <c r="K186" s="1"/>
    </row>
    <row r="187" spans="1:11">
      <c r="A187" s="17" t="s">
        <v>57</v>
      </c>
      <c r="B187" s="19" t="s">
        <v>191</v>
      </c>
      <c r="C187" s="19" t="s">
        <v>694</v>
      </c>
      <c r="D187" s="19" t="s">
        <v>695</v>
      </c>
      <c r="E187" s="20" t="s">
        <v>32</v>
      </c>
      <c r="F187" s="19" t="s">
        <v>694</v>
      </c>
      <c r="G187" s="19" t="s">
        <v>696</v>
      </c>
      <c r="H187" s="19" t="s">
        <v>32</v>
      </c>
      <c r="I187">
        <v>0</v>
      </c>
      <c r="J187">
        <v>4</v>
      </c>
      <c r="K187" s="1"/>
    </row>
    <row r="188" spans="1:11">
      <c r="A188" s="17" t="s">
        <v>57</v>
      </c>
      <c r="B188" s="19" t="s">
        <v>192</v>
      </c>
      <c r="C188" s="19" t="s">
        <v>403</v>
      </c>
      <c r="D188" s="19" t="s">
        <v>404</v>
      </c>
      <c r="E188" s="20" t="s">
        <v>32</v>
      </c>
      <c r="F188" s="19" t="s">
        <v>403</v>
      </c>
      <c r="G188" s="19" t="s">
        <v>405</v>
      </c>
      <c r="H188" s="19" t="s">
        <v>32</v>
      </c>
      <c r="I188">
        <v>1616</v>
      </c>
      <c r="J188">
        <v>0</v>
      </c>
      <c r="K188" s="1"/>
    </row>
    <row r="189" spans="1:11">
      <c r="A189" s="17" t="s">
        <v>57</v>
      </c>
      <c r="B189" s="19" t="s">
        <v>53</v>
      </c>
      <c r="C189" s="19" t="s">
        <v>406</v>
      </c>
      <c r="D189" s="19" t="s">
        <v>407</v>
      </c>
      <c r="E189" s="20" t="s">
        <v>32</v>
      </c>
      <c r="F189" s="19" t="s">
        <v>406</v>
      </c>
      <c r="G189" s="19" t="s">
        <v>408</v>
      </c>
      <c r="H189" s="19" t="s">
        <v>32</v>
      </c>
      <c r="I189">
        <v>0</v>
      </c>
      <c r="J189">
        <v>7</v>
      </c>
      <c r="K189" s="1"/>
    </row>
    <row r="190" spans="1:11">
      <c r="A190" s="17" t="s">
        <v>57</v>
      </c>
      <c r="B190" s="19" t="s">
        <v>53</v>
      </c>
      <c r="C190" s="19" t="s">
        <v>409</v>
      </c>
      <c r="D190" s="19" t="s">
        <v>410</v>
      </c>
      <c r="E190" s="20" t="s">
        <v>32</v>
      </c>
      <c r="F190" s="19" t="s">
        <v>409</v>
      </c>
      <c r="G190" s="19" t="s">
        <v>411</v>
      </c>
      <c r="H190" s="19" t="s">
        <v>32</v>
      </c>
      <c r="I190">
        <v>0</v>
      </c>
      <c r="J190">
        <v>1</v>
      </c>
      <c r="K190" s="1"/>
    </row>
    <row r="191" spans="1:11">
      <c r="A191" s="17" t="s">
        <v>57</v>
      </c>
      <c r="B191" s="19" t="s">
        <v>53</v>
      </c>
      <c r="C191" s="19" t="s">
        <v>412</v>
      </c>
      <c r="D191" s="19" t="s">
        <v>413</v>
      </c>
      <c r="E191" s="20" t="s">
        <v>32</v>
      </c>
      <c r="F191" s="19" t="s">
        <v>412</v>
      </c>
      <c r="G191" s="19" t="s">
        <v>414</v>
      </c>
      <c r="H191" s="19" t="s">
        <v>32</v>
      </c>
      <c r="I191">
        <v>0</v>
      </c>
      <c r="J191">
        <v>7</v>
      </c>
      <c r="K191" s="1"/>
    </row>
    <row r="192" spans="1:11">
      <c r="A192" s="17" t="s">
        <v>57</v>
      </c>
      <c r="B192" s="19" t="s">
        <v>53</v>
      </c>
      <c r="C192" s="19" t="s">
        <v>415</v>
      </c>
      <c r="D192" s="19" t="s">
        <v>416</v>
      </c>
      <c r="E192" s="20" t="s">
        <v>32</v>
      </c>
      <c r="F192" s="19" t="s">
        <v>415</v>
      </c>
      <c r="G192" s="19" t="s">
        <v>417</v>
      </c>
      <c r="H192" s="19" t="s">
        <v>32</v>
      </c>
      <c r="I192">
        <v>0</v>
      </c>
      <c r="J192">
        <v>2</v>
      </c>
      <c r="K192" s="1"/>
    </row>
    <row r="193" spans="1:11">
      <c r="A193" s="17" t="s">
        <v>57</v>
      </c>
      <c r="B193" s="19" t="s">
        <v>53</v>
      </c>
      <c r="C193" s="19" t="s">
        <v>418</v>
      </c>
      <c r="D193" s="19" t="s">
        <v>419</v>
      </c>
      <c r="E193" s="20" t="s">
        <v>32</v>
      </c>
      <c r="F193" s="19" t="s">
        <v>418</v>
      </c>
      <c r="G193" s="19" t="s">
        <v>420</v>
      </c>
      <c r="H193" s="19" t="s">
        <v>32</v>
      </c>
      <c r="I193">
        <v>0</v>
      </c>
      <c r="J193">
        <v>7</v>
      </c>
      <c r="K193" s="1"/>
    </row>
    <row r="194" spans="1:11">
      <c r="A194" s="17" t="s">
        <v>57</v>
      </c>
      <c r="B194" s="19" t="s">
        <v>53</v>
      </c>
      <c r="C194" s="19" t="s">
        <v>421</v>
      </c>
      <c r="D194" s="19" t="s">
        <v>422</v>
      </c>
      <c r="E194" s="20" t="s">
        <v>32</v>
      </c>
      <c r="F194" s="19" t="s">
        <v>421</v>
      </c>
      <c r="G194" s="19" t="s">
        <v>423</v>
      </c>
      <c r="H194" s="19" t="s">
        <v>32</v>
      </c>
      <c r="I194">
        <v>0</v>
      </c>
      <c r="J194">
        <v>1</v>
      </c>
      <c r="K194" s="1"/>
    </row>
    <row r="195" spans="1:11">
      <c r="A195" s="17" t="s">
        <v>57</v>
      </c>
      <c r="B195" s="19" t="s">
        <v>53</v>
      </c>
      <c r="C195" s="19" t="s">
        <v>193</v>
      </c>
      <c r="D195" s="19" t="s">
        <v>194</v>
      </c>
      <c r="E195" s="20" t="s">
        <v>32</v>
      </c>
      <c r="F195" s="19" t="s">
        <v>193</v>
      </c>
      <c r="G195" s="19" t="s">
        <v>195</v>
      </c>
      <c r="H195" s="19" t="s">
        <v>32</v>
      </c>
      <c r="I195">
        <v>0</v>
      </c>
      <c r="J195">
        <v>2</v>
      </c>
      <c r="K195" s="1"/>
    </row>
    <row r="196" spans="1:11">
      <c r="A196" s="17" t="s">
        <v>57</v>
      </c>
      <c r="B196" s="19" t="s">
        <v>53</v>
      </c>
      <c r="C196" s="19" t="s">
        <v>115</v>
      </c>
      <c r="D196" s="19" t="s">
        <v>116</v>
      </c>
      <c r="E196" s="20" t="s">
        <v>32</v>
      </c>
      <c r="F196" s="19" t="s">
        <v>115</v>
      </c>
      <c r="G196" s="19" t="s">
        <v>117</v>
      </c>
      <c r="H196" s="19" t="s">
        <v>32</v>
      </c>
      <c r="I196">
        <v>0</v>
      </c>
      <c r="J196">
        <v>6</v>
      </c>
      <c r="K196" s="1"/>
    </row>
    <row r="197" spans="1:11">
      <c r="A197" s="17" t="s">
        <v>57</v>
      </c>
      <c r="B197" s="19" t="s">
        <v>53</v>
      </c>
      <c r="C197" s="19" t="s">
        <v>697</v>
      </c>
      <c r="D197" s="19" t="s">
        <v>698</v>
      </c>
      <c r="E197" s="20" t="s">
        <v>32</v>
      </c>
      <c r="F197" s="19" t="s">
        <v>697</v>
      </c>
      <c r="G197" s="19" t="s">
        <v>699</v>
      </c>
      <c r="H197" s="19" t="s">
        <v>32</v>
      </c>
      <c r="I197">
        <v>0</v>
      </c>
      <c r="J197">
        <v>7</v>
      </c>
      <c r="K197" s="1"/>
    </row>
    <row r="198" spans="1:11">
      <c r="A198" s="17" t="s">
        <v>57</v>
      </c>
      <c r="B198" s="19" t="s">
        <v>53</v>
      </c>
      <c r="C198" s="19" t="s">
        <v>196</v>
      </c>
      <c r="D198" s="19" t="s">
        <v>197</v>
      </c>
      <c r="E198" s="20" t="s">
        <v>32</v>
      </c>
      <c r="F198" s="19" t="s">
        <v>196</v>
      </c>
      <c r="G198" s="19" t="s">
        <v>198</v>
      </c>
      <c r="H198" s="19" t="s">
        <v>32</v>
      </c>
      <c r="I198">
        <v>0</v>
      </c>
      <c r="J198">
        <v>1</v>
      </c>
      <c r="K198" s="1"/>
    </row>
    <row r="199" spans="1:11">
      <c r="A199" s="17" t="s">
        <v>57</v>
      </c>
      <c r="B199" s="19" t="s">
        <v>53</v>
      </c>
      <c r="C199" s="19" t="s">
        <v>66</v>
      </c>
      <c r="D199" s="19" t="s">
        <v>59</v>
      </c>
      <c r="E199" s="20" t="s">
        <v>32</v>
      </c>
      <c r="F199" s="19" t="s">
        <v>66</v>
      </c>
      <c r="G199" s="19" t="s">
        <v>60</v>
      </c>
      <c r="H199" s="19" t="s">
        <v>32</v>
      </c>
      <c r="I199">
        <v>0</v>
      </c>
      <c r="J199">
        <v>3</v>
      </c>
      <c r="K199" s="1"/>
    </row>
    <row r="200" spans="1:11">
      <c r="A200" s="17" t="s">
        <v>57</v>
      </c>
      <c r="B200" s="19" t="s">
        <v>53</v>
      </c>
      <c r="C200" s="19" t="s">
        <v>834</v>
      </c>
      <c r="D200" s="19" t="s">
        <v>835</v>
      </c>
      <c r="E200" s="20" t="s">
        <v>32</v>
      </c>
      <c r="F200" s="19" t="s">
        <v>834</v>
      </c>
      <c r="G200" s="19" t="s">
        <v>836</v>
      </c>
      <c r="H200" s="19" t="s">
        <v>32</v>
      </c>
      <c r="I200">
        <v>0</v>
      </c>
      <c r="J200">
        <v>1</v>
      </c>
      <c r="K200" s="1"/>
    </row>
    <row r="201" spans="1:11">
      <c r="A201" s="17" t="s">
        <v>57</v>
      </c>
      <c r="B201" s="19" t="s">
        <v>53</v>
      </c>
      <c r="C201" s="19" t="s">
        <v>281</v>
      </c>
      <c r="D201" s="19" t="s">
        <v>282</v>
      </c>
      <c r="E201" s="20" t="s">
        <v>32</v>
      </c>
      <c r="F201" s="19" t="s">
        <v>281</v>
      </c>
      <c r="G201" s="19" t="s">
        <v>283</v>
      </c>
      <c r="H201" s="19" t="s">
        <v>32</v>
      </c>
      <c r="I201">
        <v>0</v>
      </c>
      <c r="J201">
        <v>1</v>
      </c>
      <c r="K201" s="1"/>
    </row>
    <row r="202" spans="1:11">
      <c r="A202" s="17" t="s">
        <v>57</v>
      </c>
      <c r="B202" s="19" t="s">
        <v>53</v>
      </c>
      <c r="C202" s="19" t="s">
        <v>284</v>
      </c>
      <c r="D202" s="19" t="s">
        <v>285</v>
      </c>
      <c r="E202" s="20" t="s">
        <v>32</v>
      </c>
      <c r="F202" s="19" t="s">
        <v>284</v>
      </c>
      <c r="G202" s="19" t="s">
        <v>286</v>
      </c>
      <c r="H202" s="19" t="s">
        <v>32</v>
      </c>
      <c r="I202">
        <v>0</v>
      </c>
      <c r="J202">
        <v>7</v>
      </c>
      <c r="K202" s="1"/>
    </row>
    <row r="203" spans="1:11">
      <c r="A203" s="17" t="s">
        <v>57</v>
      </c>
      <c r="B203" s="19" t="s">
        <v>53</v>
      </c>
      <c r="C203" s="19" t="s">
        <v>287</v>
      </c>
      <c r="D203" s="19" t="s">
        <v>288</v>
      </c>
      <c r="E203" s="20" t="s">
        <v>32</v>
      </c>
      <c r="F203" s="19" t="s">
        <v>287</v>
      </c>
      <c r="G203" s="19" t="s">
        <v>289</v>
      </c>
      <c r="H203" s="19" t="s">
        <v>32</v>
      </c>
      <c r="I203">
        <v>0</v>
      </c>
      <c r="J203">
        <v>13</v>
      </c>
      <c r="K203" s="1"/>
    </row>
    <row r="204" spans="1:11">
      <c r="A204" s="17" t="s">
        <v>57</v>
      </c>
      <c r="B204" s="19" t="s">
        <v>53</v>
      </c>
      <c r="C204" s="19" t="s">
        <v>199</v>
      </c>
      <c r="D204" s="19" t="s">
        <v>200</v>
      </c>
      <c r="E204" s="20" t="s">
        <v>32</v>
      </c>
      <c r="F204" s="19" t="s">
        <v>199</v>
      </c>
      <c r="G204" s="19" t="s">
        <v>201</v>
      </c>
      <c r="H204" s="19" t="s">
        <v>32</v>
      </c>
      <c r="I204">
        <v>0</v>
      </c>
      <c r="J204">
        <v>2</v>
      </c>
      <c r="K204" s="1"/>
    </row>
    <row r="205" spans="1:11">
      <c r="A205" s="17" t="s">
        <v>57</v>
      </c>
      <c r="B205" s="19" t="s">
        <v>53</v>
      </c>
      <c r="C205" s="19" t="s">
        <v>290</v>
      </c>
      <c r="D205" s="19" t="s">
        <v>291</v>
      </c>
      <c r="E205" s="20" t="s">
        <v>32</v>
      </c>
      <c r="F205" s="19" t="s">
        <v>290</v>
      </c>
      <c r="G205" s="19" t="s">
        <v>292</v>
      </c>
      <c r="H205" s="19" t="s">
        <v>32</v>
      </c>
      <c r="I205">
        <v>0</v>
      </c>
      <c r="J205">
        <v>1</v>
      </c>
      <c r="K205" s="1"/>
    </row>
    <row r="206" spans="1:11">
      <c r="A206" s="17" t="s">
        <v>57</v>
      </c>
      <c r="B206" s="19" t="s">
        <v>53</v>
      </c>
      <c r="C206" s="19" t="s">
        <v>293</v>
      </c>
      <c r="D206" s="19" t="s">
        <v>294</v>
      </c>
      <c r="E206" s="20" t="s">
        <v>32</v>
      </c>
      <c r="F206" s="19" t="s">
        <v>293</v>
      </c>
      <c r="G206" s="19" t="s">
        <v>295</v>
      </c>
      <c r="H206" s="19" t="s">
        <v>32</v>
      </c>
      <c r="I206">
        <v>0</v>
      </c>
      <c r="J206">
        <v>8</v>
      </c>
      <c r="K206" s="1"/>
    </row>
    <row r="207" spans="1:11">
      <c r="A207" s="17" t="s">
        <v>57</v>
      </c>
      <c r="B207" s="19" t="s">
        <v>53</v>
      </c>
      <c r="C207" s="19" t="s">
        <v>837</v>
      </c>
      <c r="D207" s="19" t="s">
        <v>838</v>
      </c>
      <c r="E207" s="20" t="s">
        <v>32</v>
      </c>
      <c r="F207" s="19" t="s">
        <v>837</v>
      </c>
      <c r="G207" s="19" t="s">
        <v>839</v>
      </c>
      <c r="H207" s="19" t="s">
        <v>32</v>
      </c>
      <c r="I207">
        <v>1</v>
      </c>
      <c r="J207">
        <v>0</v>
      </c>
      <c r="K207" s="1"/>
    </row>
    <row r="208" spans="1:11">
      <c r="A208" s="17" t="s">
        <v>57</v>
      </c>
      <c r="B208" s="19" t="s">
        <v>53</v>
      </c>
      <c r="C208" s="19" t="s">
        <v>840</v>
      </c>
      <c r="D208" s="19" t="s">
        <v>841</v>
      </c>
      <c r="E208" s="20" t="s">
        <v>32</v>
      </c>
      <c r="F208" s="19" t="s">
        <v>840</v>
      </c>
      <c r="G208" s="19" t="s">
        <v>842</v>
      </c>
      <c r="H208" s="19" t="s">
        <v>32</v>
      </c>
      <c r="I208">
        <v>0</v>
      </c>
      <c r="J208">
        <v>5</v>
      </c>
      <c r="K208" s="1"/>
    </row>
    <row r="209" spans="1:11">
      <c r="A209" s="17" t="s">
        <v>57</v>
      </c>
      <c r="B209" s="19" t="s">
        <v>53</v>
      </c>
      <c r="C209" s="19" t="s">
        <v>700</v>
      </c>
      <c r="D209" s="19" t="s">
        <v>701</v>
      </c>
      <c r="E209" s="20" t="s">
        <v>32</v>
      </c>
      <c r="F209" s="19" t="s">
        <v>700</v>
      </c>
      <c r="G209" s="19" t="s">
        <v>702</v>
      </c>
      <c r="H209" s="19" t="s">
        <v>32</v>
      </c>
      <c r="I209">
        <v>0</v>
      </c>
      <c r="J209">
        <v>2</v>
      </c>
      <c r="K209" s="1"/>
    </row>
    <row r="210" spans="1:11">
      <c r="A210" s="17" t="s">
        <v>57</v>
      </c>
      <c r="B210" s="19" t="s">
        <v>53</v>
      </c>
      <c r="C210" s="19" t="s">
        <v>703</v>
      </c>
      <c r="D210" s="19" t="s">
        <v>704</v>
      </c>
      <c r="E210" s="20" t="s">
        <v>32</v>
      </c>
      <c r="F210" s="19" t="s">
        <v>703</v>
      </c>
      <c r="G210" s="19" t="s">
        <v>705</v>
      </c>
      <c r="H210" s="19" t="s">
        <v>32</v>
      </c>
      <c r="I210">
        <v>0</v>
      </c>
      <c r="J210">
        <v>13</v>
      </c>
      <c r="K210" s="1"/>
    </row>
    <row r="211" spans="1:11">
      <c r="A211" s="17" t="s">
        <v>57</v>
      </c>
      <c r="B211" s="19" t="s">
        <v>53</v>
      </c>
      <c r="C211" s="19" t="s">
        <v>296</v>
      </c>
      <c r="D211" s="19" t="s">
        <v>297</v>
      </c>
      <c r="E211" s="20" t="s">
        <v>32</v>
      </c>
      <c r="F211" s="19" t="s">
        <v>296</v>
      </c>
      <c r="G211" s="19" t="s">
        <v>298</v>
      </c>
      <c r="H211" s="19" t="s">
        <v>32</v>
      </c>
      <c r="I211">
        <v>0</v>
      </c>
      <c r="J211">
        <v>3</v>
      </c>
      <c r="K211" s="1"/>
    </row>
    <row r="212" spans="1:11">
      <c r="A212" s="17" t="s">
        <v>57</v>
      </c>
      <c r="B212" s="19" t="s">
        <v>53</v>
      </c>
      <c r="C212" s="19" t="s">
        <v>299</v>
      </c>
      <c r="D212" s="19" t="s">
        <v>300</v>
      </c>
      <c r="E212" s="20" t="s">
        <v>32</v>
      </c>
      <c r="F212" s="19" t="s">
        <v>299</v>
      </c>
      <c r="G212" s="19" t="s">
        <v>301</v>
      </c>
      <c r="H212" s="19" t="s">
        <v>32</v>
      </c>
      <c r="I212">
        <v>0</v>
      </c>
      <c r="J212">
        <v>2</v>
      </c>
      <c r="K212" s="1"/>
    </row>
    <row r="213" spans="1:11">
      <c r="A213" s="17" t="s">
        <v>57</v>
      </c>
      <c r="B213" s="19" t="s">
        <v>53</v>
      </c>
      <c r="C213" s="19" t="s">
        <v>302</v>
      </c>
      <c r="D213" s="19" t="s">
        <v>303</v>
      </c>
      <c r="E213" s="20" t="s">
        <v>32</v>
      </c>
      <c r="F213" s="19" t="s">
        <v>302</v>
      </c>
      <c r="G213" s="19" t="s">
        <v>304</v>
      </c>
      <c r="H213" s="19" t="s">
        <v>32</v>
      </c>
      <c r="I213">
        <v>0</v>
      </c>
      <c r="J213">
        <v>3</v>
      </c>
      <c r="K213" s="1"/>
    </row>
    <row r="214" spans="1:11">
      <c r="A214" s="17" t="s">
        <v>57</v>
      </c>
      <c r="B214" s="19" t="s">
        <v>53</v>
      </c>
      <c r="C214" s="19" t="s">
        <v>305</v>
      </c>
      <c r="D214" s="19" t="s">
        <v>306</v>
      </c>
      <c r="E214" s="20" t="s">
        <v>32</v>
      </c>
      <c r="F214" s="19" t="s">
        <v>305</v>
      </c>
      <c r="G214" s="19" t="s">
        <v>307</v>
      </c>
      <c r="H214" s="19" t="s">
        <v>32</v>
      </c>
      <c r="I214">
        <v>0</v>
      </c>
      <c r="J214">
        <v>1</v>
      </c>
      <c r="K214" s="1"/>
    </row>
    <row r="215" spans="1:11">
      <c r="A215" s="17" t="s">
        <v>57</v>
      </c>
      <c r="B215" s="19" t="s">
        <v>53</v>
      </c>
      <c r="C215" s="19" t="s">
        <v>308</v>
      </c>
      <c r="D215" s="19" t="s">
        <v>309</v>
      </c>
      <c r="E215" s="20" t="s">
        <v>32</v>
      </c>
      <c r="F215" s="19" t="s">
        <v>308</v>
      </c>
      <c r="G215" s="19" t="s">
        <v>310</v>
      </c>
      <c r="H215" s="19" t="s">
        <v>32</v>
      </c>
      <c r="I215">
        <v>4</v>
      </c>
      <c r="J215">
        <v>5</v>
      </c>
      <c r="K215" s="1"/>
    </row>
    <row r="216" spans="1:11">
      <c r="A216" s="17" t="s">
        <v>57</v>
      </c>
      <c r="B216" s="19" t="s">
        <v>53</v>
      </c>
      <c r="C216" s="19" t="s">
        <v>202</v>
      </c>
      <c r="D216" s="19" t="s">
        <v>203</v>
      </c>
      <c r="E216" s="20" t="s">
        <v>32</v>
      </c>
      <c r="F216" s="19" t="s">
        <v>202</v>
      </c>
      <c r="G216" s="19" t="s">
        <v>204</v>
      </c>
      <c r="H216" s="19" t="s">
        <v>32</v>
      </c>
      <c r="I216">
        <v>0</v>
      </c>
      <c r="J216">
        <v>1</v>
      </c>
      <c r="K216" s="1"/>
    </row>
    <row r="217" spans="1:11">
      <c r="A217" s="17" t="s">
        <v>57</v>
      </c>
      <c r="B217" s="19" t="s">
        <v>53</v>
      </c>
      <c r="C217" s="19" t="s">
        <v>706</v>
      </c>
      <c r="D217" s="19" t="s">
        <v>707</v>
      </c>
      <c r="E217" s="20" t="s">
        <v>32</v>
      </c>
      <c r="F217" s="19" t="s">
        <v>706</v>
      </c>
      <c r="G217" s="19" t="s">
        <v>708</v>
      </c>
      <c r="H217" s="19" t="s">
        <v>32</v>
      </c>
      <c r="I217">
        <v>286453</v>
      </c>
      <c r="J217">
        <v>4319</v>
      </c>
      <c r="K217" s="1"/>
    </row>
    <row r="218" spans="1:11">
      <c r="A218" s="17" t="s">
        <v>57</v>
      </c>
      <c r="B218" s="19" t="s">
        <v>53</v>
      </c>
      <c r="C218" s="19" t="s">
        <v>709</v>
      </c>
      <c r="D218" s="19" t="s">
        <v>710</v>
      </c>
      <c r="E218" s="20" t="s">
        <v>32</v>
      </c>
      <c r="F218" s="19" t="s">
        <v>709</v>
      </c>
      <c r="G218" s="19" t="s">
        <v>711</v>
      </c>
      <c r="H218" s="19" t="s">
        <v>32</v>
      </c>
      <c r="I218">
        <v>308363</v>
      </c>
      <c r="J218">
        <v>3403</v>
      </c>
      <c r="K218" s="1"/>
    </row>
    <row r="219" spans="1:11">
      <c r="A219" s="17" t="s">
        <v>57</v>
      </c>
      <c r="B219" s="19" t="s">
        <v>53</v>
      </c>
      <c r="C219" s="19" t="s">
        <v>712</v>
      </c>
      <c r="D219" s="19" t="s">
        <v>713</v>
      </c>
      <c r="E219" s="20" t="s">
        <v>32</v>
      </c>
      <c r="F219" s="19" t="s">
        <v>712</v>
      </c>
      <c r="G219" s="19" t="s">
        <v>714</v>
      </c>
      <c r="H219" s="19" t="s">
        <v>32</v>
      </c>
      <c r="I219">
        <v>184091</v>
      </c>
      <c r="J219">
        <v>2756</v>
      </c>
      <c r="K219" s="1"/>
    </row>
    <row r="220" spans="1:11">
      <c r="A220" s="17" t="s">
        <v>57</v>
      </c>
      <c r="B220" s="19" t="s">
        <v>53</v>
      </c>
      <c r="C220" s="19" t="s">
        <v>715</v>
      </c>
      <c r="D220" s="19" t="s">
        <v>716</v>
      </c>
      <c r="E220" s="20" t="s">
        <v>32</v>
      </c>
      <c r="F220" s="19" t="s">
        <v>715</v>
      </c>
      <c r="G220" s="19" t="s">
        <v>717</v>
      </c>
      <c r="H220" s="19" t="s">
        <v>32</v>
      </c>
      <c r="I220">
        <v>242240</v>
      </c>
      <c r="J220">
        <v>2645</v>
      </c>
      <c r="K220" s="1"/>
    </row>
    <row r="221" spans="1:11">
      <c r="A221" s="17" t="s">
        <v>57</v>
      </c>
      <c r="B221" s="19" t="s">
        <v>53</v>
      </c>
      <c r="C221" s="19" t="s">
        <v>718</v>
      </c>
      <c r="D221" s="19" t="s">
        <v>719</v>
      </c>
      <c r="E221" s="20" t="s">
        <v>32</v>
      </c>
      <c r="F221" s="19" t="s">
        <v>718</v>
      </c>
      <c r="G221" s="19" t="s">
        <v>720</v>
      </c>
      <c r="H221" s="19" t="s">
        <v>32</v>
      </c>
      <c r="I221">
        <v>453446</v>
      </c>
      <c r="J221">
        <v>5542</v>
      </c>
      <c r="K221" s="1"/>
    </row>
    <row r="222" spans="1:11">
      <c r="A222" s="17" t="s">
        <v>57</v>
      </c>
      <c r="B222" s="19" t="s">
        <v>53</v>
      </c>
      <c r="C222" s="19" t="s">
        <v>721</v>
      </c>
      <c r="D222" s="19" t="s">
        <v>722</v>
      </c>
      <c r="E222" s="20" t="s">
        <v>32</v>
      </c>
      <c r="F222" s="19" t="s">
        <v>721</v>
      </c>
      <c r="G222" s="19" t="s">
        <v>723</v>
      </c>
      <c r="H222" s="19" t="s">
        <v>32</v>
      </c>
      <c r="I222">
        <v>380045</v>
      </c>
      <c r="J222">
        <v>2903</v>
      </c>
      <c r="K222" s="1"/>
    </row>
    <row r="223" spans="1:11">
      <c r="A223" s="17" t="s">
        <v>57</v>
      </c>
      <c r="B223" s="19" t="s">
        <v>53</v>
      </c>
      <c r="C223" s="19" t="s">
        <v>724</v>
      </c>
      <c r="D223" s="19" t="s">
        <v>725</v>
      </c>
      <c r="E223" s="20" t="s">
        <v>32</v>
      </c>
      <c r="F223" s="19" t="s">
        <v>724</v>
      </c>
      <c r="G223" s="19" t="s">
        <v>726</v>
      </c>
      <c r="H223" s="19" t="s">
        <v>32</v>
      </c>
      <c r="I223">
        <v>326397</v>
      </c>
      <c r="J223">
        <v>7092</v>
      </c>
      <c r="K223" s="1"/>
    </row>
    <row r="224" spans="1:11">
      <c r="A224" s="17" t="s">
        <v>57</v>
      </c>
      <c r="B224" s="19" t="s">
        <v>53</v>
      </c>
      <c r="C224" s="19" t="s">
        <v>118</v>
      </c>
      <c r="D224" s="19" t="s">
        <v>119</v>
      </c>
      <c r="E224" s="20" t="s">
        <v>32</v>
      </c>
      <c r="F224" s="19" t="s">
        <v>118</v>
      </c>
      <c r="G224" s="19" t="s">
        <v>120</v>
      </c>
      <c r="H224" s="19" t="s">
        <v>32</v>
      </c>
      <c r="I224">
        <v>0</v>
      </c>
      <c r="J224">
        <v>1</v>
      </c>
      <c r="K224" s="1"/>
    </row>
    <row r="225" spans="1:11">
      <c r="A225" s="17" t="s">
        <v>57</v>
      </c>
      <c r="B225" s="19" t="s">
        <v>53</v>
      </c>
      <c r="C225" s="19" t="s">
        <v>311</v>
      </c>
      <c r="D225" s="19" t="s">
        <v>312</v>
      </c>
      <c r="E225" s="20" t="s">
        <v>32</v>
      </c>
      <c r="F225" s="19" t="s">
        <v>311</v>
      </c>
      <c r="G225" s="19" t="s">
        <v>313</v>
      </c>
      <c r="H225" s="19" t="s">
        <v>32</v>
      </c>
      <c r="I225">
        <v>0</v>
      </c>
      <c r="J225">
        <v>5</v>
      </c>
      <c r="K225" s="1"/>
    </row>
    <row r="226" spans="1:11">
      <c r="A226" s="17" t="s">
        <v>57</v>
      </c>
      <c r="B226" s="19" t="s">
        <v>53</v>
      </c>
      <c r="C226" s="19" t="s">
        <v>727</v>
      </c>
      <c r="D226" s="19" t="s">
        <v>728</v>
      </c>
      <c r="E226" s="20" t="s">
        <v>32</v>
      </c>
      <c r="F226" s="19" t="s">
        <v>727</v>
      </c>
      <c r="G226" s="19" t="s">
        <v>729</v>
      </c>
      <c r="H226" s="19" t="s">
        <v>32</v>
      </c>
      <c r="I226">
        <v>81468</v>
      </c>
      <c r="J226">
        <v>796</v>
      </c>
      <c r="K226" s="1"/>
    </row>
    <row r="227" spans="1:11">
      <c r="A227" s="17" t="s">
        <v>57</v>
      </c>
      <c r="B227" s="19" t="s">
        <v>53</v>
      </c>
      <c r="C227" s="19" t="s">
        <v>121</v>
      </c>
      <c r="D227" s="19" t="s">
        <v>122</v>
      </c>
      <c r="E227" s="20" t="s">
        <v>32</v>
      </c>
      <c r="F227" s="19" t="s">
        <v>121</v>
      </c>
      <c r="G227" s="19" t="s">
        <v>123</v>
      </c>
      <c r="H227" s="19" t="s">
        <v>32</v>
      </c>
      <c r="I227">
        <v>0</v>
      </c>
      <c r="J227">
        <v>4</v>
      </c>
      <c r="K227" s="1"/>
    </row>
    <row r="228" spans="1:11">
      <c r="A228" s="17" t="s">
        <v>57</v>
      </c>
      <c r="B228" s="19" t="s">
        <v>53</v>
      </c>
      <c r="C228" s="19" t="s">
        <v>124</v>
      </c>
      <c r="D228" s="19" t="s">
        <v>125</v>
      </c>
      <c r="E228" s="20" t="s">
        <v>32</v>
      </c>
      <c r="F228" s="19" t="s">
        <v>124</v>
      </c>
      <c r="G228" s="19" t="s">
        <v>126</v>
      </c>
      <c r="H228" s="19" t="s">
        <v>32</v>
      </c>
      <c r="I228">
        <v>0</v>
      </c>
      <c r="J228">
        <v>2</v>
      </c>
      <c r="K228" s="1"/>
    </row>
    <row r="229" spans="1:11">
      <c r="A229" s="17" t="s">
        <v>57</v>
      </c>
      <c r="B229" s="19" t="s">
        <v>53</v>
      </c>
      <c r="C229" s="19" t="s">
        <v>730</v>
      </c>
      <c r="D229" s="19" t="s">
        <v>731</v>
      </c>
      <c r="E229" s="20" t="s">
        <v>32</v>
      </c>
      <c r="F229" s="19" t="s">
        <v>730</v>
      </c>
      <c r="G229" s="19" t="s">
        <v>732</v>
      </c>
      <c r="H229" s="19" t="s">
        <v>32</v>
      </c>
      <c r="I229">
        <v>0</v>
      </c>
      <c r="J229">
        <v>1568</v>
      </c>
      <c r="K229" s="1"/>
    </row>
    <row r="230" spans="1:11">
      <c r="A230" s="17" t="s">
        <v>57</v>
      </c>
      <c r="B230" s="19" t="s">
        <v>53</v>
      </c>
      <c r="C230" s="19" t="s">
        <v>733</v>
      </c>
      <c r="D230" s="19" t="s">
        <v>734</v>
      </c>
      <c r="E230" s="20" t="s">
        <v>32</v>
      </c>
      <c r="F230" s="19" t="s">
        <v>733</v>
      </c>
      <c r="G230" s="19" t="s">
        <v>735</v>
      </c>
      <c r="H230" s="19" t="s">
        <v>32</v>
      </c>
      <c r="I230">
        <v>12</v>
      </c>
      <c r="J230">
        <v>2754</v>
      </c>
      <c r="K230" s="1"/>
    </row>
    <row r="231" spans="1:11">
      <c r="A231" s="17" t="s">
        <v>57</v>
      </c>
      <c r="B231" s="19" t="s">
        <v>53</v>
      </c>
      <c r="C231" s="19" t="s">
        <v>736</v>
      </c>
      <c r="D231" s="19" t="s">
        <v>737</v>
      </c>
      <c r="E231" s="20" t="s">
        <v>32</v>
      </c>
      <c r="F231" s="19" t="s">
        <v>736</v>
      </c>
      <c r="G231" s="19" t="s">
        <v>738</v>
      </c>
      <c r="H231" s="19" t="s">
        <v>32</v>
      </c>
      <c r="I231">
        <v>0</v>
      </c>
      <c r="J231">
        <v>1057</v>
      </c>
      <c r="K231" s="1"/>
    </row>
    <row r="232" spans="1:11">
      <c r="A232" s="17" t="s">
        <v>57</v>
      </c>
      <c r="B232" s="19" t="s">
        <v>53</v>
      </c>
      <c r="C232" s="19" t="s">
        <v>739</v>
      </c>
      <c r="D232" s="19" t="s">
        <v>740</v>
      </c>
      <c r="E232" s="20" t="s">
        <v>32</v>
      </c>
      <c r="F232" s="19" t="s">
        <v>739</v>
      </c>
      <c r="G232" s="19" t="s">
        <v>741</v>
      </c>
      <c r="H232" s="19" t="s">
        <v>32</v>
      </c>
      <c r="I232">
        <v>31</v>
      </c>
      <c r="J232">
        <v>375</v>
      </c>
      <c r="K232" s="1"/>
    </row>
    <row r="233" spans="1:11">
      <c r="A233" s="17" t="s">
        <v>57</v>
      </c>
      <c r="B233" s="19" t="s">
        <v>53</v>
      </c>
      <c r="C233" s="19" t="s">
        <v>742</v>
      </c>
      <c r="D233" s="19" t="s">
        <v>743</v>
      </c>
      <c r="E233" s="20" t="s">
        <v>32</v>
      </c>
      <c r="F233" s="19" t="s">
        <v>742</v>
      </c>
      <c r="G233" s="19" t="s">
        <v>744</v>
      </c>
      <c r="H233" s="19" t="s">
        <v>32</v>
      </c>
      <c r="I233">
        <v>33</v>
      </c>
      <c r="J233">
        <v>143</v>
      </c>
      <c r="K233" s="1"/>
    </row>
    <row r="234" spans="1:11">
      <c r="A234" s="17" t="s">
        <v>57</v>
      </c>
      <c r="B234" s="19" t="s">
        <v>53</v>
      </c>
      <c r="C234" s="19" t="s">
        <v>745</v>
      </c>
      <c r="D234" s="19" t="s">
        <v>746</v>
      </c>
      <c r="E234" s="20" t="s">
        <v>32</v>
      </c>
      <c r="F234" s="19" t="s">
        <v>745</v>
      </c>
      <c r="G234" s="19" t="s">
        <v>747</v>
      </c>
      <c r="H234" s="19" t="s">
        <v>32</v>
      </c>
      <c r="I234">
        <v>10</v>
      </c>
      <c r="J234">
        <v>1098</v>
      </c>
      <c r="K234" s="1"/>
    </row>
    <row r="235" spans="1:11">
      <c r="A235" s="17" t="s">
        <v>57</v>
      </c>
      <c r="B235" s="19" t="s">
        <v>53</v>
      </c>
      <c r="C235" s="19" t="s">
        <v>748</v>
      </c>
      <c r="D235" s="19" t="s">
        <v>749</v>
      </c>
      <c r="E235" s="20" t="s">
        <v>32</v>
      </c>
      <c r="F235" s="19" t="s">
        <v>748</v>
      </c>
      <c r="G235" s="19" t="s">
        <v>750</v>
      </c>
      <c r="H235" s="19" t="s">
        <v>32</v>
      </c>
      <c r="I235">
        <v>1</v>
      </c>
      <c r="J235">
        <v>202</v>
      </c>
      <c r="K235" s="1"/>
    </row>
    <row r="236" spans="1:11">
      <c r="A236" s="17" t="s">
        <v>57</v>
      </c>
      <c r="B236" s="19" t="s">
        <v>53</v>
      </c>
      <c r="C236" s="19" t="s">
        <v>751</v>
      </c>
      <c r="D236" s="19" t="s">
        <v>752</v>
      </c>
      <c r="E236" s="20" t="s">
        <v>32</v>
      </c>
      <c r="F236" s="19" t="s">
        <v>751</v>
      </c>
      <c r="G236" s="19" t="s">
        <v>753</v>
      </c>
      <c r="H236" s="19" t="s">
        <v>32</v>
      </c>
      <c r="I236">
        <v>57</v>
      </c>
      <c r="J236">
        <v>572</v>
      </c>
      <c r="K236" s="1"/>
    </row>
    <row r="237" spans="1:11">
      <c r="A237" s="17" t="s">
        <v>57</v>
      </c>
      <c r="B237" s="19" t="s">
        <v>53</v>
      </c>
      <c r="C237" s="19" t="s">
        <v>754</v>
      </c>
      <c r="D237" s="19" t="s">
        <v>755</v>
      </c>
      <c r="E237" s="20" t="s">
        <v>32</v>
      </c>
      <c r="F237" s="19" t="s">
        <v>754</v>
      </c>
      <c r="G237" s="19" t="s">
        <v>756</v>
      </c>
      <c r="H237" s="19" t="s">
        <v>32</v>
      </c>
      <c r="I237">
        <v>0</v>
      </c>
      <c r="J237">
        <v>61</v>
      </c>
      <c r="K237" s="1"/>
    </row>
    <row r="238" spans="1:11">
      <c r="A238" s="17" t="s">
        <v>57</v>
      </c>
      <c r="B238" s="19" t="s">
        <v>53</v>
      </c>
      <c r="C238" s="19" t="s">
        <v>127</v>
      </c>
      <c r="D238" s="19" t="s">
        <v>128</v>
      </c>
      <c r="E238" s="20" t="s">
        <v>32</v>
      </c>
      <c r="F238" s="19" t="s">
        <v>127</v>
      </c>
      <c r="G238" s="19" t="s">
        <v>129</v>
      </c>
      <c r="H238" s="19" t="s">
        <v>32</v>
      </c>
      <c r="I238">
        <v>0</v>
      </c>
      <c r="J238">
        <v>9</v>
      </c>
      <c r="K238" s="1"/>
    </row>
    <row r="239" spans="1:11">
      <c r="A239" s="17" t="s">
        <v>57</v>
      </c>
      <c r="B239" s="19" t="s">
        <v>53</v>
      </c>
      <c r="C239" s="19" t="s">
        <v>130</v>
      </c>
      <c r="D239" s="19" t="s">
        <v>131</v>
      </c>
      <c r="E239" s="20" t="s">
        <v>32</v>
      </c>
      <c r="F239" s="19" t="s">
        <v>130</v>
      </c>
      <c r="G239" s="19" t="s">
        <v>132</v>
      </c>
      <c r="H239" s="19" t="s">
        <v>32</v>
      </c>
      <c r="I239">
        <v>0</v>
      </c>
      <c r="J239">
        <v>6</v>
      </c>
      <c r="K239" s="1"/>
    </row>
    <row r="240" spans="1:11">
      <c r="A240" s="17" t="s">
        <v>57</v>
      </c>
      <c r="B240" s="19" t="s">
        <v>53</v>
      </c>
      <c r="C240" s="19" t="s">
        <v>757</v>
      </c>
      <c r="D240" s="19" t="s">
        <v>758</v>
      </c>
      <c r="E240" s="20" t="s">
        <v>32</v>
      </c>
      <c r="F240" s="19" t="s">
        <v>757</v>
      </c>
      <c r="G240" s="19" t="s">
        <v>759</v>
      </c>
      <c r="H240" s="19" t="s">
        <v>32</v>
      </c>
      <c r="I240">
        <v>4797058</v>
      </c>
      <c r="J240">
        <v>14774</v>
      </c>
      <c r="K240" s="1"/>
    </row>
    <row r="241" spans="1:11">
      <c r="A241" s="17" t="s">
        <v>57</v>
      </c>
      <c r="B241" s="19" t="s">
        <v>53</v>
      </c>
      <c r="C241" s="19" t="s">
        <v>133</v>
      </c>
      <c r="D241" s="19" t="s">
        <v>134</v>
      </c>
      <c r="E241" s="20" t="s">
        <v>32</v>
      </c>
      <c r="F241" s="19" t="s">
        <v>133</v>
      </c>
      <c r="G241" s="19" t="s">
        <v>135</v>
      </c>
      <c r="H241" s="19" t="s">
        <v>32</v>
      </c>
      <c r="I241">
        <v>0</v>
      </c>
      <c r="J241">
        <v>3</v>
      </c>
      <c r="K241" s="1"/>
    </row>
    <row r="242" spans="1:11">
      <c r="A242" s="17" t="s">
        <v>57</v>
      </c>
      <c r="B242" s="19" t="s">
        <v>53</v>
      </c>
      <c r="C242" s="19" t="s">
        <v>205</v>
      </c>
      <c r="D242" s="19" t="s">
        <v>206</v>
      </c>
      <c r="E242" s="20" t="s">
        <v>32</v>
      </c>
      <c r="F242" s="19" t="s">
        <v>207</v>
      </c>
      <c r="G242" s="19" t="s">
        <v>208</v>
      </c>
      <c r="H242" s="19" t="s">
        <v>32</v>
      </c>
      <c r="I242">
        <v>0</v>
      </c>
      <c r="J242">
        <v>1</v>
      </c>
      <c r="K242" s="1"/>
    </row>
    <row r="243" spans="1:11">
      <c r="A243" s="17" t="s">
        <v>57</v>
      </c>
      <c r="B243" s="19" t="s">
        <v>53</v>
      </c>
      <c r="C243" s="19" t="s">
        <v>760</v>
      </c>
      <c r="D243" s="19" t="s">
        <v>761</v>
      </c>
      <c r="E243" s="20" t="s">
        <v>32</v>
      </c>
      <c r="F243" s="19" t="s">
        <v>760</v>
      </c>
      <c r="G243" s="19" t="s">
        <v>762</v>
      </c>
      <c r="H243" s="19" t="s">
        <v>32</v>
      </c>
      <c r="I243">
        <v>3315196</v>
      </c>
      <c r="J243">
        <v>12285</v>
      </c>
      <c r="K243" s="1"/>
    </row>
    <row r="244" spans="1:11">
      <c r="A244" s="17" t="s">
        <v>57</v>
      </c>
      <c r="B244" s="19" t="s">
        <v>53</v>
      </c>
      <c r="C244" s="19" t="s">
        <v>136</v>
      </c>
      <c r="D244" s="19" t="s">
        <v>137</v>
      </c>
      <c r="E244" s="20" t="s">
        <v>32</v>
      </c>
      <c r="F244" s="19" t="s">
        <v>136</v>
      </c>
      <c r="G244" s="19" t="s">
        <v>138</v>
      </c>
      <c r="H244" s="19" t="s">
        <v>32</v>
      </c>
      <c r="I244">
        <v>0</v>
      </c>
      <c r="J244">
        <v>1</v>
      </c>
      <c r="K244" s="1"/>
    </row>
    <row r="245" spans="1:11">
      <c r="A245" s="17" t="s">
        <v>57</v>
      </c>
      <c r="B245" s="19" t="s">
        <v>53</v>
      </c>
      <c r="C245" s="19" t="s">
        <v>763</v>
      </c>
      <c r="D245" s="19" t="s">
        <v>764</v>
      </c>
      <c r="E245" s="20" t="s">
        <v>32</v>
      </c>
      <c r="F245" s="19" t="s">
        <v>763</v>
      </c>
      <c r="G245" s="19" t="s">
        <v>765</v>
      </c>
      <c r="H245" s="19" t="s">
        <v>32</v>
      </c>
      <c r="I245">
        <v>4330482</v>
      </c>
      <c r="J245">
        <v>20194</v>
      </c>
      <c r="K245" s="1"/>
    </row>
    <row r="246" spans="1:11">
      <c r="A246" s="17" t="s">
        <v>57</v>
      </c>
      <c r="B246" s="19" t="s">
        <v>53</v>
      </c>
      <c r="C246" s="19" t="s">
        <v>766</v>
      </c>
      <c r="D246" s="19" t="s">
        <v>767</v>
      </c>
      <c r="E246" s="20" t="s">
        <v>32</v>
      </c>
      <c r="F246" s="19" t="s">
        <v>766</v>
      </c>
      <c r="G246" s="19" t="s">
        <v>768</v>
      </c>
      <c r="H246" s="19" t="s">
        <v>32</v>
      </c>
      <c r="I246">
        <v>12911</v>
      </c>
      <c r="J246">
        <v>5061</v>
      </c>
      <c r="K246" s="1"/>
    </row>
    <row r="247" spans="1:11">
      <c r="A247" s="17" t="s">
        <v>57</v>
      </c>
      <c r="B247" s="19" t="s">
        <v>53</v>
      </c>
      <c r="C247" s="19" t="s">
        <v>769</v>
      </c>
      <c r="D247" s="19" t="s">
        <v>770</v>
      </c>
      <c r="E247" s="20" t="s">
        <v>32</v>
      </c>
      <c r="F247" s="19" t="s">
        <v>769</v>
      </c>
      <c r="G247" s="19" t="s">
        <v>771</v>
      </c>
      <c r="H247" s="19" t="s">
        <v>32</v>
      </c>
      <c r="I247">
        <v>27271</v>
      </c>
      <c r="J247">
        <v>5080</v>
      </c>
      <c r="K247" s="1"/>
    </row>
    <row r="248" spans="1:11">
      <c r="A248" s="17" t="s">
        <v>57</v>
      </c>
      <c r="B248" s="19" t="s">
        <v>53</v>
      </c>
      <c r="C248" s="19" t="s">
        <v>772</v>
      </c>
      <c r="D248" s="19" t="s">
        <v>773</v>
      </c>
      <c r="E248" s="20" t="s">
        <v>32</v>
      </c>
      <c r="F248" s="19" t="s">
        <v>772</v>
      </c>
      <c r="G248" s="19" t="s">
        <v>774</v>
      </c>
      <c r="H248" s="19" t="s">
        <v>32</v>
      </c>
      <c r="I248">
        <v>452</v>
      </c>
      <c r="J248">
        <v>8858</v>
      </c>
      <c r="K248" s="1"/>
    </row>
    <row r="249" spans="1:11">
      <c r="A249" s="17" t="s">
        <v>57</v>
      </c>
      <c r="B249" s="19" t="s">
        <v>139</v>
      </c>
      <c r="C249" s="19" t="s">
        <v>775</v>
      </c>
      <c r="D249" s="19" t="s">
        <v>776</v>
      </c>
      <c r="E249" s="20" t="s">
        <v>12</v>
      </c>
      <c r="F249" s="19" t="s">
        <v>775</v>
      </c>
      <c r="G249" s="19" t="s">
        <v>777</v>
      </c>
      <c r="H249" s="19" t="s">
        <v>31</v>
      </c>
      <c r="I249">
        <v>65545</v>
      </c>
      <c r="J249">
        <v>50</v>
      </c>
      <c r="K249" s="1"/>
    </row>
    <row r="250" spans="1:11">
      <c r="A250" s="17" t="s">
        <v>57</v>
      </c>
      <c r="B250" s="19" t="s">
        <v>139</v>
      </c>
      <c r="C250" s="19" t="s">
        <v>778</v>
      </c>
      <c r="D250" s="19" t="s">
        <v>779</v>
      </c>
      <c r="E250" s="20" t="s">
        <v>12</v>
      </c>
      <c r="F250" s="19" t="s">
        <v>778</v>
      </c>
      <c r="G250" s="19" t="s">
        <v>780</v>
      </c>
      <c r="H250" s="19" t="s">
        <v>31</v>
      </c>
      <c r="I250">
        <v>46690</v>
      </c>
      <c r="J250">
        <v>19</v>
      </c>
      <c r="K250" s="1"/>
    </row>
    <row r="251" spans="1:11">
      <c r="A251" s="17" t="s">
        <v>57</v>
      </c>
      <c r="B251" s="19" t="s">
        <v>139</v>
      </c>
      <c r="C251" s="19" t="s">
        <v>781</v>
      </c>
      <c r="D251" s="19" t="s">
        <v>782</v>
      </c>
      <c r="E251" s="20" t="s">
        <v>12</v>
      </c>
      <c r="F251" s="19" t="s">
        <v>781</v>
      </c>
      <c r="G251" s="19" t="s">
        <v>783</v>
      </c>
      <c r="H251" s="19" t="s">
        <v>31</v>
      </c>
      <c r="I251">
        <v>1183054</v>
      </c>
      <c r="J251">
        <v>1296</v>
      </c>
      <c r="K251" s="1"/>
    </row>
    <row r="252" spans="1:11">
      <c r="A252" s="17" t="s">
        <v>57</v>
      </c>
      <c r="B252" s="19" t="s">
        <v>67</v>
      </c>
      <c r="C252" s="19" t="s">
        <v>843</v>
      </c>
      <c r="D252" s="19" t="s">
        <v>844</v>
      </c>
      <c r="E252" s="20" t="s">
        <v>12</v>
      </c>
      <c r="F252" s="19" t="s">
        <v>843</v>
      </c>
      <c r="G252" s="19" t="s">
        <v>845</v>
      </c>
      <c r="H252" s="19" t="s">
        <v>31</v>
      </c>
      <c r="I252">
        <v>11</v>
      </c>
      <c r="J252">
        <v>0</v>
      </c>
      <c r="K252" s="1"/>
    </row>
    <row r="253" spans="1:11">
      <c r="A253" s="17" t="s">
        <v>57</v>
      </c>
      <c r="B253" s="19" t="s">
        <v>67</v>
      </c>
      <c r="C253" s="19" t="s">
        <v>209</v>
      </c>
      <c r="D253" s="19" t="s">
        <v>210</v>
      </c>
      <c r="E253" s="20" t="s">
        <v>32</v>
      </c>
      <c r="F253" s="19" t="s">
        <v>209</v>
      </c>
      <c r="G253" s="19" t="s">
        <v>211</v>
      </c>
      <c r="H253" s="19" t="s">
        <v>32</v>
      </c>
      <c r="I253">
        <v>0</v>
      </c>
      <c r="J253">
        <v>6</v>
      </c>
      <c r="K253" s="1"/>
    </row>
    <row r="254" spans="1:11">
      <c r="A254" s="17" t="s">
        <v>57</v>
      </c>
      <c r="B254" s="19" t="s">
        <v>61</v>
      </c>
      <c r="C254" s="19" t="s">
        <v>212</v>
      </c>
      <c r="D254" s="19" t="s">
        <v>213</v>
      </c>
      <c r="E254" s="20" t="s">
        <v>12</v>
      </c>
      <c r="F254" s="19" t="s">
        <v>212</v>
      </c>
      <c r="G254" s="19" t="s">
        <v>214</v>
      </c>
      <c r="H254" s="19" t="s">
        <v>31</v>
      </c>
      <c r="I254">
        <v>1370</v>
      </c>
      <c r="J254">
        <v>7</v>
      </c>
      <c r="K254" s="1"/>
    </row>
    <row r="255" spans="1:11">
      <c r="A255" s="17" t="s">
        <v>57</v>
      </c>
      <c r="B255" s="19" t="s">
        <v>61</v>
      </c>
      <c r="C255" s="19" t="s">
        <v>784</v>
      </c>
      <c r="D255" s="19" t="s">
        <v>785</v>
      </c>
      <c r="E255" s="20" t="s">
        <v>12</v>
      </c>
      <c r="F255" s="19" t="s">
        <v>784</v>
      </c>
      <c r="G255" s="19" t="s">
        <v>786</v>
      </c>
      <c r="H255" s="19" t="s">
        <v>31</v>
      </c>
      <c r="I255">
        <v>7503</v>
      </c>
      <c r="J255">
        <v>7</v>
      </c>
      <c r="K255" s="1"/>
    </row>
    <row r="256" spans="1:11">
      <c r="A256" s="17" t="s">
        <v>57</v>
      </c>
      <c r="B256" s="19" t="s">
        <v>61</v>
      </c>
      <c r="C256" s="19" t="s">
        <v>215</v>
      </c>
      <c r="D256" s="19" t="s">
        <v>216</v>
      </c>
      <c r="E256" s="20" t="s">
        <v>12</v>
      </c>
      <c r="F256" s="19" t="s">
        <v>215</v>
      </c>
      <c r="G256" s="19" t="s">
        <v>217</v>
      </c>
      <c r="H256" s="19" t="s">
        <v>31</v>
      </c>
      <c r="I256">
        <v>1920</v>
      </c>
      <c r="J256">
        <v>14</v>
      </c>
      <c r="K256" s="1"/>
    </row>
    <row r="257" spans="1:11">
      <c r="A257" s="17" t="s">
        <v>57</v>
      </c>
      <c r="B257" s="19" t="s">
        <v>61</v>
      </c>
      <c r="C257" s="19" t="s">
        <v>787</v>
      </c>
      <c r="D257" s="19" t="s">
        <v>788</v>
      </c>
      <c r="E257" s="20" t="s">
        <v>12</v>
      </c>
      <c r="F257" s="19" t="s">
        <v>787</v>
      </c>
      <c r="G257" s="19" t="s">
        <v>789</v>
      </c>
      <c r="H257" s="19" t="s">
        <v>31</v>
      </c>
      <c r="I257">
        <v>541640</v>
      </c>
      <c r="J257">
        <v>849</v>
      </c>
      <c r="K257" s="1"/>
    </row>
    <row r="258" spans="1:11">
      <c r="A258" s="17" t="s">
        <v>57</v>
      </c>
      <c r="B258" s="19" t="s">
        <v>218</v>
      </c>
      <c r="C258" s="19" t="s">
        <v>314</v>
      </c>
      <c r="D258" s="19" t="s">
        <v>315</v>
      </c>
      <c r="E258" s="20" t="s">
        <v>12</v>
      </c>
      <c r="F258" s="19" t="s">
        <v>314</v>
      </c>
      <c r="G258" s="19" t="s">
        <v>316</v>
      </c>
      <c r="H258" s="19" t="s">
        <v>31</v>
      </c>
      <c r="I258">
        <v>36</v>
      </c>
      <c r="J258">
        <v>0</v>
      </c>
      <c r="K258" s="1"/>
    </row>
    <row r="259" spans="1:11">
      <c r="A259" s="17" t="s">
        <v>57</v>
      </c>
      <c r="B259" s="19" t="s">
        <v>218</v>
      </c>
      <c r="C259" s="19" t="s">
        <v>317</v>
      </c>
      <c r="D259" s="19" t="s">
        <v>318</v>
      </c>
      <c r="E259" s="20" t="s">
        <v>12</v>
      </c>
      <c r="F259" s="19" t="s">
        <v>317</v>
      </c>
      <c r="G259" s="19" t="s">
        <v>319</v>
      </c>
      <c r="H259" s="19" t="s">
        <v>31</v>
      </c>
      <c r="I259">
        <v>63</v>
      </c>
      <c r="J259">
        <v>1</v>
      </c>
      <c r="K259" s="1"/>
    </row>
    <row r="260" spans="1:11">
      <c r="A260" s="17" t="s">
        <v>57</v>
      </c>
      <c r="B260" s="19" t="s">
        <v>218</v>
      </c>
      <c r="C260" s="19" t="s">
        <v>846</v>
      </c>
      <c r="D260" s="19" t="s">
        <v>847</v>
      </c>
      <c r="E260" s="20" t="s">
        <v>12</v>
      </c>
      <c r="F260" s="19" t="s">
        <v>846</v>
      </c>
      <c r="G260" s="19" t="s">
        <v>848</v>
      </c>
      <c r="H260" s="19" t="s">
        <v>31</v>
      </c>
      <c r="I260">
        <v>17</v>
      </c>
      <c r="J260">
        <v>0</v>
      </c>
      <c r="K260" s="1"/>
    </row>
    <row r="261" spans="1:11">
      <c r="A261" s="17"/>
      <c r="B261" s="19"/>
      <c r="C261" s="19"/>
      <c r="D261" s="19"/>
      <c r="E261" s="20"/>
      <c r="F261" s="19"/>
      <c r="G261" s="19"/>
      <c r="H261" s="19"/>
      <c r="K261" s="1"/>
    </row>
    <row r="262" spans="1:11">
      <c r="A262" s="17"/>
      <c r="B262" s="19"/>
      <c r="C262" s="19"/>
      <c r="D262" s="19"/>
      <c r="E262" s="20"/>
      <c r="F262" s="19"/>
      <c r="G262" s="19"/>
      <c r="H262" s="19"/>
      <c r="K262" s="1"/>
    </row>
    <row r="263" spans="1:11">
      <c r="A263" s="17"/>
      <c r="B263" s="19"/>
      <c r="C263" s="19"/>
      <c r="D263" s="19"/>
      <c r="E263" s="20"/>
      <c r="F263" s="19"/>
      <c r="G263" s="19"/>
      <c r="H263" s="19"/>
      <c r="K263" s="1"/>
    </row>
    <row r="264" spans="1:11">
      <c r="A264" s="17"/>
      <c r="B264" s="19"/>
      <c r="C264" s="19"/>
      <c r="D264" s="19"/>
      <c r="E264" s="20"/>
      <c r="F264" s="19"/>
      <c r="G264" s="19"/>
      <c r="H264" s="19"/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1:11">
      <c r="K1809" s="1"/>
    </row>
    <row r="1810" spans="11:11">
      <c r="K1810" s="1"/>
    </row>
    <row r="1811" spans="11:11">
      <c r="K1811" s="1"/>
    </row>
  </sheetData>
  <autoFilter ref="A1:J4160" xr:uid="{00000000-0009-0000-0000-000000000000}"/>
  <conditionalFormatting sqref="C1:C1808">
    <cfRule type="duplicateValues" dxfId="2" priority="47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3" sqref="C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  <row r="24" spans="1:2">
      <c r="A24" s="27" t="s">
        <v>68</v>
      </c>
      <c r="B24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A2" sqref="A2:XFD7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Almap BBDO</v>
      </c>
      <c r="C2" t="str">
        <f t="shared" ref="C2:C65" si="2">bd_placement</f>
        <v>alp_ecom_conversao_ecom_almap-geral_social_e-mail_social_semana-do-cliente_almap-semana-do-cliente_cpm_no-size_111255</v>
      </c>
      <c r="D2" t="str">
        <f t="shared" ref="D2:D65" si="3">bd_placementID</f>
        <v>255029693</v>
      </c>
      <c r="E2" t="str">
        <f>IF(Table1[[#This Row],[Impressions]]&gt;Table1[[#This Row],[Clicks]],"Standard",VLOOKUP(CONCATENATE(bd_adtype,"_",bd_creativetype),tabela,2,FALSE))</f>
        <v>Dynamic Click</v>
      </c>
      <c r="F2" t="str">
        <f t="shared" ref="F2:F65" si="4">bd_ad</f>
        <v>alp_ecom_conversao_ecom_almap-geral_social_e-mail_social_semana-do-cliente_almap-semana-do-cliente_cpm_no-size_111255</v>
      </c>
      <c r="G2" t="str">
        <f t="shared" ref="G2:G65" si="5">bd_adid</f>
        <v>451341977</v>
      </c>
      <c r="H2" t="str">
        <f t="shared" ref="H2:H65" si="6">bd_creativetype</f>
        <v>Tracking</v>
      </c>
      <c r="I2">
        <f t="shared" ref="I2:I65" si="7">bd_impression</f>
        <v>0</v>
      </c>
      <c r="J2">
        <f t="shared" ref="J2:J65" si="8">bd_clicks</f>
        <v>1</v>
      </c>
      <c r="K2" s="4">
        <f t="shared" ref="K2:K43" si="9">IF(LEFT(B2,3)="DBM",0,VLOOKUP(E2,tabela,2,FALSE))</f>
        <v>3.5000000000000001E-3</v>
      </c>
      <c r="L2">
        <f t="shared" ref="L2:L43" si="10">VLOOKUP(E2,tabela,3,FALSE)</f>
        <v>0.02</v>
      </c>
      <c r="M2" s="4">
        <f t="shared" ref="M2:M34" si="11">IF(E2="Dynamic Click",J2*K2,K2*$I2/1000)</f>
        <v>3.5000000000000001E-3</v>
      </c>
      <c r="N2" s="4">
        <f>IF(E2="Dynamic Click",J2*L2,L2*$I2/1000)</f>
        <v>0.02</v>
      </c>
    </row>
    <row r="3" spans="1:14">
      <c r="A3" t="str">
        <f t="shared" si="0"/>
        <v>alp_ecom</v>
      </c>
      <c r="B3" t="str">
        <f t="shared" si="1"/>
        <v>Criteo</v>
      </c>
      <c r="C3" t="str">
        <f t="shared" si="2"/>
        <v>alp_ecom_conversao_ecom_criteo_display_arranha-ceu-largo_rmkt_semana-do-cliente_rmk-criteo_cpm_160x600_111246</v>
      </c>
      <c r="D3" t="str">
        <f t="shared" si="3"/>
        <v>255067755</v>
      </c>
      <c r="E3" t="str">
        <f>IF(Table1[[#This Row],[Impressions]]&gt;Table1[[#This Row],[Clicks]],"Standard",VLOOKUP(CONCATENATE(bd_adtype,"_",bd_creativetype),tabela,2,FALSE))</f>
        <v>Dynamic Click</v>
      </c>
      <c r="F3" t="str">
        <f t="shared" si="4"/>
        <v>alp_ecom_conversao_ecom_criteo_display_arranha-ceu-largo_rmkt_semana-do-cliente_rmk-criteo_cpm_160x600_111246</v>
      </c>
      <c r="G3" t="str">
        <f t="shared" si="5"/>
        <v>450910592</v>
      </c>
      <c r="H3" t="str">
        <f t="shared" si="6"/>
        <v>Tracking</v>
      </c>
      <c r="I3">
        <f t="shared" si="7"/>
        <v>0</v>
      </c>
      <c r="J3">
        <f t="shared" si="8"/>
        <v>3</v>
      </c>
      <c r="K3" s="4">
        <f t="shared" si="9"/>
        <v>3.5000000000000001E-3</v>
      </c>
      <c r="L3">
        <f t="shared" si="10"/>
        <v>0.02</v>
      </c>
      <c r="M3" s="4">
        <f t="shared" si="11"/>
        <v>1.0500000000000001E-2</v>
      </c>
      <c r="N3" s="4">
        <f t="shared" ref="N3:N34" si="12">IF(E3="Dynamic Click",J3*L3,L3*$I3/1000)</f>
        <v>0.06</v>
      </c>
    </row>
    <row r="4" spans="1:14">
      <c r="A4" t="str">
        <f t="shared" si="0"/>
        <v>alp_ecom</v>
      </c>
      <c r="B4" t="str">
        <f t="shared" si="1"/>
        <v>Criteo</v>
      </c>
      <c r="C4" t="str">
        <f t="shared" si="2"/>
        <v>alp_ecom_conversao_ecom_criteo_display_half-page_rmkt_semana-do-cliente_rmk-criteo_cpm_300x600_111248</v>
      </c>
      <c r="D4" t="str">
        <f t="shared" si="3"/>
        <v>255067749</v>
      </c>
      <c r="E4" t="str">
        <f>IF(Table1[[#This Row],[Impressions]]&gt;Table1[[#This Row],[Clicks]],"Standard",VLOOKUP(CONCATENATE(bd_adtype,"_",bd_creativetype),tabela,2,FALSE))</f>
        <v>Dynamic Click</v>
      </c>
      <c r="F4" t="str">
        <f t="shared" si="4"/>
        <v>alp_ecom_conversao_ecom_criteo_display_half-page_rmkt_semana-do-cliente_rmk-criteo_cpm_300x600_111248</v>
      </c>
      <c r="G4" t="str">
        <f t="shared" si="5"/>
        <v>450910586</v>
      </c>
      <c r="H4" t="str">
        <f t="shared" si="6"/>
        <v>Tracking</v>
      </c>
      <c r="I4">
        <f t="shared" si="7"/>
        <v>0</v>
      </c>
      <c r="J4">
        <f t="shared" si="8"/>
        <v>3</v>
      </c>
      <c r="K4" s="4">
        <f t="shared" si="9"/>
        <v>3.5000000000000001E-3</v>
      </c>
      <c r="L4">
        <f t="shared" si="10"/>
        <v>0.02</v>
      </c>
      <c r="M4" s="4">
        <f t="shared" si="11"/>
        <v>1.0500000000000001E-2</v>
      </c>
      <c r="N4" s="4">
        <f t="shared" si="12"/>
        <v>0.06</v>
      </c>
    </row>
    <row r="5" spans="1:14">
      <c r="A5" t="str">
        <f t="shared" si="0"/>
        <v>alp_ecom</v>
      </c>
      <c r="B5" t="str">
        <f t="shared" si="1"/>
        <v>Criteo</v>
      </c>
      <c r="C5" t="str">
        <f t="shared" si="2"/>
        <v>alp_ecom_conversao_ecom_criteo_display_header-mobile_rmkt_semana-do-cliente_rmk-criteo_cpm_320x50_111250</v>
      </c>
      <c r="D5" t="str">
        <f t="shared" si="3"/>
        <v>255067743</v>
      </c>
      <c r="E5" t="str">
        <f>IF(Table1[[#This Row],[Impressions]]&gt;Table1[[#This Row],[Clicks]],"Standard",VLOOKUP(CONCATENATE(bd_adtype,"_",bd_creativetype),tabela,2,FALSE))</f>
        <v>Dynamic Click</v>
      </c>
      <c r="F5" t="str">
        <f t="shared" si="4"/>
        <v>alp_ecom_conversao_ecom_criteo_display_header-mobile_rmkt_semana-do-cliente_rmk-criteo_cpm_320x50_111250</v>
      </c>
      <c r="G5" t="str">
        <f t="shared" si="5"/>
        <v>450910580</v>
      </c>
      <c r="H5" t="str">
        <f t="shared" si="6"/>
        <v>Tracking</v>
      </c>
      <c r="I5">
        <f t="shared" si="7"/>
        <v>0</v>
      </c>
      <c r="J5">
        <f t="shared" si="8"/>
        <v>5</v>
      </c>
      <c r="K5" s="4">
        <f t="shared" si="9"/>
        <v>3.5000000000000001E-3</v>
      </c>
      <c r="L5">
        <f t="shared" si="10"/>
        <v>0.02</v>
      </c>
      <c r="M5" s="4">
        <f t="shared" si="11"/>
        <v>1.7500000000000002E-2</v>
      </c>
      <c r="N5" s="4">
        <f t="shared" si="12"/>
        <v>0.1</v>
      </c>
    </row>
    <row r="6" spans="1:14">
      <c r="A6" t="str">
        <f t="shared" si="0"/>
        <v>alp_ecom</v>
      </c>
      <c r="B6" t="str">
        <f t="shared" si="1"/>
        <v>Criteo</v>
      </c>
      <c r="C6" t="str">
        <f t="shared" si="2"/>
        <v>alp_ecom_conversao_ecom_criteo_display_retangulo_rmkt_semana-do-cliente_rmk-criteo_cpm_300x250_111247</v>
      </c>
      <c r="D6" t="str">
        <f t="shared" si="3"/>
        <v>255067752</v>
      </c>
      <c r="E6" t="str">
        <f>IF(Table1[[#This Row],[Impressions]]&gt;Table1[[#This Row],[Clicks]],"Standard",VLOOKUP(CONCATENATE(bd_adtype,"_",bd_creativetype),tabela,2,FALSE))</f>
        <v>Dynamic Click</v>
      </c>
      <c r="F6" t="str">
        <f t="shared" si="4"/>
        <v>alp_ecom_conversao_ecom_criteo_display_retangulo_rmkt_semana-do-cliente_rmk-criteo_cpm_300x250_111247</v>
      </c>
      <c r="G6" t="str">
        <f t="shared" si="5"/>
        <v>450910589</v>
      </c>
      <c r="H6" t="str">
        <f t="shared" si="6"/>
        <v>Tracking</v>
      </c>
      <c r="I6">
        <f t="shared" si="7"/>
        <v>0</v>
      </c>
      <c r="J6">
        <f t="shared" si="8"/>
        <v>3</v>
      </c>
      <c r="K6" s="4">
        <f t="shared" si="9"/>
        <v>3.5000000000000001E-3</v>
      </c>
      <c r="L6">
        <f t="shared" si="10"/>
        <v>0.02</v>
      </c>
      <c r="M6" s="4">
        <f t="shared" si="11"/>
        <v>1.0500000000000001E-2</v>
      </c>
      <c r="N6" s="4">
        <f t="shared" si="12"/>
        <v>0.06</v>
      </c>
    </row>
    <row r="7" spans="1:14">
      <c r="A7" t="str">
        <f t="shared" si="0"/>
        <v>alp_ecom</v>
      </c>
      <c r="B7" t="str">
        <f t="shared" si="1"/>
        <v>Oath BR</v>
      </c>
      <c r="C7" t="str">
        <f t="shared" si="2"/>
        <v>alp_ecom_conversao_ecom_oath_native_native-ads_ros_semana-do-cliente_interesse-promocao_cpc_no-size_111253</v>
      </c>
      <c r="D7" t="str">
        <f t="shared" si="3"/>
        <v>254708531</v>
      </c>
      <c r="E7" t="str">
        <f>IF(Table1[[#This Row],[Impressions]]&gt;Table1[[#This Row],[Clicks]],"Standard",VLOOKUP(CONCATENATE(bd_adtype,"_",bd_creativetype),tabela,2,FALSE))</f>
        <v>Standard</v>
      </c>
      <c r="F7" t="str">
        <f t="shared" si="4"/>
        <v>alp_ecom_conversao_ecom_oath_native_native-ads_ros_semana-do-cliente_interesse-promocao_cpc_no-size_111253</v>
      </c>
      <c r="G7" t="str">
        <f t="shared" si="5"/>
        <v>450964056</v>
      </c>
      <c r="H7" t="str">
        <f t="shared" si="6"/>
        <v>Tracking</v>
      </c>
      <c r="I7">
        <f t="shared" si="7"/>
        <v>18</v>
      </c>
      <c r="J7">
        <f t="shared" si="8"/>
        <v>2</v>
      </c>
      <c r="K7" s="4">
        <f t="shared" si="9"/>
        <v>3.8199999999999998E-2</v>
      </c>
      <c r="L7">
        <f t="shared" si="10"/>
        <v>0.09</v>
      </c>
      <c r="M7" s="4">
        <f t="shared" si="11"/>
        <v>6.8760000000000002E-4</v>
      </c>
      <c r="N7" s="4">
        <f t="shared" si="12"/>
        <v>1.6199999999999999E-3</v>
      </c>
    </row>
    <row r="8" spans="1:14">
      <c r="A8" t="str">
        <f t="shared" si="0"/>
        <v>alp_ecom</v>
      </c>
      <c r="B8" t="str">
        <f t="shared" si="1"/>
        <v>OutBrain - Br</v>
      </c>
      <c r="C8" t="str">
        <f t="shared" si="2"/>
        <v>alp_ecom_conversao_ecom_outbrain_native_native-ads_ros_dia-das-maes_all_cpc_no-size_111149</v>
      </c>
      <c r="D8" t="str">
        <f t="shared" si="3"/>
        <v>245434138</v>
      </c>
      <c r="E8" t="str">
        <f>IF(Table1[[#This Row],[Impressions]]&gt;Table1[[#This Row],[Clicks]],"Standard",VLOOKUP(CONCATENATE(bd_adtype,"_",bd_creativetype),tabela,2,FALSE))</f>
        <v>Dynamic Click</v>
      </c>
      <c r="F8" t="str">
        <f t="shared" si="4"/>
        <v>alp_ecom_conversao_ecom_outbrain_native_native-ads_ros_dia-das-maes_all_cpc_no-size_111149</v>
      </c>
      <c r="G8" t="str">
        <f t="shared" si="5"/>
        <v>442124315</v>
      </c>
      <c r="H8" t="str">
        <f t="shared" si="6"/>
        <v>Tracking</v>
      </c>
      <c r="I8">
        <f t="shared" si="7"/>
        <v>0</v>
      </c>
      <c r="J8">
        <f t="shared" si="8"/>
        <v>3</v>
      </c>
      <c r="K8" s="4">
        <f t="shared" si="9"/>
        <v>3.5000000000000001E-3</v>
      </c>
      <c r="L8">
        <f t="shared" si="10"/>
        <v>0.02</v>
      </c>
      <c r="M8" s="4">
        <f t="shared" si="11"/>
        <v>1.0500000000000001E-2</v>
      </c>
      <c r="N8" s="4">
        <f t="shared" si="12"/>
        <v>0.06</v>
      </c>
    </row>
    <row r="9" spans="1:14">
      <c r="A9" t="str">
        <f t="shared" si="0"/>
        <v>alp_ecom</v>
      </c>
      <c r="B9" t="str">
        <f t="shared" si="1"/>
        <v>Steal The Look</v>
      </c>
      <c r="C9" t="str">
        <f t="shared" si="2"/>
        <v>alp_ecom_conversao_ecom_steal-the-look_conteudo-veiculo_publieditorial_home_dia-das-maes_all_fixo_no-size_111179</v>
      </c>
      <c r="D9" t="str">
        <f t="shared" si="3"/>
        <v>246161914</v>
      </c>
      <c r="E9" t="str">
        <f>IF(Table1[[#This Row],[Impressions]]&gt;Table1[[#This Row],[Clicks]],"Standard",VLOOKUP(CONCATENATE(bd_adtype,"_",bd_creativetype),tabela,2,FALSE))</f>
        <v>Standard</v>
      </c>
      <c r="F9" t="str">
        <f t="shared" si="4"/>
        <v>alp_ecom_conversao_ecom_steal-the-look_conteudo-veiculo_publieditorial_home_dia-das-maes_all_fixo_no-size_111179</v>
      </c>
      <c r="G9" t="str">
        <f t="shared" si="5"/>
        <v>442638264</v>
      </c>
      <c r="H9" t="str">
        <f t="shared" si="6"/>
        <v>Tracking</v>
      </c>
      <c r="I9">
        <f t="shared" si="7"/>
        <v>8</v>
      </c>
      <c r="J9">
        <f t="shared" si="8"/>
        <v>0</v>
      </c>
      <c r="K9" s="4">
        <f t="shared" si="9"/>
        <v>3.8199999999999998E-2</v>
      </c>
      <c r="L9">
        <f t="shared" si="10"/>
        <v>0.09</v>
      </c>
      <c r="M9" s="4">
        <f t="shared" si="11"/>
        <v>3.056E-4</v>
      </c>
      <c r="N9" s="4">
        <f t="shared" si="12"/>
        <v>7.1999999999999994E-4</v>
      </c>
    </row>
    <row r="10" spans="1:14">
      <c r="A10" t="str">
        <f t="shared" si="0"/>
        <v>alp_ecom</v>
      </c>
      <c r="B10" t="str">
        <f t="shared" si="1"/>
        <v>Steal The Look</v>
      </c>
      <c r="C10" t="str">
        <f t="shared" si="2"/>
        <v>alp_ecom_conversao_ecom_steal-the-look_conteudo-veiculo_publieditorial_home_dia-das-maes_all_fixo_no-size_111180</v>
      </c>
      <c r="D10" t="str">
        <f t="shared" si="3"/>
        <v>246161911</v>
      </c>
      <c r="E10" t="str">
        <f>IF(Table1[[#This Row],[Impressions]]&gt;Table1[[#This Row],[Clicks]],"Standard",VLOOKUP(CONCATENATE(bd_adtype,"_",bd_creativetype),tabela,2,FALSE))</f>
        <v>Standard</v>
      </c>
      <c r="F10" t="str">
        <f t="shared" si="4"/>
        <v>alp_ecom_conversao_ecom_steal-the-look_conteudo-veiculo_publieditorial_home_dia-das-maes_all_fixo_no-size_111180</v>
      </c>
      <c r="G10" t="str">
        <f t="shared" si="5"/>
        <v>442727507</v>
      </c>
      <c r="H10" t="str">
        <f t="shared" si="6"/>
        <v>Tracking</v>
      </c>
      <c r="I10">
        <f t="shared" si="7"/>
        <v>8</v>
      </c>
      <c r="J10">
        <f t="shared" si="8"/>
        <v>0</v>
      </c>
      <c r="K10" s="4">
        <f t="shared" si="9"/>
        <v>3.8199999999999998E-2</v>
      </c>
      <c r="L10">
        <f t="shared" si="10"/>
        <v>0.09</v>
      </c>
      <c r="M10" s="4">
        <f t="shared" si="11"/>
        <v>3.056E-4</v>
      </c>
      <c r="N10" s="4">
        <f t="shared" si="12"/>
        <v>7.1999999999999994E-4</v>
      </c>
    </row>
    <row r="11" spans="1:14">
      <c r="A11" t="str">
        <f t="shared" si="0"/>
        <v>alp_ecom</v>
      </c>
      <c r="B11" t="str">
        <f t="shared" si="1"/>
        <v>Steal The Look</v>
      </c>
      <c r="C11" t="str">
        <f t="shared" si="2"/>
        <v>alp_ecom_conversao_ecom_steal-the-look_conteudo-veiculo_publieditorial_home_dia-das-maes_all_fixo_no-size_111182</v>
      </c>
      <c r="D11" t="str">
        <f t="shared" si="3"/>
        <v>246161905</v>
      </c>
      <c r="E11" t="str">
        <f>IF(Table1[[#This Row],[Impressions]]&gt;Table1[[#This Row],[Clicks]],"Standard",VLOOKUP(CONCATENATE(bd_adtype,"_",bd_creativetype),tabela,2,FALSE))</f>
        <v>Standard</v>
      </c>
      <c r="F11" t="str">
        <f t="shared" si="4"/>
        <v>alp_ecom_conversao_ecom_steal-the-look_conteudo-veiculo_publieditorial_home_dia-das-maes_all_fixo_no-size_111182</v>
      </c>
      <c r="G11" t="str">
        <f t="shared" si="5"/>
        <v>442637265</v>
      </c>
      <c r="H11" t="str">
        <f t="shared" si="6"/>
        <v>Tracking</v>
      </c>
      <c r="I11">
        <f t="shared" si="7"/>
        <v>8</v>
      </c>
      <c r="J11">
        <f t="shared" si="8"/>
        <v>0</v>
      </c>
      <c r="K11" s="4">
        <f t="shared" si="9"/>
        <v>3.8199999999999998E-2</v>
      </c>
      <c r="L11">
        <f t="shared" si="10"/>
        <v>0.09</v>
      </c>
      <c r="M11" s="4">
        <f t="shared" si="11"/>
        <v>3.056E-4</v>
      </c>
      <c r="N11" s="4">
        <f>IF(E11="Dynamic Click",J11*L11,L11*$I11/1000)</f>
        <v>7.1999999999999994E-4</v>
      </c>
    </row>
    <row r="12" spans="1:14">
      <c r="A12" t="str">
        <f t="shared" si="0"/>
        <v>alp_ecom</v>
      </c>
      <c r="B12" t="str">
        <f t="shared" si="1"/>
        <v>Steal The Look</v>
      </c>
      <c r="C12" t="str">
        <f t="shared" si="2"/>
        <v>alp_ecom_conversao_ecom_steal-the-look_conteudo-veiculo_publieditorial_home_dia-das-maes_all_fixo_no-size_111183</v>
      </c>
      <c r="D12" t="str">
        <f t="shared" si="3"/>
        <v>246161902</v>
      </c>
      <c r="E12" t="str">
        <f>IF(Table1[[#This Row],[Impressions]]&gt;Table1[[#This Row],[Clicks]],"Standard",VLOOKUP(CONCATENATE(bd_adtype,"_",bd_creativetype),tabela,2,FALSE))</f>
        <v>Standard</v>
      </c>
      <c r="F12" t="str">
        <f t="shared" si="4"/>
        <v>alp_ecom_conversao_ecom_steal-the-look_conteudo-veiculo_publieditorial_home_dia-das-maes_all_fixo_no-size_111183</v>
      </c>
      <c r="G12" t="str">
        <f t="shared" si="5"/>
        <v>442637262</v>
      </c>
      <c r="H12" t="str">
        <f t="shared" si="6"/>
        <v>Tracking</v>
      </c>
      <c r="I12">
        <f t="shared" si="7"/>
        <v>8</v>
      </c>
      <c r="J12">
        <f t="shared" si="8"/>
        <v>0</v>
      </c>
      <c r="K12" s="4">
        <f t="shared" si="9"/>
        <v>3.8199999999999998E-2</v>
      </c>
      <c r="L12">
        <f t="shared" si="10"/>
        <v>0.09</v>
      </c>
      <c r="M12" s="4">
        <f t="shared" si="11"/>
        <v>3.056E-4</v>
      </c>
      <c r="N12" s="4">
        <f t="shared" si="12"/>
        <v>7.1999999999999994E-4</v>
      </c>
    </row>
    <row r="13" spans="1:14">
      <c r="A13" t="str">
        <f t="shared" si="0"/>
        <v>alp_ecom</v>
      </c>
      <c r="B13" t="str">
        <f t="shared" si="1"/>
        <v>Steal The Look</v>
      </c>
      <c r="C13" t="str">
        <f t="shared" si="2"/>
        <v>alp_ecom_conversao_ecom_steal-the-look_conteudo-veiculo_publieditorial_home_dia-das-maes_all_fixo_no-size_111184</v>
      </c>
      <c r="D13" t="str">
        <f t="shared" si="3"/>
        <v>246161899</v>
      </c>
      <c r="E13" t="str">
        <f>IF(Table1[[#This Row],[Impressions]]&gt;Table1[[#This Row],[Clicks]],"Standard",VLOOKUP(CONCATENATE(bd_adtype,"_",bd_creativetype),tabela,2,FALSE))</f>
        <v>Standard</v>
      </c>
      <c r="F13" t="str">
        <f t="shared" si="4"/>
        <v>alp_ecom_conversao_ecom_steal-the-look_conteudo-veiculo_publieditorial_home_dia-das-maes_all_fixo_no-size_111184</v>
      </c>
      <c r="G13" t="str">
        <f t="shared" si="5"/>
        <v>442749079</v>
      </c>
      <c r="H13" t="str">
        <f t="shared" si="6"/>
        <v>Tracking</v>
      </c>
      <c r="I13">
        <f t="shared" si="7"/>
        <v>8</v>
      </c>
      <c r="J13">
        <f t="shared" si="8"/>
        <v>0</v>
      </c>
      <c r="K13" s="4">
        <f t="shared" si="9"/>
        <v>3.8199999999999998E-2</v>
      </c>
      <c r="L13">
        <f t="shared" si="10"/>
        <v>0.09</v>
      </c>
      <c r="M13" s="4">
        <f t="shared" si="11"/>
        <v>3.056E-4</v>
      </c>
      <c r="N13" s="4">
        <f t="shared" si="12"/>
        <v>7.1999999999999994E-4</v>
      </c>
    </row>
    <row r="14" spans="1:14">
      <c r="A14" t="str">
        <f t="shared" si="0"/>
        <v>alp_ecom</v>
      </c>
      <c r="B14" t="str">
        <f t="shared" si="1"/>
        <v>Steal The Look</v>
      </c>
      <c r="C14" t="str">
        <f t="shared" si="2"/>
        <v>alp_ecom_conversao_ecom_steal-the-look_conteudo-veiculo_publieditorial_home_dia-das-maes_all_fixo_no-size_111185</v>
      </c>
      <c r="D14" t="str">
        <f t="shared" si="3"/>
        <v>246161896</v>
      </c>
      <c r="E14" t="str">
        <f>IF(Table1[[#This Row],[Impressions]]&gt;Table1[[#This Row],[Clicks]],"Standard",VLOOKUP(CONCATENATE(bd_adtype,"_",bd_creativetype),tabela,2,FALSE))</f>
        <v>Standard</v>
      </c>
      <c r="F14" t="str">
        <f t="shared" si="4"/>
        <v>alp_ecom_conversao_ecom_steal-the-look_conteudo-veiculo_publieditorial_home_dia-das-maes_all_fixo_no-size_111185</v>
      </c>
      <c r="G14" t="str">
        <f t="shared" si="5"/>
        <v>442637259</v>
      </c>
      <c r="H14" t="str">
        <f t="shared" si="6"/>
        <v>Tracking</v>
      </c>
      <c r="I14">
        <f t="shared" si="7"/>
        <v>8</v>
      </c>
      <c r="J14">
        <f t="shared" si="8"/>
        <v>0</v>
      </c>
      <c r="K14" s="4">
        <f t="shared" si="9"/>
        <v>3.8199999999999998E-2</v>
      </c>
      <c r="L14">
        <f t="shared" si="10"/>
        <v>0.09</v>
      </c>
      <c r="M14" s="4">
        <f t="shared" si="11"/>
        <v>3.056E-4</v>
      </c>
      <c r="N14" s="4">
        <f t="shared" si="12"/>
        <v>7.1999999999999994E-4</v>
      </c>
    </row>
    <row r="15" spans="1:14">
      <c r="A15" t="str">
        <f t="shared" si="0"/>
        <v>alp_ecom</v>
      </c>
      <c r="B15" t="str">
        <f t="shared" si="1"/>
        <v>Steal The Look</v>
      </c>
      <c r="C15" t="str">
        <f t="shared" si="2"/>
        <v>alp_ecom_conversao_ecom_steal-the-look_conteudo-veiculo_publieditorial_home_dia-das-maes_all_fixo_no-size_111186</v>
      </c>
      <c r="D15" t="str">
        <f t="shared" si="3"/>
        <v>246161893</v>
      </c>
      <c r="E15" t="str">
        <f>IF(Table1[[#This Row],[Impressions]]&gt;Table1[[#This Row],[Clicks]],"Standard",VLOOKUP(CONCATENATE(bd_adtype,"_",bd_creativetype),tabela,2,FALSE))</f>
        <v>Standard</v>
      </c>
      <c r="F15" t="str">
        <f t="shared" si="4"/>
        <v>alp_ecom_conversao_ecom_steal-the-look_conteudo-veiculo_publieditorial_home_dia-das-maes_all_fixo_no-size_111186</v>
      </c>
      <c r="G15" t="str">
        <f t="shared" si="5"/>
        <v>442638279</v>
      </c>
      <c r="H15" t="str">
        <f t="shared" si="6"/>
        <v>Tracking</v>
      </c>
      <c r="I15">
        <f t="shared" si="7"/>
        <v>8</v>
      </c>
      <c r="J15">
        <f t="shared" si="8"/>
        <v>0</v>
      </c>
      <c r="K15" s="4">
        <f t="shared" si="9"/>
        <v>3.8199999999999998E-2</v>
      </c>
      <c r="L15">
        <f t="shared" si="10"/>
        <v>0.09</v>
      </c>
      <c r="M15" s="4">
        <f t="shared" si="11"/>
        <v>3.056E-4</v>
      </c>
      <c r="N15" s="4">
        <f t="shared" si="12"/>
        <v>7.1999999999999994E-4</v>
      </c>
    </row>
    <row r="16" spans="1:14">
      <c r="A16" t="str">
        <f t="shared" si="0"/>
        <v>alp_ecom</v>
      </c>
      <c r="B16" t="str">
        <f t="shared" si="1"/>
        <v>Steal The Look</v>
      </c>
      <c r="C16" t="str">
        <f t="shared" si="2"/>
        <v>alp_ecom_conversao_ecom_steal-the-look_conteudo-veiculo_publieditorial_home_dia-das-maes_all_fixo_no-size_111187</v>
      </c>
      <c r="D16" t="str">
        <f t="shared" si="3"/>
        <v>246161890</v>
      </c>
      <c r="E16" t="str">
        <f>IF(Table1[[#This Row],[Impressions]]&gt;Table1[[#This Row],[Clicks]],"Standard",VLOOKUP(CONCATENATE(bd_adtype,"_",bd_creativetype),tabela,2,FALSE))</f>
        <v>Standard</v>
      </c>
      <c r="F16" t="str">
        <f t="shared" si="4"/>
        <v>alp_ecom_conversao_ecom_steal-the-look_conteudo-veiculo_publieditorial_home_dia-das-maes_all_fixo_no-size_111187</v>
      </c>
      <c r="G16" t="str">
        <f t="shared" si="5"/>
        <v>442638282</v>
      </c>
      <c r="H16" t="str">
        <f t="shared" si="6"/>
        <v>Tracking</v>
      </c>
      <c r="I16">
        <f t="shared" si="7"/>
        <v>8</v>
      </c>
      <c r="J16">
        <f t="shared" si="8"/>
        <v>0</v>
      </c>
      <c r="K16" s="4">
        <f t="shared" si="9"/>
        <v>3.8199999999999998E-2</v>
      </c>
      <c r="L16">
        <f t="shared" si="10"/>
        <v>0.09</v>
      </c>
      <c r="M16" s="4">
        <f t="shared" si="11"/>
        <v>3.056E-4</v>
      </c>
      <c r="N16" s="4">
        <f t="shared" si="12"/>
        <v>7.1999999999999994E-4</v>
      </c>
    </row>
    <row r="17" spans="1:14">
      <c r="A17" t="str">
        <f t="shared" si="0"/>
        <v>alp_ecom</v>
      </c>
      <c r="B17" t="str">
        <f t="shared" si="1"/>
        <v>Steal The Look</v>
      </c>
      <c r="C17" t="str">
        <f t="shared" si="2"/>
        <v>alp_ecom_conversao_ecom_steal-the-look_conteudo-veiculo_publieditorial_home_dia-das-maes_all_fixo_no-size_111188</v>
      </c>
      <c r="D17" t="str">
        <f t="shared" si="3"/>
        <v>246161887</v>
      </c>
      <c r="E17" t="str">
        <f>IF(Table1[[#This Row],[Impressions]]&gt;Table1[[#This Row],[Clicks]],"Standard",VLOOKUP(CONCATENATE(bd_adtype,"_",bd_creativetype),tabela,2,FALSE))</f>
        <v>Standard</v>
      </c>
      <c r="F17" t="str">
        <f t="shared" si="4"/>
        <v>alp_ecom_conversao_ecom_steal-the-look_conteudo-veiculo_publieditorial_home_dia-das-maes_all_fixo_no-size_111188</v>
      </c>
      <c r="G17" t="str">
        <f t="shared" si="5"/>
        <v>442728605</v>
      </c>
      <c r="H17" t="str">
        <f t="shared" si="6"/>
        <v>Tracking</v>
      </c>
      <c r="I17">
        <f t="shared" si="7"/>
        <v>8</v>
      </c>
      <c r="J17">
        <f t="shared" si="8"/>
        <v>1</v>
      </c>
      <c r="K17" s="4">
        <f t="shared" si="9"/>
        <v>3.8199999999999998E-2</v>
      </c>
      <c r="L17">
        <f t="shared" si="10"/>
        <v>0.09</v>
      </c>
      <c r="M17" s="4">
        <f t="shared" si="11"/>
        <v>3.056E-4</v>
      </c>
      <c r="N17" s="4">
        <f t="shared" si="12"/>
        <v>7.1999999999999994E-4</v>
      </c>
    </row>
    <row r="18" spans="1:14">
      <c r="A18" t="str">
        <f t="shared" si="0"/>
        <v>alp_ecom</v>
      </c>
      <c r="B18" t="str">
        <f t="shared" si="1"/>
        <v>Steal The Look</v>
      </c>
      <c r="C18" t="str">
        <f t="shared" si="2"/>
        <v>alp_ecom_conversao_ecom_steal-the-look_conteudo-veiculo_publieditorial_home_dia-das-maes_all_fixo_no-size_111189</v>
      </c>
      <c r="D18" t="str">
        <f t="shared" si="3"/>
        <v>246161884</v>
      </c>
      <c r="E18" t="str">
        <f>IF(Table1[[#This Row],[Impressions]]&gt;Table1[[#This Row],[Clicks]],"Standard",VLOOKUP(CONCATENATE(bd_adtype,"_",bd_creativetype),tabela,2,FALSE))</f>
        <v>Standard</v>
      </c>
      <c r="F18" t="str">
        <f t="shared" si="4"/>
        <v>alp_ecom_conversao_ecom_steal-the-look_conteudo-veiculo_publieditorial_home_dia-das-maes_all_fixo_no-size_111189</v>
      </c>
      <c r="G18" t="str">
        <f t="shared" si="5"/>
        <v>442727276</v>
      </c>
      <c r="H18" t="str">
        <f t="shared" si="6"/>
        <v>Tracking</v>
      </c>
      <c r="I18">
        <f t="shared" si="7"/>
        <v>8</v>
      </c>
      <c r="J18">
        <f t="shared" si="8"/>
        <v>0</v>
      </c>
      <c r="K18" s="4">
        <f t="shared" si="9"/>
        <v>3.8199999999999998E-2</v>
      </c>
      <c r="L18">
        <f t="shared" si="10"/>
        <v>0.09</v>
      </c>
      <c r="M18" s="4">
        <f t="shared" si="11"/>
        <v>3.056E-4</v>
      </c>
      <c r="N18" s="4">
        <f t="shared" si="12"/>
        <v>7.1999999999999994E-4</v>
      </c>
    </row>
    <row r="19" spans="1:14">
      <c r="A19" t="str">
        <f t="shared" si="0"/>
        <v>alp_ecom</v>
      </c>
      <c r="B19" t="str">
        <f t="shared" si="1"/>
        <v>Steal The Look</v>
      </c>
      <c r="C19" t="str">
        <f t="shared" si="2"/>
        <v>alp_ecom_conversao_ecom_steal-the-look_conteudo-veiculo_publieditorial_home_dia-das-maes_all_fixo_no-size_111190</v>
      </c>
      <c r="D19" t="str">
        <f t="shared" si="3"/>
        <v>246161881</v>
      </c>
      <c r="E19" t="str">
        <f>IF(Table1[[#This Row],[Impressions]]&gt;Table1[[#This Row],[Clicks]],"Standard",VLOOKUP(CONCATENATE(bd_adtype,"_",bd_creativetype),tabela,2,FALSE))</f>
        <v>Standard</v>
      </c>
      <c r="F19" t="str">
        <f t="shared" si="4"/>
        <v>alp_ecom_conversao_ecom_steal-the-look_conteudo-veiculo_publieditorial_home_dia-das-maes_all_fixo_no-size_111190</v>
      </c>
      <c r="G19" t="str">
        <f t="shared" si="5"/>
        <v>442637256</v>
      </c>
      <c r="H19" t="str">
        <f t="shared" si="6"/>
        <v>Tracking</v>
      </c>
      <c r="I19">
        <f t="shared" si="7"/>
        <v>8</v>
      </c>
      <c r="J19">
        <f t="shared" si="8"/>
        <v>0</v>
      </c>
      <c r="K19" s="4">
        <f t="shared" si="9"/>
        <v>3.8199999999999998E-2</v>
      </c>
      <c r="L19">
        <f t="shared" si="10"/>
        <v>0.09</v>
      </c>
      <c r="M19" s="4">
        <f t="shared" si="11"/>
        <v>3.056E-4</v>
      </c>
      <c r="N19" s="4">
        <f t="shared" si="12"/>
        <v>7.1999999999999994E-4</v>
      </c>
    </row>
    <row r="20" spans="1:14">
      <c r="A20" t="str">
        <f t="shared" si="0"/>
        <v>alp_ecom</v>
      </c>
      <c r="B20" t="str">
        <f t="shared" si="1"/>
        <v>Steal The Look</v>
      </c>
      <c r="C20" t="str">
        <f t="shared" si="2"/>
        <v>alp_ecom_conversao_ecom_steal-the-look_conteudo-veiculo_publieditorial_home_dia-das-maes_all_fixo_no-size_111191</v>
      </c>
      <c r="D20" t="str">
        <f t="shared" si="3"/>
        <v>246161878</v>
      </c>
      <c r="E20" t="str">
        <f>IF(Table1[[#This Row],[Impressions]]&gt;Table1[[#This Row],[Clicks]],"Standard",VLOOKUP(CONCATENATE(bd_adtype,"_",bd_creativetype),tabela,2,FALSE))</f>
        <v>Standard</v>
      </c>
      <c r="F20" t="str">
        <f t="shared" si="4"/>
        <v>alp_ecom_conversao_ecom_steal-the-look_conteudo-veiculo_publieditorial_home_dia-das-maes_all_fixo_no-size_111191</v>
      </c>
      <c r="G20" t="str">
        <f t="shared" si="5"/>
        <v>442637253</v>
      </c>
      <c r="H20" t="str">
        <f t="shared" si="6"/>
        <v>Tracking</v>
      </c>
      <c r="I20">
        <f t="shared" si="7"/>
        <v>8</v>
      </c>
      <c r="J20">
        <f t="shared" si="8"/>
        <v>0</v>
      </c>
      <c r="K20" s="4">
        <f t="shared" si="9"/>
        <v>3.8199999999999998E-2</v>
      </c>
      <c r="L20">
        <f t="shared" si="10"/>
        <v>0.09</v>
      </c>
      <c r="M20" s="4">
        <f t="shared" si="11"/>
        <v>3.056E-4</v>
      </c>
      <c r="N20" s="4">
        <f t="shared" si="12"/>
        <v>7.1999999999999994E-4</v>
      </c>
    </row>
    <row r="21" spans="1:14">
      <c r="A21" t="str">
        <f t="shared" si="0"/>
        <v>alp_ecom</v>
      </c>
      <c r="B21" t="str">
        <f t="shared" si="1"/>
        <v>Steal The Look</v>
      </c>
      <c r="C21" t="str">
        <f t="shared" si="2"/>
        <v>alp_ecom_conversao_ecom_steal-the-look_conteudo-veiculo_publieditorial_home_dia-das-maes_all_fixo_no-size_111192</v>
      </c>
      <c r="D21" t="str">
        <f t="shared" si="3"/>
        <v>246161875</v>
      </c>
      <c r="E21" t="str">
        <f>IF(Table1[[#This Row],[Impressions]]&gt;Table1[[#This Row],[Clicks]],"Standard",VLOOKUP(CONCATENATE(bd_adtype,"_",bd_creativetype),tabela,2,FALSE))</f>
        <v>Standard</v>
      </c>
      <c r="F21" t="str">
        <f t="shared" si="4"/>
        <v>alp_ecom_conversao_ecom_steal-the-look_conteudo-veiculo_publieditorial_home_dia-das-maes_all_fixo_no-size_111192</v>
      </c>
      <c r="G21" t="str">
        <f t="shared" si="5"/>
        <v>442728956</v>
      </c>
      <c r="H21" t="str">
        <f t="shared" si="6"/>
        <v>Tracking</v>
      </c>
      <c r="I21">
        <f t="shared" si="7"/>
        <v>8</v>
      </c>
      <c r="J21">
        <f t="shared" si="8"/>
        <v>0</v>
      </c>
      <c r="K21" s="4">
        <f t="shared" si="9"/>
        <v>3.8199999999999998E-2</v>
      </c>
      <c r="L21">
        <f t="shared" si="10"/>
        <v>0.09</v>
      </c>
      <c r="M21" s="4">
        <f t="shared" si="11"/>
        <v>3.056E-4</v>
      </c>
      <c r="N21" s="4">
        <f t="shared" si="12"/>
        <v>7.1999999999999994E-4</v>
      </c>
    </row>
    <row r="22" spans="1:14">
      <c r="A22" t="str">
        <f t="shared" si="0"/>
        <v>alp_ecom</v>
      </c>
      <c r="B22" t="str">
        <f t="shared" si="1"/>
        <v>facebook.com.br</v>
      </c>
      <c r="C22" t="str">
        <f t="shared" si="2"/>
        <v>alp_ecom_conversao_ecom_facebook_social_carrossel_social_havaianas-dpa_dpa-acessorios_cpm_1080x1080_111211</v>
      </c>
      <c r="D22" t="str">
        <f t="shared" si="3"/>
        <v>248595620</v>
      </c>
      <c r="E22" t="str">
        <f>IF(Table1[[#This Row],[Impressions]]&gt;Table1[[#This Row],[Clicks]],"Standard",VLOOKUP(CONCATENATE(bd_adtype,"_",bd_creativetype),tabela,2,FALSE))</f>
        <v>Dynamic Click</v>
      </c>
      <c r="F22" t="str">
        <f t="shared" si="4"/>
        <v>alp_ecom_conversao_ecom_facebook_social_carrossel_social_havaianas-dpa_dpa-acessorios_cpm_1080x1080_111211</v>
      </c>
      <c r="G22" t="str">
        <f t="shared" si="5"/>
        <v>445067240</v>
      </c>
      <c r="H22" t="str">
        <f t="shared" si="6"/>
        <v>Tracking</v>
      </c>
      <c r="I22">
        <f t="shared" si="7"/>
        <v>0</v>
      </c>
      <c r="J22">
        <f t="shared" si="8"/>
        <v>1</v>
      </c>
      <c r="K22" s="4">
        <f t="shared" si="9"/>
        <v>3.5000000000000001E-3</v>
      </c>
      <c r="L22">
        <f t="shared" si="10"/>
        <v>0.02</v>
      </c>
      <c r="M22" s="4">
        <f t="shared" si="11"/>
        <v>3.5000000000000001E-3</v>
      </c>
      <c r="N22" s="4">
        <f t="shared" si="12"/>
        <v>0.02</v>
      </c>
    </row>
    <row r="23" spans="1:14">
      <c r="A23" t="str">
        <f t="shared" si="0"/>
        <v>alp_ecom</v>
      </c>
      <c r="B23" t="str">
        <f t="shared" si="1"/>
        <v>facebook.com.br</v>
      </c>
      <c r="C23" t="str">
        <f t="shared" si="2"/>
        <v>alp_ecom_conversao_ecom_facebook_social_carrossel_social_havaianas-dpa_dpa-outlet_cpm_1080x1080_111208</v>
      </c>
      <c r="D23" t="str">
        <f t="shared" si="3"/>
        <v>248530787</v>
      </c>
      <c r="E23" t="str">
        <f>IF(Table1[[#This Row],[Impressions]]&gt;Table1[[#This Row],[Clicks]],"Standard",VLOOKUP(CONCATENATE(bd_adtype,"_",bd_creativetype),tabela,2,FALSE))</f>
        <v>Dynamic Click</v>
      </c>
      <c r="F23" t="str">
        <f t="shared" si="4"/>
        <v>alp_ecom_conversao_ecom_facebook_social_carrossel_social_havaianas-dpa_dpa-outlet_cpm_1080x1080_111208</v>
      </c>
      <c r="G23" t="str">
        <f t="shared" si="5"/>
        <v>445070152</v>
      </c>
      <c r="H23" t="str">
        <f t="shared" si="6"/>
        <v>Tracking</v>
      </c>
      <c r="I23">
        <f t="shared" si="7"/>
        <v>0</v>
      </c>
      <c r="J23">
        <f t="shared" si="8"/>
        <v>326</v>
      </c>
      <c r="K23" s="4">
        <f t="shared" si="9"/>
        <v>3.5000000000000001E-3</v>
      </c>
      <c r="L23">
        <f t="shared" si="10"/>
        <v>0.02</v>
      </c>
      <c r="M23" s="4">
        <f t="shared" si="11"/>
        <v>1.141</v>
      </c>
      <c r="N23" s="4">
        <f t="shared" si="12"/>
        <v>6.5200000000000005</v>
      </c>
    </row>
    <row r="24" spans="1:14">
      <c r="A24" t="str">
        <f t="shared" si="0"/>
        <v>alp_ecom</v>
      </c>
      <c r="B24" t="str">
        <f t="shared" si="1"/>
        <v>facebook.com.br</v>
      </c>
      <c r="C24" t="str">
        <f t="shared" si="2"/>
        <v>alp_ecom_conversao_ecom_facebook_social_carrossel_social_havaianas-dpa_dpa-todos-os-produtos_cpm_1080x1080_111207</v>
      </c>
      <c r="D24" t="str">
        <f t="shared" si="3"/>
        <v>248530430</v>
      </c>
      <c r="E24" t="str">
        <f>IF(Table1[[#This Row],[Impressions]]&gt;Table1[[#This Row],[Clicks]],"Standard",VLOOKUP(CONCATENATE(bd_adtype,"_",bd_creativetype),tabela,2,FALSE))</f>
        <v>Dynamic Click</v>
      </c>
      <c r="F24" t="str">
        <f t="shared" si="4"/>
        <v>alp_ecom_conversao_ecom_facebook_social_carrossel_social_havaianas-dpa_dpa-todos-os-produtos_cpm_1080x1080_111207</v>
      </c>
      <c r="G24" t="str">
        <f t="shared" si="5"/>
        <v>445067629</v>
      </c>
      <c r="H24" t="str">
        <f t="shared" si="6"/>
        <v>Tracking</v>
      </c>
      <c r="I24">
        <f t="shared" si="7"/>
        <v>0</v>
      </c>
      <c r="J24">
        <f t="shared" si="8"/>
        <v>1312</v>
      </c>
      <c r="K24" s="4">
        <f t="shared" si="9"/>
        <v>3.5000000000000001E-3</v>
      </c>
      <c r="L24">
        <f t="shared" si="10"/>
        <v>0.02</v>
      </c>
      <c r="M24" s="4">
        <f t="shared" si="11"/>
        <v>4.5920000000000005</v>
      </c>
      <c r="N24" s="4">
        <f t="shared" si="12"/>
        <v>26.240000000000002</v>
      </c>
    </row>
    <row r="25" spans="1:14">
      <c r="A25" t="str">
        <f t="shared" si="0"/>
        <v>alp_ecom</v>
      </c>
      <c r="B25" t="str">
        <f t="shared" si="1"/>
        <v>facebook.com.br</v>
      </c>
      <c r="C25" t="str">
        <f t="shared" si="2"/>
        <v>alp_ecom_conversao_ecom_facebook_social_carrossel_social_havaianas-hype_curte-havaianas_cpm_1080x1080_111243</v>
      </c>
      <c r="D25" t="str">
        <f t="shared" si="3"/>
        <v>253910500</v>
      </c>
      <c r="E25" t="str">
        <f>IF(Table1[[#This Row],[Impressions]]&gt;Table1[[#This Row],[Clicks]],"Standard",VLOOKUP(CONCATENATE(bd_adtype,"_",bd_creativetype),tabela,2,FALSE))</f>
        <v>Dynamic Click</v>
      </c>
      <c r="F25" t="str">
        <f t="shared" si="4"/>
        <v>alp_ecom_conversao_ecom_facebook_social_carrossel_social_havaianas-hype_curte-havaianas_cpm_1080x1080_111243</v>
      </c>
      <c r="G25" t="str">
        <f t="shared" si="5"/>
        <v>449984779</v>
      </c>
      <c r="H25" t="str">
        <f t="shared" si="6"/>
        <v>Tracking</v>
      </c>
      <c r="I25">
        <f t="shared" si="7"/>
        <v>0</v>
      </c>
      <c r="J25">
        <f t="shared" si="8"/>
        <v>1735</v>
      </c>
      <c r="K25" s="4">
        <f t="shared" si="9"/>
        <v>3.5000000000000001E-3</v>
      </c>
      <c r="L25">
        <f t="shared" si="10"/>
        <v>0.02</v>
      </c>
      <c r="M25" s="4">
        <f t="shared" si="11"/>
        <v>6.0724999999999998</v>
      </c>
      <c r="N25" s="4">
        <f t="shared" si="12"/>
        <v>34.700000000000003</v>
      </c>
    </row>
    <row r="26" spans="1:14">
      <c r="A26" t="str">
        <f t="shared" si="0"/>
        <v>alp_ecom</v>
      </c>
      <c r="B26" t="str">
        <f t="shared" si="1"/>
        <v>facebook.com.br</v>
      </c>
      <c r="C26" t="str">
        <f t="shared" si="2"/>
        <v>alp_ecom_conversao_ecom_facebook_social_carrossel_social_havaianas-hype_interesse-masculino-praia_cpm_1080x1080_111243</v>
      </c>
      <c r="D26" t="str">
        <f t="shared" si="3"/>
        <v>253910476</v>
      </c>
      <c r="E26" t="str">
        <f>IF(Table1[[#This Row],[Impressions]]&gt;Table1[[#This Row],[Clicks]],"Standard",VLOOKUP(CONCATENATE(bd_adtype,"_",bd_creativetype),tabela,2,FALSE))</f>
        <v>Dynamic Click</v>
      </c>
      <c r="F26" t="str">
        <f t="shared" si="4"/>
        <v>alp_ecom_conversao_ecom_facebook_social_carrossel_social_havaianas-hype_interesse-masculino-praia_cpm_1080x1080_111243</v>
      </c>
      <c r="G26" t="str">
        <f t="shared" si="5"/>
        <v>449984755</v>
      </c>
      <c r="H26" t="str">
        <f t="shared" si="6"/>
        <v>Tracking</v>
      </c>
      <c r="I26">
        <f t="shared" si="7"/>
        <v>0</v>
      </c>
      <c r="J26">
        <f t="shared" si="8"/>
        <v>286</v>
      </c>
      <c r="K26" s="4">
        <f t="shared" si="9"/>
        <v>3.5000000000000001E-3</v>
      </c>
      <c r="L26">
        <f t="shared" si="10"/>
        <v>0.02</v>
      </c>
      <c r="M26" s="4">
        <f t="shared" si="11"/>
        <v>1.0010000000000001</v>
      </c>
      <c r="N26" s="4">
        <f t="shared" si="12"/>
        <v>5.72</v>
      </c>
    </row>
    <row r="27" spans="1:14">
      <c r="A27" t="str">
        <f t="shared" si="0"/>
        <v>alp_ecom</v>
      </c>
      <c r="B27" t="str">
        <f t="shared" si="1"/>
        <v>facebook.com.br</v>
      </c>
      <c r="C27" t="str">
        <f t="shared" si="2"/>
        <v>alp_ecom_conversao_ecom_facebook_social_carrossel_social_havaianas-hype_look-1-mobile_cpm_1080x1080_111243</v>
      </c>
      <c r="D27" t="str">
        <f t="shared" si="3"/>
        <v>253910491</v>
      </c>
      <c r="E27" t="str">
        <f>IF(Table1[[#This Row],[Impressions]]&gt;Table1[[#This Row],[Clicks]],"Standard",VLOOKUP(CONCATENATE(bd_adtype,"_",bd_creativetype),tabela,2,FALSE))</f>
        <v>Dynamic Click</v>
      </c>
      <c r="F27" t="str">
        <f t="shared" si="4"/>
        <v>alp_ecom_conversao_ecom_facebook_social_carrossel_social_havaianas-hype_look-1-mobile_cpm_1080x1080_111243</v>
      </c>
      <c r="G27" t="str">
        <f t="shared" si="5"/>
        <v>449984770</v>
      </c>
      <c r="H27" t="str">
        <f t="shared" si="6"/>
        <v>Tracking</v>
      </c>
      <c r="I27">
        <f t="shared" si="7"/>
        <v>0</v>
      </c>
      <c r="J27">
        <f t="shared" si="8"/>
        <v>24</v>
      </c>
      <c r="K27" s="4">
        <f t="shared" si="9"/>
        <v>3.5000000000000001E-3</v>
      </c>
      <c r="L27">
        <f t="shared" si="10"/>
        <v>0.02</v>
      </c>
      <c r="M27" s="4">
        <f t="shared" si="11"/>
        <v>8.4000000000000005E-2</v>
      </c>
      <c r="N27" s="4">
        <f t="shared" si="12"/>
        <v>0.48</v>
      </c>
    </row>
    <row r="28" spans="1:14">
      <c r="A28" t="str">
        <f t="shared" si="0"/>
        <v>alp_ecom</v>
      </c>
      <c r="B28" t="str">
        <f t="shared" si="1"/>
        <v>facebook.com.br</v>
      </c>
      <c r="C28" t="str">
        <f t="shared" si="2"/>
        <v>alp_ecom_conversao_ecom_facebook_social_carrossel_social_havaianas-hype_rmk-30-mobile_cpm_1080x1080_111231</v>
      </c>
      <c r="D28" t="str">
        <f t="shared" si="3"/>
        <v>252787663</v>
      </c>
      <c r="E28" t="str">
        <f>IF(Table1[[#This Row],[Impressions]]&gt;Table1[[#This Row],[Clicks]],"Standard",VLOOKUP(CONCATENATE(bd_adtype,"_",bd_creativetype),tabela,2,FALSE))</f>
        <v>Dynamic Click</v>
      </c>
      <c r="F28" t="str">
        <f t="shared" si="4"/>
        <v>alp_ecom_conversao_ecom_facebook_social_carrossel_social_havaianas-hype_rmk-30-mobile_cpm_1080x1080_111231</v>
      </c>
      <c r="G28" t="str">
        <f t="shared" si="5"/>
        <v>448761771</v>
      </c>
      <c r="H28" t="str">
        <f t="shared" si="6"/>
        <v>Tracking</v>
      </c>
      <c r="I28">
        <f t="shared" si="7"/>
        <v>0</v>
      </c>
      <c r="J28">
        <f t="shared" si="8"/>
        <v>40</v>
      </c>
      <c r="K28" s="4">
        <f t="shared" si="9"/>
        <v>3.5000000000000001E-3</v>
      </c>
      <c r="L28">
        <f t="shared" si="10"/>
        <v>0.02</v>
      </c>
      <c r="M28" s="4">
        <f t="shared" si="11"/>
        <v>0.14000000000000001</v>
      </c>
      <c r="N28" s="4">
        <f t="shared" si="12"/>
        <v>0.8</v>
      </c>
    </row>
    <row r="29" spans="1:14">
      <c r="A29" t="str">
        <f t="shared" si="0"/>
        <v>alp_ecom</v>
      </c>
      <c r="B29" t="str">
        <f t="shared" si="1"/>
        <v>facebook.com.br</v>
      </c>
      <c r="C29" t="str">
        <f t="shared" si="2"/>
        <v>alp_ecom_conversao_ecom_facebook_social_carrossel_social_havaianas-hype_rmk-30-mobile_cpm_1080x1080_111243</v>
      </c>
      <c r="D29" t="str">
        <f t="shared" si="3"/>
        <v>253910479</v>
      </c>
      <c r="E29" t="str">
        <f>IF(Table1[[#This Row],[Impressions]]&gt;Table1[[#This Row],[Clicks]],"Standard",VLOOKUP(CONCATENATE(bd_adtype,"_",bd_creativetype),tabela,2,FALSE))</f>
        <v>Dynamic Click</v>
      </c>
      <c r="F29" t="str">
        <f t="shared" si="4"/>
        <v>alp_ecom_conversao_ecom_facebook_social_carrossel_social_havaianas-hype_rmk-30-mobile_cpm_1080x1080_111243</v>
      </c>
      <c r="G29" t="str">
        <f t="shared" si="5"/>
        <v>449984758</v>
      </c>
      <c r="H29" t="str">
        <f t="shared" si="6"/>
        <v>Tracking</v>
      </c>
      <c r="I29">
        <f t="shared" si="7"/>
        <v>0</v>
      </c>
      <c r="J29">
        <f t="shared" si="8"/>
        <v>72</v>
      </c>
      <c r="K29" s="4">
        <f t="shared" si="9"/>
        <v>3.5000000000000001E-3</v>
      </c>
      <c r="L29">
        <f t="shared" si="10"/>
        <v>0.02</v>
      </c>
      <c r="M29" s="4">
        <f t="shared" si="11"/>
        <v>0.252</v>
      </c>
      <c r="N29" s="4">
        <f t="shared" si="12"/>
        <v>1.44</v>
      </c>
    </row>
    <row r="30" spans="1:14">
      <c r="A30" t="str">
        <f t="shared" si="0"/>
        <v>alp_ecom</v>
      </c>
      <c r="B30" t="str">
        <f t="shared" si="1"/>
        <v>facebook.com.br</v>
      </c>
      <c r="C30" t="str">
        <f t="shared" si="2"/>
        <v>alp_ecom_conversao_ecom_facebook_social_carrossel_social_havaianas-hype_rmk-30_cpm_1080x1080_111243</v>
      </c>
      <c r="D30" t="str">
        <f t="shared" si="3"/>
        <v>253910482</v>
      </c>
      <c r="E30" t="str">
        <f>IF(Table1[[#This Row],[Impressions]]&gt;Table1[[#This Row],[Clicks]],"Standard",VLOOKUP(CONCATENATE(bd_adtype,"_",bd_creativetype),tabela,2,FALSE))</f>
        <v>Dynamic Click</v>
      </c>
      <c r="F30" t="str">
        <f t="shared" si="4"/>
        <v>alp_ecom_conversao_ecom_facebook_social_carrossel_social_havaianas-hype_rmk-30_cpm_1080x1080_111243</v>
      </c>
      <c r="G30" t="str">
        <f t="shared" si="5"/>
        <v>449984761</v>
      </c>
      <c r="H30" t="str">
        <f t="shared" si="6"/>
        <v>Tracking</v>
      </c>
      <c r="I30">
        <f t="shared" si="7"/>
        <v>0</v>
      </c>
      <c r="J30">
        <f t="shared" si="8"/>
        <v>2</v>
      </c>
      <c r="K30" s="4">
        <f t="shared" si="9"/>
        <v>3.5000000000000001E-3</v>
      </c>
      <c r="L30">
        <f t="shared" si="10"/>
        <v>0.02</v>
      </c>
      <c r="M30" s="4">
        <f t="shared" si="11"/>
        <v>7.0000000000000001E-3</v>
      </c>
      <c r="N30" s="4">
        <f t="shared" si="12"/>
        <v>0.04</v>
      </c>
    </row>
    <row r="31" spans="1:14">
      <c r="A31" t="str">
        <f t="shared" si="0"/>
        <v>alp_ecom</v>
      </c>
      <c r="B31" t="str">
        <f t="shared" si="1"/>
        <v>facebook.com.br</v>
      </c>
      <c r="C31" t="str">
        <f t="shared" si="2"/>
        <v>alp_ecom_conversao_ecom_facebook_social_carrossel_social_rei-leao_curte-havaianas_cpm_1080x1080_111221</v>
      </c>
      <c r="D31" t="str">
        <f t="shared" si="3"/>
        <v>251366940</v>
      </c>
      <c r="E31" t="str">
        <f>IF(Table1[[#This Row],[Impressions]]&gt;Table1[[#This Row],[Clicks]],"Standard",VLOOKUP(CONCATENATE(bd_adtype,"_",bd_creativetype),tabela,2,FALSE))</f>
        <v>Dynamic Click</v>
      </c>
      <c r="F31" t="str">
        <f t="shared" si="4"/>
        <v>alp_ecom_conversao_ecom_facebook_social_carrossel_social_rei-leao_curte-havaianas_cpm_1080x1080_111221</v>
      </c>
      <c r="G31" t="str">
        <f t="shared" si="5"/>
        <v>447333084</v>
      </c>
      <c r="H31" t="str">
        <f t="shared" si="6"/>
        <v>Tracking</v>
      </c>
      <c r="I31">
        <f t="shared" si="7"/>
        <v>0</v>
      </c>
      <c r="J31">
        <f t="shared" si="8"/>
        <v>4409</v>
      </c>
      <c r="K31" s="4">
        <f t="shared" si="9"/>
        <v>3.5000000000000001E-3</v>
      </c>
      <c r="L31">
        <f t="shared" si="10"/>
        <v>0.02</v>
      </c>
      <c r="M31" s="4">
        <f t="shared" si="11"/>
        <v>15.4315</v>
      </c>
      <c r="N31" s="4">
        <f t="shared" si="12"/>
        <v>88.18</v>
      </c>
    </row>
    <row r="32" spans="1:14">
      <c r="A32" t="str">
        <f t="shared" si="0"/>
        <v>alp_ecom</v>
      </c>
      <c r="B32" t="str">
        <f t="shared" si="1"/>
        <v>facebook.com.br</v>
      </c>
      <c r="C32" t="str">
        <f t="shared" si="2"/>
        <v>alp_ecom_conversao_ecom_facebook_social_carrossel_social_rei-leao_interesse-rei-leao_cpm_1080x1080_111221</v>
      </c>
      <c r="D32" t="str">
        <f t="shared" si="3"/>
        <v>251366916</v>
      </c>
      <c r="E32" t="str">
        <f>IF(Table1[[#This Row],[Impressions]]&gt;Table1[[#This Row],[Clicks]],"Standard",VLOOKUP(CONCATENATE(bd_adtype,"_",bd_creativetype),tabela,2,FALSE))</f>
        <v>Dynamic Click</v>
      </c>
      <c r="F32" t="str">
        <f t="shared" si="4"/>
        <v>alp_ecom_conversao_ecom_facebook_social_carrossel_social_rei-leao_interesse-rei-leao_cpm_1080x1080_111221</v>
      </c>
      <c r="G32" t="str">
        <f t="shared" si="5"/>
        <v>447333060</v>
      </c>
      <c r="H32" t="str">
        <f t="shared" si="6"/>
        <v>Tracking</v>
      </c>
      <c r="I32">
        <f t="shared" si="7"/>
        <v>0</v>
      </c>
      <c r="J32">
        <f t="shared" si="8"/>
        <v>7863</v>
      </c>
      <c r="K32" s="4">
        <f t="shared" si="9"/>
        <v>3.5000000000000001E-3</v>
      </c>
      <c r="L32">
        <f t="shared" si="10"/>
        <v>0.02</v>
      </c>
      <c r="M32" s="4">
        <f t="shared" si="11"/>
        <v>27.520500000000002</v>
      </c>
      <c r="N32" s="4">
        <f t="shared" si="12"/>
        <v>157.26</v>
      </c>
    </row>
    <row r="33" spans="1:14">
      <c r="A33" t="str">
        <f t="shared" si="0"/>
        <v>alp_ecom</v>
      </c>
      <c r="B33" t="str">
        <f t="shared" si="1"/>
        <v>facebook.com.br</v>
      </c>
      <c r="C33" t="str">
        <f t="shared" si="2"/>
        <v>alp_ecom_conversao_ecom_facebook_social_carrossel_social_rei-leao_look-1-mobile_cpm_1080x1080_111221</v>
      </c>
      <c r="D33" t="str">
        <f t="shared" si="3"/>
        <v>251366931</v>
      </c>
      <c r="E33" t="str">
        <f>IF(Table1[[#This Row],[Impressions]]&gt;Table1[[#This Row],[Clicks]],"Standard",VLOOKUP(CONCATENATE(bd_adtype,"_",bd_creativetype),tabela,2,FALSE))</f>
        <v>Dynamic Click</v>
      </c>
      <c r="F33" t="str">
        <f t="shared" si="4"/>
        <v>alp_ecom_conversao_ecom_facebook_social_carrossel_social_rei-leao_look-1-mobile_cpm_1080x1080_111221</v>
      </c>
      <c r="G33" t="str">
        <f t="shared" si="5"/>
        <v>447333075</v>
      </c>
      <c r="H33" t="str">
        <f t="shared" si="6"/>
        <v>Tracking</v>
      </c>
      <c r="I33">
        <f t="shared" si="7"/>
        <v>0</v>
      </c>
      <c r="J33">
        <f t="shared" si="8"/>
        <v>1019</v>
      </c>
      <c r="K33" s="4">
        <f t="shared" si="9"/>
        <v>3.5000000000000001E-3</v>
      </c>
      <c r="L33">
        <f t="shared" si="10"/>
        <v>0.02</v>
      </c>
      <c r="M33" s="4">
        <f t="shared" si="11"/>
        <v>3.5665</v>
      </c>
      <c r="N33" s="4">
        <f t="shared" si="12"/>
        <v>20.38</v>
      </c>
    </row>
    <row r="34" spans="1:14">
      <c r="A34" t="str">
        <f t="shared" si="0"/>
        <v>alp_ecom</v>
      </c>
      <c r="B34" t="str">
        <f t="shared" si="1"/>
        <v>facebook.com.br</v>
      </c>
      <c r="C34" t="str">
        <f t="shared" si="2"/>
        <v>alp_ecom_conversao_ecom_facebook_social_carrossel_social_rei-leao_rmk-30-mobile_cpm_1080x1080_111221</v>
      </c>
      <c r="D34" t="str">
        <f t="shared" si="3"/>
        <v>251366919</v>
      </c>
      <c r="E34" t="str">
        <f>IF(Table1[[#This Row],[Impressions]]&gt;Table1[[#This Row],[Clicks]],"Standard",VLOOKUP(CONCATENATE(bd_adtype,"_",bd_creativetype),tabela,2,FALSE))</f>
        <v>Dynamic Click</v>
      </c>
      <c r="F34" t="str">
        <f t="shared" si="4"/>
        <v>alp_ecom_conversao_ecom_facebook_social_carrossel_social_rei-leao_rmk-30-mobile_cpm_1080x1080_111221</v>
      </c>
      <c r="G34" t="str">
        <f t="shared" si="5"/>
        <v>447333063</v>
      </c>
      <c r="H34" t="str">
        <f t="shared" si="6"/>
        <v>Tracking</v>
      </c>
      <c r="I34">
        <f t="shared" si="7"/>
        <v>0</v>
      </c>
      <c r="J34">
        <f t="shared" si="8"/>
        <v>456</v>
      </c>
      <c r="K34" s="4">
        <f t="shared" si="9"/>
        <v>3.5000000000000001E-3</v>
      </c>
      <c r="L34">
        <f t="shared" si="10"/>
        <v>0.02</v>
      </c>
      <c r="M34" s="4">
        <f t="shared" si="11"/>
        <v>1.5960000000000001</v>
      </c>
      <c r="N34" s="4">
        <f t="shared" si="12"/>
        <v>9.120000000000001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alp_ecom_conversao_ecom_facebook_social_carrossel_social_rei-leao_rmk-30_cpm_1080x1080_111221</v>
      </c>
      <c r="D35" t="str">
        <f t="shared" si="3"/>
        <v>251366922</v>
      </c>
      <c r="E35" t="str">
        <f>IF(Table1[[#This Row],[Impressions]]&gt;Table1[[#This Row],[Clicks]],"Standard",VLOOKUP(CONCATENATE(bd_adtype,"_",bd_creativetype),tabela,2,FALSE))</f>
        <v>Dynamic Click</v>
      </c>
      <c r="F35" t="str">
        <f t="shared" si="4"/>
        <v>alp_ecom_conversao_ecom_facebook_social_carrossel_social_rei-leao_rmk-30_cpm_1080x1080_111221</v>
      </c>
      <c r="G35" t="str">
        <f t="shared" si="5"/>
        <v>447333066</v>
      </c>
      <c r="H35" t="str">
        <f t="shared" si="6"/>
        <v>Tracking</v>
      </c>
      <c r="I35">
        <f t="shared" si="7"/>
        <v>0</v>
      </c>
      <c r="J35">
        <f t="shared" si="8"/>
        <v>45</v>
      </c>
      <c r="K35" s="4">
        <f t="shared" si="9"/>
        <v>3.5000000000000001E-3</v>
      </c>
      <c r="L35">
        <f t="shared" si="10"/>
        <v>0.02</v>
      </c>
      <c r="M35" s="4">
        <f t="shared" ref="M35:M98" si="13">IF(E35="Dynamic Click",J35*K35,K35*$I35/1000)</f>
        <v>0.1575</v>
      </c>
      <c r="N35" s="4">
        <f t="shared" ref="N35:N98" si="14">IF(E35="Dynamic Click",J35*L35,L35*$I35/1000)</f>
        <v>0.9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alp_ecom_conversao_ecom_facebook_social_carrossel_social_semana-do-cliente-dpa_rmk-30_cpm_1080x1080_111252</v>
      </c>
      <c r="D36" t="str">
        <f t="shared" si="3"/>
        <v>255023102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alp_ecom_conversao_ecom_facebook_social_carrossel_social_semana-do-cliente-dpa_rmk-30_cpm_1080x1080_111252</v>
      </c>
      <c r="G36" t="str">
        <f t="shared" si="5"/>
        <v>451284702</v>
      </c>
      <c r="H36" t="str">
        <f t="shared" si="6"/>
        <v>Tracking</v>
      </c>
      <c r="I36">
        <f t="shared" si="7"/>
        <v>0</v>
      </c>
      <c r="J36">
        <f t="shared" si="8"/>
        <v>1</v>
      </c>
      <c r="K36" s="4">
        <f t="shared" si="9"/>
        <v>3.5000000000000001E-3</v>
      </c>
      <c r="L36">
        <f t="shared" si="10"/>
        <v>0.02</v>
      </c>
      <c r="M36" s="4">
        <f t="shared" si="13"/>
        <v>3.5000000000000001E-3</v>
      </c>
      <c r="N36" s="4">
        <f t="shared" si="14"/>
        <v>0.02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alp_ecom_conversao_ecom_facebook_social_collection_social_harry-potter_curte-havaianas_cpm_dinamico_111223</v>
      </c>
      <c r="D37" t="str">
        <f t="shared" si="3"/>
        <v>251366910</v>
      </c>
      <c r="E37" t="str">
        <f>IF(Table1[[#This Row],[Impressions]]&gt;Table1[[#This Row],[Clicks]],"Standard",VLOOKUP(CONCATENATE(bd_adtype,"_",bd_creativetype),tabela,2,FALSE))</f>
        <v>Dynamic Click</v>
      </c>
      <c r="F37" t="str">
        <f t="shared" si="4"/>
        <v>alp_ecom_conversao_ecom_facebook_social_collection_social_harry-potter_curte-havaianas_cpm_dinamico_111223</v>
      </c>
      <c r="G37" t="str">
        <f t="shared" si="5"/>
        <v>447333054</v>
      </c>
      <c r="H37" t="str">
        <f t="shared" si="6"/>
        <v>Tracking</v>
      </c>
      <c r="I37">
        <f t="shared" si="7"/>
        <v>0</v>
      </c>
      <c r="J37">
        <f t="shared" si="8"/>
        <v>1</v>
      </c>
      <c r="K37" s="4">
        <f t="shared" si="9"/>
        <v>3.5000000000000001E-3</v>
      </c>
      <c r="L37">
        <f t="shared" si="10"/>
        <v>0.02</v>
      </c>
      <c r="M37" s="4">
        <f t="shared" si="13"/>
        <v>3.5000000000000001E-3</v>
      </c>
      <c r="N37" s="4">
        <f t="shared" si="14"/>
        <v>0.02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alp_ecom_conversao_ecom_facebook_social_collection_social_harry-potter_look-1-mobile_cpm_dinamico_111223</v>
      </c>
      <c r="D38" t="str">
        <f t="shared" si="3"/>
        <v>251366904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alp_ecom_conversao_ecom_facebook_social_collection_social_harry-potter_look-1-mobile_cpm_dinamico_111223</v>
      </c>
      <c r="G38" t="str">
        <f t="shared" si="5"/>
        <v>447333048</v>
      </c>
      <c r="H38" t="str">
        <f t="shared" si="6"/>
        <v>Tracking</v>
      </c>
      <c r="I38">
        <f t="shared" si="7"/>
        <v>0</v>
      </c>
      <c r="J38">
        <f t="shared" si="8"/>
        <v>1</v>
      </c>
      <c r="K38" s="4">
        <f t="shared" si="9"/>
        <v>3.5000000000000001E-3</v>
      </c>
      <c r="L38">
        <f t="shared" si="10"/>
        <v>0.02</v>
      </c>
      <c r="M38" s="4">
        <f t="shared" si="13"/>
        <v>3.5000000000000001E-3</v>
      </c>
      <c r="N38" s="4">
        <f t="shared" si="14"/>
        <v>0.02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alp_ecom_conversao_ecom_facebook_social_collection_social_harry-potter_rmk-30-mobile_cpm_dinamico_111223</v>
      </c>
      <c r="D39" t="str">
        <f t="shared" si="3"/>
        <v>251366892</v>
      </c>
      <c r="E39" t="str">
        <f>IF(Table1[[#This Row],[Impressions]]&gt;Table1[[#This Row],[Clicks]],"Standard",VLOOKUP(CONCATENATE(bd_adtype,"_",bd_creativetype),tabela,2,FALSE))</f>
        <v>Dynamic Click</v>
      </c>
      <c r="F39" t="str">
        <f t="shared" si="4"/>
        <v>alp_ecom_conversao_ecom_facebook_social_collection_social_harry-potter_rmk-30-mobile_cpm_dinamico_111223</v>
      </c>
      <c r="G39" t="str">
        <f t="shared" si="5"/>
        <v>447333036</v>
      </c>
      <c r="H39" t="str">
        <f t="shared" si="6"/>
        <v>Tracking</v>
      </c>
      <c r="I39">
        <f t="shared" si="7"/>
        <v>0</v>
      </c>
      <c r="J39">
        <f t="shared" si="8"/>
        <v>7</v>
      </c>
      <c r="K39" s="4">
        <f t="shared" si="9"/>
        <v>3.5000000000000001E-3</v>
      </c>
      <c r="L39">
        <f t="shared" si="10"/>
        <v>0.02</v>
      </c>
      <c r="M39" s="4">
        <f t="shared" si="13"/>
        <v>2.4500000000000001E-2</v>
      </c>
      <c r="N39" s="4">
        <f t="shared" si="14"/>
        <v>0.14000000000000001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alp_ecom_conversao_ecom_facebook_social_collection_social_semana-do-cliente_rmk-30_cpm_1080x1080_111252</v>
      </c>
      <c r="D40" t="str">
        <f t="shared" si="3"/>
        <v>255042046</v>
      </c>
      <c r="E40" t="str">
        <f>IF(Table1[[#This Row],[Impressions]]&gt;Table1[[#This Row],[Clicks]],"Standard",VLOOKUP(CONCATENATE(bd_adtype,"_",bd_creativetype),tabela,2,FALSE))</f>
        <v>Dynamic Click</v>
      </c>
      <c r="F40" t="str">
        <f t="shared" si="4"/>
        <v>alp_ecom_conversao_ecom_facebook_social_collection_social_semana-do-cliente_rmk-30_cpm_1080x1080_111252</v>
      </c>
      <c r="G40" t="str">
        <f t="shared" si="5"/>
        <v>451032143</v>
      </c>
      <c r="H40" t="str">
        <f t="shared" si="6"/>
        <v>Tracking</v>
      </c>
      <c r="I40">
        <f t="shared" si="7"/>
        <v>0</v>
      </c>
      <c r="J40">
        <f t="shared" si="8"/>
        <v>1</v>
      </c>
      <c r="K40" s="4">
        <f t="shared" si="9"/>
        <v>3.5000000000000001E-3</v>
      </c>
      <c r="L40">
        <f t="shared" si="10"/>
        <v>0.02</v>
      </c>
      <c r="M40" s="4">
        <f t="shared" si="13"/>
        <v>3.5000000000000001E-3</v>
      </c>
      <c r="N40" s="4">
        <f t="shared" si="14"/>
        <v>0.02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alp_ecom_conversao_ecom_facebook_social_pagepost_social_alpargatas-free_curte-havaianas_cpm_1200x628_111259</v>
      </c>
      <c r="D41" t="str">
        <f t="shared" si="3"/>
        <v>256752787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alp_ecom_conversao_ecom_facebook_social_pagepost_social_alpargatas-free_curte-havaianas_cpm_1200x628_111259</v>
      </c>
      <c r="G41" t="str">
        <f t="shared" si="5"/>
        <v>452584938</v>
      </c>
      <c r="H41" t="str">
        <f t="shared" si="6"/>
        <v>Tracking</v>
      </c>
      <c r="I41">
        <f t="shared" si="7"/>
        <v>0</v>
      </c>
      <c r="J41">
        <f t="shared" si="8"/>
        <v>9273</v>
      </c>
      <c r="K41" s="4">
        <f t="shared" si="9"/>
        <v>3.5000000000000001E-3</v>
      </c>
      <c r="L41">
        <f t="shared" si="10"/>
        <v>0.02</v>
      </c>
      <c r="M41" s="4">
        <f t="shared" si="13"/>
        <v>32.455500000000001</v>
      </c>
      <c r="N41" s="4">
        <f t="shared" si="14"/>
        <v>185.46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alp_ecom_conversao_ecom_facebook_social_pagepost_social_alpargatas-free_look-1-desk_cpm_1200x628_111259</v>
      </c>
      <c r="D42" t="str">
        <f t="shared" si="3"/>
        <v>256752784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alp_ecom_conversao_ecom_facebook_social_pagepost_social_alpargatas-free_look-1-desk_cpm_1200x628_111259</v>
      </c>
      <c r="G42" t="str">
        <f t="shared" si="5"/>
        <v>452584935</v>
      </c>
      <c r="H42" t="str">
        <f t="shared" si="6"/>
        <v>Tracking</v>
      </c>
      <c r="I42">
        <f t="shared" si="7"/>
        <v>0</v>
      </c>
      <c r="J42">
        <f t="shared" si="8"/>
        <v>34</v>
      </c>
      <c r="K42" s="4">
        <f t="shared" si="9"/>
        <v>3.5000000000000001E-3</v>
      </c>
      <c r="L42">
        <f t="shared" si="10"/>
        <v>0.02</v>
      </c>
      <c r="M42" s="4">
        <f t="shared" si="13"/>
        <v>0.11900000000000001</v>
      </c>
      <c r="N42" s="4">
        <f t="shared" si="14"/>
        <v>0.68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alp_ecom_conversao_ecom_facebook_social_pagepost_social_alpargatas-free_look-1-mobile_cpm_1200x628_111259</v>
      </c>
      <c r="D43" t="str">
        <f t="shared" si="3"/>
        <v>256752781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alp_ecom_conversao_ecom_facebook_social_pagepost_social_alpargatas-free_look-1-mobile_cpm_1200x628_111259</v>
      </c>
      <c r="G43" t="str">
        <f t="shared" si="5"/>
        <v>452584932</v>
      </c>
      <c r="H43" t="str">
        <f t="shared" si="6"/>
        <v>Tracking</v>
      </c>
      <c r="I43">
        <f t="shared" si="7"/>
        <v>0</v>
      </c>
      <c r="J43">
        <f t="shared" si="8"/>
        <v>740</v>
      </c>
      <c r="K43" s="4">
        <f t="shared" si="9"/>
        <v>3.5000000000000001E-3</v>
      </c>
      <c r="L43">
        <f t="shared" si="10"/>
        <v>0.02</v>
      </c>
      <c r="M43" s="4">
        <f t="shared" si="13"/>
        <v>2.59</v>
      </c>
      <c r="N43" s="4">
        <f t="shared" si="14"/>
        <v>14.8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alp_ecom_conversao_ecom_facebook_social_pagepost_social_alpargatas-free_look-2-mobile_cpm_1200x628_111259</v>
      </c>
      <c r="D44" t="str">
        <f t="shared" si="3"/>
        <v>256752775</v>
      </c>
      <c r="E44" t="str">
        <f>IF(Table1[[#This Row],[Impressions]]&gt;Table1[[#This Row],[Clicks]],"Standard",VLOOKUP(CONCATENATE(bd_adtype,"_",bd_creativetype),tabela,2,FALSE))</f>
        <v>Dynamic Click</v>
      </c>
      <c r="F44" t="str">
        <f t="shared" si="4"/>
        <v>alp_ecom_conversao_ecom_facebook_social_pagepost_social_alpargatas-free_look-2-mobile_cpm_1200x628_111259</v>
      </c>
      <c r="G44" t="str">
        <f t="shared" si="5"/>
        <v>452584926</v>
      </c>
      <c r="H44" t="str">
        <f t="shared" si="6"/>
        <v>Tracking</v>
      </c>
      <c r="I44">
        <f t="shared" si="7"/>
        <v>0</v>
      </c>
      <c r="J44">
        <f t="shared" si="8"/>
        <v>49</v>
      </c>
      <c r="K44" s="4">
        <f t="shared" ref="K44:K107" si="15">IF(LEFT(B44,3)="DBM",0,VLOOKUP(E44,tabela,2,FALSE))</f>
        <v>3.5000000000000001E-3</v>
      </c>
      <c r="L44">
        <f t="shared" ref="L44:L107" si="16">VLOOKUP(E44,tabela,3,FALSE)</f>
        <v>0.02</v>
      </c>
      <c r="M44" s="4">
        <f t="shared" si="13"/>
        <v>0.17150000000000001</v>
      </c>
      <c r="N44" s="4">
        <f t="shared" si="14"/>
        <v>0.98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alp_ecom_conversao_ecom_facebook_social_pagepost_social_alpargatas-free_rmk-30-mobile_cpm_1200x628_111259</v>
      </c>
      <c r="D45" t="str">
        <f t="shared" si="3"/>
        <v>256752769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alp_ecom_conversao_ecom_facebook_social_pagepost_social_alpargatas-free_rmk-30-mobile_cpm_1200x628_111259</v>
      </c>
      <c r="G45" t="str">
        <f t="shared" si="5"/>
        <v>452584920</v>
      </c>
      <c r="H45" t="str">
        <f t="shared" si="6"/>
        <v>Tracking</v>
      </c>
      <c r="I45">
        <f t="shared" si="7"/>
        <v>0</v>
      </c>
      <c r="J45">
        <f t="shared" si="8"/>
        <v>527</v>
      </c>
      <c r="K45" s="4">
        <f t="shared" si="15"/>
        <v>3.5000000000000001E-3</v>
      </c>
      <c r="L45">
        <f t="shared" si="16"/>
        <v>0.02</v>
      </c>
      <c r="M45" s="4">
        <f t="shared" si="13"/>
        <v>1.8445</v>
      </c>
      <c r="N45" s="4">
        <f t="shared" si="14"/>
        <v>10.540000000000001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alp_ecom_conversao_ecom_facebook_social_pagepost_social_alpargatas-free_rmk-30_cpm_1200x628_111259</v>
      </c>
      <c r="D46" t="str">
        <f t="shared" si="3"/>
        <v>256752772</v>
      </c>
      <c r="E46" t="str">
        <f>IF(Table1[[#This Row],[Impressions]]&gt;Table1[[#This Row],[Clicks]],"Standard",VLOOKUP(CONCATENATE(bd_adtype,"_",bd_creativetype),tabela,2,FALSE))</f>
        <v>Dynamic Click</v>
      </c>
      <c r="F46" t="str">
        <f t="shared" si="4"/>
        <v>alp_ecom_conversao_ecom_facebook_social_pagepost_social_alpargatas-free_rmk-30_cpm_1200x628_111259</v>
      </c>
      <c r="G46" t="str">
        <f t="shared" si="5"/>
        <v>452584923</v>
      </c>
      <c r="H46" t="str">
        <f t="shared" si="6"/>
        <v>Tracking</v>
      </c>
      <c r="I46">
        <f t="shared" si="7"/>
        <v>0</v>
      </c>
      <c r="J46">
        <f t="shared" si="8"/>
        <v>102</v>
      </c>
      <c r="K46" s="4">
        <f t="shared" si="15"/>
        <v>3.5000000000000001E-3</v>
      </c>
      <c r="L46">
        <f t="shared" si="16"/>
        <v>0.02</v>
      </c>
      <c r="M46" s="4">
        <f t="shared" si="13"/>
        <v>0.35699999999999998</v>
      </c>
      <c r="N46" s="4">
        <f t="shared" si="14"/>
        <v>2.04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alp_ecom_conversao_ecom_facebook_social_pagepost_social_got_interesse-got_cpm_1200x628_111202</v>
      </c>
      <c r="D47" t="str">
        <f t="shared" si="3"/>
        <v>247894816</v>
      </c>
      <c r="E47" t="str">
        <f>IF(Table1[[#This Row],[Impressions]]&gt;Table1[[#This Row],[Clicks]],"Standard",VLOOKUP(CONCATENATE(bd_adtype,"_",bd_creativetype),tabela,2,FALSE))</f>
        <v>Dynamic Click</v>
      </c>
      <c r="F47" t="str">
        <f t="shared" si="4"/>
        <v>alp_ecom_conversao_ecom_facebook_social_pagepost_social_got_interesse-got_cpm_1200x628_111202</v>
      </c>
      <c r="G47" t="str">
        <f t="shared" si="5"/>
        <v>444247220</v>
      </c>
      <c r="H47" t="str">
        <f t="shared" si="6"/>
        <v>Tracking</v>
      </c>
      <c r="I47">
        <f t="shared" si="7"/>
        <v>0</v>
      </c>
      <c r="J47">
        <f t="shared" si="8"/>
        <v>1</v>
      </c>
      <c r="K47" s="4">
        <f t="shared" si="15"/>
        <v>3.5000000000000001E-3</v>
      </c>
      <c r="L47">
        <f t="shared" si="16"/>
        <v>0.02</v>
      </c>
      <c r="M47" s="4">
        <f t="shared" si="13"/>
        <v>3.5000000000000001E-3</v>
      </c>
      <c r="N47" s="4">
        <f t="shared" si="14"/>
        <v>0.02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alp_ecom_conversao_ecom_facebook_social_pagepost_social_havaianas-hype_curte-havaianas_cpm_1080x1080_111230</v>
      </c>
      <c r="D48" t="str">
        <f t="shared" si="3"/>
        <v>252787705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alp_ecom_conversao_ecom_facebook_social_pagepost_social_havaianas-hype_curte-havaianas_cpm_1080x1080_111230</v>
      </c>
      <c r="G48" t="str">
        <f t="shared" si="5"/>
        <v>448761813</v>
      </c>
      <c r="H48" t="str">
        <f t="shared" si="6"/>
        <v>Tracking</v>
      </c>
      <c r="I48">
        <f t="shared" si="7"/>
        <v>0</v>
      </c>
      <c r="J48">
        <f t="shared" si="8"/>
        <v>744</v>
      </c>
      <c r="K48" s="4">
        <f t="shared" si="15"/>
        <v>3.5000000000000001E-3</v>
      </c>
      <c r="L48">
        <f t="shared" si="16"/>
        <v>0.02</v>
      </c>
      <c r="M48" s="4">
        <f t="shared" si="13"/>
        <v>2.6040000000000001</v>
      </c>
      <c r="N48" s="4">
        <f t="shared" si="14"/>
        <v>14.88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alp_ecom_conversao_ecom_facebook_social_pagepost_social_havaianas-hype_curte-havaianas_cpm_1200x628_111242</v>
      </c>
      <c r="D49" t="str">
        <f t="shared" si="3"/>
        <v>253394693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alp_ecom_conversao_ecom_facebook_social_pagepost_social_havaianas-hype_curte-havaianas_cpm_1200x628_111242</v>
      </c>
      <c r="G49" t="str">
        <f t="shared" si="5"/>
        <v>449824048</v>
      </c>
      <c r="H49" t="str">
        <f t="shared" si="6"/>
        <v>Tracking</v>
      </c>
      <c r="I49">
        <f t="shared" si="7"/>
        <v>0</v>
      </c>
      <c r="J49">
        <f t="shared" si="8"/>
        <v>873</v>
      </c>
      <c r="K49" s="4">
        <f t="shared" si="15"/>
        <v>3.5000000000000001E-3</v>
      </c>
      <c r="L49">
        <f t="shared" si="16"/>
        <v>0.02</v>
      </c>
      <c r="M49" s="4">
        <f t="shared" si="13"/>
        <v>3.0554999999999999</v>
      </c>
      <c r="N49" s="4">
        <f t="shared" si="14"/>
        <v>17.46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alp_ecom_conversao_ecom_facebook_social_pagepost_social_havaianas-hype_interesse-masculino-praia_cpm_1080x1080_111230</v>
      </c>
      <c r="D50" t="str">
        <f t="shared" si="3"/>
        <v>252787684</v>
      </c>
      <c r="E50" t="str">
        <f>IF(Table1[[#This Row],[Impressions]]&gt;Table1[[#This Row],[Clicks]],"Standard",VLOOKUP(CONCATENATE(bd_adtype,"_",bd_creativetype),tabela,2,FALSE))</f>
        <v>Dynamic Click</v>
      </c>
      <c r="F50" t="str">
        <f t="shared" si="4"/>
        <v>alp_ecom_conversao_ecom_facebook_social_pagepost_social_havaianas-hype_interesse-masculino-praia_cpm_1080x1080_111230</v>
      </c>
      <c r="G50" t="str">
        <f t="shared" si="5"/>
        <v>448761792</v>
      </c>
      <c r="H50" t="str">
        <f t="shared" si="6"/>
        <v>Tracking</v>
      </c>
      <c r="I50">
        <f t="shared" si="7"/>
        <v>0</v>
      </c>
      <c r="J50">
        <f t="shared" si="8"/>
        <v>748</v>
      </c>
      <c r="K50" s="4">
        <f t="shared" si="15"/>
        <v>3.5000000000000001E-3</v>
      </c>
      <c r="L50">
        <f t="shared" si="16"/>
        <v>0.02</v>
      </c>
      <c r="M50" s="4">
        <f t="shared" si="13"/>
        <v>2.6179999999999999</v>
      </c>
      <c r="N50" s="4">
        <f t="shared" si="14"/>
        <v>14.96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alp_ecom_conversao_ecom_facebook_social_pagepost_social_havaianas-hype_interesse-masculino-praia_cpm_1200x628_111242</v>
      </c>
      <c r="D51" t="str">
        <f t="shared" si="3"/>
        <v>253394714</v>
      </c>
      <c r="E51" t="str">
        <f>IF(Table1[[#This Row],[Impressions]]&gt;Table1[[#This Row],[Clicks]],"Standard",VLOOKUP(CONCATENATE(bd_adtype,"_",bd_creativetype),tabela,2,FALSE))</f>
        <v>Dynamic Click</v>
      </c>
      <c r="F51" t="str">
        <f t="shared" si="4"/>
        <v>alp_ecom_conversao_ecom_facebook_social_pagepost_social_havaianas-hype_interesse-masculino-praia_cpm_1200x628_111242</v>
      </c>
      <c r="G51" t="str">
        <f t="shared" si="5"/>
        <v>449824027</v>
      </c>
      <c r="H51" t="str">
        <f t="shared" si="6"/>
        <v>Tracking</v>
      </c>
      <c r="I51">
        <f t="shared" si="7"/>
        <v>0</v>
      </c>
      <c r="J51">
        <f t="shared" si="8"/>
        <v>578</v>
      </c>
      <c r="K51" s="4">
        <f t="shared" si="15"/>
        <v>3.5000000000000001E-3</v>
      </c>
      <c r="L51">
        <f t="shared" si="16"/>
        <v>0.02</v>
      </c>
      <c r="M51" s="4">
        <f t="shared" si="13"/>
        <v>2.0230000000000001</v>
      </c>
      <c r="N51" s="4">
        <f t="shared" si="14"/>
        <v>11.56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alp_ecom_conversao_ecom_facebook_social_pagepost_social_havaianas-hype_look-1-mobile_cpm_1080x1080_111230</v>
      </c>
      <c r="D52" t="str">
        <f t="shared" si="3"/>
        <v>252787699</v>
      </c>
      <c r="E52" t="str">
        <f>IF(Table1[[#This Row],[Impressions]]&gt;Table1[[#This Row],[Clicks]],"Standard",VLOOKUP(CONCATENATE(bd_adtype,"_",bd_creativetype),tabela,2,FALSE))</f>
        <v>Dynamic Click</v>
      </c>
      <c r="F52" t="str">
        <f t="shared" si="4"/>
        <v>alp_ecom_conversao_ecom_facebook_social_pagepost_social_havaianas-hype_look-1-mobile_cpm_1080x1080_111230</v>
      </c>
      <c r="G52" t="str">
        <f t="shared" si="5"/>
        <v>448761807</v>
      </c>
      <c r="H52" t="str">
        <f t="shared" si="6"/>
        <v>Tracking</v>
      </c>
      <c r="I52">
        <f t="shared" si="7"/>
        <v>0</v>
      </c>
      <c r="J52">
        <f t="shared" si="8"/>
        <v>46</v>
      </c>
      <c r="K52" s="4">
        <f t="shared" si="15"/>
        <v>3.5000000000000001E-3</v>
      </c>
      <c r="L52">
        <f t="shared" si="16"/>
        <v>0.02</v>
      </c>
      <c r="M52" s="4">
        <f t="shared" si="13"/>
        <v>0.161</v>
      </c>
      <c r="N52" s="4">
        <f t="shared" si="14"/>
        <v>0.92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alp_ecom_conversao_ecom_facebook_social_pagepost_social_havaianas-hype_look-1-mobile_cpm_1200x628_111242</v>
      </c>
      <c r="D53" t="str">
        <f t="shared" si="3"/>
        <v>253394699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alp_ecom_conversao_ecom_facebook_social_pagepost_social_havaianas-hype_look-1-mobile_cpm_1200x628_111242</v>
      </c>
      <c r="G53" t="str">
        <f t="shared" si="5"/>
        <v>449824042</v>
      </c>
      <c r="H53" t="str">
        <f t="shared" si="6"/>
        <v>Tracking</v>
      </c>
      <c r="I53">
        <f t="shared" si="7"/>
        <v>0</v>
      </c>
      <c r="J53">
        <f t="shared" si="8"/>
        <v>7</v>
      </c>
      <c r="K53" s="4">
        <f t="shared" si="15"/>
        <v>3.5000000000000001E-3</v>
      </c>
      <c r="L53">
        <f t="shared" si="16"/>
        <v>0.02</v>
      </c>
      <c r="M53" s="4">
        <f t="shared" si="13"/>
        <v>2.4500000000000001E-2</v>
      </c>
      <c r="N53" s="4">
        <f t="shared" si="14"/>
        <v>0.14000000000000001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alp_ecom_conversao_ecom_facebook_social_pagepost_social_havaianas-hype_look-2-mobile_cpm_1080x1080_111230</v>
      </c>
      <c r="D54" t="str">
        <f t="shared" si="3"/>
        <v>252787693</v>
      </c>
      <c r="E54" t="str">
        <f>IF(Table1[[#This Row],[Impressions]]&gt;Table1[[#This Row],[Clicks]],"Standard",VLOOKUP(CONCATENATE(bd_adtype,"_",bd_creativetype),tabela,2,FALSE))</f>
        <v>Dynamic Click</v>
      </c>
      <c r="F54" t="str">
        <f t="shared" si="4"/>
        <v>alp_ecom_conversao_ecom_facebook_social_pagepost_social_havaianas-hype_look-2-mobile_cpm_1080x1080_111230</v>
      </c>
      <c r="G54" t="str">
        <f t="shared" si="5"/>
        <v>448761801</v>
      </c>
      <c r="H54" t="str">
        <f t="shared" si="6"/>
        <v>Tracking</v>
      </c>
      <c r="I54">
        <f t="shared" si="7"/>
        <v>0</v>
      </c>
      <c r="J54">
        <f t="shared" si="8"/>
        <v>26</v>
      </c>
      <c r="K54" s="4">
        <f t="shared" si="15"/>
        <v>3.5000000000000001E-3</v>
      </c>
      <c r="L54">
        <f t="shared" si="16"/>
        <v>0.02</v>
      </c>
      <c r="M54" s="4">
        <f t="shared" si="13"/>
        <v>9.0999999999999998E-2</v>
      </c>
      <c r="N54" s="4">
        <f t="shared" si="14"/>
        <v>0.52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alp_ecom_conversao_ecom_facebook_social_pagepost_social_havaianas-hype_rmk-30-mobile_cpm_1080x1080_111230</v>
      </c>
      <c r="D55" t="str">
        <f t="shared" si="3"/>
        <v>252787687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alp_ecom_conversao_ecom_facebook_social_pagepost_social_havaianas-hype_rmk-30-mobile_cpm_1080x1080_111230</v>
      </c>
      <c r="G55" t="str">
        <f t="shared" si="5"/>
        <v>448761795</v>
      </c>
      <c r="H55" t="str">
        <f t="shared" si="6"/>
        <v>Tracking</v>
      </c>
      <c r="I55">
        <f t="shared" si="7"/>
        <v>0</v>
      </c>
      <c r="J55">
        <f t="shared" si="8"/>
        <v>397</v>
      </c>
      <c r="K55" s="4">
        <f t="shared" si="15"/>
        <v>3.5000000000000001E-3</v>
      </c>
      <c r="L55">
        <f t="shared" si="16"/>
        <v>0.02</v>
      </c>
      <c r="M55" s="4">
        <f t="shared" si="13"/>
        <v>1.3895</v>
      </c>
      <c r="N55" s="4">
        <f t="shared" si="14"/>
        <v>7.94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alp_ecom_conversao_ecom_facebook_social_pagepost_social_havaianas-hype_rmk-30-mobile_cpm_1200x628_111242</v>
      </c>
      <c r="D56" t="str">
        <f t="shared" si="3"/>
        <v>253394711</v>
      </c>
      <c r="E56" t="str">
        <f>IF(Table1[[#This Row],[Impressions]]&gt;Table1[[#This Row],[Clicks]],"Standard",VLOOKUP(CONCATENATE(bd_adtype,"_",bd_creativetype),tabela,2,FALSE))</f>
        <v>Dynamic Click</v>
      </c>
      <c r="F56" t="str">
        <f t="shared" si="4"/>
        <v>alp_ecom_conversao_ecom_facebook_social_pagepost_social_havaianas-hype_rmk-30-mobile_cpm_1200x628_111242</v>
      </c>
      <c r="G56" t="str">
        <f t="shared" si="5"/>
        <v>449824030</v>
      </c>
      <c r="H56" t="str">
        <f t="shared" si="6"/>
        <v>Tracking</v>
      </c>
      <c r="I56">
        <f t="shared" si="7"/>
        <v>0</v>
      </c>
      <c r="J56">
        <f t="shared" si="8"/>
        <v>21</v>
      </c>
      <c r="K56" s="4">
        <f t="shared" si="15"/>
        <v>3.5000000000000001E-3</v>
      </c>
      <c r="L56">
        <f t="shared" si="16"/>
        <v>0.02</v>
      </c>
      <c r="M56" s="4">
        <f t="shared" si="13"/>
        <v>7.3499999999999996E-2</v>
      </c>
      <c r="N56" s="4">
        <f t="shared" si="14"/>
        <v>0.42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alp_ecom_conversao_ecom_facebook_social_pagepost_social_havaianas-hype_rmk-30_cpm_1080x1080_111230</v>
      </c>
      <c r="D57" t="str">
        <f t="shared" si="3"/>
        <v>252787690</v>
      </c>
      <c r="E57" t="str">
        <f>IF(Table1[[#This Row],[Impressions]]&gt;Table1[[#This Row],[Clicks]],"Standard",VLOOKUP(CONCATENATE(bd_adtype,"_",bd_creativetype),tabela,2,FALSE))</f>
        <v>Dynamic Click</v>
      </c>
      <c r="F57" t="str">
        <f t="shared" si="4"/>
        <v>alp_ecom_conversao_ecom_facebook_social_pagepost_social_havaianas-hype_rmk-30_cpm_1080x1080_111230</v>
      </c>
      <c r="G57" t="str">
        <f t="shared" si="5"/>
        <v>448761798</v>
      </c>
      <c r="H57" t="str">
        <f t="shared" si="6"/>
        <v>Tracking</v>
      </c>
      <c r="I57">
        <f t="shared" si="7"/>
        <v>0</v>
      </c>
      <c r="J57">
        <f t="shared" si="8"/>
        <v>6</v>
      </c>
      <c r="K57" s="4">
        <f t="shared" si="15"/>
        <v>3.5000000000000001E-3</v>
      </c>
      <c r="L57">
        <f t="shared" si="16"/>
        <v>0.02</v>
      </c>
      <c r="M57" s="4">
        <f t="shared" si="13"/>
        <v>2.1000000000000001E-2</v>
      </c>
      <c r="N57" s="4">
        <f t="shared" si="14"/>
        <v>0.12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alp_ecom_conversao_ecom_facebook_social_pagepost_social_havaianas-hype_rmk-30_cpm_1200x628_111242</v>
      </c>
      <c r="D58" t="str">
        <f t="shared" si="3"/>
        <v>253394708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alp_ecom_conversao_ecom_facebook_social_pagepost_social_havaianas-hype_rmk-30_cpm_1200x628_111242</v>
      </c>
      <c r="G58" t="str">
        <f t="shared" si="5"/>
        <v>449824033</v>
      </c>
      <c r="H58" t="str">
        <f t="shared" si="6"/>
        <v>Tracking</v>
      </c>
      <c r="I58">
        <f t="shared" si="7"/>
        <v>0</v>
      </c>
      <c r="J58">
        <f t="shared" si="8"/>
        <v>1</v>
      </c>
      <c r="K58" s="4">
        <f t="shared" si="15"/>
        <v>3.5000000000000001E-3</v>
      </c>
      <c r="L58">
        <f t="shared" si="16"/>
        <v>0.02</v>
      </c>
      <c r="M58" s="4">
        <f t="shared" si="13"/>
        <v>3.5000000000000001E-3</v>
      </c>
      <c r="N58" s="4">
        <f t="shared" si="14"/>
        <v>0.02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alp_ecom_conversao_ecom_facebook_social_pagepost_social_havaianas-la-casa-de-papel_curte-havaianas_cpm_1200x628_111229</v>
      </c>
      <c r="D59" t="str">
        <f t="shared" si="3"/>
        <v>252204941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alp_ecom_conversao_ecom_facebook_social_pagepost_social_havaianas-la-casa-de-papel_curte-havaianas_cpm_1200x628_111229</v>
      </c>
      <c r="G59" t="str">
        <f t="shared" si="5"/>
        <v>448601474</v>
      </c>
      <c r="H59" t="str">
        <f t="shared" si="6"/>
        <v>Tracking</v>
      </c>
      <c r="I59">
        <f t="shared" si="7"/>
        <v>0</v>
      </c>
      <c r="J59">
        <f t="shared" si="8"/>
        <v>472</v>
      </c>
      <c r="K59" s="4">
        <f t="shared" si="15"/>
        <v>3.5000000000000001E-3</v>
      </c>
      <c r="L59">
        <f t="shared" si="16"/>
        <v>0.02</v>
      </c>
      <c r="M59" s="4">
        <f t="shared" si="13"/>
        <v>1.6520000000000001</v>
      </c>
      <c r="N59" s="4">
        <f t="shared" si="14"/>
        <v>9.44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alp_ecom_conversao_ecom_facebook_social_pagepost_social_havaianas-la-casa-de-papel_interesse-la-casa-de-papel_cpm_1200x628_111229</v>
      </c>
      <c r="D60" t="str">
        <f t="shared" si="3"/>
        <v>252207911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alp_ecom_conversao_ecom_facebook_social_pagepost_social_havaianas-la-casa-de-papel_interesse-la-casa-de-papel_cpm_1200x628_111229</v>
      </c>
      <c r="G60" t="str">
        <f t="shared" si="5"/>
        <v>448671577</v>
      </c>
      <c r="H60" t="str">
        <f t="shared" si="6"/>
        <v>Tracking</v>
      </c>
      <c r="I60">
        <f t="shared" si="7"/>
        <v>0</v>
      </c>
      <c r="J60">
        <f t="shared" si="8"/>
        <v>3760</v>
      </c>
      <c r="K60" s="4">
        <f t="shared" si="15"/>
        <v>3.5000000000000001E-3</v>
      </c>
      <c r="L60">
        <f t="shared" si="16"/>
        <v>0.02</v>
      </c>
      <c r="M60" s="4">
        <f t="shared" si="13"/>
        <v>13.16</v>
      </c>
      <c r="N60" s="4">
        <f t="shared" si="14"/>
        <v>75.2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alp_ecom_conversao_ecom_facebook_social_pagepost_social_havaianas-la-casa-de-papel_look-1-mobile_cpm_1200x628_111229</v>
      </c>
      <c r="D61" t="str">
        <f t="shared" si="3"/>
        <v>252207320</v>
      </c>
      <c r="E61" t="str">
        <f>IF(Table1[[#This Row],[Impressions]]&gt;Table1[[#This Row],[Clicks]],"Standard",VLOOKUP(CONCATENATE(bd_adtype,"_",bd_creativetype),tabela,2,FALSE))</f>
        <v>Dynamic Click</v>
      </c>
      <c r="F61" t="str">
        <f t="shared" si="4"/>
        <v>alp_ecom_conversao_ecom_facebook_social_pagepost_social_havaianas-la-casa-de-papel_look-1-mobile_cpm_1200x628_111229</v>
      </c>
      <c r="G61" t="str">
        <f t="shared" si="5"/>
        <v>448549629</v>
      </c>
      <c r="H61" t="str">
        <f t="shared" si="6"/>
        <v>Tracking</v>
      </c>
      <c r="I61">
        <f t="shared" si="7"/>
        <v>0</v>
      </c>
      <c r="J61">
        <f t="shared" si="8"/>
        <v>7</v>
      </c>
      <c r="K61" s="4">
        <f t="shared" si="15"/>
        <v>3.5000000000000001E-3</v>
      </c>
      <c r="L61">
        <f t="shared" si="16"/>
        <v>0.02</v>
      </c>
      <c r="M61" s="4">
        <f t="shared" si="13"/>
        <v>2.4500000000000001E-2</v>
      </c>
      <c r="N61" s="4">
        <f t="shared" si="14"/>
        <v>0.14000000000000001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alp_ecom_conversao_ecom_facebook_social_pagepost_social_havaianas-la-casa-de-papel_rmk-30-mobile_cpm_1200x628_111229</v>
      </c>
      <c r="D62" t="str">
        <f t="shared" si="3"/>
        <v>252207725</v>
      </c>
      <c r="E62" t="str">
        <f>IF(Table1[[#This Row],[Impressions]]&gt;Table1[[#This Row],[Clicks]],"Standard",VLOOKUP(CONCATENATE(bd_adtype,"_",bd_creativetype),tabela,2,FALSE))</f>
        <v>Dynamic Click</v>
      </c>
      <c r="F62" t="str">
        <f t="shared" si="4"/>
        <v>alp_ecom_conversao_ecom_facebook_social_pagepost_social_havaianas-la-casa-de-papel_rmk-30-mobile_cpm_1200x628_111229</v>
      </c>
      <c r="G62" t="str">
        <f t="shared" si="5"/>
        <v>448601342</v>
      </c>
      <c r="H62" t="str">
        <f t="shared" si="6"/>
        <v>Tracking</v>
      </c>
      <c r="I62">
        <f t="shared" si="7"/>
        <v>0</v>
      </c>
      <c r="J62">
        <f t="shared" si="8"/>
        <v>30</v>
      </c>
      <c r="K62" s="4">
        <f t="shared" si="15"/>
        <v>3.5000000000000001E-3</v>
      </c>
      <c r="L62">
        <f t="shared" si="16"/>
        <v>0.02</v>
      </c>
      <c r="M62" s="4">
        <f t="shared" si="13"/>
        <v>0.105</v>
      </c>
      <c r="N62" s="4">
        <f t="shared" si="14"/>
        <v>0.6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alp_ecom_conversao_ecom_facebook_social_pagepost_social_havaianas-novidades_curte-havaianas_cpm_1200x628_111227</v>
      </c>
      <c r="D63" t="str">
        <f t="shared" si="3"/>
        <v>252286563</v>
      </c>
      <c r="E63" t="str">
        <f>IF(Table1[[#This Row],[Impressions]]&gt;Table1[[#This Row],[Clicks]],"Standard",VLOOKUP(CONCATENATE(bd_adtype,"_",bd_creativetype),tabela,2,FALSE))</f>
        <v>Dynamic Click</v>
      </c>
      <c r="F63" t="str">
        <f t="shared" si="4"/>
        <v>alp_ecom_conversao_ecom_facebook_social_pagepost_social_havaianas-novidades_curte-havaianas_cpm_1200x628_111227</v>
      </c>
      <c r="G63" t="str">
        <f t="shared" si="5"/>
        <v>448342999</v>
      </c>
      <c r="H63" t="str">
        <f t="shared" si="6"/>
        <v>Tracking</v>
      </c>
      <c r="I63">
        <f t="shared" si="7"/>
        <v>0</v>
      </c>
      <c r="J63">
        <f t="shared" si="8"/>
        <v>4467</v>
      </c>
      <c r="K63" s="4">
        <f t="shared" si="15"/>
        <v>3.5000000000000001E-3</v>
      </c>
      <c r="L63">
        <f t="shared" si="16"/>
        <v>0.02</v>
      </c>
      <c r="M63" s="4">
        <f t="shared" si="13"/>
        <v>15.634500000000001</v>
      </c>
      <c r="N63" s="4">
        <f t="shared" si="14"/>
        <v>89.34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alp_ecom_conversao_ecom_facebook_social_pagepost_social_havaianas-novidades_interesse-promocao_cpm_1200x628_111227</v>
      </c>
      <c r="D64" t="str">
        <f t="shared" si="3"/>
        <v>251879663</v>
      </c>
      <c r="E64" t="str">
        <f>IF(Table1[[#This Row],[Impressions]]&gt;Table1[[#This Row],[Clicks]],"Standard",VLOOKUP(CONCATENATE(bd_adtype,"_",bd_creativetype),tabela,2,FALSE))</f>
        <v>Dynamic Click</v>
      </c>
      <c r="F64" t="str">
        <f t="shared" si="4"/>
        <v>alp_ecom_conversao_ecom_facebook_social_pagepost_social_havaianas-novidades_interesse-promocao_cpm_1200x628_111227</v>
      </c>
      <c r="G64" t="str">
        <f t="shared" si="5"/>
        <v>448207521</v>
      </c>
      <c r="H64" t="str">
        <f t="shared" si="6"/>
        <v>Tracking</v>
      </c>
      <c r="I64">
        <f t="shared" si="7"/>
        <v>0</v>
      </c>
      <c r="J64">
        <f t="shared" si="8"/>
        <v>4132</v>
      </c>
      <c r="K64" s="4">
        <f t="shared" si="15"/>
        <v>3.5000000000000001E-3</v>
      </c>
      <c r="L64">
        <f t="shared" si="16"/>
        <v>0.02</v>
      </c>
      <c r="M64" s="4">
        <f t="shared" si="13"/>
        <v>14.462</v>
      </c>
      <c r="N64" s="4">
        <f t="shared" si="14"/>
        <v>82.64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alp_ecom_conversao_ecom_facebook_social_pagepost_social_havaianas-novidades_look-1-mobile_cpm_1200x628_111227</v>
      </c>
      <c r="D65" t="str">
        <f t="shared" si="3"/>
        <v>251878943</v>
      </c>
      <c r="E65" t="str">
        <f>IF(Table1[[#This Row],[Impressions]]&gt;Table1[[#This Row],[Clicks]],"Standard",VLOOKUP(CONCATENATE(bd_adtype,"_",bd_creativetype),tabela,2,FALSE))</f>
        <v>Dynamic Click</v>
      </c>
      <c r="F65" t="str">
        <f t="shared" si="4"/>
        <v>alp_ecom_conversao_ecom_facebook_social_pagepost_social_havaianas-novidades_look-1-mobile_cpm_1200x628_111227</v>
      </c>
      <c r="G65" t="str">
        <f t="shared" si="5"/>
        <v>448342399</v>
      </c>
      <c r="H65" t="str">
        <f t="shared" si="6"/>
        <v>Tracking</v>
      </c>
      <c r="I65">
        <f t="shared" si="7"/>
        <v>0</v>
      </c>
      <c r="J65">
        <f t="shared" si="8"/>
        <v>372</v>
      </c>
      <c r="K65" s="4">
        <f t="shared" si="15"/>
        <v>3.5000000000000001E-3</v>
      </c>
      <c r="L65">
        <f t="shared" si="16"/>
        <v>0.02</v>
      </c>
      <c r="M65" s="4">
        <f t="shared" si="13"/>
        <v>1.302</v>
      </c>
      <c r="N65" s="4">
        <f t="shared" si="14"/>
        <v>7.44</v>
      </c>
    </row>
    <row r="66" spans="1:14">
      <c r="A66" t="str">
        <f t="shared" ref="A66:A129" si="17">bd_campaign</f>
        <v>alp_ecom</v>
      </c>
      <c r="B66" t="str">
        <f t="shared" ref="B66:B129" si="18">bd_site</f>
        <v>facebook.com.br</v>
      </c>
      <c r="C66" t="str">
        <f t="shared" ref="C66:C129" si="19">bd_placement</f>
        <v>alp_ecom_conversao_ecom_facebook_social_pagepost_social_havaianas-novidades_rmk-30-mobile_cpm_1200x628_111227</v>
      </c>
      <c r="D66" t="str">
        <f t="shared" ref="D66:D129" si="20">bd_placementID</f>
        <v>252287298</v>
      </c>
      <c r="E66" t="str">
        <f>IF(Table1[[#This Row],[Impressions]]&gt;Table1[[#This Row],[Clicks]],"Standard",VLOOKUP(CONCATENATE(bd_adtype,"_",bd_creativetype),tabela,2,FALSE))</f>
        <v>Dynamic Click</v>
      </c>
      <c r="F66" t="str">
        <f t="shared" ref="F66:F129" si="21">bd_ad</f>
        <v>alp_ecom_conversao_ecom_facebook_social_pagepost_social_havaianas-novidades_rmk-30-mobile_cpm_1200x628_111227</v>
      </c>
      <c r="G66" t="str">
        <f t="shared" ref="G66:G129" si="22">bd_adid</f>
        <v>448205523</v>
      </c>
      <c r="H66" t="str">
        <f t="shared" ref="H66:H129" si="23">bd_creativetype</f>
        <v>Tracking</v>
      </c>
      <c r="I66">
        <f t="shared" ref="I66:I129" si="24">bd_impression</f>
        <v>0</v>
      </c>
      <c r="J66">
        <f t="shared" ref="J66:J129" si="25">bd_clicks</f>
        <v>1356</v>
      </c>
      <c r="K66" s="4">
        <f t="shared" si="15"/>
        <v>3.5000000000000001E-3</v>
      </c>
      <c r="L66">
        <f t="shared" si="16"/>
        <v>0.02</v>
      </c>
      <c r="M66" s="4">
        <f t="shared" si="13"/>
        <v>4.7460000000000004</v>
      </c>
      <c r="N66" s="4">
        <f t="shared" si="14"/>
        <v>27.12</v>
      </c>
    </row>
    <row r="67" spans="1:14">
      <c r="A67" t="str">
        <f t="shared" si="17"/>
        <v>alp_ecom</v>
      </c>
      <c r="B67" t="str">
        <f t="shared" si="18"/>
        <v>facebook.com.br</v>
      </c>
      <c r="C67" t="str">
        <f t="shared" si="19"/>
        <v>alp_ecom_conversao_ecom_facebook_social_pagepost_social_havaianas-novidades_rmk-30_cpm_1200x628_111227</v>
      </c>
      <c r="D67" t="str">
        <f t="shared" si="20"/>
        <v>252210166</v>
      </c>
      <c r="E67" t="str">
        <f>IF(Table1[[#This Row],[Impressions]]&gt;Table1[[#This Row],[Clicks]],"Standard",VLOOKUP(CONCATENATE(bd_adtype,"_",bd_creativetype),tabela,2,FALSE))</f>
        <v>Dynamic Click</v>
      </c>
      <c r="F67" t="str">
        <f t="shared" si="21"/>
        <v>alp_ecom_conversao_ecom_facebook_social_pagepost_social_havaianas-novidades_rmk-30_cpm_1200x628_111227</v>
      </c>
      <c r="G67" t="str">
        <f t="shared" si="22"/>
        <v>448260959</v>
      </c>
      <c r="H67" t="str">
        <f t="shared" si="23"/>
        <v>Tracking</v>
      </c>
      <c r="I67">
        <f t="shared" si="24"/>
        <v>0</v>
      </c>
      <c r="J67">
        <f t="shared" si="25"/>
        <v>56</v>
      </c>
      <c r="K67" s="4">
        <f t="shared" si="15"/>
        <v>3.5000000000000001E-3</v>
      </c>
      <c r="L67">
        <f t="shared" si="16"/>
        <v>0.02</v>
      </c>
      <c r="M67" s="4">
        <f t="shared" si="13"/>
        <v>0.19600000000000001</v>
      </c>
      <c r="N67" s="4">
        <f t="shared" si="14"/>
        <v>1.1200000000000001</v>
      </c>
    </row>
    <row r="68" spans="1:14">
      <c r="A68" t="str">
        <f t="shared" si="17"/>
        <v>alp_ecom</v>
      </c>
      <c r="B68" t="str">
        <f t="shared" si="18"/>
        <v>facebook.com.br</v>
      </c>
      <c r="C68" t="str">
        <f t="shared" si="19"/>
        <v>alp_ecom_conversao_ecom_facebook_social_pagepost_social_havaianas-slide_curte-havaianas_cpm_1080x1080_111256</v>
      </c>
      <c r="D68" t="str">
        <f t="shared" si="20"/>
        <v>256054542</v>
      </c>
      <c r="E68" t="str">
        <f>IF(Table1[[#This Row],[Impressions]]&gt;Table1[[#This Row],[Clicks]],"Standard",VLOOKUP(CONCATENATE(bd_adtype,"_",bd_creativetype),tabela,2,FALSE))</f>
        <v>Dynamic Click</v>
      </c>
      <c r="F68" t="str">
        <f t="shared" si="21"/>
        <v>alp_ecom_conversao_ecom_facebook_social_pagepost_social_havaianas-slide_curte-havaianas_cpm_1080x1080_111256</v>
      </c>
      <c r="G68" t="str">
        <f t="shared" si="22"/>
        <v>451911526</v>
      </c>
      <c r="H68" t="str">
        <f t="shared" si="23"/>
        <v>Tracking</v>
      </c>
      <c r="I68">
        <f t="shared" si="24"/>
        <v>0</v>
      </c>
      <c r="J68">
        <f t="shared" si="25"/>
        <v>7376</v>
      </c>
      <c r="K68" s="4">
        <f t="shared" si="15"/>
        <v>3.5000000000000001E-3</v>
      </c>
      <c r="L68">
        <f t="shared" si="16"/>
        <v>0.02</v>
      </c>
      <c r="M68" s="4">
        <f t="shared" si="13"/>
        <v>25.815999999999999</v>
      </c>
      <c r="N68" s="4">
        <f t="shared" si="14"/>
        <v>147.52000000000001</v>
      </c>
    </row>
    <row r="69" spans="1:14">
      <c r="A69" t="str">
        <f t="shared" si="17"/>
        <v>alp_ecom</v>
      </c>
      <c r="B69" t="str">
        <f t="shared" si="18"/>
        <v>facebook.com.br</v>
      </c>
      <c r="C69" t="str">
        <f t="shared" si="19"/>
        <v>alp_ecom_conversao_ecom_facebook_social_pagepost_social_havaianas-slide_look-1-desk_cpm_1080x1080_111256</v>
      </c>
      <c r="D69" t="str">
        <f t="shared" si="20"/>
        <v>256054539</v>
      </c>
      <c r="E69" t="str">
        <f>IF(Table1[[#This Row],[Impressions]]&gt;Table1[[#This Row],[Clicks]],"Standard",VLOOKUP(CONCATENATE(bd_adtype,"_",bd_creativetype),tabela,2,FALSE))</f>
        <v>Dynamic Click</v>
      </c>
      <c r="F69" t="str">
        <f t="shared" si="21"/>
        <v>alp_ecom_conversao_ecom_facebook_social_pagepost_social_havaianas-slide_look-1-desk_cpm_1080x1080_111256</v>
      </c>
      <c r="G69" t="str">
        <f t="shared" si="22"/>
        <v>451911523</v>
      </c>
      <c r="H69" t="str">
        <f t="shared" si="23"/>
        <v>Tracking</v>
      </c>
      <c r="I69">
        <f t="shared" si="24"/>
        <v>0</v>
      </c>
      <c r="J69">
        <f t="shared" si="25"/>
        <v>4</v>
      </c>
      <c r="K69" s="4">
        <f t="shared" si="15"/>
        <v>3.5000000000000001E-3</v>
      </c>
      <c r="L69">
        <f t="shared" si="16"/>
        <v>0.02</v>
      </c>
      <c r="M69" s="4">
        <f t="shared" si="13"/>
        <v>1.4E-2</v>
      </c>
      <c r="N69" s="4">
        <f t="shared" si="14"/>
        <v>0.08</v>
      </c>
    </row>
    <row r="70" spans="1:14">
      <c r="A70" t="str">
        <f t="shared" si="17"/>
        <v>alp_ecom</v>
      </c>
      <c r="B70" t="str">
        <f t="shared" si="18"/>
        <v>facebook.com.br</v>
      </c>
      <c r="C70" t="str">
        <f t="shared" si="19"/>
        <v>alp_ecom_conversao_ecom_facebook_social_pagepost_social_havaianas-slide_look-1-mobile_cpm_1080x1080_111256</v>
      </c>
      <c r="D70" t="str">
        <f t="shared" si="20"/>
        <v>256054536</v>
      </c>
      <c r="E70" t="str">
        <f>IF(Table1[[#This Row],[Impressions]]&gt;Table1[[#This Row],[Clicks]],"Standard",VLOOKUP(CONCATENATE(bd_adtype,"_",bd_creativetype),tabela,2,FALSE))</f>
        <v>Dynamic Click</v>
      </c>
      <c r="F70" t="str">
        <f t="shared" si="21"/>
        <v>alp_ecom_conversao_ecom_facebook_social_pagepost_social_havaianas-slide_look-1-mobile_cpm_1080x1080_111256</v>
      </c>
      <c r="G70" t="str">
        <f t="shared" si="22"/>
        <v>451911520</v>
      </c>
      <c r="H70" t="str">
        <f t="shared" si="23"/>
        <v>Tracking</v>
      </c>
      <c r="I70">
        <f t="shared" si="24"/>
        <v>0</v>
      </c>
      <c r="J70">
        <f t="shared" si="25"/>
        <v>39</v>
      </c>
      <c r="K70" s="4">
        <f t="shared" si="15"/>
        <v>3.5000000000000001E-3</v>
      </c>
      <c r="L70">
        <f t="shared" si="16"/>
        <v>0.02</v>
      </c>
      <c r="M70" s="4">
        <f t="shared" si="13"/>
        <v>0.13650000000000001</v>
      </c>
      <c r="N70" s="4">
        <f t="shared" si="14"/>
        <v>0.78</v>
      </c>
    </row>
    <row r="71" spans="1:14">
      <c r="A71" t="str">
        <f t="shared" si="17"/>
        <v>alp_ecom</v>
      </c>
      <c r="B71" t="str">
        <f t="shared" si="18"/>
        <v>facebook.com.br</v>
      </c>
      <c r="C71" t="str">
        <f t="shared" si="19"/>
        <v>alp_ecom_conversao_ecom_facebook_social_pagepost_social_havaianas-slide_look-2-mobile_cpm_1080x1080_111256</v>
      </c>
      <c r="D71" t="str">
        <f t="shared" si="20"/>
        <v>256054530</v>
      </c>
      <c r="E71" t="str">
        <f>IF(Table1[[#This Row],[Impressions]]&gt;Table1[[#This Row],[Clicks]],"Standard",VLOOKUP(CONCATENATE(bd_adtype,"_",bd_creativetype),tabela,2,FALSE))</f>
        <v>Dynamic Click</v>
      </c>
      <c r="F71" t="str">
        <f t="shared" si="21"/>
        <v>alp_ecom_conversao_ecom_facebook_social_pagepost_social_havaianas-slide_look-2-mobile_cpm_1080x1080_111256</v>
      </c>
      <c r="G71" t="str">
        <f t="shared" si="22"/>
        <v>451911514</v>
      </c>
      <c r="H71" t="str">
        <f t="shared" si="23"/>
        <v>Tracking</v>
      </c>
      <c r="I71">
        <f t="shared" si="24"/>
        <v>0</v>
      </c>
      <c r="J71">
        <f t="shared" si="25"/>
        <v>54</v>
      </c>
      <c r="K71" s="4">
        <f t="shared" si="15"/>
        <v>3.5000000000000001E-3</v>
      </c>
      <c r="L71">
        <f t="shared" si="16"/>
        <v>0.02</v>
      </c>
      <c r="M71" s="4">
        <f t="shared" si="13"/>
        <v>0.189</v>
      </c>
      <c r="N71" s="4">
        <f t="shared" si="14"/>
        <v>1.08</v>
      </c>
    </row>
    <row r="72" spans="1:14">
      <c r="A72" t="str">
        <f t="shared" si="17"/>
        <v>alp_ecom</v>
      </c>
      <c r="B72" t="str">
        <f t="shared" si="18"/>
        <v>facebook.com.br</v>
      </c>
      <c r="C72" t="str">
        <f t="shared" si="19"/>
        <v>alp_ecom_conversao_ecom_facebook_social_pagepost_social_havaianas-slide_rmk-30-mobile_cpm_1080x1080_111256</v>
      </c>
      <c r="D72" t="str">
        <f t="shared" si="20"/>
        <v>256054524</v>
      </c>
      <c r="E72" t="str">
        <f>IF(Table1[[#This Row],[Impressions]]&gt;Table1[[#This Row],[Clicks]],"Standard",VLOOKUP(CONCATENATE(bd_adtype,"_",bd_creativetype),tabela,2,FALSE))</f>
        <v>Dynamic Click</v>
      </c>
      <c r="F72" t="str">
        <f t="shared" si="21"/>
        <v>alp_ecom_conversao_ecom_facebook_social_pagepost_social_havaianas-slide_rmk-30-mobile_cpm_1080x1080_111256</v>
      </c>
      <c r="G72" t="str">
        <f t="shared" si="22"/>
        <v>451911508</v>
      </c>
      <c r="H72" t="str">
        <f t="shared" si="23"/>
        <v>Tracking</v>
      </c>
      <c r="I72">
        <f t="shared" si="24"/>
        <v>0</v>
      </c>
      <c r="J72">
        <f t="shared" si="25"/>
        <v>300</v>
      </c>
      <c r="K72" s="4">
        <f t="shared" si="15"/>
        <v>3.5000000000000001E-3</v>
      </c>
      <c r="L72">
        <f t="shared" si="16"/>
        <v>0.02</v>
      </c>
      <c r="M72" s="4">
        <f t="shared" si="13"/>
        <v>1.05</v>
      </c>
      <c r="N72" s="4">
        <f t="shared" si="14"/>
        <v>6</v>
      </c>
    </row>
    <row r="73" spans="1:14">
      <c r="A73" t="str">
        <f t="shared" si="17"/>
        <v>alp_ecom</v>
      </c>
      <c r="B73" t="str">
        <f t="shared" si="18"/>
        <v>facebook.com.br</v>
      </c>
      <c r="C73" t="str">
        <f t="shared" si="19"/>
        <v>alp_ecom_conversao_ecom_facebook_social_pagepost_social_havaianas-slide_rmk-30_cpm_1080x1080_111256</v>
      </c>
      <c r="D73" t="str">
        <f t="shared" si="20"/>
        <v>256054527</v>
      </c>
      <c r="E73" t="str">
        <f>IF(Table1[[#This Row],[Impressions]]&gt;Table1[[#This Row],[Clicks]],"Standard",VLOOKUP(CONCATENATE(bd_adtype,"_",bd_creativetype),tabela,2,FALSE))</f>
        <v>Dynamic Click</v>
      </c>
      <c r="F73" t="str">
        <f t="shared" si="21"/>
        <v>alp_ecom_conversao_ecom_facebook_social_pagepost_social_havaianas-slide_rmk-30_cpm_1080x1080_111256</v>
      </c>
      <c r="G73" t="str">
        <f t="shared" si="22"/>
        <v>451911511</v>
      </c>
      <c r="H73" t="str">
        <f t="shared" si="23"/>
        <v>Tracking</v>
      </c>
      <c r="I73">
        <f t="shared" si="24"/>
        <v>0</v>
      </c>
      <c r="J73">
        <f t="shared" si="25"/>
        <v>8</v>
      </c>
      <c r="K73" s="4">
        <f t="shared" si="15"/>
        <v>3.5000000000000001E-3</v>
      </c>
      <c r="L73">
        <f t="shared" si="16"/>
        <v>0.02</v>
      </c>
      <c r="M73" s="4">
        <f t="shared" si="13"/>
        <v>2.8000000000000001E-2</v>
      </c>
      <c r="N73" s="4">
        <f t="shared" si="14"/>
        <v>0.16</v>
      </c>
    </row>
    <row r="74" spans="1:14">
      <c r="A74" t="str">
        <f t="shared" si="17"/>
        <v>alp_ecom</v>
      </c>
      <c r="B74" t="str">
        <f t="shared" si="18"/>
        <v>facebook.com.br</v>
      </c>
      <c r="C74" t="str">
        <f t="shared" si="19"/>
        <v>alp_ecom_conversao_ecom_facebook_social_pagepost_social_havaianas-top-verano_curte-havaianas_cpm_1200x628_111257</v>
      </c>
      <c r="D74" t="str">
        <f t="shared" si="20"/>
        <v>256409478</v>
      </c>
      <c r="E74" t="str">
        <f>IF(Table1[[#This Row],[Impressions]]&gt;Table1[[#This Row],[Clicks]],"Standard",VLOOKUP(CONCATENATE(bd_adtype,"_",bd_creativetype),tabela,2,FALSE))</f>
        <v>Dynamic Click</v>
      </c>
      <c r="F74" t="str">
        <f t="shared" si="21"/>
        <v>alp_ecom_conversao_ecom_facebook_social_pagepost_social_havaianas-top-verano_curte-havaianas_cpm_1200x628_111257</v>
      </c>
      <c r="G74" t="str">
        <f t="shared" si="22"/>
        <v>452248351</v>
      </c>
      <c r="H74" t="str">
        <f t="shared" si="23"/>
        <v>Tracking</v>
      </c>
      <c r="I74">
        <f t="shared" si="24"/>
        <v>0</v>
      </c>
      <c r="J74">
        <f t="shared" si="25"/>
        <v>7611</v>
      </c>
      <c r="K74" s="4">
        <f t="shared" si="15"/>
        <v>3.5000000000000001E-3</v>
      </c>
      <c r="L74">
        <f t="shared" si="16"/>
        <v>0.02</v>
      </c>
      <c r="M74" s="4">
        <f t="shared" si="13"/>
        <v>26.638500000000001</v>
      </c>
      <c r="N74" s="4">
        <f t="shared" si="14"/>
        <v>152.22</v>
      </c>
    </row>
    <row r="75" spans="1:14">
      <c r="A75" t="str">
        <f t="shared" si="17"/>
        <v>alp_ecom</v>
      </c>
      <c r="B75" t="str">
        <f t="shared" si="18"/>
        <v>facebook.com.br</v>
      </c>
      <c r="C75" t="str">
        <f t="shared" si="19"/>
        <v>alp_ecom_conversao_ecom_facebook_social_pagepost_social_havaianas-top-verano_interesse-praia_cpm_1200x628_111257</v>
      </c>
      <c r="D75" t="str">
        <f t="shared" si="20"/>
        <v>256409457</v>
      </c>
      <c r="E75" t="str">
        <f>IF(Table1[[#This Row],[Impressions]]&gt;Table1[[#This Row],[Clicks]],"Standard",VLOOKUP(CONCATENATE(bd_adtype,"_",bd_creativetype),tabela,2,FALSE))</f>
        <v>Dynamic Click</v>
      </c>
      <c r="F75" t="str">
        <f t="shared" si="21"/>
        <v>alp_ecom_conversao_ecom_facebook_social_pagepost_social_havaianas-top-verano_interesse-praia_cpm_1200x628_111257</v>
      </c>
      <c r="G75" t="str">
        <f t="shared" si="22"/>
        <v>452248330</v>
      </c>
      <c r="H75" t="str">
        <f t="shared" si="23"/>
        <v>Tracking</v>
      </c>
      <c r="I75">
        <f t="shared" si="24"/>
        <v>0</v>
      </c>
      <c r="J75">
        <f t="shared" si="25"/>
        <v>2631</v>
      </c>
      <c r="K75" s="4">
        <f t="shared" si="15"/>
        <v>3.5000000000000001E-3</v>
      </c>
      <c r="L75">
        <f t="shared" si="16"/>
        <v>0.02</v>
      </c>
      <c r="M75" s="4">
        <f t="shared" si="13"/>
        <v>9.2085000000000008</v>
      </c>
      <c r="N75" s="4">
        <f t="shared" si="14"/>
        <v>52.620000000000005</v>
      </c>
    </row>
    <row r="76" spans="1:14">
      <c r="A76" t="str">
        <f t="shared" si="17"/>
        <v>alp_ecom</v>
      </c>
      <c r="B76" t="str">
        <f t="shared" si="18"/>
        <v>facebook.com.br</v>
      </c>
      <c r="C76" t="str">
        <f t="shared" si="19"/>
        <v>alp_ecom_conversao_ecom_facebook_social_pagepost_social_havaianas-top-verano_look-1-desk_cpm_1200x628_111257</v>
      </c>
      <c r="D76" t="str">
        <f t="shared" si="20"/>
        <v>256409475</v>
      </c>
      <c r="E76" t="str">
        <f>IF(Table1[[#This Row],[Impressions]]&gt;Table1[[#This Row],[Clicks]],"Standard",VLOOKUP(CONCATENATE(bd_adtype,"_",bd_creativetype),tabela,2,FALSE))</f>
        <v>Dynamic Click</v>
      </c>
      <c r="F76" t="str">
        <f t="shared" si="21"/>
        <v>alp_ecom_conversao_ecom_facebook_social_pagepost_social_havaianas-top-verano_look-1-desk_cpm_1200x628_111257</v>
      </c>
      <c r="G76" t="str">
        <f t="shared" si="22"/>
        <v>452248348</v>
      </c>
      <c r="H76" t="str">
        <f t="shared" si="23"/>
        <v>Tracking</v>
      </c>
      <c r="I76">
        <f t="shared" si="24"/>
        <v>0</v>
      </c>
      <c r="J76">
        <f t="shared" si="25"/>
        <v>17</v>
      </c>
      <c r="K76" s="4">
        <f t="shared" si="15"/>
        <v>3.5000000000000001E-3</v>
      </c>
      <c r="L76">
        <f t="shared" si="16"/>
        <v>0.02</v>
      </c>
      <c r="M76" s="4">
        <f t="shared" si="13"/>
        <v>5.9500000000000004E-2</v>
      </c>
      <c r="N76" s="4">
        <f t="shared" si="14"/>
        <v>0.34</v>
      </c>
    </row>
    <row r="77" spans="1:14">
      <c r="A77" t="str">
        <f t="shared" si="17"/>
        <v>alp_ecom</v>
      </c>
      <c r="B77" t="str">
        <f t="shared" si="18"/>
        <v>facebook.com.br</v>
      </c>
      <c r="C77" t="str">
        <f t="shared" si="19"/>
        <v>alp_ecom_conversao_ecom_facebook_social_pagepost_social_havaianas-top-verano_look-1-mobile_cpm_1200x628_111257</v>
      </c>
      <c r="D77" t="str">
        <f t="shared" si="20"/>
        <v>256409472</v>
      </c>
      <c r="E77" t="str">
        <f>IF(Table1[[#This Row],[Impressions]]&gt;Table1[[#This Row],[Clicks]],"Standard",VLOOKUP(CONCATENATE(bd_adtype,"_",bd_creativetype),tabela,2,FALSE))</f>
        <v>Dynamic Click</v>
      </c>
      <c r="F77" t="str">
        <f t="shared" si="21"/>
        <v>alp_ecom_conversao_ecom_facebook_social_pagepost_social_havaianas-top-verano_look-1-mobile_cpm_1200x628_111257</v>
      </c>
      <c r="G77" t="str">
        <f t="shared" si="22"/>
        <v>452248345</v>
      </c>
      <c r="H77" t="str">
        <f t="shared" si="23"/>
        <v>Tracking</v>
      </c>
      <c r="I77">
        <f t="shared" si="24"/>
        <v>0</v>
      </c>
      <c r="J77">
        <f t="shared" si="25"/>
        <v>47</v>
      </c>
      <c r="K77" s="4">
        <f t="shared" si="15"/>
        <v>3.5000000000000001E-3</v>
      </c>
      <c r="L77">
        <f t="shared" si="16"/>
        <v>0.02</v>
      </c>
      <c r="M77" s="4">
        <f t="shared" si="13"/>
        <v>0.16450000000000001</v>
      </c>
      <c r="N77" s="4">
        <f t="shared" si="14"/>
        <v>0.94000000000000006</v>
      </c>
    </row>
    <row r="78" spans="1:14">
      <c r="A78" t="str">
        <f t="shared" si="17"/>
        <v>alp_ecom</v>
      </c>
      <c r="B78" t="str">
        <f t="shared" si="18"/>
        <v>facebook.com.br</v>
      </c>
      <c r="C78" t="str">
        <f t="shared" si="19"/>
        <v>alp_ecom_conversao_ecom_facebook_social_pagepost_social_havaianas-top-verano_look-2-mobile_cpm_1200x628_111257</v>
      </c>
      <c r="D78" t="str">
        <f t="shared" si="20"/>
        <v>256409466</v>
      </c>
      <c r="E78" t="str">
        <f>IF(Table1[[#This Row],[Impressions]]&gt;Table1[[#This Row],[Clicks]],"Standard",VLOOKUP(CONCATENATE(bd_adtype,"_",bd_creativetype),tabela,2,FALSE))</f>
        <v>Dynamic Click</v>
      </c>
      <c r="F78" t="str">
        <f t="shared" si="21"/>
        <v>alp_ecom_conversao_ecom_facebook_social_pagepost_social_havaianas-top-verano_look-2-mobile_cpm_1200x628_111257</v>
      </c>
      <c r="G78" t="str">
        <f t="shared" si="22"/>
        <v>452248339</v>
      </c>
      <c r="H78" t="str">
        <f t="shared" si="23"/>
        <v>Tracking</v>
      </c>
      <c r="I78">
        <f t="shared" si="24"/>
        <v>0</v>
      </c>
      <c r="J78">
        <f t="shared" si="25"/>
        <v>72</v>
      </c>
      <c r="K78" s="4">
        <f t="shared" si="15"/>
        <v>3.5000000000000001E-3</v>
      </c>
      <c r="L78">
        <f t="shared" si="16"/>
        <v>0.02</v>
      </c>
      <c r="M78" s="4">
        <f t="shared" si="13"/>
        <v>0.252</v>
      </c>
      <c r="N78" s="4">
        <f t="shared" si="14"/>
        <v>1.44</v>
      </c>
    </row>
    <row r="79" spans="1:14">
      <c r="A79" t="str">
        <f t="shared" si="17"/>
        <v>alp_ecom</v>
      </c>
      <c r="B79" t="str">
        <f t="shared" si="18"/>
        <v>facebook.com.br</v>
      </c>
      <c r="C79" t="str">
        <f t="shared" si="19"/>
        <v>alp_ecom_conversao_ecom_facebook_social_pagepost_social_havaianas-top-verano_rmk-30-mobile_cpm_1200x628_111257</v>
      </c>
      <c r="D79" t="str">
        <f t="shared" si="20"/>
        <v>256409460</v>
      </c>
      <c r="E79" t="str">
        <f>IF(Table1[[#This Row],[Impressions]]&gt;Table1[[#This Row],[Clicks]],"Standard",VLOOKUP(CONCATENATE(bd_adtype,"_",bd_creativetype),tabela,2,FALSE))</f>
        <v>Dynamic Click</v>
      </c>
      <c r="F79" t="str">
        <f t="shared" si="21"/>
        <v>alp_ecom_conversao_ecom_facebook_social_pagepost_social_havaianas-top-verano_rmk-30-mobile_cpm_1200x628_111257</v>
      </c>
      <c r="G79" t="str">
        <f t="shared" si="22"/>
        <v>452248333</v>
      </c>
      <c r="H79" t="str">
        <f t="shared" si="23"/>
        <v>Tracking</v>
      </c>
      <c r="I79">
        <f t="shared" si="24"/>
        <v>0</v>
      </c>
      <c r="J79">
        <f t="shared" si="25"/>
        <v>62</v>
      </c>
      <c r="K79" s="4">
        <f t="shared" si="15"/>
        <v>3.5000000000000001E-3</v>
      </c>
      <c r="L79">
        <f t="shared" si="16"/>
        <v>0.02</v>
      </c>
      <c r="M79" s="4">
        <f t="shared" si="13"/>
        <v>0.217</v>
      </c>
      <c r="N79" s="4">
        <f t="shared" si="14"/>
        <v>1.24</v>
      </c>
    </row>
    <row r="80" spans="1:14">
      <c r="A80" t="str">
        <f t="shared" si="17"/>
        <v>alp_ecom</v>
      </c>
      <c r="B80" t="str">
        <f t="shared" si="18"/>
        <v>facebook.com.br</v>
      </c>
      <c r="C80" t="str">
        <f t="shared" si="19"/>
        <v>alp_ecom_conversao_ecom_facebook_social_pagepost_social_havaianas-top-verano_rmk-30_cpm_1200x628_111257</v>
      </c>
      <c r="D80" t="str">
        <f t="shared" si="20"/>
        <v>256409463</v>
      </c>
      <c r="E80" t="str">
        <f>IF(Table1[[#This Row],[Impressions]]&gt;Table1[[#This Row],[Clicks]],"Standard",VLOOKUP(CONCATENATE(bd_adtype,"_",bd_creativetype),tabela,2,FALSE))</f>
        <v>Dynamic Click</v>
      </c>
      <c r="F80" t="str">
        <f t="shared" si="21"/>
        <v>alp_ecom_conversao_ecom_facebook_social_pagepost_social_havaianas-top-verano_rmk-30_cpm_1200x628_111257</v>
      </c>
      <c r="G80" t="str">
        <f t="shared" si="22"/>
        <v>452248336</v>
      </c>
      <c r="H80" t="str">
        <f t="shared" si="23"/>
        <v>Tracking</v>
      </c>
      <c r="I80">
        <f t="shared" si="24"/>
        <v>0</v>
      </c>
      <c r="J80">
        <f t="shared" si="25"/>
        <v>15</v>
      </c>
      <c r="K80" s="4">
        <f t="shared" si="15"/>
        <v>3.5000000000000001E-3</v>
      </c>
      <c r="L80">
        <f t="shared" si="16"/>
        <v>0.02</v>
      </c>
      <c r="M80" s="4">
        <f t="shared" si="13"/>
        <v>5.2499999999999998E-2</v>
      </c>
      <c r="N80" s="4">
        <f t="shared" si="14"/>
        <v>0.3</v>
      </c>
    </row>
    <row r="81" spans="1:14">
      <c r="A81" t="str">
        <f t="shared" si="17"/>
        <v>alp_ecom</v>
      </c>
      <c r="B81" t="str">
        <f t="shared" si="18"/>
        <v>facebook.com.br</v>
      </c>
      <c r="C81" t="str">
        <f t="shared" si="19"/>
        <v>alp_ecom_conversao_ecom_facebook_social_pagepost_social_mario-bros_look-2-desk_cpc_1200x628_111118</v>
      </c>
      <c r="D81" t="str">
        <f t="shared" si="20"/>
        <v>242342697</v>
      </c>
      <c r="E81" t="str">
        <f>IF(Table1[[#This Row],[Impressions]]&gt;Table1[[#This Row],[Clicks]],"Standard",VLOOKUP(CONCATENATE(bd_adtype,"_",bd_creativetype),tabela,2,FALSE))</f>
        <v>Dynamic Click</v>
      </c>
      <c r="F81" t="str">
        <f t="shared" si="21"/>
        <v>alp_ecom_conversao_ecom_facebook_social_pagepost_social_mario-bros_look-2-desk_cpc_1200x628_111118</v>
      </c>
      <c r="G81" t="str">
        <f t="shared" si="22"/>
        <v>438874533</v>
      </c>
      <c r="H81" t="str">
        <f t="shared" si="23"/>
        <v>Tracking</v>
      </c>
      <c r="I81">
        <f t="shared" si="24"/>
        <v>0</v>
      </c>
      <c r="J81">
        <f t="shared" si="25"/>
        <v>14</v>
      </c>
      <c r="K81" s="4">
        <f t="shared" si="15"/>
        <v>3.5000000000000001E-3</v>
      </c>
      <c r="L81">
        <f t="shared" si="16"/>
        <v>0.02</v>
      </c>
      <c r="M81" s="4">
        <f t="shared" si="13"/>
        <v>4.9000000000000002E-2</v>
      </c>
      <c r="N81" s="4">
        <f t="shared" si="14"/>
        <v>0.28000000000000003</v>
      </c>
    </row>
    <row r="82" spans="1:14">
      <c r="A82" t="str">
        <f t="shared" si="17"/>
        <v>alp_ecom</v>
      </c>
      <c r="B82" t="str">
        <f t="shared" si="18"/>
        <v>facebook.com.br</v>
      </c>
      <c r="C82" t="str">
        <f t="shared" si="19"/>
        <v>alp_ecom_conversao_ecom_facebook_social_pagepost_social_rasteiras-you_curte-havaianas_cpc_1200x628_111113</v>
      </c>
      <c r="D82" t="str">
        <f t="shared" si="20"/>
        <v>242206023</v>
      </c>
      <c r="E82" t="str">
        <f>IF(Table1[[#This Row],[Impressions]]&gt;Table1[[#This Row],[Clicks]],"Standard",VLOOKUP(CONCATENATE(bd_adtype,"_",bd_creativetype),tabela,2,FALSE))</f>
        <v>Dynamic Click</v>
      </c>
      <c r="F82" t="str">
        <f t="shared" si="21"/>
        <v>alp_ecom_conversao_ecom_facebook_social_pagepost_social_rasteiras-you_curte-havaianas_cpc_1200x628_111113</v>
      </c>
      <c r="G82" t="str">
        <f t="shared" si="22"/>
        <v>438842639</v>
      </c>
      <c r="H82" t="str">
        <f t="shared" si="23"/>
        <v>Tracking</v>
      </c>
      <c r="I82">
        <f t="shared" si="24"/>
        <v>0</v>
      </c>
      <c r="J82">
        <f t="shared" si="25"/>
        <v>6</v>
      </c>
      <c r="K82" s="4">
        <f t="shared" si="15"/>
        <v>3.5000000000000001E-3</v>
      </c>
      <c r="L82">
        <f t="shared" si="16"/>
        <v>0.02</v>
      </c>
      <c r="M82" s="4">
        <f t="shared" si="13"/>
        <v>2.1000000000000001E-2</v>
      </c>
      <c r="N82" s="4">
        <f t="shared" si="14"/>
        <v>0.12</v>
      </c>
    </row>
    <row r="83" spans="1:14">
      <c r="A83" t="str">
        <f t="shared" si="17"/>
        <v>alp_ecom</v>
      </c>
      <c r="B83" t="str">
        <f t="shared" si="18"/>
        <v>facebook.com.br</v>
      </c>
      <c r="C83" t="str">
        <f t="shared" si="19"/>
        <v>alp_ecom_conversao_ecom_facebook_social_pagepost_social_rei-leao_curte-havaianas_cpm_1200x628_111194</v>
      </c>
      <c r="D83" t="str">
        <f t="shared" si="20"/>
        <v>247089788</v>
      </c>
      <c r="E83" t="str">
        <f>IF(Table1[[#This Row],[Impressions]]&gt;Table1[[#This Row],[Clicks]],"Standard",VLOOKUP(CONCATENATE(bd_adtype,"_",bd_creativetype),tabela,2,FALSE))</f>
        <v>Dynamic Click</v>
      </c>
      <c r="F83" t="str">
        <f t="shared" si="21"/>
        <v>alp_ecom_conversao_ecom_facebook_social_pagepost_social_rei-leao_curte-havaianas_cpm_1200x628_111194</v>
      </c>
      <c r="G83" t="str">
        <f t="shared" si="22"/>
        <v>443680180</v>
      </c>
      <c r="H83" t="str">
        <f t="shared" si="23"/>
        <v>Tracking</v>
      </c>
      <c r="I83">
        <f t="shared" si="24"/>
        <v>0</v>
      </c>
      <c r="J83">
        <f t="shared" si="25"/>
        <v>4</v>
      </c>
      <c r="K83" s="4">
        <f t="shared" si="15"/>
        <v>3.5000000000000001E-3</v>
      </c>
      <c r="L83">
        <f t="shared" si="16"/>
        <v>0.02</v>
      </c>
      <c r="M83" s="4">
        <f t="shared" si="13"/>
        <v>1.4E-2</v>
      </c>
      <c r="N83" s="4">
        <f t="shared" si="14"/>
        <v>0.08</v>
      </c>
    </row>
    <row r="84" spans="1:14">
      <c r="A84" t="str">
        <f t="shared" si="17"/>
        <v>alp_ecom</v>
      </c>
      <c r="B84" t="str">
        <f t="shared" si="18"/>
        <v>facebook.com.br</v>
      </c>
      <c r="C84" t="str">
        <f t="shared" si="19"/>
        <v>alp_ecom_conversao_ecom_facebook_social_pagepost_social_rei-leao_curte-havaianas_cpm_1200x628_111220</v>
      </c>
      <c r="D84" t="str">
        <f t="shared" si="20"/>
        <v>251366988</v>
      </c>
      <c r="E84" t="str">
        <f>IF(Table1[[#This Row],[Impressions]]&gt;Table1[[#This Row],[Clicks]],"Standard",VLOOKUP(CONCATENATE(bd_adtype,"_",bd_creativetype),tabela,2,FALSE))</f>
        <v>Dynamic Click</v>
      </c>
      <c r="F84" t="str">
        <f t="shared" si="21"/>
        <v>alp_ecom_conversao_ecom_facebook_social_pagepost_social_rei-leao_curte-havaianas_cpm_1200x628_111220</v>
      </c>
      <c r="G84" t="str">
        <f t="shared" si="22"/>
        <v>447333132</v>
      </c>
      <c r="H84" t="str">
        <f t="shared" si="23"/>
        <v>Tracking</v>
      </c>
      <c r="I84">
        <f t="shared" si="24"/>
        <v>0</v>
      </c>
      <c r="J84">
        <f t="shared" si="25"/>
        <v>349</v>
      </c>
      <c r="K84" s="4">
        <f t="shared" si="15"/>
        <v>3.5000000000000001E-3</v>
      </c>
      <c r="L84">
        <f t="shared" si="16"/>
        <v>0.02</v>
      </c>
      <c r="M84" s="4">
        <f t="shared" si="13"/>
        <v>1.2215</v>
      </c>
      <c r="N84" s="4">
        <f t="shared" si="14"/>
        <v>6.98</v>
      </c>
    </row>
    <row r="85" spans="1:14">
      <c r="A85" t="str">
        <f t="shared" si="17"/>
        <v>alp_ecom</v>
      </c>
      <c r="B85" t="str">
        <f t="shared" si="18"/>
        <v>facebook.com.br</v>
      </c>
      <c r="C85" t="str">
        <f t="shared" si="19"/>
        <v>alp_ecom_conversao_ecom_facebook_social_pagepost_social_rei-leao_interesse-rei-leao_cpm_1200x628_111220</v>
      </c>
      <c r="D85" t="str">
        <f t="shared" si="20"/>
        <v>251366946</v>
      </c>
      <c r="E85" t="str">
        <f>IF(Table1[[#This Row],[Impressions]]&gt;Table1[[#This Row],[Clicks]],"Standard",VLOOKUP(CONCATENATE(bd_adtype,"_",bd_creativetype),tabela,2,FALSE))</f>
        <v>Dynamic Click</v>
      </c>
      <c r="F85" t="str">
        <f t="shared" si="21"/>
        <v>alp_ecom_conversao_ecom_facebook_social_pagepost_social_rei-leao_interesse-rei-leao_cpm_1200x628_111220</v>
      </c>
      <c r="G85" t="str">
        <f t="shared" si="22"/>
        <v>447333090</v>
      </c>
      <c r="H85" t="str">
        <f t="shared" si="23"/>
        <v>Tracking</v>
      </c>
      <c r="I85">
        <f t="shared" si="24"/>
        <v>0</v>
      </c>
      <c r="J85">
        <f t="shared" si="25"/>
        <v>940</v>
      </c>
      <c r="K85" s="4">
        <f t="shared" si="15"/>
        <v>3.5000000000000001E-3</v>
      </c>
      <c r="L85">
        <f t="shared" si="16"/>
        <v>0.02</v>
      </c>
      <c r="M85" s="4">
        <f t="shared" si="13"/>
        <v>3.29</v>
      </c>
      <c r="N85" s="4">
        <f t="shared" si="14"/>
        <v>18.8</v>
      </c>
    </row>
    <row r="86" spans="1:14">
      <c r="A86" t="str">
        <f t="shared" si="17"/>
        <v>alp_ecom</v>
      </c>
      <c r="B86" t="str">
        <f t="shared" si="18"/>
        <v>facebook.com.br</v>
      </c>
      <c r="C86" t="str">
        <f t="shared" si="19"/>
        <v>alp_ecom_conversao_ecom_facebook_social_pagepost_social_rei-leao_rmk-30-mobile_cpm_1200x628_111220</v>
      </c>
      <c r="D86" t="str">
        <f t="shared" si="20"/>
        <v>251366952</v>
      </c>
      <c r="E86" t="str">
        <f>IF(Table1[[#This Row],[Impressions]]&gt;Table1[[#This Row],[Clicks]],"Standard",VLOOKUP(CONCATENATE(bd_adtype,"_",bd_creativetype),tabela,2,FALSE))</f>
        <v>Dynamic Click</v>
      </c>
      <c r="F86" t="str">
        <f t="shared" si="21"/>
        <v>alp_ecom_conversao_ecom_facebook_social_pagepost_social_rei-leao_rmk-30-mobile_cpm_1200x628_111220</v>
      </c>
      <c r="G86" t="str">
        <f t="shared" si="22"/>
        <v>447333096</v>
      </c>
      <c r="H86" t="str">
        <f t="shared" si="23"/>
        <v>Tracking</v>
      </c>
      <c r="I86">
        <f t="shared" si="24"/>
        <v>0</v>
      </c>
      <c r="J86">
        <f t="shared" si="25"/>
        <v>55</v>
      </c>
      <c r="K86" s="4">
        <f t="shared" si="15"/>
        <v>3.5000000000000001E-3</v>
      </c>
      <c r="L86">
        <f t="shared" si="16"/>
        <v>0.02</v>
      </c>
      <c r="M86" s="4">
        <f t="shared" si="13"/>
        <v>0.1925</v>
      </c>
      <c r="N86" s="4">
        <f t="shared" si="14"/>
        <v>1.1000000000000001</v>
      </c>
    </row>
    <row r="87" spans="1:14">
      <c r="A87" t="str">
        <f t="shared" si="17"/>
        <v>alp_ecom</v>
      </c>
      <c r="B87" t="str">
        <f t="shared" si="18"/>
        <v>facebook.com.br</v>
      </c>
      <c r="C87" t="str">
        <f t="shared" si="19"/>
        <v>alp_ecom_conversao_ecom_facebook_social_pagepost_social_rei-leao_rmk-30_cpm_1200x628_111220</v>
      </c>
      <c r="D87" t="str">
        <f t="shared" si="20"/>
        <v>251366958</v>
      </c>
      <c r="E87" t="str">
        <f>IF(Table1[[#This Row],[Impressions]]&gt;Table1[[#This Row],[Clicks]],"Standard",VLOOKUP(CONCATENATE(bd_adtype,"_",bd_creativetype),tabela,2,FALSE))</f>
        <v>Dynamic Click</v>
      </c>
      <c r="F87" t="str">
        <f t="shared" si="21"/>
        <v>alp_ecom_conversao_ecom_facebook_social_pagepost_social_rei-leao_rmk-30_cpm_1200x628_111220</v>
      </c>
      <c r="G87" t="str">
        <f t="shared" si="22"/>
        <v>447333102</v>
      </c>
      <c r="H87" t="str">
        <f t="shared" si="23"/>
        <v>Tracking</v>
      </c>
      <c r="I87">
        <f t="shared" si="24"/>
        <v>0</v>
      </c>
      <c r="J87">
        <f t="shared" si="25"/>
        <v>4</v>
      </c>
      <c r="K87" s="4">
        <f t="shared" si="15"/>
        <v>3.5000000000000001E-3</v>
      </c>
      <c r="L87">
        <f t="shared" si="16"/>
        <v>0.02</v>
      </c>
      <c r="M87" s="4">
        <f t="shared" si="13"/>
        <v>1.4E-2</v>
      </c>
      <c r="N87" s="4">
        <f t="shared" si="14"/>
        <v>0.08</v>
      </c>
    </row>
    <row r="88" spans="1:14">
      <c r="A88" t="str">
        <f t="shared" si="17"/>
        <v>alp_ecom</v>
      </c>
      <c r="B88" t="str">
        <f t="shared" si="18"/>
        <v>facebook.com.br</v>
      </c>
      <c r="C88" t="str">
        <f t="shared" si="19"/>
        <v>alp_ecom_conversao_ecom_facebook_social_pagepost_social_slim-hits_curte-havaianas_cpm_1200x628_111200</v>
      </c>
      <c r="D88" t="str">
        <f t="shared" si="20"/>
        <v>247726396</v>
      </c>
      <c r="E88" t="str">
        <f>IF(Table1[[#This Row],[Impressions]]&gt;Table1[[#This Row],[Clicks]],"Standard",VLOOKUP(CONCATENATE(bd_adtype,"_",bd_creativetype),tabela,2,FALSE))</f>
        <v>Dynamic Click</v>
      </c>
      <c r="F88" t="str">
        <f t="shared" si="21"/>
        <v>alp_ecom_conversao_ecom_facebook_social_pagepost_social_slim-hits_curte-havaianas_cpm_1200x628_111200</v>
      </c>
      <c r="G88" t="str">
        <f t="shared" si="22"/>
        <v>443998716</v>
      </c>
      <c r="H88" t="str">
        <f t="shared" si="23"/>
        <v>Tracking</v>
      </c>
      <c r="I88">
        <f t="shared" si="24"/>
        <v>0</v>
      </c>
      <c r="J88">
        <f t="shared" si="25"/>
        <v>12</v>
      </c>
      <c r="K88" s="4">
        <f t="shared" si="15"/>
        <v>3.5000000000000001E-3</v>
      </c>
      <c r="L88">
        <f t="shared" si="16"/>
        <v>0.02</v>
      </c>
      <c r="M88" s="4">
        <f t="shared" si="13"/>
        <v>4.2000000000000003E-2</v>
      </c>
      <c r="N88" s="4">
        <f t="shared" si="14"/>
        <v>0.24</v>
      </c>
    </row>
    <row r="89" spans="1:14">
      <c r="A89" t="str">
        <f t="shared" si="17"/>
        <v>alp_ecom</v>
      </c>
      <c r="B89" t="str">
        <f t="shared" si="18"/>
        <v>facebook.com.br</v>
      </c>
      <c r="C89" t="str">
        <f t="shared" si="19"/>
        <v>alp_ecom_conversao_ecom_facebook_social_pagepost_social_slim-hits_look-2-mobile_cpm_1200x628_111200</v>
      </c>
      <c r="D89" t="str">
        <f t="shared" si="20"/>
        <v>247726384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1"/>
        <v>alp_ecom_conversao_ecom_facebook_social_pagepost_social_slim-hits_look-2-mobile_cpm_1200x628_111200</v>
      </c>
      <c r="G89" t="str">
        <f t="shared" si="22"/>
        <v>443998704</v>
      </c>
      <c r="H89" t="str">
        <f t="shared" si="23"/>
        <v>Tracking</v>
      </c>
      <c r="I89">
        <f t="shared" si="24"/>
        <v>0</v>
      </c>
      <c r="J89">
        <f t="shared" si="25"/>
        <v>1</v>
      </c>
      <c r="K89" s="4">
        <f t="shared" si="15"/>
        <v>3.5000000000000001E-3</v>
      </c>
      <c r="L89">
        <f t="shared" si="16"/>
        <v>0.02</v>
      </c>
      <c r="M89" s="4">
        <f t="shared" si="13"/>
        <v>3.5000000000000001E-3</v>
      </c>
      <c r="N89" s="4">
        <f t="shared" si="14"/>
        <v>0.02</v>
      </c>
    </row>
    <row r="90" spans="1:14">
      <c r="A90" t="str">
        <f t="shared" si="17"/>
        <v>alp_ecom</v>
      </c>
      <c r="B90" t="str">
        <f t="shared" si="18"/>
        <v>facebook.com.br</v>
      </c>
      <c r="C90" t="str">
        <f t="shared" si="19"/>
        <v>alp_ecom_conversao_ecom_facebook_social_pagepost_social_stranger-things_curte-havaianas_cpm_1080x1080_111214</v>
      </c>
      <c r="D90" t="str">
        <f t="shared" si="20"/>
        <v>250561323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1"/>
        <v>alp_ecom_conversao_ecom_facebook_social_pagepost_social_stranger-things_curte-havaianas_cpm_1080x1080_111214</v>
      </c>
      <c r="G90" t="str">
        <f t="shared" si="22"/>
        <v>446675965</v>
      </c>
      <c r="H90" t="str">
        <f t="shared" si="23"/>
        <v>Tracking</v>
      </c>
      <c r="I90">
        <f t="shared" si="24"/>
        <v>0</v>
      </c>
      <c r="J90">
        <f t="shared" si="25"/>
        <v>1300</v>
      </c>
      <c r="K90" s="4">
        <f t="shared" si="15"/>
        <v>3.5000000000000001E-3</v>
      </c>
      <c r="L90">
        <f t="shared" si="16"/>
        <v>0.02</v>
      </c>
      <c r="M90" s="4">
        <f t="shared" si="13"/>
        <v>4.55</v>
      </c>
      <c r="N90" s="4">
        <f t="shared" si="14"/>
        <v>26</v>
      </c>
    </row>
    <row r="91" spans="1:14">
      <c r="A91" t="str">
        <f t="shared" si="17"/>
        <v>alp_ecom</v>
      </c>
      <c r="B91" t="str">
        <f t="shared" si="18"/>
        <v>facebook.com.br</v>
      </c>
      <c r="C91" t="str">
        <f t="shared" si="19"/>
        <v>alp_ecom_conversao_ecom_facebook_social_pagepost_social_stranger-things_interesses-stranger-things_cpm_1080x1080_111214</v>
      </c>
      <c r="D91" t="str">
        <f t="shared" si="20"/>
        <v>250155809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1"/>
        <v>alp_ecom_conversao_ecom_facebook_social_pagepost_social_stranger-things_interesses-stranger-things_cpm_1080x1080_111214</v>
      </c>
      <c r="G91" t="str">
        <f t="shared" si="22"/>
        <v>446691607</v>
      </c>
      <c r="H91" t="str">
        <f t="shared" si="23"/>
        <v>Tracking</v>
      </c>
      <c r="I91">
        <f t="shared" si="24"/>
        <v>0</v>
      </c>
      <c r="J91">
        <f t="shared" si="25"/>
        <v>50</v>
      </c>
      <c r="K91" s="4">
        <f t="shared" si="15"/>
        <v>3.5000000000000001E-3</v>
      </c>
      <c r="L91">
        <f t="shared" si="16"/>
        <v>0.02</v>
      </c>
      <c r="M91" s="4">
        <f t="shared" si="13"/>
        <v>0.17500000000000002</v>
      </c>
      <c r="N91" s="4">
        <f t="shared" si="14"/>
        <v>1</v>
      </c>
    </row>
    <row r="92" spans="1:14">
      <c r="A92" t="str">
        <f t="shared" si="17"/>
        <v>alp_ecom</v>
      </c>
      <c r="B92" t="str">
        <f t="shared" si="18"/>
        <v>facebook.com.br</v>
      </c>
      <c r="C92" t="str">
        <f t="shared" si="19"/>
        <v>alp_ecom_conversao_ecom_facebook_social_pagepost_social_stranger-things_look-1-mobile_cpm_1080x1080_111214</v>
      </c>
      <c r="D92" t="str">
        <f t="shared" si="20"/>
        <v>250561311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1"/>
        <v>alp_ecom_conversao_ecom_facebook_social_pagepost_social_stranger-things_look-1-mobile_cpm_1080x1080_111214</v>
      </c>
      <c r="G92" t="str">
        <f t="shared" si="22"/>
        <v>446675977</v>
      </c>
      <c r="H92" t="str">
        <f t="shared" si="23"/>
        <v>Tracking</v>
      </c>
      <c r="I92">
        <f t="shared" si="24"/>
        <v>0</v>
      </c>
      <c r="J92">
        <f t="shared" si="25"/>
        <v>56</v>
      </c>
      <c r="K92" s="4">
        <f t="shared" si="15"/>
        <v>3.5000000000000001E-3</v>
      </c>
      <c r="L92">
        <f t="shared" si="16"/>
        <v>0.02</v>
      </c>
      <c r="M92" s="4">
        <f t="shared" si="13"/>
        <v>0.19600000000000001</v>
      </c>
      <c r="N92" s="4">
        <f t="shared" si="14"/>
        <v>1.1200000000000001</v>
      </c>
    </row>
    <row r="93" spans="1:14">
      <c r="A93" t="str">
        <f t="shared" si="17"/>
        <v>alp_ecom</v>
      </c>
      <c r="B93" t="str">
        <f t="shared" si="18"/>
        <v>facebook.com.br</v>
      </c>
      <c r="C93" t="str">
        <f t="shared" si="19"/>
        <v>alp_ecom_conversao_ecom_facebook_social_pagepost_social_stranger-things_rmk-30_cpm_1080x1080_111214</v>
      </c>
      <c r="D93" t="str">
        <f t="shared" si="20"/>
        <v>250561293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1"/>
        <v>alp_ecom_conversao_ecom_facebook_social_pagepost_social_stranger-things_rmk-30_cpm_1080x1080_111214</v>
      </c>
      <c r="G93" t="str">
        <f t="shared" si="22"/>
        <v>446675995</v>
      </c>
      <c r="H93" t="str">
        <f t="shared" si="23"/>
        <v>Tracking</v>
      </c>
      <c r="I93">
        <f t="shared" si="24"/>
        <v>0</v>
      </c>
      <c r="J93">
        <f t="shared" si="25"/>
        <v>6</v>
      </c>
      <c r="K93" s="4">
        <f t="shared" si="15"/>
        <v>3.5000000000000001E-3</v>
      </c>
      <c r="L93">
        <f t="shared" si="16"/>
        <v>0.02</v>
      </c>
      <c r="M93" s="4">
        <f t="shared" si="13"/>
        <v>2.1000000000000001E-2</v>
      </c>
      <c r="N93" s="4">
        <f t="shared" si="14"/>
        <v>0.12</v>
      </c>
    </row>
    <row r="94" spans="1:14">
      <c r="A94" t="str">
        <f t="shared" si="17"/>
        <v>alp_ecom</v>
      </c>
      <c r="B94" t="str">
        <f t="shared" si="18"/>
        <v>facebook.com.br</v>
      </c>
      <c r="C94" t="str">
        <f t="shared" si="19"/>
        <v>alp_ecom_conversao_ecom_facebook_social_pagepost_social_top-disney_curte-havaianas_cpm_1200x628_111161</v>
      </c>
      <c r="D94" t="str">
        <f t="shared" si="20"/>
        <v>245715951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1"/>
        <v>alp_ecom_conversao_ecom_facebook_social_pagepost_social_top-disney_curte-havaianas_cpm_1200x628_111161</v>
      </c>
      <c r="G94" t="str">
        <f t="shared" si="22"/>
        <v>442194964</v>
      </c>
      <c r="H94" t="str">
        <f t="shared" si="23"/>
        <v>Tracking</v>
      </c>
      <c r="I94">
        <f t="shared" si="24"/>
        <v>0</v>
      </c>
      <c r="J94">
        <f t="shared" si="25"/>
        <v>2</v>
      </c>
      <c r="K94" s="4">
        <f t="shared" si="15"/>
        <v>3.5000000000000001E-3</v>
      </c>
      <c r="L94">
        <f t="shared" si="16"/>
        <v>0.02</v>
      </c>
      <c r="M94" s="4">
        <f t="shared" si="13"/>
        <v>7.0000000000000001E-3</v>
      </c>
      <c r="N94" s="4">
        <f t="shared" si="14"/>
        <v>0.04</v>
      </c>
    </row>
    <row r="95" spans="1:14">
      <c r="A95" t="str">
        <f t="shared" si="17"/>
        <v>alp_ecom</v>
      </c>
      <c r="B95" t="str">
        <f t="shared" si="18"/>
        <v>facebook.com.br</v>
      </c>
      <c r="C95" t="str">
        <f t="shared" si="19"/>
        <v>alp_ecom_conversao_ecom_facebook_social_stories_social_havaianas-hype_interesse-masculino-praia_cpm_de-11s-ate-29s_111245</v>
      </c>
      <c r="D95" t="str">
        <f t="shared" si="20"/>
        <v>253920074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1"/>
        <v>alp_ecom_conversao_ecom_facebook_social_stories_social_havaianas-hype_interesse-masculino-praia_cpm_de-11s-ate-29s_111245</v>
      </c>
      <c r="G95" t="str">
        <f t="shared" si="22"/>
        <v>450298460</v>
      </c>
      <c r="H95" t="str">
        <f t="shared" si="23"/>
        <v>Tracking</v>
      </c>
      <c r="I95">
        <f t="shared" si="24"/>
        <v>0</v>
      </c>
      <c r="J95">
        <f t="shared" si="25"/>
        <v>100</v>
      </c>
      <c r="K95" s="4">
        <f t="shared" si="15"/>
        <v>3.5000000000000001E-3</v>
      </c>
      <c r="L95">
        <f t="shared" si="16"/>
        <v>0.02</v>
      </c>
      <c r="M95" s="4">
        <f t="shared" si="13"/>
        <v>0.35000000000000003</v>
      </c>
      <c r="N95" s="4">
        <f t="shared" si="14"/>
        <v>2</v>
      </c>
    </row>
    <row r="96" spans="1:14">
      <c r="A96" t="str">
        <f t="shared" si="17"/>
        <v>alp_ecom</v>
      </c>
      <c r="B96" t="str">
        <f t="shared" si="18"/>
        <v>facebook.com.br</v>
      </c>
      <c r="C96" t="str">
        <f t="shared" si="19"/>
        <v>alp_ecom_conversao_ecom_facebook_social_stories_social_havaianas-slide_curte-havaianas_cpm_de-5s-ate-10s_111256</v>
      </c>
      <c r="D96" t="str">
        <f t="shared" si="20"/>
        <v>256054521</v>
      </c>
      <c r="E96" t="str">
        <f>IF(Table1[[#This Row],[Impressions]]&gt;Table1[[#This Row],[Clicks]],"Standard",VLOOKUP(CONCATENATE(bd_adtype,"_",bd_creativetype),tabela,2,FALSE))</f>
        <v>Dynamic Click</v>
      </c>
      <c r="F96" t="str">
        <f t="shared" si="21"/>
        <v>alp_ecom_conversao_ecom_facebook_social_stories_social_havaianas-slide_curte-havaianas_cpm_de-5s-ate-10s_111256</v>
      </c>
      <c r="G96" t="str">
        <f t="shared" si="22"/>
        <v>451911505</v>
      </c>
      <c r="H96" t="str">
        <f t="shared" si="23"/>
        <v>Tracking</v>
      </c>
      <c r="I96">
        <f t="shared" si="24"/>
        <v>0</v>
      </c>
      <c r="J96">
        <f t="shared" si="25"/>
        <v>30653</v>
      </c>
      <c r="K96" s="4">
        <f t="shared" si="15"/>
        <v>3.5000000000000001E-3</v>
      </c>
      <c r="L96">
        <f t="shared" si="16"/>
        <v>0.02</v>
      </c>
      <c r="M96" s="4">
        <f t="shared" si="13"/>
        <v>107.2855</v>
      </c>
      <c r="N96" s="4">
        <f t="shared" si="14"/>
        <v>613.06000000000006</v>
      </c>
    </row>
    <row r="97" spans="1:14">
      <c r="A97" t="str">
        <f t="shared" si="17"/>
        <v>alp_ecom</v>
      </c>
      <c r="B97" t="str">
        <f t="shared" si="18"/>
        <v>facebook.com.br</v>
      </c>
      <c r="C97" t="str">
        <f t="shared" si="19"/>
        <v>alp_ecom_conversao_ecom_facebook_social_stories_social_havaianas-top-verano_curte-havaianas_cpm_de-5s-ate-10s_111258</v>
      </c>
      <c r="D97" t="str">
        <f t="shared" si="20"/>
        <v>256616748</v>
      </c>
      <c r="E97" t="str">
        <f>IF(Table1[[#This Row],[Impressions]]&gt;Table1[[#This Row],[Clicks]],"Standard",VLOOKUP(CONCATENATE(bd_adtype,"_",bd_creativetype),tabela,2,FALSE))</f>
        <v>Dynamic Click</v>
      </c>
      <c r="F97" t="str">
        <f t="shared" si="21"/>
        <v>alp_ecom_conversao_ecom_facebook_social_stories_social_havaianas-top-verano_curte-havaianas_cpm_de-5s-ate-10s_111258</v>
      </c>
      <c r="G97" t="str">
        <f t="shared" si="22"/>
        <v>452322090</v>
      </c>
      <c r="H97" t="str">
        <f t="shared" si="23"/>
        <v>Tracking</v>
      </c>
      <c r="I97">
        <f t="shared" si="24"/>
        <v>0</v>
      </c>
      <c r="J97">
        <f t="shared" si="25"/>
        <v>3925</v>
      </c>
      <c r="K97" s="4">
        <f t="shared" si="15"/>
        <v>3.5000000000000001E-3</v>
      </c>
      <c r="L97">
        <f t="shared" si="16"/>
        <v>0.02</v>
      </c>
      <c r="M97" s="4">
        <f t="shared" si="13"/>
        <v>13.737500000000001</v>
      </c>
      <c r="N97" s="4">
        <f t="shared" si="14"/>
        <v>78.5</v>
      </c>
    </row>
    <row r="98" spans="1:14">
      <c r="A98" t="str">
        <f t="shared" si="17"/>
        <v>alp_ecom</v>
      </c>
      <c r="B98" t="str">
        <f t="shared" si="18"/>
        <v>facebook.com.br</v>
      </c>
      <c r="C98" t="str">
        <f t="shared" si="19"/>
        <v>alp_ecom_conversao_ecom_facebook_social_stories_social_havaianas-top-verano_interesse-praia_cpm_de-5s-ate-10s_111258</v>
      </c>
      <c r="D98" t="str">
        <f t="shared" si="20"/>
        <v>256472698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1"/>
        <v>alp_ecom_conversao_ecom_facebook_social_stories_social_havaianas-top-verano_interesse-praia_cpm_de-5s-ate-10s_111258</v>
      </c>
      <c r="G98" t="str">
        <f t="shared" si="22"/>
        <v>452364284</v>
      </c>
      <c r="H98" t="str">
        <f t="shared" si="23"/>
        <v>Tracking</v>
      </c>
      <c r="I98">
        <f t="shared" si="24"/>
        <v>0</v>
      </c>
      <c r="J98">
        <f t="shared" si="25"/>
        <v>2269</v>
      </c>
      <c r="K98" s="4">
        <f t="shared" si="15"/>
        <v>3.5000000000000001E-3</v>
      </c>
      <c r="L98">
        <f t="shared" si="16"/>
        <v>0.02</v>
      </c>
      <c r="M98" s="4">
        <f t="shared" si="13"/>
        <v>7.9415000000000004</v>
      </c>
      <c r="N98" s="4">
        <f t="shared" si="14"/>
        <v>45.38</v>
      </c>
    </row>
    <row r="99" spans="1:14">
      <c r="A99" t="str">
        <f t="shared" si="17"/>
        <v>alp_ecom</v>
      </c>
      <c r="B99" t="str">
        <f t="shared" si="18"/>
        <v>facebook.com.br</v>
      </c>
      <c r="C99" t="str">
        <f t="shared" si="19"/>
        <v>alp_ecom_conversao_ecom_facebook_social_video-social_social_stranger-things_curte-havaianas_cpm_de-5s-ate-10s_111215</v>
      </c>
      <c r="D99" t="str">
        <f t="shared" si="20"/>
        <v>250155803</v>
      </c>
      <c r="E99" t="str">
        <f>IF(Table1[[#This Row],[Impressions]]&gt;Table1[[#This Row],[Clicks]],"Standard",VLOOKUP(CONCATENATE(bd_adtype,"_",bd_creativetype),tabela,2,FALSE))</f>
        <v>Dynamic Click</v>
      </c>
      <c r="F99" t="str">
        <f t="shared" si="21"/>
        <v>alp_ecom_conversao_ecom_facebook_social_video-social_social_stranger-things_curte-havaianas_cpm_de-5s-ate-10s_111215</v>
      </c>
      <c r="G99" t="str">
        <f t="shared" si="22"/>
        <v>446691613</v>
      </c>
      <c r="H99" t="str">
        <f t="shared" si="23"/>
        <v>Tracking</v>
      </c>
      <c r="I99">
        <f t="shared" si="24"/>
        <v>0</v>
      </c>
      <c r="J99">
        <f t="shared" si="25"/>
        <v>112</v>
      </c>
      <c r="K99" s="4">
        <f t="shared" si="15"/>
        <v>3.5000000000000001E-3</v>
      </c>
      <c r="L99">
        <f t="shared" si="16"/>
        <v>0.02</v>
      </c>
      <c r="M99" s="4">
        <f t="shared" ref="M99:M162" si="26">IF(E99="Dynamic Click",J99*K99,K99*$I99/1000)</f>
        <v>0.39200000000000002</v>
      </c>
      <c r="N99" s="4">
        <f t="shared" ref="N99:N162" si="27">IF(E99="Dynamic Click",J99*L99,L99*$I99/1000)</f>
        <v>2.2400000000000002</v>
      </c>
    </row>
    <row r="100" spans="1:14">
      <c r="A100" t="str">
        <f t="shared" si="17"/>
        <v>alp_ecom</v>
      </c>
      <c r="B100" t="str">
        <f t="shared" si="18"/>
        <v>facebook.com.br</v>
      </c>
      <c r="C100" t="str">
        <f t="shared" si="19"/>
        <v>alp_ecom_conversao_ecom_facebook_social_video-social_social_stranger-things_curte-havaianas_cpm_de-5s-ate-10s_111216</v>
      </c>
      <c r="D100" t="str">
        <f t="shared" si="20"/>
        <v>250561320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1"/>
        <v>alp_ecom_conversao_ecom_facebook_social_video-social_social_stranger-things_curte-havaianas_cpm_de-5s-ate-10s_111216</v>
      </c>
      <c r="G100" t="str">
        <f t="shared" si="22"/>
        <v>446675968</v>
      </c>
      <c r="H100" t="str">
        <f t="shared" si="23"/>
        <v>Tracking</v>
      </c>
      <c r="I100">
        <f t="shared" si="24"/>
        <v>0</v>
      </c>
      <c r="J100">
        <f t="shared" si="25"/>
        <v>221</v>
      </c>
      <c r="K100" s="4">
        <f t="shared" si="15"/>
        <v>3.5000000000000001E-3</v>
      </c>
      <c r="L100">
        <f t="shared" si="16"/>
        <v>0.02</v>
      </c>
      <c r="M100" s="4">
        <f t="shared" si="26"/>
        <v>0.77349999999999997</v>
      </c>
      <c r="N100" s="4">
        <f t="shared" si="27"/>
        <v>4.42</v>
      </c>
    </row>
    <row r="101" spans="1:14">
      <c r="A101" t="str">
        <f t="shared" si="17"/>
        <v>alp_ecom</v>
      </c>
      <c r="B101" t="str">
        <f t="shared" si="18"/>
        <v>facebook.com.br</v>
      </c>
      <c r="C101" t="str">
        <f t="shared" si="19"/>
        <v>alp_ecom_conversao_ecom_facebook_social_video-social_social_stranger-things_interesses-stranger-things_cpm_de-5s-ate-10s_111215</v>
      </c>
      <c r="D101" t="str">
        <f t="shared" si="20"/>
        <v>250155782</v>
      </c>
      <c r="E101" t="str">
        <f>IF(Table1[[#This Row],[Impressions]]&gt;Table1[[#This Row],[Clicks]],"Standard",VLOOKUP(CONCATENATE(bd_adtype,"_",bd_creativetype),tabela,2,FALSE))</f>
        <v>Dynamic Click</v>
      </c>
      <c r="F101" t="str">
        <f t="shared" si="21"/>
        <v>alp_ecom_conversao_ecom_facebook_social_video-social_social_stranger-things_interesses-stranger-things_cpm_de-5s-ate-10s_111215</v>
      </c>
      <c r="G101" t="str">
        <f t="shared" si="22"/>
        <v>446691634</v>
      </c>
      <c r="H101" t="str">
        <f t="shared" si="23"/>
        <v>Tracking</v>
      </c>
      <c r="I101">
        <f t="shared" si="24"/>
        <v>0</v>
      </c>
      <c r="J101">
        <f t="shared" si="25"/>
        <v>145</v>
      </c>
      <c r="K101" s="4">
        <f t="shared" si="15"/>
        <v>3.5000000000000001E-3</v>
      </c>
      <c r="L101">
        <f t="shared" si="16"/>
        <v>0.02</v>
      </c>
      <c r="M101" s="4">
        <f t="shared" si="26"/>
        <v>0.50750000000000006</v>
      </c>
      <c r="N101" s="4">
        <f t="shared" si="27"/>
        <v>2.9</v>
      </c>
    </row>
    <row r="102" spans="1:14">
      <c r="A102" t="str">
        <f t="shared" si="17"/>
        <v>alp_ecom</v>
      </c>
      <c r="B102" t="str">
        <f t="shared" si="18"/>
        <v>facebook.com.br</v>
      </c>
      <c r="C102" t="str">
        <f t="shared" si="19"/>
        <v>alp_ecom_conversao_ecom_facebook_social_video-social_social_stranger-things_interesses-stranger-things_cpm_de-5s-ate-10s_111216</v>
      </c>
      <c r="D102" t="str">
        <f t="shared" si="20"/>
        <v>250155806</v>
      </c>
      <c r="E102" t="str">
        <f>IF(Table1[[#This Row],[Impressions]]&gt;Table1[[#This Row],[Clicks]],"Standard",VLOOKUP(CONCATENATE(bd_adtype,"_",bd_creativetype),tabela,2,FALSE))</f>
        <v>Dynamic Click</v>
      </c>
      <c r="F102" t="str">
        <f t="shared" si="21"/>
        <v>alp_ecom_conversao_ecom_facebook_social_video-social_social_stranger-things_interesses-stranger-things_cpm_de-5s-ate-10s_111216</v>
      </c>
      <c r="G102" t="str">
        <f t="shared" si="22"/>
        <v>446691610</v>
      </c>
      <c r="H102" t="str">
        <f t="shared" si="23"/>
        <v>Tracking</v>
      </c>
      <c r="I102">
        <f t="shared" si="24"/>
        <v>0</v>
      </c>
      <c r="J102">
        <f t="shared" si="25"/>
        <v>9</v>
      </c>
      <c r="K102" s="4">
        <f t="shared" si="15"/>
        <v>3.5000000000000001E-3</v>
      </c>
      <c r="L102">
        <f t="shared" si="16"/>
        <v>0.02</v>
      </c>
      <c r="M102" s="4">
        <f t="shared" si="26"/>
        <v>3.15E-2</v>
      </c>
      <c r="N102" s="4">
        <f t="shared" si="27"/>
        <v>0.18</v>
      </c>
    </row>
    <row r="103" spans="1:14">
      <c r="A103" t="str">
        <f t="shared" si="17"/>
        <v>alp_ecom</v>
      </c>
      <c r="B103" t="str">
        <f t="shared" si="18"/>
        <v>facebook.com.br</v>
      </c>
      <c r="C103" t="str">
        <f t="shared" si="19"/>
        <v>alp_ecom_conversao_ecom_facebook_social_video-social_social_stranger-things_look-1-mobile_cpm_de-5s-ate-10s_111216</v>
      </c>
      <c r="D103" t="str">
        <f t="shared" si="20"/>
        <v>250561308</v>
      </c>
      <c r="E103" t="str">
        <f>IF(Table1[[#This Row],[Impressions]]&gt;Table1[[#This Row],[Clicks]],"Standard",VLOOKUP(CONCATENATE(bd_adtype,"_",bd_creativetype),tabela,2,FALSE))</f>
        <v>Dynamic Click</v>
      </c>
      <c r="F103" t="str">
        <f t="shared" si="21"/>
        <v>alp_ecom_conversao_ecom_facebook_social_video-social_social_stranger-things_look-1-mobile_cpm_de-5s-ate-10s_111216</v>
      </c>
      <c r="G103" t="str">
        <f t="shared" si="22"/>
        <v>446675980</v>
      </c>
      <c r="H103" t="str">
        <f t="shared" si="23"/>
        <v>Tracking</v>
      </c>
      <c r="I103">
        <f t="shared" si="24"/>
        <v>0</v>
      </c>
      <c r="J103">
        <f t="shared" si="25"/>
        <v>13</v>
      </c>
      <c r="K103" s="4">
        <f t="shared" si="15"/>
        <v>3.5000000000000001E-3</v>
      </c>
      <c r="L103">
        <f t="shared" si="16"/>
        <v>0.02</v>
      </c>
      <c r="M103" s="4">
        <f t="shared" si="26"/>
        <v>4.5499999999999999E-2</v>
      </c>
      <c r="N103" s="4">
        <f t="shared" si="27"/>
        <v>0.26</v>
      </c>
    </row>
    <row r="104" spans="1:14">
      <c r="A104" t="str">
        <f t="shared" si="17"/>
        <v>alp_ecom</v>
      </c>
      <c r="B104" t="str">
        <f t="shared" si="18"/>
        <v>facebook.com.br</v>
      </c>
      <c r="C104" t="str">
        <f t="shared" si="19"/>
        <v>alp_ecom_conversao_ecom_facebook_social_video-social_social_stranger-things_rmk-30-mobile_cpm_de-5s-ate-10s_111215</v>
      </c>
      <c r="D104" t="str">
        <f t="shared" si="20"/>
        <v>250155785</v>
      </c>
      <c r="E104" t="str">
        <f>IF(Table1[[#This Row],[Impressions]]&gt;Table1[[#This Row],[Clicks]],"Standard",VLOOKUP(CONCATENATE(bd_adtype,"_",bd_creativetype),tabela,2,FALSE))</f>
        <v>Dynamic Click</v>
      </c>
      <c r="F104" t="str">
        <f t="shared" si="21"/>
        <v>alp_ecom_conversao_ecom_facebook_social_video-social_social_stranger-things_rmk-30-mobile_cpm_de-5s-ate-10s_111215</v>
      </c>
      <c r="G104" t="str">
        <f t="shared" si="22"/>
        <v>446691631</v>
      </c>
      <c r="H104" t="str">
        <f t="shared" si="23"/>
        <v>Tracking</v>
      </c>
      <c r="I104">
        <f t="shared" si="24"/>
        <v>0</v>
      </c>
      <c r="J104">
        <f t="shared" si="25"/>
        <v>35</v>
      </c>
      <c r="K104" s="4">
        <f t="shared" si="15"/>
        <v>3.5000000000000001E-3</v>
      </c>
      <c r="L104">
        <f t="shared" si="16"/>
        <v>0.02</v>
      </c>
      <c r="M104" s="4">
        <f t="shared" si="26"/>
        <v>0.1225</v>
      </c>
      <c r="N104" s="4">
        <f t="shared" si="27"/>
        <v>0.70000000000000007</v>
      </c>
    </row>
    <row r="105" spans="1:14">
      <c r="A105" t="str">
        <f t="shared" si="17"/>
        <v>alp_marca</v>
      </c>
      <c r="B105" t="str">
        <f t="shared" si="18"/>
        <v>BR UOL.</v>
      </c>
      <c r="C105" t="str">
        <f t="shared" si="19"/>
        <v>alp_marca_alcance_masculino_uol_display_billboard_ros_havaianas-surf_sports_cpm_970x250_111394</v>
      </c>
      <c r="D105" t="str">
        <f t="shared" si="20"/>
        <v>255584355</v>
      </c>
      <c r="E105" t="str">
        <f>IF(Table1[[#This Row],[Impressions]]&gt;Table1[[#This Row],[Clicks]],"Standard",VLOOKUP(CONCATENATE(bd_adtype,"_",bd_creativetype),tabela,2,FALSE))</f>
        <v>Standard</v>
      </c>
      <c r="F105" t="str">
        <f t="shared" si="21"/>
        <v>alp_marca_alcance_masculino_uol_display_billboard_ros_havaianas-surf_sports_cpm_970x250_111394</v>
      </c>
      <c r="G105" t="str">
        <f t="shared" si="22"/>
        <v>451374660</v>
      </c>
      <c r="H105" t="str">
        <f t="shared" si="23"/>
        <v>Display</v>
      </c>
      <c r="I105">
        <f t="shared" si="24"/>
        <v>15889</v>
      </c>
      <c r="J105">
        <f t="shared" si="25"/>
        <v>10</v>
      </c>
      <c r="K105" s="4">
        <f t="shared" si="15"/>
        <v>3.8199999999999998E-2</v>
      </c>
      <c r="L105">
        <f t="shared" si="16"/>
        <v>0.09</v>
      </c>
      <c r="M105" s="4">
        <f t="shared" si="26"/>
        <v>0.60695979999999994</v>
      </c>
      <c r="N105" s="4">
        <f t="shared" si="27"/>
        <v>1.43001</v>
      </c>
    </row>
    <row r="106" spans="1:14">
      <c r="A106" t="str">
        <f t="shared" si="17"/>
        <v>alp_marca</v>
      </c>
      <c r="B106" t="str">
        <f t="shared" si="18"/>
        <v>BR UOL.</v>
      </c>
      <c r="C106" t="str">
        <f t="shared" si="19"/>
        <v>alp_marca_alcance_masculino_uol_display_billboard_ros_havaianas-urban_moda_cpm_970x250_111393</v>
      </c>
      <c r="D106" t="str">
        <f t="shared" si="20"/>
        <v>255584385</v>
      </c>
      <c r="E106" t="str">
        <f>IF(Table1[[#This Row],[Impressions]]&gt;Table1[[#This Row],[Clicks]],"Standard",VLOOKUP(CONCATENATE(bd_adtype,"_",bd_creativetype),tabela,2,FALSE))</f>
        <v>Standard</v>
      </c>
      <c r="F106" t="str">
        <f t="shared" si="21"/>
        <v>alp_marca_alcance_masculino_uol_display_billboard_ros_havaianas-urban_moda_cpm_970x250_111393</v>
      </c>
      <c r="G106" t="str">
        <f t="shared" si="22"/>
        <v>451374690</v>
      </c>
      <c r="H106" t="str">
        <f t="shared" si="23"/>
        <v>Display</v>
      </c>
      <c r="I106">
        <f t="shared" si="24"/>
        <v>13598</v>
      </c>
      <c r="J106">
        <f t="shared" si="25"/>
        <v>24</v>
      </c>
      <c r="K106" s="4">
        <f t="shared" si="15"/>
        <v>3.8199999999999998E-2</v>
      </c>
      <c r="L106">
        <f t="shared" si="16"/>
        <v>0.09</v>
      </c>
      <c r="M106" s="4">
        <f t="shared" si="26"/>
        <v>0.51944359999999989</v>
      </c>
      <c r="N106" s="4">
        <f t="shared" si="27"/>
        <v>1.2238199999999999</v>
      </c>
    </row>
    <row r="107" spans="1:14">
      <c r="A107" t="str">
        <f t="shared" si="17"/>
        <v>alp_marca</v>
      </c>
      <c r="B107" t="str">
        <f t="shared" si="18"/>
        <v>BR UOL.</v>
      </c>
      <c r="C107" t="str">
        <f t="shared" si="19"/>
        <v>alp_marca_alcance_masculino_uol_display_billboard_ros_la-casa-de-papel_licenciados_cpm_970x250_111392</v>
      </c>
      <c r="D107" t="str">
        <f t="shared" si="20"/>
        <v>255584370</v>
      </c>
      <c r="E107" t="str">
        <f>IF(Table1[[#This Row],[Impressions]]&gt;Table1[[#This Row],[Clicks]],"Standard",VLOOKUP(CONCATENATE(bd_adtype,"_",bd_creativetype),tabela,2,FALSE))</f>
        <v>Standard</v>
      </c>
      <c r="F107" t="str">
        <f t="shared" si="21"/>
        <v>alp_marca_alcance_masculino_uol_display_billboard_ros_la-casa-de-papel_licenciados_cpm_970x250_111392</v>
      </c>
      <c r="G107" t="str">
        <f t="shared" si="22"/>
        <v>451374675</v>
      </c>
      <c r="H107" t="str">
        <f t="shared" si="23"/>
        <v>Display</v>
      </c>
      <c r="I107">
        <f t="shared" si="24"/>
        <v>15632</v>
      </c>
      <c r="J107">
        <f t="shared" si="25"/>
        <v>14</v>
      </c>
      <c r="K107" s="4">
        <f t="shared" si="15"/>
        <v>3.8199999999999998E-2</v>
      </c>
      <c r="L107">
        <f t="shared" si="16"/>
        <v>0.09</v>
      </c>
      <c r="M107" s="4">
        <f t="shared" si="26"/>
        <v>0.59714239999999996</v>
      </c>
      <c r="N107" s="4">
        <f t="shared" si="27"/>
        <v>1.4068799999999999</v>
      </c>
    </row>
    <row r="108" spans="1:14">
      <c r="A108" t="str">
        <f t="shared" si="17"/>
        <v>alp_marca</v>
      </c>
      <c r="B108" t="str">
        <f t="shared" si="18"/>
        <v>BR UOL.</v>
      </c>
      <c r="C108" t="str">
        <f t="shared" si="19"/>
        <v>alp_marca_alcance_masculino_uol_display_half-page_ros_havaianas-surf_sports_cpm_300x600_111394</v>
      </c>
      <c r="D108" t="str">
        <f t="shared" si="20"/>
        <v>255584349</v>
      </c>
      <c r="E108" t="str">
        <f>IF(Table1[[#This Row],[Impressions]]&gt;Table1[[#This Row],[Clicks]],"Standard",VLOOKUP(CONCATENATE(bd_adtype,"_",bd_creativetype),tabela,2,FALSE))</f>
        <v>Standard</v>
      </c>
      <c r="F108" t="str">
        <f t="shared" si="21"/>
        <v>alp_marca_alcance_masculino_uol_display_half-page_ros_havaianas-surf_sports_cpm_300x600_111394</v>
      </c>
      <c r="G108" t="str">
        <f t="shared" si="22"/>
        <v>451374654</v>
      </c>
      <c r="H108" t="str">
        <f t="shared" si="23"/>
        <v>Display</v>
      </c>
      <c r="I108">
        <f t="shared" si="24"/>
        <v>88511</v>
      </c>
      <c r="J108">
        <f t="shared" si="25"/>
        <v>53</v>
      </c>
      <c r="K108" s="4">
        <f t="shared" ref="K108:K171" si="28">IF(LEFT(B108,3)="DBM",0,VLOOKUP(E108,tabela,2,FALSE))</f>
        <v>3.8199999999999998E-2</v>
      </c>
      <c r="L108">
        <f t="shared" ref="L108:L171" si="29">VLOOKUP(E108,tabela,3,FALSE)</f>
        <v>0.09</v>
      </c>
      <c r="M108" s="4">
        <f t="shared" si="26"/>
        <v>3.3811201999999998</v>
      </c>
      <c r="N108" s="4">
        <f t="shared" si="27"/>
        <v>7.9659899999999997</v>
      </c>
    </row>
    <row r="109" spans="1:14">
      <c r="A109" t="str">
        <f t="shared" si="17"/>
        <v>alp_marca</v>
      </c>
      <c r="B109" t="str">
        <f t="shared" si="18"/>
        <v>BR UOL.</v>
      </c>
      <c r="C109" t="str">
        <f t="shared" si="19"/>
        <v>alp_marca_alcance_masculino_uol_display_half-page_ros_havaianas-urban_moda_cpm_300x600_111393</v>
      </c>
      <c r="D109" t="str">
        <f t="shared" si="20"/>
        <v>255584379</v>
      </c>
      <c r="E109" t="str">
        <f>IF(Table1[[#This Row],[Impressions]]&gt;Table1[[#This Row],[Clicks]],"Standard",VLOOKUP(CONCATENATE(bd_adtype,"_",bd_creativetype),tabela,2,FALSE))</f>
        <v>Standard</v>
      </c>
      <c r="F109" t="str">
        <f t="shared" si="21"/>
        <v>alp_marca_alcance_masculino_uol_display_half-page_ros_havaianas-urban_moda_cpm_300x600_111393</v>
      </c>
      <c r="G109" t="str">
        <f t="shared" si="22"/>
        <v>451374684</v>
      </c>
      <c r="H109" t="str">
        <f t="shared" si="23"/>
        <v>Display</v>
      </c>
      <c r="I109">
        <f t="shared" si="24"/>
        <v>96403</v>
      </c>
      <c r="J109">
        <f t="shared" si="25"/>
        <v>321</v>
      </c>
      <c r="K109" s="4">
        <f t="shared" si="28"/>
        <v>3.8199999999999998E-2</v>
      </c>
      <c r="L109">
        <f t="shared" si="29"/>
        <v>0.09</v>
      </c>
      <c r="M109" s="4">
        <f t="shared" si="26"/>
        <v>3.6825945999999998</v>
      </c>
      <c r="N109" s="4">
        <f t="shared" si="27"/>
        <v>8.6762700000000006</v>
      </c>
    </row>
    <row r="110" spans="1:14">
      <c r="A110" t="str">
        <f t="shared" si="17"/>
        <v>alp_marca</v>
      </c>
      <c r="B110" t="str">
        <f t="shared" si="18"/>
        <v>BR UOL.</v>
      </c>
      <c r="C110" t="str">
        <f t="shared" si="19"/>
        <v>alp_marca_alcance_masculino_uol_display_half-page_ros_la-casa-de-papel_licenciados_cpm_300x600_111392</v>
      </c>
      <c r="D110" t="str">
        <f t="shared" si="20"/>
        <v>255584364</v>
      </c>
      <c r="E110" t="str">
        <f>IF(Table1[[#This Row],[Impressions]]&gt;Table1[[#This Row],[Clicks]],"Standard",VLOOKUP(CONCATENATE(bd_adtype,"_",bd_creativetype),tabela,2,FALSE))</f>
        <v>Standard</v>
      </c>
      <c r="F110" t="str">
        <f t="shared" si="21"/>
        <v>alp_marca_alcance_masculino_uol_display_half-page_ros_la-casa-de-papel_licenciados_cpm_300x600_111392</v>
      </c>
      <c r="G110" t="str">
        <f t="shared" si="22"/>
        <v>451374669</v>
      </c>
      <c r="H110" t="str">
        <f t="shared" si="23"/>
        <v>Display</v>
      </c>
      <c r="I110">
        <f t="shared" si="24"/>
        <v>126325</v>
      </c>
      <c r="J110">
        <f t="shared" si="25"/>
        <v>115</v>
      </c>
      <c r="K110" s="4">
        <f t="shared" si="28"/>
        <v>3.8199999999999998E-2</v>
      </c>
      <c r="L110">
        <f t="shared" si="29"/>
        <v>0.09</v>
      </c>
      <c r="M110" s="4">
        <f t="shared" si="26"/>
        <v>4.825615</v>
      </c>
      <c r="N110" s="4">
        <f t="shared" si="27"/>
        <v>11.369249999999999</v>
      </c>
    </row>
    <row r="111" spans="1:14">
      <c r="A111" t="str">
        <f t="shared" si="17"/>
        <v>alp_marca</v>
      </c>
      <c r="B111" t="str">
        <f t="shared" si="18"/>
        <v>BR UOL.</v>
      </c>
      <c r="C111" t="str">
        <f t="shared" si="19"/>
        <v>alp_marca_alcance_masculino_uol_display_retangulo_ros_havaianas-surf_sports_cpm_300x250_111394</v>
      </c>
      <c r="D111" t="str">
        <f t="shared" si="20"/>
        <v>255584358</v>
      </c>
      <c r="E111" t="str">
        <f>IF(Table1[[#This Row],[Impressions]]&gt;Table1[[#This Row],[Clicks]],"Standard",VLOOKUP(CONCATENATE(bd_adtype,"_",bd_creativetype),tabela,2,FALSE))</f>
        <v>Standard</v>
      </c>
      <c r="F111" t="str">
        <f t="shared" si="21"/>
        <v>alp_marca_alcance_masculino_uol_display_retangulo_ros_havaianas-surf_sports_cpm_300x250_111394</v>
      </c>
      <c r="G111" t="str">
        <f t="shared" si="22"/>
        <v>451374663</v>
      </c>
      <c r="H111" t="str">
        <f t="shared" si="23"/>
        <v>Display</v>
      </c>
      <c r="I111">
        <f t="shared" si="24"/>
        <v>358611</v>
      </c>
      <c r="J111">
        <f t="shared" si="25"/>
        <v>483</v>
      </c>
      <c r="K111" s="4">
        <f t="shared" si="28"/>
        <v>3.8199999999999998E-2</v>
      </c>
      <c r="L111">
        <f t="shared" si="29"/>
        <v>0.09</v>
      </c>
      <c r="M111" s="4">
        <f t="shared" si="26"/>
        <v>13.698940199999999</v>
      </c>
      <c r="N111" s="4">
        <f t="shared" si="27"/>
        <v>32.274989999999995</v>
      </c>
    </row>
    <row r="112" spans="1:14">
      <c r="A112" t="str">
        <f t="shared" si="17"/>
        <v>alp_marca</v>
      </c>
      <c r="B112" t="str">
        <f t="shared" si="18"/>
        <v>BR UOL.</v>
      </c>
      <c r="C112" t="str">
        <f t="shared" si="19"/>
        <v>alp_marca_alcance_masculino_uol_display_retangulo_ros_havaianas-urban_moda_cpm_300x250_111393</v>
      </c>
      <c r="D112" t="str">
        <f t="shared" si="20"/>
        <v>255584388</v>
      </c>
      <c r="E112" t="str">
        <f>IF(Table1[[#This Row],[Impressions]]&gt;Table1[[#This Row],[Clicks]],"Standard",VLOOKUP(CONCATENATE(bd_adtype,"_",bd_creativetype),tabela,2,FALSE))</f>
        <v>Standard</v>
      </c>
      <c r="F112" t="str">
        <f t="shared" si="21"/>
        <v>alp_marca_alcance_masculino_uol_display_retangulo_ros_havaianas-urban_moda_cpm_300x250_111393</v>
      </c>
      <c r="G112" t="str">
        <f t="shared" si="22"/>
        <v>451374693</v>
      </c>
      <c r="H112" t="str">
        <f t="shared" si="23"/>
        <v>Display</v>
      </c>
      <c r="I112">
        <f t="shared" si="24"/>
        <v>247896</v>
      </c>
      <c r="J112">
        <f t="shared" si="25"/>
        <v>479</v>
      </c>
      <c r="K112" s="4">
        <f t="shared" si="28"/>
        <v>3.8199999999999998E-2</v>
      </c>
      <c r="L112">
        <f t="shared" si="29"/>
        <v>0.09</v>
      </c>
      <c r="M112" s="4">
        <f t="shared" si="26"/>
        <v>9.4696271999999997</v>
      </c>
      <c r="N112" s="4">
        <f t="shared" si="27"/>
        <v>22.310639999999999</v>
      </c>
    </row>
    <row r="113" spans="1:14">
      <c r="A113" t="str">
        <f t="shared" si="17"/>
        <v>alp_marca</v>
      </c>
      <c r="B113" t="str">
        <f t="shared" si="18"/>
        <v>BR UOL.</v>
      </c>
      <c r="C113" t="str">
        <f t="shared" si="19"/>
        <v>alp_marca_alcance_masculino_uol_display_retangulo_ros_la-casa-de-papel_licenciados_cpm_300x250_111392</v>
      </c>
      <c r="D113" t="str">
        <f t="shared" si="20"/>
        <v>255584373</v>
      </c>
      <c r="E113" t="str">
        <f>IF(Table1[[#This Row],[Impressions]]&gt;Table1[[#This Row],[Clicks]],"Standard",VLOOKUP(CONCATENATE(bd_adtype,"_",bd_creativetype),tabela,2,FALSE))</f>
        <v>Standard</v>
      </c>
      <c r="F113" t="str">
        <f t="shared" si="21"/>
        <v>alp_marca_alcance_masculino_uol_display_retangulo_ros_la-casa-de-papel_licenciados_cpm_300x250_111392</v>
      </c>
      <c r="G113" t="str">
        <f t="shared" si="22"/>
        <v>451374678</v>
      </c>
      <c r="H113" t="str">
        <f t="shared" si="23"/>
        <v>Display</v>
      </c>
      <c r="I113">
        <f t="shared" si="24"/>
        <v>306707</v>
      </c>
      <c r="J113">
        <f t="shared" si="25"/>
        <v>503</v>
      </c>
      <c r="K113" s="4">
        <f t="shared" si="28"/>
        <v>3.8199999999999998E-2</v>
      </c>
      <c r="L113">
        <f t="shared" si="29"/>
        <v>0.09</v>
      </c>
      <c r="M113" s="4">
        <f t="shared" si="26"/>
        <v>11.7162074</v>
      </c>
      <c r="N113" s="4">
        <f t="shared" si="27"/>
        <v>27.603629999999999</v>
      </c>
    </row>
    <row r="114" spans="1:14">
      <c r="A114" t="str">
        <f t="shared" si="17"/>
        <v>alp_marca</v>
      </c>
      <c r="B114" t="str">
        <f t="shared" si="18"/>
        <v>BR UOL.</v>
      </c>
      <c r="C114" t="str">
        <f t="shared" si="19"/>
        <v>alp_marca_alcance_masculino_uol_display_superbanner_ros_havaianas-surf_sports_cpm_728x90_111394</v>
      </c>
      <c r="D114" t="str">
        <f t="shared" si="20"/>
        <v>255584346</v>
      </c>
      <c r="E114" t="str">
        <f>IF(Table1[[#This Row],[Impressions]]&gt;Table1[[#This Row],[Clicks]],"Standard",VLOOKUP(CONCATENATE(bd_adtype,"_",bd_creativetype),tabela,2,FALSE))</f>
        <v>Standard</v>
      </c>
      <c r="F114" t="str">
        <f t="shared" si="21"/>
        <v>alp_marca_alcance_masculino_uol_display_superbanner_ros_havaianas-surf_sports_cpm_728x90_111394</v>
      </c>
      <c r="G114" t="str">
        <f t="shared" si="22"/>
        <v>451374651</v>
      </c>
      <c r="H114" t="str">
        <f t="shared" si="23"/>
        <v>Display</v>
      </c>
      <c r="I114">
        <f t="shared" si="24"/>
        <v>40133</v>
      </c>
      <c r="J114">
        <f t="shared" si="25"/>
        <v>11</v>
      </c>
      <c r="K114" s="4">
        <f t="shared" si="28"/>
        <v>3.8199999999999998E-2</v>
      </c>
      <c r="L114">
        <f t="shared" si="29"/>
        <v>0.09</v>
      </c>
      <c r="M114" s="4">
        <f t="shared" si="26"/>
        <v>1.5330805999999999</v>
      </c>
      <c r="N114" s="4">
        <f t="shared" si="27"/>
        <v>3.6119699999999999</v>
      </c>
    </row>
    <row r="115" spans="1:14">
      <c r="A115" t="str">
        <f t="shared" si="17"/>
        <v>alp_marca</v>
      </c>
      <c r="B115" t="str">
        <f t="shared" si="18"/>
        <v>BR UOL.</v>
      </c>
      <c r="C115" t="str">
        <f t="shared" si="19"/>
        <v>alp_marca_alcance_masculino_uol_display_superbanner_ros_havaianas-urban_moda_cpm_728x90_111393</v>
      </c>
      <c r="D115" t="str">
        <f t="shared" si="20"/>
        <v>255584376</v>
      </c>
      <c r="E115" t="str">
        <f>IF(Table1[[#This Row],[Impressions]]&gt;Table1[[#This Row],[Clicks]],"Standard",VLOOKUP(CONCATENATE(bd_adtype,"_",bd_creativetype),tabela,2,FALSE))</f>
        <v>Standard</v>
      </c>
      <c r="F115" t="str">
        <f t="shared" si="21"/>
        <v>alp_marca_alcance_masculino_uol_display_superbanner_ros_havaianas-urban_moda_cpm_728x90_111393</v>
      </c>
      <c r="G115" t="str">
        <f t="shared" si="22"/>
        <v>451374681</v>
      </c>
      <c r="H115" t="str">
        <f t="shared" si="23"/>
        <v>Display</v>
      </c>
      <c r="I115">
        <f t="shared" si="24"/>
        <v>29241</v>
      </c>
      <c r="J115">
        <f t="shared" si="25"/>
        <v>24</v>
      </c>
      <c r="K115" s="4">
        <f t="shared" si="28"/>
        <v>3.8199999999999998E-2</v>
      </c>
      <c r="L115">
        <f t="shared" si="29"/>
        <v>0.09</v>
      </c>
      <c r="M115" s="4">
        <f t="shared" si="26"/>
        <v>1.1170062000000001</v>
      </c>
      <c r="N115" s="4">
        <f t="shared" si="27"/>
        <v>2.6316899999999999</v>
      </c>
    </row>
    <row r="116" spans="1:14">
      <c r="A116" t="str">
        <f t="shared" si="17"/>
        <v>alp_marca</v>
      </c>
      <c r="B116" t="str">
        <f t="shared" si="18"/>
        <v>BR UOL.</v>
      </c>
      <c r="C116" t="str">
        <f t="shared" si="19"/>
        <v>alp_marca_alcance_masculino_uol_display_superbanner_ros_la-casa-de-papel_licenciados_cpm_728x90_111392</v>
      </c>
      <c r="D116" t="str">
        <f t="shared" si="20"/>
        <v>255584361</v>
      </c>
      <c r="E116" t="str">
        <f>IF(Table1[[#This Row],[Impressions]]&gt;Table1[[#This Row],[Clicks]],"Standard",VLOOKUP(CONCATENATE(bd_adtype,"_",bd_creativetype),tabela,2,FALSE))</f>
        <v>Standard</v>
      </c>
      <c r="F116" t="str">
        <f t="shared" si="21"/>
        <v>alp_marca_alcance_masculino_uol_display_superbanner_ros_la-casa-de-papel_licenciados_cpm_728x90_111392</v>
      </c>
      <c r="G116" t="str">
        <f t="shared" si="22"/>
        <v>451374666</v>
      </c>
      <c r="H116" t="str">
        <f t="shared" si="23"/>
        <v>Display</v>
      </c>
      <c r="I116">
        <f t="shared" si="24"/>
        <v>54671</v>
      </c>
      <c r="J116">
        <f t="shared" si="25"/>
        <v>38</v>
      </c>
      <c r="K116" s="4">
        <f t="shared" si="28"/>
        <v>3.8199999999999998E-2</v>
      </c>
      <c r="L116">
        <f t="shared" si="29"/>
        <v>0.09</v>
      </c>
      <c r="M116" s="4">
        <f t="shared" si="26"/>
        <v>2.0884321999999997</v>
      </c>
      <c r="N116" s="4">
        <f t="shared" si="27"/>
        <v>4.9203899999999994</v>
      </c>
    </row>
    <row r="117" spans="1:14">
      <c r="A117" t="str">
        <f t="shared" si="17"/>
        <v>alp_marca</v>
      </c>
      <c r="B117" t="str">
        <f t="shared" si="18"/>
        <v>Editora Globo</v>
      </c>
      <c r="C117" t="str">
        <f t="shared" si="19"/>
        <v>alp_marca_alcance_feminino_editora-globo_display_billboard_ros_rasteiras_funcional_cpm_970x250_111340</v>
      </c>
      <c r="D117" t="str">
        <f t="shared" si="20"/>
        <v>251944198</v>
      </c>
      <c r="E117" t="str">
        <f>IF(Table1[[#This Row],[Impressions]]&gt;Table1[[#This Row],[Clicks]],"Standard",VLOOKUP(CONCATENATE(bd_adtype,"_",bd_creativetype),tabela,2,FALSE))</f>
        <v>Standard</v>
      </c>
      <c r="F117" t="str">
        <f t="shared" si="21"/>
        <v>alp_marca_alcance_feminino_editora-globo_display_billboard_ros_rasteiras_funcional_cpm_970x250_111340</v>
      </c>
      <c r="G117" t="str">
        <f t="shared" si="22"/>
        <v>448098286</v>
      </c>
      <c r="H117" t="str">
        <f t="shared" si="23"/>
        <v>Tracking</v>
      </c>
      <c r="I117">
        <f t="shared" si="24"/>
        <v>1</v>
      </c>
      <c r="J117">
        <f t="shared" si="25"/>
        <v>0</v>
      </c>
      <c r="K117" s="4">
        <f t="shared" si="28"/>
        <v>3.8199999999999998E-2</v>
      </c>
      <c r="L117">
        <f t="shared" si="29"/>
        <v>0.09</v>
      </c>
      <c r="M117" s="4">
        <f t="shared" si="26"/>
        <v>3.82E-5</v>
      </c>
      <c r="N117" s="4">
        <f t="shared" si="27"/>
        <v>8.9999999999999992E-5</v>
      </c>
    </row>
    <row r="118" spans="1:14">
      <c r="A118" t="str">
        <f t="shared" si="17"/>
        <v>alp_marca</v>
      </c>
      <c r="B118" t="str">
        <f t="shared" si="18"/>
        <v>Editora Globo</v>
      </c>
      <c r="C118" t="str">
        <f t="shared" si="19"/>
        <v>alp_marca_alcance_feminino_editora-globo_display_retangulo_ros_rasteiras_fashion_cpm_300x250_111341</v>
      </c>
      <c r="D118" t="str">
        <f t="shared" si="20"/>
        <v>251923660</v>
      </c>
      <c r="E118" t="str">
        <f>IF(Table1[[#This Row],[Impressions]]&gt;Table1[[#This Row],[Clicks]],"Standard",VLOOKUP(CONCATENATE(bd_adtype,"_",bd_creativetype),tabela,2,FALSE))</f>
        <v>Standard</v>
      </c>
      <c r="F118" t="str">
        <f t="shared" si="21"/>
        <v>alp_marca_alcance_feminino_editora-globo_display_retangulo_ros_rasteiras_fashion_cpm_300x250_111341</v>
      </c>
      <c r="G118" t="str">
        <f t="shared" si="22"/>
        <v>448013603</v>
      </c>
      <c r="H118" t="str">
        <f t="shared" si="23"/>
        <v>Tracking</v>
      </c>
      <c r="I118">
        <f t="shared" si="24"/>
        <v>1</v>
      </c>
      <c r="J118">
        <f t="shared" si="25"/>
        <v>0</v>
      </c>
      <c r="K118" s="4">
        <f t="shared" si="28"/>
        <v>3.8199999999999998E-2</v>
      </c>
      <c r="L118">
        <f t="shared" si="29"/>
        <v>0.09</v>
      </c>
      <c r="M118" s="4">
        <f t="shared" si="26"/>
        <v>3.82E-5</v>
      </c>
      <c r="N118" s="4">
        <f t="shared" si="27"/>
        <v>8.9999999999999992E-5</v>
      </c>
    </row>
    <row r="119" spans="1:14">
      <c r="A119" t="str">
        <f t="shared" si="17"/>
        <v>alp_marca</v>
      </c>
      <c r="B119" t="str">
        <f t="shared" si="18"/>
        <v>Editora Globo</v>
      </c>
      <c r="C119" t="str">
        <f t="shared" si="19"/>
        <v>alp_marca_alcance_feminino_editora-globo_display_retangulo_ros_rasteiras_funcional_cpm_300x250_111340</v>
      </c>
      <c r="D119" t="str">
        <f t="shared" si="20"/>
        <v>251617343</v>
      </c>
      <c r="E119" t="str">
        <f>IF(Table1[[#This Row],[Impressions]]&gt;Table1[[#This Row],[Clicks]],"Standard",VLOOKUP(CONCATENATE(bd_adtype,"_",bd_creativetype),tabela,2,FALSE))</f>
        <v>Standard</v>
      </c>
      <c r="F119" t="str">
        <f t="shared" si="21"/>
        <v>alp_marca_alcance_feminino_editora-globo_display_retangulo_ros_rasteiras_funcional_cpm_300x250_111340</v>
      </c>
      <c r="G119" t="str">
        <f t="shared" si="22"/>
        <v>448013573</v>
      </c>
      <c r="H119" t="str">
        <f t="shared" si="23"/>
        <v>Tracking</v>
      </c>
      <c r="I119">
        <f t="shared" si="24"/>
        <v>11</v>
      </c>
      <c r="J119">
        <f t="shared" si="25"/>
        <v>0</v>
      </c>
      <c r="K119" s="4">
        <f t="shared" si="28"/>
        <v>3.8199999999999998E-2</v>
      </c>
      <c r="L119">
        <f t="shared" si="29"/>
        <v>0.09</v>
      </c>
      <c r="M119" s="4">
        <f t="shared" si="26"/>
        <v>4.2019999999999997E-4</v>
      </c>
      <c r="N119" s="4">
        <f t="shared" si="27"/>
        <v>9.8999999999999999E-4</v>
      </c>
    </row>
    <row r="120" spans="1:14">
      <c r="A120" t="str">
        <f t="shared" si="17"/>
        <v>alp_marca</v>
      </c>
      <c r="B120" t="str">
        <f t="shared" si="18"/>
        <v>Editora Globo</v>
      </c>
      <c r="C120" t="str">
        <f t="shared" si="19"/>
        <v>alp_marca_alcance_feminino_editora-globo_display_superbanner_ros_rasteiras_fashion_cpm_728x90_111341</v>
      </c>
      <c r="D120" t="str">
        <f t="shared" si="20"/>
        <v>252022254</v>
      </c>
      <c r="E120" t="str">
        <f>IF(Table1[[#This Row],[Impressions]]&gt;Table1[[#This Row],[Clicks]],"Standard",VLOOKUP(CONCATENATE(bd_adtype,"_",bd_creativetype),tabela,2,FALSE))</f>
        <v>Standard</v>
      </c>
      <c r="F120" t="str">
        <f t="shared" si="21"/>
        <v>alp_marca_alcance_feminino_editora-globo_display_superbanner_ros_rasteiras_fashion_cpm_728x90_111341</v>
      </c>
      <c r="G120" t="str">
        <f t="shared" si="22"/>
        <v>448014857</v>
      </c>
      <c r="H120" t="str">
        <f t="shared" si="23"/>
        <v>Tracking</v>
      </c>
      <c r="I120">
        <f t="shared" si="24"/>
        <v>1</v>
      </c>
      <c r="J120">
        <f t="shared" si="25"/>
        <v>0</v>
      </c>
      <c r="K120" s="4">
        <f t="shared" si="28"/>
        <v>3.8199999999999998E-2</v>
      </c>
      <c r="L120">
        <f t="shared" si="29"/>
        <v>0.09</v>
      </c>
      <c r="M120" s="4">
        <f t="shared" si="26"/>
        <v>3.82E-5</v>
      </c>
      <c r="N120" s="4">
        <f t="shared" si="27"/>
        <v>8.9999999999999992E-5</v>
      </c>
    </row>
    <row r="121" spans="1:14">
      <c r="A121" t="str">
        <f t="shared" si="17"/>
        <v>alp_marca</v>
      </c>
      <c r="B121" t="str">
        <f t="shared" si="18"/>
        <v>Editora Globo</v>
      </c>
      <c r="C121" t="str">
        <f t="shared" si="19"/>
        <v>alp_marca_alcance_feminino_editora-globo_display_superbanner_ros_rasteiras_funcional_cpm_728x90_111340</v>
      </c>
      <c r="D121" t="str">
        <f t="shared" si="20"/>
        <v>251942962</v>
      </c>
      <c r="E121" t="str">
        <f>IF(Table1[[#This Row],[Impressions]]&gt;Table1[[#This Row],[Clicks]],"Standard",VLOOKUP(CONCATENATE(bd_adtype,"_",bd_creativetype),tabela,2,FALSE))</f>
        <v>Standard</v>
      </c>
      <c r="F121" t="str">
        <f t="shared" si="21"/>
        <v>alp_marca_alcance_feminino_editora-globo_display_superbanner_ros_rasteiras_funcional_cpm_728x90_111340</v>
      </c>
      <c r="G121" t="str">
        <f t="shared" si="22"/>
        <v>448013588</v>
      </c>
      <c r="H121" t="str">
        <f t="shared" si="23"/>
        <v>Tracking</v>
      </c>
      <c r="I121">
        <f t="shared" si="24"/>
        <v>1</v>
      </c>
      <c r="J121">
        <f t="shared" si="25"/>
        <v>0</v>
      </c>
      <c r="K121" s="4">
        <f t="shared" si="28"/>
        <v>3.8199999999999998E-2</v>
      </c>
      <c r="L121">
        <f t="shared" si="29"/>
        <v>0.09</v>
      </c>
      <c r="M121" s="4">
        <f t="shared" si="26"/>
        <v>3.82E-5</v>
      </c>
      <c r="N121" s="4">
        <f t="shared" si="27"/>
        <v>8.9999999999999992E-5</v>
      </c>
    </row>
    <row r="122" spans="1:14">
      <c r="A122" t="str">
        <f t="shared" si="17"/>
        <v>alp_marca</v>
      </c>
      <c r="B122" t="str">
        <f t="shared" si="18"/>
        <v>Elhombre_Puig</v>
      </c>
      <c r="C122" t="str">
        <f t="shared" si="19"/>
        <v>alp_marca_alcance_masculino_el-hombre_conteudo-veiculo_publieditorial_lifestyle_rotacional_all_cpc_no-size_111118</v>
      </c>
      <c r="D122" t="str">
        <f t="shared" si="20"/>
        <v>241629483</v>
      </c>
      <c r="E122" t="str">
        <f>IF(Table1[[#This Row],[Impressions]]&gt;Table1[[#This Row],[Clicks]],"Standard",VLOOKUP(CONCATENATE(bd_adtype,"_",bd_creativetype),tabela,2,FALSE))</f>
        <v>Dynamic Click</v>
      </c>
      <c r="F122" t="str">
        <f t="shared" si="21"/>
        <v>alp_marca_alcance_masculino_el-hombre_conteudo-veiculo_publieditorial_lifestyle_rotacional_all_cpc_no-size_111118</v>
      </c>
      <c r="G122" t="str">
        <f t="shared" si="22"/>
        <v>438245550</v>
      </c>
      <c r="H122" t="str">
        <f t="shared" si="23"/>
        <v>Tracking</v>
      </c>
      <c r="I122">
        <f t="shared" si="24"/>
        <v>0</v>
      </c>
      <c r="J122">
        <f t="shared" si="25"/>
        <v>2</v>
      </c>
      <c r="K122" s="4">
        <f t="shared" si="28"/>
        <v>3.5000000000000001E-3</v>
      </c>
      <c r="L122">
        <f t="shared" si="29"/>
        <v>0.02</v>
      </c>
      <c r="M122" s="4">
        <f t="shared" si="26"/>
        <v>7.0000000000000001E-3</v>
      </c>
      <c r="N122" s="4">
        <f t="shared" si="27"/>
        <v>0.04</v>
      </c>
    </row>
    <row r="123" spans="1:14">
      <c r="A123" t="str">
        <f t="shared" si="17"/>
        <v>alp_marca</v>
      </c>
      <c r="B123" t="str">
        <f t="shared" si="18"/>
        <v>Elhombre_Puig</v>
      </c>
      <c r="C123" t="str">
        <f t="shared" si="19"/>
        <v>alp_marca_alcance_masculino_el-hombre_display_diaria-bg_home_havaianas-urban_all_cpm_1900x1020_111217</v>
      </c>
      <c r="D123" t="str">
        <f t="shared" si="20"/>
        <v>248744191</v>
      </c>
      <c r="E123" t="str">
        <f>IF(Table1[[#This Row],[Impressions]]&gt;Table1[[#This Row],[Clicks]],"Standard",VLOOKUP(CONCATENATE(bd_adtype,"_",bd_creativetype),tabela,2,FALSE))</f>
        <v>Standard</v>
      </c>
      <c r="F123" t="str">
        <f t="shared" si="21"/>
        <v>alp_marca_alcance_masculino_el-hombre_display_diaria-bg_home_havaianas-urban_all_cpm_1900x1020_111217</v>
      </c>
      <c r="G123" t="str">
        <f t="shared" si="22"/>
        <v>444928407</v>
      </c>
      <c r="H123" t="str">
        <f t="shared" si="23"/>
        <v>Tracking</v>
      </c>
      <c r="I123">
        <f t="shared" si="24"/>
        <v>7013</v>
      </c>
      <c r="J123">
        <f t="shared" si="25"/>
        <v>280</v>
      </c>
      <c r="K123" s="4">
        <f t="shared" si="28"/>
        <v>3.8199999999999998E-2</v>
      </c>
      <c r="L123">
        <f t="shared" si="29"/>
        <v>0.09</v>
      </c>
      <c r="M123" s="4">
        <f t="shared" si="26"/>
        <v>0.26789659999999998</v>
      </c>
      <c r="N123" s="4">
        <f t="shared" si="27"/>
        <v>0.63117000000000001</v>
      </c>
    </row>
    <row r="124" spans="1:14">
      <c r="A124" t="str">
        <f t="shared" si="17"/>
        <v>alp_marca</v>
      </c>
      <c r="B124" t="str">
        <f t="shared" si="18"/>
        <v>Elhombre_Puig</v>
      </c>
      <c r="C124" t="str">
        <f t="shared" si="19"/>
        <v>alp_marca_alcance_masculino_el-hombre_display_diaria-bg_home_havaianas-urban_moda_cpm_1900x1020_111393_no</v>
      </c>
      <c r="D124" t="str">
        <f t="shared" si="20"/>
        <v>255160060</v>
      </c>
      <c r="E124" t="str">
        <f>IF(Table1[[#This Row],[Impressions]]&gt;Table1[[#This Row],[Clicks]],"Standard",VLOOKUP(CONCATENATE(bd_adtype,"_",bd_creativetype),tabela,2,FALSE))</f>
        <v>Standard</v>
      </c>
      <c r="F124" t="str">
        <f t="shared" si="21"/>
        <v>alp_marca_alcance_masculino_el-hombre_display_diaria-bg_home_havaianas-urban_moda_cpm_1900x1020_111393_no</v>
      </c>
      <c r="G124" t="str">
        <f t="shared" si="22"/>
        <v>451197799</v>
      </c>
      <c r="H124" t="str">
        <f t="shared" si="23"/>
        <v>Tracking</v>
      </c>
      <c r="I124">
        <f t="shared" si="24"/>
        <v>16397</v>
      </c>
      <c r="J124">
        <f t="shared" si="25"/>
        <v>0</v>
      </c>
      <c r="K124" s="4">
        <f t="shared" si="28"/>
        <v>3.8199999999999998E-2</v>
      </c>
      <c r="L124">
        <f t="shared" si="29"/>
        <v>0.09</v>
      </c>
      <c r="M124" s="4">
        <f t="shared" si="26"/>
        <v>0.62636539999999996</v>
      </c>
      <c r="N124" s="4">
        <f t="shared" si="27"/>
        <v>1.47573</v>
      </c>
    </row>
    <row r="125" spans="1:14">
      <c r="A125" t="str">
        <f t="shared" si="17"/>
        <v>alp_marca</v>
      </c>
      <c r="B125" t="str">
        <f t="shared" si="18"/>
        <v>Elhombre_Puig</v>
      </c>
      <c r="C125" t="str">
        <f t="shared" si="19"/>
        <v>alp_marca_alcance_masculino_el-hombre_display_superheader-mobile_home_havaianas-urban_all_cpm_320x100_111218</v>
      </c>
      <c r="D125" t="str">
        <f t="shared" si="20"/>
        <v>248914512</v>
      </c>
      <c r="E125" t="str">
        <f>IF(Table1[[#This Row],[Impressions]]&gt;Table1[[#This Row],[Clicks]],"Standard",VLOOKUP(CONCATENATE(bd_adtype,"_",bd_creativetype),tabela,2,FALSE))</f>
        <v>Standard</v>
      </c>
      <c r="F125" t="str">
        <f t="shared" si="21"/>
        <v>alp_marca_alcance_masculino_el-hombre_display_superheader-mobile_home_havaianas-urban_all_cpm_320x100_111218</v>
      </c>
      <c r="G125" t="str">
        <f t="shared" si="22"/>
        <v>444930120</v>
      </c>
      <c r="H125" t="str">
        <f t="shared" si="23"/>
        <v>Tracking</v>
      </c>
      <c r="I125">
        <f t="shared" si="24"/>
        <v>41781</v>
      </c>
      <c r="J125">
        <f t="shared" si="25"/>
        <v>727</v>
      </c>
      <c r="K125" s="4">
        <f t="shared" si="28"/>
        <v>3.8199999999999998E-2</v>
      </c>
      <c r="L125">
        <f t="shared" si="29"/>
        <v>0.09</v>
      </c>
      <c r="M125" s="4">
        <f t="shared" si="26"/>
        <v>1.5960341999999998</v>
      </c>
      <c r="N125" s="4">
        <f t="shared" si="27"/>
        <v>3.7602899999999999</v>
      </c>
    </row>
    <row r="126" spans="1:14">
      <c r="A126" t="str">
        <f t="shared" si="17"/>
        <v>alp_marca</v>
      </c>
      <c r="B126" t="str">
        <f t="shared" si="18"/>
        <v>Elhombre_Puig</v>
      </c>
      <c r="C126" t="str">
        <f t="shared" si="19"/>
        <v>alp_marca_alcance_masculino_el-hombre_display_superheader-mobile_home_havaianas-urban_moda_cpm_320x100_111393_no</v>
      </c>
      <c r="D126" t="str">
        <f t="shared" si="20"/>
        <v>255160066</v>
      </c>
      <c r="E126" t="str">
        <f>IF(Table1[[#This Row],[Impressions]]&gt;Table1[[#This Row],[Clicks]],"Standard",VLOOKUP(CONCATENATE(bd_adtype,"_",bd_creativetype),tabela,2,FALSE))</f>
        <v>Standard</v>
      </c>
      <c r="F126" t="str">
        <f t="shared" si="21"/>
        <v>alp_marca_alcance_masculino_el-hombre_display_superheader-mobile_home_havaianas-urban_moda_cpm_320x100_111393_no</v>
      </c>
      <c r="G126" t="str">
        <f t="shared" si="22"/>
        <v>451197805</v>
      </c>
      <c r="H126" t="str">
        <f t="shared" si="23"/>
        <v>Tracking</v>
      </c>
      <c r="I126">
        <f t="shared" si="24"/>
        <v>106107</v>
      </c>
      <c r="J126">
        <f t="shared" si="25"/>
        <v>0</v>
      </c>
      <c r="K126" s="4">
        <f t="shared" si="28"/>
        <v>3.8199999999999998E-2</v>
      </c>
      <c r="L126">
        <f t="shared" si="29"/>
        <v>0.09</v>
      </c>
      <c r="M126" s="4">
        <f t="shared" si="26"/>
        <v>4.0532873999999994</v>
      </c>
      <c r="N126" s="4">
        <f t="shared" si="27"/>
        <v>9.5496299999999987</v>
      </c>
    </row>
    <row r="127" spans="1:14">
      <c r="A127" t="str">
        <f t="shared" si="17"/>
        <v>alp_marca</v>
      </c>
      <c r="B127" t="str">
        <f t="shared" si="18"/>
        <v>GQ (Brazil)</v>
      </c>
      <c r="C127" t="str">
        <f t="shared" si="19"/>
        <v>alp_marca_alcance_masculino_gq_display_billboard_ros_havaianas-urban_moda_cpm_970x250_111393_no</v>
      </c>
      <c r="D127" t="str">
        <f t="shared" si="20"/>
        <v>255307713</v>
      </c>
      <c r="E127" t="str">
        <f>IF(Table1[[#This Row],[Impressions]]&gt;Table1[[#This Row],[Clicks]],"Standard",VLOOKUP(CONCATENATE(bd_adtype,"_",bd_creativetype),tabela,2,FALSE))</f>
        <v>Standard</v>
      </c>
      <c r="F127" t="str">
        <f t="shared" si="21"/>
        <v>alp_marca_alcance_masculino_gq_display_billboard_ros_havaianas-urban_moda_cpm_970x250_111393_no</v>
      </c>
      <c r="G127" t="str">
        <f t="shared" si="22"/>
        <v>451164566</v>
      </c>
      <c r="H127" t="str">
        <f t="shared" si="23"/>
        <v>Display</v>
      </c>
      <c r="I127">
        <f t="shared" si="24"/>
        <v>146</v>
      </c>
      <c r="J127">
        <f t="shared" si="25"/>
        <v>1</v>
      </c>
      <c r="K127" s="4">
        <f t="shared" si="28"/>
        <v>3.8199999999999998E-2</v>
      </c>
      <c r="L127">
        <f t="shared" si="29"/>
        <v>0.09</v>
      </c>
      <c r="M127" s="4">
        <f t="shared" si="26"/>
        <v>5.5771999999999992E-3</v>
      </c>
      <c r="N127" s="4">
        <f t="shared" si="27"/>
        <v>1.3139999999999999E-2</v>
      </c>
    </row>
    <row r="128" spans="1:14">
      <c r="A128" t="str">
        <f t="shared" si="17"/>
        <v>alp_marca</v>
      </c>
      <c r="B128" t="str">
        <f t="shared" si="18"/>
        <v>GQ (Brazil)</v>
      </c>
      <c r="C128" t="str">
        <f t="shared" si="19"/>
        <v>alp_marca_alcance_masculino_gq_display_half-page_ros_havaianas-urban_moda_cpm_300x600_111393_no</v>
      </c>
      <c r="D128" t="str">
        <f t="shared" si="20"/>
        <v>255182593</v>
      </c>
      <c r="E128" t="str">
        <f>IF(Table1[[#This Row],[Impressions]]&gt;Table1[[#This Row],[Clicks]],"Standard",VLOOKUP(CONCATENATE(bd_adtype,"_",bd_creativetype),tabela,2,FALSE))</f>
        <v>Standard</v>
      </c>
      <c r="F128" t="str">
        <f t="shared" si="21"/>
        <v>alp_marca_alcance_masculino_gq_display_half-page_ros_havaianas-urban_moda_cpm_300x600_111393_no</v>
      </c>
      <c r="G128" t="str">
        <f t="shared" si="22"/>
        <v>451164812</v>
      </c>
      <c r="H128" t="str">
        <f t="shared" si="23"/>
        <v>Display</v>
      </c>
      <c r="I128">
        <f t="shared" si="24"/>
        <v>159</v>
      </c>
      <c r="J128">
        <f t="shared" si="25"/>
        <v>2</v>
      </c>
      <c r="K128" s="4">
        <f t="shared" si="28"/>
        <v>3.8199999999999998E-2</v>
      </c>
      <c r="L128">
        <f t="shared" si="29"/>
        <v>0.09</v>
      </c>
      <c r="M128" s="4">
        <f t="shared" si="26"/>
        <v>6.073799999999999E-3</v>
      </c>
      <c r="N128" s="4">
        <f t="shared" si="27"/>
        <v>1.4309999999999998E-2</v>
      </c>
    </row>
    <row r="129" spans="1:14">
      <c r="A129" t="str">
        <f t="shared" si="17"/>
        <v>alp_marca</v>
      </c>
      <c r="B129" t="str">
        <f t="shared" si="18"/>
        <v>GQ (Brazil)</v>
      </c>
      <c r="C129" t="str">
        <f t="shared" si="19"/>
        <v>alp_marca_alcance_masculino_gq_display_retangulo_ros_havaianas-urban_moda_cpm_300x250_111393_no</v>
      </c>
      <c r="D129" t="str">
        <f t="shared" si="20"/>
        <v>255183400</v>
      </c>
      <c r="E129" t="str">
        <f>IF(Table1[[#This Row],[Impressions]]&gt;Table1[[#This Row],[Clicks]],"Standard",VLOOKUP(CONCATENATE(bd_adtype,"_",bd_creativetype),tabela,2,FALSE))</f>
        <v>Standard</v>
      </c>
      <c r="F129" t="str">
        <f t="shared" si="21"/>
        <v>alp_marca_alcance_masculino_gq_display_retangulo_ros_havaianas-urban_moda_cpm_300x250_111393_no</v>
      </c>
      <c r="G129" t="str">
        <f t="shared" si="22"/>
        <v>451220416</v>
      </c>
      <c r="H129" t="str">
        <f t="shared" si="23"/>
        <v>Display</v>
      </c>
      <c r="I129">
        <f t="shared" si="24"/>
        <v>1024</v>
      </c>
      <c r="J129">
        <f t="shared" si="25"/>
        <v>10</v>
      </c>
      <c r="K129" s="4">
        <f t="shared" si="28"/>
        <v>3.8199999999999998E-2</v>
      </c>
      <c r="L129">
        <f t="shared" si="29"/>
        <v>0.09</v>
      </c>
      <c r="M129" s="4">
        <f t="shared" si="26"/>
        <v>3.91168E-2</v>
      </c>
      <c r="N129" s="4">
        <f t="shared" si="27"/>
        <v>9.2159999999999992E-2</v>
      </c>
    </row>
    <row r="130" spans="1:14">
      <c r="A130" t="str">
        <f t="shared" ref="A130:A193" si="30">bd_campaign</f>
        <v>alp_marca</v>
      </c>
      <c r="B130" t="str">
        <f t="shared" ref="B130:B193" si="31">bd_site</f>
        <v>GQ (Brazil)</v>
      </c>
      <c r="C130" t="str">
        <f t="shared" ref="C130:C193" si="32">bd_placement</f>
        <v>alp_marca_alcance_masculino_gq_display_superbanner_ros_havaianas-urban_moda_cpm_728x90_111393_no</v>
      </c>
      <c r="D130" t="str">
        <f t="shared" ref="D130:D193" si="33">bd_placementID</f>
        <v>255306915</v>
      </c>
      <c r="E130" t="str">
        <f>IF(Table1[[#This Row],[Impressions]]&gt;Table1[[#This Row],[Clicks]],"Standard",VLOOKUP(CONCATENATE(bd_adtype,"_",bd_creativetype),tabela,2,FALSE))</f>
        <v>Standard</v>
      </c>
      <c r="F130" t="str">
        <f t="shared" ref="F130:F193" si="34">bd_ad</f>
        <v>alp_marca_alcance_masculino_gq_display_superbanner_ros_havaianas-urban_moda_cpm_728x90_111393_no</v>
      </c>
      <c r="G130" t="str">
        <f t="shared" ref="G130:G193" si="35">bd_adid</f>
        <v>451164272</v>
      </c>
      <c r="H130" t="str">
        <f t="shared" ref="H130:H193" si="36">bd_creativetype</f>
        <v>Display</v>
      </c>
      <c r="I130">
        <f t="shared" ref="I130:I193" si="37">bd_impression</f>
        <v>63</v>
      </c>
      <c r="J130">
        <f t="shared" ref="J130:J193" si="38">bd_clicks</f>
        <v>0</v>
      </c>
      <c r="K130" s="4">
        <f t="shared" si="28"/>
        <v>3.8199999999999998E-2</v>
      </c>
      <c r="L130">
        <f t="shared" si="29"/>
        <v>0.09</v>
      </c>
      <c r="M130" s="4">
        <f t="shared" si="26"/>
        <v>2.4066000000000001E-3</v>
      </c>
      <c r="N130" s="4">
        <f t="shared" si="27"/>
        <v>5.6699999999999997E-3</v>
      </c>
    </row>
    <row r="131" spans="1:14">
      <c r="A131" t="str">
        <f t="shared" si="30"/>
        <v>alp_marca</v>
      </c>
      <c r="B131" t="str">
        <f t="shared" si="31"/>
        <v>GQ (Brazil)</v>
      </c>
      <c r="C131" t="str">
        <f t="shared" si="32"/>
        <v>alp_marca_engajamentos_masculino_gq_social_stories_social_havaianas-urban_moda_cpm_de-5s-ate-10s_111395_dark-post</v>
      </c>
      <c r="D131" t="str">
        <f t="shared" si="33"/>
        <v>254998022</v>
      </c>
      <c r="E131" t="str">
        <f>IF(Table1[[#This Row],[Impressions]]&gt;Table1[[#This Row],[Clicks]],"Standard",VLOOKUP(CONCATENATE(bd_adtype,"_",bd_creativetype),tabela,2,FALSE))</f>
        <v>Dynamic Click</v>
      </c>
      <c r="F131" t="str">
        <f t="shared" si="34"/>
        <v>alp_marca_engajamentos_masculino_gq_social_stories_social_havaianas-urban_moda_cpm_de-5s-ate-10s_111395_dark-post</v>
      </c>
      <c r="G131" t="str">
        <f t="shared" si="35"/>
        <v>451358905</v>
      </c>
      <c r="H131" t="str">
        <f t="shared" si="36"/>
        <v>Tracking</v>
      </c>
      <c r="I131">
        <f t="shared" si="37"/>
        <v>0</v>
      </c>
      <c r="J131">
        <f t="shared" si="38"/>
        <v>18</v>
      </c>
      <c r="K131" s="4">
        <f t="shared" si="28"/>
        <v>3.5000000000000001E-3</v>
      </c>
      <c r="L131">
        <f t="shared" si="29"/>
        <v>0.02</v>
      </c>
      <c r="M131" s="4">
        <f t="shared" si="26"/>
        <v>6.3E-2</v>
      </c>
      <c r="N131" s="4">
        <f t="shared" si="27"/>
        <v>0.36</v>
      </c>
    </row>
    <row r="132" spans="1:14">
      <c r="A132" t="str">
        <f t="shared" si="30"/>
        <v>alp_marca</v>
      </c>
      <c r="B132" t="str">
        <f t="shared" si="31"/>
        <v>Instagram</v>
      </c>
      <c r="C132" t="str">
        <f t="shared" si="32"/>
        <v>alp_marca_alcance_masculino_instagram_social_stories_social_havaianas-urban-rubinho_all_cpm_de-5s-ate-10s_111330</v>
      </c>
      <c r="D132" t="str">
        <f t="shared" si="33"/>
        <v>251320150</v>
      </c>
      <c r="E132" t="str">
        <f>IF(Table1[[#This Row],[Impressions]]&gt;Table1[[#This Row],[Clicks]],"Standard",VLOOKUP(CONCATENATE(bd_adtype,"_",bd_creativetype),tabela,2,FALSE))</f>
        <v>Dynamic Click</v>
      </c>
      <c r="F132" t="str">
        <f t="shared" si="34"/>
        <v>alp_marca_alcance_masculino_instagram_social_stories_social_havaianas-urban-rubinho_all_cpm_de-5s-ate-10s_111330</v>
      </c>
      <c r="G132" t="str">
        <f t="shared" si="35"/>
        <v>447520354</v>
      </c>
      <c r="H132" t="str">
        <f t="shared" si="36"/>
        <v>Tracking</v>
      </c>
      <c r="I132">
        <f t="shared" si="37"/>
        <v>0</v>
      </c>
      <c r="J132">
        <f t="shared" si="38"/>
        <v>1</v>
      </c>
      <c r="K132" s="4">
        <f t="shared" si="28"/>
        <v>3.5000000000000001E-3</v>
      </c>
      <c r="L132">
        <f t="shared" si="29"/>
        <v>0.02</v>
      </c>
      <c r="M132" s="4">
        <f t="shared" si="26"/>
        <v>3.5000000000000001E-3</v>
      </c>
      <c r="N132" s="4">
        <f t="shared" si="27"/>
        <v>0.02</v>
      </c>
    </row>
    <row r="133" spans="1:14">
      <c r="A133" t="str">
        <f t="shared" si="30"/>
        <v>alp_marca</v>
      </c>
      <c r="B133" t="str">
        <f t="shared" si="31"/>
        <v>Instagram</v>
      </c>
      <c r="C133" t="str">
        <f t="shared" si="32"/>
        <v>alp_marca_engajamentos_feminino_instagram_social_pagepost_social_paisage_all_cpm_1080x1080_111406_organico-pt</v>
      </c>
      <c r="D133" t="str">
        <f t="shared" si="33"/>
        <v>255953535</v>
      </c>
      <c r="E133" t="str">
        <f>IF(Table1[[#This Row],[Impressions]]&gt;Table1[[#This Row],[Clicks]],"Standard",VLOOKUP(CONCATENATE(bd_adtype,"_",bd_creativetype),tabela,2,FALSE))</f>
        <v>Dynamic Click</v>
      </c>
      <c r="F133" t="str">
        <f t="shared" si="34"/>
        <v>alp_marca_engajamentos_feminino_instagram_social_pagepost_social_paisage_all_cpm_1080x1080_111406_organico-pt</v>
      </c>
      <c r="G133" t="str">
        <f t="shared" si="35"/>
        <v>451819348</v>
      </c>
      <c r="H133" t="str">
        <f t="shared" si="36"/>
        <v>Tracking</v>
      </c>
      <c r="I133">
        <f t="shared" si="37"/>
        <v>0</v>
      </c>
      <c r="J133">
        <f t="shared" si="38"/>
        <v>5</v>
      </c>
      <c r="K133" s="4">
        <f t="shared" si="28"/>
        <v>3.5000000000000001E-3</v>
      </c>
      <c r="L133">
        <f t="shared" si="29"/>
        <v>0.02</v>
      </c>
      <c r="M133" s="4">
        <f t="shared" si="26"/>
        <v>1.7500000000000002E-2</v>
      </c>
      <c r="N133" s="4">
        <f t="shared" si="27"/>
        <v>0.1</v>
      </c>
    </row>
    <row r="134" spans="1:14">
      <c r="A134" t="str">
        <f t="shared" si="30"/>
        <v>alp_marca</v>
      </c>
      <c r="B134" t="str">
        <f t="shared" si="31"/>
        <v>Instagram</v>
      </c>
      <c r="C134" t="str">
        <f t="shared" si="32"/>
        <v>alp_marca_engajamentos_feminino_instagram_social_pagepost_social_top-verano_all_cpm_1080x1080_111408_organico-pt</v>
      </c>
      <c r="D134" t="str">
        <f t="shared" si="33"/>
        <v>255953577</v>
      </c>
      <c r="E134" t="str">
        <f>IF(Table1[[#This Row],[Impressions]]&gt;Table1[[#This Row],[Clicks]],"Standard",VLOOKUP(CONCATENATE(bd_adtype,"_",bd_creativetype),tabela,2,FALSE))</f>
        <v>Dynamic Click</v>
      </c>
      <c r="F134" t="str">
        <f t="shared" si="34"/>
        <v>alp_marca_engajamentos_feminino_instagram_social_pagepost_social_top-verano_all_cpm_1080x1080_111408_organico-pt</v>
      </c>
      <c r="G134" t="str">
        <f t="shared" si="35"/>
        <v>451819390</v>
      </c>
      <c r="H134" t="str">
        <f t="shared" si="36"/>
        <v>Tracking</v>
      </c>
      <c r="I134">
        <f t="shared" si="37"/>
        <v>0</v>
      </c>
      <c r="J134">
        <f t="shared" si="38"/>
        <v>3</v>
      </c>
      <c r="K134" s="4">
        <f t="shared" si="28"/>
        <v>3.5000000000000001E-3</v>
      </c>
      <c r="L134">
        <f t="shared" si="29"/>
        <v>0.02</v>
      </c>
      <c r="M134" s="4">
        <f t="shared" si="26"/>
        <v>1.0500000000000001E-2</v>
      </c>
      <c r="N134" s="4">
        <f t="shared" si="27"/>
        <v>0.06</v>
      </c>
    </row>
    <row r="135" spans="1:14">
      <c r="A135" t="str">
        <f t="shared" si="30"/>
        <v>alp_marca</v>
      </c>
      <c r="B135" t="str">
        <f t="shared" si="31"/>
        <v>Instagram</v>
      </c>
      <c r="C135" t="str">
        <f t="shared" si="32"/>
        <v>alp_marca_engajamentos_jovem_instagram_social_stories_social_rei-leao-nah-cardoso_all_cpm_de-11s-ate-29s_111367</v>
      </c>
      <c r="D135" t="str">
        <f t="shared" si="33"/>
        <v>253119451</v>
      </c>
      <c r="E135" t="str">
        <f>IF(Table1[[#This Row],[Impressions]]&gt;Table1[[#This Row],[Clicks]],"Standard",VLOOKUP(CONCATENATE(bd_adtype,"_",bd_creativetype),tabela,2,FALSE))</f>
        <v>Dynamic Click</v>
      </c>
      <c r="F135" t="str">
        <f t="shared" si="34"/>
        <v>alp_marca_engajamentos_jovem_instagram_social_stories_social_rei-leao-nah-cardoso_all_cpm_de-11s-ate-29s_111367</v>
      </c>
      <c r="G135" t="str">
        <f t="shared" si="35"/>
        <v>449126217</v>
      </c>
      <c r="H135" t="str">
        <f t="shared" si="36"/>
        <v>Tracking</v>
      </c>
      <c r="I135">
        <f t="shared" si="37"/>
        <v>0</v>
      </c>
      <c r="J135">
        <f t="shared" si="38"/>
        <v>1</v>
      </c>
      <c r="K135" s="4">
        <f t="shared" si="28"/>
        <v>3.5000000000000001E-3</v>
      </c>
      <c r="L135">
        <f t="shared" si="29"/>
        <v>0.02</v>
      </c>
      <c r="M135" s="4">
        <f t="shared" si="26"/>
        <v>3.5000000000000001E-3</v>
      </c>
      <c r="N135" s="4">
        <f t="shared" si="27"/>
        <v>0.02</v>
      </c>
    </row>
    <row r="136" spans="1:14">
      <c r="A136" t="str">
        <f t="shared" si="30"/>
        <v>alp_marca</v>
      </c>
      <c r="B136" t="str">
        <f t="shared" si="31"/>
        <v>Instagram</v>
      </c>
      <c r="C136" t="str">
        <f t="shared" si="32"/>
        <v>alp_marca_engajamentos_masculino_instagram_social_pagepost_social_gq-color-block_all_cpm_1080x1080_111405_organico-pt</v>
      </c>
      <c r="D136" t="str">
        <f t="shared" si="33"/>
        <v>255951189</v>
      </c>
      <c r="E136" t="str">
        <f>IF(Table1[[#This Row],[Impressions]]&gt;Table1[[#This Row],[Clicks]],"Standard",VLOOKUP(CONCATENATE(bd_adtype,"_",bd_creativetype),tabela,2,FALSE))</f>
        <v>Dynamic Click</v>
      </c>
      <c r="F136" t="str">
        <f t="shared" si="34"/>
        <v>alp_marca_engajamentos_masculino_instagram_social_pagepost_social_gq-color-block_all_cpm_1080x1080_111405_organico-pt</v>
      </c>
      <c r="G136" t="str">
        <f t="shared" si="35"/>
        <v>451819402</v>
      </c>
      <c r="H136" t="str">
        <f t="shared" si="36"/>
        <v>Tracking</v>
      </c>
      <c r="I136">
        <f t="shared" si="37"/>
        <v>0</v>
      </c>
      <c r="J136">
        <f t="shared" si="38"/>
        <v>6</v>
      </c>
      <c r="K136" s="4">
        <f t="shared" si="28"/>
        <v>3.5000000000000001E-3</v>
      </c>
      <c r="L136">
        <f t="shared" si="29"/>
        <v>0.02</v>
      </c>
      <c r="M136" s="4">
        <f t="shared" si="26"/>
        <v>2.1000000000000001E-2</v>
      </c>
      <c r="N136" s="4">
        <f t="shared" si="27"/>
        <v>0.12</v>
      </c>
    </row>
    <row r="137" spans="1:14">
      <c r="A137" t="str">
        <f t="shared" si="30"/>
        <v>alp_marca</v>
      </c>
      <c r="B137" t="str">
        <f t="shared" si="31"/>
        <v>Instagram</v>
      </c>
      <c r="C137" t="str">
        <f t="shared" si="32"/>
        <v>alp_marca_engajamentos_masculino_instagram_social_pagepost_social_gq-urban-craft_all_cpm_1080x1080_111404_organico-pt</v>
      </c>
      <c r="D137" t="str">
        <f t="shared" si="33"/>
        <v>255953526</v>
      </c>
      <c r="E137" t="str">
        <f>IF(Table1[[#This Row],[Impressions]]&gt;Table1[[#This Row],[Clicks]],"Standard",VLOOKUP(CONCATENATE(bd_adtype,"_",bd_creativetype),tabela,2,FALSE))</f>
        <v>Dynamic Click</v>
      </c>
      <c r="F137" t="str">
        <f t="shared" si="34"/>
        <v>alp_marca_engajamentos_masculino_instagram_social_pagepost_social_gq-urban-craft_all_cpm_1080x1080_111404_organico-pt</v>
      </c>
      <c r="G137" t="str">
        <f t="shared" si="35"/>
        <v>451819342</v>
      </c>
      <c r="H137" t="str">
        <f t="shared" si="36"/>
        <v>Tracking</v>
      </c>
      <c r="I137">
        <f t="shared" si="37"/>
        <v>0</v>
      </c>
      <c r="J137">
        <f t="shared" si="38"/>
        <v>2</v>
      </c>
      <c r="K137" s="4">
        <f t="shared" si="28"/>
        <v>3.5000000000000001E-3</v>
      </c>
      <c r="L137">
        <f t="shared" si="29"/>
        <v>0.02</v>
      </c>
      <c r="M137" s="4">
        <f t="shared" si="26"/>
        <v>7.0000000000000001E-3</v>
      </c>
      <c r="N137" s="4">
        <f t="shared" si="27"/>
        <v>0.04</v>
      </c>
    </row>
    <row r="138" spans="1:14">
      <c r="A138" t="str">
        <f t="shared" si="30"/>
        <v>alp_marca</v>
      </c>
      <c r="B138" t="str">
        <f t="shared" si="31"/>
        <v>Instagram</v>
      </c>
      <c r="C138" t="str">
        <f t="shared" si="32"/>
        <v>alp_marca_engajamentos_masculino_instagram_social_pagepost_social_havaianas-aloha_all_cpm_1080x1080_111418_organico-pt</v>
      </c>
      <c r="D138" t="str">
        <f t="shared" si="33"/>
        <v>256479737</v>
      </c>
      <c r="E138" t="str">
        <f>IF(Table1[[#This Row],[Impressions]]&gt;Table1[[#This Row],[Clicks]],"Standard",VLOOKUP(CONCATENATE(bd_adtype,"_",bd_creativetype),tabela,2,FALSE))</f>
        <v>Dynamic Click</v>
      </c>
      <c r="F138" t="str">
        <f t="shared" si="34"/>
        <v>alp_marca_engajamentos_masculino_instagram_social_pagepost_social_havaianas-aloha_all_cpm_1080x1080_111418_organico-pt</v>
      </c>
      <c r="G138" t="str">
        <f t="shared" si="35"/>
        <v>452651051</v>
      </c>
      <c r="H138" t="str">
        <f t="shared" si="36"/>
        <v>Tracking</v>
      </c>
      <c r="I138">
        <f t="shared" si="37"/>
        <v>9</v>
      </c>
      <c r="J138">
        <f t="shared" si="38"/>
        <v>13</v>
      </c>
      <c r="K138" s="4">
        <f t="shared" si="28"/>
        <v>3.5000000000000001E-3</v>
      </c>
      <c r="L138">
        <f t="shared" si="29"/>
        <v>0.02</v>
      </c>
      <c r="M138" s="4">
        <f t="shared" si="26"/>
        <v>4.5499999999999999E-2</v>
      </c>
      <c r="N138" s="4">
        <f t="shared" si="27"/>
        <v>0.26</v>
      </c>
    </row>
    <row r="139" spans="1:14">
      <c r="A139" t="str">
        <f t="shared" si="30"/>
        <v>alp_marca</v>
      </c>
      <c r="B139" t="str">
        <f t="shared" si="31"/>
        <v>Instagram</v>
      </c>
      <c r="C139" t="str">
        <f t="shared" si="32"/>
        <v>alp_marca_engajamentos_masculino_instagram_social_pagepost_social_top-infinity_all_cpm_1080x1080_111417_organico-pt</v>
      </c>
      <c r="D139" t="str">
        <f t="shared" si="33"/>
        <v>256480694</v>
      </c>
      <c r="E139" t="str">
        <f>IF(Table1[[#This Row],[Impressions]]&gt;Table1[[#This Row],[Clicks]],"Standard",VLOOKUP(CONCATENATE(bd_adtype,"_",bd_creativetype),tabela,2,FALSE))</f>
        <v>Dynamic Click</v>
      </c>
      <c r="F139" t="str">
        <f t="shared" si="34"/>
        <v>alp_marca_engajamentos_masculino_instagram_social_pagepost_social_top-infinity_all_cpm_1080x1080_111417_organico-pt</v>
      </c>
      <c r="G139" t="str">
        <f t="shared" si="35"/>
        <v>452597418</v>
      </c>
      <c r="H139" t="str">
        <f t="shared" si="36"/>
        <v>Tracking</v>
      </c>
      <c r="I139">
        <f t="shared" si="37"/>
        <v>0</v>
      </c>
      <c r="J139">
        <f t="shared" si="38"/>
        <v>10</v>
      </c>
      <c r="K139" s="4">
        <f t="shared" si="28"/>
        <v>3.5000000000000001E-3</v>
      </c>
      <c r="L139">
        <f t="shared" si="29"/>
        <v>0.02</v>
      </c>
      <c r="M139" s="4">
        <f t="shared" si="26"/>
        <v>3.5000000000000003E-2</v>
      </c>
      <c r="N139" s="4">
        <f t="shared" si="27"/>
        <v>0.2</v>
      </c>
    </row>
    <row r="140" spans="1:14">
      <c r="A140" t="str">
        <f t="shared" si="30"/>
        <v>alp_marca</v>
      </c>
      <c r="B140" t="str">
        <f t="shared" si="31"/>
        <v>Instagram</v>
      </c>
      <c r="C140" t="str">
        <f t="shared" si="32"/>
        <v>alp_marca_engajamentos_masculino_instagram_social_pagepost_social_top-infinity_all_cpm_1080x1080_111419_organico-pt</v>
      </c>
      <c r="D140" t="str">
        <f t="shared" si="33"/>
        <v>256479788</v>
      </c>
      <c r="E140" t="str">
        <f>IF(Table1[[#This Row],[Impressions]]&gt;Table1[[#This Row],[Clicks]],"Standard",VLOOKUP(CONCATENATE(bd_adtype,"_",bd_creativetype),tabela,2,FALSE))</f>
        <v>Standard</v>
      </c>
      <c r="F140" t="str">
        <f t="shared" si="34"/>
        <v>alp_marca_engajamentos_masculino_instagram_social_pagepost_social_top-infinity_all_cpm_1080x1080_111419_organico-pt</v>
      </c>
      <c r="G140" t="str">
        <f t="shared" si="35"/>
        <v>452649914</v>
      </c>
      <c r="H140" t="str">
        <f t="shared" si="36"/>
        <v>Tracking</v>
      </c>
      <c r="I140">
        <f t="shared" si="37"/>
        <v>2736</v>
      </c>
      <c r="J140">
        <f t="shared" si="38"/>
        <v>82</v>
      </c>
      <c r="K140" s="4">
        <f t="shared" si="28"/>
        <v>3.8199999999999998E-2</v>
      </c>
      <c r="L140">
        <f t="shared" si="29"/>
        <v>0.09</v>
      </c>
      <c r="M140" s="4">
        <f t="shared" si="26"/>
        <v>0.10451519999999999</v>
      </c>
      <c r="N140" s="4">
        <f t="shared" si="27"/>
        <v>0.24623999999999999</v>
      </c>
    </row>
    <row r="141" spans="1:14">
      <c r="A141" t="str">
        <f t="shared" si="30"/>
        <v>alp_marca</v>
      </c>
      <c r="B141" t="str">
        <f t="shared" si="31"/>
        <v>Instagram</v>
      </c>
      <c r="C141" t="str">
        <f t="shared" si="32"/>
        <v>alp_marca_engajamentos_masculino_instagram_social_pagepost_social_urban-basic_all_cpm_1080x1080_111403_organico-pt</v>
      </c>
      <c r="D141" t="str">
        <f t="shared" si="33"/>
        <v>255953529</v>
      </c>
      <c r="E141" t="str">
        <f>IF(Table1[[#This Row],[Impressions]]&gt;Table1[[#This Row],[Clicks]],"Standard",VLOOKUP(CONCATENATE(bd_adtype,"_",bd_creativetype),tabela,2,FALSE))</f>
        <v>Dynamic Click</v>
      </c>
      <c r="F141" t="str">
        <f t="shared" si="34"/>
        <v>alp_marca_engajamentos_masculino_instagram_social_pagepost_social_urban-basic_all_cpm_1080x1080_111403_organico-pt</v>
      </c>
      <c r="G141" t="str">
        <f t="shared" si="35"/>
        <v>451716423</v>
      </c>
      <c r="H141" t="str">
        <f t="shared" si="36"/>
        <v>Tracking</v>
      </c>
      <c r="I141">
        <f t="shared" si="37"/>
        <v>1</v>
      </c>
      <c r="J141">
        <f t="shared" si="38"/>
        <v>4</v>
      </c>
      <c r="K141" s="4">
        <f t="shared" si="28"/>
        <v>3.5000000000000001E-3</v>
      </c>
      <c r="L141">
        <f t="shared" si="29"/>
        <v>0.02</v>
      </c>
      <c r="M141" s="4">
        <f t="shared" si="26"/>
        <v>1.4E-2</v>
      </c>
      <c r="N141" s="4">
        <f t="shared" si="27"/>
        <v>0.08</v>
      </c>
    </row>
    <row r="142" spans="1:14">
      <c r="A142" t="str">
        <f t="shared" si="30"/>
        <v>alp_marca</v>
      </c>
      <c r="B142" t="str">
        <f t="shared" si="31"/>
        <v>MTV Brasil</v>
      </c>
      <c r="C142" t="str">
        <f t="shared" si="32"/>
        <v>alp_marca_engajamentos_jovem_mtv_display_logo_ros_logo-ema_all_cpm_no-size_111416</v>
      </c>
      <c r="D142" t="str">
        <f t="shared" si="33"/>
        <v>256746043</v>
      </c>
      <c r="E142" t="str">
        <f>IF(Table1[[#This Row],[Impressions]]&gt;Table1[[#This Row],[Clicks]],"Standard",VLOOKUP(CONCATENATE(bd_adtype,"_",bd_creativetype),tabela,2,FALSE))</f>
        <v>Standard</v>
      </c>
      <c r="F142" t="str">
        <f t="shared" si="34"/>
        <v>alp_marca_engajamentos_jovem_mtv_display_logo_ros_logo-ema_all_cpm_no-size_111416</v>
      </c>
      <c r="G142" t="str">
        <f t="shared" si="35"/>
        <v>452572824</v>
      </c>
      <c r="H142" t="str">
        <f t="shared" si="36"/>
        <v>Tracking</v>
      </c>
      <c r="I142">
        <f t="shared" si="37"/>
        <v>3620522</v>
      </c>
      <c r="J142">
        <f t="shared" si="38"/>
        <v>2542</v>
      </c>
      <c r="K142" s="4">
        <f t="shared" si="28"/>
        <v>3.8199999999999998E-2</v>
      </c>
      <c r="L142">
        <f t="shared" si="29"/>
        <v>0.09</v>
      </c>
      <c r="M142" s="4">
        <f t="shared" si="26"/>
        <v>138.30394039999999</v>
      </c>
      <c r="N142" s="4">
        <f t="shared" si="27"/>
        <v>325.84697999999997</v>
      </c>
    </row>
    <row r="143" spans="1:14">
      <c r="A143" t="str">
        <f t="shared" si="30"/>
        <v>alp_marca</v>
      </c>
      <c r="B143" t="str">
        <f t="shared" si="31"/>
        <v>Oath BR</v>
      </c>
      <c r="C143" t="str">
        <f t="shared" si="32"/>
        <v>alp_marca_alcance_feminino_oath-verizon_display_billboard_ros_rasteiras-rainbow-vermelho_funcional_cpm_970x250_111399_no</v>
      </c>
      <c r="D143" t="str">
        <f t="shared" si="33"/>
        <v>255945996</v>
      </c>
      <c r="E143" t="str">
        <f>IF(Table1[[#This Row],[Impressions]]&gt;Table1[[#This Row],[Clicks]],"Standard",VLOOKUP(CONCATENATE(bd_adtype,"_",bd_creativetype),tabela,2,FALSE))</f>
        <v>Standard</v>
      </c>
      <c r="F143" t="str">
        <f t="shared" si="34"/>
        <v>alp_marca_alcance_feminino_oath-verizon_display_billboard_ros_rasteiras-rainbow-vermelho_funcional_cpm_970x250_111399_no</v>
      </c>
      <c r="G143" t="str">
        <f t="shared" si="35"/>
        <v>451823152</v>
      </c>
      <c r="H143" t="str">
        <f t="shared" si="36"/>
        <v>Display</v>
      </c>
      <c r="I143">
        <f t="shared" si="37"/>
        <v>2</v>
      </c>
      <c r="J143">
        <f t="shared" si="38"/>
        <v>0</v>
      </c>
      <c r="K143" s="4">
        <f t="shared" si="28"/>
        <v>3.8199999999999998E-2</v>
      </c>
      <c r="L143">
        <f t="shared" si="29"/>
        <v>0.09</v>
      </c>
      <c r="M143" s="4">
        <f t="shared" si="26"/>
        <v>7.64E-5</v>
      </c>
      <c r="N143" s="4">
        <f t="shared" si="27"/>
        <v>1.7999999999999998E-4</v>
      </c>
    </row>
    <row r="144" spans="1:14">
      <c r="A144" t="str">
        <f t="shared" si="30"/>
        <v>alp_marca</v>
      </c>
      <c r="B144" t="str">
        <f t="shared" si="31"/>
        <v>Oath BR</v>
      </c>
      <c r="C144" t="str">
        <f t="shared" si="32"/>
        <v>alp_marca_alcance_feminino_oath-verizon_display_billboard_ros_rasteiras-riviera-vermelho_funcional_cpm_970x250_111401_no</v>
      </c>
      <c r="D144" t="str">
        <f t="shared" si="33"/>
        <v>255945966</v>
      </c>
      <c r="E144" t="str">
        <f>IF(Table1[[#This Row],[Impressions]]&gt;Table1[[#This Row],[Clicks]],"Standard",VLOOKUP(CONCATENATE(bd_adtype,"_",bd_creativetype),tabela,2,FALSE))</f>
        <v>Standard</v>
      </c>
      <c r="F144" t="str">
        <f t="shared" si="34"/>
        <v>alp_marca_alcance_feminino_oath-verizon_display_billboard_ros_rasteiras-riviera-vermelho_funcional_cpm_970x250_111401_no</v>
      </c>
      <c r="G144" t="str">
        <f t="shared" si="35"/>
        <v>451823122</v>
      </c>
      <c r="H144" t="str">
        <f t="shared" si="36"/>
        <v>Display</v>
      </c>
      <c r="I144">
        <f t="shared" si="37"/>
        <v>2</v>
      </c>
      <c r="J144">
        <f t="shared" si="38"/>
        <v>0</v>
      </c>
      <c r="K144" s="4">
        <f t="shared" si="28"/>
        <v>3.8199999999999998E-2</v>
      </c>
      <c r="L144">
        <f t="shared" si="29"/>
        <v>0.09</v>
      </c>
      <c r="M144" s="4">
        <f t="shared" si="26"/>
        <v>7.64E-5</v>
      </c>
      <c r="N144" s="4">
        <f t="shared" si="27"/>
        <v>1.7999999999999998E-4</v>
      </c>
    </row>
    <row r="145" spans="1:14">
      <c r="A145" t="str">
        <f t="shared" si="30"/>
        <v>alp_marca</v>
      </c>
      <c r="B145" t="str">
        <f t="shared" si="31"/>
        <v>Oath BR</v>
      </c>
      <c r="C145" t="str">
        <f t="shared" si="32"/>
        <v>alp_marca_alcance_feminino_oath-verizon_display_billboard_ros_rasteiras_fashion_cpm_970x250_111341</v>
      </c>
      <c r="D145" t="str">
        <f t="shared" si="33"/>
        <v>251230706</v>
      </c>
      <c r="E145" t="str">
        <f>IF(Table1[[#This Row],[Impressions]]&gt;Table1[[#This Row],[Clicks]],"Standard",VLOOKUP(CONCATENATE(bd_adtype,"_",bd_creativetype),tabela,2,FALSE))</f>
        <v>Standard</v>
      </c>
      <c r="F145" t="str">
        <f t="shared" si="34"/>
        <v>alp_marca_alcance_feminino_oath-verizon_display_billboard_ros_rasteiras_fashion_cpm_970x250_111341</v>
      </c>
      <c r="G145" t="str">
        <f t="shared" si="35"/>
        <v>447627221</v>
      </c>
      <c r="H145" t="str">
        <f t="shared" si="36"/>
        <v>Tracking</v>
      </c>
      <c r="I145">
        <f t="shared" si="37"/>
        <v>6</v>
      </c>
      <c r="J145">
        <f t="shared" si="38"/>
        <v>0</v>
      </c>
      <c r="K145" s="4">
        <f t="shared" si="28"/>
        <v>3.8199999999999998E-2</v>
      </c>
      <c r="L145">
        <f t="shared" si="29"/>
        <v>0.09</v>
      </c>
      <c r="M145" s="4">
        <f t="shared" si="26"/>
        <v>2.2919999999999999E-4</v>
      </c>
      <c r="N145" s="4">
        <f t="shared" si="27"/>
        <v>5.4000000000000001E-4</v>
      </c>
    </row>
    <row r="146" spans="1:14">
      <c r="A146" t="str">
        <f t="shared" si="30"/>
        <v>alp_marca</v>
      </c>
      <c r="B146" t="str">
        <f t="shared" si="31"/>
        <v>Oath BR</v>
      </c>
      <c r="C146" t="str">
        <f t="shared" si="32"/>
        <v>alp_marca_alcance_feminino_oath-verizon_display_billboard_ros_rasteiras_fashion_cpm_970x250_111391_no</v>
      </c>
      <c r="D146" t="str">
        <f t="shared" si="33"/>
        <v>255295758</v>
      </c>
      <c r="E146" t="str">
        <f>IF(Table1[[#This Row],[Impressions]]&gt;Table1[[#This Row],[Clicks]],"Standard",VLOOKUP(CONCATENATE(bd_adtype,"_",bd_creativetype),tabela,2,FALSE))</f>
        <v>Standard</v>
      </c>
      <c r="F146" t="str">
        <f t="shared" si="34"/>
        <v>alp_marca_alcance_feminino_oath-verizon_display_billboard_ros_rasteiras_fashion_cpm_970x250_111391_no</v>
      </c>
      <c r="G146" t="str">
        <f t="shared" si="35"/>
        <v>451150655</v>
      </c>
      <c r="H146" t="str">
        <f t="shared" si="36"/>
        <v>Display</v>
      </c>
      <c r="I146">
        <f t="shared" si="37"/>
        <v>2</v>
      </c>
      <c r="J146">
        <f t="shared" si="38"/>
        <v>0</v>
      </c>
      <c r="K146" s="4">
        <f t="shared" si="28"/>
        <v>3.8199999999999998E-2</v>
      </c>
      <c r="L146">
        <f t="shared" si="29"/>
        <v>0.09</v>
      </c>
      <c r="M146" s="4">
        <f t="shared" si="26"/>
        <v>7.64E-5</v>
      </c>
      <c r="N146" s="4">
        <f t="shared" si="27"/>
        <v>1.7999999999999998E-4</v>
      </c>
    </row>
    <row r="147" spans="1:14">
      <c r="A147" t="str">
        <f t="shared" si="30"/>
        <v>alp_marca</v>
      </c>
      <c r="B147" t="str">
        <f t="shared" si="31"/>
        <v>Oath BR</v>
      </c>
      <c r="C147" t="str">
        <f t="shared" si="32"/>
        <v>alp_marca_alcance_feminino_oath-verizon_display_billboard_ros_rasteiras_funcional_cpm_970x250_111390_no</v>
      </c>
      <c r="D147" t="str">
        <f t="shared" si="33"/>
        <v>255179614</v>
      </c>
      <c r="E147" t="str">
        <f>IF(Table1[[#This Row],[Impressions]]&gt;Table1[[#This Row],[Clicks]],"Standard",VLOOKUP(CONCATENATE(bd_adtype,"_",bd_creativetype),tabela,2,FALSE))</f>
        <v>Standard</v>
      </c>
      <c r="F147" t="str">
        <f t="shared" si="34"/>
        <v>alp_marca_alcance_feminino_oath-verizon_display_billboard_ros_rasteiras_funcional_cpm_970x250_111390_no</v>
      </c>
      <c r="G147" t="str">
        <f t="shared" si="35"/>
        <v>451217416</v>
      </c>
      <c r="H147" t="str">
        <f t="shared" si="36"/>
        <v>Display</v>
      </c>
      <c r="I147">
        <f t="shared" si="37"/>
        <v>1</v>
      </c>
      <c r="J147">
        <f t="shared" si="38"/>
        <v>0</v>
      </c>
      <c r="K147" s="4">
        <f t="shared" si="28"/>
        <v>3.8199999999999998E-2</v>
      </c>
      <c r="L147">
        <f t="shared" si="29"/>
        <v>0.09</v>
      </c>
      <c r="M147" s="4">
        <f t="shared" si="26"/>
        <v>3.82E-5</v>
      </c>
      <c r="N147" s="4">
        <f t="shared" si="27"/>
        <v>8.9999999999999992E-5</v>
      </c>
    </row>
    <row r="148" spans="1:14">
      <c r="A148" t="str">
        <f t="shared" si="30"/>
        <v>alp_marca</v>
      </c>
      <c r="B148" t="str">
        <f t="shared" si="31"/>
        <v>Oath BR</v>
      </c>
      <c r="C148" t="str">
        <f t="shared" si="32"/>
        <v>alp_marca_alcance_feminino_oath-verizon_display_half-page_ros_rasteiras-print-roxo_fashion_cpm_300x600_111397_no</v>
      </c>
      <c r="D148" t="str">
        <f t="shared" si="33"/>
        <v>255946032</v>
      </c>
      <c r="E148" t="str">
        <f>IF(Table1[[#This Row],[Impressions]]&gt;Table1[[#This Row],[Clicks]],"Standard",VLOOKUP(CONCATENATE(bd_adtype,"_",bd_creativetype),tabela,2,FALSE))</f>
        <v>Standard</v>
      </c>
      <c r="F148" t="str">
        <f t="shared" si="34"/>
        <v>alp_marca_alcance_feminino_oath-verizon_display_half-page_ros_rasteiras-print-roxo_fashion_cpm_300x600_111397_no</v>
      </c>
      <c r="G148" t="str">
        <f t="shared" si="35"/>
        <v>451823188</v>
      </c>
      <c r="H148" t="str">
        <f t="shared" si="36"/>
        <v>Display</v>
      </c>
      <c r="I148">
        <f t="shared" si="37"/>
        <v>2</v>
      </c>
      <c r="J148">
        <f t="shared" si="38"/>
        <v>0</v>
      </c>
      <c r="K148" s="4">
        <f t="shared" si="28"/>
        <v>3.8199999999999998E-2</v>
      </c>
      <c r="L148">
        <f t="shared" si="29"/>
        <v>0.09</v>
      </c>
      <c r="M148" s="4">
        <f t="shared" si="26"/>
        <v>7.64E-5</v>
      </c>
      <c r="N148" s="4">
        <f t="shared" si="27"/>
        <v>1.7999999999999998E-4</v>
      </c>
    </row>
    <row r="149" spans="1:14">
      <c r="A149" t="str">
        <f t="shared" si="30"/>
        <v>alp_marca</v>
      </c>
      <c r="B149" t="str">
        <f t="shared" si="31"/>
        <v>Oath BR</v>
      </c>
      <c r="C149" t="str">
        <f t="shared" si="32"/>
        <v>alp_marca_alcance_feminino_oath-verizon_display_half-page_ros_rasteiras-print-vermelho_funcional_cpm_300x600_111400_no</v>
      </c>
      <c r="D149" t="str">
        <f t="shared" si="33"/>
        <v>255945987</v>
      </c>
      <c r="E149" t="str">
        <f>IF(Table1[[#This Row],[Impressions]]&gt;Table1[[#This Row],[Clicks]],"Standard",VLOOKUP(CONCATENATE(bd_adtype,"_",bd_creativetype),tabela,2,FALSE))</f>
        <v>Standard</v>
      </c>
      <c r="F149" t="str">
        <f t="shared" si="34"/>
        <v>alp_marca_alcance_feminino_oath-verizon_display_half-page_ros_rasteiras-print-vermelho_funcional_cpm_300x600_111400_no</v>
      </c>
      <c r="G149" t="str">
        <f t="shared" si="35"/>
        <v>451823143</v>
      </c>
      <c r="H149" t="str">
        <f t="shared" si="36"/>
        <v>Display</v>
      </c>
      <c r="I149">
        <f t="shared" si="37"/>
        <v>1</v>
      </c>
      <c r="J149">
        <f t="shared" si="38"/>
        <v>0</v>
      </c>
      <c r="K149" s="4">
        <f t="shared" si="28"/>
        <v>3.8199999999999998E-2</v>
      </c>
      <c r="L149">
        <f t="shared" si="29"/>
        <v>0.09</v>
      </c>
      <c r="M149" s="4">
        <f t="shared" si="26"/>
        <v>3.82E-5</v>
      </c>
      <c r="N149" s="4">
        <f t="shared" si="27"/>
        <v>8.9999999999999992E-5</v>
      </c>
    </row>
    <row r="150" spans="1:14">
      <c r="A150" t="str">
        <f t="shared" si="30"/>
        <v>alp_marca</v>
      </c>
      <c r="B150" t="str">
        <f t="shared" si="31"/>
        <v>Oath BR</v>
      </c>
      <c r="C150" t="str">
        <f t="shared" si="32"/>
        <v>alp_marca_alcance_feminino_oath-verizon_display_half-page_ros_rasteiras-rainbow-vermelho_funcional_cpm_300x600_111399_no</v>
      </c>
      <c r="D150" t="str">
        <f t="shared" si="33"/>
        <v>255946002</v>
      </c>
      <c r="E150" t="str">
        <f>IF(Table1[[#This Row],[Impressions]]&gt;Table1[[#This Row],[Clicks]],"Standard",VLOOKUP(CONCATENATE(bd_adtype,"_",bd_creativetype),tabela,2,FALSE))</f>
        <v>Standard</v>
      </c>
      <c r="F150" t="str">
        <f t="shared" si="34"/>
        <v>alp_marca_alcance_feminino_oath-verizon_display_half-page_ros_rasteiras-rainbow-vermelho_funcional_cpm_300x600_111399_no</v>
      </c>
      <c r="G150" t="str">
        <f t="shared" si="35"/>
        <v>451823158</v>
      </c>
      <c r="H150" t="str">
        <f t="shared" si="36"/>
        <v>Display</v>
      </c>
      <c r="I150">
        <f t="shared" si="37"/>
        <v>2</v>
      </c>
      <c r="J150">
        <f t="shared" si="38"/>
        <v>0</v>
      </c>
      <c r="K150" s="4">
        <f t="shared" si="28"/>
        <v>3.8199999999999998E-2</v>
      </c>
      <c r="L150">
        <f t="shared" si="29"/>
        <v>0.09</v>
      </c>
      <c r="M150" s="4">
        <f t="shared" si="26"/>
        <v>7.64E-5</v>
      </c>
      <c r="N150" s="4">
        <f t="shared" si="27"/>
        <v>1.7999999999999998E-4</v>
      </c>
    </row>
    <row r="151" spans="1:14">
      <c r="A151" t="str">
        <f t="shared" si="30"/>
        <v>alp_marca</v>
      </c>
      <c r="B151" t="str">
        <f t="shared" si="31"/>
        <v>Oath BR</v>
      </c>
      <c r="C151" t="str">
        <f t="shared" si="32"/>
        <v>alp_marca_alcance_feminino_oath-verizon_display_half-page_ros_rasteiras-riviera-roxo_fashion_cpm_300x600_111398_no</v>
      </c>
      <c r="D151" t="str">
        <f t="shared" si="33"/>
        <v>255946017</v>
      </c>
      <c r="E151" t="str">
        <f>IF(Table1[[#This Row],[Impressions]]&gt;Table1[[#This Row],[Clicks]],"Standard",VLOOKUP(CONCATENATE(bd_adtype,"_",bd_creativetype),tabela,2,FALSE))</f>
        <v>Standard</v>
      </c>
      <c r="F151" t="str">
        <f t="shared" si="34"/>
        <v>alp_marca_alcance_feminino_oath-verizon_display_half-page_ros_rasteiras-riviera-roxo_fashion_cpm_300x600_111398_no</v>
      </c>
      <c r="G151" t="str">
        <f t="shared" si="35"/>
        <v>451823173</v>
      </c>
      <c r="H151" t="str">
        <f t="shared" si="36"/>
        <v>Display</v>
      </c>
      <c r="I151">
        <f t="shared" si="37"/>
        <v>1</v>
      </c>
      <c r="J151">
        <f t="shared" si="38"/>
        <v>0</v>
      </c>
      <c r="K151" s="4">
        <f t="shared" si="28"/>
        <v>3.8199999999999998E-2</v>
      </c>
      <c r="L151">
        <f t="shared" si="29"/>
        <v>0.09</v>
      </c>
      <c r="M151" s="4">
        <f t="shared" si="26"/>
        <v>3.82E-5</v>
      </c>
      <c r="N151" s="4">
        <f t="shared" si="27"/>
        <v>8.9999999999999992E-5</v>
      </c>
    </row>
    <row r="152" spans="1:14">
      <c r="A152" t="str">
        <f t="shared" si="30"/>
        <v>alp_marca</v>
      </c>
      <c r="B152" t="str">
        <f t="shared" si="31"/>
        <v>Oath BR</v>
      </c>
      <c r="C152" t="str">
        <f t="shared" si="32"/>
        <v>alp_marca_alcance_feminino_oath-verizon_display_retangulo_ros_rasteiras-print-roxo_fashion_cpm_300x250_111397_no</v>
      </c>
      <c r="D152" t="str">
        <f t="shared" si="33"/>
        <v>255946029</v>
      </c>
      <c r="E152" t="str">
        <f>IF(Table1[[#This Row],[Impressions]]&gt;Table1[[#This Row],[Clicks]],"Standard",VLOOKUP(CONCATENATE(bd_adtype,"_",bd_creativetype),tabela,2,FALSE))</f>
        <v>Standard</v>
      </c>
      <c r="F152" t="str">
        <f t="shared" si="34"/>
        <v>alp_marca_alcance_feminino_oath-verizon_display_retangulo_ros_rasteiras-print-roxo_fashion_cpm_300x250_111397_no</v>
      </c>
      <c r="G152" t="str">
        <f t="shared" si="35"/>
        <v>451823185</v>
      </c>
      <c r="H152" t="str">
        <f t="shared" si="36"/>
        <v>Display</v>
      </c>
      <c r="I152">
        <f t="shared" si="37"/>
        <v>3</v>
      </c>
      <c r="J152">
        <f t="shared" si="38"/>
        <v>0</v>
      </c>
      <c r="K152" s="4">
        <f t="shared" si="28"/>
        <v>3.8199999999999998E-2</v>
      </c>
      <c r="L152">
        <f t="shared" si="29"/>
        <v>0.09</v>
      </c>
      <c r="M152" s="4">
        <f t="shared" si="26"/>
        <v>1.1459999999999999E-4</v>
      </c>
      <c r="N152" s="4">
        <f t="shared" si="27"/>
        <v>2.7E-4</v>
      </c>
    </row>
    <row r="153" spans="1:14">
      <c r="A153" t="str">
        <f t="shared" si="30"/>
        <v>alp_marca</v>
      </c>
      <c r="B153" t="str">
        <f t="shared" si="31"/>
        <v>Oath BR</v>
      </c>
      <c r="C153" t="str">
        <f t="shared" si="32"/>
        <v>alp_marca_alcance_feminino_oath-verizon_display_retangulo_ros_rasteiras-rainbow-roxo_fashion_cpm_300x250_111396_no</v>
      </c>
      <c r="D153" t="str">
        <f t="shared" si="33"/>
        <v>255946044</v>
      </c>
      <c r="E153" t="str">
        <f>IF(Table1[[#This Row],[Impressions]]&gt;Table1[[#This Row],[Clicks]],"Standard",VLOOKUP(CONCATENATE(bd_adtype,"_",bd_creativetype),tabela,2,FALSE))</f>
        <v>Standard</v>
      </c>
      <c r="F153" t="str">
        <f t="shared" si="34"/>
        <v>alp_marca_alcance_feminino_oath-verizon_display_retangulo_ros_rasteiras-rainbow-roxo_fashion_cpm_300x250_111396_no</v>
      </c>
      <c r="G153" t="str">
        <f t="shared" si="35"/>
        <v>451823200</v>
      </c>
      <c r="H153" t="str">
        <f t="shared" si="36"/>
        <v>Display</v>
      </c>
      <c r="I153">
        <f t="shared" si="37"/>
        <v>4</v>
      </c>
      <c r="J153">
        <f t="shared" si="38"/>
        <v>0</v>
      </c>
      <c r="K153" s="4">
        <f t="shared" si="28"/>
        <v>3.8199999999999998E-2</v>
      </c>
      <c r="L153">
        <f t="shared" si="29"/>
        <v>0.09</v>
      </c>
      <c r="M153" s="4">
        <f t="shared" si="26"/>
        <v>1.528E-4</v>
      </c>
      <c r="N153" s="4">
        <f t="shared" si="27"/>
        <v>3.5999999999999997E-4</v>
      </c>
    </row>
    <row r="154" spans="1:14">
      <c r="A154" t="str">
        <f t="shared" si="30"/>
        <v>alp_marca</v>
      </c>
      <c r="B154" t="str">
        <f t="shared" si="31"/>
        <v>Oath BR</v>
      </c>
      <c r="C154" t="str">
        <f t="shared" si="32"/>
        <v>alp_marca_alcance_feminino_oath-verizon_display_retangulo_ros_rasteiras-rainbow-vermelho_funcional_cpm_300x250_111399_no</v>
      </c>
      <c r="D154" t="str">
        <f t="shared" si="33"/>
        <v>255945999</v>
      </c>
      <c r="E154" t="str">
        <f>IF(Table1[[#This Row],[Impressions]]&gt;Table1[[#This Row],[Clicks]],"Standard",VLOOKUP(CONCATENATE(bd_adtype,"_",bd_creativetype),tabela,2,FALSE))</f>
        <v>Standard</v>
      </c>
      <c r="F154" t="str">
        <f t="shared" si="34"/>
        <v>alp_marca_alcance_feminino_oath-verizon_display_retangulo_ros_rasteiras-rainbow-vermelho_funcional_cpm_300x250_111399_no</v>
      </c>
      <c r="G154" t="str">
        <f t="shared" si="35"/>
        <v>451823155</v>
      </c>
      <c r="H154" t="str">
        <f t="shared" si="36"/>
        <v>Display</v>
      </c>
      <c r="I154">
        <f t="shared" si="37"/>
        <v>1</v>
      </c>
      <c r="J154">
        <f t="shared" si="38"/>
        <v>0</v>
      </c>
      <c r="K154" s="4">
        <f t="shared" si="28"/>
        <v>3.8199999999999998E-2</v>
      </c>
      <c r="L154">
        <f t="shared" si="29"/>
        <v>0.09</v>
      </c>
      <c r="M154" s="4">
        <f t="shared" si="26"/>
        <v>3.82E-5</v>
      </c>
      <c r="N154" s="4">
        <f t="shared" si="27"/>
        <v>8.9999999999999992E-5</v>
      </c>
    </row>
    <row r="155" spans="1:14">
      <c r="A155" t="str">
        <f t="shared" si="30"/>
        <v>alp_marca</v>
      </c>
      <c r="B155" t="str">
        <f t="shared" si="31"/>
        <v>Oath BR</v>
      </c>
      <c r="C155" t="str">
        <f t="shared" si="32"/>
        <v>alp_marca_alcance_feminino_oath-verizon_display_retangulo_ros_rasteiras-riviera-roxo_fashion_cpm_300x250_111398_no</v>
      </c>
      <c r="D155" t="str">
        <f t="shared" si="33"/>
        <v>255946014</v>
      </c>
      <c r="E155" t="str">
        <f>IF(Table1[[#This Row],[Impressions]]&gt;Table1[[#This Row],[Clicks]],"Standard",VLOOKUP(CONCATENATE(bd_adtype,"_",bd_creativetype),tabela,2,FALSE))</f>
        <v>Standard</v>
      </c>
      <c r="F155" t="str">
        <f t="shared" si="34"/>
        <v>alp_marca_alcance_feminino_oath-verizon_display_retangulo_ros_rasteiras-riviera-roxo_fashion_cpm_300x250_111398_no</v>
      </c>
      <c r="G155" t="str">
        <f t="shared" si="35"/>
        <v>451823170</v>
      </c>
      <c r="H155" t="str">
        <f t="shared" si="36"/>
        <v>Display</v>
      </c>
      <c r="I155">
        <f t="shared" si="37"/>
        <v>3</v>
      </c>
      <c r="J155">
        <f t="shared" si="38"/>
        <v>0</v>
      </c>
      <c r="K155" s="4">
        <f t="shared" si="28"/>
        <v>3.8199999999999998E-2</v>
      </c>
      <c r="L155">
        <f t="shared" si="29"/>
        <v>0.09</v>
      </c>
      <c r="M155" s="4">
        <f t="shared" si="26"/>
        <v>1.1459999999999999E-4</v>
      </c>
      <c r="N155" s="4">
        <f t="shared" si="27"/>
        <v>2.7E-4</v>
      </c>
    </row>
    <row r="156" spans="1:14">
      <c r="A156" t="str">
        <f t="shared" si="30"/>
        <v>alp_marca</v>
      </c>
      <c r="B156" t="str">
        <f t="shared" si="31"/>
        <v>Oath BR</v>
      </c>
      <c r="C156" t="str">
        <f t="shared" si="32"/>
        <v>alp_marca_alcance_feminino_oath-verizon_display_retangulo_ros_rasteiras-riviera-vermelho_funcional_cpm_300x250_111401_no</v>
      </c>
      <c r="D156" t="str">
        <f t="shared" si="33"/>
        <v>255945969</v>
      </c>
      <c r="E156" t="str">
        <f>IF(Table1[[#This Row],[Impressions]]&gt;Table1[[#This Row],[Clicks]],"Standard",VLOOKUP(CONCATENATE(bd_adtype,"_",bd_creativetype),tabela,2,FALSE))</f>
        <v>Standard</v>
      </c>
      <c r="F156" t="str">
        <f t="shared" si="34"/>
        <v>alp_marca_alcance_feminino_oath-verizon_display_retangulo_ros_rasteiras-riviera-vermelho_funcional_cpm_300x250_111401_no</v>
      </c>
      <c r="G156" t="str">
        <f t="shared" si="35"/>
        <v>451823125</v>
      </c>
      <c r="H156" t="str">
        <f t="shared" si="36"/>
        <v>Display</v>
      </c>
      <c r="I156">
        <f t="shared" si="37"/>
        <v>1</v>
      </c>
      <c r="J156">
        <f t="shared" si="38"/>
        <v>0</v>
      </c>
      <c r="K156" s="4">
        <f t="shared" si="28"/>
        <v>3.8199999999999998E-2</v>
      </c>
      <c r="L156">
        <f t="shared" si="29"/>
        <v>0.09</v>
      </c>
      <c r="M156" s="4">
        <f t="shared" si="26"/>
        <v>3.82E-5</v>
      </c>
      <c r="N156" s="4">
        <f t="shared" si="27"/>
        <v>8.9999999999999992E-5</v>
      </c>
    </row>
    <row r="157" spans="1:14">
      <c r="A157" t="str">
        <f t="shared" si="30"/>
        <v>alp_marca</v>
      </c>
      <c r="B157" t="str">
        <f t="shared" si="31"/>
        <v>Oath BR</v>
      </c>
      <c r="C157" t="str">
        <f t="shared" si="32"/>
        <v>alp_marca_alcance_feminino_oath-verizon_display_retangulo_ros_rasteiras_fashion_cpm_300x250_111341</v>
      </c>
      <c r="D157" t="str">
        <f t="shared" si="33"/>
        <v>251526127</v>
      </c>
      <c r="E157" t="str">
        <f>IF(Table1[[#This Row],[Impressions]]&gt;Table1[[#This Row],[Clicks]],"Standard",VLOOKUP(CONCATENATE(bd_adtype,"_",bd_creativetype),tabela,2,FALSE))</f>
        <v>Standard</v>
      </c>
      <c r="F157" t="str">
        <f t="shared" si="34"/>
        <v>1x1 Default Web Ad</v>
      </c>
      <c r="G157" t="str">
        <f t="shared" si="35"/>
        <v>438503523</v>
      </c>
      <c r="H157" t="str">
        <f t="shared" si="36"/>
        <v>Display</v>
      </c>
      <c r="I157">
        <f t="shared" si="37"/>
        <v>1</v>
      </c>
      <c r="J157">
        <f t="shared" si="38"/>
        <v>0</v>
      </c>
      <c r="K157" s="4">
        <f t="shared" si="28"/>
        <v>3.8199999999999998E-2</v>
      </c>
      <c r="L157">
        <f t="shared" si="29"/>
        <v>0.09</v>
      </c>
      <c r="M157" s="4">
        <f t="shared" si="26"/>
        <v>3.82E-5</v>
      </c>
      <c r="N157" s="4">
        <f t="shared" si="27"/>
        <v>8.9999999999999992E-5</v>
      </c>
    </row>
    <row r="158" spans="1:14">
      <c r="A158" t="str">
        <f t="shared" si="30"/>
        <v>alp_marca</v>
      </c>
      <c r="B158" t="str">
        <f t="shared" si="31"/>
        <v>Oath BR</v>
      </c>
      <c r="C158" t="str">
        <f t="shared" si="32"/>
        <v>alp_marca_alcance_feminino_oath-verizon_display_retangulo_ros_rasteiras_fashion_cpm_300x250_111341</v>
      </c>
      <c r="D158" t="str">
        <f t="shared" si="33"/>
        <v>251526127</v>
      </c>
      <c r="E158" t="str">
        <f>IF(Table1[[#This Row],[Impressions]]&gt;Table1[[#This Row],[Clicks]],"Standard",VLOOKUP(CONCATENATE(bd_adtype,"_",bd_creativetype),tabela,2,FALSE))</f>
        <v>Standard</v>
      </c>
      <c r="F158" t="str">
        <f t="shared" si="34"/>
        <v>alp_marca_alcance_feminino_oath-verizon_display_retangulo_ros_rasteiras_fashion_cpm_300x250_111341</v>
      </c>
      <c r="G158" t="str">
        <f t="shared" si="35"/>
        <v>447709948</v>
      </c>
      <c r="H158" t="str">
        <f t="shared" si="36"/>
        <v>Tracking</v>
      </c>
      <c r="I158">
        <f t="shared" si="37"/>
        <v>1</v>
      </c>
      <c r="J158">
        <f t="shared" si="38"/>
        <v>0</v>
      </c>
      <c r="K158" s="4">
        <f t="shared" si="28"/>
        <v>3.8199999999999998E-2</v>
      </c>
      <c r="L158">
        <f t="shared" si="29"/>
        <v>0.09</v>
      </c>
      <c r="M158" s="4">
        <f t="shared" si="26"/>
        <v>3.82E-5</v>
      </c>
      <c r="N158" s="4">
        <f t="shared" si="27"/>
        <v>8.9999999999999992E-5</v>
      </c>
    </row>
    <row r="159" spans="1:14">
      <c r="A159" t="str">
        <f t="shared" si="30"/>
        <v>alp_marca</v>
      </c>
      <c r="B159" t="str">
        <f t="shared" si="31"/>
        <v>Oath BR</v>
      </c>
      <c r="C159" t="str">
        <f t="shared" si="32"/>
        <v>alp_marca_alcance_feminino_oath-verizon_display_retangulo_ros_rasteiras_fashion_cpm_300x250_111391_no</v>
      </c>
      <c r="D159" t="str">
        <f t="shared" si="33"/>
        <v>254831621</v>
      </c>
      <c r="E159" t="str">
        <f>IF(Table1[[#This Row],[Impressions]]&gt;Table1[[#This Row],[Clicks]],"Standard",VLOOKUP(CONCATENATE(bd_adtype,"_",bd_creativetype),tabela,2,FALSE))</f>
        <v>Standard</v>
      </c>
      <c r="F159" t="str">
        <f t="shared" si="34"/>
        <v>alp_marca_alcance_feminino_oath-verizon_display_retangulo_ros_rasteiras_fashion_cpm_300x250_111391_no</v>
      </c>
      <c r="G159" t="str">
        <f t="shared" si="35"/>
        <v>451150649</v>
      </c>
      <c r="H159" t="str">
        <f t="shared" si="36"/>
        <v>Display</v>
      </c>
      <c r="I159">
        <f t="shared" si="37"/>
        <v>1</v>
      </c>
      <c r="J159">
        <f t="shared" si="38"/>
        <v>0</v>
      </c>
      <c r="K159" s="4">
        <f t="shared" si="28"/>
        <v>3.8199999999999998E-2</v>
      </c>
      <c r="L159">
        <f t="shared" si="29"/>
        <v>0.09</v>
      </c>
      <c r="M159" s="4">
        <f t="shared" si="26"/>
        <v>3.82E-5</v>
      </c>
      <c r="N159" s="4">
        <f t="shared" si="27"/>
        <v>8.9999999999999992E-5</v>
      </c>
    </row>
    <row r="160" spans="1:14">
      <c r="A160" t="str">
        <f t="shared" si="30"/>
        <v>alp_marca</v>
      </c>
      <c r="B160" t="str">
        <f t="shared" si="31"/>
        <v>Oath BR</v>
      </c>
      <c r="C160" t="str">
        <f t="shared" si="32"/>
        <v>alp_marca_alcance_feminino_oath-verizon_display_retangulo_ros_rasteiras_funcional_cpm_300x250_111340</v>
      </c>
      <c r="D160" t="str">
        <f t="shared" si="33"/>
        <v>251621979</v>
      </c>
      <c r="E160" t="str">
        <f>IF(Table1[[#This Row],[Impressions]]&gt;Table1[[#This Row],[Clicks]],"Standard",VLOOKUP(CONCATENATE(bd_adtype,"_",bd_creativetype),tabela,2,FALSE))</f>
        <v>Standard</v>
      </c>
      <c r="F160" t="str">
        <f t="shared" si="34"/>
        <v>1x1 Default Web Ad</v>
      </c>
      <c r="G160" t="str">
        <f t="shared" si="35"/>
        <v>438503523</v>
      </c>
      <c r="H160" t="str">
        <f t="shared" si="36"/>
        <v>Display</v>
      </c>
      <c r="I160">
        <f t="shared" si="37"/>
        <v>1</v>
      </c>
      <c r="J160">
        <f t="shared" si="38"/>
        <v>0</v>
      </c>
      <c r="K160" s="4">
        <f t="shared" si="28"/>
        <v>3.8199999999999998E-2</v>
      </c>
      <c r="L160">
        <f t="shared" si="29"/>
        <v>0.09</v>
      </c>
      <c r="M160" s="4">
        <f t="shared" si="26"/>
        <v>3.82E-5</v>
      </c>
      <c r="N160" s="4">
        <f t="shared" si="27"/>
        <v>8.9999999999999992E-5</v>
      </c>
    </row>
    <row r="161" spans="1:14">
      <c r="A161" t="str">
        <f t="shared" si="30"/>
        <v>alp_marca</v>
      </c>
      <c r="B161" t="str">
        <f t="shared" si="31"/>
        <v>Oath BR</v>
      </c>
      <c r="C161" t="str">
        <f t="shared" si="32"/>
        <v>alp_marca_alcance_feminino_oath-verizon_display_retangulo_ros_rasteiras_funcional_cpm_300x250_111340</v>
      </c>
      <c r="D161" t="str">
        <f t="shared" si="33"/>
        <v>251621979</v>
      </c>
      <c r="E161" t="str">
        <f>IF(Table1[[#This Row],[Impressions]]&gt;Table1[[#This Row],[Clicks]],"Standard",VLOOKUP(CONCATENATE(bd_adtype,"_",bd_creativetype),tabela,2,FALSE))</f>
        <v>Standard</v>
      </c>
      <c r="F161" t="str">
        <f t="shared" si="34"/>
        <v>alp_marca_alcance_feminino_oath-verizon_display_retangulo_ros_rasteiras_funcional_cpm_300x250_111340</v>
      </c>
      <c r="G161" t="str">
        <f t="shared" si="35"/>
        <v>447710785</v>
      </c>
      <c r="H161" t="str">
        <f t="shared" si="36"/>
        <v>Tracking</v>
      </c>
      <c r="I161">
        <f t="shared" si="37"/>
        <v>1</v>
      </c>
      <c r="J161">
        <f t="shared" si="38"/>
        <v>0</v>
      </c>
      <c r="K161" s="4">
        <f t="shared" si="28"/>
        <v>3.8199999999999998E-2</v>
      </c>
      <c r="L161">
        <f t="shared" si="29"/>
        <v>0.09</v>
      </c>
      <c r="M161" s="4">
        <f t="shared" si="26"/>
        <v>3.82E-5</v>
      </c>
      <c r="N161" s="4">
        <f t="shared" si="27"/>
        <v>8.9999999999999992E-5</v>
      </c>
    </row>
    <row r="162" spans="1:14">
      <c r="A162" t="str">
        <f t="shared" si="30"/>
        <v>alp_marca</v>
      </c>
      <c r="B162" t="str">
        <f t="shared" si="31"/>
        <v>Oath BR</v>
      </c>
      <c r="C162" t="str">
        <f t="shared" si="32"/>
        <v>alp_marca_alcance_feminino_oath-verizon_display_retangulo_ros_rasteiras_funcional_cpm_300x250_111390_no</v>
      </c>
      <c r="D162" t="str">
        <f t="shared" si="33"/>
        <v>254844014</v>
      </c>
      <c r="E162" t="str">
        <f>IF(Table1[[#This Row],[Impressions]]&gt;Table1[[#This Row],[Clicks]],"Standard",VLOOKUP(CONCATENATE(bd_adtype,"_",bd_creativetype),tabela,2,FALSE))</f>
        <v>Standard</v>
      </c>
      <c r="F162" t="str">
        <f t="shared" si="34"/>
        <v>alp_marca_alcance_feminino_oath-verizon_display_retangulo_ros_rasteiras_funcional_cpm_300x250_111390_no</v>
      </c>
      <c r="G162" t="str">
        <f t="shared" si="35"/>
        <v>451217413</v>
      </c>
      <c r="H162" t="str">
        <f t="shared" si="36"/>
        <v>Display</v>
      </c>
      <c r="I162">
        <f t="shared" si="37"/>
        <v>1</v>
      </c>
      <c r="J162">
        <f t="shared" si="38"/>
        <v>0</v>
      </c>
      <c r="K162" s="4">
        <f t="shared" si="28"/>
        <v>3.8199999999999998E-2</v>
      </c>
      <c r="L162">
        <f t="shared" si="29"/>
        <v>0.09</v>
      </c>
      <c r="M162" s="4">
        <f t="shared" si="26"/>
        <v>3.82E-5</v>
      </c>
      <c r="N162" s="4">
        <f t="shared" si="27"/>
        <v>8.9999999999999992E-5</v>
      </c>
    </row>
    <row r="163" spans="1:14">
      <c r="A163" t="str">
        <f t="shared" si="30"/>
        <v>alp_marca</v>
      </c>
      <c r="B163" t="str">
        <f t="shared" si="31"/>
        <v>Oath BR</v>
      </c>
      <c r="C163" t="str">
        <f t="shared" si="32"/>
        <v>alp_marca_alcance_feminino_oath-verizon_display_superbanner_ros_rasteiras-print-roxo_fashion_cpm_728x90_111397_no</v>
      </c>
      <c r="D163" t="str">
        <f t="shared" si="33"/>
        <v>255946038</v>
      </c>
      <c r="E163" t="str">
        <f>IF(Table1[[#This Row],[Impressions]]&gt;Table1[[#This Row],[Clicks]],"Standard",VLOOKUP(CONCATENATE(bd_adtype,"_",bd_creativetype),tabela,2,FALSE))</f>
        <v>Standard</v>
      </c>
      <c r="F163" t="str">
        <f t="shared" si="34"/>
        <v>alp_marca_alcance_feminino_oath-verizon_display_superbanner_ros_rasteiras-print-roxo_fashion_cpm_728x90_111397_no</v>
      </c>
      <c r="G163" t="str">
        <f t="shared" si="35"/>
        <v>451823194</v>
      </c>
      <c r="H163" t="str">
        <f t="shared" si="36"/>
        <v>Display</v>
      </c>
      <c r="I163">
        <f t="shared" si="37"/>
        <v>1</v>
      </c>
      <c r="J163">
        <f t="shared" si="38"/>
        <v>0</v>
      </c>
      <c r="K163" s="4">
        <f t="shared" si="28"/>
        <v>3.8199999999999998E-2</v>
      </c>
      <c r="L163">
        <f t="shared" si="29"/>
        <v>0.09</v>
      </c>
      <c r="M163" s="4">
        <f t="shared" ref="M163:M226" si="39">IF(E163="Dynamic Click",J163*K163,K163*$I163/1000)</f>
        <v>3.82E-5</v>
      </c>
      <c r="N163" s="4">
        <f t="shared" ref="N163:N226" si="40">IF(E163="Dynamic Click",J163*L163,L163*$I163/1000)</f>
        <v>8.9999999999999992E-5</v>
      </c>
    </row>
    <row r="164" spans="1:14">
      <c r="A164" t="str">
        <f t="shared" si="30"/>
        <v>alp_marca</v>
      </c>
      <c r="B164" t="str">
        <f t="shared" si="31"/>
        <v>Oath BR</v>
      </c>
      <c r="C164" t="str">
        <f t="shared" si="32"/>
        <v>alp_marca_alcance_feminino_oath-verizon_display_superbanner_ros_rasteiras-print-vermelho_funcional_cpm_728x90_111400_no</v>
      </c>
      <c r="D164" t="str">
        <f t="shared" si="33"/>
        <v>255945993</v>
      </c>
      <c r="E164" t="str">
        <f>IF(Table1[[#This Row],[Impressions]]&gt;Table1[[#This Row],[Clicks]],"Standard",VLOOKUP(CONCATENATE(bd_adtype,"_",bd_creativetype),tabela,2,FALSE))</f>
        <v>Standard</v>
      </c>
      <c r="F164" t="str">
        <f t="shared" si="34"/>
        <v>alp_marca_alcance_feminino_oath-verizon_display_superbanner_ros_rasteiras-print-vermelho_funcional_cpm_728x90_111400_no</v>
      </c>
      <c r="G164" t="str">
        <f t="shared" si="35"/>
        <v>451823149</v>
      </c>
      <c r="H164" t="str">
        <f t="shared" si="36"/>
        <v>Display</v>
      </c>
      <c r="I164">
        <f t="shared" si="37"/>
        <v>1</v>
      </c>
      <c r="J164">
        <f t="shared" si="38"/>
        <v>0</v>
      </c>
      <c r="K164" s="4">
        <f t="shared" si="28"/>
        <v>3.8199999999999998E-2</v>
      </c>
      <c r="L164">
        <f t="shared" si="29"/>
        <v>0.09</v>
      </c>
      <c r="M164" s="4">
        <f t="shared" si="39"/>
        <v>3.82E-5</v>
      </c>
      <c r="N164" s="4">
        <f t="shared" si="40"/>
        <v>8.9999999999999992E-5</v>
      </c>
    </row>
    <row r="165" spans="1:14">
      <c r="A165" t="str">
        <f t="shared" si="30"/>
        <v>alp_marca</v>
      </c>
      <c r="B165" t="str">
        <f t="shared" si="31"/>
        <v>Oath BR</v>
      </c>
      <c r="C165" t="str">
        <f t="shared" si="32"/>
        <v>alp_marca_alcance_feminino_oath-verizon_display_superbanner_ros_rasteiras-rainbow-vermelho_funcional_cpm_728x90_111399_no</v>
      </c>
      <c r="D165" t="str">
        <f t="shared" si="33"/>
        <v>255946008</v>
      </c>
      <c r="E165" t="str">
        <f>IF(Table1[[#This Row],[Impressions]]&gt;Table1[[#This Row],[Clicks]],"Standard",VLOOKUP(CONCATENATE(bd_adtype,"_",bd_creativetype),tabela,2,FALSE))</f>
        <v>Standard</v>
      </c>
      <c r="F165" t="str">
        <f t="shared" si="34"/>
        <v>alp_marca_alcance_feminino_oath-verizon_display_superbanner_ros_rasteiras-rainbow-vermelho_funcional_cpm_728x90_111399_no</v>
      </c>
      <c r="G165" t="str">
        <f t="shared" si="35"/>
        <v>451823164</v>
      </c>
      <c r="H165" t="str">
        <f t="shared" si="36"/>
        <v>Display</v>
      </c>
      <c r="I165">
        <f t="shared" si="37"/>
        <v>1</v>
      </c>
      <c r="J165">
        <f t="shared" si="38"/>
        <v>0</v>
      </c>
      <c r="K165" s="4">
        <f t="shared" si="28"/>
        <v>3.8199999999999998E-2</v>
      </c>
      <c r="L165">
        <f t="shared" si="29"/>
        <v>0.09</v>
      </c>
      <c r="M165" s="4">
        <f t="shared" si="39"/>
        <v>3.82E-5</v>
      </c>
      <c r="N165" s="4">
        <f t="shared" si="40"/>
        <v>8.9999999999999992E-5</v>
      </c>
    </row>
    <row r="166" spans="1:14">
      <c r="A166" t="str">
        <f t="shared" si="30"/>
        <v>alp_marca</v>
      </c>
      <c r="B166" t="str">
        <f t="shared" si="31"/>
        <v>Oath BR</v>
      </c>
      <c r="C166" t="str">
        <f t="shared" si="32"/>
        <v>alp_marca_alcance_feminino_oath-verizon_display_superbanner_ros_rasteiras_fashion_cpm_728x90_111341</v>
      </c>
      <c r="D166" t="str">
        <f t="shared" si="33"/>
        <v>251527402</v>
      </c>
      <c r="E166" t="str">
        <f>IF(Table1[[#This Row],[Impressions]]&gt;Table1[[#This Row],[Clicks]],"Standard",VLOOKUP(CONCATENATE(bd_adtype,"_",bd_creativetype),tabela,2,FALSE))</f>
        <v>Dynamic Click</v>
      </c>
      <c r="F166" t="str">
        <f t="shared" si="34"/>
        <v>alp_marca_alcance_feminino_oath-verizon_display_superbanner_ros_rasteiras_fashion_cpm_728x90_111341</v>
      </c>
      <c r="G166" t="str">
        <f t="shared" si="35"/>
        <v>447711490</v>
      </c>
      <c r="H166" t="str">
        <f t="shared" si="36"/>
        <v>Tracking</v>
      </c>
      <c r="I166">
        <f t="shared" si="37"/>
        <v>0</v>
      </c>
      <c r="J166">
        <f t="shared" si="38"/>
        <v>2</v>
      </c>
      <c r="K166" s="4">
        <f t="shared" si="28"/>
        <v>3.5000000000000001E-3</v>
      </c>
      <c r="L166">
        <f t="shared" si="29"/>
        <v>0.02</v>
      </c>
      <c r="M166" s="4">
        <f t="shared" si="39"/>
        <v>7.0000000000000001E-3</v>
      </c>
      <c r="N166" s="4">
        <f t="shared" si="40"/>
        <v>0.04</v>
      </c>
    </row>
    <row r="167" spans="1:14">
      <c r="A167" t="str">
        <f t="shared" si="30"/>
        <v>alp_marca</v>
      </c>
      <c r="B167" t="str">
        <f t="shared" si="31"/>
        <v>Oath BR</v>
      </c>
      <c r="C167" t="str">
        <f t="shared" si="32"/>
        <v>alp_marca_alcance_feminino_oath-verizon_display_superbanner_ros_rasteiras_funcional_cpm_728x90_111390_no</v>
      </c>
      <c r="D167" t="str">
        <f t="shared" si="33"/>
        <v>254843891</v>
      </c>
      <c r="E167" t="str">
        <f>IF(Table1[[#This Row],[Impressions]]&gt;Table1[[#This Row],[Clicks]],"Standard",VLOOKUP(CONCATENATE(bd_adtype,"_",bd_creativetype),tabela,2,FALSE))</f>
        <v>Standard</v>
      </c>
      <c r="F167" t="str">
        <f t="shared" si="34"/>
        <v>alp_marca_alcance_feminino_oath-verizon_display_superbanner_ros_rasteiras_funcional_cpm_728x90_111390_no</v>
      </c>
      <c r="G167" t="str">
        <f t="shared" si="35"/>
        <v>451107786</v>
      </c>
      <c r="H167" t="str">
        <f t="shared" si="36"/>
        <v>Display</v>
      </c>
      <c r="I167">
        <f t="shared" si="37"/>
        <v>2</v>
      </c>
      <c r="J167">
        <f t="shared" si="38"/>
        <v>0</v>
      </c>
      <c r="K167" s="4">
        <f t="shared" si="28"/>
        <v>3.8199999999999998E-2</v>
      </c>
      <c r="L167">
        <f t="shared" si="29"/>
        <v>0.09</v>
      </c>
      <c r="M167" s="4">
        <f t="shared" si="39"/>
        <v>7.64E-5</v>
      </c>
      <c r="N167" s="4">
        <f t="shared" si="40"/>
        <v>1.7999999999999998E-4</v>
      </c>
    </row>
    <row r="168" spans="1:14">
      <c r="A168" t="str">
        <f t="shared" si="30"/>
        <v>alp_marca</v>
      </c>
      <c r="B168" t="str">
        <f t="shared" si="31"/>
        <v>Oath BR</v>
      </c>
      <c r="C168" t="str">
        <f t="shared" si="32"/>
        <v>alp_marca_alcance_feminino_oath-verizon_display_superheader-mobile_ros_rasteiras-print-roxo_fashion_cpm_320x100_111397_no</v>
      </c>
      <c r="D168" t="str">
        <f t="shared" si="33"/>
        <v>255946035</v>
      </c>
      <c r="E168" t="str">
        <f>IF(Table1[[#This Row],[Impressions]]&gt;Table1[[#This Row],[Clicks]],"Standard",VLOOKUP(CONCATENATE(bd_adtype,"_",bd_creativetype),tabela,2,FALSE))</f>
        <v>Standard</v>
      </c>
      <c r="F168" t="str">
        <f t="shared" si="34"/>
        <v>alp_marca_alcance_feminino_oath-verizon_display_superheader-mobile_ros_rasteiras-print-roxo_fashion_cpm_320x100_111397_no</v>
      </c>
      <c r="G168" t="str">
        <f t="shared" si="35"/>
        <v>451823191</v>
      </c>
      <c r="H168" t="str">
        <f t="shared" si="36"/>
        <v>Display</v>
      </c>
      <c r="I168">
        <f t="shared" si="37"/>
        <v>3</v>
      </c>
      <c r="J168">
        <f t="shared" si="38"/>
        <v>0</v>
      </c>
      <c r="K168" s="4">
        <f t="shared" si="28"/>
        <v>3.8199999999999998E-2</v>
      </c>
      <c r="L168">
        <f t="shared" si="29"/>
        <v>0.09</v>
      </c>
      <c r="M168" s="4">
        <f t="shared" si="39"/>
        <v>1.1459999999999999E-4</v>
      </c>
      <c r="N168" s="4">
        <f t="shared" si="40"/>
        <v>2.7E-4</v>
      </c>
    </row>
    <row r="169" spans="1:14">
      <c r="A169" t="str">
        <f t="shared" si="30"/>
        <v>alp_marca</v>
      </c>
      <c r="B169" t="str">
        <f t="shared" si="31"/>
        <v>Oath BR</v>
      </c>
      <c r="C169" t="str">
        <f t="shared" si="32"/>
        <v>alp_marca_alcance_feminino_oath-verizon_display_superheader-mobile_ros_rasteiras-print-vermelho_funcional_cpm_320x100_111400_no</v>
      </c>
      <c r="D169" t="str">
        <f t="shared" si="33"/>
        <v>255945990</v>
      </c>
      <c r="E169" t="str">
        <f>IF(Table1[[#This Row],[Impressions]]&gt;Table1[[#This Row],[Clicks]],"Standard",VLOOKUP(CONCATENATE(bd_adtype,"_",bd_creativetype),tabela,2,FALSE))</f>
        <v>Standard</v>
      </c>
      <c r="F169" t="str">
        <f t="shared" si="34"/>
        <v>alp_marca_alcance_feminino_oath-verizon_display_superheader-mobile_ros_rasteiras-print-vermelho_funcional_cpm_320x100_111400_no</v>
      </c>
      <c r="G169" t="str">
        <f t="shared" si="35"/>
        <v>451823146</v>
      </c>
      <c r="H169" t="str">
        <f t="shared" si="36"/>
        <v>Display</v>
      </c>
      <c r="I169">
        <f t="shared" si="37"/>
        <v>1</v>
      </c>
      <c r="J169">
        <f t="shared" si="38"/>
        <v>0</v>
      </c>
      <c r="K169" s="4">
        <f t="shared" si="28"/>
        <v>3.8199999999999998E-2</v>
      </c>
      <c r="L169">
        <f t="shared" si="29"/>
        <v>0.09</v>
      </c>
      <c r="M169" s="4">
        <f t="shared" si="39"/>
        <v>3.82E-5</v>
      </c>
      <c r="N169" s="4">
        <f t="shared" si="40"/>
        <v>8.9999999999999992E-5</v>
      </c>
    </row>
    <row r="170" spans="1:14">
      <c r="A170" t="str">
        <f t="shared" si="30"/>
        <v>alp_marca</v>
      </c>
      <c r="B170" t="str">
        <f t="shared" si="31"/>
        <v>Oath BR</v>
      </c>
      <c r="C170" t="str">
        <f t="shared" si="32"/>
        <v>alp_marca_alcance_feminino_oath-verizon_display_superheader-mobile_ros_rasteiras-rainbow-roxo_fashion_cpm_320x100_111396_no</v>
      </c>
      <c r="D170" t="str">
        <f t="shared" si="33"/>
        <v>255946050</v>
      </c>
      <c r="E170" t="str">
        <f>IF(Table1[[#This Row],[Impressions]]&gt;Table1[[#This Row],[Clicks]],"Standard",VLOOKUP(CONCATENATE(bd_adtype,"_",bd_creativetype),tabela,2,FALSE))</f>
        <v>Standard</v>
      </c>
      <c r="F170" t="str">
        <f t="shared" si="34"/>
        <v>alp_marca_alcance_feminino_oath-verizon_display_superheader-mobile_ros_rasteiras-rainbow-roxo_fashion_cpm_320x100_111396_no</v>
      </c>
      <c r="G170" t="str">
        <f t="shared" si="35"/>
        <v>451823206</v>
      </c>
      <c r="H170" t="str">
        <f t="shared" si="36"/>
        <v>Display</v>
      </c>
      <c r="I170">
        <f t="shared" si="37"/>
        <v>2</v>
      </c>
      <c r="J170">
        <f t="shared" si="38"/>
        <v>0</v>
      </c>
      <c r="K170" s="4">
        <f t="shared" si="28"/>
        <v>3.8199999999999998E-2</v>
      </c>
      <c r="L170">
        <f t="shared" si="29"/>
        <v>0.09</v>
      </c>
      <c r="M170" s="4">
        <f t="shared" si="39"/>
        <v>7.64E-5</v>
      </c>
      <c r="N170" s="4">
        <f t="shared" si="40"/>
        <v>1.7999999999999998E-4</v>
      </c>
    </row>
    <row r="171" spans="1:14">
      <c r="A171" t="str">
        <f t="shared" si="30"/>
        <v>alp_marca</v>
      </c>
      <c r="B171" t="str">
        <f t="shared" si="31"/>
        <v>Oath BR</v>
      </c>
      <c r="C171" t="str">
        <f t="shared" si="32"/>
        <v>alp_marca_alcance_feminino_oath-verizon_display_superheader-mobile_ros_rasteiras-riviera-roxo_fashion_cpm_320x100_111398_no</v>
      </c>
      <c r="D171" t="str">
        <f t="shared" si="33"/>
        <v>255946020</v>
      </c>
      <c r="E171" t="str">
        <f>IF(Table1[[#This Row],[Impressions]]&gt;Table1[[#This Row],[Clicks]],"Standard",VLOOKUP(CONCATENATE(bd_adtype,"_",bd_creativetype),tabela,2,FALSE))</f>
        <v>Standard</v>
      </c>
      <c r="F171" t="str">
        <f t="shared" si="34"/>
        <v>alp_marca_alcance_feminino_oath-verizon_display_superheader-mobile_ros_rasteiras-riviera-roxo_fashion_cpm_320x100_111398_no</v>
      </c>
      <c r="G171" t="str">
        <f t="shared" si="35"/>
        <v>451823176</v>
      </c>
      <c r="H171" t="str">
        <f t="shared" si="36"/>
        <v>Display</v>
      </c>
      <c r="I171">
        <f t="shared" si="37"/>
        <v>5</v>
      </c>
      <c r="J171">
        <f t="shared" si="38"/>
        <v>0</v>
      </c>
      <c r="K171" s="4">
        <f t="shared" si="28"/>
        <v>3.8199999999999998E-2</v>
      </c>
      <c r="L171">
        <f t="shared" si="29"/>
        <v>0.09</v>
      </c>
      <c r="M171" s="4">
        <f t="shared" si="39"/>
        <v>1.9100000000000001E-4</v>
      </c>
      <c r="N171" s="4">
        <f t="shared" si="40"/>
        <v>4.4999999999999993E-4</v>
      </c>
    </row>
    <row r="172" spans="1:14">
      <c r="A172" t="str">
        <f t="shared" si="30"/>
        <v>alp_marca</v>
      </c>
      <c r="B172" t="str">
        <f t="shared" si="31"/>
        <v>Oath BR</v>
      </c>
      <c r="C172" t="str">
        <f t="shared" si="32"/>
        <v>alp_marca_alcance_feminino_oath-verizon_display_superheader-mobile_ros_rasteiras-riviera-vermelho_funcional_cpm_320x100_111401_no</v>
      </c>
      <c r="D172" t="str">
        <f t="shared" si="33"/>
        <v>255945975</v>
      </c>
      <c r="E172" t="str">
        <f>IF(Table1[[#This Row],[Impressions]]&gt;Table1[[#This Row],[Clicks]],"Standard",VLOOKUP(CONCATENATE(bd_adtype,"_",bd_creativetype),tabela,2,FALSE))</f>
        <v>Standard</v>
      </c>
      <c r="F172" t="str">
        <f t="shared" si="34"/>
        <v>alp_marca_alcance_feminino_oath-verizon_display_superheader-mobile_ros_rasteiras-riviera-vermelho_funcional_cpm_320x100_111401_no</v>
      </c>
      <c r="G172" t="str">
        <f t="shared" si="35"/>
        <v>451823131</v>
      </c>
      <c r="H172" t="str">
        <f t="shared" si="36"/>
        <v>Display</v>
      </c>
      <c r="I172">
        <f t="shared" si="37"/>
        <v>1</v>
      </c>
      <c r="J172">
        <f t="shared" si="38"/>
        <v>0</v>
      </c>
      <c r="K172" s="4">
        <f t="shared" ref="K172:K235" si="41">IF(LEFT(B172,3)="DBM",0,VLOOKUP(E172,tabela,2,FALSE))</f>
        <v>3.8199999999999998E-2</v>
      </c>
      <c r="L172">
        <f t="shared" ref="L172:L235" si="42">VLOOKUP(E172,tabela,3,FALSE)</f>
        <v>0.09</v>
      </c>
      <c r="M172" s="4">
        <f t="shared" si="39"/>
        <v>3.82E-5</v>
      </c>
      <c r="N172" s="4">
        <f t="shared" si="40"/>
        <v>8.9999999999999992E-5</v>
      </c>
    </row>
    <row r="173" spans="1:14">
      <c r="A173" t="str">
        <f t="shared" si="30"/>
        <v>alp_marca</v>
      </c>
      <c r="B173" t="str">
        <f t="shared" si="31"/>
        <v>Oath BR</v>
      </c>
      <c r="C173" t="str">
        <f t="shared" si="32"/>
        <v>alp_marca_alcance_feminino_oath-verizon_display_superheader-mobile_ros_rasteiras_fashion_cpm_320x100_111391_no</v>
      </c>
      <c r="D173" t="str">
        <f t="shared" si="33"/>
        <v>254831618</v>
      </c>
      <c r="E173" t="str">
        <f>IF(Table1[[#This Row],[Impressions]]&gt;Table1[[#This Row],[Clicks]],"Standard",VLOOKUP(CONCATENATE(bd_adtype,"_",bd_creativetype),tabela,2,FALSE))</f>
        <v>Standard</v>
      </c>
      <c r="F173" t="str">
        <f t="shared" si="34"/>
        <v>alp_marca_alcance_feminino_oath-verizon_display_superheader-mobile_ros_rasteiras_fashion_cpm_320x100_111391_no</v>
      </c>
      <c r="G173" t="str">
        <f t="shared" si="35"/>
        <v>451104663</v>
      </c>
      <c r="H173" t="str">
        <f t="shared" si="36"/>
        <v>Display</v>
      </c>
      <c r="I173">
        <f t="shared" si="37"/>
        <v>3</v>
      </c>
      <c r="J173">
        <f t="shared" si="38"/>
        <v>0</v>
      </c>
      <c r="K173" s="4">
        <f t="shared" si="41"/>
        <v>3.8199999999999998E-2</v>
      </c>
      <c r="L173">
        <f t="shared" si="42"/>
        <v>0.09</v>
      </c>
      <c r="M173" s="4">
        <f t="shared" si="39"/>
        <v>1.1459999999999999E-4</v>
      </c>
      <c r="N173" s="4">
        <f t="shared" si="40"/>
        <v>2.7E-4</v>
      </c>
    </row>
    <row r="174" spans="1:14">
      <c r="A174" t="str">
        <f t="shared" si="30"/>
        <v>alp_marca</v>
      </c>
      <c r="B174" t="str">
        <f t="shared" si="31"/>
        <v>Oath BR</v>
      </c>
      <c r="C174" t="str">
        <f t="shared" si="32"/>
        <v>alp_marca_alcance_feminino_oath-verizon_display_superheader-mobile_ros_rasteiras_funcional_cpm_320x100_111390_no</v>
      </c>
      <c r="D174" t="str">
        <f t="shared" si="33"/>
        <v>254843897</v>
      </c>
      <c r="E174" t="str">
        <f>IF(Table1[[#This Row],[Impressions]]&gt;Table1[[#This Row],[Clicks]],"Standard",VLOOKUP(CONCATENATE(bd_adtype,"_",bd_creativetype),tabela,2,FALSE))</f>
        <v>Standard</v>
      </c>
      <c r="F174" t="str">
        <f t="shared" si="34"/>
        <v>alp_marca_alcance_feminino_oath-verizon_display_superheader-mobile_ros_rasteiras_funcional_cpm_320x100_111390_no</v>
      </c>
      <c r="G174" t="str">
        <f t="shared" si="35"/>
        <v>451161041</v>
      </c>
      <c r="H174" t="str">
        <f t="shared" si="36"/>
        <v>Display</v>
      </c>
      <c r="I174">
        <f t="shared" si="37"/>
        <v>1</v>
      </c>
      <c r="J174">
        <f t="shared" si="38"/>
        <v>0</v>
      </c>
      <c r="K174" s="4">
        <f t="shared" si="41"/>
        <v>3.8199999999999998E-2</v>
      </c>
      <c r="L174">
        <f t="shared" si="42"/>
        <v>0.09</v>
      </c>
      <c r="M174" s="4">
        <f t="shared" si="39"/>
        <v>3.82E-5</v>
      </c>
      <c r="N174" s="4">
        <f t="shared" si="40"/>
        <v>8.9999999999999992E-5</v>
      </c>
    </row>
    <row r="175" spans="1:14">
      <c r="A175" t="str">
        <f t="shared" si="30"/>
        <v>alp_marca</v>
      </c>
      <c r="B175" t="str">
        <f t="shared" si="31"/>
        <v>Oath BR</v>
      </c>
      <c r="C175" t="str">
        <f t="shared" si="32"/>
        <v>alp_marca_alcance_masculino_oath-verizon_display_retangulo-expansivel_ros_havaianas-urban-rubinho_all_cpm_300x250_111376</v>
      </c>
      <c r="D175" t="str">
        <f t="shared" si="33"/>
        <v>253037135</v>
      </c>
      <c r="E175" t="str">
        <f>IF(Table1[[#This Row],[Impressions]]&gt;Table1[[#This Row],[Clicks]],"Standard",VLOOKUP(CONCATENATE(bd_adtype,"_",bd_creativetype),tabela,2,FALSE))</f>
        <v>Dynamic Click</v>
      </c>
      <c r="F175" t="str">
        <f t="shared" si="34"/>
        <v>alp_marca_alcance_masculino_oath-verizon_display_retangulo-expansivel_ros_havaianas-urban-rubinho_all_cpm_300x250_111376</v>
      </c>
      <c r="G175" t="str">
        <f t="shared" si="35"/>
        <v>449494873</v>
      </c>
      <c r="H175" t="str">
        <f t="shared" si="36"/>
        <v>Tracking</v>
      </c>
      <c r="I175">
        <f t="shared" si="37"/>
        <v>0</v>
      </c>
      <c r="J175">
        <f t="shared" si="38"/>
        <v>27</v>
      </c>
      <c r="K175" s="4">
        <f t="shared" si="41"/>
        <v>3.5000000000000001E-3</v>
      </c>
      <c r="L175">
        <f t="shared" si="42"/>
        <v>0.02</v>
      </c>
      <c r="M175" s="4">
        <f t="shared" si="39"/>
        <v>9.4500000000000001E-2</v>
      </c>
      <c r="N175" s="4">
        <f t="shared" si="40"/>
        <v>0.54</v>
      </c>
    </row>
    <row r="176" spans="1:14">
      <c r="A176" t="str">
        <f t="shared" si="30"/>
        <v>alp_marca</v>
      </c>
      <c r="B176" t="str">
        <f t="shared" si="31"/>
        <v>Oath BR</v>
      </c>
      <c r="C176" t="str">
        <f t="shared" si="32"/>
        <v>alp_marca_alcance_masculino_oath-verizon_display_video-canvas_ros_havaianas-urban-rubinho_all_cpm_no-size_111375</v>
      </c>
      <c r="D176" t="str">
        <f t="shared" si="33"/>
        <v>253037627</v>
      </c>
      <c r="E176" t="str">
        <f>IF(Table1[[#This Row],[Impressions]]&gt;Table1[[#This Row],[Clicks]],"Standard",VLOOKUP(CONCATENATE(bd_adtype,"_",bd_creativetype),tabela,2,FALSE))</f>
        <v>Dynamic Click</v>
      </c>
      <c r="F176" t="str">
        <f t="shared" si="34"/>
        <v>alp_marca_alcance_masculino_oath-verizon_display_video-canvas_ros_havaianas-urban-rubinho_all_cpm_no-size_111375</v>
      </c>
      <c r="G176" t="str">
        <f t="shared" si="35"/>
        <v>449391336</v>
      </c>
      <c r="H176" t="str">
        <f t="shared" si="36"/>
        <v>Tracking</v>
      </c>
      <c r="I176">
        <f t="shared" si="37"/>
        <v>1</v>
      </c>
      <c r="J176">
        <f t="shared" si="38"/>
        <v>1</v>
      </c>
      <c r="K176" s="4">
        <f t="shared" si="41"/>
        <v>3.5000000000000001E-3</v>
      </c>
      <c r="L176">
        <f t="shared" si="42"/>
        <v>0.02</v>
      </c>
      <c r="M176" s="4">
        <f t="shared" si="39"/>
        <v>3.5000000000000001E-3</v>
      </c>
      <c r="N176" s="4">
        <f t="shared" si="40"/>
        <v>0.02</v>
      </c>
    </row>
    <row r="177" spans="1:14">
      <c r="A177" t="str">
        <f t="shared" si="30"/>
        <v>alp_marca</v>
      </c>
      <c r="B177" t="str">
        <f t="shared" si="31"/>
        <v>Oath BR</v>
      </c>
      <c r="C177" t="str">
        <f t="shared" si="32"/>
        <v>alp_marca_alcance_masculino_oath-verizon_video_video_ros_havaianas-urban-rubinho_all_cpm_de-11s-ate-29s_111333</v>
      </c>
      <c r="D177" t="str">
        <f t="shared" si="33"/>
        <v>251320243</v>
      </c>
      <c r="E177" t="str">
        <f>IF(Table1[[#This Row],[Impressions]]&gt;Table1[[#This Row],[Clicks]],"Standard",VLOOKUP(CONCATENATE(bd_adtype,"_",bd_creativetype),tabela,2,FALSE))</f>
        <v>Dynamic Click</v>
      </c>
      <c r="F177" t="str">
        <f t="shared" si="34"/>
        <v>alp_marca_alcance_masculino_oath-verizon_video_video_ros_havaianas-urban-rubinho_all_cpm_de-11s-ate-29s_111333</v>
      </c>
      <c r="G177" t="str">
        <f t="shared" si="35"/>
        <v>447398574</v>
      </c>
      <c r="H177" t="str">
        <f t="shared" si="36"/>
        <v>Tracking</v>
      </c>
      <c r="I177">
        <f t="shared" si="37"/>
        <v>11</v>
      </c>
      <c r="J177">
        <f t="shared" si="38"/>
        <v>38</v>
      </c>
      <c r="K177" s="4">
        <f t="shared" si="41"/>
        <v>3.5000000000000001E-3</v>
      </c>
      <c r="L177">
        <f t="shared" si="42"/>
        <v>0.02</v>
      </c>
      <c r="M177" s="4">
        <f t="shared" si="39"/>
        <v>0.13300000000000001</v>
      </c>
      <c r="N177" s="4">
        <f t="shared" si="40"/>
        <v>0.76</v>
      </c>
    </row>
    <row r="178" spans="1:14">
      <c r="A178" t="str">
        <f t="shared" si="30"/>
        <v>alp_marca</v>
      </c>
      <c r="B178" t="str">
        <f t="shared" si="31"/>
        <v>Pipocando</v>
      </c>
      <c r="C178" t="str">
        <f t="shared" si="32"/>
        <v>alp_marca_alcance_jovem_pipocando_conteudo-veiculo_video-ytb_social_toy-story_all_fixo_no-size_111232</v>
      </c>
      <c r="D178" t="str">
        <f t="shared" si="33"/>
        <v>249203219</v>
      </c>
      <c r="E178" t="str">
        <f>IF(Table1[[#This Row],[Impressions]]&gt;Table1[[#This Row],[Clicks]],"Standard",VLOOKUP(CONCATENATE(bd_adtype,"_",bd_creativetype),tabela,2,FALSE))</f>
        <v>Dynamic Click</v>
      </c>
      <c r="F178" t="str">
        <f t="shared" si="34"/>
        <v>alp_marca_alcance_jovem_pipocando_conteudo-veiculo_video-ytb_social_toy-story_all_fixo_no-size_111232</v>
      </c>
      <c r="G178" t="str">
        <f t="shared" si="35"/>
        <v>445681967</v>
      </c>
      <c r="H178" t="str">
        <f t="shared" si="36"/>
        <v>Tracking</v>
      </c>
      <c r="I178">
        <f t="shared" si="37"/>
        <v>0</v>
      </c>
      <c r="J178">
        <f t="shared" si="38"/>
        <v>1</v>
      </c>
      <c r="K178" s="4">
        <f t="shared" si="41"/>
        <v>3.5000000000000001E-3</v>
      </c>
      <c r="L178">
        <f t="shared" si="42"/>
        <v>0.02</v>
      </c>
      <c r="M178" s="4">
        <f t="shared" si="39"/>
        <v>3.5000000000000001E-3</v>
      </c>
      <c r="N178" s="4">
        <f t="shared" si="40"/>
        <v>0.02</v>
      </c>
    </row>
    <row r="179" spans="1:14">
      <c r="A179" t="str">
        <f t="shared" si="30"/>
        <v>alp_marca</v>
      </c>
      <c r="B179" t="str">
        <f t="shared" si="31"/>
        <v>Steal The Look</v>
      </c>
      <c r="C179" t="str">
        <f t="shared" si="32"/>
        <v>alp_marca_engajamentos_feminino_steal-the-look_conteudo-veiculo_publieditorial_ros_rasteiras-you_all_cpm_no-size_111278</v>
      </c>
      <c r="D179" t="str">
        <f t="shared" si="33"/>
        <v>249792011</v>
      </c>
      <c r="E179" t="str">
        <f>IF(Table1[[#This Row],[Impressions]]&gt;Table1[[#This Row],[Clicks]],"Standard",VLOOKUP(CONCATENATE(bd_adtype,"_",bd_creativetype),tabela,2,FALSE))</f>
        <v>Dynamic Click</v>
      </c>
      <c r="F179" t="str">
        <f t="shared" si="34"/>
        <v>alp_marca_engajamentos_feminino_steal-the-look_conteudo-veiculo_publieditorial_ros_rasteiras-you_all_cpm_no-size_111278</v>
      </c>
      <c r="G179" t="str">
        <f t="shared" si="35"/>
        <v>446267440</v>
      </c>
      <c r="H179" t="str">
        <f t="shared" si="36"/>
        <v>Tracking</v>
      </c>
      <c r="I179">
        <f t="shared" si="37"/>
        <v>0</v>
      </c>
      <c r="J179">
        <f t="shared" si="38"/>
        <v>4</v>
      </c>
      <c r="K179" s="4">
        <f t="shared" si="41"/>
        <v>3.5000000000000001E-3</v>
      </c>
      <c r="L179">
        <f t="shared" si="42"/>
        <v>0.02</v>
      </c>
      <c r="M179" s="4">
        <f t="shared" si="39"/>
        <v>1.4E-2</v>
      </c>
      <c r="N179" s="4">
        <f t="shared" si="40"/>
        <v>0.08</v>
      </c>
    </row>
    <row r="180" spans="1:14">
      <c r="A180" t="str">
        <f t="shared" si="30"/>
        <v>alp_marca</v>
      </c>
      <c r="B180" t="str">
        <f t="shared" si="31"/>
        <v>Steal The Look</v>
      </c>
      <c r="C180" t="str">
        <f t="shared" si="32"/>
        <v>alp_marca_engajamentos_feminino_steal-the-look_conteudo-veiculo_publieditorial_ros_rasteiras-you_all_cpm_no-size_111281</v>
      </c>
      <c r="D180" t="str">
        <f t="shared" si="33"/>
        <v>249792020</v>
      </c>
      <c r="E180" t="str">
        <f>IF(Table1[[#This Row],[Impressions]]&gt;Table1[[#This Row],[Clicks]],"Standard",VLOOKUP(CONCATENATE(bd_adtype,"_",bd_creativetype),tabela,2,FALSE))</f>
        <v>Dynamic Click</v>
      </c>
      <c r="F180" t="str">
        <f t="shared" si="34"/>
        <v>alp_marca_engajamentos_feminino_steal-the-look_conteudo-veiculo_publieditorial_ros_rasteiras-you_all_cpm_no-size_111281</v>
      </c>
      <c r="G180" t="str">
        <f t="shared" si="35"/>
        <v>446267449</v>
      </c>
      <c r="H180" t="str">
        <f t="shared" si="36"/>
        <v>Tracking</v>
      </c>
      <c r="I180">
        <f t="shared" si="37"/>
        <v>0</v>
      </c>
      <c r="J180">
        <f t="shared" si="38"/>
        <v>3</v>
      </c>
      <c r="K180" s="4">
        <f t="shared" si="41"/>
        <v>3.5000000000000001E-3</v>
      </c>
      <c r="L180">
        <f t="shared" si="42"/>
        <v>0.02</v>
      </c>
      <c r="M180" s="4">
        <f t="shared" si="39"/>
        <v>1.0500000000000001E-2</v>
      </c>
      <c r="N180" s="4">
        <f t="shared" si="40"/>
        <v>0.06</v>
      </c>
    </row>
    <row r="181" spans="1:14">
      <c r="A181" t="str">
        <f t="shared" si="30"/>
        <v>alp_marca</v>
      </c>
      <c r="B181" t="str">
        <f t="shared" si="31"/>
        <v>Steal The Look</v>
      </c>
      <c r="C181" t="str">
        <f t="shared" si="32"/>
        <v>alp_marca_engajamentos_feminino_steal-the-look_conteudo-veiculo_publieditorial_ros_rasteiras-you_all_cpm_no-size_111285</v>
      </c>
      <c r="D181" t="str">
        <f t="shared" si="33"/>
        <v>249792032</v>
      </c>
      <c r="E181" t="str">
        <f>IF(Table1[[#This Row],[Impressions]]&gt;Table1[[#This Row],[Clicks]],"Standard",VLOOKUP(CONCATENATE(bd_adtype,"_",bd_creativetype),tabela,2,FALSE))</f>
        <v>Dynamic Click</v>
      </c>
      <c r="F181" t="str">
        <f t="shared" si="34"/>
        <v>alp_marca_engajamentos_feminino_steal-the-look_conteudo-veiculo_publieditorial_ros_rasteiras-you_all_cpm_no-size_111285</v>
      </c>
      <c r="G181" t="str">
        <f t="shared" si="35"/>
        <v>446267461</v>
      </c>
      <c r="H181" t="str">
        <f t="shared" si="36"/>
        <v>Tracking</v>
      </c>
      <c r="I181">
        <f t="shared" si="37"/>
        <v>0</v>
      </c>
      <c r="J181">
        <f t="shared" si="38"/>
        <v>2</v>
      </c>
      <c r="K181" s="4">
        <f t="shared" si="41"/>
        <v>3.5000000000000001E-3</v>
      </c>
      <c r="L181">
        <f t="shared" si="42"/>
        <v>0.02</v>
      </c>
      <c r="M181" s="4">
        <f t="shared" si="39"/>
        <v>7.0000000000000001E-3</v>
      </c>
      <c r="N181" s="4">
        <f t="shared" si="40"/>
        <v>0.04</v>
      </c>
    </row>
    <row r="182" spans="1:14">
      <c r="A182" t="str">
        <f t="shared" si="30"/>
        <v>alp_marca</v>
      </c>
      <c r="B182" t="str">
        <f t="shared" si="31"/>
        <v>Steal The Look</v>
      </c>
      <c r="C182" t="str">
        <f t="shared" si="32"/>
        <v>alp_marca_engajamentos_feminino_steal-the-look_conteudo-veiculo_publieditorial_ros_rasteiras-you_all_cpm_no-size_111287</v>
      </c>
      <c r="D182" t="str">
        <f t="shared" si="33"/>
        <v>249792038</v>
      </c>
      <c r="E182" t="str">
        <f>IF(Table1[[#This Row],[Impressions]]&gt;Table1[[#This Row],[Clicks]],"Standard",VLOOKUP(CONCATENATE(bd_adtype,"_",bd_creativetype),tabela,2,FALSE))</f>
        <v>Dynamic Click</v>
      </c>
      <c r="F182" t="str">
        <f t="shared" si="34"/>
        <v>alp_marca_engajamentos_feminino_steal-the-look_conteudo-veiculo_publieditorial_ros_rasteiras-you_all_cpm_no-size_111287</v>
      </c>
      <c r="G182" t="str">
        <f t="shared" si="35"/>
        <v>446267467</v>
      </c>
      <c r="H182" t="str">
        <f t="shared" si="36"/>
        <v>Tracking</v>
      </c>
      <c r="I182">
        <f t="shared" si="37"/>
        <v>0</v>
      </c>
      <c r="J182">
        <f t="shared" si="38"/>
        <v>2</v>
      </c>
      <c r="K182" s="4">
        <f t="shared" si="41"/>
        <v>3.5000000000000001E-3</v>
      </c>
      <c r="L182">
        <f t="shared" si="42"/>
        <v>0.02</v>
      </c>
      <c r="M182" s="4">
        <f t="shared" si="39"/>
        <v>7.0000000000000001E-3</v>
      </c>
      <c r="N182" s="4">
        <f t="shared" si="40"/>
        <v>0.04</v>
      </c>
    </row>
    <row r="183" spans="1:14">
      <c r="A183" t="str">
        <f t="shared" si="30"/>
        <v>alp_marca</v>
      </c>
      <c r="B183" t="str">
        <f t="shared" si="31"/>
        <v>Steal The Look</v>
      </c>
      <c r="C183" t="str">
        <f t="shared" si="32"/>
        <v>alp_marca_engajamentos_feminino_steal-the-look_conteudo-veiculo_publieditorial_ros_rasteiras-you_all_cpm_no-size_111354</v>
      </c>
      <c r="D183" t="str">
        <f t="shared" si="33"/>
        <v>252202933</v>
      </c>
      <c r="E183" t="str">
        <f>IF(Table1[[#This Row],[Impressions]]&gt;Table1[[#This Row],[Clicks]],"Standard",VLOOKUP(CONCATENATE(bd_adtype,"_",bd_creativetype),tabela,2,FALSE))</f>
        <v>Dynamic Click</v>
      </c>
      <c r="F183" t="str">
        <f t="shared" si="34"/>
        <v>alp_marca_engajamentos_feminino_steal-the-look_conteudo-veiculo_publieditorial_ros_rasteiras-you_all_cpm_no-size_111354</v>
      </c>
      <c r="G183" t="str">
        <f t="shared" si="35"/>
        <v>448198305</v>
      </c>
      <c r="H183" t="str">
        <f t="shared" si="36"/>
        <v>Tracking</v>
      </c>
      <c r="I183">
        <f t="shared" si="37"/>
        <v>0</v>
      </c>
      <c r="J183">
        <f t="shared" si="38"/>
        <v>3</v>
      </c>
      <c r="K183" s="4">
        <f t="shared" si="41"/>
        <v>3.5000000000000001E-3</v>
      </c>
      <c r="L183">
        <f t="shared" si="42"/>
        <v>0.02</v>
      </c>
      <c r="M183" s="4">
        <f t="shared" si="39"/>
        <v>1.0500000000000001E-2</v>
      </c>
      <c r="N183" s="4">
        <f t="shared" si="40"/>
        <v>0.06</v>
      </c>
    </row>
    <row r="184" spans="1:14">
      <c r="A184" t="str">
        <f t="shared" si="30"/>
        <v>alp_marca</v>
      </c>
      <c r="B184" t="str">
        <f t="shared" si="31"/>
        <v>Steal The Look</v>
      </c>
      <c r="C184" t="str">
        <f t="shared" si="32"/>
        <v>alp_marca_engajamentos_feminino_steal-the-look_conteudo-veiculo_publieditorial_ros_rasteiras-you_all_cpm_no-size_111355</v>
      </c>
      <c r="D184" t="str">
        <f t="shared" si="33"/>
        <v>251870939</v>
      </c>
      <c r="E184" t="str">
        <f>IF(Table1[[#This Row],[Impressions]]&gt;Table1[[#This Row],[Clicks]],"Standard",VLOOKUP(CONCATENATE(bd_adtype,"_",bd_creativetype),tabela,2,FALSE))</f>
        <v>Dynamic Click</v>
      </c>
      <c r="F184" t="str">
        <f t="shared" si="34"/>
        <v>alp_marca_engajamentos_feminino_steal-the-look_conteudo-veiculo_publieditorial_ros_rasteiras-you_all_cpm_no-size_111355</v>
      </c>
      <c r="G184" t="str">
        <f t="shared" si="35"/>
        <v>448251389</v>
      </c>
      <c r="H184" t="str">
        <f t="shared" si="36"/>
        <v>Tracking</v>
      </c>
      <c r="I184">
        <f t="shared" si="37"/>
        <v>0</v>
      </c>
      <c r="J184">
        <f t="shared" si="38"/>
        <v>4</v>
      </c>
      <c r="K184" s="4">
        <f t="shared" si="41"/>
        <v>3.5000000000000001E-3</v>
      </c>
      <c r="L184">
        <f t="shared" si="42"/>
        <v>0.02</v>
      </c>
      <c r="M184" s="4">
        <f t="shared" si="39"/>
        <v>1.4E-2</v>
      </c>
      <c r="N184" s="4">
        <f t="shared" si="40"/>
        <v>0.08</v>
      </c>
    </row>
    <row r="185" spans="1:14">
      <c r="A185" t="str">
        <f t="shared" si="30"/>
        <v>alp_marca</v>
      </c>
      <c r="B185" t="str">
        <f t="shared" si="31"/>
        <v>Sua musica</v>
      </c>
      <c r="C185" t="str">
        <f t="shared" si="32"/>
        <v>alp_marca_alcance_todos_sua-musica_display_diaria-bg_home_sao-joao_all_cpm_1900x1020_111276</v>
      </c>
      <c r="D185" t="str">
        <f t="shared" si="33"/>
        <v>249903469</v>
      </c>
      <c r="E185" t="str">
        <f>IF(Table1[[#This Row],[Impressions]]&gt;Table1[[#This Row],[Clicks]],"Standard",VLOOKUP(CONCATENATE(bd_adtype,"_",bd_creativetype),tabela,2,FALSE))</f>
        <v>Dynamic Click</v>
      </c>
      <c r="F185" t="str">
        <f t="shared" si="34"/>
        <v>alp_marca_alcance_todos_sua-musica_display_diaria-bg_home_sao-joao_all_cpm_1900x1020_111276</v>
      </c>
      <c r="G185" t="str">
        <f t="shared" si="35"/>
        <v>446129080</v>
      </c>
      <c r="H185" t="str">
        <f t="shared" si="36"/>
        <v>Tracking</v>
      </c>
      <c r="I185">
        <f t="shared" si="37"/>
        <v>0</v>
      </c>
      <c r="J185">
        <f t="shared" si="38"/>
        <v>2</v>
      </c>
      <c r="K185" s="4">
        <f t="shared" si="41"/>
        <v>3.5000000000000001E-3</v>
      </c>
      <c r="L185">
        <f t="shared" si="42"/>
        <v>0.02</v>
      </c>
      <c r="M185" s="4">
        <f t="shared" si="39"/>
        <v>7.0000000000000001E-3</v>
      </c>
      <c r="N185" s="4">
        <f t="shared" si="40"/>
        <v>0.04</v>
      </c>
    </row>
    <row r="186" spans="1:14">
      <c r="A186" t="str">
        <f t="shared" si="30"/>
        <v>alp_marca</v>
      </c>
      <c r="B186" t="str">
        <f t="shared" si="31"/>
        <v>Sua musica</v>
      </c>
      <c r="C186" t="str">
        <f t="shared" si="32"/>
        <v>alp_marca_alcance_todos_sua-musica_display_interstitial-mobile_ros_sao-joao_all_cpm_320x480_111221</v>
      </c>
      <c r="D186" t="str">
        <f t="shared" si="33"/>
        <v>248521784</v>
      </c>
      <c r="E186" t="str">
        <f>IF(Table1[[#This Row],[Impressions]]&gt;Table1[[#This Row],[Clicks]],"Standard",VLOOKUP(CONCATENATE(bd_adtype,"_",bd_creativetype),tabela,2,FALSE))</f>
        <v>Dynamic Click</v>
      </c>
      <c r="F186" t="str">
        <f t="shared" si="34"/>
        <v>alp_marca_alcance_todos_sua-musica_display_interstitial-mobile_ros_sao-joao_all_cpm_320x480_111221</v>
      </c>
      <c r="G186" t="str">
        <f t="shared" si="35"/>
        <v>444923805</v>
      </c>
      <c r="H186" t="str">
        <f t="shared" si="36"/>
        <v>Tracking</v>
      </c>
      <c r="I186">
        <f t="shared" si="37"/>
        <v>0</v>
      </c>
      <c r="J186">
        <f t="shared" si="38"/>
        <v>2</v>
      </c>
      <c r="K186" s="4">
        <f t="shared" si="41"/>
        <v>3.5000000000000001E-3</v>
      </c>
      <c r="L186">
        <f t="shared" si="42"/>
        <v>0.02</v>
      </c>
      <c r="M186" s="4">
        <f t="shared" si="39"/>
        <v>7.0000000000000001E-3</v>
      </c>
      <c r="N186" s="4">
        <f t="shared" si="40"/>
        <v>0.04</v>
      </c>
    </row>
    <row r="187" spans="1:14">
      <c r="A187" t="str">
        <f t="shared" si="30"/>
        <v>alp_marca</v>
      </c>
      <c r="B187" t="str">
        <f t="shared" si="31"/>
        <v>adorocinema.com</v>
      </c>
      <c r="C187" t="str">
        <f t="shared" si="32"/>
        <v>alp_marca_alcance_jovem_adoro-cinema_display_half-page-expand_ros_rei-leao_all_fixo_de-5s-ate-10s_111347</v>
      </c>
      <c r="D187" t="str">
        <f t="shared" si="33"/>
        <v>251609371</v>
      </c>
      <c r="E187" t="str">
        <f>IF(Table1[[#This Row],[Impressions]]&gt;Table1[[#This Row],[Clicks]],"Standard",VLOOKUP(CONCATENATE(bd_adtype,"_",bd_creativetype),tabela,2,FALSE))</f>
        <v>Dynamic Click</v>
      </c>
      <c r="F187" t="str">
        <f t="shared" si="34"/>
        <v>alp_marca_alcance_jovem_adoro-cinema_display_half-page-expand_ros_rei-leao_all_fixo_de-5s-ate-10s_111347</v>
      </c>
      <c r="G187" t="str">
        <f t="shared" si="35"/>
        <v>447776953</v>
      </c>
      <c r="H187" t="str">
        <f t="shared" si="36"/>
        <v>Tracking</v>
      </c>
      <c r="I187">
        <f t="shared" si="37"/>
        <v>0</v>
      </c>
      <c r="J187">
        <f t="shared" si="38"/>
        <v>4</v>
      </c>
      <c r="K187" s="4">
        <f t="shared" si="41"/>
        <v>3.5000000000000001E-3</v>
      </c>
      <c r="L187">
        <f t="shared" si="42"/>
        <v>0.02</v>
      </c>
      <c r="M187" s="4">
        <f t="shared" si="39"/>
        <v>1.4E-2</v>
      </c>
      <c r="N187" s="4">
        <f t="shared" si="40"/>
        <v>0.08</v>
      </c>
    </row>
    <row r="188" spans="1:14">
      <c r="A188" t="str">
        <f t="shared" si="30"/>
        <v>alp_marca</v>
      </c>
      <c r="B188" t="str">
        <f t="shared" si="31"/>
        <v>eco21.com.br</v>
      </c>
      <c r="C188" t="str">
        <f t="shared" si="32"/>
        <v>alp_marca_alcance_todos_eco-21_social_banner_social_havaianas-ipe_all_cpm_840x90_111385</v>
      </c>
      <c r="D188" t="str">
        <f t="shared" si="33"/>
        <v>253917313</v>
      </c>
      <c r="E188" t="str">
        <f>IF(Table1[[#This Row],[Impressions]]&gt;Table1[[#This Row],[Clicks]],"Standard",VLOOKUP(CONCATENATE(bd_adtype,"_",bd_creativetype),tabela,2,FALSE))</f>
        <v>Standard</v>
      </c>
      <c r="F188" t="str">
        <f t="shared" si="34"/>
        <v>alp_marca_alcance_todos_eco-21_social_banner_social_havaianas-ipe_all_cpm_840x90_111385</v>
      </c>
      <c r="G188" t="str">
        <f t="shared" si="35"/>
        <v>449875482</v>
      </c>
      <c r="H188" t="str">
        <f t="shared" si="36"/>
        <v>Tracking</v>
      </c>
      <c r="I188">
        <f t="shared" si="37"/>
        <v>1616</v>
      </c>
      <c r="J188">
        <f t="shared" si="38"/>
        <v>0</v>
      </c>
      <c r="K188" s="4">
        <f t="shared" si="41"/>
        <v>3.8199999999999998E-2</v>
      </c>
      <c r="L188">
        <f t="shared" si="42"/>
        <v>0.09</v>
      </c>
      <c r="M188" s="4">
        <f t="shared" si="39"/>
        <v>6.1731199999999993E-2</v>
      </c>
      <c r="N188" s="4">
        <f t="shared" si="40"/>
        <v>0.14543999999999999</v>
      </c>
    </row>
    <row r="189" spans="1:14">
      <c r="A189" t="str">
        <f t="shared" si="30"/>
        <v>alp_marca</v>
      </c>
      <c r="B189" t="str">
        <f t="shared" si="31"/>
        <v>facebook.com.br</v>
      </c>
      <c r="C189" t="str">
        <f t="shared" si="32"/>
        <v>alp_marca_alcance_feminino_facebook_social_pagepost_social_artistas-barbara_all_cpm_1080x1080_111350</v>
      </c>
      <c r="D189" t="str">
        <f t="shared" si="33"/>
        <v>252977848</v>
      </c>
      <c r="E189" t="str">
        <f>IF(Table1[[#This Row],[Impressions]]&gt;Table1[[#This Row],[Clicks]],"Standard",VLOOKUP(CONCATENATE(bd_adtype,"_",bd_creativetype),tabela,2,FALSE))</f>
        <v>Dynamic Click</v>
      </c>
      <c r="F189" t="str">
        <f t="shared" si="34"/>
        <v>alp_marca_alcance_feminino_facebook_social_pagepost_social_artistas-barbara_all_cpm_1080x1080_111350</v>
      </c>
      <c r="G189" t="str">
        <f t="shared" si="35"/>
        <v>448984472</v>
      </c>
      <c r="H189" t="str">
        <f t="shared" si="36"/>
        <v>Tracking</v>
      </c>
      <c r="I189">
        <f t="shared" si="37"/>
        <v>0</v>
      </c>
      <c r="J189">
        <f t="shared" si="38"/>
        <v>7</v>
      </c>
      <c r="K189" s="4">
        <f t="shared" si="41"/>
        <v>3.5000000000000001E-3</v>
      </c>
      <c r="L189">
        <f t="shared" si="42"/>
        <v>0.02</v>
      </c>
      <c r="M189" s="4">
        <f t="shared" si="39"/>
        <v>2.4500000000000001E-2</v>
      </c>
      <c r="N189" s="4">
        <f t="shared" si="40"/>
        <v>0.14000000000000001</v>
      </c>
    </row>
    <row r="190" spans="1:14">
      <c r="A190" t="str">
        <f t="shared" si="30"/>
        <v>alp_marca</v>
      </c>
      <c r="B190" t="str">
        <f t="shared" si="31"/>
        <v>facebook.com.br</v>
      </c>
      <c r="C190" t="str">
        <f t="shared" si="32"/>
        <v>alp_marca_alcance_feminino_facebook_social_pagepost_social_havaianas-origine-elastic-cru-preto_all_cpm_1080x1080_111386</v>
      </c>
      <c r="D190" t="str">
        <f t="shared" si="33"/>
        <v>253711742</v>
      </c>
      <c r="E190" t="str">
        <f>IF(Table1[[#This Row],[Impressions]]&gt;Table1[[#This Row],[Clicks]],"Standard",VLOOKUP(CONCATENATE(bd_adtype,"_",bd_creativetype),tabela,2,FALSE))</f>
        <v>Dynamic Click</v>
      </c>
      <c r="F190" t="str">
        <f t="shared" si="34"/>
        <v>alp_marca_alcance_feminino_facebook_social_pagepost_social_havaianas-origine-elastic-cru-preto_all_cpm_1080x1080_111386</v>
      </c>
      <c r="G190" t="str">
        <f t="shared" si="35"/>
        <v>450148066</v>
      </c>
      <c r="H190" t="str">
        <f t="shared" si="36"/>
        <v>Tracking</v>
      </c>
      <c r="I190">
        <f t="shared" si="37"/>
        <v>0</v>
      </c>
      <c r="J190">
        <f t="shared" si="38"/>
        <v>1</v>
      </c>
      <c r="K190" s="4">
        <f t="shared" si="41"/>
        <v>3.5000000000000001E-3</v>
      </c>
      <c r="L190">
        <f t="shared" si="42"/>
        <v>0.02</v>
      </c>
      <c r="M190" s="4">
        <f t="shared" si="39"/>
        <v>3.5000000000000001E-3</v>
      </c>
      <c r="N190" s="4">
        <f t="shared" si="40"/>
        <v>0.02</v>
      </c>
    </row>
    <row r="191" spans="1:14">
      <c r="A191" t="str">
        <f t="shared" si="30"/>
        <v>alp_marca</v>
      </c>
      <c r="B191" t="str">
        <f t="shared" si="31"/>
        <v>facebook.com.br</v>
      </c>
      <c r="C191" t="str">
        <f t="shared" si="32"/>
        <v>alp_marca_alcance_feminino_facebook_social_pagepost_social_lancamento-core_all_cpm_1080x1080_111380</v>
      </c>
      <c r="D191" t="str">
        <f t="shared" si="33"/>
        <v>253453276</v>
      </c>
      <c r="E191" t="str">
        <f>IF(Table1[[#This Row],[Impressions]]&gt;Table1[[#This Row],[Clicks]],"Standard",VLOOKUP(CONCATENATE(bd_adtype,"_",bd_creativetype),tabela,2,FALSE))</f>
        <v>Dynamic Click</v>
      </c>
      <c r="F191" t="str">
        <f t="shared" si="34"/>
        <v>alp_marca_alcance_feminino_facebook_social_pagepost_social_lancamento-core_all_cpm_1080x1080_111380</v>
      </c>
      <c r="G191" t="str">
        <f t="shared" si="35"/>
        <v>449494268</v>
      </c>
      <c r="H191" t="str">
        <f t="shared" si="36"/>
        <v>Tracking</v>
      </c>
      <c r="I191">
        <f t="shared" si="37"/>
        <v>0</v>
      </c>
      <c r="J191">
        <f t="shared" si="38"/>
        <v>7</v>
      </c>
      <c r="K191" s="4">
        <f t="shared" si="41"/>
        <v>3.5000000000000001E-3</v>
      </c>
      <c r="L191">
        <f t="shared" si="42"/>
        <v>0.02</v>
      </c>
      <c r="M191" s="4">
        <f t="shared" si="39"/>
        <v>2.4500000000000001E-2</v>
      </c>
      <c r="N191" s="4">
        <f t="shared" si="40"/>
        <v>0.14000000000000001</v>
      </c>
    </row>
    <row r="192" spans="1:14">
      <c r="A192" t="str">
        <f t="shared" si="30"/>
        <v>alp_marca</v>
      </c>
      <c r="B192" t="str">
        <f t="shared" si="31"/>
        <v>facebook.com.br</v>
      </c>
      <c r="C192" t="str">
        <f t="shared" si="32"/>
        <v>alp_marca_alcance_feminino_facebook_social_pagepost_social_lancamento-core_all_cpm_1080x1080_111383</v>
      </c>
      <c r="D192" t="str">
        <f t="shared" si="33"/>
        <v>253849482</v>
      </c>
      <c r="E192" t="str">
        <f>IF(Table1[[#This Row],[Impressions]]&gt;Table1[[#This Row],[Clicks]],"Standard",VLOOKUP(CONCATENATE(bd_adtype,"_",bd_creativetype),tabela,2,FALSE))</f>
        <v>Dynamic Click</v>
      </c>
      <c r="F192" t="str">
        <f t="shared" si="34"/>
        <v>alp_marca_alcance_feminino_facebook_social_pagepost_social_lancamento-core_all_cpm_1080x1080_111383</v>
      </c>
      <c r="G192" t="str">
        <f t="shared" si="35"/>
        <v>449838277</v>
      </c>
      <c r="H192" t="str">
        <f t="shared" si="36"/>
        <v>Tracking</v>
      </c>
      <c r="I192">
        <f t="shared" si="37"/>
        <v>0</v>
      </c>
      <c r="J192">
        <f t="shared" si="38"/>
        <v>2</v>
      </c>
      <c r="K192" s="4">
        <f t="shared" si="41"/>
        <v>3.5000000000000001E-3</v>
      </c>
      <c r="L192">
        <f t="shared" si="42"/>
        <v>0.02</v>
      </c>
      <c r="M192" s="4">
        <f t="shared" si="39"/>
        <v>7.0000000000000001E-3</v>
      </c>
      <c r="N192" s="4">
        <f t="shared" si="40"/>
        <v>0.04</v>
      </c>
    </row>
    <row r="193" spans="1:14">
      <c r="A193" t="str">
        <f t="shared" si="30"/>
        <v>alp_marca</v>
      </c>
      <c r="B193" t="str">
        <f t="shared" si="31"/>
        <v>facebook.com.br</v>
      </c>
      <c r="C193" t="str">
        <f t="shared" si="32"/>
        <v>alp_marca_alcance_feminino_facebook_social_pagepost_social_lancamento-core_all_cpm_1080x1080_111384</v>
      </c>
      <c r="D193" t="str">
        <f t="shared" si="33"/>
        <v>253760116</v>
      </c>
      <c r="E193" t="str">
        <f>IF(Table1[[#This Row],[Impressions]]&gt;Table1[[#This Row],[Clicks]],"Standard",VLOOKUP(CONCATENATE(bd_adtype,"_",bd_creativetype),tabela,2,FALSE))</f>
        <v>Dynamic Click</v>
      </c>
      <c r="F193" t="str">
        <f t="shared" si="34"/>
        <v>alp_marca_alcance_feminino_facebook_social_pagepost_social_lancamento-core_all_cpm_1080x1080_111384</v>
      </c>
      <c r="G193" t="str">
        <f t="shared" si="35"/>
        <v>449838280</v>
      </c>
      <c r="H193" t="str">
        <f t="shared" si="36"/>
        <v>Tracking</v>
      </c>
      <c r="I193">
        <f t="shared" si="37"/>
        <v>0</v>
      </c>
      <c r="J193">
        <f t="shared" si="38"/>
        <v>7</v>
      </c>
      <c r="K193" s="4">
        <f t="shared" si="41"/>
        <v>3.5000000000000001E-3</v>
      </c>
      <c r="L193">
        <f t="shared" si="42"/>
        <v>0.02</v>
      </c>
      <c r="M193" s="4">
        <f t="shared" si="39"/>
        <v>2.4500000000000001E-2</v>
      </c>
      <c r="N193" s="4">
        <f t="shared" si="40"/>
        <v>0.14000000000000001</v>
      </c>
    </row>
    <row r="194" spans="1:14">
      <c r="A194" t="str">
        <f t="shared" ref="A194:A257" si="43">bd_campaign</f>
        <v>alp_marca</v>
      </c>
      <c r="B194" t="str">
        <f t="shared" ref="B194:B257" si="44">bd_site</f>
        <v>facebook.com.br</v>
      </c>
      <c r="C194" t="str">
        <f t="shared" ref="C194:C257" si="45">bd_placement</f>
        <v>alp_marca_alcance_feminino_facebook_social_pagepost_social_rasteiras-you_all_cpm_1080x1080_111349</v>
      </c>
      <c r="D194" t="str">
        <f t="shared" ref="D194:D257" si="46">bd_placementID</f>
        <v>252979732</v>
      </c>
      <c r="E194" t="str">
        <f>IF(Table1[[#This Row],[Impressions]]&gt;Table1[[#This Row],[Clicks]],"Standard",VLOOKUP(CONCATENATE(bd_adtype,"_",bd_creativetype),tabela,2,FALSE))</f>
        <v>Dynamic Click</v>
      </c>
      <c r="F194" t="str">
        <f t="shared" ref="F194:F257" si="47">bd_ad</f>
        <v>alp_marca_alcance_feminino_facebook_social_pagepost_social_rasteiras-you_all_cpm_1080x1080_111349</v>
      </c>
      <c r="G194" t="str">
        <f t="shared" ref="G194:G257" si="48">bd_adid</f>
        <v>448984454</v>
      </c>
      <c r="H194" t="str">
        <f t="shared" ref="H194:H257" si="49">bd_creativetype</f>
        <v>Tracking</v>
      </c>
      <c r="I194">
        <f t="shared" ref="I194:I257" si="50">bd_impression</f>
        <v>0</v>
      </c>
      <c r="J194">
        <f t="shared" ref="J194:J257" si="51">bd_clicks</f>
        <v>1</v>
      </c>
      <c r="K194" s="4">
        <f t="shared" si="41"/>
        <v>3.5000000000000001E-3</v>
      </c>
      <c r="L194">
        <f t="shared" si="42"/>
        <v>0.02</v>
      </c>
      <c r="M194" s="4">
        <f t="shared" si="39"/>
        <v>3.5000000000000001E-3</v>
      </c>
      <c r="N194" s="4">
        <f t="shared" si="40"/>
        <v>0.02</v>
      </c>
    </row>
    <row r="195" spans="1:14">
      <c r="A195" t="str">
        <f t="shared" si="43"/>
        <v>alp_marca</v>
      </c>
      <c r="B195" t="str">
        <f t="shared" si="44"/>
        <v>facebook.com.br</v>
      </c>
      <c r="C195" t="str">
        <f t="shared" si="45"/>
        <v>alp_marca_alcance_feminino_facebook_social_pagepost_social_rasteiras_all_cpm_1080x1080_111228</v>
      </c>
      <c r="D195" t="str">
        <f t="shared" si="46"/>
        <v>249100214</v>
      </c>
      <c r="E195" t="str">
        <f>IF(Table1[[#This Row],[Impressions]]&gt;Table1[[#This Row],[Clicks]],"Standard",VLOOKUP(CONCATENATE(bd_adtype,"_",bd_creativetype),tabela,2,FALSE))</f>
        <v>Dynamic Click</v>
      </c>
      <c r="F195" t="str">
        <f t="shared" si="47"/>
        <v>alp_marca_alcance_feminino_facebook_social_pagepost_social_rasteiras_all_cpm_1080x1080_111228</v>
      </c>
      <c r="G195" t="str">
        <f t="shared" si="48"/>
        <v>445480692</v>
      </c>
      <c r="H195" t="str">
        <f t="shared" si="49"/>
        <v>Tracking</v>
      </c>
      <c r="I195">
        <f t="shared" si="50"/>
        <v>0</v>
      </c>
      <c r="J195">
        <f t="shared" si="51"/>
        <v>2</v>
      </c>
      <c r="K195" s="4">
        <f t="shared" si="41"/>
        <v>3.5000000000000001E-3</v>
      </c>
      <c r="L195">
        <f t="shared" si="42"/>
        <v>0.02</v>
      </c>
      <c r="M195" s="4">
        <f t="shared" si="39"/>
        <v>7.0000000000000001E-3</v>
      </c>
      <c r="N195" s="4">
        <f t="shared" si="40"/>
        <v>0.04</v>
      </c>
    </row>
    <row r="196" spans="1:14">
      <c r="A196" t="str">
        <f t="shared" si="43"/>
        <v>alp_marca</v>
      </c>
      <c r="B196" t="str">
        <f t="shared" si="44"/>
        <v>facebook.com.br</v>
      </c>
      <c r="C196" t="str">
        <f t="shared" si="45"/>
        <v>alp_marca_alcance_feminino_facebook_social_pagepost_social_slim-hits_all_cpm_1200x628_111196</v>
      </c>
      <c r="D196" t="str">
        <f t="shared" si="46"/>
        <v>248134076</v>
      </c>
      <c r="E196" t="str">
        <f>IF(Table1[[#This Row],[Impressions]]&gt;Table1[[#This Row],[Clicks]],"Standard",VLOOKUP(CONCATENATE(bd_adtype,"_",bd_creativetype),tabela,2,FALSE))</f>
        <v>Dynamic Click</v>
      </c>
      <c r="F196" t="str">
        <f t="shared" si="47"/>
        <v>alp_marca_alcance_feminino_facebook_social_pagepost_social_slim-hits_all_cpm_1200x628_111196</v>
      </c>
      <c r="G196" t="str">
        <f t="shared" si="48"/>
        <v>444678955</v>
      </c>
      <c r="H196" t="str">
        <f t="shared" si="49"/>
        <v>Tracking</v>
      </c>
      <c r="I196">
        <f t="shared" si="50"/>
        <v>0</v>
      </c>
      <c r="J196">
        <f t="shared" si="51"/>
        <v>6</v>
      </c>
      <c r="K196" s="4">
        <f t="shared" si="41"/>
        <v>3.5000000000000001E-3</v>
      </c>
      <c r="L196">
        <f t="shared" si="42"/>
        <v>0.02</v>
      </c>
      <c r="M196" s="4">
        <f t="shared" si="39"/>
        <v>2.1000000000000001E-2</v>
      </c>
      <c r="N196" s="4">
        <f t="shared" si="40"/>
        <v>0.12</v>
      </c>
    </row>
    <row r="197" spans="1:14">
      <c r="A197" t="str">
        <f t="shared" si="43"/>
        <v>alp_marca</v>
      </c>
      <c r="B197" t="str">
        <f t="shared" si="44"/>
        <v>facebook.com.br</v>
      </c>
      <c r="C197" t="str">
        <f t="shared" si="45"/>
        <v>alp_marca_alcance_feminino_facebook_social_video-social_social_artistas-barbara_all_cpm_1080x1080_111388</v>
      </c>
      <c r="D197" t="str">
        <f t="shared" si="46"/>
        <v>254523327</v>
      </c>
      <c r="E197" t="str">
        <f>IF(Table1[[#This Row],[Impressions]]&gt;Table1[[#This Row],[Clicks]],"Standard",VLOOKUP(CONCATENATE(bd_adtype,"_",bd_creativetype),tabela,2,FALSE))</f>
        <v>Dynamic Click</v>
      </c>
      <c r="F197" t="str">
        <f t="shared" si="47"/>
        <v>alp_marca_alcance_feminino_facebook_social_video-social_social_artistas-barbara_all_cpm_1080x1080_111388</v>
      </c>
      <c r="G197" t="str">
        <f t="shared" si="48"/>
        <v>450380424</v>
      </c>
      <c r="H197" t="str">
        <f t="shared" si="49"/>
        <v>Tracking</v>
      </c>
      <c r="I197">
        <f t="shared" si="50"/>
        <v>0</v>
      </c>
      <c r="J197">
        <f t="shared" si="51"/>
        <v>7</v>
      </c>
      <c r="K197" s="4">
        <f t="shared" si="41"/>
        <v>3.5000000000000001E-3</v>
      </c>
      <c r="L197">
        <f t="shared" si="42"/>
        <v>0.02</v>
      </c>
      <c r="M197" s="4">
        <f t="shared" si="39"/>
        <v>2.4500000000000001E-2</v>
      </c>
      <c r="N197" s="4">
        <f t="shared" si="40"/>
        <v>0.14000000000000001</v>
      </c>
    </row>
    <row r="198" spans="1:14">
      <c r="A198" t="str">
        <f t="shared" si="43"/>
        <v>alp_marca</v>
      </c>
      <c r="B198" t="str">
        <f t="shared" si="44"/>
        <v>facebook.com.br</v>
      </c>
      <c r="C198" t="str">
        <f t="shared" si="45"/>
        <v>alp_marca_alcance_feminino_facebook_social_video-social_social_artistas-barbara_all_cpm_de-11s-ate-29s_111225</v>
      </c>
      <c r="D198" t="str">
        <f t="shared" si="46"/>
        <v>249213027</v>
      </c>
      <c r="E198" t="str">
        <f>IF(Table1[[#This Row],[Impressions]]&gt;Table1[[#This Row],[Clicks]],"Standard",VLOOKUP(CONCATENATE(bd_adtype,"_",bd_creativetype),tabela,2,FALSE))</f>
        <v>Dynamic Click</v>
      </c>
      <c r="F198" t="str">
        <f t="shared" si="47"/>
        <v>alp_marca_alcance_feminino_facebook_social_video-social_social_artistas-barbara_all_cpm_de-11s-ate-29s_111225</v>
      </c>
      <c r="G198" t="str">
        <f t="shared" si="48"/>
        <v>445223955</v>
      </c>
      <c r="H198" t="str">
        <f t="shared" si="49"/>
        <v>Tracking</v>
      </c>
      <c r="I198">
        <f t="shared" si="50"/>
        <v>0</v>
      </c>
      <c r="J198">
        <f t="shared" si="51"/>
        <v>1</v>
      </c>
      <c r="K198" s="4">
        <f t="shared" si="41"/>
        <v>3.5000000000000001E-3</v>
      </c>
      <c r="L198">
        <f t="shared" si="42"/>
        <v>0.02</v>
      </c>
      <c r="M198" s="4">
        <f t="shared" si="39"/>
        <v>3.5000000000000001E-3</v>
      </c>
      <c r="N198" s="4">
        <f t="shared" si="40"/>
        <v>0.02</v>
      </c>
    </row>
    <row r="199" spans="1:14">
      <c r="A199" t="str">
        <f t="shared" si="43"/>
        <v>alp_marca</v>
      </c>
      <c r="B199" t="str">
        <f t="shared" si="44"/>
        <v>facebook.com.br</v>
      </c>
      <c r="C199" t="str">
        <f t="shared" si="45"/>
        <v>alp_marca_alcance_jovem_facebook_social_dark-post_social_got_all_cpm_1080x1080_111121</v>
      </c>
      <c r="D199" t="str">
        <f t="shared" si="46"/>
        <v>243290121</v>
      </c>
      <c r="E199" t="str">
        <f>IF(Table1[[#This Row],[Impressions]]&gt;Table1[[#This Row],[Clicks]],"Standard",VLOOKUP(CONCATENATE(bd_adtype,"_",bd_creativetype),tabela,2,FALSE))</f>
        <v>Dynamic Click</v>
      </c>
      <c r="F199" t="str">
        <f t="shared" si="47"/>
        <v>alp_marca_alcance_jovem_facebook_social_dark-post_social_got_all_cpm_1080x1080_111121</v>
      </c>
      <c r="G199" t="str">
        <f t="shared" si="48"/>
        <v>439773376</v>
      </c>
      <c r="H199" t="str">
        <f t="shared" si="49"/>
        <v>Tracking</v>
      </c>
      <c r="I199">
        <f t="shared" si="50"/>
        <v>0</v>
      </c>
      <c r="J199">
        <f t="shared" si="51"/>
        <v>3</v>
      </c>
      <c r="K199" s="4">
        <f t="shared" si="41"/>
        <v>3.5000000000000001E-3</v>
      </c>
      <c r="L199">
        <f t="shared" si="42"/>
        <v>0.02</v>
      </c>
      <c r="M199" s="4">
        <f t="shared" si="39"/>
        <v>1.0500000000000001E-2</v>
      </c>
      <c r="N199" s="4">
        <f t="shared" si="40"/>
        <v>0.06</v>
      </c>
    </row>
    <row r="200" spans="1:14">
      <c r="A200" t="str">
        <f t="shared" si="43"/>
        <v>alp_marca</v>
      </c>
      <c r="B200" t="str">
        <f t="shared" si="44"/>
        <v>facebook.com.br</v>
      </c>
      <c r="C200" t="str">
        <f t="shared" si="45"/>
        <v>alp_marca_alcance_jovem_facebook_social_dark-post_social_got_all_cpm_1080x1080_111123</v>
      </c>
      <c r="D200" t="str">
        <f t="shared" si="46"/>
        <v>243290370</v>
      </c>
      <c r="E200" t="str">
        <f>IF(Table1[[#This Row],[Impressions]]&gt;Table1[[#This Row],[Clicks]],"Standard",VLOOKUP(CONCATENATE(bd_adtype,"_",bd_creativetype),tabela,2,FALSE))</f>
        <v>Dynamic Click</v>
      </c>
      <c r="F200" t="str">
        <f t="shared" si="47"/>
        <v>alp_marca_alcance_jovem_facebook_social_dark-post_social_got_all_cpm_1080x1080_111123</v>
      </c>
      <c r="G200" t="str">
        <f t="shared" si="48"/>
        <v>439674651</v>
      </c>
      <c r="H200" t="str">
        <f t="shared" si="49"/>
        <v>Tracking</v>
      </c>
      <c r="I200">
        <f t="shared" si="50"/>
        <v>0</v>
      </c>
      <c r="J200">
        <f t="shared" si="51"/>
        <v>1</v>
      </c>
      <c r="K200" s="4">
        <f t="shared" si="41"/>
        <v>3.5000000000000001E-3</v>
      </c>
      <c r="L200">
        <f t="shared" si="42"/>
        <v>0.02</v>
      </c>
      <c r="M200" s="4">
        <f t="shared" si="39"/>
        <v>3.5000000000000001E-3</v>
      </c>
      <c r="N200" s="4">
        <f t="shared" si="40"/>
        <v>0.02</v>
      </c>
    </row>
    <row r="201" spans="1:14">
      <c r="A201" t="str">
        <f t="shared" si="43"/>
        <v>alp_marca</v>
      </c>
      <c r="B201" t="str">
        <f t="shared" si="44"/>
        <v>facebook.com.br</v>
      </c>
      <c r="C201" t="str">
        <f t="shared" si="45"/>
        <v>alp_marca_alcance_jovem_facebook_social_dark-post_social_got_all_cpm_1080x1080_111136</v>
      </c>
      <c r="D201" t="str">
        <f t="shared" si="46"/>
        <v>244294036</v>
      </c>
      <c r="E201" t="str">
        <f>IF(Table1[[#This Row],[Impressions]]&gt;Table1[[#This Row],[Clicks]],"Standard",VLOOKUP(CONCATENATE(bd_adtype,"_",bd_creativetype),tabela,2,FALSE))</f>
        <v>Dynamic Click</v>
      </c>
      <c r="F201" t="str">
        <f t="shared" si="47"/>
        <v>alp_marca_alcance_jovem_facebook_social_dark-post_social_got_all_cpm_1080x1080_111136</v>
      </c>
      <c r="G201" t="str">
        <f t="shared" si="48"/>
        <v>441044553</v>
      </c>
      <c r="H201" t="str">
        <f t="shared" si="49"/>
        <v>Tracking</v>
      </c>
      <c r="I201">
        <f t="shared" si="50"/>
        <v>0</v>
      </c>
      <c r="J201">
        <f t="shared" si="51"/>
        <v>1</v>
      </c>
      <c r="K201" s="4">
        <f t="shared" si="41"/>
        <v>3.5000000000000001E-3</v>
      </c>
      <c r="L201">
        <f t="shared" si="42"/>
        <v>0.02</v>
      </c>
      <c r="M201" s="4">
        <f t="shared" si="39"/>
        <v>3.5000000000000001E-3</v>
      </c>
      <c r="N201" s="4">
        <f t="shared" si="40"/>
        <v>0.02</v>
      </c>
    </row>
    <row r="202" spans="1:14">
      <c r="A202" t="str">
        <f t="shared" si="43"/>
        <v>alp_marca</v>
      </c>
      <c r="B202" t="str">
        <f t="shared" si="44"/>
        <v>facebook.com.br</v>
      </c>
      <c r="C202" t="str">
        <f t="shared" si="45"/>
        <v>alp_marca_alcance_jovem_facebook_social_dark-post_social_la-casa-de-papel_all_cpm_1080x1080_111352</v>
      </c>
      <c r="D202" t="str">
        <f t="shared" si="46"/>
        <v>251858638</v>
      </c>
      <c r="E202" t="str">
        <f>IF(Table1[[#This Row],[Impressions]]&gt;Table1[[#This Row],[Clicks]],"Standard",VLOOKUP(CONCATENATE(bd_adtype,"_",bd_creativetype),tabela,2,FALSE))</f>
        <v>Dynamic Click</v>
      </c>
      <c r="F202" t="str">
        <f t="shared" si="47"/>
        <v>alp_marca_alcance_jovem_facebook_social_dark-post_social_la-casa-de-papel_all_cpm_1080x1080_111352</v>
      </c>
      <c r="G202" t="str">
        <f t="shared" si="48"/>
        <v>447930218</v>
      </c>
      <c r="H202" t="str">
        <f t="shared" si="49"/>
        <v>Tracking</v>
      </c>
      <c r="I202">
        <f t="shared" si="50"/>
        <v>0</v>
      </c>
      <c r="J202">
        <f t="shared" si="51"/>
        <v>7</v>
      </c>
      <c r="K202" s="4">
        <f t="shared" si="41"/>
        <v>3.5000000000000001E-3</v>
      </c>
      <c r="L202">
        <f t="shared" si="42"/>
        <v>0.02</v>
      </c>
      <c r="M202" s="4">
        <f t="shared" si="39"/>
        <v>2.4500000000000001E-2</v>
      </c>
      <c r="N202" s="4">
        <f t="shared" si="40"/>
        <v>0.14000000000000001</v>
      </c>
    </row>
    <row r="203" spans="1:14">
      <c r="A203" t="str">
        <f t="shared" si="43"/>
        <v>alp_marca</v>
      </c>
      <c r="B203" t="str">
        <f t="shared" si="44"/>
        <v>facebook.com.br</v>
      </c>
      <c r="C203" t="str">
        <f t="shared" si="45"/>
        <v>alp_marca_alcance_jovem_facebook_social_dark-post_social_la-casa-de-papel_all_cpm_1080x1080_111353</v>
      </c>
      <c r="D203" t="str">
        <f t="shared" si="46"/>
        <v>251856574</v>
      </c>
      <c r="E203" t="str">
        <f>IF(Table1[[#This Row],[Impressions]]&gt;Table1[[#This Row],[Clicks]],"Standard",VLOOKUP(CONCATENATE(bd_adtype,"_",bd_creativetype),tabela,2,FALSE))</f>
        <v>Dynamic Click</v>
      </c>
      <c r="F203" t="str">
        <f t="shared" si="47"/>
        <v>alp_marca_alcance_jovem_facebook_social_dark-post_social_la-casa-de-papel_all_cpm_1080x1080_111353</v>
      </c>
      <c r="G203" t="str">
        <f t="shared" si="48"/>
        <v>448027624</v>
      </c>
      <c r="H203" t="str">
        <f t="shared" si="49"/>
        <v>Tracking</v>
      </c>
      <c r="I203">
        <f t="shared" si="50"/>
        <v>0</v>
      </c>
      <c r="J203">
        <f t="shared" si="51"/>
        <v>13</v>
      </c>
      <c r="K203" s="4">
        <f t="shared" si="41"/>
        <v>3.5000000000000001E-3</v>
      </c>
      <c r="L203">
        <f t="shared" si="42"/>
        <v>0.02</v>
      </c>
      <c r="M203" s="4">
        <f t="shared" si="39"/>
        <v>4.5499999999999999E-2</v>
      </c>
      <c r="N203" s="4">
        <f t="shared" si="40"/>
        <v>0.26</v>
      </c>
    </row>
    <row r="204" spans="1:14">
      <c r="A204" t="str">
        <f t="shared" si="43"/>
        <v>alp_marca</v>
      </c>
      <c r="B204" t="str">
        <f t="shared" si="44"/>
        <v>facebook.com.br</v>
      </c>
      <c r="C204" t="str">
        <f t="shared" si="45"/>
        <v>alp_marca_alcance_jovem_facebook_social_pagepost_social_toy-story_all_cpm_1080x1080_111245</v>
      </c>
      <c r="D204" t="str">
        <f t="shared" si="46"/>
        <v>249266750</v>
      </c>
      <c r="E204" t="str">
        <f>IF(Table1[[#This Row],[Impressions]]&gt;Table1[[#This Row],[Clicks]],"Standard",VLOOKUP(CONCATENATE(bd_adtype,"_",bd_creativetype),tabela,2,FALSE))</f>
        <v>Dynamic Click</v>
      </c>
      <c r="F204" t="str">
        <f t="shared" si="47"/>
        <v>alp_marca_alcance_jovem_facebook_social_pagepost_social_toy-story_all_cpm_1080x1080_111245</v>
      </c>
      <c r="G204" t="str">
        <f t="shared" si="48"/>
        <v>445737839</v>
      </c>
      <c r="H204" t="str">
        <f t="shared" si="49"/>
        <v>Tracking</v>
      </c>
      <c r="I204">
        <f t="shared" si="50"/>
        <v>0</v>
      </c>
      <c r="J204">
        <f t="shared" si="51"/>
        <v>2</v>
      </c>
      <c r="K204" s="4">
        <f t="shared" si="41"/>
        <v>3.5000000000000001E-3</v>
      </c>
      <c r="L204">
        <f t="shared" si="42"/>
        <v>0.02</v>
      </c>
      <c r="M204" s="4">
        <f t="shared" si="39"/>
        <v>7.0000000000000001E-3</v>
      </c>
      <c r="N204" s="4">
        <f t="shared" si="40"/>
        <v>0.04</v>
      </c>
    </row>
    <row r="205" spans="1:14">
      <c r="A205" t="str">
        <f t="shared" si="43"/>
        <v>alp_marca</v>
      </c>
      <c r="B205" t="str">
        <f t="shared" si="44"/>
        <v>facebook.com.br</v>
      </c>
      <c r="C205" t="str">
        <f t="shared" si="45"/>
        <v>alp_marca_alcance_jovem_facebook_social_video-social_social_buff-moster_all_cpm_de-11s-ate-29s_111351</v>
      </c>
      <c r="D205" t="str">
        <f t="shared" si="46"/>
        <v>251458466</v>
      </c>
      <c r="E205" t="str">
        <f>IF(Table1[[#This Row],[Impressions]]&gt;Table1[[#This Row],[Clicks]],"Standard",VLOOKUP(CONCATENATE(bd_adtype,"_",bd_creativetype),tabela,2,FALSE))</f>
        <v>Dynamic Click</v>
      </c>
      <c r="F205" t="str">
        <f t="shared" si="47"/>
        <v>alp_marca_alcance_jovem_facebook_social_video-social_social_buff-moster_all_cpm_de-11s-ate-29s_111351</v>
      </c>
      <c r="G205" t="str">
        <f t="shared" si="48"/>
        <v>447788730</v>
      </c>
      <c r="H205" t="str">
        <f t="shared" si="49"/>
        <v>Tracking</v>
      </c>
      <c r="I205">
        <f t="shared" si="50"/>
        <v>0</v>
      </c>
      <c r="J205">
        <f t="shared" si="51"/>
        <v>1</v>
      </c>
      <c r="K205" s="4">
        <f t="shared" si="41"/>
        <v>3.5000000000000001E-3</v>
      </c>
      <c r="L205">
        <f t="shared" si="42"/>
        <v>0.02</v>
      </c>
      <c r="M205" s="4">
        <f t="shared" si="39"/>
        <v>3.5000000000000001E-3</v>
      </c>
      <c r="N205" s="4">
        <f t="shared" si="40"/>
        <v>0.02</v>
      </c>
    </row>
    <row r="206" spans="1:14">
      <c r="A206" t="str">
        <f t="shared" si="43"/>
        <v>alp_marca</v>
      </c>
      <c r="B206" t="str">
        <f t="shared" si="44"/>
        <v>facebook.com.br</v>
      </c>
      <c r="C206" t="str">
        <f t="shared" si="45"/>
        <v>alp_marca_alcance_jovem_facebook_social_video-social_social_rei-leao_all_cpm_de-5s-ate-10s_111342</v>
      </c>
      <c r="D206" t="str">
        <f t="shared" si="46"/>
        <v>251703600</v>
      </c>
      <c r="E206" t="str">
        <f>IF(Table1[[#This Row],[Impressions]]&gt;Table1[[#This Row],[Clicks]],"Standard",VLOOKUP(CONCATENATE(bd_adtype,"_",bd_creativetype),tabela,2,FALSE))</f>
        <v>Dynamic Click</v>
      </c>
      <c r="F206" t="str">
        <f t="shared" si="47"/>
        <v>alp_marca_alcance_jovem_facebook_social_video-social_social_rei-leao_all_cpm_de-5s-ate-10s_111342</v>
      </c>
      <c r="G206" t="str">
        <f t="shared" si="48"/>
        <v>447785983</v>
      </c>
      <c r="H206" t="str">
        <f t="shared" si="49"/>
        <v>Tracking</v>
      </c>
      <c r="I206">
        <f t="shared" si="50"/>
        <v>0</v>
      </c>
      <c r="J206">
        <f t="shared" si="51"/>
        <v>8</v>
      </c>
      <c r="K206" s="4">
        <f t="shared" si="41"/>
        <v>3.5000000000000001E-3</v>
      </c>
      <c r="L206">
        <f t="shared" si="42"/>
        <v>0.02</v>
      </c>
      <c r="M206" s="4">
        <f t="shared" si="39"/>
        <v>2.8000000000000001E-2</v>
      </c>
      <c r="N206" s="4">
        <f t="shared" si="40"/>
        <v>0.16</v>
      </c>
    </row>
    <row r="207" spans="1:14">
      <c r="A207" t="str">
        <f t="shared" si="43"/>
        <v>alp_marca</v>
      </c>
      <c r="B207" t="str">
        <f t="shared" si="44"/>
        <v>facebook.com.br</v>
      </c>
      <c r="C207" t="str">
        <f t="shared" si="45"/>
        <v>alp_marca_alcance_jovem_facebook_social_video-social_social_stranger-things_all_cpm_acima-de-30s_111288</v>
      </c>
      <c r="D207" t="str">
        <f t="shared" si="46"/>
        <v>249800777</v>
      </c>
      <c r="E207" t="str">
        <f>IF(Table1[[#This Row],[Impressions]]&gt;Table1[[#This Row],[Clicks]],"Standard",VLOOKUP(CONCATENATE(bd_adtype,"_",bd_creativetype),tabela,2,FALSE))</f>
        <v>Standard</v>
      </c>
      <c r="F207" t="str">
        <f t="shared" si="47"/>
        <v>alp_marca_alcance_jovem_facebook_social_video-social_social_stranger-things_all_cpm_acima-de-30s_111288</v>
      </c>
      <c r="G207" t="str">
        <f t="shared" si="48"/>
        <v>446208887</v>
      </c>
      <c r="H207" t="str">
        <f t="shared" si="49"/>
        <v>Tracking</v>
      </c>
      <c r="I207">
        <f t="shared" si="50"/>
        <v>1</v>
      </c>
      <c r="J207">
        <f t="shared" si="51"/>
        <v>0</v>
      </c>
      <c r="K207" s="4">
        <f t="shared" si="41"/>
        <v>3.8199999999999998E-2</v>
      </c>
      <c r="L207">
        <f t="shared" si="42"/>
        <v>0.09</v>
      </c>
      <c r="M207" s="4">
        <f t="shared" si="39"/>
        <v>3.82E-5</v>
      </c>
      <c r="N207" s="4">
        <f t="shared" si="40"/>
        <v>8.9999999999999992E-5</v>
      </c>
    </row>
    <row r="208" spans="1:14">
      <c r="A208" t="str">
        <f t="shared" si="43"/>
        <v>alp_marca</v>
      </c>
      <c r="B208" t="str">
        <f t="shared" si="44"/>
        <v>facebook.com.br</v>
      </c>
      <c r="C208" t="str">
        <f t="shared" si="45"/>
        <v>alp_marca_alcance_masculino_facebook_social_carrossel_social_qualquer-joao_all_cpm_1080x1080_111210</v>
      </c>
      <c r="D208" t="str">
        <f t="shared" si="46"/>
        <v>248427463</v>
      </c>
      <c r="E208" t="str">
        <f>IF(Table1[[#This Row],[Impressions]]&gt;Table1[[#This Row],[Clicks]],"Standard",VLOOKUP(CONCATENATE(bd_adtype,"_",bd_creativetype),tabela,2,FALSE))</f>
        <v>Dynamic Click</v>
      </c>
      <c r="F208" t="str">
        <f t="shared" si="47"/>
        <v>alp_marca_alcance_masculino_facebook_social_carrossel_social_qualquer-joao_all_cpm_1080x1080_111210</v>
      </c>
      <c r="G208" t="str">
        <f t="shared" si="48"/>
        <v>444788611</v>
      </c>
      <c r="H208" t="str">
        <f t="shared" si="49"/>
        <v>Tracking</v>
      </c>
      <c r="I208">
        <f t="shared" si="50"/>
        <v>0</v>
      </c>
      <c r="J208">
        <f t="shared" si="51"/>
        <v>5</v>
      </c>
      <c r="K208" s="4">
        <f t="shared" si="41"/>
        <v>3.5000000000000001E-3</v>
      </c>
      <c r="L208">
        <f t="shared" si="42"/>
        <v>0.02</v>
      </c>
      <c r="M208" s="4">
        <f t="shared" si="39"/>
        <v>1.7500000000000002E-2</v>
      </c>
      <c r="N208" s="4">
        <f t="shared" si="40"/>
        <v>0.1</v>
      </c>
    </row>
    <row r="209" spans="1:14">
      <c r="A209" t="str">
        <f t="shared" si="43"/>
        <v>alp_marca</v>
      </c>
      <c r="B209" t="str">
        <f t="shared" si="44"/>
        <v>facebook.com.br</v>
      </c>
      <c r="C209" t="str">
        <f t="shared" si="45"/>
        <v>alp_marca_alcance_masculino_facebook_social_carrossel_social_qualquer-joao_envolvimento-pagina_cpm_1080x1080_111210</v>
      </c>
      <c r="D209" t="str">
        <f t="shared" si="46"/>
        <v>248427460</v>
      </c>
      <c r="E209" t="str">
        <f>IF(Table1[[#This Row],[Impressions]]&gt;Table1[[#This Row],[Clicks]],"Standard",VLOOKUP(CONCATENATE(bd_adtype,"_",bd_creativetype),tabela,2,FALSE))</f>
        <v>Dynamic Click</v>
      </c>
      <c r="F209" t="str">
        <f t="shared" si="47"/>
        <v>alp_marca_alcance_masculino_facebook_social_carrossel_social_qualquer-joao_envolvimento-pagina_cpm_1080x1080_111210</v>
      </c>
      <c r="G209" t="str">
        <f t="shared" si="48"/>
        <v>444788608</v>
      </c>
      <c r="H209" t="str">
        <f t="shared" si="49"/>
        <v>Tracking</v>
      </c>
      <c r="I209">
        <f t="shared" si="50"/>
        <v>0</v>
      </c>
      <c r="J209">
        <f t="shared" si="51"/>
        <v>2</v>
      </c>
      <c r="K209" s="4">
        <f t="shared" si="41"/>
        <v>3.5000000000000001E-3</v>
      </c>
      <c r="L209">
        <f t="shared" si="42"/>
        <v>0.02</v>
      </c>
      <c r="M209" s="4">
        <f t="shared" si="39"/>
        <v>7.0000000000000001E-3</v>
      </c>
      <c r="N209" s="4">
        <f t="shared" si="40"/>
        <v>0.04</v>
      </c>
    </row>
    <row r="210" spans="1:14">
      <c r="A210" t="str">
        <f t="shared" si="43"/>
        <v>alp_marca</v>
      </c>
      <c r="B210" t="str">
        <f t="shared" si="44"/>
        <v>facebook.com.br</v>
      </c>
      <c r="C210" t="str">
        <f t="shared" si="45"/>
        <v>alp_marca_alcance_masculino_facebook_social_video-social_social_artistas-barbara_all_cpm_1080x1080_111389</v>
      </c>
      <c r="D210" t="str">
        <f t="shared" si="46"/>
        <v>254419504</v>
      </c>
      <c r="E210" t="str">
        <f>IF(Table1[[#This Row],[Impressions]]&gt;Table1[[#This Row],[Clicks]],"Standard",VLOOKUP(CONCATENATE(bd_adtype,"_",bd_creativetype),tabela,2,FALSE))</f>
        <v>Dynamic Click</v>
      </c>
      <c r="F210" t="str">
        <f t="shared" si="47"/>
        <v>alp_marca_alcance_masculino_facebook_social_video-social_social_artistas-barbara_all_cpm_1080x1080_111389</v>
      </c>
      <c r="G210" t="str">
        <f t="shared" si="48"/>
        <v>450478441</v>
      </c>
      <c r="H210" t="str">
        <f t="shared" si="49"/>
        <v>Tracking</v>
      </c>
      <c r="I210">
        <f t="shared" si="50"/>
        <v>0</v>
      </c>
      <c r="J210">
        <f t="shared" si="51"/>
        <v>13</v>
      </c>
      <c r="K210" s="4">
        <f t="shared" si="41"/>
        <v>3.5000000000000001E-3</v>
      </c>
      <c r="L210">
        <f t="shared" si="42"/>
        <v>0.02</v>
      </c>
      <c r="M210" s="4">
        <f t="shared" si="39"/>
        <v>4.5499999999999999E-2</v>
      </c>
      <c r="N210" s="4">
        <f t="shared" si="40"/>
        <v>0.26</v>
      </c>
    </row>
    <row r="211" spans="1:14">
      <c r="A211" t="str">
        <f t="shared" si="43"/>
        <v>alp_marca</v>
      </c>
      <c r="B211" t="str">
        <f t="shared" si="44"/>
        <v>facebook.com.br</v>
      </c>
      <c r="C211" t="str">
        <f t="shared" si="45"/>
        <v>alp_marca_alcance_masculino_facebook_social_video-social_social_havaianas-urban-rubinho_all_cpm_de-11s-ate-29s_111332</v>
      </c>
      <c r="D211" t="str">
        <f t="shared" si="46"/>
        <v>251020964</v>
      </c>
      <c r="E211" t="str">
        <f>IF(Table1[[#This Row],[Impressions]]&gt;Table1[[#This Row],[Clicks]],"Standard",VLOOKUP(CONCATENATE(bd_adtype,"_",bd_creativetype),tabela,2,FALSE))</f>
        <v>Dynamic Click</v>
      </c>
      <c r="F211" t="str">
        <f t="shared" si="47"/>
        <v>alp_marca_alcance_masculino_facebook_social_video-social_social_havaianas-urban-rubinho_all_cpm_de-11s-ate-29s_111332</v>
      </c>
      <c r="G211" t="str">
        <f t="shared" si="48"/>
        <v>447523264</v>
      </c>
      <c r="H211" t="str">
        <f t="shared" si="49"/>
        <v>Tracking</v>
      </c>
      <c r="I211">
        <f t="shared" si="50"/>
        <v>0</v>
      </c>
      <c r="J211">
        <f t="shared" si="51"/>
        <v>3</v>
      </c>
      <c r="K211" s="4">
        <f t="shared" si="41"/>
        <v>3.5000000000000001E-3</v>
      </c>
      <c r="L211">
        <f t="shared" si="42"/>
        <v>0.02</v>
      </c>
      <c r="M211" s="4">
        <f t="shared" si="39"/>
        <v>1.0500000000000001E-2</v>
      </c>
      <c r="N211" s="4">
        <f t="shared" si="40"/>
        <v>0.06</v>
      </c>
    </row>
    <row r="212" spans="1:14">
      <c r="A212" t="str">
        <f t="shared" si="43"/>
        <v>alp_marca</v>
      </c>
      <c r="B212" t="str">
        <f t="shared" si="44"/>
        <v>facebook.com.br</v>
      </c>
      <c r="C212" t="str">
        <f t="shared" si="45"/>
        <v>alp_marca_alcance_masculino_facebook_social_video-social_social_havaianas-urban-rubinho_all_cpm_de-11s-ate-29s_111342</v>
      </c>
      <c r="D212" t="str">
        <f t="shared" si="46"/>
        <v>251626715</v>
      </c>
      <c r="E212" t="str">
        <f>IF(Table1[[#This Row],[Impressions]]&gt;Table1[[#This Row],[Clicks]],"Standard",VLOOKUP(CONCATENATE(bd_adtype,"_",bd_creativetype),tabela,2,FALSE))</f>
        <v>Dynamic Click</v>
      </c>
      <c r="F212" t="str">
        <f t="shared" si="47"/>
        <v>alp_marca_alcance_masculino_facebook_social_video-social_social_havaianas-urban-rubinho_all_cpm_de-11s-ate-29s_111342</v>
      </c>
      <c r="G212" t="str">
        <f t="shared" si="48"/>
        <v>448019633</v>
      </c>
      <c r="H212" t="str">
        <f t="shared" si="49"/>
        <v>Tracking</v>
      </c>
      <c r="I212">
        <f t="shared" si="50"/>
        <v>0</v>
      </c>
      <c r="J212">
        <f t="shared" si="51"/>
        <v>2</v>
      </c>
      <c r="K212" s="4">
        <f t="shared" si="41"/>
        <v>3.5000000000000001E-3</v>
      </c>
      <c r="L212">
        <f t="shared" si="42"/>
        <v>0.02</v>
      </c>
      <c r="M212" s="4">
        <f t="shared" si="39"/>
        <v>7.0000000000000001E-3</v>
      </c>
      <c r="N212" s="4">
        <f t="shared" si="40"/>
        <v>0.04</v>
      </c>
    </row>
    <row r="213" spans="1:14">
      <c r="A213" t="str">
        <f t="shared" si="43"/>
        <v>alp_marca</v>
      </c>
      <c r="B213" t="str">
        <f t="shared" si="44"/>
        <v>facebook.com.br</v>
      </c>
      <c r="C213" t="str">
        <f t="shared" si="45"/>
        <v>alp_marca_alcance_masculino_facebook_social_video-social_social_havaianas-urban-rubinho_all_cpm_de-11s-ate-29s_111343</v>
      </c>
      <c r="D213" t="str">
        <f t="shared" si="46"/>
        <v>251953726</v>
      </c>
      <c r="E213" t="str">
        <f>IF(Table1[[#This Row],[Impressions]]&gt;Table1[[#This Row],[Clicks]],"Standard",VLOOKUP(CONCATENATE(bd_adtype,"_",bd_creativetype),tabela,2,FALSE))</f>
        <v>Dynamic Click</v>
      </c>
      <c r="F213" t="str">
        <f t="shared" si="47"/>
        <v>alp_marca_alcance_masculino_facebook_social_video-social_social_havaianas-urban-rubinho_all_cpm_de-11s-ate-29s_111343</v>
      </c>
      <c r="G213" t="str">
        <f t="shared" si="48"/>
        <v>448018391</v>
      </c>
      <c r="H213" t="str">
        <f t="shared" si="49"/>
        <v>Tracking</v>
      </c>
      <c r="I213">
        <f t="shared" si="50"/>
        <v>0</v>
      </c>
      <c r="J213">
        <f t="shared" si="51"/>
        <v>3</v>
      </c>
      <c r="K213" s="4">
        <f t="shared" si="41"/>
        <v>3.5000000000000001E-3</v>
      </c>
      <c r="L213">
        <f t="shared" si="42"/>
        <v>0.02</v>
      </c>
      <c r="M213" s="4">
        <f t="shared" si="39"/>
        <v>1.0500000000000001E-2</v>
      </c>
      <c r="N213" s="4">
        <f t="shared" si="40"/>
        <v>0.06</v>
      </c>
    </row>
    <row r="214" spans="1:14">
      <c r="A214" t="str">
        <f t="shared" si="43"/>
        <v>alp_marca</v>
      </c>
      <c r="B214" t="str">
        <f t="shared" si="44"/>
        <v>facebook.com.br</v>
      </c>
      <c r="C214" t="str">
        <f t="shared" si="45"/>
        <v>alp_marca_alcance_masculino_facebook_social_video-social_social_havaianas-urban-rubinho_all_cpm_de-11s-ate-29s_111349</v>
      </c>
      <c r="D214" t="str">
        <f t="shared" si="46"/>
        <v>251458439</v>
      </c>
      <c r="E214" t="str">
        <f>IF(Table1[[#This Row],[Impressions]]&gt;Table1[[#This Row],[Clicks]],"Standard",VLOOKUP(CONCATENATE(bd_adtype,"_",bd_creativetype),tabela,2,FALSE))</f>
        <v>Dynamic Click</v>
      </c>
      <c r="F214" t="str">
        <f t="shared" si="47"/>
        <v>alp_marca_alcance_masculino_facebook_social_video-social_social_havaianas-urban-rubinho_all_cpm_de-11s-ate-29s_111349</v>
      </c>
      <c r="G214" t="str">
        <f t="shared" si="48"/>
        <v>447939268</v>
      </c>
      <c r="H214" t="str">
        <f t="shared" si="49"/>
        <v>Tracking</v>
      </c>
      <c r="I214">
        <f t="shared" si="50"/>
        <v>0</v>
      </c>
      <c r="J214">
        <f t="shared" si="51"/>
        <v>1</v>
      </c>
      <c r="K214" s="4">
        <f t="shared" si="41"/>
        <v>3.5000000000000001E-3</v>
      </c>
      <c r="L214">
        <f t="shared" si="42"/>
        <v>0.02</v>
      </c>
      <c r="M214" s="4">
        <f t="shared" si="39"/>
        <v>3.5000000000000001E-3</v>
      </c>
      <c r="N214" s="4">
        <f t="shared" si="40"/>
        <v>0.02</v>
      </c>
    </row>
    <row r="215" spans="1:14">
      <c r="A215" t="str">
        <f t="shared" si="43"/>
        <v>alp_marca</v>
      </c>
      <c r="B215" t="str">
        <f t="shared" si="44"/>
        <v>facebook.com.br</v>
      </c>
      <c r="C215" t="str">
        <f t="shared" si="45"/>
        <v>alp_marca_alcance_masculino_facebook_social_video-social_social_havaianas-urban-rubinho_all_cpm_de-11s-ate-29s_111350</v>
      </c>
      <c r="D215" t="str">
        <f t="shared" si="46"/>
        <v>251457926</v>
      </c>
      <c r="E215" t="str">
        <f>IF(Table1[[#This Row],[Impressions]]&gt;Table1[[#This Row],[Clicks]],"Standard",VLOOKUP(CONCATENATE(bd_adtype,"_",bd_creativetype),tabela,2,FALSE))</f>
        <v>Dynamic Click</v>
      </c>
      <c r="F215" t="str">
        <f t="shared" si="47"/>
        <v>alp_marca_alcance_masculino_facebook_social_video-social_social_havaianas-urban-rubinho_all_cpm_de-11s-ate-29s_111350</v>
      </c>
      <c r="G215" t="str">
        <f t="shared" si="48"/>
        <v>447940573</v>
      </c>
      <c r="H215" t="str">
        <f t="shared" si="49"/>
        <v>Tracking</v>
      </c>
      <c r="I215">
        <f t="shared" si="50"/>
        <v>4</v>
      </c>
      <c r="J215">
        <f t="shared" si="51"/>
        <v>5</v>
      </c>
      <c r="K215" s="4">
        <f t="shared" si="41"/>
        <v>3.5000000000000001E-3</v>
      </c>
      <c r="L215">
        <f t="shared" si="42"/>
        <v>0.02</v>
      </c>
      <c r="M215" s="4">
        <f t="shared" si="39"/>
        <v>1.7500000000000002E-2</v>
      </c>
      <c r="N215" s="4">
        <f t="shared" si="40"/>
        <v>0.1</v>
      </c>
    </row>
    <row r="216" spans="1:14">
      <c r="A216" t="str">
        <f t="shared" si="43"/>
        <v>alp_marca</v>
      </c>
      <c r="B216" t="str">
        <f t="shared" si="44"/>
        <v>facebook.com.br</v>
      </c>
      <c r="C216" t="str">
        <f t="shared" si="45"/>
        <v>alp_marca_alcance_todos_facebook_social_video-social_social_havaianas-ipe_all_cpm_de-11s-ate-29s_111212</v>
      </c>
      <c r="D216" t="str">
        <f t="shared" si="46"/>
        <v>248672104</v>
      </c>
      <c r="E216" t="str">
        <f>IF(Table1[[#This Row],[Impressions]]&gt;Table1[[#This Row],[Clicks]],"Standard",VLOOKUP(CONCATENATE(bd_adtype,"_",bd_creativetype),tabela,2,FALSE))</f>
        <v>Dynamic Click</v>
      </c>
      <c r="F216" t="str">
        <f t="shared" si="47"/>
        <v>alp_marca_alcance_todos_facebook_social_video-social_social_havaianas-ipe_all_cpm_de-11s-ate-29s_111212</v>
      </c>
      <c r="G216" t="str">
        <f t="shared" si="48"/>
        <v>444990895</v>
      </c>
      <c r="H216" t="str">
        <f t="shared" si="49"/>
        <v>Tracking</v>
      </c>
      <c r="I216">
        <f t="shared" si="50"/>
        <v>0</v>
      </c>
      <c r="J216">
        <f t="shared" si="51"/>
        <v>1</v>
      </c>
      <c r="K216" s="4">
        <f t="shared" si="41"/>
        <v>3.5000000000000001E-3</v>
      </c>
      <c r="L216">
        <f t="shared" si="42"/>
        <v>0.02</v>
      </c>
      <c r="M216" s="4">
        <f t="shared" si="39"/>
        <v>3.5000000000000001E-3</v>
      </c>
      <c r="N216" s="4">
        <f t="shared" si="40"/>
        <v>0.02</v>
      </c>
    </row>
    <row r="217" spans="1:14">
      <c r="A217" t="str">
        <f t="shared" si="43"/>
        <v>alp_marca</v>
      </c>
      <c r="B217" t="str">
        <f t="shared" si="44"/>
        <v>facebook.com.br</v>
      </c>
      <c r="C217" t="str">
        <f t="shared" si="45"/>
        <v>alp_marca_engajamentos_feminino_facebook_social_dark-post_social_rasteiras-print-roxo_funcional_cpm_1080x1080_111397_dark-post</v>
      </c>
      <c r="D217" t="str">
        <f t="shared" si="46"/>
        <v>255683603</v>
      </c>
      <c r="E217" t="str">
        <f>IF(Table1[[#This Row],[Impressions]]&gt;Table1[[#This Row],[Clicks]],"Standard",VLOOKUP(CONCATENATE(bd_adtype,"_",bd_creativetype),tabela,2,FALSE))</f>
        <v>Standard</v>
      </c>
      <c r="F217" t="str">
        <f t="shared" si="47"/>
        <v>alp_marca_engajamentos_feminino_facebook_social_dark-post_social_rasteiras-print-roxo_funcional_cpm_1080x1080_111397_dark-post</v>
      </c>
      <c r="G217" t="str">
        <f t="shared" si="48"/>
        <v>451995979</v>
      </c>
      <c r="H217" t="str">
        <f t="shared" si="49"/>
        <v>Tracking</v>
      </c>
      <c r="I217">
        <f t="shared" si="50"/>
        <v>286453</v>
      </c>
      <c r="J217">
        <f t="shared" si="51"/>
        <v>4319</v>
      </c>
      <c r="K217" s="4">
        <f t="shared" si="41"/>
        <v>3.8199999999999998E-2</v>
      </c>
      <c r="L217">
        <f t="shared" si="42"/>
        <v>0.09</v>
      </c>
      <c r="M217" s="4">
        <f t="shared" si="39"/>
        <v>10.942504599999999</v>
      </c>
      <c r="N217" s="4">
        <f t="shared" si="40"/>
        <v>25.78077</v>
      </c>
    </row>
    <row r="218" spans="1:14">
      <c r="A218" t="str">
        <f t="shared" si="43"/>
        <v>alp_marca</v>
      </c>
      <c r="B218" t="str">
        <f t="shared" si="44"/>
        <v>facebook.com.br</v>
      </c>
      <c r="C218" t="str">
        <f t="shared" si="45"/>
        <v>alp_marca_engajamentos_feminino_facebook_social_dark-post_social_rasteiras-print-vermelho_fashion_cpm_1080x1080_111400_dark-post</v>
      </c>
      <c r="D218" t="str">
        <f t="shared" si="46"/>
        <v>255683612</v>
      </c>
      <c r="E218" t="str">
        <f>IF(Table1[[#This Row],[Impressions]]&gt;Table1[[#This Row],[Clicks]],"Standard",VLOOKUP(CONCATENATE(bd_adtype,"_",bd_creativetype),tabela,2,FALSE))</f>
        <v>Standard</v>
      </c>
      <c r="F218" t="str">
        <f t="shared" si="47"/>
        <v>alp_marca_engajamentos_feminino_facebook_social_dark-post_social_rasteiras-print-vermelho_fashion_cpm_1080x1080_111400_dark-post</v>
      </c>
      <c r="G218" t="str">
        <f t="shared" si="48"/>
        <v>451995988</v>
      </c>
      <c r="H218" t="str">
        <f t="shared" si="49"/>
        <v>Tracking</v>
      </c>
      <c r="I218">
        <f t="shared" si="50"/>
        <v>308363</v>
      </c>
      <c r="J218">
        <f t="shared" si="51"/>
        <v>3403</v>
      </c>
      <c r="K218" s="4">
        <f t="shared" si="41"/>
        <v>3.8199999999999998E-2</v>
      </c>
      <c r="L218">
        <f t="shared" si="42"/>
        <v>0.09</v>
      </c>
      <c r="M218" s="4">
        <f t="shared" si="39"/>
        <v>11.779466599999999</v>
      </c>
      <c r="N218" s="4">
        <f t="shared" si="40"/>
        <v>27.752669999999998</v>
      </c>
    </row>
    <row r="219" spans="1:14">
      <c r="A219" t="str">
        <f t="shared" si="43"/>
        <v>alp_marca</v>
      </c>
      <c r="B219" t="str">
        <f t="shared" si="44"/>
        <v>facebook.com.br</v>
      </c>
      <c r="C219" t="str">
        <f t="shared" si="45"/>
        <v>alp_marca_engajamentos_feminino_facebook_social_dark-post_social_rasteiras-rainbow-roxo_funcional_cpm_1080x1080_111396_dark-post</v>
      </c>
      <c r="D219" t="str">
        <f t="shared" si="46"/>
        <v>255683615</v>
      </c>
      <c r="E219" t="str">
        <f>IF(Table1[[#This Row],[Impressions]]&gt;Table1[[#This Row],[Clicks]],"Standard",VLOOKUP(CONCATENATE(bd_adtype,"_",bd_creativetype),tabela,2,FALSE))</f>
        <v>Standard</v>
      </c>
      <c r="F219" t="str">
        <f t="shared" si="47"/>
        <v>alp_marca_engajamentos_feminino_facebook_social_dark-post_social_rasteiras-rainbow-roxo_funcional_cpm_1080x1080_111396_dark-post</v>
      </c>
      <c r="G219" t="str">
        <f t="shared" si="48"/>
        <v>451995991</v>
      </c>
      <c r="H219" t="str">
        <f t="shared" si="49"/>
        <v>Tracking</v>
      </c>
      <c r="I219">
        <f t="shared" si="50"/>
        <v>184091</v>
      </c>
      <c r="J219">
        <f t="shared" si="51"/>
        <v>2756</v>
      </c>
      <c r="K219" s="4">
        <f t="shared" si="41"/>
        <v>3.8199999999999998E-2</v>
      </c>
      <c r="L219">
        <f t="shared" si="42"/>
        <v>0.09</v>
      </c>
      <c r="M219" s="4">
        <f t="shared" si="39"/>
        <v>7.0322761999999992</v>
      </c>
      <c r="N219" s="4">
        <f t="shared" si="40"/>
        <v>16.568189999999998</v>
      </c>
    </row>
    <row r="220" spans="1:14">
      <c r="A220" t="str">
        <f t="shared" si="43"/>
        <v>alp_marca</v>
      </c>
      <c r="B220" t="str">
        <f t="shared" si="44"/>
        <v>facebook.com.br</v>
      </c>
      <c r="C220" t="str">
        <f t="shared" si="45"/>
        <v>alp_marca_engajamentos_feminino_facebook_social_dark-post_social_rasteiras-rainbow-vermelho_fashion_cpm_1080x1080_111399_dark-post</v>
      </c>
      <c r="D220" t="str">
        <f t="shared" si="46"/>
        <v>255683588</v>
      </c>
      <c r="E220" t="str">
        <f>IF(Table1[[#This Row],[Impressions]]&gt;Table1[[#This Row],[Clicks]],"Standard",VLOOKUP(CONCATENATE(bd_adtype,"_",bd_creativetype),tabela,2,FALSE))</f>
        <v>Standard</v>
      </c>
      <c r="F220" t="str">
        <f t="shared" si="47"/>
        <v>alp_marca_engajamentos_feminino_facebook_social_dark-post_social_rasteiras-rainbow-vermelho_fashion_cpm_1080x1080_111399_dark-post</v>
      </c>
      <c r="G220" t="str">
        <f t="shared" si="48"/>
        <v>451995964</v>
      </c>
      <c r="H220" t="str">
        <f t="shared" si="49"/>
        <v>Tracking</v>
      </c>
      <c r="I220">
        <f t="shared" si="50"/>
        <v>242240</v>
      </c>
      <c r="J220">
        <f t="shared" si="51"/>
        <v>2645</v>
      </c>
      <c r="K220" s="4">
        <f t="shared" si="41"/>
        <v>3.8199999999999998E-2</v>
      </c>
      <c r="L220">
        <f t="shared" si="42"/>
        <v>0.09</v>
      </c>
      <c r="M220" s="4">
        <f t="shared" si="39"/>
        <v>9.2535679999999996</v>
      </c>
      <c r="N220" s="4">
        <f t="shared" si="40"/>
        <v>21.801599999999997</v>
      </c>
    </row>
    <row r="221" spans="1:14">
      <c r="A221" t="str">
        <f t="shared" si="43"/>
        <v>alp_marca</v>
      </c>
      <c r="B221" t="str">
        <f t="shared" si="44"/>
        <v>facebook.com.br</v>
      </c>
      <c r="C221" t="str">
        <f t="shared" si="45"/>
        <v>alp_marca_engajamentos_feminino_facebook_social_dark-post_social_rasteiras-riviera-roxo_funcional_cpm_1080x1080_111398_dark-post</v>
      </c>
      <c r="D221" t="str">
        <f t="shared" si="46"/>
        <v>255683594</v>
      </c>
      <c r="E221" t="str">
        <f>IF(Table1[[#This Row],[Impressions]]&gt;Table1[[#This Row],[Clicks]],"Standard",VLOOKUP(CONCATENATE(bd_adtype,"_",bd_creativetype),tabela,2,FALSE))</f>
        <v>Standard</v>
      </c>
      <c r="F221" t="str">
        <f t="shared" si="47"/>
        <v>alp_marca_engajamentos_feminino_facebook_social_dark-post_social_rasteiras-riviera-roxo_funcional_cpm_1080x1080_111398_dark-post</v>
      </c>
      <c r="G221" t="str">
        <f t="shared" si="48"/>
        <v>451995970</v>
      </c>
      <c r="H221" t="str">
        <f t="shared" si="49"/>
        <v>Tracking</v>
      </c>
      <c r="I221">
        <f t="shared" si="50"/>
        <v>453446</v>
      </c>
      <c r="J221">
        <f t="shared" si="51"/>
        <v>5542</v>
      </c>
      <c r="K221" s="4">
        <f t="shared" si="41"/>
        <v>3.8199999999999998E-2</v>
      </c>
      <c r="L221">
        <f t="shared" si="42"/>
        <v>0.09</v>
      </c>
      <c r="M221" s="4">
        <f t="shared" si="39"/>
        <v>17.321637199999998</v>
      </c>
      <c r="N221" s="4">
        <f t="shared" si="40"/>
        <v>40.810139999999997</v>
      </c>
    </row>
    <row r="222" spans="1:14">
      <c r="A222" t="str">
        <f t="shared" si="43"/>
        <v>alp_marca</v>
      </c>
      <c r="B222" t="str">
        <f t="shared" si="44"/>
        <v>facebook.com.br</v>
      </c>
      <c r="C222" t="str">
        <f t="shared" si="45"/>
        <v>alp_marca_engajamentos_feminino_facebook_social_dark-post_social_rasteiras-riviera-vermelho_fashion_cpm_1080x1080_111401_dark-post</v>
      </c>
      <c r="D222" t="str">
        <f t="shared" si="46"/>
        <v>255683600</v>
      </c>
      <c r="E222" t="str">
        <f>IF(Table1[[#This Row],[Impressions]]&gt;Table1[[#This Row],[Clicks]],"Standard",VLOOKUP(CONCATENATE(bd_adtype,"_",bd_creativetype),tabela,2,FALSE))</f>
        <v>Standard</v>
      </c>
      <c r="F222" t="str">
        <f t="shared" si="47"/>
        <v>alp_marca_engajamentos_feminino_facebook_social_dark-post_social_rasteiras-riviera-vermelho_fashion_cpm_1080x1080_111401_dark-post</v>
      </c>
      <c r="G222" t="str">
        <f t="shared" si="48"/>
        <v>451995976</v>
      </c>
      <c r="H222" t="str">
        <f t="shared" si="49"/>
        <v>Tracking</v>
      </c>
      <c r="I222">
        <f t="shared" si="50"/>
        <v>380045</v>
      </c>
      <c r="J222">
        <f t="shared" si="51"/>
        <v>2903</v>
      </c>
      <c r="K222" s="4">
        <f t="shared" si="41"/>
        <v>3.8199999999999998E-2</v>
      </c>
      <c r="L222">
        <f t="shared" si="42"/>
        <v>0.09</v>
      </c>
      <c r="M222" s="4">
        <f t="shared" si="39"/>
        <v>14.517719</v>
      </c>
      <c r="N222" s="4">
        <f t="shared" si="40"/>
        <v>34.204049999999995</v>
      </c>
    </row>
    <row r="223" spans="1:14">
      <c r="A223" t="str">
        <f t="shared" si="43"/>
        <v>alp_marca</v>
      </c>
      <c r="B223" t="str">
        <f t="shared" si="44"/>
        <v>facebook.com.br</v>
      </c>
      <c r="C223" t="str">
        <f t="shared" si="45"/>
        <v>alp_marca_engajamentos_feminino_facebook_social_dark-post_social_rasteiras_fashion_cpm_1080x1080_111391_dark-post</v>
      </c>
      <c r="D223" t="str">
        <f t="shared" si="46"/>
        <v>255160033</v>
      </c>
      <c r="E223" t="str">
        <f>IF(Table1[[#This Row],[Impressions]]&gt;Table1[[#This Row],[Clicks]],"Standard",VLOOKUP(CONCATENATE(bd_adtype,"_",bd_creativetype),tabela,2,FALSE))</f>
        <v>Standard</v>
      </c>
      <c r="F223" t="str">
        <f t="shared" si="47"/>
        <v>alp_marca_engajamentos_feminino_facebook_social_dark-post_social_rasteiras_fashion_cpm_1080x1080_111391_dark-post</v>
      </c>
      <c r="G223" t="str">
        <f t="shared" si="48"/>
        <v>451197772</v>
      </c>
      <c r="H223" t="str">
        <f t="shared" si="49"/>
        <v>Tracking</v>
      </c>
      <c r="I223">
        <f t="shared" si="50"/>
        <v>326397</v>
      </c>
      <c r="J223">
        <f t="shared" si="51"/>
        <v>7092</v>
      </c>
      <c r="K223" s="4">
        <f t="shared" si="41"/>
        <v>3.8199999999999998E-2</v>
      </c>
      <c r="L223">
        <f t="shared" si="42"/>
        <v>0.09</v>
      </c>
      <c r="M223" s="4">
        <f t="shared" si="39"/>
        <v>12.468365399999998</v>
      </c>
      <c r="N223" s="4">
        <f t="shared" si="40"/>
        <v>29.375730000000001</v>
      </c>
    </row>
    <row r="224" spans="1:14">
      <c r="A224" t="str">
        <f t="shared" si="43"/>
        <v>alp_marca</v>
      </c>
      <c r="B224" t="str">
        <f t="shared" si="44"/>
        <v>facebook.com.br</v>
      </c>
      <c r="C224" t="str">
        <f t="shared" si="45"/>
        <v>alp_marca_engajamentos_feminino_facebook_social_dark-post_social_rasteiras_fashion_cpm_500x500_111175</v>
      </c>
      <c r="D224" t="str">
        <f t="shared" si="46"/>
        <v>246346793</v>
      </c>
      <c r="E224" t="str">
        <f>IF(Table1[[#This Row],[Impressions]]&gt;Table1[[#This Row],[Clicks]],"Standard",VLOOKUP(CONCATENATE(bd_adtype,"_",bd_creativetype),tabela,2,FALSE))</f>
        <v>Dynamic Click</v>
      </c>
      <c r="F224" t="str">
        <f t="shared" si="47"/>
        <v>alp_marca_engajamentos_feminino_facebook_social_dark-post_social_rasteiras_fashion_cpm_500x500_111175</v>
      </c>
      <c r="G224" t="str">
        <f t="shared" si="48"/>
        <v>443048506</v>
      </c>
      <c r="H224" t="str">
        <f t="shared" si="49"/>
        <v>Tracking</v>
      </c>
      <c r="I224">
        <f t="shared" si="50"/>
        <v>0</v>
      </c>
      <c r="J224">
        <f t="shared" si="51"/>
        <v>1</v>
      </c>
      <c r="K224" s="4">
        <f t="shared" si="41"/>
        <v>3.5000000000000001E-3</v>
      </c>
      <c r="L224">
        <f t="shared" si="42"/>
        <v>0.02</v>
      </c>
      <c r="M224" s="4">
        <f t="shared" si="39"/>
        <v>3.5000000000000001E-3</v>
      </c>
      <c r="N224" s="4">
        <f t="shared" si="40"/>
        <v>0.02</v>
      </c>
    </row>
    <row r="225" spans="1:14">
      <c r="A225" t="str">
        <f t="shared" si="43"/>
        <v>alp_marca</v>
      </c>
      <c r="B225" t="str">
        <f t="shared" si="44"/>
        <v>facebook.com.br</v>
      </c>
      <c r="C225" t="str">
        <f t="shared" si="45"/>
        <v>alp_marca_engajamentos_feminino_facebook_social_dark-post_social_rasteiras_funcional_cpm_1080x1080_111334</v>
      </c>
      <c r="D225" t="str">
        <f t="shared" si="46"/>
        <v>251079740</v>
      </c>
      <c r="E225" t="str">
        <f>IF(Table1[[#This Row],[Impressions]]&gt;Table1[[#This Row],[Clicks]],"Standard",VLOOKUP(CONCATENATE(bd_adtype,"_",bd_creativetype),tabela,2,FALSE))</f>
        <v>Dynamic Click</v>
      </c>
      <c r="F225" t="str">
        <f t="shared" si="47"/>
        <v>alp_marca_engajamentos_feminino_facebook_social_dark-post_social_rasteiras_funcional_cpm_1080x1080_111334</v>
      </c>
      <c r="G225" t="str">
        <f t="shared" si="48"/>
        <v>447455193</v>
      </c>
      <c r="H225" t="str">
        <f t="shared" si="49"/>
        <v>Tracking</v>
      </c>
      <c r="I225">
        <f t="shared" si="50"/>
        <v>0</v>
      </c>
      <c r="J225">
        <f t="shared" si="51"/>
        <v>5</v>
      </c>
      <c r="K225" s="4">
        <f t="shared" si="41"/>
        <v>3.5000000000000001E-3</v>
      </c>
      <c r="L225">
        <f t="shared" si="42"/>
        <v>0.02</v>
      </c>
      <c r="M225" s="4">
        <f t="shared" si="39"/>
        <v>1.7500000000000002E-2</v>
      </c>
      <c r="N225" s="4">
        <f t="shared" si="40"/>
        <v>0.1</v>
      </c>
    </row>
    <row r="226" spans="1:14">
      <c r="A226" t="str">
        <f t="shared" si="43"/>
        <v>alp_marca</v>
      </c>
      <c r="B226" t="str">
        <f t="shared" si="44"/>
        <v>facebook.com.br</v>
      </c>
      <c r="C226" t="str">
        <f t="shared" si="45"/>
        <v>alp_marca_engajamentos_feminino_facebook_social_dark-post_social_rasteiras_funcional_cpm_1080x1080_111390_dark-post</v>
      </c>
      <c r="D226" t="str">
        <f t="shared" si="46"/>
        <v>255160039</v>
      </c>
      <c r="E226" t="str">
        <f>IF(Table1[[#This Row],[Impressions]]&gt;Table1[[#This Row],[Clicks]],"Standard",VLOOKUP(CONCATENATE(bd_adtype,"_",bd_creativetype),tabela,2,FALSE))</f>
        <v>Standard</v>
      </c>
      <c r="F226" t="str">
        <f t="shared" si="47"/>
        <v>alp_marca_engajamentos_feminino_facebook_social_dark-post_social_rasteiras_funcional_cpm_1080x1080_111390_dark-post</v>
      </c>
      <c r="G226" t="str">
        <f t="shared" si="48"/>
        <v>451197778</v>
      </c>
      <c r="H226" t="str">
        <f t="shared" si="49"/>
        <v>Tracking</v>
      </c>
      <c r="I226">
        <f t="shared" si="50"/>
        <v>81468</v>
      </c>
      <c r="J226">
        <f t="shared" si="51"/>
        <v>796</v>
      </c>
      <c r="K226" s="4">
        <f t="shared" si="41"/>
        <v>3.8199999999999998E-2</v>
      </c>
      <c r="L226">
        <f t="shared" si="42"/>
        <v>0.09</v>
      </c>
      <c r="M226" s="4">
        <f t="shared" si="39"/>
        <v>3.1120775999999997</v>
      </c>
      <c r="N226" s="4">
        <f t="shared" si="40"/>
        <v>7.3321199999999997</v>
      </c>
    </row>
    <row r="227" spans="1:14">
      <c r="A227" t="str">
        <f t="shared" si="43"/>
        <v>alp_marca</v>
      </c>
      <c r="B227" t="str">
        <f t="shared" si="44"/>
        <v>facebook.com.br</v>
      </c>
      <c r="C227" t="str">
        <f t="shared" si="45"/>
        <v>alp_marca_engajamentos_feminino_facebook_social_dark-post_social_rasteiras_funcional_cpm_500x500_111173</v>
      </c>
      <c r="D227" t="str">
        <f t="shared" si="46"/>
        <v>246698184</v>
      </c>
      <c r="E227" t="str">
        <f>IF(Table1[[#This Row],[Impressions]]&gt;Table1[[#This Row],[Clicks]],"Standard",VLOOKUP(CONCATENATE(bd_adtype,"_",bd_creativetype),tabela,2,FALSE))</f>
        <v>Dynamic Click</v>
      </c>
      <c r="F227" t="str">
        <f t="shared" si="47"/>
        <v>alp_marca_engajamentos_feminino_facebook_social_dark-post_social_rasteiras_funcional_cpm_500x500_111173</v>
      </c>
      <c r="G227" t="str">
        <f t="shared" si="48"/>
        <v>442925904</v>
      </c>
      <c r="H227" t="str">
        <f t="shared" si="49"/>
        <v>Tracking</v>
      </c>
      <c r="I227">
        <f t="shared" si="50"/>
        <v>0</v>
      </c>
      <c r="J227">
        <f t="shared" si="51"/>
        <v>4</v>
      </c>
      <c r="K227" s="4">
        <f t="shared" si="41"/>
        <v>3.5000000000000001E-3</v>
      </c>
      <c r="L227">
        <f t="shared" si="42"/>
        <v>0.02</v>
      </c>
      <c r="M227" s="4">
        <f t="shared" ref="M227:M290" si="52">IF(E227="Dynamic Click",J227*K227,K227*$I227/1000)</f>
        <v>1.4E-2</v>
      </c>
      <c r="N227" s="4">
        <f t="shared" ref="N227:N290" si="53">IF(E227="Dynamic Click",J227*L227,L227*$I227/1000)</f>
        <v>0.08</v>
      </c>
    </row>
    <row r="228" spans="1:14">
      <c r="A228" t="str">
        <f t="shared" si="43"/>
        <v>alp_marca</v>
      </c>
      <c r="B228" t="str">
        <f t="shared" si="44"/>
        <v>facebook.com.br</v>
      </c>
      <c r="C228" t="str">
        <f t="shared" si="45"/>
        <v>alp_marca_engajamentos_feminino_facebook_social_dark-post_social_rasteiras_style_cpm_500x500_111176</v>
      </c>
      <c r="D228" t="str">
        <f t="shared" si="46"/>
        <v>246588286</v>
      </c>
      <c r="E228" t="str">
        <f>IF(Table1[[#This Row],[Impressions]]&gt;Table1[[#This Row],[Clicks]],"Standard",VLOOKUP(CONCATENATE(bd_adtype,"_",bd_creativetype),tabela,2,FALSE))</f>
        <v>Dynamic Click</v>
      </c>
      <c r="F228" t="str">
        <f t="shared" si="47"/>
        <v>alp_marca_engajamentos_feminino_facebook_social_dark-post_social_rasteiras_style_cpm_500x500_111176</v>
      </c>
      <c r="G228" t="str">
        <f t="shared" si="48"/>
        <v>442981506</v>
      </c>
      <c r="H228" t="str">
        <f t="shared" si="49"/>
        <v>Tracking</v>
      </c>
      <c r="I228">
        <f t="shared" si="50"/>
        <v>0</v>
      </c>
      <c r="J228">
        <f t="shared" si="51"/>
        <v>2</v>
      </c>
      <c r="K228" s="4">
        <f t="shared" si="41"/>
        <v>3.5000000000000001E-3</v>
      </c>
      <c r="L228">
        <f t="shared" si="42"/>
        <v>0.02</v>
      </c>
      <c r="M228" s="4">
        <f t="shared" si="52"/>
        <v>7.0000000000000001E-3</v>
      </c>
      <c r="N228" s="4">
        <f t="shared" si="53"/>
        <v>0.04</v>
      </c>
    </row>
    <row r="229" spans="1:14">
      <c r="A229" t="str">
        <f t="shared" si="43"/>
        <v>alp_marca</v>
      </c>
      <c r="B229" t="str">
        <f t="shared" si="44"/>
        <v>facebook.com.br</v>
      </c>
      <c r="C229" t="str">
        <f t="shared" si="45"/>
        <v>alp_marca_engajamentos_feminino_facebook_social_stories_social_rasteiras-print-roxo_funcional_cpm_de-5s-ate-10s_111397_dark-post</v>
      </c>
      <c r="D229" t="str">
        <f t="shared" si="46"/>
        <v>255683609</v>
      </c>
      <c r="E229" t="str">
        <f>IF(Table1[[#This Row],[Impressions]]&gt;Table1[[#This Row],[Clicks]],"Standard",VLOOKUP(CONCATENATE(bd_adtype,"_",bd_creativetype),tabela,2,FALSE))</f>
        <v>Dynamic Click</v>
      </c>
      <c r="F229" t="str">
        <f t="shared" si="47"/>
        <v>alp_marca_engajamentos_feminino_facebook_social_stories_social_rasteiras-print-roxo_funcional_cpm_de-5s-ate-10s_111397_dark-post</v>
      </c>
      <c r="G229" t="str">
        <f t="shared" si="48"/>
        <v>451995985</v>
      </c>
      <c r="H229" t="str">
        <f t="shared" si="49"/>
        <v>Tracking</v>
      </c>
      <c r="I229">
        <f t="shared" si="50"/>
        <v>0</v>
      </c>
      <c r="J229">
        <f t="shared" si="51"/>
        <v>1568</v>
      </c>
      <c r="K229" s="4">
        <f t="shared" si="41"/>
        <v>3.5000000000000001E-3</v>
      </c>
      <c r="L229">
        <f t="shared" si="42"/>
        <v>0.02</v>
      </c>
      <c r="M229" s="4">
        <f t="shared" si="52"/>
        <v>5.4880000000000004</v>
      </c>
      <c r="N229" s="4">
        <f t="shared" si="53"/>
        <v>31.36</v>
      </c>
    </row>
    <row r="230" spans="1:14">
      <c r="A230" t="str">
        <f t="shared" si="43"/>
        <v>alp_marca</v>
      </c>
      <c r="B230" t="str">
        <f t="shared" si="44"/>
        <v>facebook.com.br</v>
      </c>
      <c r="C230" t="str">
        <f t="shared" si="45"/>
        <v>alp_marca_engajamentos_feminino_facebook_social_stories_social_rasteiras-print-vermelho_fashion_cpm_de-5s-ate-10s_111400_dark-post</v>
      </c>
      <c r="D230" t="str">
        <f t="shared" si="46"/>
        <v>255683618</v>
      </c>
      <c r="E230" t="str">
        <f>IF(Table1[[#This Row],[Impressions]]&gt;Table1[[#This Row],[Clicks]],"Standard",VLOOKUP(CONCATENATE(bd_adtype,"_",bd_creativetype),tabela,2,FALSE))</f>
        <v>Dynamic Click</v>
      </c>
      <c r="F230" t="str">
        <f t="shared" si="47"/>
        <v>alp_marca_engajamentos_feminino_facebook_social_stories_social_rasteiras-print-vermelho_fashion_cpm_de-5s-ate-10s_111400_dark-post</v>
      </c>
      <c r="G230" t="str">
        <f t="shared" si="48"/>
        <v>451995994</v>
      </c>
      <c r="H230" t="str">
        <f t="shared" si="49"/>
        <v>Tracking</v>
      </c>
      <c r="I230">
        <f t="shared" si="50"/>
        <v>12</v>
      </c>
      <c r="J230">
        <f t="shared" si="51"/>
        <v>2754</v>
      </c>
      <c r="K230" s="4">
        <f t="shared" si="41"/>
        <v>3.5000000000000001E-3</v>
      </c>
      <c r="L230">
        <f t="shared" si="42"/>
        <v>0.02</v>
      </c>
      <c r="M230" s="4">
        <f t="shared" si="52"/>
        <v>9.6389999999999993</v>
      </c>
      <c r="N230" s="4">
        <f t="shared" si="53"/>
        <v>55.08</v>
      </c>
    </row>
    <row r="231" spans="1:14">
      <c r="A231" t="str">
        <f t="shared" si="43"/>
        <v>alp_marca</v>
      </c>
      <c r="B231" t="str">
        <f t="shared" si="44"/>
        <v>facebook.com.br</v>
      </c>
      <c r="C231" t="str">
        <f t="shared" si="45"/>
        <v>alp_marca_engajamentos_feminino_facebook_social_stories_social_rasteiras-rainbow-roxo_funcional_cpm_de-5s-ate-10s_111396_dark-post</v>
      </c>
      <c r="D231" t="str">
        <f t="shared" si="46"/>
        <v>255683621</v>
      </c>
      <c r="E231" t="str">
        <f>IF(Table1[[#This Row],[Impressions]]&gt;Table1[[#This Row],[Clicks]],"Standard",VLOOKUP(CONCATENATE(bd_adtype,"_",bd_creativetype),tabela,2,FALSE))</f>
        <v>Dynamic Click</v>
      </c>
      <c r="F231" t="str">
        <f t="shared" si="47"/>
        <v>alp_marca_engajamentos_feminino_facebook_social_stories_social_rasteiras-rainbow-roxo_funcional_cpm_de-5s-ate-10s_111396_dark-post</v>
      </c>
      <c r="G231" t="str">
        <f t="shared" si="48"/>
        <v>451995997</v>
      </c>
      <c r="H231" t="str">
        <f t="shared" si="49"/>
        <v>Tracking</v>
      </c>
      <c r="I231">
        <f t="shared" si="50"/>
        <v>0</v>
      </c>
      <c r="J231">
        <f t="shared" si="51"/>
        <v>1057</v>
      </c>
      <c r="K231" s="4">
        <f t="shared" si="41"/>
        <v>3.5000000000000001E-3</v>
      </c>
      <c r="L231">
        <f t="shared" si="42"/>
        <v>0.02</v>
      </c>
      <c r="M231" s="4">
        <f t="shared" si="52"/>
        <v>3.6995</v>
      </c>
      <c r="N231" s="4">
        <f t="shared" si="53"/>
        <v>21.14</v>
      </c>
    </row>
    <row r="232" spans="1:14">
      <c r="A232" t="str">
        <f t="shared" si="43"/>
        <v>alp_marca</v>
      </c>
      <c r="B232" t="str">
        <f t="shared" si="44"/>
        <v>facebook.com.br</v>
      </c>
      <c r="C232" t="str">
        <f t="shared" si="45"/>
        <v>alp_marca_engajamentos_feminino_facebook_social_stories_social_rasteiras-rainbow-vermelho_fashion_cpm_de-5s-ate-10s_111399_dark-post</v>
      </c>
      <c r="D232" t="str">
        <f t="shared" si="46"/>
        <v>255683591</v>
      </c>
      <c r="E232" t="str">
        <f>IF(Table1[[#This Row],[Impressions]]&gt;Table1[[#This Row],[Clicks]],"Standard",VLOOKUP(CONCATENATE(bd_adtype,"_",bd_creativetype),tabela,2,FALSE))</f>
        <v>Dynamic Click</v>
      </c>
      <c r="F232" t="str">
        <f t="shared" si="47"/>
        <v>alp_marca_engajamentos_feminino_facebook_social_stories_social_rasteiras-rainbow-vermelho_fashion_cpm_de-5s-ate-10s_111399_dark-post</v>
      </c>
      <c r="G232" t="str">
        <f t="shared" si="48"/>
        <v>451995967</v>
      </c>
      <c r="H232" t="str">
        <f t="shared" si="49"/>
        <v>Tracking</v>
      </c>
      <c r="I232">
        <f t="shared" si="50"/>
        <v>31</v>
      </c>
      <c r="J232">
        <f t="shared" si="51"/>
        <v>375</v>
      </c>
      <c r="K232" s="4">
        <f t="shared" si="41"/>
        <v>3.5000000000000001E-3</v>
      </c>
      <c r="L232">
        <f t="shared" si="42"/>
        <v>0.02</v>
      </c>
      <c r="M232" s="4">
        <f t="shared" si="52"/>
        <v>1.3125</v>
      </c>
      <c r="N232" s="4">
        <f t="shared" si="53"/>
        <v>7.5</v>
      </c>
    </row>
    <row r="233" spans="1:14">
      <c r="A233" t="str">
        <f t="shared" si="43"/>
        <v>alp_marca</v>
      </c>
      <c r="B233" t="str">
        <f t="shared" si="44"/>
        <v>facebook.com.br</v>
      </c>
      <c r="C233" t="str">
        <f t="shared" si="45"/>
        <v>alp_marca_engajamentos_feminino_facebook_social_stories_social_rasteiras-riviera-roxo_funcional_cpm_de-5s-ate-10s_111398_dark-post</v>
      </c>
      <c r="D233" t="str">
        <f t="shared" si="46"/>
        <v>255683597</v>
      </c>
      <c r="E233" t="str">
        <f>IF(Table1[[#This Row],[Impressions]]&gt;Table1[[#This Row],[Clicks]],"Standard",VLOOKUP(CONCATENATE(bd_adtype,"_",bd_creativetype),tabela,2,FALSE))</f>
        <v>Dynamic Click</v>
      </c>
      <c r="F233" t="str">
        <f t="shared" si="47"/>
        <v>alp_marca_engajamentos_feminino_facebook_social_stories_social_rasteiras-riviera-roxo_funcional_cpm_de-5s-ate-10s_111398_dark-post</v>
      </c>
      <c r="G233" t="str">
        <f t="shared" si="48"/>
        <v>451995973</v>
      </c>
      <c r="H233" t="str">
        <f t="shared" si="49"/>
        <v>Tracking</v>
      </c>
      <c r="I233">
        <f t="shared" si="50"/>
        <v>33</v>
      </c>
      <c r="J233">
        <f t="shared" si="51"/>
        <v>143</v>
      </c>
      <c r="K233" s="4">
        <f t="shared" si="41"/>
        <v>3.5000000000000001E-3</v>
      </c>
      <c r="L233">
        <f t="shared" si="42"/>
        <v>0.02</v>
      </c>
      <c r="M233" s="4">
        <f t="shared" si="52"/>
        <v>0.50050000000000006</v>
      </c>
      <c r="N233" s="4">
        <f t="shared" si="53"/>
        <v>2.86</v>
      </c>
    </row>
    <row r="234" spans="1:14">
      <c r="A234" t="str">
        <f t="shared" si="43"/>
        <v>alp_marca</v>
      </c>
      <c r="B234" t="str">
        <f t="shared" si="44"/>
        <v>facebook.com.br</v>
      </c>
      <c r="C234" t="str">
        <f t="shared" si="45"/>
        <v>alp_marca_engajamentos_feminino_facebook_social_stories_social_rasteiras-riviera-vermelho_fashion_cpm_de-5s-ate-10s_111401_dark-post</v>
      </c>
      <c r="D234" t="str">
        <f t="shared" si="46"/>
        <v>255683606</v>
      </c>
      <c r="E234" t="str">
        <f>IF(Table1[[#This Row],[Impressions]]&gt;Table1[[#This Row],[Clicks]],"Standard",VLOOKUP(CONCATENATE(bd_adtype,"_",bd_creativetype),tabela,2,FALSE))</f>
        <v>Dynamic Click</v>
      </c>
      <c r="F234" t="str">
        <f t="shared" si="47"/>
        <v>alp_marca_engajamentos_feminino_facebook_social_stories_social_rasteiras-riviera-vermelho_fashion_cpm_de-5s-ate-10s_111401_dark-post</v>
      </c>
      <c r="G234" t="str">
        <f t="shared" si="48"/>
        <v>451995982</v>
      </c>
      <c r="H234" t="str">
        <f t="shared" si="49"/>
        <v>Tracking</v>
      </c>
      <c r="I234">
        <f t="shared" si="50"/>
        <v>10</v>
      </c>
      <c r="J234">
        <f t="shared" si="51"/>
        <v>1098</v>
      </c>
      <c r="K234" s="4">
        <f t="shared" si="41"/>
        <v>3.5000000000000001E-3</v>
      </c>
      <c r="L234">
        <f t="shared" si="42"/>
        <v>0.02</v>
      </c>
      <c r="M234" s="4">
        <f t="shared" si="52"/>
        <v>3.843</v>
      </c>
      <c r="N234" s="4">
        <f t="shared" si="53"/>
        <v>21.96</v>
      </c>
    </row>
    <row r="235" spans="1:14">
      <c r="A235" t="str">
        <f t="shared" si="43"/>
        <v>alp_marca</v>
      </c>
      <c r="B235" t="str">
        <f t="shared" si="44"/>
        <v>facebook.com.br</v>
      </c>
      <c r="C235" t="str">
        <f t="shared" si="45"/>
        <v>alp_marca_engajamentos_feminino_facebook_social_stories_social_rasteiras_fashion_cpm_de-5s-ate-10s_111391_dark-post</v>
      </c>
      <c r="D235" t="str">
        <f t="shared" si="46"/>
        <v>255160036</v>
      </c>
      <c r="E235" t="str">
        <f>IF(Table1[[#This Row],[Impressions]]&gt;Table1[[#This Row],[Clicks]],"Standard",VLOOKUP(CONCATENATE(bd_adtype,"_",bd_creativetype),tabela,2,FALSE))</f>
        <v>Dynamic Click</v>
      </c>
      <c r="F235" t="str">
        <f t="shared" si="47"/>
        <v>alp_marca_engajamentos_feminino_facebook_social_stories_social_rasteiras_fashion_cpm_de-5s-ate-10s_111391_dark-post</v>
      </c>
      <c r="G235" t="str">
        <f t="shared" si="48"/>
        <v>451197775</v>
      </c>
      <c r="H235" t="str">
        <f t="shared" si="49"/>
        <v>Tracking</v>
      </c>
      <c r="I235">
        <f t="shared" si="50"/>
        <v>1</v>
      </c>
      <c r="J235">
        <f t="shared" si="51"/>
        <v>202</v>
      </c>
      <c r="K235" s="4">
        <f t="shared" si="41"/>
        <v>3.5000000000000001E-3</v>
      </c>
      <c r="L235">
        <f t="shared" si="42"/>
        <v>0.02</v>
      </c>
      <c r="M235" s="4">
        <f t="shared" si="52"/>
        <v>0.70699999999999996</v>
      </c>
      <c r="N235" s="4">
        <f t="shared" si="53"/>
        <v>4.04</v>
      </c>
    </row>
    <row r="236" spans="1:14">
      <c r="A236" t="str">
        <f t="shared" si="43"/>
        <v>alp_marca</v>
      </c>
      <c r="B236" t="str">
        <f t="shared" si="44"/>
        <v>facebook.com.br</v>
      </c>
      <c r="C236" t="str">
        <f t="shared" si="45"/>
        <v>alp_marca_engajamentos_feminino_facebook_social_stories_social_rasteiras_funcional_cpm_de-5s-ate-10s_111390_dark-post</v>
      </c>
      <c r="D236" t="str">
        <f t="shared" si="46"/>
        <v>255160042</v>
      </c>
      <c r="E236" t="str">
        <f>IF(Table1[[#This Row],[Impressions]]&gt;Table1[[#This Row],[Clicks]],"Standard",VLOOKUP(CONCATENATE(bd_adtype,"_",bd_creativetype),tabela,2,FALSE))</f>
        <v>Dynamic Click</v>
      </c>
      <c r="F236" t="str">
        <f t="shared" si="47"/>
        <v>alp_marca_engajamentos_feminino_facebook_social_stories_social_rasteiras_funcional_cpm_de-5s-ate-10s_111390_dark-post</v>
      </c>
      <c r="G236" t="str">
        <f t="shared" si="48"/>
        <v>451197781</v>
      </c>
      <c r="H236" t="str">
        <f t="shared" si="49"/>
        <v>Tracking</v>
      </c>
      <c r="I236">
        <f t="shared" si="50"/>
        <v>57</v>
      </c>
      <c r="J236">
        <f t="shared" si="51"/>
        <v>572</v>
      </c>
      <c r="K236" s="4">
        <f t="shared" ref="K236:K299" si="54">IF(LEFT(B236,3)="DBM",0,VLOOKUP(E236,tabela,2,FALSE))</f>
        <v>3.5000000000000001E-3</v>
      </c>
      <c r="L236">
        <f t="shared" ref="L236:L299" si="55">VLOOKUP(E236,tabela,3,FALSE)</f>
        <v>0.02</v>
      </c>
      <c r="M236" s="4">
        <f t="shared" si="52"/>
        <v>2.0020000000000002</v>
      </c>
      <c r="N236" s="4">
        <f t="shared" si="53"/>
        <v>11.44</v>
      </c>
    </row>
    <row r="237" spans="1:14">
      <c r="A237" t="str">
        <f t="shared" si="43"/>
        <v>alp_marca</v>
      </c>
      <c r="B237" t="str">
        <f t="shared" si="44"/>
        <v>facebook.com.br</v>
      </c>
      <c r="C237" t="str">
        <f t="shared" si="45"/>
        <v>alp_marca_engajamentos_feminino_facebook_social_stories_social_warm-up-concept-sp_all_cpm_de-5s-ate-10s_111413_dark-post</v>
      </c>
      <c r="D237" t="str">
        <f t="shared" si="46"/>
        <v>256443935</v>
      </c>
      <c r="E237" t="str">
        <f>IF(Table1[[#This Row],[Impressions]]&gt;Table1[[#This Row],[Clicks]],"Standard",VLOOKUP(CONCATENATE(bd_adtype,"_",bd_creativetype),tabela,2,FALSE))</f>
        <v>Dynamic Click</v>
      </c>
      <c r="F237" t="str">
        <f t="shared" si="47"/>
        <v>alp_marca_engajamentos_feminino_facebook_social_stories_social_warm-up-concept-sp_all_cpm_de-5s-ate-10s_111413_dark-post</v>
      </c>
      <c r="G237" t="str">
        <f t="shared" si="48"/>
        <v>452678653</v>
      </c>
      <c r="H237" t="str">
        <f t="shared" si="49"/>
        <v>Tracking</v>
      </c>
      <c r="I237">
        <f t="shared" si="50"/>
        <v>0</v>
      </c>
      <c r="J237">
        <f t="shared" si="51"/>
        <v>61</v>
      </c>
      <c r="K237" s="4">
        <f t="shared" si="54"/>
        <v>3.5000000000000001E-3</v>
      </c>
      <c r="L237">
        <f t="shared" si="55"/>
        <v>0.02</v>
      </c>
      <c r="M237" s="4">
        <f t="shared" si="52"/>
        <v>0.2135</v>
      </c>
      <c r="N237" s="4">
        <f t="shared" si="53"/>
        <v>1.22</v>
      </c>
    </row>
    <row r="238" spans="1:14">
      <c r="A238" t="str">
        <f t="shared" si="43"/>
        <v>alp_marca</v>
      </c>
      <c r="B238" t="str">
        <f t="shared" si="44"/>
        <v>facebook.com.br</v>
      </c>
      <c r="C238" t="str">
        <f t="shared" si="45"/>
        <v>alp_marca_engajamentos_feminino_facebook_social_video-social_social_slim-hits_all_cpm_acima-de-30s_111208</v>
      </c>
      <c r="D238" t="str">
        <f t="shared" si="46"/>
        <v>248134070</v>
      </c>
      <c r="E238" t="str">
        <f>IF(Table1[[#This Row],[Impressions]]&gt;Table1[[#This Row],[Clicks]],"Standard",VLOOKUP(CONCATENATE(bd_adtype,"_",bd_creativetype),tabela,2,FALSE))</f>
        <v>Dynamic Click</v>
      </c>
      <c r="F238" t="str">
        <f t="shared" si="47"/>
        <v>alp_marca_engajamentos_feminino_facebook_social_video-social_social_slim-hits_all_cpm_acima-de-30s_111208</v>
      </c>
      <c r="G238" t="str">
        <f t="shared" si="48"/>
        <v>444678949</v>
      </c>
      <c r="H238" t="str">
        <f t="shared" si="49"/>
        <v>Tracking</v>
      </c>
      <c r="I238">
        <f t="shared" si="50"/>
        <v>0</v>
      </c>
      <c r="J238">
        <f t="shared" si="51"/>
        <v>9</v>
      </c>
      <c r="K238" s="4">
        <f t="shared" si="54"/>
        <v>3.5000000000000001E-3</v>
      </c>
      <c r="L238">
        <f t="shared" si="55"/>
        <v>0.02</v>
      </c>
      <c r="M238" s="4">
        <f t="shared" si="52"/>
        <v>3.15E-2</v>
      </c>
      <c r="N238" s="4">
        <f t="shared" si="53"/>
        <v>0.18</v>
      </c>
    </row>
    <row r="239" spans="1:14">
      <c r="A239" t="str">
        <f t="shared" si="43"/>
        <v>alp_marca</v>
      </c>
      <c r="B239" t="str">
        <f t="shared" si="44"/>
        <v>facebook.com.br</v>
      </c>
      <c r="C239" t="str">
        <f t="shared" si="45"/>
        <v>alp_marca_engajamentos_masculino_facebook_social_dark-post_social_harry-potter_licenciados_cpm_500x500_111187</v>
      </c>
      <c r="D239" t="str">
        <f t="shared" si="46"/>
        <v>246959855</v>
      </c>
      <c r="E239" t="str">
        <f>IF(Table1[[#This Row],[Impressions]]&gt;Table1[[#This Row],[Clicks]],"Standard",VLOOKUP(CONCATENATE(bd_adtype,"_",bd_creativetype),tabela,2,FALSE))</f>
        <v>Dynamic Click</v>
      </c>
      <c r="F239" t="str">
        <f t="shared" si="47"/>
        <v>alp_marca_engajamentos_masculino_facebook_social_dark-post_social_harry-potter_licenciados_cpm_500x500_111187</v>
      </c>
      <c r="G239" t="str">
        <f t="shared" si="48"/>
        <v>443465076</v>
      </c>
      <c r="H239" t="str">
        <f t="shared" si="49"/>
        <v>Tracking</v>
      </c>
      <c r="I239">
        <f t="shared" si="50"/>
        <v>0</v>
      </c>
      <c r="J239">
        <f t="shared" si="51"/>
        <v>6</v>
      </c>
      <c r="K239" s="4">
        <f t="shared" si="54"/>
        <v>3.5000000000000001E-3</v>
      </c>
      <c r="L239">
        <f t="shared" si="55"/>
        <v>0.02</v>
      </c>
      <c r="M239" s="4">
        <f t="shared" si="52"/>
        <v>2.1000000000000001E-2</v>
      </c>
      <c r="N239" s="4">
        <f t="shared" si="53"/>
        <v>0.12</v>
      </c>
    </row>
    <row r="240" spans="1:14">
      <c r="A240" t="str">
        <f t="shared" si="43"/>
        <v>alp_marca</v>
      </c>
      <c r="B240" t="str">
        <f t="shared" si="44"/>
        <v>facebook.com.br</v>
      </c>
      <c r="C240" t="str">
        <f t="shared" si="45"/>
        <v>alp_marca_engajamentos_masculino_facebook_social_dark-post_social_havaianas-surf_sports_cpm_1080x1080_111394_dark-post</v>
      </c>
      <c r="D240" t="str">
        <f t="shared" si="46"/>
        <v>255160048</v>
      </c>
      <c r="E240" t="str">
        <f>IF(Table1[[#This Row],[Impressions]]&gt;Table1[[#This Row],[Clicks]],"Standard",VLOOKUP(CONCATENATE(bd_adtype,"_",bd_creativetype),tabela,2,FALSE))</f>
        <v>Standard</v>
      </c>
      <c r="F240" t="str">
        <f t="shared" si="47"/>
        <v>alp_marca_engajamentos_masculino_facebook_social_dark-post_social_havaianas-surf_sports_cpm_1080x1080_111394_dark-post</v>
      </c>
      <c r="G240" t="str">
        <f t="shared" si="48"/>
        <v>451197787</v>
      </c>
      <c r="H240" t="str">
        <f t="shared" si="49"/>
        <v>Tracking</v>
      </c>
      <c r="I240">
        <f t="shared" si="50"/>
        <v>4797058</v>
      </c>
      <c r="J240">
        <f t="shared" si="51"/>
        <v>14774</v>
      </c>
      <c r="K240" s="4">
        <f t="shared" si="54"/>
        <v>3.8199999999999998E-2</v>
      </c>
      <c r="L240">
        <f t="shared" si="55"/>
        <v>0.09</v>
      </c>
      <c r="M240" s="4">
        <f t="shared" si="52"/>
        <v>183.24761559999999</v>
      </c>
      <c r="N240" s="4">
        <f t="shared" si="53"/>
        <v>431.73521999999997</v>
      </c>
    </row>
    <row r="241" spans="1:14">
      <c r="A241" t="str">
        <f t="shared" si="43"/>
        <v>alp_marca</v>
      </c>
      <c r="B241" t="str">
        <f t="shared" si="44"/>
        <v>facebook.com.br</v>
      </c>
      <c r="C241" t="str">
        <f t="shared" si="45"/>
        <v>alp_marca_engajamentos_masculino_facebook_social_dark-post_social_havaianas-top-max_automoveis_cpm_500x500_111189</v>
      </c>
      <c r="D241" t="str">
        <f t="shared" si="46"/>
        <v>246959849</v>
      </c>
      <c r="E241" t="str">
        <f>IF(Table1[[#This Row],[Impressions]]&gt;Table1[[#This Row],[Clicks]],"Standard",VLOOKUP(CONCATENATE(bd_adtype,"_",bd_creativetype),tabela,2,FALSE))</f>
        <v>Dynamic Click</v>
      </c>
      <c r="F241" t="str">
        <f t="shared" si="47"/>
        <v>alp_marca_engajamentos_masculino_facebook_social_dark-post_social_havaianas-top-max_automoveis_cpm_500x500_111189</v>
      </c>
      <c r="G241" t="str">
        <f t="shared" si="48"/>
        <v>443465070</v>
      </c>
      <c r="H241" t="str">
        <f t="shared" si="49"/>
        <v>Tracking</v>
      </c>
      <c r="I241">
        <f t="shared" si="50"/>
        <v>0</v>
      </c>
      <c r="J241">
        <f t="shared" si="51"/>
        <v>3</v>
      </c>
      <c r="K241" s="4">
        <f t="shared" si="54"/>
        <v>3.5000000000000001E-3</v>
      </c>
      <c r="L241">
        <f t="shared" si="55"/>
        <v>0.02</v>
      </c>
      <c r="M241" s="4">
        <f t="shared" si="52"/>
        <v>1.0500000000000001E-2</v>
      </c>
      <c r="N241" s="4">
        <f t="shared" si="53"/>
        <v>0.06</v>
      </c>
    </row>
    <row r="242" spans="1:14">
      <c r="A242" t="str">
        <f t="shared" si="43"/>
        <v>alp_marca</v>
      </c>
      <c r="B242" t="str">
        <f t="shared" si="44"/>
        <v>facebook.com.br</v>
      </c>
      <c r="C242" t="str">
        <f t="shared" si="45"/>
        <v>alp_marca_engajamentos_masculino_facebook_social_dark-post_social_havaianas-urban_moda_cpm_1080x1080_111248-joao_all_cpm_de-5s-ate-10s_111247</v>
      </c>
      <c r="D242" t="str">
        <f t="shared" si="46"/>
        <v>249586960</v>
      </c>
      <c r="E242" t="str">
        <f>IF(Table1[[#This Row],[Impressions]]&gt;Table1[[#This Row],[Clicks]],"Standard",VLOOKUP(CONCATENATE(bd_adtype,"_",bd_creativetype),tabela,2,FALSE))</f>
        <v>Dynamic Click</v>
      </c>
      <c r="F242" t="str">
        <f t="shared" si="47"/>
        <v>alp_marca_engajamentos_masculino_facebook_social_dark-post_social_havaianas-urban_moda_cpm_1080x1080_111248</v>
      </c>
      <c r="G242" t="str">
        <f t="shared" si="48"/>
        <v>445854028</v>
      </c>
      <c r="H242" t="str">
        <f t="shared" si="49"/>
        <v>Tracking</v>
      </c>
      <c r="I242">
        <f t="shared" si="50"/>
        <v>0</v>
      </c>
      <c r="J242">
        <f t="shared" si="51"/>
        <v>1</v>
      </c>
      <c r="K242" s="4">
        <f t="shared" si="54"/>
        <v>3.5000000000000001E-3</v>
      </c>
      <c r="L242">
        <f t="shared" si="55"/>
        <v>0.02</v>
      </c>
      <c r="M242" s="4">
        <f t="shared" si="52"/>
        <v>3.5000000000000001E-3</v>
      </c>
      <c r="N242" s="4">
        <f t="shared" si="53"/>
        <v>0.02</v>
      </c>
    </row>
    <row r="243" spans="1:14">
      <c r="A243" t="str">
        <f t="shared" si="43"/>
        <v>alp_marca</v>
      </c>
      <c r="B243" t="str">
        <f t="shared" si="44"/>
        <v>facebook.com.br</v>
      </c>
      <c r="C243" t="str">
        <f t="shared" si="45"/>
        <v>alp_marca_engajamentos_masculino_facebook_social_dark-post_social_havaianas-urban_moda_cpm_1080x1080_111393_dark-post</v>
      </c>
      <c r="D243" t="str">
        <f t="shared" si="46"/>
        <v>255160045</v>
      </c>
      <c r="E243" t="str">
        <f>IF(Table1[[#This Row],[Impressions]]&gt;Table1[[#This Row],[Clicks]],"Standard",VLOOKUP(CONCATENATE(bd_adtype,"_",bd_creativetype),tabela,2,FALSE))</f>
        <v>Standard</v>
      </c>
      <c r="F243" t="str">
        <f t="shared" si="47"/>
        <v>alp_marca_engajamentos_masculino_facebook_social_dark-post_social_havaianas-urban_moda_cpm_1080x1080_111393_dark-post</v>
      </c>
      <c r="G243" t="str">
        <f t="shared" si="48"/>
        <v>451197784</v>
      </c>
      <c r="H243" t="str">
        <f t="shared" si="49"/>
        <v>Tracking</v>
      </c>
      <c r="I243">
        <f t="shared" si="50"/>
        <v>3315196</v>
      </c>
      <c r="J243">
        <f t="shared" si="51"/>
        <v>12285</v>
      </c>
      <c r="K243" s="4">
        <f t="shared" si="54"/>
        <v>3.8199999999999998E-2</v>
      </c>
      <c r="L243">
        <f t="shared" si="55"/>
        <v>0.09</v>
      </c>
      <c r="M243" s="4">
        <f t="shared" si="52"/>
        <v>126.6404872</v>
      </c>
      <c r="N243" s="4">
        <f t="shared" si="53"/>
        <v>298.36763999999999</v>
      </c>
    </row>
    <row r="244" spans="1:14">
      <c r="A244" t="str">
        <f t="shared" si="43"/>
        <v>alp_marca</v>
      </c>
      <c r="B244" t="str">
        <f t="shared" si="44"/>
        <v>facebook.com.br</v>
      </c>
      <c r="C244" t="str">
        <f t="shared" si="45"/>
        <v>alp_marca_engajamentos_masculino_facebook_social_dark-post_social_hype_sports_cpm_500x500_111188</v>
      </c>
      <c r="D244" t="str">
        <f t="shared" si="46"/>
        <v>246959852</v>
      </c>
      <c r="E244" t="str">
        <f>IF(Table1[[#This Row],[Impressions]]&gt;Table1[[#This Row],[Clicks]],"Standard",VLOOKUP(CONCATENATE(bd_adtype,"_",bd_creativetype),tabela,2,FALSE))</f>
        <v>Dynamic Click</v>
      </c>
      <c r="F244" t="str">
        <f t="shared" si="47"/>
        <v>alp_marca_engajamentos_masculino_facebook_social_dark-post_social_hype_sports_cpm_500x500_111188</v>
      </c>
      <c r="G244" t="str">
        <f t="shared" si="48"/>
        <v>443465073</v>
      </c>
      <c r="H244" t="str">
        <f t="shared" si="49"/>
        <v>Tracking</v>
      </c>
      <c r="I244">
        <f t="shared" si="50"/>
        <v>0</v>
      </c>
      <c r="J244">
        <f t="shared" si="51"/>
        <v>1</v>
      </c>
      <c r="K244" s="4">
        <f t="shared" si="54"/>
        <v>3.5000000000000001E-3</v>
      </c>
      <c r="L244">
        <f t="shared" si="55"/>
        <v>0.02</v>
      </c>
      <c r="M244" s="4">
        <f t="shared" si="52"/>
        <v>3.5000000000000001E-3</v>
      </c>
      <c r="N244" s="4">
        <f t="shared" si="53"/>
        <v>0.02</v>
      </c>
    </row>
    <row r="245" spans="1:14">
      <c r="A245" t="str">
        <f t="shared" si="43"/>
        <v>alp_marca</v>
      </c>
      <c r="B245" t="str">
        <f t="shared" si="44"/>
        <v>facebook.com.br</v>
      </c>
      <c r="C245" t="str">
        <f t="shared" si="45"/>
        <v>alp_marca_engajamentos_masculino_facebook_social_dark-post_social_la-casa-de-papel_licenciados_cpm_1080x1080_111392_dark-post</v>
      </c>
      <c r="D245" t="str">
        <f t="shared" si="46"/>
        <v>255160057</v>
      </c>
      <c r="E245" t="str">
        <f>IF(Table1[[#This Row],[Impressions]]&gt;Table1[[#This Row],[Clicks]],"Standard",VLOOKUP(CONCATENATE(bd_adtype,"_",bd_creativetype),tabela,2,FALSE))</f>
        <v>Standard</v>
      </c>
      <c r="F245" t="str">
        <f t="shared" si="47"/>
        <v>alp_marca_engajamentos_masculino_facebook_social_dark-post_social_la-casa-de-papel_licenciados_cpm_1080x1080_111392_dark-post</v>
      </c>
      <c r="G245" t="str">
        <f t="shared" si="48"/>
        <v>451197796</v>
      </c>
      <c r="H245" t="str">
        <f t="shared" si="49"/>
        <v>Tracking</v>
      </c>
      <c r="I245">
        <f t="shared" si="50"/>
        <v>4330482</v>
      </c>
      <c r="J245">
        <f t="shared" si="51"/>
        <v>20194</v>
      </c>
      <c r="K245" s="4">
        <f t="shared" si="54"/>
        <v>3.8199999999999998E-2</v>
      </c>
      <c r="L245">
        <f t="shared" si="55"/>
        <v>0.09</v>
      </c>
      <c r="M245" s="4">
        <f t="shared" si="52"/>
        <v>165.42441239999999</v>
      </c>
      <c r="N245" s="4">
        <f t="shared" si="53"/>
        <v>389.74338</v>
      </c>
    </row>
    <row r="246" spans="1:14">
      <c r="A246" t="str">
        <f t="shared" si="43"/>
        <v>alp_marca</v>
      </c>
      <c r="B246" t="str">
        <f t="shared" si="44"/>
        <v>facebook.com.br</v>
      </c>
      <c r="C246" t="str">
        <f t="shared" si="45"/>
        <v>alp_marca_engajamentos_masculino_facebook_social_stories_social_havaianas-surf_sports_cpm_de-5s-ate-10s_111394_dark-post</v>
      </c>
      <c r="D246" t="str">
        <f t="shared" si="46"/>
        <v>255160054</v>
      </c>
      <c r="E246" t="str">
        <f>IF(Table1[[#This Row],[Impressions]]&gt;Table1[[#This Row],[Clicks]],"Standard",VLOOKUP(CONCATENATE(bd_adtype,"_",bd_creativetype),tabela,2,FALSE))</f>
        <v>Standard</v>
      </c>
      <c r="F246" t="str">
        <f t="shared" si="47"/>
        <v>alp_marca_engajamentos_masculino_facebook_social_stories_social_havaianas-surf_sports_cpm_de-5s-ate-10s_111394_dark-post</v>
      </c>
      <c r="G246" t="str">
        <f t="shared" si="48"/>
        <v>451197793</v>
      </c>
      <c r="H246" t="str">
        <f t="shared" si="49"/>
        <v>Tracking</v>
      </c>
      <c r="I246">
        <f t="shared" si="50"/>
        <v>12911</v>
      </c>
      <c r="J246">
        <f t="shared" si="51"/>
        <v>5061</v>
      </c>
      <c r="K246" s="4">
        <f t="shared" si="54"/>
        <v>3.8199999999999998E-2</v>
      </c>
      <c r="L246">
        <f t="shared" si="55"/>
        <v>0.09</v>
      </c>
      <c r="M246" s="4">
        <f t="shared" si="52"/>
        <v>0.49320019999999998</v>
      </c>
      <c r="N246" s="4">
        <f t="shared" si="53"/>
        <v>1.1619900000000001</v>
      </c>
    </row>
    <row r="247" spans="1:14">
      <c r="A247" t="str">
        <f t="shared" si="43"/>
        <v>alp_marca</v>
      </c>
      <c r="B247" t="str">
        <f t="shared" si="44"/>
        <v>facebook.com.br</v>
      </c>
      <c r="C247" t="str">
        <f t="shared" si="45"/>
        <v>alp_marca_engajamentos_masculino_facebook_social_stories_social_havaianas-urban_moda_cpm_de-5s-ate-10s_111393_dark-post</v>
      </c>
      <c r="D247" t="str">
        <f t="shared" si="46"/>
        <v>255160051</v>
      </c>
      <c r="E247" t="str">
        <f>IF(Table1[[#This Row],[Impressions]]&gt;Table1[[#This Row],[Clicks]],"Standard",VLOOKUP(CONCATENATE(bd_adtype,"_",bd_creativetype),tabela,2,FALSE))</f>
        <v>Standard</v>
      </c>
      <c r="F247" t="str">
        <f t="shared" si="47"/>
        <v>alp_marca_engajamentos_masculino_facebook_social_stories_social_havaianas-urban_moda_cpm_de-5s-ate-10s_111393_dark-post</v>
      </c>
      <c r="G247" t="str">
        <f t="shared" si="48"/>
        <v>451197790</v>
      </c>
      <c r="H247" t="str">
        <f t="shared" si="49"/>
        <v>Tracking</v>
      </c>
      <c r="I247">
        <f t="shared" si="50"/>
        <v>27271</v>
      </c>
      <c r="J247">
        <f t="shared" si="51"/>
        <v>5080</v>
      </c>
      <c r="K247" s="4">
        <f t="shared" si="54"/>
        <v>3.8199999999999998E-2</v>
      </c>
      <c r="L247">
        <f t="shared" si="55"/>
        <v>0.09</v>
      </c>
      <c r="M247" s="4">
        <f t="shared" si="52"/>
        <v>1.0417521999999999</v>
      </c>
      <c r="N247" s="4">
        <f t="shared" si="53"/>
        <v>2.4543900000000001</v>
      </c>
    </row>
    <row r="248" spans="1:14">
      <c r="A248" t="str">
        <f t="shared" si="43"/>
        <v>alp_marca</v>
      </c>
      <c r="B248" t="str">
        <f t="shared" si="44"/>
        <v>facebook.com.br</v>
      </c>
      <c r="C248" t="str">
        <f t="shared" si="45"/>
        <v>alp_marca_engajamentos_masculino_facebook_social_stories_social_la-casa-de-papel_licenciados_cpm_de-5s-ate-10s_111392_dark-post</v>
      </c>
      <c r="D248" t="str">
        <f t="shared" si="46"/>
        <v>255160063</v>
      </c>
      <c r="E248" t="str">
        <f>IF(Table1[[#This Row],[Impressions]]&gt;Table1[[#This Row],[Clicks]],"Standard",VLOOKUP(CONCATENATE(bd_adtype,"_",bd_creativetype),tabela,2,FALSE))</f>
        <v>Dynamic Click</v>
      </c>
      <c r="F248" t="str">
        <f t="shared" si="47"/>
        <v>alp_marca_engajamentos_masculino_facebook_social_stories_social_la-casa-de-papel_licenciados_cpm_de-5s-ate-10s_111392_dark-post</v>
      </c>
      <c r="G248" t="str">
        <f t="shared" si="48"/>
        <v>451197802</v>
      </c>
      <c r="H248" t="str">
        <f t="shared" si="49"/>
        <v>Tracking</v>
      </c>
      <c r="I248">
        <f t="shared" si="50"/>
        <v>452</v>
      </c>
      <c r="J248">
        <f t="shared" si="51"/>
        <v>8858</v>
      </c>
      <c r="K248" s="4">
        <f t="shared" si="54"/>
        <v>3.5000000000000001E-3</v>
      </c>
      <c r="L248">
        <f t="shared" si="55"/>
        <v>0.02</v>
      </c>
      <c r="M248" s="4">
        <f t="shared" si="52"/>
        <v>31.003</v>
      </c>
      <c r="N248" s="4">
        <f t="shared" si="53"/>
        <v>177.16</v>
      </c>
    </row>
    <row r="249" spans="1:14">
      <c r="A249" t="str">
        <f t="shared" si="43"/>
        <v>alp_marca</v>
      </c>
      <c r="B249" t="str">
        <f t="shared" si="44"/>
        <v>globoesporte.globo.com</v>
      </c>
      <c r="C249" t="str">
        <f t="shared" si="45"/>
        <v>alp_marca_alcance_masculino_globo-esporte_display_billboard_ros_havaianas-surf_sports_cpm_970x250_111394_no</v>
      </c>
      <c r="D249" t="str">
        <f t="shared" si="46"/>
        <v>255182692</v>
      </c>
      <c r="E249" t="str">
        <f>IF(Table1[[#This Row],[Impressions]]&gt;Table1[[#This Row],[Clicks]],"Standard",VLOOKUP(CONCATENATE(bd_adtype,"_",bd_creativetype),tabela,2,FALSE))</f>
        <v>Standard</v>
      </c>
      <c r="F249" t="str">
        <f t="shared" si="47"/>
        <v>alp_marca_alcance_masculino_globo-esporte_display_billboard_ros_havaianas-surf_sports_cpm_970x250_111394_no</v>
      </c>
      <c r="G249" t="str">
        <f t="shared" si="48"/>
        <v>451164908</v>
      </c>
      <c r="H249" t="str">
        <f t="shared" si="49"/>
        <v>Display</v>
      </c>
      <c r="I249">
        <f t="shared" si="50"/>
        <v>65545</v>
      </c>
      <c r="J249">
        <f t="shared" si="51"/>
        <v>50</v>
      </c>
      <c r="K249" s="4">
        <f t="shared" si="54"/>
        <v>3.8199999999999998E-2</v>
      </c>
      <c r="L249">
        <f t="shared" si="55"/>
        <v>0.09</v>
      </c>
      <c r="M249" s="4">
        <f t="shared" si="52"/>
        <v>2.503819</v>
      </c>
      <c r="N249" s="4">
        <f t="shared" si="53"/>
        <v>5.8990499999999999</v>
      </c>
    </row>
    <row r="250" spans="1:14">
      <c r="A250" t="str">
        <f t="shared" si="43"/>
        <v>alp_marca</v>
      </c>
      <c r="B250" t="str">
        <f t="shared" si="44"/>
        <v>globoesporte.globo.com</v>
      </c>
      <c r="C250" t="str">
        <f t="shared" si="45"/>
        <v>alp_marca_alcance_masculino_globo-esporte_display_maxiboard_ros_havaianas-surf_sports_cpm_970x150_111394_no</v>
      </c>
      <c r="D250" t="str">
        <f t="shared" si="46"/>
        <v>255308259</v>
      </c>
      <c r="E250" t="str">
        <f>IF(Table1[[#This Row],[Impressions]]&gt;Table1[[#This Row],[Clicks]],"Standard",VLOOKUP(CONCATENATE(bd_adtype,"_",bd_creativetype),tabela,2,FALSE))</f>
        <v>Standard</v>
      </c>
      <c r="F250" t="str">
        <f t="shared" si="47"/>
        <v>alp_marca_alcance_masculino_globo-esporte_display_maxiboard_ros_havaianas-surf_sports_cpm_970x150_111394_no</v>
      </c>
      <c r="G250" t="str">
        <f t="shared" si="48"/>
        <v>451112427</v>
      </c>
      <c r="H250" t="str">
        <f t="shared" si="49"/>
        <v>Display</v>
      </c>
      <c r="I250">
        <f t="shared" si="50"/>
        <v>46690</v>
      </c>
      <c r="J250">
        <f t="shared" si="51"/>
        <v>19</v>
      </c>
      <c r="K250" s="4">
        <f t="shared" si="54"/>
        <v>3.8199999999999998E-2</v>
      </c>
      <c r="L250">
        <f t="shared" si="55"/>
        <v>0.09</v>
      </c>
      <c r="M250" s="4">
        <f t="shared" si="52"/>
        <v>1.783558</v>
      </c>
      <c r="N250" s="4">
        <f t="shared" si="53"/>
        <v>4.2020999999999997</v>
      </c>
    </row>
    <row r="251" spans="1:14">
      <c r="A251" t="str">
        <f t="shared" si="43"/>
        <v>alp_marca</v>
      </c>
      <c r="B251" t="str">
        <f t="shared" si="44"/>
        <v>globoesporte.globo.com</v>
      </c>
      <c r="C251" t="str">
        <f t="shared" si="45"/>
        <v>alp_marca_alcance_masculino_globo-esporte_display_retangulo_ros_havaianas-surf_sports_cpm_300x250_111394_no</v>
      </c>
      <c r="D251" t="str">
        <f t="shared" si="46"/>
        <v>255183484</v>
      </c>
      <c r="E251" t="str">
        <f>IF(Table1[[#This Row],[Impressions]]&gt;Table1[[#This Row],[Clicks]],"Standard",VLOOKUP(CONCATENATE(bd_adtype,"_",bd_creativetype),tabela,2,FALSE))</f>
        <v>Standard</v>
      </c>
      <c r="F251" t="str">
        <f t="shared" si="47"/>
        <v>alp_marca_alcance_masculino_globo-esporte_display_retangulo_ros_havaianas-surf_sports_cpm_300x250_111394_no</v>
      </c>
      <c r="G251" t="str">
        <f t="shared" si="48"/>
        <v>451111368</v>
      </c>
      <c r="H251" t="str">
        <f t="shared" si="49"/>
        <v>Display</v>
      </c>
      <c r="I251">
        <f t="shared" si="50"/>
        <v>1183054</v>
      </c>
      <c r="J251">
        <f t="shared" si="51"/>
        <v>1296</v>
      </c>
      <c r="K251" s="4">
        <f t="shared" si="54"/>
        <v>3.8199999999999998E-2</v>
      </c>
      <c r="L251">
        <f t="shared" si="55"/>
        <v>0.09</v>
      </c>
      <c r="M251" s="4">
        <f t="shared" si="52"/>
        <v>45.192662800000001</v>
      </c>
      <c r="N251" s="4">
        <f t="shared" si="53"/>
        <v>106.47486000000001</v>
      </c>
    </row>
    <row r="252" spans="1:14">
      <c r="A252" t="str">
        <f t="shared" si="43"/>
        <v>alp_marca</v>
      </c>
      <c r="B252" t="str">
        <f t="shared" si="44"/>
        <v>jovemnerd.com.br</v>
      </c>
      <c r="C252" t="str">
        <f t="shared" si="45"/>
        <v>alp_marca_alcance_jovem_jovem-nerd_display_intervencao_ros_got_all_diaria_1280x700_111160</v>
      </c>
      <c r="D252" t="str">
        <f t="shared" si="46"/>
        <v>246075390</v>
      </c>
      <c r="E252" t="str">
        <f>IF(Table1[[#This Row],[Impressions]]&gt;Table1[[#This Row],[Clicks]],"Standard",VLOOKUP(CONCATENATE(bd_adtype,"_",bd_creativetype),tabela,2,FALSE))</f>
        <v>Standard</v>
      </c>
      <c r="F252" t="str">
        <f t="shared" si="47"/>
        <v>alp_marca_alcance_jovem_jovem-nerd_display_intervencao_ros_got_all_diaria_1280x700_111160</v>
      </c>
      <c r="G252" t="str">
        <f t="shared" si="48"/>
        <v>442506469</v>
      </c>
      <c r="H252" t="str">
        <f t="shared" si="49"/>
        <v>Display</v>
      </c>
      <c r="I252">
        <f t="shared" si="50"/>
        <v>11</v>
      </c>
      <c r="J252">
        <f t="shared" si="51"/>
        <v>0</v>
      </c>
      <c r="K252" s="4">
        <f t="shared" si="54"/>
        <v>3.8199999999999998E-2</v>
      </c>
      <c r="L252">
        <f t="shared" si="55"/>
        <v>0.09</v>
      </c>
      <c r="M252" s="4">
        <f t="shared" si="52"/>
        <v>4.2019999999999997E-4</v>
      </c>
      <c r="N252" s="4">
        <f t="shared" si="53"/>
        <v>9.8999999999999999E-4</v>
      </c>
    </row>
    <row r="253" spans="1:14">
      <c r="A253" t="str">
        <f t="shared" si="43"/>
        <v>alp_marca</v>
      </c>
      <c r="B253" t="str">
        <f t="shared" si="44"/>
        <v>jovemnerd.com.br</v>
      </c>
      <c r="C253" t="str">
        <f t="shared" si="45"/>
        <v>alp_marca_engajamentos_jovem_jovem-nerd_conteudo-veiculo_video-social_youtube_stranger-things_all_fixo_acima-de-30s_111311</v>
      </c>
      <c r="D253" t="str">
        <f t="shared" si="46"/>
        <v>250442014</v>
      </c>
      <c r="E253" t="str">
        <f>IF(Table1[[#This Row],[Impressions]]&gt;Table1[[#This Row],[Clicks]],"Standard",VLOOKUP(CONCATENATE(bd_adtype,"_",bd_creativetype),tabela,2,FALSE))</f>
        <v>Dynamic Click</v>
      </c>
      <c r="F253" t="str">
        <f t="shared" si="47"/>
        <v>alp_marca_engajamentos_jovem_jovem-nerd_conteudo-veiculo_video-social_youtube_stranger-things_all_fixo_acima-de-30s_111311</v>
      </c>
      <c r="G253" t="str">
        <f t="shared" si="48"/>
        <v>446561231</v>
      </c>
      <c r="H253" t="str">
        <f t="shared" si="49"/>
        <v>Tracking</v>
      </c>
      <c r="I253">
        <f t="shared" si="50"/>
        <v>0</v>
      </c>
      <c r="J253">
        <f t="shared" si="51"/>
        <v>6</v>
      </c>
      <c r="K253" s="4">
        <f t="shared" si="54"/>
        <v>3.5000000000000001E-3</v>
      </c>
      <c r="L253">
        <f t="shared" si="55"/>
        <v>0.02</v>
      </c>
      <c r="M253" s="4">
        <f t="shared" si="52"/>
        <v>2.1000000000000001E-2</v>
      </c>
      <c r="N253" s="4">
        <f t="shared" si="53"/>
        <v>0.12</v>
      </c>
    </row>
    <row r="254" spans="1:14">
      <c r="A254" t="str">
        <f t="shared" si="43"/>
        <v>alp_marca</v>
      </c>
      <c r="B254" t="str">
        <f t="shared" si="44"/>
        <v>papodehomem.com.br</v>
      </c>
      <c r="C254" t="str">
        <f t="shared" si="45"/>
        <v>alp_marca_alcance_masculino_papo-de-homem_display_billboard_ros_havaianas-urban_all_cpm_970x250_111207</v>
      </c>
      <c r="D254" t="str">
        <f t="shared" si="46"/>
        <v>248234589</v>
      </c>
      <c r="E254" t="str">
        <f>IF(Table1[[#This Row],[Impressions]]&gt;Table1[[#This Row],[Clicks]],"Standard",VLOOKUP(CONCATENATE(bd_adtype,"_",bd_creativetype),tabela,2,FALSE))</f>
        <v>Standard</v>
      </c>
      <c r="F254" t="str">
        <f t="shared" si="47"/>
        <v>alp_marca_alcance_masculino_papo-de-homem_display_billboard_ros_havaianas-urban_all_cpm_970x250_111207</v>
      </c>
      <c r="G254" t="str">
        <f t="shared" si="48"/>
        <v>444466786</v>
      </c>
      <c r="H254" t="str">
        <f t="shared" si="49"/>
        <v>Display</v>
      </c>
      <c r="I254">
        <f t="shared" si="50"/>
        <v>1370</v>
      </c>
      <c r="J254">
        <f t="shared" si="51"/>
        <v>7</v>
      </c>
      <c r="K254" s="4">
        <f t="shared" si="54"/>
        <v>3.8199999999999998E-2</v>
      </c>
      <c r="L254">
        <f t="shared" si="55"/>
        <v>0.09</v>
      </c>
      <c r="M254" s="4">
        <f t="shared" si="52"/>
        <v>5.2333999999999999E-2</v>
      </c>
      <c r="N254" s="4">
        <f t="shared" si="53"/>
        <v>0.12329999999999999</v>
      </c>
    </row>
    <row r="255" spans="1:14">
      <c r="A255" t="str">
        <f t="shared" si="43"/>
        <v>alp_marca</v>
      </c>
      <c r="B255" t="str">
        <f t="shared" si="44"/>
        <v>papodehomem.com.br</v>
      </c>
      <c r="C255" t="str">
        <f t="shared" si="45"/>
        <v>alp_marca_alcance_masculino_papo-de-homem_display_billboard_ros_havaianas-urban_moda_cpm_970x250_111393_no</v>
      </c>
      <c r="D255" t="str">
        <f t="shared" si="46"/>
        <v>254847386</v>
      </c>
      <c r="E255" t="str">
        <f>IF(Table1[[#This Row],[Impressions]]&gt;Table1[[#This Row],[Clicks]],"Standard",VLOOKUP(CONCATENATE(bd_adtype,"_",bd_creativetype),tabela,2,FALSE))</f>
        <v>Standard</v>
      </c>
      <c r="F255" t="str">
        <f t="shared" si="47"/>
        <v>alp_marca_alcance_masculino_papo-de-homem_display_billboard_ros_havaianas-urban_moda_cpm_970x250_111393_no</v>
      </c>
      <c r="G255" t="str">
        <f t="shared" si="48"/>
        <v>451163837</v>
      </c>
      <c r="H255" t="str">
        <f t="shared" si="49"/>
        <v>Display</v>
      </c>
      <c r="I255">
        <f t="shared" si="50"/>
        <v>7503</v>
      </c>
      <c r="J255">
        <f t="shared" si="51"/>
        <v>7</v>
      </c>
      <c r="K255" s="4">
        <f t="shared" si="54"/>
        <v>3.8199999999999998E-2</v>
      </c>
      <c r="L255">
        <f t="shared" si="55"/>
        <v>0.09</v>
      </c>
      <c r="M255" s="4">
        <f t="shared" si="52"/>
        <v>0.2866146</v>
      </c>
      <c r="N255" s="4">
        <f t="shared" si="53"/>
        <v>0.67527000000000004</v>
      </c>
    </row>
    <row r="256" spans="1:14">
      <c r="A256" t="str">
        <f t="shared" si="43"/>
        <v>alp_marca</v>
      </c>
      <c r="B256" t="str">
        <f t="shared" si="44"/>
        <v>papodehomem.com.br</v>
      </c>
      <c r="C256" t="str">
        <f t="shared" si="45"/>
        <v>alp_marca_alcance_masculino_papo-de-homem_display_retangulo_ros_havaianas-urban_all_cpm_300x250_111207</v>
      </c>
      <c r="D256" t="str">
        <f t="shared" si="46"/>
        <v>248233251</v>
      </c>
      <c r="E256" t="str">
        <f>IF(Table1[[#This Row],[Impressions]]&gt;Table1[[#This Row],[Clicks]],"Standard",VLOOKUP(CONCATENATE(bd_adtype,"_",bd_creativetype),tabela,2,FALSE))</f>
        <v>Standard</v>
      </c>
      <c r="F256" t="str">
        <f t="shared" si="47"/>
        <v>alp_marca_alcance_masculino_papo-de-homem_display_retangulo_ros_havaianas-urban_all_cpm_300x250_111207</v>
      </c>
      <c r="G256" t="str">
        <f t="shared" si="48"/>
        <v>444464740</v>
      </c>
      <c r="H256" t="str">
        <f t="shared" si="49"/>
        <v>Display</v>
      </c>
      <c r="I256">
        <f t="shared" si="50"/>
        <v>1920</v>
      </c>
      <c r="J256">
        <f t="shared" si="51"/>
        <v>14</v>
      </c>
      <c r="K256" s="4">
        <f t="shared" si="54"/>
        <v>3.8199999999999998E-2</v>
      </c>
      <c r="L256">
        <f t="shared" si="55"/>
        <v>0.09</v>
      </c>
      <c r="M256" s="4">
        <f t="shared" si="52"/>
        <v>7.3343999999999993E-2</v>
      </c>
      <c r="N256" s="4">
        <f t="shared" si="53"/>
        <v>0.17279999999999998</v>
      </c>
    </row>
    <row r="257" spans="1:14">
      <c r="A257" t="str">
        <f t="shared" si="43"/>
        <v>alp_marca</v>
      </c>
      <c r="B257" t="str">
        <f t="shared" si="44"/>
        <v>papodehomem.com.br</v>
      </c>
      <c r="C257" t="str">
        <f t="shared" si="45"/>
        <v>alp_marca_alcance_masculino_papo-de-homem_display_retangulo_ros_havaianas-urban_moda_cpm_300x250_111393_no</v>
      </c>
      <c r="D257" t="str">
        <f t="shared" si="46"/>
        <v>254847347</v>
      </c>
      <c r="E257" t="str">
        <f>IF(Table1[[#This Row],[Impressions]]&gt;Table1[[#This Row],[Clicks]],"Standard",VLOOKUP(CONCATENATE(bd_adtype,"_",bd_creativetype),tabela,2,FALSE))</f>
        <v>Standard</v>
      </c>
      <c r="F257" t="str">
        <f t="shared" si="47"/>
        <v>alp_marca_alcance_masculino_papo-de-homem_display_retangulo_ros_havaianas-urban_moda_cpm_300x250_111393_no</v>
      </c>
      <c r="G257" t="str">
        <f t="shared" si="48"/>
        <v>451220314</v>
      </c>
      <c r="H257" t="str">
        <f t="shared" si="49"/>
        <v>Display</v>
      </c>
      <c r="I257">
        <f t="shared" si="50"/>
        <v>541640</v>
      </c>
      <c r="J257">
        <f t="shared" si="51"/>
        <v>849</v>
      </c>
      <c r="K257" s="4">
        <f t="shared" si="54"/>
        <v>3.8199999999999998E-2</v>
      </c>
      <c r="L257">
        <f t="shared" si="55"/>
        <v>0.09</v>
      </c>
      <c r="M257" s="4">
        <f t="shared" si="52"/>
        <v>20.690647999999996</v>
      </c>
      <c r="N257" s="4">
        <f t="shared" si="53"/>
        <v>48.747599999999998</v>
      </c>
    </row>
    <row r="258" spans="1:14">
      <c r="A258" t="str">
        <f t="shared" ref="A258:A321" si="56">bd_campaign</f>
        <v>alp_marca</v>
      </c>
      <c r="B258" t="str">
        <f t="shared" ref="B258:B321" si="57">bd_site</f>
        <v>universa-uol_puig</v>
      </c>
      <c r="C258" t="str">
        <f t="shared" ref="C258:C321" si="58">bd_placement</f>
        <v>alp_marca_alcance_feminino_universa-uol_display_billboard_ros_rasteiras_fashion_cpm_970x250_111341</v>
      </c>
      <c r="D258" t="str">
        <f t="shared" ref="D258:D321" si="59">bd_placementID</f>
        <v>252033517</v>
      </c>
      <c r="E258" t="str">
        <f>IF(Table1[[#This Row],[Impressions]]&gt;Table1[[#This Row],[Clicks]],"Standard",VLOOKUP(CONCATENATE(bd_adtype,"_",bd_creativetype),tabela,2,FALSE))</f>
        <v>Standard</v>
      </c>
      <c r="F258" t="str">
        <f t="shared" ref="F258:F321" si="60">bd_ad</f>
        <v>alp_marca_alcance_feminino_universa-uol_display_billboard_ros_rasteiras_fashion_cpm_970x250_111341</v>
      </c>
      <c r="G258" t="str">
        <f t="shared" ref="G258:G321" si="61">bd_adid</f>
        <v>448038642</v>
      </c>
      <c r="H258" t="str">
        <f t="shared" ref="H258:H321" si="62">bd_creativetype</f>
        <v>Display</v>
      </c>
      <c r="I258">
        <f t="shared" ref="I258:I321" si="63">bd_impression</f>
        <v>36</v>
      </c>
      <c r="J258">
        <f t="shared" ref="J258:J321" si="64">bd_clicks</f>
        <v>0</v>
      </c>
      <c r="K258" s="4">
        <f t="shared" si="54"/>
        <v>3.8199999999999998E-2</v>
      </c>
      <c r="L258">
        <f t="shared" si="55"/>
        <v>0.09</v>
      </c>
      <c r="M258" s="4">
        <f t="shared" si="52"/>
        <v>1.3752E-3</v>
      </c>
      <c r="N258" s="4">
        <f t="shared" si="53"/>
        <v>3.2399999999999998E-3</v>
      </c>
    </row>
    <row r="259" spans="1:14">
      <c r="A259" t="str">
        <f t="shared" si="56"/>
        <v>alp_marca</v>
      </c>
      <c r="B259" t="str">
        <f t="shared" si="57"/>
        <v>universa-uol_puig</v>
      </c>
      <c r="C259" t="str">
        <f t="shared" si="58"/>
        <v>alp_marca_alcance_feminino_universa-uol_display_retangulo_ros_rasteiras_fashion_cpm_300x250_111341</v>
      </c>
      <c r="D259" t="str">
        <f t="shared" si="59"/>
        <v>252034849</v>
      </c>
      <c r="E259" t="str">
        <f>IF(Table1[[#This Row],[Impressions]]&gt;Table1[[#This Row],[Clicks]],"Standard",VLOOKUP(CONCATENATE(bd_adtype,"_",bd_creativetype),tabela,2,FALSE))</f>
        <v>Standard</v>
      </c>
      <c r="F259" t="str">
        <f t="shared" si="60"/>
        <v>alp_marca_alcance_feminino_universa-uol_display_retangulo_ros_rasteiras_fashion_cpm_300x250_111341</v>
      </c>
      <c r="G259" t="str">
        <f t="shared" si="61"/>
        <v>448038630</v>
      </c>
      <c r="H259" t="str">
        <f t="shared" si="62"/>
        <v>Display</v>
      </c>
      <c r="I259">
        <f t="shared" si="63"/>
        <v>63</v>
      </c>
      <c r="J259">
        <f t="shared" si="64"/>
        <v>1</v>
      </c>
      <c r="K259" s="4">
        <f t="shared" si="54"/>
        <v>3.8199999999999998E-2</v>
      </c>
      <c r="L259">
        <f t="shared" si="55"/>
        <v>0.09</v>
      </c>
      <c r="M259" s="4">
        <f t="shared" si="52"/>
        <v>2.4066000000000001E-3</v>
      </c>
      <c r="N259" s="4">
        <f t="shared" si="53"/>
        <v>5.6699999999999997E-3</v>
      </c>
    </row>
    <row r="260" spans="1:14">
      <c r="A260" t="str">
        <f t="shared" si="56"/>
        <v>alp_marca</v>
      </c>
      <c r="B260" t="str">
        <f t="shared" si="57"/>
        <v>universa-uol_puig</v>
      </c>
      <c r="C260" t="str">
        <f t="shared" si="58"/>
        <v>alp_marca_alcance_feminino_universa-uol_display_superbanner_ros_rasteiras_fashion_cpm_728x90_111341</v>
      </c>
      <c r="D260" t="str">
        <f t="shared" si="59"/>
        <v>252035758</v>
      </c>
      <c r="E260" t="str">
        <f>IF(Table1[[#This Row],[Impressions]]&gt;Table1[[#This Row],[Clicks]],"Standard",VLOOKUP(CONCATENATE(bd_adtype,"_",bd_creativetype),tabela,2,FALSE))</f>
        <v>Standard</v>
      </c>
      <c r="F260" t="str">
        <f t="shared" si="60"/>
        <v>alp_marca_alcance_feminino_universa-uol_display_superbanner_ros_rasteiras_fashion_cpm_728x90_111341</v>
      </c>
      <c r="G260" t="str">
        <f t="shared" si="61"/>
        <v>448092575</v>
      </c>
      <c r="H260" t="str">
        <f t="shared" si="62"/>
        <v>Display</v>
      </c>
      <c r="I260">
        <f t="shared" si="63"/>
        <v>17</v>
      </c>
      <c r="J260">
        <f t="shared" si="64"/>
        <v>0</v>
      </c>
      <c r="K260" s="4">
        <f t="shared" si="54"/>
        <v>3.8199999999999998E-2</v>
      </c>
      <c r="L260">
        <f t="shared" si="55"/>
        <v>0.09</v>
      </c>
      <c r="M260" s="4">
        <f t="shared" si="52"/>
        <v>6.4939999999999996E-4</v>
      </c>
      <c r="N260" s="4">
        <f t="shared" si="53"/>
        <v>1.5300000000000001E-3</v>
      </c>
    </row>
    <row r="261" spans="1:14">
      <c r="A261">
        <f t="shared" si="56"/>
        <v>0</v>
      </c>
      <c r="B261">
        <f t="shared" si="57"/>
        <v>0</v>
      </c>
      <c r="C261">
        <f t="shared" si="58"/>
        <v>0</v>
      </c>
      <c r="D261">
        <f t="shared" si="59"/>
        <v>0</v>
      </c>
      <c r="E261" t="e">
        <f>IF(Table1[[#This Row],[Impressions]]&gt;Table1[[#This Row],[Clicks]],"Standard",VLOOKUP(CONCATENATE(bd_adtype,"_",bd_creativetype),tabela,2,FALSE))</f>
        <v>#N/A</v>
      </c>
      <c r="F261">
        <f t="shared" si="60"/>
        <v>0</v>
      </c>
      <c r="G261">
        <f t="shared" si="61"/>
        <v>0</v>
      </c>
      <c r="H261">
        <f t="shared" si="62"/>
        <v>0</v>
      </c>
      <c r="I261">
        <f t="shared" si="63"/>
        <v>0</v>
      </c>
      <c r="J261">
        <f t="shared" si="64"/>
        <v>0</v>
      </c>
      <c r="K261" s="4" t="e">
        <f t="shared" si="54"/>
        <v>#N/A</v>
      </c>
      <c r="L261" t="e">
        <f t="shared" si="55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6"/>
        <v>0</v>
      </c>
      <c r="B262">
        <f t="shared" si="57"/>
        <v>0</v>
      </c>
      <c r="C262">
        <f t="shared" si="58"/>
        <v>0</v>
      </c>
      <c r="D262">
        <f t="shared" si="59"/>
        <v>0</v>
      </c>
      <c r="E262" t="e">
        <f>IF(Table1[[#This Row],[Impressions]]&gt;Table1[[#This Row],[Clicks]],"Standard",VLOOKUP(CONCATENATE(bd_adtype,"_",bd_creativetype),tabela,2,FALSE))</f>
        <v>#N/A</v>
      </c>
      <c r="F262">
        <f t="shared" si="60"/>
        <v>0</v>
      </c>
      <c r="G262">
        <f t="shared" si="61"/>
        <v>0</v>
      </c>
      <c r="H262">
        <f t="shared" si="62"/>
        <v>0</v>
      </c>
      <c r="I262">
        <f t="shared" si="63"/>
        <v>0</v>
      </c>
      <c r="J262">
        <f t="shared" si="64"/>
        <v>0</v>
      </c>
      <c r="K262" s="4" t="e">
        <f t="shared" si="54"/>
        <v>#N/A</v>
      </c>
      <c r="L262" t="e">
        <f t="shared" si="55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6"/>
        <v>0</v>
      </c>
      <c r="B263">
        <f t="shared" si="57"/>
        <v>0</v>
      </c>
      <c r="C263">
        <f t="shared" si="58"/>
        <v>0</v>
      </c>
      <c r="D263">
        <f t="shared" si="59"/>
        <v>0</v>
      </c>
      <c r="E263" t="e">
        <f>IF(Table1[[#This Row],[Impressions]]&gt;Table1[[#This Row],[Clicks]],"Standard",VLOOKUP(CONCATENATE(bd_adtype,"_",bd_creativetype),tabela,2,FALSE))</f>
        <v>#N/A</v>
      </c>
      <c r="F263">
        <f t="shared" si="60"/>
        <v>0</v>
      </c>
      <c r="G263">
        <f t="shared" si="61"/>
        <v>0</v>
      </c>
      <c r="H263">
        <f t="shared" si="62"/>
        <v>0</v>
      </c>
      <c r="I263">
        <f t="shared" si="63"/>
        <v>0</v>
      </c>
      <c r="J263">
        <f t="shared" si="64"/>
        <v>0</v>
      </c>
      <c r="K263" s="4" t="e">
        <f t="shared" si="54"/>
        <v>#N/A</v>
      </c>
      <c r="L263" t="e">
        <f t="shared" si="55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6"/>
        <v>0</v>
      </c>
      <c r="B264">
        <f t="shared" si="57"/>
        <v>0</v>
      </c>
      <c r="C264">
        <f t="shared" si="58"/>
        <v>0</v>
      </c>
      <c r="D264">
        <f t="shared" si="59"/>
        <v>0</v>
      </c>
      <c r="E264" t="e">
        <f>IF(Table1[[#This Row],[Impressions]]&gt;Table1[[#This Row],[Clicks]],"Standard",VLOOKUP(CONCATENATE(bd_adtype,"_",bd_creativetype),tabela,2,FALSE))</f>
        <v>#N/A</v>
      </c>
      <c r="F264">
        <f t="shared" si="60"/>
        <v>0</v>
      </c>
      <c r="G264">
        <f t="shared" si="61"/>
        <v>0</v>
      </c>
      <c r="H264">
        <f t="shared" si="62"/>
        <v>0</v>
      </c>
      <c r="I264">
        <f t="shared" si="63"/>
        <v>0</v>
      </c>
      <c r="J264">
        <f t="shared" si="64"/>
        <v>0</v>
      </c>
      <c r="K264" s="4" t="e">
        <f t="shared" si="54"/>
        <v>#N/A</v>
      </c>
      <c r="L264" t="e">
        <f t="shared" si="55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6"/>
        <v>0</v>
      </c>
      <c r="B265">
        <f t="shared" si="57"/>
        <v>0</v>
      </c>
      <c r="C265">
        <f t="shared" si="58"/>
        <v>0</v>
      </c>
      <c r="D265">
        <f t="shared" si="59"/>
        <v>0</v>
      </c>
      <c r="E265" t="e">
        <f>IF(Table1[[#This Row],[Impressions]]&gt;Table1[[#This Row],[Clicks]],"Standard",VLOOKUP(CONCATENATE(bd_adtype,"_",bd_creativetype),tabela,2,FALSE))</f>
        <v>#N/A</v>
      </c>
      <c r="F265">
        <f t="shared" si="60"/>
        <v>0</v>
      </c>
      <c r="G265">
        <f t="shared" si="61"/>
        <v>0</v>
      </c>
      <c r="H265">
        <f t="shared" si="62"/>
        <v>0</v>
      </c>
      <c r="I265">
        <f t="shared" si="63"/>
        <v>0</v>
      </c>
      <c r="J265">
        <f t="shared" si="64"/>
        <v>0</v>
      </c>
      <c r="K265" s="4" t="e">
        <f t="shared" si="54"/>
        <v>#N/A</v>
      </c>
      <c r="L265" t="e">
        <f t="shared" si="55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6"/>
        <v>0</v>
      </c>
      <c r="B266">
        <f t="shared" si="57"/>
        <v>0</v>
      </c>
      <c r="C266">
        <f t="shared" si="58"/>
        <v>0</v>
      </c>
      <c r="D266">
        <f t="shared" si="59"/>
        <v>0</v>
      </c>
      <c r="E266" t="e">
        <f>IF(Table1[[#This Row],[Impressions]]&gt;Table1[[#This Row],[Clicks]],"Standard",VLOOKUP(CONCATENATE(bd_adtype,"_",bd_creativetype),tabela,2,FALSE))</f>
        <v>#N/A</v>
      </c>
      <c r="F266">
        <f t="shared" si="60"/>
        <v>0</v>
      </c>
      <c r="G266">
        <f t="shared" si="61"/>
        <v>0</v>
      </c>
      <c r="H266">
        <f t="shared" si="62"/>
        <v>0</v>
      </c>
      <c r="I266">
        <f t="shared" si="63"/>
        <v>0</v>
      </c>
      <c r="J266">
        <f t="shared" si="64"/>
        <v>0</v>
      </c>
      <c r="K266" s="4" t="e">
        <f t="shared" si="54"/>
        <v>#N/A</v>
      </c>
      <c r="L266" t="e">
        <f t="shared" si="55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6"/>
        <v>0</v>
      </c>
      <c r="B267">
        <f t="shared" si="57"/>
        <v>0</v>
      </c>
      <c r="C267">
        <f t="shared" si="58"/>
        <v>0</v>
      </c>
      <c r="D267">
        <f t="shared" si="59"/>
        <v>0</v>
      </c>
      <c r="E267" t="e">
        <f>IF(Table1[[#This Row],[Impressions]]&gt;Table1[[#This Row],[Clicks]],"Standard",VLOOKUP(CONCATENATE(bd_adtype,"_",bd_creativetype),tabela,2,FALSE))</f>
        <v>#N/A</v>
      </c>
      <c r="F267">
        <f t="shared" si="60"/>
        <v>0</v>
      </c>
      <c r="G267">
        <f t="shared" si="61"/>
        <v>0</v>
      </c>
      <c r="H267">
        <f t="shared" si="62"/>
        <v>0</v>
      </c>
      <c r="I267">
        <f t="shared" si="63"/>
        <v>0</v>
      </c>
      <c r="J267">
        <f t="shared" si="64"/>
        <v>0</v>
      </c>
      <c r="K267" s="4" t="e">
        <f t="shared" si="54"/>
        <v>#N/A</v>
      </c>
      <c r="L267" t="e">
        <f t="shared" si="55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6"/>
        <v>0</v>
      </c>
      <c r="B268">
        <f t="shared" si="57"/>
        <v>0</v>
      </c>
      <c r="C268">
        <f t="shared" si="58"/>
        <v>0</v>
      </c>
      <c r="D268">
        <f t="shared" si="59"/>
        <v>0</v>
      </c>
      <c r="E268" t="e">
        <f>IF(Table1[[#This Row],[Impressions]]&gt;Table1[[#This Row],[Clicks]],"Standard",VLOOKUP(CONCATENATE(bd_adtype,"_",bd_creativetype),tabela,2,FALSE))</f>
        <v>#N/A</v>
      </c>
      <c r="F268">
        <f t="shared" si="60"/>
        <v>0</v>
      </c>
      <c r="G268">
        <f t="shared" si="61"/>
        <v>0</v>
      </c>
      <c r="H268">
        <f t="shared" si="62"/>
        <v>0</v>
      </c>
      <c r="I268">
        <f t="shared" si="63"/>
        <v>0</v>
      </c>
      <c r="J268">
        <f t="shared" si="64"/>
        <v>0</v>
      </c>
      <c r="K268" s="4" t="e">
        <f t="shared" si="54"/>
        <v>#N/A</v>
      </c>
      <c r="L268" t="e">
        <f t="shared" si="55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6"/>
        <v>0</v>
      </c>
      <c r="B269">
        <f t="shared" si="57"/>
        <v>0</v>
      </c>
      <c r="C269">
        <f t="shared" si="58"/>
        <v>0</v>
      </c>
      <c r="D269">
        <f t="shared" si="59"/>
        <v>0</v>
      </c>
      <c r="E269" t="e">
        <f>IF(Table1[[#This Row],[Impressions]]&gt;Table1[[#This Row],[Clicks]],"Standard",VLOOKUP(CONCATENATE(bd_adtype,"_",bd_creativetype),tabela,2,FALSE))</f>
        <v>#N/A</v>
      </c>
      <c r="F269">
        <f t="shared" si="60"/>
        <v>0</v>
      </c>
      <c r="G269">
        <f t="shared" si="61"/>
        <v>0</v>
      </c>
      <c r="H269">
        <f t="shared" si="62"/>
        <v>0</v>
      </c>
      <c r="I269">
        <f t="shared" si="63"/>
        <v>0</v>
      </c>
      <c r="J269">
        <f t="shared" si="64"/>
        <v>0</v>
      </c>
      <c r="K269" s="4" t="e">
        <f t="shared" si="54"/>
        <v>#N/A</v>
      </c>
      <c r="L269" t="e">
        <f t="shared" si="55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6"/>
        <v>0</v>
      </c>
      <c r="B270">
        <f t="shared" si="57"/>
        <v>0</v>
      </c>
      <c r="C270">
        <f t="shared" si="58"/>
        <v>0</v>
      </c>
      <c r="D270">
        <f t="shared" si="59"/>
        <v>0</v>
      </c>
      <c r="E270" t="e">
        <f>IF(Table1[[#This Row],[Impressions]]&gt;Table1[[#This Row],[Clicks]],"Standard",VLOOKUP(CONCATENATE(bd_adtype,"_",bd_creativetype),tabela,2,FALSE))</f>
        <v>#N/A</v>
      </c>
      <c r="F270">
        <f t="shared" si="60"/>
        <v>0</v>
      </c>
      <c r="G270">
        <f t="shared" si="61"/>
        <v>0</v>
      </c>
      <c r="H270">
        <f t="shared" si="62"/>
        <v>0</v>
      </c>
      <c r="I270">
        <f t="shared" si="63"/>
        <v>0</v>
      </c>
      <c r="J270">
        <f t="shared" si="64"/>
        <v>0</v>
      </c>
      <c r="K270" s="4" t="e">
        <f t="shared" si="54"/>
        <v>#N/A</v>
      </c>
      <c r="L270" t="e">
        <f t="shared" si="55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6"/>
        <v>0</v>
      </c>
      <c r="B271">
        <f t="shared" si="57"/>
        <v>0</v>
      </c>
      <c r="C271">
        <f t="shared" si="58"/>
        <v>0</v>
      </c>
      <c r="D271">
        <f t="shared" si="59"/>
        <v>0</v>
      </c>
      <c r="E271" t="e">
        <f>IF(Table1[[#This Row],[Impressions]]&gt;Table1[[#This Row],[Clicks]],"Standard",VLOOKUP(CONCATENATE(bd_adtype,"_",bd_creativetype),tabela,2,FALSE))</f>
        <v>#N/A</v>
      </c>
      <c r="F271">
        <f t="shared" si="60"/>
        <v>0</v>
      </c>
      <c r="G271">
        <f t="shared" si="61"/>
        <v>0</v>
      </c>
      <c r="H271">
        <f t="shared" si="62"/>
        <v>0</v>
      </c>
      <c r="I271">
        <f t="shared" si="63"/>
        <v>0</v>
      </c>
      <c r="J271">
        <f t="shared" si="64"/>
        <v>0</v>
      </c>
      <c r="K271" s="4" t="e">
        <f t="shared" si="54"/>
        <v>#N/A</v>
      </c>
      <c r="L271" t="e">
        <f t="shared" si="55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6"/>
        <v>0</v>
      </c>
      <c r="B272">
        <f t="shared" si="57"/>
        <v>0</v>
      </c>
      <c r="C272">
        <f t="shared" si="58"/>
        <v>0</v>
      </c>
      <c r="D272">
        <f t="shared" si="59"/>
        <v>0</v>
      </c>
      <c r="E272" t="e">
        <f>IF(Table1[[#This Row],[Impressions]]&gt;Table1[[#This Row],[Clicks]],"Standard",VLOOKUP(CONCATENATE(bd_adtype,"_",bd_creativetype),tabela,2,FALSE))</f>
        <v>#N/A</v>
      </c>
      <c r="F272">
        <f t="shared" si="60"/>
        <v>0</v>
      </c>
      <c r="G272">
        <f t="shared" si="61"/>
        <v>0</v>
      </c>
      <c r="H272">
        <f t="shared" si="62"/>
        <v>0</v>
      </c>
      <c r="I272">
        <f t="shared" si="63"/>
        <v>0</v>
      </c>
      <c r="J272">
        <f t="shared" si="64"/>
        <v>0</v>
      </c>
      <c r="K272" s="4" t="e">
        <f t="shared" si="54"/>
        <v>#N/A</v>
      </c>
      <c r="L272" t="e">
        <f t="shared" si="55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6"/>
        <v>0</v>
      </c>
      <c r="B273">
        <f t="shared" si="57"/>
        <v>0</v>
      </c>
      <c r="C273">
        <f t="shared" si="58"/>
        <v>0</v>
      </c>
      <c r="D273">
        <f t="shared" si="59"/>
        <v>0</v>
      </c>
      <c r="E273" t="e">
        <f>IF(Table1[[#This Row],[Impressions]]&gt;Table1[[#This Row],[Clicks]],"Standard",VLOOKUP(CONCATENATE(bd_adtype,"_",bd_creativetype),tabela,2,FALSE))</f>
        <v>#N/A</v>
      </c>
      <c r="F273">
        <f t="shared" si="60"/>
        <v>0</v>
      </c>
      <c r="G273">
        <f t="shared" si="61"/>
        <v>0</v>
      </c>
      <c r="H273">
        <f t="shared" si="62"/>
        <v>0</v>
      </c>
      <c r="I273">
        <f t="shared" si="63"/>
        <v>0</v>
      </c>
      <c r="J273">
        <f t="shared" si="64"/>
        <v>0</v>
      </c>
      <c r="K273" s="4" t="e">
        <f t="shared" si="54"/>
        <v>#N/A</v>
      </c>
      <c r="L273" t="e">
        <f t="shared" si="55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6"/>
        <v>0</v>
      </c>
      <c r="B274">
        <f t="shared" si="57"/>
        <v>0</v>
      </c>
      <c r="C274">
        <f t="shared" si="58"/>
        <v>0</v>
      </c>
      <c r="D274">
        <f t="shared" si="59"/>
        <v>0</v>
      </c>
      <c r="E274" t="e">
        <f>IF(Table1[[#This Row],[Impressions]]&gt;Table1[[#This Row],[Clicks]],"Standard",VLOOKUP(CONCATENATE(bd_adtype,"_",bd_creativetype),tabela,2,FALSE))</f>
        <v>#N/A</v>
      </c>
      <c r="F274">
        <f t="shared" si="60"/>
        <v>0</v>
      </c>
      <c r="G274">
        <f t="shared" si="61"/>
        <v>0</v>
      </c>
      <c r="H274">
        <f t="shared" si="62"/>
        <v>0</v>
      </c>
      <c r="I274">
        <f t="shared" si="63"/>
        <v>0</v>
      </c>
      <c r="J274">
        <f t="shared" si="64"/>
        <v>0</v>
      </c>
      <c r="K274" s="4" t="e">
        <f t="shared" si="54"/>
        <v>#N/A</v>
      </c>
      <c r="L274" t="e">
        <f t="shared" si="55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6"/>
        <v>0</v>
      </c>
      <c r="B275">
        <f t="shared" si="57"/>
        <v>0</v>
      </c>
      <c r="C275">
        <f t="shared" si="58"/>
        <v>0</v>
      </c>
      <c r="D275">
        <f t="shared" si="59"/>
        <v>0</v>
      </c>
      <c r="E275" t="e">
        <f>IF(Table1[[#This Row],[Impressions]]&gt;Table1[[#This Row],[Clicks]],"Standard",VLOOKUP(CONCATENATE(bd_adtype,"_",bd_creativetype),tabela,2,FALSE))</f>
        <v>#N/A</v>
      </c>
      <c r="F275">
        <f t="shared" si="60"/>
        <v>0</v>
      </c>
      <c r="G275">
        <f t="shared" si="61"/>
        <v>0</v>
      </c>
      <c r="H275">
        <f t="shared" si="62"/>
        <v>0</v>
      </c>
      <c r="I275">
        <f t="shared" si="63"/>
        <v>0</v>
      </c>
      <c r="J275">
        <f t="shared" si="64"/>
        <v>0</v>
      </c>
      <c r="K275" s="4" t="e">
        <f t="shared" si="54"/>
        <v>#N/A</v>
      </c>
      <c r="L275" t="e">
        <f t="shared" si="55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6"/>
        <v>0</v>
      </c>
      <c r="B276">
        <f t="shared" si="57"/>
        <v>0</v>
      </c>
      <c r="C276">
        <f t="shared" si="58"/>
        <v>0</v>
      </c>
      <c r="D276">
        <f t="shared" si="59"/>
        <v>0</v>
      </c>
      <c r="E276" t="e">
        <f>IF(Table1[[#This Row],[Impressions]]&gt;Table1[[#This Row],[Clicks]],"Standard",VLOOKUP(CONCATENATE(bd_adtype,"_",bd_creativetype),tabela,2,FALSE))</f>
        <v>#N/A</v>
      </c>
      <c r="F276">
        <f t="shared" si="60"/>
        <v>0</v>
      </c>
      <c r="G276">
        <f t="shared" si="61"/>
        <v>0</v>
      </c>
      <c r="H276">
        <f t="shared" si="62"/>
        <v>0</v>
      </c>
      <c r="I276">
        <f t="shared" si="63"/>
        <v>0</v>
      </c>
      <c r="J276">
        <f t="shared" si="64"/>
        <v>0</v>
      </c>
      <c r="K276" s="4" t="e">
        <f t="shared" si="54"/>
        <v>#N/A</v>
      </c>
      <c r="L276" t="e">
        <f t="shared" si="55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6"/>
        <v>0</v>
      </c>
      <c r="B277">
        <f t="shared" si="57"/>
        <v>0</v>
      </c>
      <c r="C277">
        <f t="shared" si="58"/>
        <v>0</v>
      </c>
      <c r="D277">
        <f t="shared" si="59"/>
        <v>0</v>
      </c>
      <c r="E277" t="e">
        <f>IF(Table1[[#This Row],[Impressions]]&gt;Table1[[#This Row],[Clicks]],"Standard",VLOOKUP(CONCATENATE(bd_adtype,"_",bd_creativetype),tabela,2,FALSE))</f>
        <v>#N/A</v>
      </c>
      <c r="F277">
        <f t="shared" si="60"/>
        <v>0</v>
      </c>
      <c r="G277">
        <f t="shared" si="61"/>
        <v>0</v>
      </c>
      <c r="H277">
        <f t="shared" si="62"/>
        <v>0</v>
      </c>
      <c r="I277">
        <f t="shared" si="63"/>
        <v>0</v>
      </c>
      <c r="J277">
        <f t="shared" si="64"/>
        <v>0</v>
      </c>
      <c r="K277" s="4" t="e">
        <f t="shared" si="54"/>
        <v>#N/A</v>
      </c>
      <c r="L277" t="e">
        <f t="shared" si="55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6"/>
        <v>0</v>
      </c>
      <c r="B278">
        <f t="shared" si="57"/>
        <v>0</v>
      </c>
      <c r="C278">
        <f t="shared" si="58"/>
        <v>0</v>
      </c>
      <c r="D278">
        <f t="shared" si="59"/>
        <v>0</v>
      </c>
      <c r="E278" t="e">
        <f>IF(Table1[[#This Row],[Impressions]]&gt;Table1[[#This Row],[Clicks]],"Standard",VLOOKUP(CONCATENATE(bd_adtype,"_",bd_creativetype),tabela,2,FALSE))</f>
        <v>#N/A</v>
      </c>
      <c r="F278">
        <f t="shared" si="60"/>
        <v>0</v>
      </c>
      <c r="G278">
        <f t="shared" si="61"/>
        <v>0</v>
      </c>
      <c r="H278">
        <f t="shared" si="62"/>
        <v>0</v>
      </c>
      <c r="I278">
        <f t="shared" si="63"/>
        <v>0</v>
      </c>
      <c r="J278">
        <f t="shared" si="64"/>
        <v>0</v>
      </c>
      <c r="K278" s="4" t="e">
        <f t="shared" si="54"/>
        <v>#N/A</v>
      </c>
      <c r="L278" t="e">
        <f t="shared" si="55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6"/>
        <v>0</v>
      </c>
      <c r="B279">
        <f t="shared" si="57"/>
        <v>0</v>
      </c>
      <c r="C279">
        <f t="shared" si="58"/>
        <v>0</v>
      </c>
      <c r="D279">
        <f t="shared" si="59"/>
        <v>0</v>
      </c>
      <c r="E279" t="e">
        <f>IF(Table1[[#This Row],[Impressions]]&gt;Table1[[#This Row],[Clicks]],"Standard",VLOOKUP(CONCATENATE(bd_adtype,"_",bd_creativetype),tabela,2,FALSE))</f>
        <v>#N/A</v>
      </c>
      <c r="F279">
        <f t="shared" si="60"/>
        <v>0</v>
      </c>
      <c r="G279">
        <f t="shared" si="61"/>
        <v>0</v>
      </c>
      <c r="H279">
        <f t="shared" si="62"/>
        <v>0</v>
      </c>
      <c r="I279">
        <f t="shared" si="63"/>
        <v>0</v>
      </c>
      <c r="J279">
        <f t="shared" si="64"/>
        <v>0</v>
      </c>
      <c r="K279" s="4" t="e">
        <f t="shared" si="54"/>
        <v>#N/A</v>
      </c>
      <c r="L279" t="e">
        <f t="shared" si="55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6"/>
        <v>0</v>
      </c>
      <c r="B280">
        <f t="shared" si="57"/>
        <v>0</v>
      </c>
      <c r="C280">
        <f t="shared" si="58"/>
        <v>0</v>
      </c>
      <c r="D280">
        <f t="shared" si="59"/>
        <v>0</v>
      </c>
      <c r="E280" t="e">
        <f>IF(Table1[[#This Row],[Impressions]]&gt;Table1[[#This Row],[Clicks]],"Standard",VLOOKUP(CONCATENATE(bd_adtype,"_",bd_creativetype),tabela,2,FALSE))</f>
        <v>#N/A</v>
      </c>
      <c r="F280">
        <f t="shared" si="60"/>
        <v>0</v>
      </c>
      <c r="G280">
        <f t="shared" si="61"/>
        <v>0</v>
      </c>
      <c r="H280">
        <f t="shared" si="62"/>
        <v>0</v>
      </c>
      <c r="I280">
        <f t="shared" si="63"/>
        <v>0</v>
      </c>
      <c r="J280">
        <f t="shared" si="64"/>
        <v>0</v>
      </c>
      <c r="K280" s="4" t="e">
        <f t="shared" si="54"/>
        <v>#N/A</v>
      </c>
      <c r="L280" t="e">
        <f t="shared" si="55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6"/>
        <v>0</v>
      </c>
      <c r="B281">
        <f t="shared" si="57"/>
        <v>0</v>
      </c>
      <c r="C281">
        <f t="shared" si="58"/>
        <v>0</v>
      </c>
      <c r="D281">
        <f t="shared" si="59"/>
        <v>0</v>
      </c>
      <c r="E281" t="e">
        <f>IF(Table1[[#This Row],[Impressions]]&gt;Table1[[#This Row],[Clicks]],"Standard",VLOOKUP(CONCATENATE(bd_adtype,"_",bd_creativetype),tabela,2,FALSE))</f>
        <v>#N/A</v>
      </c>
      <c r="F281">
        <f t="shared" si="60"/>
        <v>0</v>
      </c>
      <c r="G281">
        <f t="shared" si="61"/>
        <v>0</v>
      </c>
      <c r="H281">
        <f t="shared" si="62"/>
        <v>0</v>
      </c>
      <c r="I281">
        <f t="shared" si="63"/>
        <v>0</v>
      </c>
      <c r="J281">
        <f t="shared" si="64"/>
        <v>0</v>
      </c>
      <c r="K281" s="4" t="e">
        <f t="shared" si="54"/>
        <v>#N/A</v>
      </c>
      <c r="L281" t="e">
        <f t="shared" si="55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6"/>
        <v>0</v>
      </c>
      <c r="B282">
        <f t="shared" si="57"/>
        <v>0</v>
      </c>
      <c r="C282">
        <f t="shared" si="58"/>
        <v>0</v>
      </c>
      <c r="D282">
        <f t="shared" si="59"/>
        <v>0</v>
      </c>
      <c r="E282" t="e">
        <f>IF(Table1[[#This Row],[Impressions]]&gt;Table1[[#This Row],[Clicks]],"Standard",VLOOKUP(CONCATENATE(bd_adtype,"_",bd_creativetype),tabela,2,FALSE))</f>
        <v>#N/A</v>
      </c>
      <c r="F282">
        <f t="shared" si="60"/>
        <v>0</v>
      </c>
      <c r="G282">
        <f t="shared" si="61"/>
        <v>0</v>
      </c>
      <c r="H282">
        <f t="shared" si="62"/>
        <v>0</v>
      </c>
      <c r="I282">
        <f t="shared" si="63"/>
        <v>0</v>
      </c>
      <c r="J282">
        <f t="shared" si="64"/>
        <v>0</v>
      </c>
      <c r="K282" s="4" t="e">
        <f t="shared" si="54"/>
        <v>#N/A</v>
      </c>
      <c r="L282" t="e">
        <f t="shared" si="55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6"/>
        <v>0</v>
      </c>
      <c r="B283">
        <f t="shared" si="57"/>
        <v>0</v>
      </c>
      <c r="C283">
        <f t="shared" si="58"/>
        <v>0</v>
      </c>
      <c r="D283">
        <f t="shared" si="59"/>
        <v>0</v>
      </c>
      <c r="E283" t="e">
        <f>IF(Table1[[#This Row],[Impressions]]&gt;Table1[[#This Row],[Clicks]],"Standard",VLOOKUP(CONCATENATE(bd_adtype,"_",bd_creativetype),tabela,2,FALSE))</f>
        <v>#N/A</v>
      </c>
      <c r="F283">
        <f t="shared" si="60"/>
        <v>0</v>
      </c>
      <c r="G283">
        <f t="shared" si="61"/>
        <v>0</v>
      </c>
      <c r="H283">
        <f t="shared" si="62"/>
        <v>0</v>
      </c>
      <c r="I283">
        <f t="shared" si="63"/>
        <v>0</v>
      </c>
      <c r="J283">
        <f t="shared" si="64"/>
        <v>0</v>
      </c>
      <c r="K283" s="4" t="e">
        <f t="shared" si="54"/>
        <v>#N/A</v>
      </c>
      <c r="L283" t="e">
        <f t="shared" si="55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6"/>
        <v>0</v>
      </c>
      <c r="B284">
        <f t="shared" si="57"/>
        <v>0</v>
      </c>
      <c r="C284">
        <f t="shared" si="58"/>
        <v>0</v>
      </c>
      <c r="D284">
        <f t="shared" si="59"/>
        <v>0</v>
      </c>
      <c r="E284" t="e">
        <f>IF(Table1[[#This Row],[Impressions]]&gt;Table1[[#This Row],[Clicks]],"Standard",VLOOKUP(CONCATENATE(bd_adtype,"_",bd_creativetype),tabela,2,FALSE))</f>
        <v>#N/A</v>
      </c>
      <c r="F284">
        <f t="shared" si="60"/>
        <v>0</v>
      </c>
      <c r="G284">
        <f t="shared" si="61"/>
        <v>0</v>
      </c>
      <c r="H284">
        <f t="shared" si="62"/>
        <v>0</v>
      </c>
      <c r="I284">
        <f t="shared" si="63"/>
        <v>0</v>
      </c>
      <c r="J284">
        <f t="shared" si="64"/>
        <v>0</v>
      </c>
      <c r="K284" s="4" t="e">
        <f t="shared" si="54"/>
        <v>#N/A</v>
      </c>
      <c r="L284" t="e">
        <f t="shared" si="55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6"/>
        <v>0</v>
      </c>
      <c r="B285">
        <f t="shared" si="57"/>
        <v>0</v>
      </c>
      <c r="C285">
        <f t="shared" si="58"/>
        <v>0</v>
      </c>
      <c r="D285">
        <f t="shared" si="59"/>
        <v>0</v>
      </c>
      <c r="E285" t="e">
        <f>IF(Table1[[#This Row],[Impressions]]&gt;Table1[[#This Row],[Clicks]],"Standard",VLOOKUP(CONCATENATE(bd_adtype,"_",bd_creativetype),tabela,2,FALSE))</f>
        <v>#N/A</v>
      </c>
      <c r="F285">
        <f t="shared" si="60"/>
        <v>0</v>
      </c>
      <c r="G285">
        <f t="shared" si="61"/>
        <v>0</v>
      </c>
      <c r="H285">
        <f t="shared" si="62"/>
        <v>0</v>
      </c>
      <c r="I285">
        <f t="shared" si="63"/>
        <v>0</v>
      </c>
      <c r="J285">
        <f t="shared" si="64"/>
        <v>0</v>
      </c>
      <c r="K285" s="4" t="e">
        <f t="shared" si="54"/>
        <v>#N/A</v>
      </c>
      <c r="L285" t="e">
        <f t="shared" si="55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6"/>
        <v>0</v>
      </c>
      <c r="B286">
        <f t="shared" si="57"/>
        <v>0</v>
      </c>
      <c r="C286">
        <f t="shared" si="58"/>
        <v>0</v>
      </c>
      <c r="D286">
        <f t="shared" si="59"/>
        <v>0</v>
      </c>
      <c r="E286" t="e">
        <f>IF(Table1[[#This Row],[Impressions]]&gt;Table1[[#This Row],[Clicks]],"Standard",VLOOKUP(CONCATENATE(bd_adtype,"_",bd_creativetype),tabela,2,FALSE))</f>
        <v>#N/A</v>
      </c>
      <c r="F286">
        <f t="shared" si="60"/>
        <v>0</v>
      </c>
      <c r="G286">
        <f t="shared" si="61"/>
        <v>0</v>
      </c>
      <c r="H286">
        <f t="shared" si="62"/>
        <v>0</v>
      </c>
      <c r="I286">
        <f t="shared" si="63"/>
        <v>0</v>
      </c>
      <c r="J286">
        <f t="shared" si="64"/>
        <v>0</v>
      </c>
      <c r="K286" s="4" t="e">
        <f t="shared" si="54"/>
        <v>#N/A</v>
      </c>
      <c r="L286" t="e">
        <f t="shared" si="55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6"/>
        <v>0</v>
      </c>
      <c r="B287">
        <f t="shared" si="57"/>
        <v>0</v>
      </c>
      <c r="C287">
        <f t="shared" si="58"/>
        <v>0</v>
      </c>
      <c r="D287">
        <f t="shared" si="59"/>
        <v>0</v>
      </c>
      <c r="E287" t="e">
        <f>IF(Table1[[#This Row],[Impressions]]&gt;Table1[[#This Row],[Clicks]],"Standard",VLOOKUP(CONCATENATE(bd_adtype,"_",bd_creativetype),tabela,2,FALSE))</f>
        <v>#N/A</v>
      </c>
      <c r="F287">
        <f t="shared" si="60"/>
        <v>0</v>
      </c>
      <c r="G287">
        <f t="shared" si="61"/>
        <v>0</v>
      </c>
      <c r="H287">
        <f t="shared" si="62"/>
        <v>0</v>
      </c>
      <c r="I287">
        <f t="shared" si="63"/>
        <v>0</v>
      </c>
      <c r="J287">
        <f t="shared" si="64"/>
        <v>0</v>
      </c>
      <c r="K287" s="4" t="e">
        <f t="shared" si="54"/>
        <v>#N/A</v>
      </c>
      <c r="L287" t="e">
        <f t="shared" si="55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6"/>
        <v>0</v>
      </c>
      <c r="B288">
        <f t="shared" si="57"/>
        <v>0</v>
      </c>
      <c r="C288">
        <f t="shared" si="58"/>
        <v>0</v>
      </c>
      <c r="D288">
        <f t="shared" si="59"/>
        <v>0</v>
      </c>
      <c r="E288" t="e">
        <f>IF(Table1[[#This Row],[Impressions]]&gt;Table1[[#This Row],[Clicks]],"Standard",VLOOKUP(CONCATENATE(bd_adtype,"_",bd_creativetype),tabela,2,FALSE))</f>
        <v>#N/A</v>
      </c>
      <c r="F288">
        <f t="shared" si="60"/>
        <v>0</v>
      </c>
      <c r="G288">
        <f t="shared" si="61"/>
        <v>0</v>
      </c>
      <c r="H288">
        <f t="shared" si="62"/>
        <v>0</v>
      </c>
      <c r="I288">
        <f t="shared" si="63"/>
        <v>0</v>
      </c>
      <c r="J288">
        <f t="shared" si="64"/>
        <v>0</v>
      </c>
      <c r="K288" s="4" t="e">
        <f t="shared" si="54"/>
        <v>#N/A</v>
      </c>
      <c r="L288" t="e">
        <f t="shared" si="55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6"/>
        <v>0</v>
      </c>
      <c r="B289">
        <f t="shared" si="57"/>
        <v>0</v>
      </c>
      <c r="C289">
        <f t="shared" si="58"/>
        <v>0</v>
      </c>
      <c r="D289">
        <f t="shared" si="59"/>
        <v>0</v>
      </c>
      <c r="E289" t="e">
        <f>IF(Table1[[#This Row],[Impressions]]&gt;Table1[[#This Row],[Clicks]],"Standard",VLOOKUP(CONCATENATE(bd_adtype,"_",bd_creativetype),tabela,2,FALSE))</f>
        <v>#N/A</v>
      </c>
      <c r="F289">
        <f t="shared" si="60"/>
        <v>0</v>
      </c>
      <c r="G289">
        <f t="shared" si="61"/>
        <v>0</v>
      </c>
      <c r="H289">
        <f t="shared" si="62"/>
        <v>0</v>
      </c>
      <c r="I289">
        <f t="shared" si="63"/>
        <v>0</v>
      </c>
      <c r="J289">
        <f t="shared" si="64"/>
        <v>0</v>
      </c>
      <c r="K289" s="4" t="e">
        <f t="shared" si="54"/>
        <v>#N/A</v>
      </c>
      <c r="L289" t="e">
        <f t="shared" si="55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6"/>
        <v>0</v>
      </c>
      <c r="B290">
        <f t="shared" si="57"/>
        <v>0</v>
      </c>
      <c r="C290">
        <f t="shared" si="58"/>
        <v>0</v>
      </c>
      <c r="D290">
        <f t="shared" si="59"/>
        <v>0</v>
      </c>
      <c r="E290" t="e">
        <f>IF(Table1[[#This Row],[Impressions]]&gt;Table1[[#This Row],[Clicks]],"Standard",VLOOKUP(CONCATENATE(bd_adtype,"_",bd_creativetype),tabela,2,FALSE))</f>
        <v>#N/A</v>
      </c>
      <c r="F290">
        <f t="shared" si="60"/>
        <v>0</v>
      </c>
      <c r="G290">
        <f t="shared" si="61"/>
        <v>0</v>
      </c>
      <c r="H290">
        <f t="shared" si="62"/>
        <v>0</v>
      </c>
      <c r="I290">
        <f t="shared" si="63"/>
        <v>0</v>
      </c>
      <c r="J290">
        <f t="shared" si="64"/>
        <v>0</v>
      </c>
      <c r="K290" s="4" t="e">
        <f t="shared" si="54"/>
        <v>#N/A</v>
      </c>
      <c r="L290" t="e">
        <f t="shared" si="55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6"/>
        <v>0</v>
      </c>
      <c r="B291">
        <f t="shared" si="57"/>
        <v>0</v>
      </c>
      <c r="C291">
        <f t="shared" si="58"/>
        <v>0</v>
      </c>
      <c r="D291">
        <f t="shared" si="59"/>
        <v>0</v>
      </c>
      <c r="E291" t="e">
        <f>IF(Table1[[#This Row],[Impressions]]&gt;Table1[[#This Row],[Clicks]],"Standard",VLOOKUP(CONCATENATE(bd_adtype,"_",bd_creativetype),tabela,2,FALSE))</f>
        <v>#N/A</v>
      </c>
      <c r="F291">
        <f t="shared" si="60"/>
        <v>0</v>
      </c>
      <c r="G291">
        <f t="shared" si="61"/>
        <v>0</v>
      </c>
      <c r="H291">
        <f t="shared" si="62"/>
        <v>0</v>
      </c>
      <c r="I291">
        <f t="shared" si="63"/>
        <v>0</v>
      </c>
      <c r="J291">
        <f t="shared" si="64"/>
        <v>0</v>
      </c>
      <c r="K291" s="4" t="e">
        <f t="shared" si="54"/>
        <v>#N/A</v>
      </c>
      <c r="L291" t="e">
        <f t="shared" si="55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6"/>
        <v>0</v>
      </c>
      <c r="B292">
        <f t="shared" si="57"/>
        <v>0</v>
      </c>
      <c r="C292">
        <f t="shared" si="58"/>
        <v>0</v>
      </c>
      <c r="D292">
        <f t="shared" si="59"/>
        <v>0</v>
      </c>
      <c r="E292" t="e">
        <f>IF(Table1[[#This Row],[Impressions]]&gt;Table1[[#This Row],[Clicks]],"Standard",VLOOKUP(CONCATENATE(bd_adtype,"_",bd_creativetype),tabela,2,FALSE))</f>
        <v>#N/A</v>
      </c>
      <c r="F292">
        <f t="shared" si="60"/>
        <v>0</v>
      </c>
      <c r="G292">
        <f t="shared" si="61"/>
        <v>0</v>
      </c>
      <c r="H292">
        <f t="shared" si="62"/>
        <v>0</v>
      </c>
      <c r="I292">
        <f t="shared" si="63"/>
        <v>0</v>
      </c>
      <c r="J292">
        <f t="shared" si="64"/>
        <v>0</v>
      </c>
      <c r="K292" s="4" t="e">
        <f t="shared" si="54"/>
        <v>#N/A</v>
      </c>
      <c r="L292" t="e">
        <f t="shared" si="55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6"/>
        <v>0</v>
      </c>
      <c r="B293">
        <f t="shared" si="57"/>
        <v>0</v>
      </c>
      <c r="C293">
        <f t="shared" si="58"/>
        <v>0</v>
      </c>
      <c r="D293">
        <f t="shared" si="59"/>
        <v>0</v>
      </c>
      <c r="E293" t="e">
        <f>IF(Table1[[#This Row],[Impressions]]&gt;Table1[[#This Row],[Clicks]],"Standard",VLOOKUP(CONCATENATE(bd_adtype,"_",bd_creativetype),tabela,2,FALSE))</f>
        <v>#N/A</v>
      </c>
      <c r="F293">
        <f t="shared" si="60"/>
        <v>0</v>
      </c>
      <c r="G293">
        <f t="shared" si="61"/>
        <v>0</v>
      </c>
      <c r="H293">
        <f t="shared" si="62"/>
        <v>0</v>
      </c>
      <c r="I293">
        <f t="shared" si="63"/>
        <v>0</v>
      </c>
      <c r="J293">
        <f t="shared" si="64"/>
        <v>0</v>
      </c>
      <c r="K293" s="4" t="e">
        <f t="shared" si="54"/>
        <v>#N/A</v>
      </c>
      <c r="L293" t="e">
        <f t="shared" si="55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6"/>
        <v>0</v>
      </c>
      <c r="B294">
        <f t="shared" si="57"/>
        <v>0</v>
      </c>
      <c r="C294">
        <f t="shared" si="58"/>
        <v>0</v>
      </c>
      <c r="D294">
        <f t="shared" si="59"/>
        <v>0</v>
      </c>
      <c r="E294" t="e">
        <f>IF(Table1[[#This Row],[Impressions]]&gt;Table1[[#This Row],[Clicks]],"Standard",VLOOKUP(CONCATENATE(bd_adtype,"_",bd_creativetype),tabela,2,FALSE))</f>
        <v>#N/A</v>
      </c>
      <c r="F294">
        <f t="shared" si="60"/>
        <v>0</v>
      </c>
      <c r="G294">
        <f t="shared" si="61"/>
        <v>0</v>
      </c>
      <c r="H294">
        <f t="shared" si="62"/>
        <v>0</v>
      </c>
      <c r="I294">
        <f t="shared" si="63"/>
        <v>0</v>
      </c>
      <c r="J294">
        <f t="shared" si="64"/>
        <v>0</v>
      </c>
      <c r="K294" s="4" t="e">
        <f t="shared" si="54"/>
        <v>#N/A</v>
      </c>
      <c r="L294" t="e">
        <f t="shared" si="55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6"/>
        <v>0</v>
      </c>
      <c r="B295">
        <f t="shared" si="57"/>
        <v>0</v>
      </c>
      <c r="C295">
        <f t="shared" si="58"/>
        <v>0</v>
      </c>
      <c r="D295">
        <f t="shared" si="59"/>
        <v>0</v>
      </c>
      <c r="E295" t="e">
        <f>IF(Table1[[#This Row],[Impressions]]&gt;Table1[[#This Row],[Clicks]],"Standard",VLOOKUP(CONCATENATE(bd_adtype,"_",bd_creativetype),tabela,2,FALSE))</f>
        <v>#N/A</v>
      </c>
      <c r="F295">
        <f t="shared" si="60"/>
        <v>0</v>
      </c>
      <c r="G295">
        <f t="shared" si="61"/>
        <v>0</v>
      </c>
      <c r="H295">
        <f t="shared" si="62"/>
        <v>0</v>
      </c>
      <c r="I295">
        <f t="shared" si="63"/>
        <v>0</v>
      </c>
      <c r="J295">
        <f t="shared" si="64"/>
        <v>0</v>
      </c>
      <c r="K295" s="4" t="e">
        <f t="shared" si="54"/>
        <v>#N/A</v>
      </c>
      <c r="L295" t="e">
        <f t="shared" si="55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6"/>
        <v>0</v>
      </c>
      <c r="B296">
        <f t="shared" si="57"/>
        <v>0</v>
      </c>
      <c r="C296">
        <f t="shared" si="58"/>
        <v>0</v>
      </c>
      <c r="D296">
        <f t="shared" si="59"/>
        <v>0</v>
      </c>
      <c r="E296" t="e">
        <f>IF(Table1[[#This Row],[Impressions]]&gt;Table1[[#This Row],[Clicks]],"Standard",VLOOKUP(CONCATENATE(bd_adtype,"_",bd_creativetype),tabela,2,FALSE))</f>
        <v>#N/A</v>
      </c>
      <c r="F296">
        <f t="shared" si="60"/>
        <v>0</v>
      </c>
      <c r="G296">
        <f t="shared" si="61"/>
        <v>0</v>
      </c>
      <c r="H296">
        <f t="shared" si="62"/>
        <v>0</v>
      </c>
      <c r="I296">
        <f t="shared" si="63"/>
        <v>0</v>
      </c>
      <c r="J296">
        <f t="shared" si="64"/>
        <v>0</v>
      </c>
      <c r="K296" s="4" t="e">
        <f t="shared" si="54"/>
        <v>#N/A</v>
      </c>
      <c r="L296" t="e">
        <f t="shared" si="55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6"/>
        <v>0</v>
      </c>
      <c r="B297">
        <f t="shared" si="57"/>
        <v>0</v>
      </c>
      <c r="C297">
        <f t="shared" si="58"/>
        <v>0</v>
      </c>
      <c r="D297">
        <f t="shared" si="59"/>
        <v>0</v>
      </c>
      <c r="E297" t="e">
        <f>IF(Table1[[#This Row],[Impressions]]&gt;Table1[[#This Row],[Clicks]],"Standard",VLOOKUP(CONCATENATE(bd_adtype,"_",bd_creativetype),tabela,2,FALSE))</f>
        <v>#N/A</v>
      </c>
      <c r="F297">
        <f t="shared" si="60"/>
        <v>0</v>
      </c>
      <c r="G297">
        <f t="shared" si="61"/>
        <v>0</v>
      </c>
      <c r="H297">
        <f t="shared" si="62"/>
        <v>0</v>
      </c>
      <c r="I297">
        <f t="shared" si="63"/>
        <v>0</v>
      </c>
      <c r="J297">
        <f t="shared" si="64"/>
        <v>0</v>
      </c>
      <c r="K297" s="4" t="e">
        <f t="shared" si="54"/>
        <v>#N/A</v>
      </c>
      <c r="L297" t="e">
        <f t="shared" si="55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6"/>
        <v>0</v>
      </c>
      <c r="B298">
        <f t="shared" si="57"/>
        <v>0</v>
      </c>
      <c r="C298">
        <f t="shared" si="58"/>
        <v>0</v>
      </c>
      <c r="D298">
        <f t="shared" si="59"/>
        <v>0</v>
      </c>
      <c r="E298" t="e">
        <f>IF(Table1[[#This Row],[Impressions]]&gt;Table1[[#This Row],[Clicks]],"Standard",VLOOKUP(CONCATENATE(bd_adtype,"_",bd_creativetype),tabela,2,FALSE))</f>
        <v>#N/A</v>
      </c>
      <c r="F298">
        <f t="shared" si="60"/>
        <v>0</v>
      </c>
      <c r="G298">
        <f t="shared" si="61"/>
        <v>0</v>
      </c>
      <c r="H298">
        <f t="shared" si="62"/>
        <v>0</v>
      </c>
      <c r="I298">
        <f t="shared" si="63"/>
        <v>0</v>
      </c>
      <c r="J298">
        <f t="shared" si="64"/>
        <v>0</v>
      </c>
      <c r="K298" s="4" t="e">
        <f t="shared" si="54"/>
        <v>#N/A</v>
      </c>
      <c r="L298" t="e">
        <f t="shared" si="55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6"/>
        <v>0</v>
      </c>
      <c r="B299">
        <f t="shared" si="57"/>
        <v>0</v>
      </c>
      <c r="C299">
        <f t="shared" si="58"/>
        <v>0</v>
      </c>
      <c r="D299">
        <f t="shared" si="59"/>
        <v>0</v>
      </c>
      <c r="E299" t="e">
        <f>IF(Table1[[#This Row],[Impressions]]&gt;Table1[[#This Row],[Clicks]],"Standard",VLOOKUP(CONCATENATE(bd_adtype,"_",bd_creativetype),tabela,2,FALSE))</f>
        <v>#N/A</v>
      </c>
      <c r="F299">
        <f t="shared" si="60"/>
        <v>0</v>
      </c>
      <c r="G299">
        <f t="shared" si="61"/>
        <v>0</v>
      </c>
      <c r="H299">
        <f t="shared" si="62"/>
        <v>0</v>
      </c>
      <c r="I299">
        <f t="shared" si="63"/>
        <v>0</v>
      </c>
      <c r="J299">
        <f t="shared" si="64"/>
        <v>0</v>
      </c>
      <c r="K299" s="4" t="e">
        <f t="shared" si="54"/>
        <v>#N/A</v>
      </c>
      <c r="L299" t="e">
        <f t="shared" si="55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6"/>
        <v>0</v>
      </c>
      <c r="B300">
        <f t="shared" si="57"/>
        <v>0</v>
      </c>
      <c r="C300">
        <f t="shared" si="58"/>
        <v>0</v>
      </c>
      <c r="D300">
        <f t="shared" si="59"/>
        <v>0</v>
      </c>
      <c r="E300" t="e">
        <f>IF(Table1[[#This Row],[Impressions]]&gt;Table1[[#This Row],[Clicks]],"Standard",VLOOKUP(CONCATENATE(bd_adtype,"_",bd_creativetype),tabela,2,FALSE))</f>
        <v>#N/A</v>
      </c>
      <c r="F300">
        <f t="shared" si="60"/>
        <v>0</v>
      </c>
      <c r="G300">
        <f t="shared" si="61"/>
        <v>0</v>
      </c>
      <c r="H300">
        <f t="shared" si="62"/>
        <v>0</v>
      </c>
      <c r="I300">
        <f t="shared" si="63"/>
        <v>0</v>
      </c>
      <c r="J300">
        <f t="shared" si="64"/>
        <v>0</v>
      </c>
      <c r="K300" s="4" t="e">
        <f t="shared" ref="K300:K363" si="67">IF(LEFT(B300,3)="DBM",0,VLOOKUP(E300,tabela,2,FALSE))</f>
        <v>#N/A</v>
      </c>
      <c r="L300" t="e">
        <f t="shared" ref="L300:L363" si="68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6"/>
        <v>0</v>
      </c>
      <c r="B301">
        <f t="shared" si="57"/>
        <v>0</v>
      </c>
      <c r="C301">
        <f t="shared" si="58"/>
        <v>0</v>
      </c>
      <c r="D301">
        <f t="shared" si="59"/>
        <v>0</v>
      </c>
      <c r="E301" t="e">
        <f>IF(Table1[[#This Row],[Impressions]]&gt;Table1[[#This Row],[Clicks]],"Standard",VLOOKUP(CONCATENATE(bd_adtype,"_",bd_creativetype),tabela,2,FALSE))</f>
        <v>#N/A</v>
      </c>
      <c r="F301">
        <f t="shared" si="60"/>
        <v>0</v>
      </c>
      <c r="G301">
        <f t="shared" si="61"/>
        <v>0</v>
      </c>
      <c r="H301">
        <f t="shared" si="62"/>
        <v>0</v>
      </c>
      <c r="I301">
        <f t="shared" si="63"/>
        <v>0</v>
      </c>
      <c r="J301">
        <f t="shared" si="64"/>
        <v>0</v>
      </c>
      <c r="K301" s="4" t="e">
        <f t="shared" si="67"/>
        <v>#N/A</v>
      </c>
      <c r="L301" t="e">
        <f t="shared" si="68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6"/>
        <v>0</v>
      </c>
      <c r="B302">
        <f t="shared" si="57"/>
        <v>0</v>
      </c>
      <c r="C302">
        <f t="shared" si="58"/>
        <v>0</v>
      </c>
      <c r="D302">
        <f t="shared" si="59"/>
        <v>0</v>
      </c>
      <c r="E302" t="e">
        <f>IF(Table1[[#This Row],[Impressions]]&gt;Table1[[#This Row],[Clicks]],"Standard",VLOOKUP(CONCATENATE(bd_adtype,"_",bd_creativetype),tabela,2,FALSE))</f>
        <v>#N/A</v>
      </c>
      <c r="F302">
        <f t="shared" si="60"/>
        <v>0</v>
      </c>
      <c r="G302">
        <f t="shared" si="61"/>
        <v>0</v>
      </c>
      <c r="H302">
        <f t="shared" si="62"/>
        <v>0</v>
      </c>
      <c r="I302">
        <f t="shared" si="63"/>
        <v>0</v>
      </c>
      <c r="J302">
        <f t="shared" si="64"/>
        <v>0</v>
      </c>
      <c r="K302" s="4" t="e">
        <f t="shared" si="67"/>
        <v>#N/A</v>
      </c>
      <c r="L302" t="e">
        <f t="shared" si="68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6"/>
        <v>0</v>
      </c>
      <c r="B303">
        <f t="shared" si="57"/>
        <v>0</v>
      </c>
      <c r="C303">
        <f t="shared" si="58"/>
        <v>0</v>
      </c>
      <c r="D303">
        <f t="shared" si="59"/>
        <v>0</v>
      </c>
      <c r="E303" t="e">
        <f>IF(Table1[[#This Row],[Impressions]]&gt;Table1[[#This Row],[Clicks]],"Standard",VLOOKUP(CONCATENATE(bd_adtype,"_",bd_creativetype),tabela,2,FALSE))</f>
        <v>#N/A</v>
      </c>
      <c r="F303">
        <f t="shared" si="60"/>
        <v>0</v>
      </c>
      <c r="G303">
        <f t="shared" si="61"/>
        <v>0</v>
      </c>
      <c r="H303">
        <f t="shared" si="62"/>
        <v>0</v>
      </c>
      <c r="I303">
        <f t="shared" si="63"/>
        <v>0</v>
      </c>
      <c r="J303">
        <f t="shared" si="64"/>
        <v>0</v>
      </c>
      <c r="K303" s="4" t="e">
        <f t="shared" si="67"/>
        <v>#N/A</v>
      </c>
      <c r="L303" t="e">
        <f t="shared" si="68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6"/>
        <v>0</v>
      </c>
      <c r="B304">
        <f t="shared" si="57"/>
        <v>0</v>
      </c>
      <c r="C304">
        <f t="shared" si="58"/>
        <v>0</v>
      </c>
      <c r="D304">
        <f t="shared" si="59"/>
        <v>0</v>
      </c>
      <c r="E304" t="e">
        <f>IF(Table1[[#This Row],[Impressions]]&gt;Table1[[#This Row],[Clicks]],"Standard",VLOOKUP(CONCATENATE(bd_adtype,"_",bd_creativetype),tabela,2,FALSE))</f>
        <v>#N/A</v>
      </c>
      <c r="F304">
        <f t="shared" si="60"/>
        <v>0</v>
      </c>
      <c r="G304">
        <f t="shared" si="61"/>
        <v>0</v>
      </c>
      <c r="H304">
        <f t="shared" si="62"/>
        <v>0</v>
      </c>
      <c r="I304">
        <f t="shared" si="63"/>
        <v>0</v>
      </c>
      <c r="J304">
        <f t="shared" si="64"/>
        <v>0</v>
      </c>
      <c r="K304" s="4" t="e">
        <f t="shared" si="67"/>
        <v>#N/A</v>
      </c>
      <c r="L304" t="e">
        <f t="shared" si="68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6"/>
        <v>0</v>
      </c>
      <c r="B305">
        <f t="shared" si="57"/>
        <v>0</v>
      </c>
      <c r="C305">
        <f t="shared" si="58"/>
        <v>0</v>
      </c>
      <c r="D305">
        <f t="shared" si="59"/>
        <v>0</v>
      </c>
      <c r="E305" t="e">
        <f>IF(Table1[[#This Row],[Impressions]]&gt;Table1[[#This Row],[Clicks]],"Standard",VLOOKUP(CONCATENATE(bd_adtype,"_",bd_creativetype),tabela,2,FALSE))</f>
        <v>#N/A</v>
      </c>
      <c r="F305">
        <f t="shared" si="60"/>
        <v>0</v>
      </c>
      <c r="G305">
        <f t="shared" si="61"/>
        <v>0</v>
      </c>
      <c r="H305">
        <f t="shared" si="62"/>
        <v>0</v>
      </c>
      <c r="I305">
        <f t="shared" si="63"/>
        <v>0</v>
      </c>
      <c r="J305">
        <f t="shared" si="64"/>
        <v>0</v>
      </c>
      <c r="K305" s="4" t="e">
        <f t="shared" si="67"/>
        <v>#N/A</v>
      </c>
      <c r="L305" t="e">
        <f t="shared" si="68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6"/>
        <v>0</v>
      </c>
      <c r="B306">
        <f t="shared" si="57"/>
        <v>0</v>
      </c>
      <c r="C306">
        <f t="shared" si="58"/>
        <v>0</v>
      </c>
      <c r="D306">
        <f t="shared" si="59"/>
        <v>0</v>
      </c>
      <c r="E306" t="e">
        <f>IF(Table1[[#This Row],[Impressions]]&gt;Table1[[#This Row],[Clicks]],"Standard",VLOOKUP(CONCATENATE(bd_adtype,"_",bd_creativetype),tabela,2,FALSE))</f>
        <v>#N/A</v>
      </c>
      <c r="F306">
        <f t="shared" si="60"/>
        <v>0</v>
      </c>
      <c r="G306">
        <f t="shared" si="61"/>
        <v>0</v>
      </c>
      <c r="H306">
        <f t="shared" si="62"/>
        <v>0</v>
      </c>
      <c r="I306">
        <f t="shared" si="63"/>
        <v>0</v>
      </c>
      <c r="J306">
        <f t="shared" si="64"/>
        <v>0</v>
      </c>
      <c r="K306" s="4" t="e">
        <f t="shared" si="67"/>
        <v>#N/A</v>
      </c>
      <c r="L306" t="e">
        <f t="shared" si="68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6"/>
        <v>0</v>
      </c>
      <c r="B307">
        <f t="shared" si="57"/>
        <v>0</v>
      </c>
      <c r="C307">
        <f t="shared" si="58"/>
        <v>0</v>
      </c>
      <c r="D307">
        <f t="shared" si="59"/>
        <v>0</v>
      </c>
      <c r="E307" t="e">
        <f>IF(Table1[[#This Row],[Impressions]]&gt;Table1[[#This Row],[Clicks]],"Standard",VLOOKUP(CONCATENATE(bd_adtype,"_",bd_creativetype),tabela,2,FALSE))</f>
        <v>#N/A</v>
      </c>
      <c r="F307">
        <f t="shared" si="60"/>
        <v>0</v>
      </c>
      <c r="G307">
        <f t="shared" si="61"/>
        <v>0</v>
      </c>
      <c r="H307">
        <f t="shared" si="62"/>
        <v>0</v>
      </c>
      <c r="I307">
        <f t="shared" si="63"/>
        <v>0</v>
      </c>
      <c r="J307">
        <f t="shared" si="64"/>
        <v>0</v>
      </c>
      <c r="K307" s="4" t="e">
        <f t="shared" si="67"/>
        <v>#N/A</v>
      </c>
      <c r="L307" t="e">
        <f t="shared" si="68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6"/>
        <v>0</v>
      </c>
      <c r="B308">
        <f t="shared" si="57"/>
        <v>0</v>
      </c>
      <c r="C308">
        <f t="shared" si="58"/>
        <v>0</v>
      </c>
      <c r="D308">
        <f t="shared" si="59"/>
        <v>0</v>
      </c>
      <c r="E308" t="e">
        <f>IF(Table1[[#This Row],[Impressions]]&gt;Table1[[#This Row],[Clicks]],"Standard",VLOOKUP(CONCATENATE(bd_adtype,"_",bd_creativetype),tabela,2,FALSE))</f>
        <v>#N/A</v>
      </c>
      <c r="F308">
        <f t="shared" si="60"/>
        <v>0</v>
      </c>
      <c r="G308">
        <f t="shared" si="61"/>
        <v>0</v>
      </c>
      <c r="H308">
        <f t="shared" si="62"/>
        <v>0</v>
      </c>
      <c r="I308">
        <f t="shared" si="63"/>
        <v>0</v>
      </c>
      <c r="J308">
        <f t="shared" si="64"/>
        <v>0</v>
      </c>
      <c r="K308" s="4" t="e">
        <f t="shared" si="67"/>
        <v>#N/A</v>
      </c>
      <c r="L308" t="e">
        <f t="shared" si="68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6"/>
        <v>0</v>
      </c>
      <c r="B309">
        <f t="shared" si="57"/>
        <v>0</v>
      </c>
      <c r="C309">
        <f t="shared" si="58"/>
        <v>0</v>
      </c>
      <c r="D309">
        <f t="shared" si="59"/>
        <v>0</v>
      </c>
      <c r="E309" t="e">
        <f>IF(Table1[[#This Row],[Impressions]]&gt;Table1[[#This Row],[Clicks]],"Standard",VLOOKUP(CONCATENATE(bd_adtype,"_",bd_creativetype),tabela,2,FALSE))</f>
        <v>#N/A</v>
      </c>
      <c r="F309">
        <f t="shared" si="60"/>
        <v>0</v>
      </c>
      <c r="G309">
        <f t="shared" si="61"/>
        <v>0</v>
      </c>
      <c r="H309">
        <f t="shared" si="62"/>
        <v>0</v>
      </c>
      <c r="I309">
        <f t="shared" si="63"/>
        <v>0</v>
      </c>
      <c r="J309">
        <f t="shared" si="64"/>
        <v>0</v>
      </c>
      <c r="K309" s="4" t="e">
        <f t="shared" si="67"/>
        <v>#N/A</v>
      </c>
      <c r="L309" t="e">
        <f t="shared" si="68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6"/>
        <v>0</v>
      </c>
      <c r="B310">
        <f t="shared" si="57"/>
        <v>0</v>
      </c>
      <c r="C310">
        <f t="shared" si="58"/>
        <v>0</v>
      </c>
      <c r="D310">
        <f t="shared" si="59"/>
        <v>0</v>
      </c>
      <c r="E310" t="e">
        <f>IF(Table1[[#This Row],[Impressions]]&gt;Table1[[#This Row],[Clicks]],"Standard",VLOOKUP(CONCATENATE(bd_adtype,"_",bd_creativetype),tabela,2,FALSE))</f>
        <v>#N/A</v>
      </c>
      <c r="F310">
        <f t="shared" si="60"/>
        <v>0</v>
      </c>
      <c r="G310">
        <f t="shared" si="61"/>
        <v>0</v>
      </c>
      <c r="H310">
        <f t="shared" si="62"/>
        <v>0</v>
      </c>
      <c r="I310">
        <f t="shared" si="63"/>
        <v>0</v>
      </c>
      <c r="J310">
        <f t="shared" si="64"/>
        <v>0</v>
      </c>
      <c r="K310" s="4" t="e">
        <f t="shared" si="67"/>
        <v>#N/A</v>
      </c>
      <c r="L310" t="e">
        <f t="shared" si="68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6"/>
        <v>0</v>
      </c>
      <c r="B311">
        <f t="shared" si="57"/>
        <v>0</v>
      </c>
      <c r="C311">
        <f t="shared" si="58"/>
        <v>0</v>
      </c>
      <c r="D311">
        <f t="shared" si="59"/>
        <v>0</v>
      </c>
      <c r="E311" t="e">
        <f>IF(Table1[[#This Row],[Impressions]]&gt;Table1[[#This Row],[Clicks]],"Standard",VLOOKUP(CONCATENATE(bd_adtype,"_",bd_creativetype),tabela,2,FALSE))</f>
        <v>#N/A</v>
      </c>
      <c r="F311">
        <f t="shared" si="60"/>
        <v>0</v>
      </c>
      <c r="G311">
        <f t="shared" si="61"/>
        <v>0</v>
      </c>
      <c r="H311">
        <f t="shared" si="62"/>
        <v>0</v>
      </c>
      <c r="I311">
        <f t="shared" si="63"/>
        <v>0</v>
      </c>
      <c r="J311">
        <f t="shared" si="64"/>
        <v>0</v>
      </c>
      <c r="K311" s="4" t="e">
        <f t="shared" si="67"/>
        <v>#N/A</v>
      </c>
      <c r="L311" t="e">
        <f t="shared" si="68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6"/>
        <v>0</v>
      </c>
      <c r="B312">
        <f t="shared" si="57"/>
        <v>0</v>
      </c>
      <c r="C312">
        <f t="shared" si="58"/>
        <v>0</v>
      </c>
      <c r="D312">
        <f t="shared" si="59"/>
        <v>0</v>
      </c>
      <c r="E312" t="e">
        <f>IF(Table1[[#This Row],[Impressions]]&gt;Table1[[#This Row],[Clicks]],"Standard",VLOOKUP(CONCATENATE(bd_adtype,"_",bd_creativetype),tabela,2,FALSE))</f>
        <v>#N/A</v>
      </c>
      <c r="F312">
        <f t="shared" si="60"/>
        <v>0</v>
      </c>
      <c r="G312">
        <f t="shared" si="61"/>
        <v>0</v>
      </c>
      <c r="H312">
        <f t="shared" si="62"/>
        <v>0</v>
      </c>
      <c r="I312">
        <f t="shared" si="63"/>
        <v>0</v>
      </c>
      <c r="J312">
        <f t="shared" si="64"/>
        <v>0</v>
      </c>
      <c r="K312" s="4" t="e">
        <f t="shared" si="67"/>
        <v>#N/A</v>
      </c>
      <c r="L312" t="e">
        <f t="shared" si="68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6"/>
        <v>0</v>
      </c>
      <c r="B313">
        <f t="shared" si="57"/>
        <v>0</v>
      </c>
      <c r="C313">
        <f t="shared" si="58"/>
        <v>0</v>
      </c>
      <c r="D313">
        <f t="shared" si="59"/>
        <v>0</v>
      </c>
      <c r="E313" t="e">
        <f>IF(Table1[[#This Row],[Impressions]]&gt;Table1[[#This Row],[Clicks]],"Standard",VLOOKUP(CONCATENATE(bd_adtype,"_",bd_creativetype),tabela,2,FALSE))</f>
        <v>#N/A</v>
      </c>
      <c r="F313">
        <f t="shared" si="60"/>
        <v>0</v>
      </c>
      <c r="G313">
        <f t="shared" si="61"/>
        <v>0</v>
      </c>
      <c r="H313">
        <f t="shared" si="62"/>
        <v>0</v>
      </c>
      <c r="I313">
        <f t="shared" si="63"/>
        <v>0</v>
      </c>
      <c r="J313">
        <f t="shared" si="64"/>
        <v>0</v>
      </c>
      <c r="K313" s="4" t="e">
        <f t="shared" si="67"/>
        <v>#N/A</v>
      </c>
      <c r="L313" t="e">
        <f t="shared" si="68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6"/>
        <v>0</v>
      </c>
      <c r="B314">
        <f t="shared" si="57"/>
        <v>0</v>
      </c>
      <c r="C314">
        <f t="shared" si="58"/>
        <v>0</v>
      </c>
      <c r="D314">
        <f t="shared" si="59"/>
        <v>0</v>
      </c>
      <c r="E314" t="e">
        <f>IF(Table1[[#This Row],[Impressions]]&gt;Table1[[#This Row],[Clicks]],"Standard",VLOOKUP(CONCATENATE(bd_adtype,"_",bd_creativetype),tabela,2,FALSE))</f>
        <v>#N/A</v>
      </c>
      <c r="F314">
        <f t="shared" si="60"/>
        <v>0</v>
      </c>
      <c r="G314">
        <f t="shared" si="61"/>
        <v>0</v>
      </c>
      <c r="H314">
        <f t="shared" si="62"/>
        <v>0</v>
      </c>
      <c r="I314">
        <f t="shared" si="63"/>
        <v>0</v>
      </c>
      <c r="J314">
        <f t="shared" si="64"/>
        <v>0</v>
      </c>
      <c r="K314" s="4" t="e">
        <f t="shared" si="67"/>
        <v>#N/A</v>
      </c>
      <c r="L314" t="e">
        <f t="shared" si="68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6"/>
        <v>0</v>
      </c>
      <c r="B315">
        <f t="shared" si="57"/>
        <v>0</v>
      </c>
      <c r="C315">
        <f t="shared" si="58"/>
        <v>0</v>
      </c>
      <c r="D315">
        <f t="shared" si="59"/>
        <v>0</v>
      </c>
      <c r="E315" t="e">
        <f>IF(Table1[[#This Row],[Impressions]]&gt;Table1[[#This Row],[Clicks]],"Standard",VLOOKUP(CONCATENATE(bd_adtype,"_",bd_creativetype),tabela,2,FALSE))</f>
        <v>#N/A</v>
      </c>
      <c r="F315">
        <f t="shared" si="60"/>
        <v>0</v>
      </c>
      <c r="G315">
        <f t="shared" si="61"/>
        <v>0</v>
      </c>
      <c r="H315">
        <f t="shared" si="62"/>
        <v>0</v>
      </c>
      <c r="I315">
        <f t="shared" si="63"/>
        <v>0</v>
      </c>
      <c r="J315">
        <f t="shared" si="64"/>
        <v>0</v>
      </c>
      <c r="K315" s="4" t="e">
        <f t="shared" si="67"/>
        <v>#N/A</v>
      </c>
      <c r="L315" t="e">
        <f t="shared" si="68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6"/>
        <v>0</v>
      </c>
      <c r="B316">
        <f t="shared" si="57"/>
        <v>0</v>
      </c>
      <c r="C316">
        <f t="shared" si="58"/>
        <v>0</v>
      </c>
      <c r="D316">
        <f t="shared" si="59"/>
        <v>0</v>
      </c>
      <c r="E316" t="e">
        <f>IF(Table1[[#This Row],[Impressions]]&gt;Table1[[#This Row],[Clicks]],"Standard",VLOOKUP(CONCATENATE(bd_adtype,"_",bd_creativetype),tabela,2,FALSE))</f>
        <v>#N/A</v>
      </c>
      <c r="F316">
        <f t="shared" si="60"/>
        <v>0</v>
      </c>
      <c r="G316">
        <f t="shared" si="61"/>
        <v>0</v>
      </c>
      <c r="H316">
        <f t="shared" si="62"/>
        <v>0</v>
      </c>
      <c r="I316">
        <f t="shared" si="63"/>
        <v>0</v>
      </c>
      <c r="J316">
        <f t="shared" si="64"/>
        <v>0</v>
      </c>
      <c r="K316" s="4" t="e">
        <f t="shared" si="67"/>
        <v>#N/A</v>
      </c>
      <c r="L316" t="e">
        <f t="shared" si="68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6"/>
        <v>0</v>
      </c>
      <c r="B317">
        <f t="shared" si="57"/>
        <v>0</v>
      </c>
      <c r="C317">
        <f t="shared" si="58"/>
        <v>0</v>
      </c>
      <c r="D317">
        <f t="shared" si="59"/>
        <v>0</v>
      </c>
      <c r="E317" t="e">
        <f>IF(Table1[[#This Row],[Impressions]]&gt;Table1[[#This Row],[Clicks]],"Standard",VLOOKUP(CONCATENATE(bd_adtype,"_",bd_creativetype),tabela,2,FALSE))</f>
        <v>#N/A</v>
      </c>
      <c r="F317">
        <f t="shared" si="60"/>
        <v>0</v>
      </c>
      <c r="G317">
        <f t="shared" si="61"/>
        <v>0</v>
      </c>
      <c r="H317">
        <f t="shared" si="62"/>
        <v>0</v>
      </c>
      <c r="I317">
        <f t="shared" si="63"/>
        <v>0</v>
      </c>
      <c r="J317">
        <f t="shared" si="64"/>
        <v>0</v>
      </c>
      <c r="K317" s="4" t="e">
        <f t="shared" si="67"/>
        <v>#N/A</v>
      </c>
      <c r="L317" t="e">
        <f t="shared" si="68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6"/>
        <v>0</v>
      </c>
      <c r="B318">
        <f t="shared" si="57"/>
        <v>0</v>
      </c>
      <c r="C318">
        <f t="shared" si="58"/>
        <v>0</v>
      </c>
      <c r="D318">
        <f t="shared" si="59"/>
        <v>0</v>
      </c>
      <c r="E318" t="e">
        <f>IF(Table1[[#This Row],[Impressions]]&gt;Table1[[#This Row],[Clicks]],"Standard",VLOOKUP(CONCATENATE(bd_adtype,"_",bd_creativetype),tabela,2,FALSE))</f>
        <v>#N/A</v>
      </c>
      <c r="F318">
        <f t="shared" si="60"/>
        <v>0</v>
      </c>
      <c r="G318">
        <f t="shared" si="61"/>
        <v>0</v>
      </c>
      <c r="H318">
        <f t="shared" si="62"/>
        <v>0</v>
      </c>
      <c r="I318">
        <f t="shared" si="63"/>
        <v>0</v>
      </c>
      <c r="J318">
        <f t="shared" si="64"/>
        <v>0</v>
      </c>
      <c r="K318" s="4" t="e">
        <f t="shared" si="67"/>
        <v>#N/A</v>
      </c>
      <c r="L318" t="e">
        <f t="shared" si="68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6"/>
        <v>0</v>
      </c>
      <c r="B319">
        <f t="shared" si="57"/>
        <v>0</v>
      </c>
      <c r="C319">
        <f t="shared" si="58"/>
        <v>0</v>
      </c>
      <c r="D319">
        <f t="shared" si="59"/>
        <v>0</v>
      </c>
      <c r="E319" t="e">
        <f>IF(Table1[[#This Row],[Impressions]]&gt;Table1[[#This Row],[Clicks]],"Standard",VLOOKUP(CONCATENATE(bd_adtype,"_",bd_creativetype),tabela,2,FALSE))</f>
        <v>#N/A</v>
      </c>
      <c r="F319">
        <f t="shared" si="60"/>
        <v>0</v>
      </c>
      <c r="G319">
        <f t="shared" si="61"/>
        <v>0</v>
      </c>
      <c r="H319">
        <f t="shared" si="62"/>
        <v>0</v>
      </c>
      <c r="I319">
        <f t="shared" si="63"/>
        <v>0</v>
      </c>
      <c r="J319">
        <f t="shared" si="64"/>
        <v>0</v>
      </c>
      <c r="K319" s="4" t="e">
        <f t="shared" si="67"/>
        <v>#N/A</v>
      </c>
      <c r="L319" t="e">
        <f t="shared" si="68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6"/>
        <v>0</v>
      </c>
      <c r="B320">
        <f t="shared" si="57"/>
        <v>0</v>
      </c>
      <c r="C320">
        <f t="shared" si="58"/>
        <v>0</v>
      </c>
      <c r="D320">
        <f t="shared" si="59"/>
        <v>0</v>
      </c>
      <c r="E320" t="e">
        <f>IF(Table1[[#This Row],[Impressions]]&gt;Table1[[#This Row],[Clicks]],"Standard",VLOOKUP(CONCATENATE(bd_adtype,"_",bd_creativetype),tabela,2,FALSE))</f>
        <v>#N/A</v>
      </c>
      <c r="F320">
        <f t="shared" si="60"/>
        <v>0</v>
      </c>
      <c r="G320">
        <f t="shared" si="61"/>
        <v>0</v>
      </c>
      <c r="H320">
        <f t="shared" si="62"/>
        <v>0</v>
      </c>
      <c r="I320">
        <f t="shared" si="63"/>
        <v>0</v>
      </c>
      <c r="J320">
        <f t="shared" si="64"/>
        <v>0</v>
      </c>
      <c r="K320" s="4" t="e">
        <f t="shared" si="67"/>
        <v>#N/A</v>
      </c>
      <c r="L320" t="e">
        <f t="shared" si="68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6"/>
        <v>0</v>
      </c>
      <c r="B321">
        <f t="shared" si="57"/>
        <v>0</v>
      </c>
      <c r="C321">
        <f t="shared" si="58"/>
        <v>0</v>
      </c>
      <c r="D321">
        <f t="shared" si="59"/>
        <v>0</v>
      </c>
      <c r="E321" t="e">
        <f>IF(Table1[[#This Row],[Impressions]]&gt;Table1[[#This Row],[Clicks]],"Standard",VLOOKUP(CONCATENATE(bd_adtype,"_",bd_creativetype),tabela,2,FALSE))</f>
        <v>#N/A</v>
      </c>
      <c r="F321">
        <f t="shared" si="60"/>
        <v>0</v>
      </c>
      <c r="G321">
        <f t="shared" si="61"/>
        <v>0</v>
      </c>
      <c r="H321">
        <f t="shared" si="62"/>
        <v>0</v>
      </c>
      <c r="I321">
        <f t="shared" si="63"/>
        <v>0</v>
      </c>
      <c r="J321">
        <f t="shared" si="64"/>
        <v>0</v>
      </c>
      <c r="K321" s="4" t="e">
        <f t="shared" si="67"/>
        <v>#N/A</v>
      </c>
      <c r="L321" t="e">
        <f t="shared" si="68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9">bd_campaign</f>
        <v>0</v>
      </c>
      <c r="B322">
        <f t="shared" ref="B322:B385" si="70">bd_site</f>
        <v>0</v>
      </c>
      <c r="C322">
        <f t="shared" ref="C322:C385" si="71">bd_placement</f>
        <v>0</v>
      </c>
      <c r="D322">
        <f t="shared" ref="D322:D385" si="72">bd_placementID</f>
        <v>0</v>
      </c>
      <c r="E322" t="e">
        <f>IF(Table1[[#This Row],[Impressions]]&gt;Table1[[#This Row],[Clicks]],"Standard",VLOOKUP(CONCATENATE(bd_adtype,"_",bd_creativetype),tabela,2,FALSE))</f>
        <v>#N/A</v>
      </c>
      <c r="F322">
        <f t="shared" ref="F322:F385" si="73">bd_ad</f>
        <v>0</v>
      </c>
      <c r="G322">
        <f t="shared" ref="G322:G385" si="74">bd_adid</f>
        <v>0</v>
      </c>
      <c r="H322">
        <f t="shared" ref="H322:H385" si="75">bd_creativetype</f>
        <v>0</v>
      </c>
      <c r="I322">
        <f t="shared" ref="I322:I385" si="76">bd_impression</f>
        <v>0</v>
      </c>
      <c r="J322">
        <f t="shared" ref="J322:J385" si="77">bd_clicks</f>
        <v>0</v>
      </c>
      <c r="K322" s="4" t="e">
        <f t="shared" si="67"/>
        <v>#N/A</v>
      </c>
      <c r="L322" t="e">
        <f t="shared" si="68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9"/>
        <v>0</v>
      </c>
      <c r="B323">
        <f t="shared" si="70"/>
        <v>0</v>
      </c>
      <c r="C323">
        <f t="shared" si="71"/>
        <v>0</v>
      </c>
      <c r="D323">
        <f t="shared" si="72"/>
        <v>0</v>
      </c>
      <c r="E323" t="e">
        <f>IF(Table1[[#This Row],[Impressions]]&gt;Table1[[#This Row],[Clicks]],"Standard",VLOOKUP(CONCATENATE(bd_adtype,"_",bd_creativetype),tabela,2,FALSE))</f>
        <v>#N/A</v>
      </c>
      <c r="F323">
        <f t="shared" si="73"/>
        <v>0</v>
      </c>
      <c r="G323">
        <f t="shared" si="74"/>
        <v>0</v>
      </c>
      <c r="H323">
        <f t="shared" si="75"/>
        <v>0</v>
      </c>
      <c r="I323">
        <f t="shared" si="76"/>
        <v>0</v>
      </c>
      <c r="J323">
        <f t="shared" si="77"/>
        <v>0</v>
      </c>
      <c r="K323" s="4" t="e">
        <f t="shared" si="67"/>
        <v>#N/A</v>
      </c>
      <c r="L323" t="e">
        <f t="shared" si="68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9"/>
        <v>0</v>
      </c>
      <c r="B324">
        <f t="shared" si="70"/>
        <v>0</v>
      </c>
      <c r="C324">
        <f t="shared" si="71"/>
        <v>0</v>
      </c>
      <c r="D324">
        <f t="shared" si="72"/>
        <v>0</v>
      </c>
      <c r="E324" t="e">
        <f>IF(Table1[[#This Row],[Impressions]]&gt;Table1[[#This Row],[Clicks]],"Standard",VLOOKUP(CONCATENATE(bd_adtype,"_",bd_creativetype),tabela,2,FALSE))</f>
        <v>#N/A</v>
      </c>
      <c r="F324">
        <f t="shared" si="73"/>
        <v>0</v>
      </c>
      <c r="G324">
        <f t="shared" si="74"/>
        <v>0</v>
      </c>
      <c r="H324">
        <f t="shared" si="75"/>
        <v>0</v>
      </c>
      <c r="I324">
        <f t="shared" si="76"/>
        <v>0</v>
      </c>
      <c r="J324">
        <f t="shared" si="77"/>
        <v>0</v>
      </c>
      <c r="K324" s="4" t="e">
        <f t="shared" si="67"/>
        <v>#N/A</v>
      </c>
      <c r="L324" t="e">
        <f t="shared" si="68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9"/>
        <v>0</v>
      </c>
      <c r="B325">
        <f t="shared" si="70"/>
        <v>0</v>
      </c>
      <c r="C325">
        <f t="shared" si="71"/>
        <v>0</v>
      </c>
      <c r="D325">
        <f t="shared" si="72"/>
        <v>0</v>
      </c>
      <c r="E325" t="e">
        <f>IF(Table1[[#This Row],[Impressions]]&gt;Table1[[#This Row],[Clicks]],"Standard",VLOOKUP(CONCATENATE(bd_adtype,"_",bd_creativetype),tabela,2,FALSE))</f>
        <v>#N/A</v>
      </c>
      <c r="F325">
        <f t="shared" si="73"/>
        <v>0</v>
      </c>
      <c r="G325">
        <f t="shared" si="74"/>
        <v>0</v>
      </c>
      <c r="H325">
        <f t="shared" si="75"/>
        <v>0</v>
      </c>
      <c r="I325">
        <f t="shared" si="76"/>
        <v>0</v>
      </c>
      <c r="J325">
        <f t="shared" si="77"/>
        <v>0</v>
      </c>
      <c r="K325" s="4" t="e">
        <f t="shared" si="67"/>
        <v>#N/A</v>
      </c>
      <c r="L325" t="e">
        <f t="shared" si="68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9"/>
        <v>0</v>
      </c>
      <c r="B326">
        <f t="shared" si="70"/>
        <v>0</v>
      </c>
      <c r="C326">
        <f t="shared" si="71"/>
        <v>0</v>
      </c>
      <c r="D326">
        <f t="shared" si="72"/>
        <v>0</v>
      </c>
      <c r="E326" t="e">
        <f>IF(Table1[[#This Row],[Impressions]]&gt;Table1[[#This Row],[Clicks]],"Standard",VLOOKUP(CONCATENATE(bd_adtype,"_",bd_creativetype),tabela,2,FALSE))</f>
        <v>#N/A</v>
      </c>
      <c r="F326">
        <f t="shared" si="73"/>
        <v>0</v>
      </c>
      <c r="G326">
        <f t="shared" si="74"/>
        <v>0</v>
      </c>
      <c r="H326">
        <f t="shared" si="75"/>
        <v>0</v>
      </c>
      <c r="I326">
        <f t="shared" si="76"/>
        <v>0</v>
      </c>
      <c r="J326">
        <f t="shared" si="77"/>
        <v>0</v>
      </c>
      <c r="K326" s="4" t="e">
        <f t="shared" si="67"/>
        <v>#N/A</v>
      </c>
      <c r="L326" t="e">
        <f t="shared" si="68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9"/>
        <v>0</v>
      </c>
      <c r="B327">
        <f t="shared" si="70"/>
        <v>0</v>
      </c>
      <c r="C327">
        <f t="shared" si="71"/>
        <v>0</v>
      </c>
      <c r="D327">
        <f t="shared" si="72"/>
        <v>0</v>
      </c>
      <c r="E327" t="e">
        <f>IF(Table1[[#This Row],[Impressions]]&gt;Table1[[#This Row],[Clicks]],"Standard",VLOOKUP(CONCATENATE(bd_adtype,"_",bd_creativetype),tabela,2,FALSE))</f>
        <v>#N/A</v>
      </c>
      <c r="F327">
        <f t="shared" si="73"/>
        <v>0</v>
      </c>
      <c r="G327">
        <f t="shared" si="74"/>
        <v>0</v>
      </c>
      <c r="H327">
        <f t="shared" si="75"/>
        <v>0</v>
      </c>
      <c r="I327">
        <f t="shared" si="76"/>
        <v>0</v>
      </c>
      <c r="J327">
        <f t="shared" si="77"/>
        <v>0</v>
      </c>
      <c r="K327" s="4" t="e">
        <f t="shared" si="67"/>
        <v>#N/A</v>
      </c>
      <c r="L327" t="e">
        <f t="shared" si="68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9"/>
        <v>0</v>
      </c>
      <c r="B328">
        <f t="shared" si="70"/>
        <v>0</v>
      </c>
      <c r="C328">
        <f t="shared" si="71"/>
        <v>0</v>
      </c>
      <c r="D328">
        <f t="shared" si="72"/>
        <v>0</v>
      </c>
      <c r="E328" t="e">
        <f>IF(Table1[[#This Row],[Impressions]]&gt;Table1[[#This Row],[Clicks]],"Standard",VLOOKUP(CONCATENATE(bd_adtype,"_",bd_creativetype),tabela,2,FALSE))</f>
        <v>#N/A</v>
      </c>
      <c r="F328">
        <f t="shared" si="73"/>
        <v>0</v>
      </c>
      <c r="G328">
        <f t="shared" si="74"/>
        <v>0</v>
      </c>
      <c r="H328">
        <f t="shared" si="75"/>
        <v>0</v>
      </c>
      <c r="I328">
        <f t="shared" si="76"/>
        <v>0</v>
      </c>
      <c r="J328">
        <f t="shared" si="77"/>
        <v>0</v>
      </c>
      <c r="K328" s="4" t="e">
        <f t="shared" si="67"/>
        <v>#N/A</v>
      </c>
      <c r="L328" t="e">
        <f t="shared" si="68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9"/>
        <v>0</v>
      </c>
      <c r="B329">
        <f t="shared" si="70"/>
        <v>0</v>
      </c>
      <c r="C329">
        <f t="shared" si="71"/>
        <v>0</v>
      </c>
      <c r="D329">
        <f t="shared" si="72"/>
        <v>0</v>
      </c>
      <c r="E329" t="e">
        <f>IF(Table1[[#This Row],[Impressions]]&gt;Table1[[#This Row],[Clicks]],"Standard",VLOOKUP(CONCATENATE(bd_adtype,"_",bd_creativetype),tabela,2,FALSE))</f>
        <v>#N/A</v>
      </c>
      <c r="F329">
        <f t="shared" si="73"/>
        <v>0</v>
      </c>
      <c r="G329">
        <f t="shared" si="74"/>
        <v>0</v>
      </c>
      <c r="H329">
        <f t="shared" si="75"/>
        <v>0</v>
      </c>
      <c r="I329">
        <f t="shared" si="76"/>
        <v>0</v>
      </c>
      <c r="J329">
        <f t="shared" si="77"/>
        <v>0</v>
      </c>
      <c r="K329" s="4" t="e">
        <f t="shared" si="67"/>
        <v>#N/A</v>
      </c>
      <c r="L329" t="e">
        <f t="shared" si="68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9"/>
        <v>0</v>
      </c>
      <c r="B330">
        <f t="shared" si="70"/>
        <v>0</v>
      </c>
      <c r="C330">
        <f t="shared" si="71"/>
        <v>0</v>
      </c>
      <c r="D330">
        <f t="shared" si="72"/>
        <v>0</v>
      </c>
      <c r="E330" t="e">
        <f>IF(Table1[[#This Row],[Impressions]]&gt;Table1[[#This Row],[Clicks]],"Standard",VLOOKUP(CONCATENATE(bd_adtype,"_",bd_creativetype),tabela,2,FALSE))</f>
        <v>#N/A</v>
      </c>
      <c r="F330">
        <f t="shared" si="73"/>
        <v>0</v>
      </c>
      <c r="G330">
        <f t="shared" si="74"/>
        <v>0</v>
      </c>
      <c r="H330">
        <f t="shared" si="75"/>
        <v>0</v>
      </c>
      <c r="I330">
        <f t="shared" si="76"/>
        <v>0</v>
      </c>
      <c r="J330">
        <f t="shared" si="77"/>
        <v>0</v>
      </c>
      <c r="K330" s="4" t="e">
        <f t="shared" si="67"/>
        <v>#N/A</v>
      </c>
      <c r="L330" t="e">
        <f t="shared" si="68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9"/>
        <v>0</v>
      </c>
      <c r="B331">
        <f t="shared" si="70"/>
        <v>0</v>
      </c>
      <c r="C331">
        <f t="shared" si="71"/>
        <v>0</v>
      </c>
      <c r="D331">
        <f t="shared" si="72"/>
        <v>0</v>
      </c>
      <c r="E331" t="e">
        <f>IF(Table1[[#This Row],[Impressions]]&gt;Table1[[#This Row],[Clicks]],"Standard",VLOOKUP(CONCATENATE(bd_adtype,"_",bd_creativetype),tabela,2,FALSE))</f>
        <v>#N/A</v>
      </c>
      <c r="F331">
        <f t="shared" si="73"/>
        <v>0</v>
      </c>
      <c r="G331">
        <f t="shared" si="74"/>
        <v>0</v>
      </c>
      <c r="H331">
        <f t="shared" si="75"/>
        <v>0</v>
      </c>
      <c r="I331">
        <f t="shared" si="76"/>
        <v>0</v>
      </c>
      <c r="J331">
        <f t="shared" si="77"/>
        <v>0</v>
      </c>
      <c r="K331" s="4" t="e">
        <f t="shared" si="67"/>
        <v>#N/A</v>
      </c>
      <c r="L331" t="e">
        <f t="shared" si="68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9"/>
        <v>0</v>
      </c>
      <c r="B332">
        <f t="shared" si="70"/>
        <v>0</v>
      </c>
      <c r="C332">
        <f t="shared" si="71"/>
        <v>0</v>
      </c>
      <c r="D332">
        <f t="shared" si="72"/>
        <v>0</v>
      </c>
      <c r="E332" t="e">
        <f>IF(Table1[[#This Row],[Impressions]]&gt;Table1[[#This Row],[Clicks]],"Standard",VLOOKUP(CONCATENATE(bd_adtype,"_",bd_creativetype),tabela,2,FALSE))</f>
        <v>#N/A</v>
      </c>
      <c r="F332">
        <f t="shared" si="73"/>
        <v>0</v>
      </c>
      <c r="G332">
        <f t="shared" si="74"/>
        <v>0</v>
      </c>
      <c r="H332">
        <f t="shared" si="75"/>
        <v>0</v>
      </c>
      <c r="I332">
        <f t="shared" si="76"/>
        <v>0</v>
      </c>
      <c r="J332">
        <f t="shared" si="77"/>
        <v>0</v>
      </c>
      <c r="K332" s="4" t="e">
        <f t="shared" si="67"/>
        <v>#N/A</v>
      </c>
      <c r="L332" t="e">
        <f t="shared" si="68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9"/>
        <v>0</v>
      </c>
      <c r="B333">
        <f t="shared" si="70"/>
        <v>0</v>
      </c>
      <c r="C333">
        <f t="shared" si="71"/>
        <v>0</v>
      </c>
      <c r="D333">
        <f t="shared" si="72"/>
        <v>0</v>
      </c>
      <c r="E333" t="e">
        <f>IF(Table1[[#This Row],[Impressions]]&gt;Table1[[#This Row],[Clicks]],"Standard",VLOOKUP(CONCATENATE(bd_adtype,"_",bd_creativetype),tabela,2,FALSE))</f>
        <v>#N/A</v>
      </c>
      <c r="F333">
        <f t="shared" si="73"/>
        <v>0</v>
      </c>
      <c r="G333">
        <f t="shared" si="74"/>
        <v>0</v>
      </c>
      <c r="H333">
        <f t="shared" si="75"/>
        <v>0</v>
      </c>
      <c r="I333">
        <f t="shared" si="76"/>
        <v>0</v>
      </c>
      <c r="J333">
        <f t="shared" si="77"/>
        <v>0</v>
      </c>
      <c r="K333" s="4" t="e">
        <f t="shared" si="67"/>
        <v>#N/A</v>
      </c>
      <c r="L333" t="e">
        <f t="shared" si="68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9"/>
        <v>0</v>
      </c>
      <c r="B334">
        <f t="shared" si="70"/>
        <v>0</v>
      </c>
      <c r="C334">
        <f t="shared" si="71"/>
        <v>0</v>
      </c>
      <c r="D334">
        <f t="shared" si="72"/>
        <v>0</v>
      </c>
      <c r="E334" t="e">
        <f>IF(Table1[[#This Row],[Impressions]]&gt;Table1[[#This Row],[Clicks]],"Standard",VLOOKUP(CONCATENATE(bd_adtype,"_",bd_creativetype),tabela,2,FALSE))</f>
        <v>#N/A</v>
      </c>
      <c r="F334">
        <f t="shared" si="73"/>
        <v>0</v>
      </c>
      <c r="G334">
        <f t="shared" si="74"/>
        <v>0</v>
      </c>
      <c r="H334">
        <f t="shared" si="75"/>
        <v>0</v>
      </c>
      <c r="I334">
        <f t="shared" si="76"/>
        <v>0</v>
      </c>
      <c r="J334">
        <f t="shared" si="77"/>
        <v>0</v>
      </c>
      <c r="K334" s="4" t="e">
        <f t="shared" si="67"/>
        <v>#N/A</v>
      </c>
      <c r="L334" t="e">
        <f t="shared" si="68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9"/>
        <v>0</v>
      </c>
      <c r="B335">
        <f t="shared" si="70"/>
        <v>0</v>
      </c>
      <c r="C335">
        <f t="shared" si="71"/>
        <v>0</v>
      </c>
      <c r="D335">
        <f t="shared" si="72"/>
        <v>0</v>
      </c>
      <c r="E335" t="e">
        <f>IF(Table1[[#This Row],[Impressions]]&gt;Table1[[#This Row],[Clicks]],"Standard",VLOOKUP(CONCATENATE(bd_adtype,"_",bd_creativetype),tabela,2,FALSE))</f>
        <v>#N/A</v>
      </c>
      <c r="F335">
        <f t="shared" si="73"/>
        <v>0</v>
      </c>
      <c r="G335">
        <f t="shared" si="74"/>
        <v>0</v>
      </c>
      <c r="H335">
        <f t="shared" si="75"/>
        <v>0</v>
      </c>
      <c r="I335">
        <f t="shared" si="76"/>
        <v>0</v>
      </c>
      <c r="J335">
        <f t="shared" si="77"/>
        <v>0</v>
      </c>
      <c r="K335" s="4" t="e">
        <f t="shared" si="67"/>
        <v>#N/A</v>
      </c>
      <c r="L335" t="e">
        <f t="shared" si="68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9"/>
        <v>0</v>
      </c>
      <c r="B336">
        <f t="shared" si="70"/>
        <v>0</v>
      </c>
      <c r="C336">
        <f t="shared" si="71"/>
        <v>0</v>
      </c>
      <c r="D336">
        <f t="shared" si="72"/>
        <v>0</v>
      </c>
      <c r="E336" t="e">
        <f>IF(Table1[[#This Row],[Impressions]]&gt;Table1[[#This Row],[Clicks]],"Standard",VLOOKUP(CONCATENATE(bd_adtype,"_",bd_creativetype),tabela,2,FALSE))</f>
        <v>#N/A</v>
      </c>
      <c r="F336">
        <f t="shared" si="73"/>
        <v>0</v>
      </c>
      <c r="G336">
        <f t="shared" si="74"/>
        <v>0</v>
      </c>
      <c r="H336">
        <f t="shared" si="75"/>
        <v>0</v>
      </c>
      <c r="I336">
        <f t="shared" si="76"/>
        <v>0</v>
      </c>
      <c r="J336">
        <f t="shared" si="77"/>
        <v>0</v>
      </c>
      <c r="K336" s="4" t="e">
        <f t="shared" si="67"/>
        <v>#N/A</v>
      </c>
      <c r="L336" t="e">
        <f t="shared" si="68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9"/>
        <v>0</v>
      </c>
      <c r="B337">
        <f t="shared" si="70"/>
        <v>0</v>
      </c>
      <c r="C337">
        <f t="shared" si="71"/>
        <v>0</v>
      </c>
      <c r="D337">
        <f t="shared" si="72"/>
        <v>0</v>
      </c>
      <c r="E337" t="e">
        <f>IF(Table1[[#This Row],[Impressions]]&gt;Table1[[#This Row],[Clicks]],"Standard",VLOOKUP(CONCATENATE(bd_adtype,"_",bd_creativetype),tabela,2,FALSE))</f>
        <v>#N/A</v>
      </c>
      <c r="F337">
        <f t="shared" si="73"/>
        <v>0</v>
      </c>
      <c r="G337">
        <f t="shared" si="74"/>
        <v>0</v>
      </c>
      <c r="H337">
        <f t="shared" si="75"/>
        <v>0</v>
      </c>
      <c r="I337">
        <f t="shared" si="76"/>
        <v>0</v>
      </c>
      <c r="J337">
        <f t="shared" si="77"/>
        <v>0</v>
      </c>
      <c r="K337" s="4" t="e">
        <f t="shared" si="67"/>
        <v>#N/A</v>
      </c>
      <c r="L337" t="e">
        <f t="shared" si="68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9"/>
        <v>0</v>
      </c>
      <c r="B338">
        <f t="shared" si="70"/>
        <v>0</v>
      </c>
      <c r="C338">
        <f t="shared" si="71"/>
        <v>0</v>
      </c>
      <c r="D338">
        <f t="shared" si="72"/>
        <v>0</v>
      </c>
      <c r="E338" t="e">
        <f>IF(Table1[[#This Row],[Impressions]]&gt;Table1[[#This Row],[Clicks]],"Standard",VLOOKUP(CONCATENATE(bd_adtype,"_",bd_creativetype),tabela,2,FALSE))</f>
        <v>#N/A</v>
      </c>
      <c r="F338">
        <f t="shared" si="73"/>
        <v>0</v>
      </c>
      <c r="G338">
        <f t="shared" si="74"/>
        <v>0</v>
      </c>
      <c r="H338">
        <f t="shared" si="75"/>
        <v>0</v>
      </c>
      <c r="I338">
        <f t="shared" si="76"/>
        <v>0</v>
      </c>
      <c r="J338">
        <f t="shared" si="77"/>
        <v>0</v>
      </c>
      <c r="K338" s="4" t="e">
        <f t="shared" si="67"/>
        <v>#N/A</v>
      </c>
      <c r="L338" t="e">
        <f t="shared" si="68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9"/>
        <v>0</v>
      </c>
      <c r="B339">
        <f t="shared" si="70"/>
        <v>0</v>
      </c>
      <c r="C339">
        <f t="shared" si="71"/>
        <v>0</v>
      </c>
      <c r="D339">
        <f t="shared" si="72"/>
        <v>0</v>
      </c>
      <c r="E339" t="e">
        <f>IF(Table1[[#This Row],[Impressions]]&gt;Table1[[#This Row],[Clicks]],"Standard",VLOOKUP(CONCATENATE(bd_adtype,"_",bd_creativetype),tabela,2,FALSE))</f>
        <v>#N/A</v>
      </c>
      <c r="F339">
        <f t="shared" si="73"/>
        <v>0</v>
      </c>
      <c r="G339">
        <f t="shared" si="74"/>
        <v>0</v>
      </c>
      <c r="H339">
        <f t="shared" si="75"/>
        <v>0</v>
      </c>
      <c r="I339">
        <f t="shared" si="76"/>
        <v>0</v>
      </c>
      <c r="J339">
        <f t="shared" si="77"/>
        <v>0</v>
      </c>
      <c r="K339" s="4" t="e">
        <f t="shared" si="67"/>
        <v>#N/A</v>
      </c>
      <c r="L339" t="e">
        <f t="shared" si="68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9"/>
        <v>0</v>
      </c>
      <c r="B340">
        <f t="shared" si="70"/>
        <v>0</v>
      </c>
      <c r="C340">
        <f t="shared" si="71"/>
        <v>0</v>
      </c>
      <c r="D340">
        <f t="shared" si="72"/>
        <v>0</v>
      </c>
      <c r="E340" t="e">
        <f>IF(Table1[[#This Row],[Impressions]]&gt;Table1[[#This Row],[Clicks]],"Standard",VLOOKUP(CONCATENATE(bd_adtype,"_",bd_creativetype),tabela,2,FALSE))</f>
        <v>#N/A</v>
      </c>
      <c r="F340">
        <f t="shared" si="73"/>
        <v>0</v>
      </c>
      <c r="G340">
        <f t="shared" si="74"/>
        <v>0</v>
      </c>
      <c r="H340">
        <f t="shared" si="75"/>
        <v>0</v>
      </c>
      <c r="I340">
        <f t="shared" si="76"/>
        <v>0</v>
      </c>
      <c r="J340">
        <f t="shared" si="77"/>
        <v>0</v>
      </c>
      <c r="K340" s="4" t="e">
        <f t="shared" si="67"/>
        <v>#N/A</v>
      </c>
      <c r="L340" t="e">
        <f t="shared" si="68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9"/>
        <v>0</v>
      </c>
      <c r="B341">
        <f t="shared" si="70"/>
        <v>0</v>
      </c>
      <c r="C341">
        <f t="shared" si="71"/>
        <v>0</v>
      </c>
      <c r="D341">
        <f t="shared" si="72"/>
        <v>0</v>
      </c>
      <c r="E341" t="e">
        <f>IF(Table1[[#This Row],[Impressions]]&gt;Table1[[#This Row],[Clicks]],"Standard",VLOOKUP(CONCATENATE(bd_adtype,"_",bd_creativetype),tabela,2,FALSE))</f>
        <v>#N/A</v>
      </c>
      <c r="F341">
        <f t="shared" si="73"/>
        <v>0</v>
      </c>
      <c r="G341">
        <f t="shared" si="74"/>
        <v>0</v>
      </c>
      <c r="H341">
        <f t="shared" si="75"/>
        <v>0</v>
      </c>
      <c r="I341">
        <f t="shared" si="76"/>
        <v>0</v>
      </c>
      <c r="J341">
        <f t="shared" si="77"/>
        <v>0</v>
      </c>
      <c r="K341" s="4" t="e">
        <f t="shared" si="67"/>
        <v>#N/A</v>
      </c>
      <c r="L341" t="e">
        <f t="shared" si="68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9"/>
        <v>0</v>
      </c>
      <c r="B342">
        <f t="shared" si="70"/>
        <v>0</v>
      </c>
      <c r="C342">
        <f t="shared" si="71"/>
        <v>0</v>
      </c>
      <c r="D342">
        <f t="shared" si="72"/>
        <v>0</v>
      </c>
      <c r="E342" t="e">
        <f>IF(Table1[[#This Row],[Impressions]]&gt;Table1[[#This Row],[Clicks]],"Standard",VLOOKUP(CONCATENATE(bd_adtype,"_",bd_creativetype),tabela,2,FALSE))</f>
        <v>#N/A</v>
      </c>
      <c r="F342">
        <f t="shared" si="73"/>
        <v>0</v>
      </c>
      <c r="G342">
        <f t="shared" si="74"/>
        <v>0</v>
      </c>
      <c r="H342">
        <f t="shared" si="75"/>
        <v>0</v>
      </c>
      <c r="I342">
        <f t="shared" si="76"/>
        <v>0</v>
      </c>
      <c r="J342">
        <f t="shared" si="77"/>
        <v>0</v>
      </c>
      <c r="K342" s="4" t="e">
        <f t="shared" si="67"/>
        <v>#N/A</v>
      </c>
      <c r="L342" t="e">
        <f t="shared" si="68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9"/>
        <v>0</v>
      </c>
      <c r="B343">
        <f t="shared" si="70"/>
        <v>0</v>
      </c>
      <c r="C343">
        <f t="shared" si="71"/>
        <v>0</v>
      </c>
      <c r="D343">
        <f t="shared" si="72"/>
        <v>0</v>
      </c>
      <c r="E343" t="e">
        <f>IF(Table1[[#This Row],[Impressions]]&gt;Table1[[#This Row],[Clicks]],"Standard",VLOOKUP(CONCATENATE(bd_adtype,"_",bd_creativetype),tabela,2,FALSE))</f>
        <v>#N/A</v>
      </c>
      <c r="F343">
        <f t="shared" si="73"/>
        <v>0</v>
      </c>
      <c r="G343">
        <f t="shared" si="74"/>
        <v>0</v>
      </c>
      <c r="H343">
        <f t="shared" si="75"/>
        <v>0</v>
      </c>
      <c r="I343">
        <f t="shared" si="76"/>
        <v>0</v>
      </c>
      <c r="J343">
        <f t="shared" si="77"/>
        <v>0</v>
      </c>
      <c r="K343" s="4" t="e">
        <f t="shared" si="67"/>
        <v>#N/A</v>
      </c>
      <c r="L343" t="e">
        <f t="shared" si="68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9"/>
        <v>0</v>
      </c>
      <c r="B344">
        <f t="shared" si="70"/>
        <v>0</v>
      </c>
      <c r="C344">
        <f t="shared" si="71"/>
        <v>0</v>
      </c>
      <c r="D344">
        <f t="shared" si="72"/>
        <v>0</v>
      </c>
      <c r="E344" t="e">
        <f>IF(Table1[[#This Row],[Impressions]]&gt;Table1[[#This Row],[Clicks]],"Standard",VLOOKUP(CONCATENATE(bd_adtype,"_",bd_creativetype),tabela,2,FALSE))</f>
        <v>#N/A</v>
      </c>
      <c r="F344">
        <f t="shared" si="73"/>
        <v>0</v>
      </c>
      <c r="G344">
        <f t="shared" si="74"/>
        <v>0</v>
      </c>
      <c r="H344">
        <f t="shared" si="75"/>
        <v>0</v>
      </c>
      <c r="I344">
        <f t="shared" si="76"/>
        <v>0</v>
      </c>
      <c r="J344">
        <f t="shared" si="77"/>
        <v>0</v>
      </c>
      <c r="K344" s="4" t="e">
        <f t="shared" si="67"/>
        <v>#N/A</v>
      </c>
      <c r="L344" t="e">
        <f t="shared" si="68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9"/>
        <v>0</v>
      </c>
      <c r="B345">
        <f t="shared" si="70"/>
        <v>0</v>
      </c>
      <c r="C345">
        <f t="shared" si="71"/>
        <v>0</v>
      </c>
      <c r="D345">
        <f t="shared" si="72"/>
        <v>0</v>
      </c>
      <c r="E345" t="e">
        <f>IF(Table1[[#This Row],[Impressions]]&gt;Table1[[#This Row],[Clicks]],"Standard",VLOOKUP(CONCATENATE(bd_adtype,"_",bd_creativetype),tabela,2,FALSE))</f>
        <v>#N/A</v>
      </c>
      <c r="F345">
        <f t="shared" si="73"/>
        <v>0</v>
      </c>
      <c r="G345">
        <f t="shared" si="74"/>
        <v>0</v>
      </c>
      <c r="H345">
        <f t="shared" si="75"/>
        <v>0</v>
      </c>
      <c r="I345">
        <f t="shared" si="76"/>
        <v>0</v>
      </c>
      <c r="J345">
        <f t="shared" si="77"/>
        <v>0</v>
      </c>
      <c r="K345" s="4" t="e">
        <f t="shared" si="67"/>
        <v>#N/A</v>
      </c>
      <c r="L345" t="e">
        <f t="shared" si="68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9"/>
        <v>0</v>
      </c>
      <c r="B346">
        <f t="shared" si="70"/>
        <v>0</v>
      </c>
      <c r="C346">
        <f t="shared" si="71"/>
        <v>0</v>
      </c>
      <c r="D346">
        <f t="shared" si="72"/>
        <v>0</v>
      </c>
      <c r="E346" t="e">
        <f>IF(Table1[[#This Row],[Impressions]]&gt;Table1[[#This Row],[Clicks]],"Standard",VLOOKUP(CONCATENATE(bd_adtype,"_",bd_creativetype),tabela,2,FALSE))</f>
        <v>#N/A</v>
      </c>
      <c r="F346">
        <f t="shared" si="73"/>
        <v>0</v>
      </c>
      <c r="G346">
        <f t="shared" si="74"/>
        <v>0</v>
      </c>
      <c r="H346">
        <f t="shared" si="75"/>
        <v>0</v>
      </c>
      <c r="I346">
        <f t="shared" si="76"/>
        <v>0</v>
      </c>
      <c r="J346">
        <f t="shared" si="77"/>
        <v>0</v>
      </c>
      <c r="K346" s="4" t="e">
        <f t="shared" si="67"/>
        <v>#N/A</v>
      </c>
      <c r="L346" t="e">
        <f t="shared" si="68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9"/>
        <v>0</v>
      </c>
      <c r="B347">
        <f t="shared" si="70"/>
        <v>0</v>
      </c>
      <c r="C347">
        <f t="shared" si="71"/>
        <v>0</v>
      </c>
      <c r="D347">
        <f t="shared" si="72"/>
        <v>0</v>
      </c>
      <c r="E347" t="e">
        <f>IF(Table1[[#This Row],[Impressions]]&gt;Table1[[#This Row],[Clicks]],"Standard",VLOOKUP(CONCATENATE(bd_adtype,"_",bd_creativetype),tabela,2,FALSE))</f>
        <v>#N/A</v>
      </c>
      <c r="F347">
        <f t="shared" si="73"/>
        <v>0</v>
      </c>
      <c r="G347">
        <f t="shared" si="74"/>
        <v>0</v>
      </c>
      <c r="H347">
        <f t="shared" si="75"/>
        <v>0</v>
      </c>
      <c r="I347">
        <f t="shared" si="76"/>
        <v>0</v>
      </c>
      <c r="J347">
        <f t="shared" si="77"/>
        <v>0</v>
      </c>
      <c r="K347" s="4" t="e">
        <f t="shared" si="67"/>
        <v>#N/A</v>
      </c>
      <c r="L347" t="e">
        <f t="shared" si="68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9"/>
        <v>0</v>
      </c>
      <c r="B348">
        <f t="shared" si="70"/>
        <v>0</v>
      </c>
      <c r="C348">
        <f t="shared" si="71"/>
        <v>0</v>
      </c>
      <c r="D348">
        <f t="shared" si="72"/>
        <v>0</v>
      </c>
      <c r="E348" t="e">
        <f>IF(Table1[[#This Row],[Impressions]]&gt;Table1[[#This Row],[Clicks]],"Standard",VLOOKUP(CONCATENATE(bd_adtype,"_",bd_creativetype),tabela,2,FALSE))</f>
        <v>#N/A</v>
      </c>
      <c r="F348">
        <f t="shared" si="73"/>
        <v>0</v>
      </c>
      <c r="G348">
        <f t="shared" si="74"/>
        <v>0</v>
      </c>
      <c r="H348">
        <f t="shared" si="75"/>
        <v>0</v>
      </c>
      <c r="I348">
        <f t="shared" si="76"/>
        <v>0</v>
      </c>
      <c r="J348">
        <f t="shared" si="77"/>
        <v>0</v>
      </c>
      <c r="K348" s="4" t="e">
        <f t="shared" si="67"/>
        <v>#N/A</v>
      </c>
      <c r="L348" t="e">
        <f t="shared" si="68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9"/>
        <v>0</v>
      </c>
      <c r="B349">
        <f t="shared" si="70"/>
        <v>0</v>
      </c>
      <c r="C349">
        <f t="shared" si="71"/>
        <v>0</v>
      </c>
      <c r="D349">
        <f t="shared" si="72"/>
        <v>0</v>
      </c>
      <c r="E349" t="e">
        <f>IF(Table1[[#This Row],[Impressions]]&gt;Table1[[#This Row],[Clicks]],"Standard",VLOOKUP(CONCATENATE(bd_adtype,"_",bd_creativetype),tabela,2,FALSE))</f>
        <v>#N/A</v>
      </c>
      <c r="F349">
        <f t="shared" si="73"/>
        <v>0</v>
      </c>
      <c r="G349">
        <f t="shared" si="74"/>
        <v>0</v>
      </c>
      <c r="H349">
        <f t="shared" si="75"/>
        <v>0</v>
      </c>
      <c r="I349">
        <f t="shared" si="76"/>
        <v>0</v>
      </c>
      <c r="J349">
        <f t="shared" si="77"/>
        <v>0</v>
      </c>
      <c r="K349" s="4" t="e">
        <f t="shared" si="67"/>
        <v>#N/A</v>
      </c>
      <c r="L349" t="e">
        <f t="shared" si="68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9"/>
        <v>0</v>
      </c>
      <c r="B350">
        <f t="shared" si="70"/>
        <v>0</v>
      </c>
      <c r="C350">
        <f t="shared" si="71"/>
        <v>0</v>
      </c>
      <c r="D350">
        <f t="shared" si="72"/>
        <v>0</v>
      </c>
      <c r="E350" t="e">
        <f>IF(Table1[[#This Row],[Impressions]]&gt;Table1[[#This Row],[Clicks]],"Standard",VLOOKUP(CONCATENATE(bd_adtype,"_",bd_creativetype),tabela,2,FALSE))</f>
        <v>#N/A</v>
      </c>
      <c r="F350">
        <f t="shared" si="73"/>
        <v>0</v>
      </c>
      <c r="G350">
        <f t="shared" si="74"/>
        <v>0</v>
      </c>
      <c r="H350">
        <f t="shared" si="75"/>
        <v>0</v>
      </c>
      <c r="I350">
        <f t="shared" si="76"/>
        <v>0</v>
      </c>
      <c r="J350">
        <f t="shared" si="77"/>
        <v>0</v>
      </c>
      <c r="K350" s="4" t="e">
        <f t="shared" si="67"/>
        <v>#N/A</v>
      </c>
      <c r="L350" t="e">
        <f t="shared" si="68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9"/>
        <v>0</v>
      </c>
      <c r="B351">
        <f t="shared" si="70"/>
        <v>0</v>
      </c>
      <c r="C351">
        <f t="shared" si="71"/>
        <v>0</v>
      </c>
      <c r="D351">
        <f t="shared" si="72"/>
        <v>0</v>
      </c>
      <c r="E351" t="e">
        <f>IF(Table1[[#This Row],[Impressions]]&gt;Table1[[#This Row],[Clicks]],"Standard",VLOOKUP(CONCATENATE(bd_adtype,"_",bd_creativetype),tabela,2,FALSE))</f>
        <v>#N/A</v>
      </c>
      <c r="F351">
        <f t="shared" si="73"/>
        <v>0</v>
      </c>
      <c r="G351">
        <f t="shared" si="74"/>
        <v>0</v>
      </c>
      <c r="H351">
        <f t="shared" si="75"/>
        <v>0</v>
      </c>
      <c r="I351">
        <f t="shared" si="76"/>
        <v>0</v>
      </c>
      <c r="J351">
        <f t="shared" si="77"/>
        <v>0</v>
      </c>
      <c r="K351" s="4" t="e">
        <f t="shared" si="67"/>
        <v>#N/A</v>
      </c>
      <c r="L351" t="e">
        <f t="shared" si="68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9"/>
        <v>0</v>
      </c>
      <c r="B352">
        <f t="shared" si="70"/>
        <v>0</v>
      </c>
      <c r="C352">
        <f t="shared" si="71"/>
        <v>0</v>
      </c>
      <c r="D352">
        <f t="shared" si="72"/>
        <v>0</v>
      </c>
      <c r="E352" t="e">
        <f>IF(Table1[[#This Row],[Impressions]]&gt;Table1[[#This Row],[Clicks]],"Standard",VLOOKUP(CONCATENATE(bd_adtype,"_",bd_creativetype),tabela,2,FALSE))</f>
        <v>#N/A</v>
      </c>
      <c r="F352">
        <f t="shared" si="73"/>
        <v>0</v>
      </c>
      <c r="G352">
        <f t="shared" si="74"/>
        <v>0</v>
      </c>
      <c r="H352">
        <f t="shared" si="75"/>
        <v>0</v>
      </c>
      <c r="I352">
        <f t="shared" si="76"/>
        <v>0</v>
      </c>
      <c r="J352">
        <f t="shared" si="77"/>
        <v>0</v>
      </c>
      <c r="K352" s="4" t="e">
        <f t="shared" si="67"/>
        <v>#N/A</v>
      </c>
      <c r="L352" t="e">
        <f t="shared" si="68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9"/>
        <v>0</v>
      </c>
      <c r="B353">
        <f t="shared" si="70"/>
        <v>0</v>
      </c>
      <c r="C353">
        <f t="shared" si="71"/>
        <v>0</v>
      </c>
      <c r="D353">
        <f t="shared" si="72"/>
        <v>0</v>
      </c>
      <c r="E353" t="e">
        <f>IF(Table1[[#This Row],[Impressions]]&gt;Table1[[#This Row],[Clicks]],"Standard",VLOOKUP(CONCATENATE(bd_adtype,"_",bd_creativetype),tabela,2,FALSE))</f>
        <v>#N/A</v>
      </c>
      <c r="F353">
        <f t="shared" si="73"/>
        <v>0</v>
      </c>
      <c r="G353">
        <f t="shared" si="74"/>
        <v>0</v>
      </c>
      <c r="H353">
        <f t="shared" si="75"/>
        <v>0</v>
      </c>
      <c r="I353">
        <f t="shared" si="76"/>
        <v>0</v>
      </c>
      <c r="J353">
        <f t="shared" si="77"/>
        <v>0</v>
      </c>
      <c r="K353" s="4" t="e">
        <f t="shared" si="67"/>
        <v>#N/A</v>
      </c>
      <c r="L353" t="e">
        <f t="shared" si="68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9"/>
        <v>0</v>
      </c>
      <c r="B354">
        <f t="shared" si="70"/>
        <v>0</v>
      </c>
      <c r="C354">
        <f t="shared" si="71"/>
        <v>0</v>
      </c>
      <c r="D354">
        <f t="shared" si="72"/>
        <v>0</v>
      </c>
      <c r="E354" t="e">
        <f>IF(Table1[[#This Row],[Impressions]]&gt;Table1[[#This Row],[Clicks]],"Standard",VLOOKUP(CONCATENATE(bd_adtype,"_",bd_creativetype),tabela,2,FALSE))</f>
        <v>#N/A</v>
      </c>
      <c r="F354">
        <f t="shared" si="73"/>
        <v>0</v>
      </c>
      <c r="G354">
        <f t="shared" si="74"/>
        <v>0</v>
      </c>
      <c r="H354">
        <f t="shared" si="75"/>
        <v>0</v>
      </c>
      <c r="I354">
        <f t="shared" si="76"/>
        <v>0</v>
      </c>
      <c r="J354">
        <f t="shared" si="77"/>
        <v>0</v>
      </c>
      <c r="K354" s="4" t="e">
        <f t="shared" si="67"/>
        <v>#N/A</v>
      </c>
      <c r="L354" t="e">
        <f t="shared" si="68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9"/>
        <v>0</v>
      </c>
      <c r="B355">
        <f t="shared" si="70"/>
        <v>0</v>
      </c>
      <c r="C355">
        <f t="shared" si="71"/>
        <v>0</v>
      </c>
      <c r="D355">
        <f t="shared" si="72"/>
        <v>0</v>
      </c>
      <c r="E355" t="e">
        <f>IF(Table1[[#This Row],[Impressions]]&gt;Table1[[#This Row],[Clicks]],"Standard",VLOOKUP(CONCATENATE(bd_adtype,"_",bd_creativetype),tabela,2,FALSE))</f>
        <v>#N/A</v>
      </c>
      <c r="F355">
        <f t="shared" si="73"/>
        <v>0</v>
      </c>
      <c r="G355">
        <f t="shared" si="74"/>
        <v>0</v>
      </c>
      <c r="H355">
        <f t="shared" si="75"/>
        <v>0</v>
      </c>
      <c r="I355">
        <f t="shared" si="76"/>
        <v>0</v>
      </c>
      <c r="J355">
        <f t="shared" si="77"/>
        <v>0</v>
      </c>
      <c r="K355" s="4" t="e">
        <f t="shared" si="67"/>
        <v>#N/A</v>
      </c>
      <c r="L355" t="e">
        <f t="shared" si="68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9"/>
        <v>0</v>
      </c>
      <c r="B356">
        <f t="shared" si="70"/>
        <v>0</v>
      </c>
      <c r="C356">
        <f t="shared" si="71"/>
        <v>0</v>
      </c>
      <c r="D356">
        <f t="shared" si="72"/>
        <v>0</v>
      </c>
      <c r="E356" t="e">
        <f>IF(Table1[[#This Row],[Impressions]]&gt;Table1[[#This Row],[Clicks]],"Standard",VLOOKUP(CONCATENATE(bd_adtype,"_",bd_creativetype),tabela,2,FALSE))</f>
        <v>#N/A</v>
      </c>
      <c r="F356">
        <f t="shared" si="73"/>
        <v>0</v>
      </c>
      <c r="G356">
        <f t="shared" si="74"/>
        <v>0</v>
      </c>
      <c r="H356">
        <f t="shared" si="75"/>
        <v>0</v>
      </c>
      <c r="I356">
        <f t="shared" si="76"/>
        <v>0</v>
      </c>
      <c r="J356">
        <f t="shared" si="77"/>
        <v>0</v>
      </c>
      <c r="K356" s="4" t="e">
        <f t="shared" si="67"/>
        <v>#N/A</v>
      </c>
      <c r="L356" t="e">
        <f t="shared" si="68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9"/>
        <v>0</v>
      </c>
      <c r="B357">
        <f t="shared" si="70"/>
        <v>0</v>
      </c>
      <c r="C357">
        <f t="shared" si="71"/>
        <v>0</v>
      </c>
      <c r="D357">
        <f t="shared" si="72"/>
        <v>0</v>
      </c>
      <c r="E357" t="e">
        <f>IF(Table1[[#This Row],[Impressions]]&gt;Table1[[#This Row],[Clicks]],"Standard",VLOOKUP(CONCATENATE(bd_adtype,"_",bd_creativetype),tabela,2,FALSE))</f>
        <v>#N/A</v>
      </c>
      <c r="F357">
        <f t="shared" si="73"/>
        <v>0</v>
      </c>
      <c r="G357">
        <f t="shared" si="74"/>
        <v>0</v>
      </c>
      <c r="H357">
        <f t="shared" si="75"/>
        <v>0</v>
      </c>
      <c r="I357">
        <f t="shared" si="76"/>
        <v>0</v>
      </c>
      <c r="J357">
        <f t="shared" si="77"/>
        <v>0</v>
      </c>
      <c r="K357" s="4" t="e">
        <f t="shared" si="67"/>
        <v>#N/A</v>
      </c>
      <c r="L357" t="e">
        <f t="shared" si="68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9"/>
        <v>0</v>
      </c>
      <c r="B358">
        <f t="shared" si="70"/>
        <v>0</v>
      </c>
      <c r="C358">
        <f t="shared" si="71"/>
        <v>0</v>
      </c>
      <c r="D358">
        <f t="shared" si="72"/>
        <v>0</v>
      </c>
      <c r="E358" t="e">
        <f>IF(Table1[[#This Row],[Impressions]]&gt;Table1[[#This Row],[Clicks]],"Standard",VLOOKUP(CONCATENATE(bd_adtype,"_",bd_creativetype),tabela,2,FALSE))</f>
        <v>#N/A</v>
      </c>
      <c r="F358">
        <f t="shared" si="73"/>
        <v>0</v>
      </c>
      <c r="G358">
        <f t="shared" si="74"/>
        <v>0</v>
      </c>
      <c r="H358">
        <f t="shared" si="75"/>
        <v>0</v>
      </c>
      <c r="I358">
        <f t="shared" si="76"/>
        <v>0</v>
      </c>
      <c r="J358">
        <f t="shared" si="77"/>
        <v>0</v>
      </c>
      <c r="K358" s="4" t="e">
        <f t="shared" si="67"/>
        <v>#N/A</v>
      </c>
      <c r="L358" t="e">
        <f t="shared" si="68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9"/>
        <v>0</v>
      </c>
      <c r="B359">
        <f t="shared" si="70"/>
        <v>0</v>
      </c>
      <c r="C359">
        <f t="shared" si="71"/>
        <v>0</v>
      </c>
      <c r="D359">
        <f t="shared" si="72"/>
        <v>0</v>
      </c>
      <c r="E359" t="e">
        <f>IF(Table1[[#This Row],[Impressions]]&gt;Table1[[#This Row],[Clicks]],"Standard",VLOOKUP(CONCATENATE(bd_adtype,"_",bd_creativetype),tabela,2,FALSE))</f>
        <v>#N/A</v>
      </c>
      <c r="F359">
        <f t="shared" si="73"/>
        <v>0</v>
      </c>
      <c r="G359">
        <f t="shared" si="74"/>
        <v>0</v>
      </c>
      <c r="H359">
        <f t="shared" si="75"/>
        <v>0</v>
      </c>
      <c r="I359">
        <f t="shared" si="76"/>
        <v>0</v>
      </c>
      <c r="J359">
        <f t="shared" si="77"/>
        <v>0</v>
      </c>
      <c r="K359" s="4" t="e">
        <f t="shared" si="67"/>
        <v>#N/A</v>
      </c>
      <c r="L359" t="e">
        <f t="shared" si="68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9"/>
        <v>0</v>
      </c>
      <c r="B360">
        <f t="shared" si="70"/>
        <v>0</v>
      </c>
      <c r="C360">
        <f t="shared" si="71"/>
        <v>0</v>
      </c>
      <c r="D360">
        <f t="shared" si="72"/>
        <v>0</v>
      </c>
      <c r="E360" t="e">
        <f>IF(Table1[[#This Row],[Impressions]]&gt;Table1[[#This Row],[Clicks]],"Standard",VLOOKUP(CONCATENATE(bd_adtype,"_",bd_creativetype),tabela,2,FALSE))</f>
        <v>#N/A</v>
      </c>
      <c r="F360">
        <f t="shared" si="73"/>
        <v>0</v>
      </c>
      <c r="G360">
        <f t="shared" si="74"/>
        <v>0</v>
      </c>
      <c r="H360">
        <f t="shared" si="75"/>
        <v>0</v>
      </c>
      <c r="I360">
        <f t="shared" si="76"/>
        <v>0</v>
      </c>
      <c r="J360">
        <f t="shared" si="77"/>
        <v>0</v>
      </c>
      <c r="K360" s="4" t="e">
        <f t="shared" si="67"/>
        <v>#N/A</v>
      </c>
      <c r="L360" t="e">
        <f t="shared" si="68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9"/>
        <v>0</v>
      </c>
      <c r="B361">
        <f t="shared" si="70"/>
        <v>0</v>
      </c>
      <c r="C361">
        <f t="shared" si="71"/>
        <v>0</v>
      </c>
      <c r="D361">
        <f t="shared" si="72"/>
        <v>0</v>
      </c>
      <c r="E361" t="e">
        <f>IF(Table1[[#This Row],[Impressions]]&gt;Table1[[#This Row],[Clicks]],"Standard",VLOOKUP(CONCATENATE(bd_adtype,"_",bd_creativetype),tabela,2,FALSE))</f>
        <v>#N/A</v>
      </c>
      <c r="F361">
        <f t="shared" si="73"/>
        <v>0</v>
      </c>
      <c r="G361">
        <f t="shared" si="74"/>
        <v>0</v>
      </c>
      <c r="H361">
        <f t="shared" si="75"/>
        <v>0</v>
      </c>
      <c r="I361">
        <f t="shared" si="76"/>
        <v>0</v>
      </c>
      <c r="J361">
        <f t="shared" si="77"/>
        <v>0</v>
      </c>
      <c r="K361" s="4" t="e">
        <f t="shared" si="67"/>
        <v>#N/A</v>
      </c>
      <c r="L361" t="e">
        <f t="shared" si="68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9"/>
        <v>0</v>
      </c>
      <c r="B362">
        <f t="shared" si="70"/>
        <v>0</v>
      </c>
      <c r="C362">
        <f t="shared" si="71"/>
        <v>0</v>
      </c>
      <c r="D362">
        <f t="shared" si="72"/>
        <v>0</v>
      </c>
      <c r="E362" t="e">
        <f>IF(Table1[[#This Row],[Impressions]]&gt;Table1[[#This Row],[Clicks]],"Standard",VLOOKUP(CONCATENATE(bd_adtype,"_",bd_creativetype),tabela,2,FALSE))</f>
        <v>#N/A</v>
      </c>
      <c r="F362">
        <f t="shared" si="73"/>
        <v>0</v>
      </c>
      <c r="G362">
        <f t="shared" si="74"/>
        <v>0</v>
      </c>
      <c r="H362">
        <f t="shared" si="75"/>
        <v>0</v>
      </c>
      <c r="I362">
        <f t="shared" si="76"/>
        <v>0</v>
      </c>
      <c r="J362">
        <f t="shared" si="77"/>
        <v>0</v>
      </c>
      <c r="K362" s="4" t="e">
        <f t="shared" si="67"/>
        <v>#N/A</v>
      </c>
      <c r="L362" t="e">
        <f t="shared" si="68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9"/>
        <v>0</v>
      </c>
      <c r="B363">
        <f t="shared" si="70"/>
        <v>0</v>
      </c>
      <c r="C363">
        <f t="shared" si="71"/>
        <v>0</v>
      </c>
      <c r="D363">
        <f t="shared" si="72"/>
        <v>0</v>
      </c>
      <c r="E363" t="e">
        <f>IF(Table1[[#This Row],[Impressions]]&gt;Table1[[#This Row],[Clicks]],"Standard",VLOOKUP(CONCATENATE(bd_adtype,"_",bd_creativetype),tabela,2,FALSE))</f>
        <v>#N/A</v>
      </c>
      <c r="F363">
        <f t="shared" si="73"/>
        <v>0</v>
      </c>
      <c r="G363">
        <f t="shared" si="74"/>
        <v>0</v>
      </c>
      <c r="H363">
        <f t="shared" si="75"/>
        <v>0</v>
      </c>
      <c r="I363">
        <f t="shared" si="76"/>
        <v>0</v>
      </c>
      <c r="J363">
        <f t="shared" si="77"/>
        <v>0</v>
      </c>
      <c r="K363" s="4" t="e">
        <f t="shared" si="67"/>
        <v>#N/A</v>
      </c>
      <c r="L363" t="e">
        <f t="shared" si="68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9"/>
        <v>0</v>
      </c>
      <c r="B364">
        <f t="shared" si="70"/>
        <v>0</v>
      </c>
      <c r="C364">
        <f t="shared" si="71"/>
        <v>0</v>
      </c>
      <c r="D364">
        <f t="shared" si="72"/>
        <v>0</v>
      </c>
      <c r="E364" t="e">
        <f>IF(Table1[[#This Row],[Impressions]]&gt;Table1[[#This Row],[Clicks]],"Standard",VLOOKUP(CONCATENATE(bd_adtype,"_",bd_creativetype),tabela,2,FALSE))</f>
        <v>#N/A</v>
      </c>
      <c r="F364">
        <f t="shared" si="73"/>
        <v>0</v>
      </c>
      <c r="G364">
        <f t="shared" si="74"/>
        <v>0</v>
      </c>
      <c r="H364">
        <f t="shared" si="75"/>
        <v>0</v>
      </c>
      <c r="I364">
        <f t="shared" si="76"/>
        <v>0</v>
      </c>
      <c r="J364">
        <f t="shared" si="77"/>
        <v>0</v>
      </c>
      <c r="K364" s="4" t="e">
        <f t="shared" ref="K364:K427" si="80">IF(LEFT(B364,3)="DBM",0,VLOOKUP(E364,tabela,2,FALSE))</f>
        <v>#N/A</v>
      </c>
      <c r="L364" t="e">
        <f t="shared" ref="L364:L427" si="81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9"/>
        <v>0</v>
      </c>
      <c r="B365">
        <f t="shared" si="70"/>
        <v>0</v>
      </c>
      <c r="C365">
        <f t="shared" si="71"/>
        <v>0</v>
      </c>
      <c r="D365">
        <f t="shared" si="72"/>
        <v>0</v>
      </c>
      <c r="E365" t="e">
        <f>IF(Table1[[#This Row],[Impressions]]&gt;Table1[[#This Row],[Clicks]],"Standard",VLOOKUP(CONCATENATE(bd_adtype,"_",bd_creativetype),tabela,2,FALSE))</f>
        <v>#N/A</v>
      </c>
      <c r="F365">
        <f t="shared" si="73"/>
        <v>0</v>
      </c>
      <c r="G365">
        <f t="shared" si="74"/>
        <v>0</v>
      </c>
      <c r="H365">
        <f t="shared" si="75"/>
        <v>0</v>
      </c>
      <c r="I365">
        <f t="shared" si="76"/>
        <v>0</v>
      </c>
      <c r="J365">
        <f t="shared" si="77"/>
        <v>0</v>
      </c>
      <c r="K365" s="4" t="e">
        <f t="shared" si="80"/>
        <v>#N/A</v>
      </c>
      <c r="L365" t="e">
        <f t="shared" si="81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9"/>
        <v>0</v>
      </c>
      <c r="B366">
        <f t="shared" si="70"/>
        <v>0</v>
      </c>
      <c r="C366">
        <f t="shared" si="71"/>
        <v>0</v>
      </c>
      <c r="D366">
        <f t="shared" si="72"/>
        <v>0</v>
      </c>
      <c r="E366" t="e">
        <f>IF(Table1[[#This Row],[Impressions]]&gt;Table1[[#This Row],[Clicks]],"Standard",VLOOKUP(CONCATENATE(bd_adtype,"_",bd_creativetype),tabela,2,FALSE))</f>
        <v>#N/A</v>
      </c>
      <c r="F366">
        <f t="shared" si="73"/>
        <v>0</v>
      </c>
      <c r="G366">
        <f t="shared" si="74"/>
        <v>0</v>
      </c>
      <c r="H366">
        <f t="shared" si="75"/>
        <v>0</v>
      </c>
      <c r="I366">
        <f t="shared" si="76"/>
        <v>0</v>
      </c>
      <c r="J366">
        <f t="shared" si="77"/>
        <v>0</v>
      </c>
      <c r="K366" s="4" t="e">
        <f t="shared" si="80"/>
        <v>#N/A</v>
      </c>
      <c r="L366" t="e">
        <f t="shared" si="81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9"/>
        <v>0</v>
      </c>
      <c r="B367">
        <f t="shared" si="70"/>
        <v>0</v>
      </c>
      <c r="C367">
        <f t="shared" si="71"/>
        <v>0</v>
      </c>
      <c r="D367">
        <f t="shared" si="72"/>
        <v>0</v>
      </c>
      <c r="E367" t="e">
        <f>IF(Table1[[#This Row],[Impressions]]&gt;Table1[[#This Row],[Clicks]],"Standard",VLOOKUP(CONCATENATE(bd_adtype,"_",bd_creativetype),tabela,2,FALSE))</f>
        <v>#N/A</v>
      </c>
      <c r="F367">
        <f t="shared" si="73"/>
        <v>0</v>
      </c>
      <c r="G367">
        <f t="shared" si="74"/>
        <v>0</v>
      </c>
      <c r="H367">
        <f t="shared" si="75"/>
        <v>0</v>
      </c>
      <c r="I367">
        <f t="shared" si="76"/>
        <v>0</v>
      </c>
      <c r="J367">
        <f t="shared" si="77"/>
        <v>0</v>
      </c>
      <c r="K367" s="4" t="e">
        <f t="shared" si="80"/>
        <v>#N/A</v>
      </c>
      <c r="L367" t="e">
        <f t="shared" si="81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9"/>
        <v>0</v>
      </c>
      <c r="B368">
        <f t="shared" si="70"/>
        <v>0</v>
      </c>
      <c r="C368">
        <f t="shared" si="71"/>
        <v>0</v>
      </c>
      <c r="D368">
        <f t="shared" si="72"/>
        <v>0</v>
      </c>
      <c r="E368" t="e">
        <f>IF(Table1[[#This Row],[Impressions]]&gt;Table1[[#This Row],[Clicks]],"Standard",VLOOKUP(CONCATENATE(bd_adtype,"_",bd_creativetype),tabela,2,FALSE))</f>
        <v>#N/A</v>
      </c>
      <c r="F368">
        <f t="shared" si="73"/>
        <v>0</v>
      </c>
      <c r="G368">
        <f t="shared" si="74"/>
        <v>0</v>
      </c>
      <c r="H368">
        <f t="shared" si="75"/>
        <v>0</v>
      </c>
      <c r="I368">
        <f t="shared" si="76"/>
        <v>0</v>
      </c>
      <c r="J368">
        <f t="shared" si="77"/>
        <v>0</v>
      </c>
      <c r="K368" s="4" t="e">
        <f t="shared" si="80"/>
        <v>#N/A</v>
      </c>
      <c r="L368" t="e">
        <f t="shared" si="81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9"/>
        <v>0</v>
      </c>
      <c r="B369">
        <f t="shared" si="70"/>
        <v>0</v>
      </c>
      <c r="C369">
        <f t="shared" si="71"/>
        <v>0</v>
      </c>
      <c r="D369">
        <f t="shared" si="72"/>
        <v>0</v>
      </c>
      <c r="E369" t="e">
        <f>IF(Table1[[#This Row],[Impressions]]&gt;Table1[[#This Row],[Clicks]],"Standard",VLOOKUP(CONCATENATE(bd_adtype,"_",bd_creativetype),tabela,2,FALSE))</f>
        <v>#N/A</v>
      </c>
      <c r="F369">
        <f t="shared" si="73"/>
        <v>0</v>
      </c>
      <c r="G369">
        <f t="shared" si="74"/>
        <v>0</v>
      </c>
      <c r="H369">
        <f t="shared" si="75"/>
        <v>0</v>
      </c>
      <c r="I369">
        <f t="shared" si="76"/>
        <v>0</v>
      </c>
      <c r="J369">
        <f t="shared" si="77"/>
        <v>0</v>
      </c>
      <c r="K369" s="4" t="e">
        <f t="shared" si="80"/>
        <v>#N/A</v>
      </c>
      <c r="L369" t="e">
        <f t="shared" si="81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9"/>
        <v>0</v>
      </c>
      <c r="B370">
        <f t="shared" si="70"/>
        <v>0</v>
      </c>
      <c r="C370">
        <f t="shared" si="71"/>
        <v>0</v>
      </c>
      <c r="D370">
        <f t="shared" si="72"/>
        <v>0</v>
      </c>
      <c r="E370" t="e">
        <f>IF(Table1[[#This Row],[Impressions]]&gt;Table1[[#This Row],[Clicks]],"Standard",VLOOKUP(CONCATENATE(bd_adtype,"_",bd_creativetype),tabela,2,FALSE))</f>
        <v>#N/A</v>
      </c>
      <c r="F370">
        <f t="shared" si="73"/>
        <v>0</v>
      </c>
      <c r="G370">
        <f t="shared" si="74"/>
        <v>0</v>
      </c>
      <c r="H370">
        <f t="shared" si="75"/>
        <v>0</v>
      </c>
      <c r="I370">
        <f t="shared" si="76"/>
        <v>0</v>
      </c>
      <c r="J370">
        <f t="shared" si="77"/>
        <v>0</v>
      </c>
      <c r="K370" s="4" t="e">
        <f t="shared" si="80"/>
        <v>#N/A</v>
      </c>
      <c r="L370" t="e">
        <f t="shared" si="81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9"/>
        <v>0</v>
      </c>
      <c r="B371">
        <f t="shared" si="70"/>
        <v>0</v>
      </c>
      <c r="C371">
        <f t="shared" si="71"/>
        <v>0</v>
      </c>
      <c r="D371">
        <f t="shared" si="72"/>
        <v>0</v>
      </c>
      <c r="E371" t="e">
        <f>IF(Table1[[#This Row],[Impressions]]&gt;Table1[[#This Row],[Clicks]],"Standard",VLOOKUP(CONCATENATE(bd_adtype,"_",bd_creativetype),tabela,2,FALSE))</f>
        <v>#N/A</v>
      </c>
      <c r="F371">
        <f t="shared" si="73"/>
        <v>0</v>
      </c>
      <c r="G371">
        <f t="shared" si="74"/>
        <v>0</v>
      </c>
      <c r="H371">
        <f t="shared" si="75"/>
        <v>0</v>
      </c>
      <c r="I371">
        <f t="shared" si="76"/>
        <v>0</v>
      </c>
      <c r="J371">
        <f t="shared" si="77"/>
        <v>0</v>
      </c>
      <c r="K371" s="4" t="e">
        <f t="shared" si="80"/>
        <v>#N/A</v>
      </c>
      <c r="L371" t="e">
        <f t="shared" si="81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9"/>
        <v>0</v>
      </c>
      <c r="B372">
        <f t="shared" si="70"/>
        <v>0</v>
      </c>
      <c r="C372">
        <f t="shared" si="71"/>
        <v>0</v>
      </c>
      <c r="D372">
        <f t="shared" si="72"/>
        <v>0</v>
      </c>
      <c r="E372" t="e">
        <f>IF(Table1[[#This Row],[Impressions]]&gt;Table1[[#This Row],[Clicks]],"Standard",VLOOKUP(CONCATENATE(bd_adtype,"_",bd_creativetype),tabela,2,FALSE))</f>
        <v>#N/A</v>
      </c>
      <c r="F372">
        <f t="shared" si="73"/>
        <v>0</v>
      </c>
      <c r="G372">
        <f t="shared" si="74"/>
        <v>0</v>
      </c>
      <c r="H372">
        <f t="shared" si="75"/>
        <v>0</v>
      </c>
      <c r="I372">
        <f t="shared" si="76"/>
        <v>0</v>
      </c>
      <c r="J372">
        <f t="shared" si="77"/>
        <v>0</v>
      </c>
      <c r="K372" s="4" t="e">
        <f t="shared" si="80"/>
        <v>#N/A</v>
      </c>
      <c r="L372" t="e">
        <f t="shared" si="81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9"/>
        <v>0</v>
      </c>
      <c r="B373">
        <f t="shared" si="70"/>
        <v>0</v>
      </c>
      <c r="C373">
        <f t="shared" si="71"/>
        <v>0</v>
      </c>
      <c r="D373">
        <f t="shared" si="72"/>
        <v>0</v>
      </c>
      <c r="E373" t="e">
        <f>IF(Table1[[#This Row],[Impressions]]&gt;Table1[[#This Row],[Clicks]],"Standard",VLOOKUP(CONCATENATE(bd_adtype,"_",bd_creativetype),tabela,2,FALSE))</f>
        <v>#N/A</v>
      </c>
      <c r="F373">
        <f t="shared" si="73"/>
        <v>0</v>
      </c>
      <c r="G373">
        <f t="shared" si="74"/>
        <v>0</v>
      </c>
      <c r="H373">
        <f t="shared" si="75"/>
        <v>0</v>
      </c>
      <c r="I373">
        <f t="shared" si="76"/>
        <v>0</v>
      </c>
      <c r="J373">
        <f t="shared" si="77"/>
        <v>0</v>
      </c>
      <c r="K373" s="4" t="e">
        <f t="shared" si="80"/>
        <v>#N/A</v>
      </c>
      <c r="L373" t="e">
        <f t="shared" si="81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9"/>
        <v>0</v>
      </c>
      <c r="B374">
        <f t="shared" si="70"/>
        <v>0</v>
      </c>
      <c r="C374">
        <f t="shared" si="71"/>
        <v>0</v>
      </c>
      <c r="D374">
        <f t="shared" si="72"/>
        <v>0</v>
      </c>
      <c r="E374" t="e">
        <f>IF(Table1[[#This Row],[Impressions]]&gt;Table1[[#This Row],[Clicks]],"Standard",VLOOKUP(CONCATENATE(bd_adtype,"_",bd_creativetype),tabela,2,FALSE))</f>
        <v>#N/A</v>
      </c>
      <c r="F374">
        <f t="shared" si="73"/>
        <v>0</v>
      </c>
      <c r="G374">
        <f t="shared" si="74"/>
        <v>0</v>
      </c>
      <c r="H374">
        <f t="shared" si="75"/>
        <v>0</v>
      </c>
      <c r="I374">
        <f t="shared" si="76"/>
        <v>0</v>
      </c>
      <c r="J374">
        <f t="shared" si="77"/>
        <v>0</v>
      </c>
      <c r="K374" s="4" t="e">
        <f t="shared" si="80"/>
        <v>#N/A</v>
      </c>
      <c r="L374" t="e">
        <f t="shared" si="81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9"/>
        <v>0</v>
      </c>
      <c r="B375">
        <f t="shared" si="70"/>
        <v>0</v>
      </c>
      <c r="C375">
        <f t="shared" si="71"/>
        <v>0</v>
      </c>
      <c r="D375">
        <f t="shared" si="72"/>
        <v>0</v>
      </c>
      <c r="E375" t="e">
        <f>IF(Table1[[#This Row],[Impressions]]&gt;Table1[[#This Row],[Clicks]],"Standard",VLOOKUP(CONCATENATE(bd_adtype,"_",bd_creativetype),tabela,2,FALSE))</f>
        <v>#N/A</v>
      </c>
      <c r="F375">
        <f t="shared" si="73"/>
        <v>0</v>
      </c>
      <c r="G375">
        <f t="shared" si="74"/>
        <v>0</v>
      </c>
      <c r="H375">
        <f t="shared" si="75"/>
        <v>0</v>
      </c>
      <c r="I375">
        <f t="shared" si="76"/>
        <v>0</v>
      </c>
      <c r="J375">
        <f t="shared" si="77"/>
        <v>0</v>
      </c>
      <c r="K375" s="4" t="e">
        <f t="shared" si="80"/>
        <v>#N/A</v>
      </c>
      <c r="L375" t="e">
        <f t="shared" si="81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9"/>
        <v>0</v>
      </c>
      <c r="B376">
        <f t="shared" si="70"/>
        <v>0</v>
      </c>
      <c r="C376">
        <f t="shared" si="71"/>
        <v>0</v>
      </c>
      <c r="D376">
        <f t="shared" si="72"/>
        <v>0</v>
      </c>
      <c r="E376" t="e">
        <f>IF(Table1[[#This Row],[Impressions]]&gt;Table1[[#This Row],[Clicks]],"Standard",VLOOKUP(CONCATENATE(bd_adtype,"_",bd_creativetype),tabela,2,FALSE))</f>
        <v>#N/A</v>
      </c>
      <c r="F376">
        <f t="shared" si="73"/>
        <v>0</v>
      </c>
      <c r="G376">
        <f t="shared" si="74"/>
        <v>0</v>
      </c>
      <c r="H376">
        <f t="shared" si="75"/>
        <v>0</v>
      </c>
      <c r="I376">
        <f t="shared" si="76"/>
        <v>0</v>
      </c>
      <c r="J376">
        <f t="shared" si="77"/>
        <v>0</v>
      </c>
      <c r="K376" s="4" t="e">
        <f t="shared" si="80"/>
        <v>#N/A</v>
      </c>
      <c r="L376" t="e">
        <f t="shared" si="81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9"/>
        <v>0</v>
      </c>
      <c r="B377">
        <f t="shared" si="70"/>
        <v>0</v>
      </c>
      <c r="C377">
        <f t="shared" si="71"/>
        <v>0</v>
      </c>
      <c r="D377">
        <f t="shared" si="72"/>
        <v>0</v>
      </c>
      <c r="E377" t="e">
        <f>IF(Table1[[#This Row],[Impressions]]&gt;Table1[[#This Row],[Clicks]],"Standard",VLOOKUP(CONCATENATE(bd_adtype,"_",bd_creativetype),tabela,2,FALSE))</f>
        <v>#N/A</v>
      </c>
      <c r="F377">
        <f t="shared" si="73"/>
        <v>0</v>
      </c>
      <c r="G377">
        <f t="shared" si="74"/>
        <v>0</v>
      </c>
      <c r="H377">
        <f t="shared" si="75"/>
        <v>0</v>
      </c>
      <c r="I377">
        <f t="shared" si="76"/>
        <v>0</v>
      </c>
      <c r="J377">
        <f t="shared" si="77"/>
        <v>0</v>
      </c>
      <c r="K377" s="4" t="e">
        <f t="shared" si="80"/>
        <v>#N/A</v>
      </c>
      <c r="L377" t="e">
        <f t="shared" si="81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9"/>
        <v>0</v>
      </c>
      <c r="B378">
        <f t="shared" si="70"/>
        <v>0</v>
      </c>
      <c r="C378">
        <f t="shared" si="71"/>
        <v>0</v>
      </c>
      <c r="D378">
        <f t="shared" si="72"/>
        <v>0</v>
      </c>
      <c r="E378" t="e">
        <f>IF(Table1[[#This Row],[Impressions]]&gt;Table1[[#This Row],[Clicks]],"Standard",VLOOKUP(CONCATENATE(bd_adtype,"_",bd_creativetype),tabela,2,FALSE))</f>
        <v>#N/A</v>
      </c>
      <c r="F378">
        <f t="shared" si="73"/>
        <v>0</v>
      </c>
      <c r="G378">
        <f t="shared" si="74"/>
        <v>0</v>
      </c>
      <c r="H378">
        <f t="shared" si="75"/>
        <v>0</v>
      </c>
      <c r="I378">
        <f t="shared" si="76"/>
        <v>0</v>
      </c>
      <c r="J378">
        <f t="shared" si="77"/>
        <v>0</v>
      </c>
      <c r="K378" s="4" t="e">
        <f t="shared" si="80"/>
        <v>#N/A</v>
      </c>
      <c r="L378" t="e">
        <f t="shared" si="81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9"/>
        <v>0</v>
      </c>
      <c r="B379">
        <f t="shared" si="70"/>
        <v>0</v>
      </c>
      <c r="C379">
        <f t="shared" si="71"/>
        <v>0</v>
      </c>
      <c r="D379">
        <f t="shared" si="72"/>
        <v>0</v>
      </c>
      <c r="E379" t="e">
        <f>IF(Table1[[#This Row],[Impressions]]&gt;Table1[[#This Row],[Clicks]],"Standard",VLOOKUP(CONCATENATE(bd_adtype,"_",bd_creativetype),tabela,2,FALSE))</f>
        <v>#N/A</v>
      </c>
      <c r="F379">
        <f t="shared" si="73"/>
        <v>0</v>
      </c>
      <c r="G379">
        <f t="shared" si="74"/>
        <v>0</v>
      </c>
      <c r="H379">
        <f t="shared" si="75"/>
        <v>0</v>
      </c>
      <c r="I379">
        <f t="shared" si="76"/>
        <v>0</v>
      </c>
      <c r="J379">
        <f t="shared" si="77"/>
        <v>0</v>
      </c>
      <c r="K379" s="4" t="e">
        <f t="shared" si="80"/>
        <v>#N/A</v>
      </c>
      <c r="L379" t="e">
        <f t="shared" si="81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9"/>
        <v>0</v>
      </c>
      <c r="B380">
        <f t="shared" si="70"/>
        <v>0</v>
      </c>
      <c r="C380">
        <f t="shared" si="71"/>
        <v>0</v>
      </c>
      <c r="D380">
        <f t="shared" si="72"/>
        <v>0</v>
      </c>
      <c r="E380" t="e">
        <f>IF(Table1[[#This Row],[Impressions]]&gt;Table1[[#This Row],[Clicks]],"Standard",VLOOKUP(CONCATENATE(bd_adtype,"_",bd_creativetype),tabela,2,FALSE))</f>
        <v>#N/A</v>
      </c>
      <c r="F380">
        <f t="shared" si="73"/>
        <v>0</v>
      </c>
      <c r="G380">
        <f t="shared" si="74"/>
        <v>0</v>
      </c>
      <c r="H380">
        <f t="shared" si="75"/>
        <v>0</v>
      </c>
      <c r="I380">
        <f t="shared" si="76"/>
        <v>0</v>
      </c>
      <c r="J380">
        <f t="shared" si="77"/>
        <v>0</v>
      </c>
      <c r="K380" s="4" t="e">
        <f t="shared" si="80"/>
        <v>#N/A</v>
      </c>
      <c r="L380" t="e">
        <f t="shared" si="81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9"/>
        <v>0</v>
      </c>
      <c r="B381">
        <f t="shared" si="70"/>
        <v>0</v>
      </c>
      <c r="C381">
        <f t="shared" si="71"/>
        <v>0</v>
      </c>
      <c r="D381">
        <f t="shared" si="72"/>
        <v>0</v>
      </c>
      <c r="E381" t="e">
        <f>IF(Table1[[#This Row],[Impressions]]&gt;Table1[[#This Row],[Clicks]],"Standard",VLOOKUP(CONCATENATE(bd_adtype,"_",bd_creativetype),tabela,2,FALSE))</f>
        <v>#N/A</v>
      </c>
      <c r="F381">
        <f t="shared" si="73"/>
        <v>0</v>
      </c>
      <c r="G381">
        <f t="shared" si="74"/>
        <v>0</v>
      </c>
      <c r="H381">
        <f t="shared" si="75"/>
        <v>0</v>
      </c>
      <c r="I381">
        <f t="shared" si="76"/>
        <v>0</v>
      </c>
      <c r="J381">
        <f t="shared" si="77"/>
        <v>0</v>
      </c>
      <c r="K381" s="4" t="e">
        <f t="shared" si="80"/>
        <v>#N/A</v>
      </c>
      <c r="L381" t="e">
        <f t="shared" si="81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9"/>
        <v>0</v>
      </c>
      <c r="B382">
        <f t="shared" si="70"/>
        <v>0</v>
      </c>
      <c r="C382">
        <f t="shared" si="71"/>
        <v>0</v>
      </c>
      <c r="D382">
        <f t="shared" si="72"/>
        <v>0</v>
      </c>
      <c r="E382" t="e">
        <f>IF(Table1[[#This Row],[Impressions]]&gt;Table1[[#This Row],[Clicks]],"Standard",VLOOKUP(CONCATENATE(bd_adtype,"_",bd_creativetype),tabela,2,FALSE))</f>
        <v>#N/A</v>
      </c>
      <c r="F382">
        <f t="shared" si="73"/>
        <v>0</v>
      </c>
      <c r="G382">
        <f t="shared" si="74"/>
        <v>0</v>
      </c>
      <c r="H382">
        <f t="shared" si="75"/>
        <v>0</v>
      </c>
      <c r="I382">
        <f t="shared" si="76"/>
        <v>0</v>
      </c>
      <c r="J382">
        <f t="shared" si="77"/>
        <v>0</v>
      </c>
      <c r="K382" s="4" t="e">
        <f t="shared" si="80"/>
        <v>#N/A</v>
      </c>
      <c r="L382" t="e">
        <f t="shared" si="81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9"/>
        <v>0</v>
      </c>
      <c r="B383">
        <f t="shared" si="70"/>
        <v>0</v>
      </c>
      <c r="C383">
        <f t="shared" si="71"/>
        <v>0</v>
      </c>
      <c r="D383">
        <f t="shared" si="72"/>
        <v>0</v>
      </c>
      <c r="E383" t="e">
        <f>IF(Table1[[#This Row],[Impressions]]&gt;Table1[[#This Row],[Clicks]],"Standard",VLOOKUP(CONCATENATE(bd_adtype,"_",bd_creativetype),tabela,2,FALSE))</f>
        <v>#N/A</v>
      </c>
      <c r="F383">
        <f t="shared" si="73"/>
        <v>0</v>
      </c>
      <c r="G383">
        <f t="shared" si="74"/>
        <v>0</v>
      </c>
      <c r="H383">
        <f t="shared" si="75"/>
        <v>0</v>
      </c>
      <c r="I383">
        <f t="shared" si="76"/>
        <v>0</v>
      </c>
      <c r="J383">
        <f t="shared" si="77"/>
        <v>0</v>
      </c>
      <c r="K383" s="4" t="e">
        <f t="shared" si="80"/>
        <v>#N/A</v>
      </c>
      <c r="L383" t="e">
        <f t="shared" si="81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9"/>
        <v>0</v>
      </c>
      <c r="B384">
        <f t="shared" si="70"/>
        <v>0</v>
      </c>
      <c r="C384">
        <f t="shared" si="71"/>
        <v>0</v>
      </c>
      <c r="D384">
        <f t="shared" si="72"/>
        <v>0</v>
      </c>
      <c r="E384" t="e">
        <f>IF(Table1[[#This Row],[Impressions]]&gt;Table1[[#This Row],[Clicks]],"Standard",VLOOKUP(CONCATENATE(bd_adtype,"_",bd_creativetype),tabela,2,FALSE))</f>
        <v>#N/A</v>
      </c>
      <c r="F384">
        <f t="shared" si="73"/>
        <v>0</v>
      </c>
      <c r="G384">
        <f t="shared" si="74"/>
        <v>0</v>
      </c>
      <c r="H384">
        <f t="shared" si="75"/>
        <v>0</v>
      </c>
      <c r="I384">
        <f t="shared" si="76"/>
        <v>0</v>
      </c>
      <c r="J384">
        <f t="shared" si="77"/>
        <v>0</v>
      </c>
      <c r="K384" s="4" t="e">
        <f t="shared" si="80"/>
        <v>#N/A</v>
      </c>
      <c r="L384" t="e">
        <f t="shared" si="81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9"/>
        <v>0</v>
      </c>
      <c r="B385">
        <f t="shared" si="70"/>
        <v>0</v>
      </c>
      <c r="C385">
        <f t="shared" si="71"/>
        <v>0</v>
      </c>
      <c r="D385">
        <f t="shared" si="72"/>
        <v>0</v>
      </c>
      <c r="E385" t="e">
        <f>IF(Table1[[#This Row],[Impressions]]&gt;Table1[[#This Row],[Clicks]],"Standard",VLOOKUP(CONCATENATE(bd_adtype,"_",bd_creativetype),tabela,2,FALSE))</f>
        <v>#N/A</v>
      </c>
      <c r="F385">
        <f t="shared" si="73"/>
        <v>0</v>
      </c>
      <c r="G385">
        <f t="shared" si="74"/>
        <v>0</v>
      </c>
      <c r="H385">
        <f t="shared" si="75"/>
        <v>0</v>
      </c>
      <c r="I385">
        <f t="shared" si="76"/>
        <v>0</v>
      </c>
      <c r="J385">
        <f t="shared" si="77"/>
        <v>0</v>
      </c>
      <c r="K385" s="4" t="e">
        <f t="shared" si="80"/>
        <v>#N/A</v>
      </c>
      <c r="L385" t="e">
        <f t="shared" si="81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2">bd_campaign</f>
        <v>0</v>
      </c>
      <c r="B386">
        <f t="shared" ref="B386:B449" si="83">bd_site</f>
        <v>0</v>
      </c>
      <c r="C386">
        <f t="shared" ref="C386:C449" si="84">bd_placement</f>
        <v>0</v>
      </c>
      <c r="D386">
        <f t="shared" ref="D386:D449" si="85">bd_placementID</f>
        <v>0</v>
      </c>
      <c r="E386" t="e">
        <f>IF(Table1[[#This Row],[Impressions]]&gt;Table1[[#This Row],[Clicks]],"Standard",VLOOKUP(CONCATENATE(bd_adtype,"_",bd_creativetype),tabela,2,FALSE))</f>
        <v>#N/A</v>
      </c>
      <c r="F386">
        <f t="shared" ref="F386:F449" si="86">bd_ad</f>
        <v>0</v>
      </c>
      <c r="G386">
        <f t="shared" ref="G386:G449" si="87">bd_adid</f>
        <v>0</v>
      </c>
      <c r="H386">
        <f t="shared" ref="H386:H449" si="88">bd_creativetype</f>
        <v>0</v>
      </c>
      <c r="I386">
        <f t="shared" ref="I386:I449" si="89">bd_impression</f>
        <v>0</v>
      </c>
      <c r="J386">
        <f t="shared" ref="J386:J449" si="90">bd_clicks</f>
        <v>0</v>
      </c>
      <c r="K386" s="4" t="e">
        <f t="shared" si="80"/>
        <v>#N/A</v>
      </c>
      <c r="L386" t="e">
        <f t="shared" si="81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2"/>
        <v>0</v>
      </c>
      <c r="B387">
        <f t="shared" si="83"/>
        <v>0</v>
      </c>
      <c r="C387">
        <f t="shared" si="84"/>
        <v>0</v>
      </c>
      <c r="D387">
        <f t="shared" si="85"/>
        <v>0</v>
      </c>
      <c r="E387" t="e">
        <f>IF(Table1[[#This Row],[Impressions]]&gt;Table1[[#This Row],[Clicks]],"Standard",VLOOKUP(CONCATENATE(bd_adtype,"_",bd_creativetype),tabela,2,FALSE))</f>
        <v>#N/A</v>
      </c>
      <c r="F387">
        <f t="shared" si="86"/>
        <v>0</v>
      </c>
      <c r="G387">
        <f t="shared" si="87"/>
        <v>0</v>
      </c>
      <c r="H387">
        <f t="shared" si="88"/>
        <v>0</v>
      </c>
      <c r="I387">
        <f t="shared" si="89"/>
        <v>0</v>
      </c>
      <c r="J387">
        <f t="shared" si="90"/>
        <v>0</v>
      </c>
      <c r="K387" s="4" t="e">
        <f t="shared" si="80"/>
        <v>#N/A</v>
      </c>
      <c r="L387" t="e">
        <f t="shared" si="81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2"/>
        <v>0</v>
      </c>
      <c r="B388">
        <f t="shared" si="83"/>
        <v>0</v>
      </c>
      <c r="C388">
        <f t="shared" si="84"/>
        <v>0</v>
      </c>
      <c r="D388">
        <f t="shared" si="85"/>
        <v>0</v>
      </c>
      <c r="E388" t="e">
        <f>IF(Table1[[#This Row],[Impressions]]&gt;Table1[[#This Row],[Clicks]],"Standard",VLOOKUP(CONCATENATE(bd_adtype,"_",bd_creativetype),tabela,2,FALSE))</f>
        <v>#N/A</v>
      </c>
      <c r="F388">
        <f t="shared" si="86"/>
        <v>0</v>
      </c>
      <c r="G388">
        <f t="shared" si="87"/>
        <v>0</v>
      </c>
      <c r="H388">
        <f t="shared" si="88"/>
        <v>0</v>
      </c>
      <c r="I388">
        <f t="shared" si="89"/>
        <v>0</v>
      </c>
      <c r="J388">
        <f t="shared" si="90"/>
        <v>0</v>
      </c>
      <c r="K388" s="4" t="e">
        <f t="shared" si="80"/>
        <v>#N/A</v>
      </c>
      <c r="L388" t="e">
        <f t="shared" si="81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2"/>
        <v>0</v>
      </c>
      <c r="B389">
        <f t="shared" si="83"/>
        <v>0</v>
      </c>
      <c r="C389">
        <f t="shared" si="84"/>
        <v>0</v>
      </c>
      <c r="D389">
        <f t="shared" si="85"/>
        <v>0</v>
      </c>
      <c r="E389" t="e">
        <f>IF(Table1[[#This Row],[Impressions]]&gt;Table1[[#This Row],[Clicks]],"Standard",VLOOKUP(CONCATENATE(bd_adtype,"_",bd_creativetype),tabela,2,FALSE))</f>
        <v>#N/A</v>
      </c>
      <c r="F389">
        <f t="shared" si="86"/>
        <v>0</v>
      </c>
      <c r="G389">
        <f t="shared" si="87"/>
        <v>0</v>
      </c>
      <c r="H389">
        <f t="shared" si="88"/>
        <v>0</v>
      </c>
      <c r="I389">
        <f t="shared" si="89"/>
        <v>0</v>
      </c>
      <c r="J389">
        <f t="shared" si="90"/>
        <v>0</v>
      </c>
      <c r="K389" s="4" t="e">
        <f t="shared" si="80"/>
        <v>#N/A</v>
      </c>
      <c r="L389" t="e">
        <f t="shared" si="81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2"/>
        <v>0</v>
      </c>
      <c r="B390">
        <f t="shared" si="83"/>
        <v>0</v>
      </c>
      <c r="C390">
        <f t="shared" si="84"/>
        <v>0</v>
      </c>
      <c r="D390">
        <f t="shared" si="85"/>
        <v>0</v>
      </c>
      <c r="E390" t="e">
        <f>IF(Table1[[#This Row],[Impressions]]&gt;Table1[[#This Row],[Clicks]],"Standard",VLOOKUP(CONCATENATE(bd_adtype,"_",bd_creativetype),tabela,2,FALSE))</f>
        <v>#N/A</v>
      </c>
      <c r="F390">
        <f t="shared" si="86"/>
        <v>0</v>
      </c>
      <c r="G390">
        <f t="shared" si="87"/>
        <v>0</v>
      </c>
      <c r="H390">
        <f t="shared" si="88"/>
        <v>0</v>
      </c>
      <c r="I390">
        <f t="shared" si="89"/>
        <v>0</v>
      </c>
      <c r="J390">
        <f t="shared" si="90"/>
        <v>0</v>
      </c>
      <c r="K390" s="4" t="e">
        <f t="shared" si="80"/>
        <v>#N/A</v>
      </c>
      <c r="L390" t="e">
        <f t="shared" si="81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2"/>
        <v>0</v>
      </c>
      <c r="B391">
        <f t="shared" si="83"/>
        <v>0</v>
      </c>
      <c r="C391">
        <f t="shared" si="84"/>
        <v>0</v>
      </c>
      <c r="D391">
        <f t="shared" si="85"/>
        <v>0</v>
      </c>
      <c r="E391" t="e">
        <f>IF(Table1[[#This Row],[Impressions]]&gt;Table1[[#This Row],[Clicks]],"Standard",VLOOKUP(CONCATENATE(bd_adtype,"_",bd_creativetype),tabela,2,FALSE))</f>
        <v>#N/A</v>
      </c>
      <c r="F391">
        <f t="shared" si="86"/>
        <v>0</v>
      </c>
      <c r="G391">
        <f t="shared" si="87"/>
        <v>0</v>
      </c>
      <c r="H391">
        <f t="shared" si="88"/>
        <v>0</v>
      </c>
      <c r="I391">
        <f t="shared" si="89"/>
        <v>0</v>
      </c>
      <c r="J391">
        <f t="shared" si="90"/>
        <v>0</v>
      </c>
      <c r="K391" s="4" t="e">
        <f t="shared" si="80"/>
        <v>#N/A</v>
      </c>
      <c r="L391" t="e">
        <f t="shared" si="81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2"/>
        <v>0</v>
      </c>
      <c r="B392">
        <f t="shared" si="83"/>
        <v>0</v>
      </c>
      <c r="C392">
        <f t="shared" si="84"/>
        <v>0</v>
      </c>
      <c r="D392">
        <f t="shared" si="85"/>
        <v>0</v>
      </c>
      <c r="E392" t="e">
        <f>IF(Table1[[#This Row],[Impressions]]&gt;Table1[[#This Row],[Clicks]],"Standard",VLOOKUP(CONCATENATE(bd_adtype,"_",bd_creativetype),tabela,2,FALSE))</f>
        <v>#N/A</v>
      </c>
      <c r="F392">
        <f t="shared" si="86"/>
        <v>0</v>
      </c>
      <c r="G392">
        <f t="shared" si="87"/>
        <v>0</v>
      </c>
      <c r="H392">
        <f t="shared" si="88"/>
        <v>0</v>
      </c>
      <c r="I392">
        <f t="shared" si="89"/>
        <v>0</v>
      </c>
      <c r="J392">
        <f t="shared" si="90"/>
        <v>0</v>
      </c>
      <c r="K392" s="4" t="e">
        <f t="shared" si="80"/>
        <v>#N/A</v>
      </c>
      <c r="L392" t="e">
        <f t="shared" si="81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2"/>
        <v>0</v>
      </c>
      <c r="B393">
        <f t="shared" si="83"/>
        <v>0</v>
      </c>
      <c r="C393">
        <f t="shared" si="84"/>
        <v>0</v>
      </c>
      <c r="D393">
        <f t="shared" si="85"/>
        <v>0</v>
      </c>
      <c r="E393" t="e">
        <f>IF(Table1[[#This Row],[Impressions]]&gt;Table1[[#This Row],[Clicks]],"Standard",VLOOKUP(CONCATENATE(bd_adtype,"_",bd_creativetype),tabela,2,FALSE))</f>
        <v>#N/A</v>
      </c>
      <c r="F393">
        <f t="shared" si="86"/>
        <v>0</v>
      </c>
      <c r="G393">
        <f t="shared" si="87"/>
        <v>0</v>
      </c>
      <c r="H393">
        <f t="shared" si="88"/>
        <v>0</v>
      </c>
      <c r="I393">
        <f t="shared" si="89"/>
        <v>0</v>
      </c>
      <c r="J393">
        <f t="shared" si="90"/>
        <v>0</v>
      </c>
      <c r="K393" s="4" t="e">
        <f t="shared" si="80"/>
        <v>#N/A</v>
      </c>
      <c r="L393" t="e">
        <f t="shared" si="81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2"/>
        <v>0</v>
      </c>
      <c r="B394">
        <f t="shared" si="83"/>
        <v>0</v>
      </c>
      <c r="C394">
        <f t="shared" si="84"/>
        <v>0</v>
      </c>
      <c r="D394">
        <f t="shared" si="85"/>
        <v>0</v>
      </c>
      <c r="E394" t="e">
        <f>IF(Table1[[#This Row],[Impressions]]&gt;Table1[[#This Row],[Clicks]],"Standard",VLOOKUP(CONCATENATE(bd_adtype,"_",bd_creativetype),tabela,2,FALSE))</f>
        <v>#N/A</v>
      </c>
      <c r="F394">
        <f t="shared" si="86"/>
        <v>0</v>
      </c>
      <c r="G394">
        <f t="shared" si="87"/>
        <v>0</v>
      </c>
      <c r="H394">
        <f t="shared" si="88"/>
        <v>0</v>
      </c>
      <c r="I394">
        <f t="shared" si="89"/>
        <v>0</v>
      </c>
      <c r="J394">
        <f t="shared" si="90"/>
        <v>0</v>
      </c>
      <c r="K394" s="4" t="e">
        <f t="shared" si="80"/>
        <v>#N/A</v>
      </c>
      <c r="L394" t="e">
        <f t="shared" si="81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2"/>
        <v>0</v>
      </c>
      <c r="B395">
        <f t="shared" si="83"/>
        <v>0</v>
      </c>
      <c r="C395">
        <f t="shared" si="84"/>
        <v>0</v>
      </c>
      <c r="D395">
        <f t="shared" si="85"/>
        <v>0</v>
      </c>
      <c r="E395" t="e">
        <f>IF(Table1[[#This Row],[Impressions]]&gt;Table1[[#This Row],[Clicks]],"Standard",VLOOKUP(CONCATENATE(bd_adtype,"_",bd_creativetype),tabela,2,FALSE))</f>
        <v>#N/A</v>
      </c>
      <c r="F395">
        <f t="shared" si="86"/>
        <v>0</v>
      </c>
      <c r="G395">
        <f t="shared" si="87"/>
        <v>0</v>
      </c>
      <c r="H395">
        <f t="shared" si="88"/>
        <v>0</v>
      </c>
      <c r="I395">
        <f t="shared" si="89"/>
        <v>0</v>
      </c>
      <c r="J395">
        <f t="shared" si="90"/>
        <v>0</v>
      </c>
      <c r="K395" s="4" t="e">
        <f t="shared" si="80"/>
        <v>#N/A</v>
      </c>
      <c r="L395" t="e">
        <f t="shared" si="81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2"/>
        <v>0</v>
      </c>
      <c r="B396">
        <f t="shared" si="83"/>
        <v>0</v>
      </c>
      <c r="C396">
        <f t="shared" si="84"/>
        <v>0</v>
      </c>
      <c r="D396">
        <f t="shared" si="85"/>
        <v>0</v>
      </c>
      <c r="E396" t="e">
        <f>IF(Table1[[#This Row],[Impressions]]&gt;Table1[[#This Row],[Clicks]],"Standard",VLOOKUP(CONCATENATE(bd_adtype,"_",bd_creativetype),tabela,2,FALSE))</f>
        <v>#N/A</v>
      </c>
      <c r="F396">
        <f t="shared" si="86"/>
        <v>0</v>
      </c>
      <c r="G396">
        <f t="shared" si="87"/>
        <v>0</v>
      </c>
      <c r="H396">
        <f t="shared" si="88"/>
        <v>0</v>
      </c>
      <c r="I396">
        <f t="shared" si="89"/>
        <v>0</v>
      </c>
      <c r="J396">
        <f t="shared" si="90"/>
        <v>0</v>
      </c>
      <c r="K396" s="4" t="e">
        <f t="shared" si="80"/>
        <v>#N/A</v>
      </c>
      <c r="L396" t="e">
        <f t="shared" si="81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2"/>
        <v>0</v>
      </c>
      <c r="B397">
        <f t="shared" si="83"/>
        <v>0</v>
      </c>
      <c r="C397">
        <f t="shared" si="84"/>
        <v>0</v>
      </c>
      <c r="D397">
        <f t="shared" si="85"/>
        <v>0</v>
      </c>
      <c r="E397" t="e">
        <f>IF(Table1[[#This Row],[Impressions]]&gt;Table1[[#This Row],[Clicks]],"Standard",VLOOKUP(CONCATENATE(bd_adtype,"_",bd_creativetype),tabela,2,FALSE))</f>
        <v>#N/A</v>
      </c>
      <c r="F397">
        <f t="shared" si="86"/>
        <v>0</v>
      </c>
      <c r="G397">
        <f t="shared" si="87"/>
        <v>0</v>
      </c>
      <c r="H397">
        <f t="shared" si="88"/>
        <v>0</v>
      </c>
      <c r="I397">
        <f t="shared" si="89"/>
        <v>0</v>
      </c>
      <c r="J397">
        <f t="shared" si="90"/>
        <v>0</v>
      </c>
      <c r="K397" s="4" t="e">
        <f t="shared" si="80"/>
        <v>#N/A</v>
      </c>
      <c r="L397" t="e">
        <f t="shared" si="81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2"/>
        <v>0</v>
      </c>
      <c r="B398">
        <f t="shared" si="83"/>
        <v>0</v>
      </c>
      <c r="C398">
        <f t="shared" si="84"/>
        <v>0</v>
      </c>
      <c r="D398">
        <f t="shared" si="85"/>
        <v>0</v>
      </c>
      <c r="E398" t="e">
        <f>IF(Table1[[#This Row],[Impressions]]&gt;Table1[[#This Row],[Clicks]],"Standard",VLOOKUP(CONCATENATE(bd_adtype,"_",bd_creativetype),tabela,2,FALSE))</f>
        <v>#N/A</v>
      </c>
      <c r="F398">
        <f t="shared" si="86"/>
        <v>0</v>
      </c>
      <c r="G398">
        <f t="shared" si="87"/>
        <v>0</v>
      </c>
      <c r="H398">
        <f t="shared" si="88"/>
        <v>0</v>
      </c>
      <c r="I398">
        <f t="shared" si="89"/>
        <v>0</v>
      </c>
      <c r="J398">
        <f t="shared" si="90"/>
        <v>0</v>
      </c>
      <c r="K398" s="4" t="e">
        <f t="shared" si="80"/>
        <v>#N/A</v>
      </c>
      <c r="L398" t="e">
        <f t="shared" si="81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2"/>
        <v>0</v>
      </c>
      <c r="B399">
        <f t="shared" si="83"/>
        <v>0</v>
      </c>
      <c r="C399">
        <f t="shared" si="84"/>
        <v>0</v>
      </c>
      <c r="D399">
        <f t="shared" si="85"/>
        <v>0</v>
      </c>
      <c r="E399" t="e">
        <f>IF(Table1[[#This Row],[Impressions]]&gt;Table1[[#This Row],[Clicks]],"Standard",VLOOKUP(CONCATENATE(bd_adtype,"_",bd_creativetype),tabela,2,FALSE))</f>
        <v>#N/A</v>
      </c>
      <c r="F399">
        <f t="shared" si="86"/>
        <v>0</v>
      </c>
      <c r="G399">
        <f t="shared" si="87"/>
        <v>0</v>
      </c>
      <c r="H399">
        <f t="shared" si="88"/>
        <v>0</v>
      </c>
      <c r="I399">
        <f t="shared" si="89"/>
        <v>0</v>
      </c>
      <c r="J399">
        <f t="shared" si="90"/>
        <v>0</v>
      </c>
      <c r="K399" s="4" t="e">
        <f t="shared" si="80"/>
        <v>#N/A</v>
      </c>
      <c r="L399" t="e">
        <f t="shared" si="81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2"/>
        <v>0</v>
      </c>
      <c r="B400">
        <f t="shared" si="83"/>
        <v>0</v>
      </c>
      <c r="C400">
        <f t="shared" si="84"/>
        <v>0</v>
      </c>
      <c r="D400">
        <f t="shared" si="85"/>
        <v>0</v>
      </c>
      <c r="E400" t="e">
        <f>IF(Table1[[#This Row],[Impressions]]&gt;Table1[[#This Row],[Clicks]],"Standard",VLOOKUP(CONCATENATE(bd_adtype,"_",bd_creativetype),tabela,2,FALSE))</f>
        <v>#N/A</v>
      </c>
      <c r="F400">
        <f t="shared" si="86"/>
        <v>0</v>
      </c>
      <c r="G400">
        <f t="shared" si="87"/>
        <v>0</v>
      </c>
      <c r="H400">
        <f t="shared" si="88"/>
        <v>0</v>
      </c>
      <c r="I400">
        <f t="shared" si="89"/>
        <v>0</v>
      </c>
      <c r="J400">
        <f t="shared" si="90"/>
        <v>0</v>
      </c>
      <c r="K400" s="4" t="e">
        <f t="shared" si="80"/>
        <v>#N/A</v>
      </c>
      <c r="L400" t="e">
        <f t="shared" si="81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2"/>
        <v>0</v>
      </c>
      <c r="B401">
        <f t="shared" si="83"/>
        <v>0</v>
      </c>
      <c r="C401">
        <f t="shared" si="84"/>
        <v>0</v>
      </c>
      <c r="D401">
        <f t="shared" si="85"/>
        <v>0</v>
      </c>
      <c r="E401" t="e">
        <f>IF(Table1[[#This Row],[Impressions]]&gt;Table1[[#This Row],[Clicks]],"Standard",VLOOKUP(CONCATENATE(bd_adtype,"_",bd_creativetype),tabela,2,FALSE))</f>
        <v>#N/A</v>
      </c>
      <c r="F401">
        <f t="shared" si="86"/>
        <v>0</v>
      </c>
      <c r="G401">
        <f t="shared" si="87"/>
        <v>0</v>
      </c>
      <c r="H401">
        <f t="shared" si="88"/>
        <v>0</v>
      </c>
      <c r="I401">
        <f t="shared" si="89"/>
        <v>0</v>
      </c>
      <c r="J401">
        <f t="shared" si="90"/>
        <v>0</v>
      </c>
      <c r="K401" s="4" t="e">
        <f t="shared" si="80"/>
        <v>#N/A</v>
      </c>
      <c r="L401" t="e">
        <f t="shared" si="81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2"/>
        <v>0</v>
      </c>
      <c r="B402">
        <f t="shared" si="83"/>
        <v>0</v>
      </c>
      <c r="C402">
        <f t="shared" si="84"/>
        <v>0</v>
      </c>
      <c r="D402">
        <f t="shared" si="85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6"/>
        <v>0</v>
      </c>
      <c r="G402">
        <f t="shared" si="87"/>
        <v>0</v>
      </c>
      <c r="H402">
        <f t="shared" si="88"/>
        <v>0</v>
      </c>
      <c r="I402">
        <f t="shared" si="89"/>
        <v>0</v>
      </c>
      <c r="J402">
        <f t="shared" si="90"/>
        <v>0</v>
      </c>
      <c r="K402" s="4" t="e">
        <f t="shared" si="80"/>
        <v>#N/A</v>
      </c>
      <c r="L402" t="e">
        <f t="shared" si="81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2"/>
        <v>0</v>
      </c>
      <c r="B403">
        <f t="shared" si="83"/>
        <v>0</v>
      </c>
      <c r="C403">
        <f t="shared" si="84"/>
        <v>0</v>
      </c>
      <c r="D403">
        <f t="shared" si="85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6"/>
        <v>0</v>
      </c>
      <c r="G403">
        <f t="shared" si="87"/>
        <v>0</v>
      </c>
      <c r="H403">
        <f t="shared" si="88"/>
        <v>0</v>
      </c>
      <c r="I403">
        <f t="shared" si="89"/>
        <v>0</v>
      </c>
      <c r="J403">
        <f t="shared" si="90"/>
        <v>0</v>
      </c>
      <c r="K403" s="4" t="e">
        <f t="shared" si="80"/>
        <v>#N/A</v>
      </c>
      <c r="L403" t="e">
        <f t="shared" si="81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2"/>
        <v>0</v>
      </c>
      <c r="B404">
        <f t="shared" si="83"/>
        <v>0</v>
      </c>
      <c r="C404">
        <f t="shared" si="84"/>
        <v>0</v>
      </c>
      <c r="D404">
        <f t="shared" si="85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6"/>
        <v>0</v>
      </c>
      <c r="G404">
        <f t="shared" si="87"/>
        <v>0</v>
      </c>
      <c r="H404">
        <f t="shared" si="88"/>
        <v>0</v>
      </c>
      <c r="I404">
        <f t="shared" si="89"/>
        <v>0</v>
      </c>
      <c r="J404">
        <f t="shared" si="90"/>
        <v>0</v>
      </c>
      <c r="K404" s="4" t="e">
        <f t="shared" si="80"/>
        <v>#N/A</v>
      </c>
      <c r="L404" t="e">
        <f t="shared" si="81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2"/>
        <v>0</v>
      </c>
      <c r="B405">
        <f t="shared" si="83"/>
        <v>0</v>
      </c>
      <c r="C405">
        <f t="shared" si="84"/>
        <v>0</v>
      </c>
      <c r="D405">
        <f t="shared" si="85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6"/>
        <v>0</v>
      </c>
      <c r="G405">
        <f t="shared" si="87"/>
        <v>0</v>
      </c>
      <c r="H405">
        <f t="shared" si="88"/>
        <v>0</v>
      </c>
      <c r="I405">
        <f t="shared" si="89"/>
        <v>0</v>
      </c>
      <c r="J405">
        <f t="shared" si="90"/>
        <v>0</v>
      </c>
      <c r="K405" s="4" t="e">
        <f t="shared" si="80"/>
        <v>#N/A</v>
      </c>
      <c r="L405" t="e">
        <f t="shared" si="81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2"/>
        <v>0</v>
      </c>
      <c r="B406">
        <f t="shared" si="83"/>
        <v>0</v>
      </c>
      <c r="C406">
        <f t="shared" si="84"/>
        <v>0</v>
      </c>
      <c r="D406">
        <f t="shared" si="85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6"/>
        <v>0</v>
      </c>
      <c r="G406">
        <f t="shared" si="87"/>
        <v>0</v>
      </c>
      <c r="H406">
        <f t="shared" si="88"/>
        <v>0</v>
      </c>
      <c r="I406">
        <f t="shared" si="89"/>
        <v>0</v>
      </c>
      <c r="J406">
        <f t="shared" si="90"/>
        <v>0</v>
      </c>
      <c r="K406" s="4" t="e">
        <f t="shared" si="80"/>
        <v>#N/A</v>
      </c>
      <c r="L406" t="e">
        <f t="shared" si="81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2"/>
        <v>0</v>
      </c>
      <c r="B407">
        <f t="shared" si="83"/>
        <v>0</v>
      </c>
      <c r="C407">
        <f t="shared" si="84"/>
        <v>0</v>
      </c>
      <c r="D407">
        <f t="shared" si="85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6"/>
        <v>0</v>
      </c>
      <c r="G407">
        <f t="shared" si="87"/>
        <v>0</v>
      </c>
      <c r="H407">
        <f t="shared" si="88"/>
        <v>0</v>
      </c>
      <c r="I407">
        <f t="shared" si="89"/>
        <v>0</v>
      </c>
      <c r="J407">
        <f t="shared" si="90"/>
        <v>0</v>
      </c>
      <c r="K407" s="4" t="e">
        <f t="shared" si="80"/>
        <v>#N/A</v>
      </c>
      <c r="L407" t="e">
        <f t="shared" si="81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2"/>
        <v>0</v>
      </c>
      <c r="B408">
        <f t="shared" si="83"/>
        <v>0</v>
      </c>
      <c r="C408">
        <f t="shared" si="84"/>
        <v>0</v>
      </c>
      <c r="D408">
        <f t="shared" si="85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6"/>
        <v>0</v>
      </c>
      <c r="G408">
        <f t="shared" si="87"/>
        <v>0</v>
      </c>
      <c r="H408">
        <f t="shared" si="88"/>
        <v>0</v>
      </c>
      <c r="I408">
        <f t="shared" si="89"/>
        <v>0</v>
      </c>
      <c r="J408">
        <f t="shared" si="90"/>
        <v>0</v>
      </c>
      <c r="K408" s="4" t="e">
        <f t="shared" si="80"/>
        <v>#N/A</v>
      </c>
      <c r="L408" t="e">
        <f t="shared" si="81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2"/>
        <v>0</v>
      </c>
      <c r="B409">
        <f t="shared" si="83"/>
        <v>0</v>
      </c>
      <c r="C409">
        <f t="shared" si="84"/>
        <v>0</v>
      </c>
      <c r="D409">
        <f t="shared" si="85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6"/>
        <v>0</v>
      </c>
      <c r="G409">
        <f t="shared" si="87"/>
        <v>0</v>
      </c>
      <c r="H409">
        <f t="shared" si="88"/>
        <v>0</v>
      </c>
      <c r="I409">
        <f t="shared" si="89"/>
        <v>0</v>
      </c>
      <c r="J409">
        <f t="shared" si="90"/>
        <v>0</v>
      </c>
      <c r="K409" s="4" t="e">
        <f t="shared" si="80"/>
        <v>#N/A</v>
      </c>
      <c r="L409" t="e">
        <f t="shared" si="81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2"/>
        <v>0</v>
      </c>
      <c r="B410">
        <f t="shared" si="83"/>
        <v>0</v>
      </c>
      <c r="C410">
        <f t="shared" si="84"/>
        <v>0</v>
      </c>
      <c r="D410">
        <f t="shared" si="85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6"/>
        <v>0</v>
      </c>
      <c r="G410">
        <f t="shared" si="87"/>
        <v>0</v>
      </c>
      <c r="H410">
        <f t="shared" si="88"/>
        <v>0</v>
      </c>
      <c r="I410">
        <f t="shared" si="89"/>
        <v>0</v>
      </c>
      <c r="J410">
        <f t="shared" si="90"/>
        <v>0</v>
      </c>
      <c r="K410" s="4" t="e">
        <f t="shared" si="80"/>
        <v>#N/A</v>
      </c>
      <c r="L410" t="e">
        <f t="shared" si="81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2"/>
        <v>0</v>
      </c>
      <c r="B411">
        <f t="shared" si="83"/>
        <v>0</v>
      </c>
      <c r="C411">
        <f t="shared" si="84"/>
        <v>0</v>
      </c>
      <c r="D411">
        <f t="shared" si="85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6"/>
        <v>0</v>
      </c>
      <c r="G411">
        <f t="shared" si="87"/>
        <v>0</v>
      </c>
      <c r="H411">
        <f t="shared" si="88"/>
        <v>0</v>
      </c>
      <c r="I411">
        <f t="shared" si="89"/>
        <v>0</v>
      </c>
      <c r="J411">
        <f t="shared" si="90"/>
        <v>0</v>
      </c>
      <c r="K411" s="4" t="e">
        <f t="shared" si="80"/>
        <v>#N/A</v>
      </c>
      <c r="L411" t="e">
        <f t="shared" si="81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2"/>
        <v>0</v>
      </c>
      <c r="B412">
        <f t="shared" si="83"/>
        <v>0</v>
      </c>
      <c r="C412">
        <f t="shared" si="84"/>
        <v>0</v>
      </c>
      <c r="D412">
        <f t="shared" si="85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6"/>
        <v>0</v>
      </c>
      <c r="G412">
        <f t="shared" si="87"/>
        <v>0</v>
      </c>
      <c r="H412">
        <f t="shared" si="88"/>
        <v>0</v>
      </c>
      <c r="I412">
        <f t="shared" si="89"/>
        <v>0</v>
      </c>
      <c r="J412">
        <f t="shared" si="90"/>
        <v>0</v>
      </c>
      <c r="K412" s="4" t="e">
        <f t="shared" si="80"/>
        <v>#N/A</v>
      </c>
      <c r="L412" t="e">
        <f t="shared" si="81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2"/>
        <v>0</v>
      </c>
      <c r="B413">
        <f t="shared" si="83"/>
        <v>0</v>
      </c>
      <c r="C413">
        <f t="shared" si="84"/>
        <v>0</v>
      </c>
      <c r="D413">
        <f t="shared" si="85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6"/>
        <v>0</v>
      </c>
      <c r="G413">
        <f t="shared" si="87"/>
        <v>0</v>
      </c>
      <c r="H413">
        <f t="shared" si="88"/>
        <v>0</v>
      </c>
      <c r="I413">
        <f t="shared" si="89"/>
        <v>0</v>
      </c>
      <c r="J413">
        <f t="shared" si="90"/>
        <v>0</v>
      </c>
      <c r="K413" s="4" t="e">
        <f t="shared" si="80"/>
        <v>#N/A</v>
      </c>
      <c r="L413" t="e">
        <f t="shared" si="81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2"/>
        <v>0</v>
      </c>
      <c r="B414">
        <f t="shared" si="83"/>
        <v>0</v>
      </c>
      <c r="C414">
        <f t="shared" si="84"/>
        <v>0</v>
      </c>
      <c r="D414">
        <f t="shared" si="85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6"/>
        <v>0</v>
      </c>
      <c r="G414">
        <f t="shared" si="87"/>
        <v>0</v>
      </c>
      <c r="H414">
        <f t="shared" si="88"/>
        <v>0</v>
      </c>
      <c r="I414">
        <f t="shared" si="89"/>
        <v>0</v>
      </c>
      <c r="J414">
        <f t="shared" si="90"/>
        <v>0</v>
      </c>
      <c r="K414" s="4" t="e">
        <f t="shared" si="80"/>
        <v>#N/A</v>
      </c>
      <c r="L414" t="e">
        <f t="shared" si="81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2"/>
        <v>0</v>
      </c>
      <c r="B415">
        <f t="shared" si="83"/>
        <v>0</v>
      </c>
      <c r="C415">
        <f t="shared" si="84"/>
        <v>0</v>
      </c>
      <c r="D415">
        <f t="shared" si="85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6"/>
        <v>0</v>
      </c>
      <c r="G415">
        <f t="shared" si="87"/>
        <v>0</v>
      </c>
      <c r="H415">
        <f t="shared" si="88"/>
        <v>0</v>
      </c>
      <c r="I415">
        <f t="shared" si="89"/>
        <v>0</v>
      </c>
      <c r="J415">
        <f t="shared" si="90"/>
        <v>0</v>
      </c>
      <c r="K415" s="4" t="e">
        <f t="shared" si="80"/>
        <v>#N/A</v>
      </c>
      <c r="L415" t="e">
        <f t="shared" si="81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2"/>
        <v>0</v>
      </c>
      <c r="B416">
        <f t="shared" si="83"/>
        <v>0</v>
      </c>
      <c r="C416">
        <f t="shared" si="84"/>
        <v>0</v>
      </c>
      <c r="D416">
        <f t="shared" si="85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6"/>
        <v>0</v>
      </c>
      <c r="G416">
        <f t="shared" si="87"/>
        <v>0</v>
      </c>
      <c r="H416">
        <f t="shared" si="88"/>
        <v>0</v>
      </c>
      <c r="I416">
        <f t="shared" si="89"/>
        <v>0</v>
      </c>
      <c r="J416">
        <f t="shared" si="90"/>
        <v>0</v>
      </c>
      <c r="K416" s="4" t="e">
        <f t="shared" si="80"/>
        <v>#N/A</v>
      </c>
      <c r="L416" t="e">
        <f t="shared" si="81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2"/>
        <v>0</v>
      </c>
      <c r="B417">
        <f t="shared" si="83"/>
        <v>0</v>
      </c>
      <c r="C417">
        <f t="shared" si="84"/>
        <v>0</v>
      </c>
      <c r="D417">
        <f t="shared" si="85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6"/>
        <v>0</v>
      </c>
      <c r="G417">
        <f t="shared" si="87"/>
        <v>0</v>
      </c>
      <c r="H417">
        <f t="shared" si="88"/>
        <v>0</v>
      </c>
      <c r="I417">
        <f t="shared" si="89"/>
        <v>0</v>
      </c>
      <c r="J417">
        <f t="shared" si="90"/>
        <v>0</v>
      </c>
      <c r="K417" s="4" t="e">
        <f t="shared" si="80"/>
        <v>#N/A</v>
      </c>
      <c r="L417" t="e">
        <f t="shared" si="81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2"/>
        <v>0</v>
      </c>
      <c r="B418">
        <f t="shared" si="83"/>
        <v>0</v>
      </c>
      <c r="C418">
        <f t="shared" si="84"/>
        <v>0</v>
      </c>
      <c r="D418">
        <f t="shared" si="85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6"/>
        <v>0</v>
      </c>
      <c r="G418">
        <f t="shared" si="87"/>
        <v>0</v>
      </c>
      <c r="H418">
        <f t="shared" si="88"/>
        <v>0</v>
      </c>
      <c r="I418">
        <f t="shared" si="89"/>
        <v>0</v>
      </c>
      <c r="J418">
        <f t="shared" si="90"/>
        <v>0</v>
      </c>
      <c r="K418" s="4" t="e">
        <f t="shared" si="80"/>
        <v>#N/A</v>
      </c>
      <c r="L418" t="e">
        <f t="shared" si="81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2"/>
        <v>0</v>
      </c>
      <c r="B419">
        <f t="shared" si="83"/>
        <v>0</v>
      </c>
      <c r="C419">
        <f t="shared" si="84"/>
        <v>0</v>
      </c>
      <c r="D419">
        <f t="shared" si="85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6"/>
        <v>0</v>
      </c>
      <c r="G419">
        <f t="shared" si="87"/>
        <v>0</v>
      </c>
      <c r="H419">
        <f t="shared" si="88"/>
        <v>0</v>
      </c>
      <c r="I419">
        <f t="shared" si="89"/>
        <v>0</v>
      </c>
      <c r="J419">
        <f t="shared" si="90"/>
        <v>0</v>
      </c>
      <c r="K419" s="4" t="e">
        <f t="shared" si="80"/>
        <v>#N/A</v>
      </c>
      <c r="L419" t="e">
        <f t="shared" si="81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2"/>
        <v>0</v>
      </c>
      <c r="B420">
        <f t="shared" si="83"/>
        <v>0</v>
      </c>
      <c r="C420">
        <f t="shared" si="84"/>
        <v>0</v>
      </c>
      <c r="D420">
        <f t="shared" si="85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6"/>
        <v>0</v>
      </c>
      <c r="G420">
        <f t="shared" si="87"/>
        <v>0</v>
      </c>
      <c r="H420">
        <f t="shared" si="88"/>
        <v>0</v>
      </c>
      <c r="I420">
        <f t="shared" si="89"/>
        <v>0</v>
      </c>
      <c r="J420">
        <f t="shared" si="90"/>
        <v>0</v>
      </c>
      <c r="K420" s="4" t="e">
        <f t="shared" si="80"/>
        <v>#N/A</v>
      </c>
      <c r="L420" t="e">
        <f t="shared" si="81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2"/>
        <v>0</v>
      </c>
      <c r="B421">
        <f t="shared" si="83"/>
        <v>0</v>
      </c>
      <c r="C421">
        <f t="shared" si="84"/>
        <v>0</v>
      </c>
      <c r="D421">
        <f t="shared" si="85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6"/>
        <v>0</v>
      </c>
      <c r="G421">
        <f t="shared" si="87"/>
        <v>0</v>
      </c>
      <c r="H421">
        <f t="shared" si="88"/>
        <v>0</v>
      </c>
      <c r="I421">
        <f t="shared" si="89"/>
        <v>0</v>
      </c>
      <c r="J421">
        <f t="shared" si="90"/>
        <v>0</v>
      </c>
      <c r="K421" s="4" t="e">
        <f t="shared" si="80"/>
        <v>#N/A</v>
      </c>
      <c r="L421" t="e">
        <f t="shared" si="81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2"/>
        <v>0</v>
      </c>
      <c r="B422">
        <f t="shared" si="83"/>
        <v>0</v>
      </c>
      <c r="C422">
        <f t="shared" si="84"/>
        <v>0</v>
      </c>
      <c r="D422">
        <f t="shared" si="85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6"/>
        <v>0</v>
      </c>
      <c r="G422">
        <f t="shared" si="87"/>
        <v>0</v>
      </c>
      <c r="H422">
        <f t="shared" si="88"/>
        <v>0</v>
      </c>
      <c r="I422">
        <f t="shared" si="89"/>
        <v>0</v>
      </c>
      <c r="J422">
        <f t="shared" si="90"/>
        <v>0</v>
      </c>
      <c r="K422" s="4" t="e">
        <f t="shared" si="80"/>
        <v>#N/A</v>
      </c>
      <c r="L422" t="e">
        <f t="shared" si="81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2"/>
        <v>0</v>
      </c>
      <c r="B423">
        <f t="shared" si="83"/>
        <v>0</v>
      </c>
      <c r="C423">
        <f t="shared" si="84"/>
        <v>0</v>
      </c>
      <c r="D423">
        <f t="shared" si="85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6"/>
        <v>0</v>
      </c>
      <c r="G423">
        <f t="shared" si="87"/>
        <v>0</v>
      </c>
      <c r="H423">
        <f t="shared" si="88"/>
        <v>0</v>
      </c>
      <c r="I423">
        <f t="shared" si="89"/>
        <v>0</v>
      </c>
      <c r="J423">
        <f t="shared" si="90"/>
        <v>0</v>
      </c>
      <c r="K423" s="4" t="e">
        <f t="shared" si="80"/>
        <v>#N/A</v>
      </c>
      <c r="L423" t="e">
        <f t="shared" si="81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2"/>
        <v>0</v>
      </c>
      <c r="B424">
        <f t="shared" si="83"/>
        <v>0</v>
      </c>
      <c r="C424">
        <f t="shared" si="84"/>
        <v>0</v>
      </c>
      <c r="D424">
        <f t="shared" si="85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6"/>
        <v>0</v>
      </c>
      <c r="G424">
        <f t="shared" si="87"/>
        <v>0</v>
      </c>
      <c r="H424">
        <f t="shared" si="88"/>
        <v>0</v>
      </c>
      <c r="I424">
        <f t="shared" si="89"/>
        <v>0</v>
      </c>
      <c r="J424">
        <f t="shared" si="90"/>
        <v>0</v>
      </c>
      <c r="K424" s="4" t="e">
        <f t="shared" si="80"/>
        <v>#N/A</v>
      </c>
      <c r="L424" t="e">
        <f t="shared" si="81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2"/>
        <v>0</v>
      </c>
      <c r="B425">
        <f t="shared" si="83"/>
        <v>0</v>
      </c>
      <c r="C425">
        <f t="shared" si="84"/>
        <v>0</v>
      </c>
      <c r="D425">
        <f t="shared" si="85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6"/>
        <v>0</v>
      </c>
      <c r="G425">
        <f t="shared" si="87"/>
        <v>0</v>
      </c>
      <c r="H425">
        <f t="shared" si="88"/>
        <v>0</v>
      </c>
      <c r="I425">
        <f t="shared" si="89"/>
        <v>0</v>
      </c>
      <c r="J425">
        <f t="shared" si="90"/>
        <v>0</v>
      </c>
      <c r="K425" s="4" t="e">
        <f t="shared" si="80"/>
        <v>#N/A</v>
      </c>
      <c r="L425" t="e">
        <f t="shared" si="81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2"/>
        <v>0</v>
      </c>
      <c r="B426">
        <f t="shared" si="83"/>
        <v>0</v>
      </c>
      <c r="C426">
        <f t="shared" si="84"/>
        <v>0</v>
      </c>
      <c r="D426">
        <f t="shared" si="85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6"/>
        <v>0</v>
      </c>
      <c r="G426">
        <f t="shared" si="87"/>
        <v>0</v>
      </c>
      <c r="H426">
        <f t="shared" si="88"/>
        <v>0</v>
      </c>
      <c r="I426">
        <f t="shared" si="89"/>
        <v>0</v>
      </c>
      <c r="J426">
        <f t="shared" si="90"/>
        <v>0</v>
      </c>
      <c r="K426" s="4" t="e">
        <f t="shared" si="80"/>
        <v>#N/A</v>
      </c>
      <c r="L426" t="e">
        <f t="shared" si="81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2"/>
        <v>0</v>
      </c>
      <c r="B427">
        <f t="shared" si="83"/>
        <v>0</v>
      </c>
      <c r="C427">
        <f t="shared" si="84"/>
        <v>0</v>
      </c>
      <c r="D427">
        <f t="shared" si="85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6"/>
        <v>0</v>
      </c>
      <c r="G427">
        <f t="shared" si="87"/>
        <v>0</v>
      </c>
      <c r="H427">
        <f t="shared" si="88"/>
        <v>0</v>
      </c>
      <c r="I427">
        <f t="shared" si="89"/>
        <v>0</v>
      </c>
      <c r="J427">
        <f t="shared" si="90"/>
        <v>0</v>
      </c>
      <c r="K427" s="4" t="e">
        <f t="shared" si="80"/>
        <v>#N/A</v>
      </c>
      <c r="L427" t="e">
        <f t="shared" si="81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2"/>
        <v>0</v>
      </c>
      <c r="B428">
        <f t="shared" si="83"/>
        <v>0</v>
      </c>
      <c r="C428">
        <f t="shared" si="84"/>
        <v>0</v>
      </c>
      <c r="D428">
        <f t="shared" si="85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6"/>
        <v>0</v>
      </c>
      <c r="G428">
        <f t="shared" si="87"/>
        <v>0</v>
      </c>
      <c r="H428">
        <f t="shared" si="88"/>
        <v>0</v>
      </c>
      <c r="I428">
        <f t="shared" si="89"/>
        <v>0</v>
      </c>
      <c r="J428">
        <f t="shared" si="90"/>
        <v>0</v>
      </c>
      <c r="K428" s="4" t="e">
        <f t="shared" ref="K428:K491" si="93">IF(LEFT(B428,3)="DBM",0,VLOOKUP(E428,tabela,2,FALSE))</f>
        <v>#N/A</v>
      </c>
      <c r="L428" t="e">
        <f t="shared" ref="L428:L491" si="94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2"/>
        <v>0</v>
      </c>
      <c r="B429">
        <f t="shared" si="83"/>
        <v>0</v>
      </c>
      <c r="C429">
        <f t="shared" si="84"/>
        <v>0</v>
      </c>
      <c r="D429">
        <f t="shared" si="85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6"/>
        <v>0</v>
      </c>
      <c r="G429">
        <f t="shared" si="87"/>
        <v>0</v>
      </c>
      <c r="H429">
        <f t="shared" si="88"/>
        <v>0</v>
      </c>
      <c r="I429">
        <f t="shared" si="89"/>
        <v>0</v>
      </c>
      <c r="J429">
        <f t="shared" si="90"/>
        <v>0</v>
      </c>
      <c r="K429" s="4" t="e">
        <f t="shared" si="93"/>
        <v>#N/A</v>
      </c>
      <c r="L429" t="e">
        <f t="shared" si="94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2"/>
        <v>0</v>
      </c>
      <c r="B430">
        <f t="shared" si="83"/>
        <v>0</v>
      </c>
      <c r="C430">
        <f t="shared" si="84"/>
        <v>0</v>
      </c>
      <c r="D430">
        <f t="shared" si="85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6"/>
        <v>0</v>
      </c>
      <c r="G430">
        <f t="shared" si="87"/>
        <v>0</v>
      </c>
      <c r="H430">
        <f t="shared" si="88"/>
        <v>0</v>
      </c>
      <c r="I430">
        <f t="shared" si="89"/>
        <v>0</v>
      </c>
      <c r="J430">
        <f t="shared" si="90"/>
        <v>0</v>
      </c>
      <c r="K430" s="4" t="e">
        <f t="shared" si="93"/>
        <v>#N/A</v>
      </c>
      <c r="L430" t="e">
        <f t="shared" si="94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2"/>
        <v>0</v>
      </c>
      <c r="B431">
        <f t="shared" si="83"/>
        <v>0</v>
      </c>
      <c r="C431">
        <f t="shared" si="84"/>
        <v>0</v>
      </c>
      <c r="D431">
        <f t="shared" si="85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6"/>
        <v>0</v>
      </c>
      <c r="G431">
        <f t="shared" si="87"/>
        <v>0</v>
      </c>
      <c r="H431">
        <f t="shared" si="88"/>
        <v>0</v>
      </c>
      <c r="I431">
        <f t="shared" si="89"/>
        <v>0</v>
      </c>
      <c r="J431">
        <f t="shared" si="90"/>
        <v>0</v>
      </c>
      <c r="K431" s="4" t="e">
        <f t="shared" si="93"/>
        <v>#N/A</v>
      </c>
      <c r="L431" t="e">
        <f t="shared" si="94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2"/>
        <v>0</v>
      </c>
      <c r="B432">
        <f t="shared" si="83"/>
        <v>0</v>
      </c>
      <c r="C432">
        <f t="shared" si="84"/>
        <v>0</v>
      </c>
      <c r="D432">
        <f t="shared" si="85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6"/>
        <v>0</v>
      </c>
      <c r="G432">
        <f t="shared" si="87"/>
        <v>0</v>
      </c>
      <c r="H432">
        <f t="shared" si="88"/>
        <v>0</v>
      </c>
      <c r="I432">
        <f t="shared" si="89"/>
        <v>0</v>
      </c>
      <c r="J432">
        <f t="shared" si="90"/>
        <v>0</v>
      </c>
      <c r="K432" s="4" t="e">
        <f t="shared" si="93"/>
        <v>#N/A</v>
      </c>
      <c r="L432" t="e">
        <f t="shared" si="94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2"/>
        <v>0</v>
      </c>
      <c r="B433">
        <f t="shared" si="83"/>
        <v>0</v>
      </c>
      <c r="C433">
        <f t="shared" si="84"/>
        <v>0</v>
      </c>
      <c r="D433">
        <f t="shared" si="85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6"/>
        <v>0</v>
      </c>
      <c r="G433">
        <f t="shared" si="87"/>
        <v>0</v>
      </c>
      <c r="H433">
        <f t="shared" si="88"/>
        <v>0</v>
      </c>
      <c r="I433">
        <f t="shared" si="89"/>
        <v>0</v>
      </c>
      <c r="J433">
        <f t="shared" si="90"/>
        <v>0</v>
      </c>
      <c r="K433" s="4" t="e">
        <f t="shared" si="93"/>
        <v>#N/A</v>
      </c>
      <c r="L433" t="e">
        <f t="shared" si="94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2"/>
        <v>0</v>
      </c>
      <c r="B434">
        <f t="shared" si="83"/>
        <v>0</v>
      </c>
      <c r="C434">
        <f t="shared" si="84"/>
        <v>0</v>
      </c>
      <c r="D434">
        <f t="shared" si="85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6"/>
        <v>0</v>
      </c>
      <c r="G434">
        <f t="shared" si="87"/>
        <v>0</v>
      </c>
      <c r="H434">
        <f t="shared" si="88"/>
        <v>0</v>
      </c>
      <c r="I434">
        <f t="shared" si="89"/>
        <v>0</v>
      </c>
      <c r="J434">
        <f t="shared" si="90"/>
        <v>0</v>
      </c>
      <c r="K434" s="4" t="e">
        <f t="shared" si="93"/>
        <v>#N/A</v>
      </c>
      <c r="L434" t="e">
        <f t="shared" si="94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2"/>
        <v>0</v>
      </c>
      <c r="B435">
        <f t="shared" si="83"/>
        <v>0</v>
      </c>
      <c r="C435">
        <f t="shared" si="84"/>
        <v>0</v>
      </c>
      <c r="D435">
        <f t="shared" si="85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6"/>
        <v>0</v>
      </c>
      <c r="G435">
        <f t="shared" si="87"/>
        <v>0</v>
      </c>
      <c r="H435">
        <f t="shared" si="88"/>
        <v>0</v>
      </c>
      <c r="I435">
        <f t="shared" si="89"/>
        <v>0</v>
      </c>
      <c r="J435">
        <f t="shared" si="90"/>
        <v>0</v>
      </c>
      <c r="K435" s="4" t="e">
        <f t="shared" si="93"/>
        <v>#N/A</v>
      </c>
      <c r="L435" t="e">
        <f t="shared" si="94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2"/>
        <v>0</v>
      </c>
      <c r="B436">
        <f t="shared" si="83"/>
        <v>0</v>
      </c>
      <c r="C436">
        <f t="shared" si="84"/>
        <v>0</v>
      </c>
      <c r="D436">
        <f t="shared" si="85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6"/>
        <v>0</v>
      </c>
      <c r="G436">
        <f t="shared" si="87"/>
        <v>0</v>
      </c>
      <c r="H436">
        <f t="shared" si="88"/>
        <v>0</v>
      </c>
      <c r="I436">
        <f t="shared" si="89"/>
        <v>0</v>
      </c>
      <c r="J436">
        <f t="shared" si="90"/>
        <v>0</v>
      </c>
      <c r="K436" s="4" t="e">
        <f t="shared" si="93"/>
        <v>#N/A</v>
      </c>
      <c r="L436" t="e">
        <f t="shared" si="94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2"/>
        <v>0</v>
      </c>
      <c r="B437">
        <f t="shared" si="83"/>
        <v>0</v>
      </c>
      <c r="C437">
        <f t="shared" si="84"/>
        <v>0</v>
      </c>
      <c r="D437">
        <f t="shared" si="85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6"/>
        <v>0</v>
      </c>
      <c r="G437">
        <f t="shared" si="87"/>
        <v>0</v>
      </c>
      <c r="H437">
        <f t="shared" si="88"/>
        <v>0</v>
      </c>
      <c r="I437">
        <f t="shared" si="89"/>
        <v>0</v>
      </c>
      <c r="J437">
        <f t="shared" si="90"/>
        <v>0</v>
      </c>
      <c r="K437" s="4" t="e">
        <f t="shared" si="93"/>
        <v>#N/A</v>
      </c>
      <c r="L437" t="e">
        <f t="shared" si="94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2"/>
        <v>0</v>
      </c>
      <c r="B438">
        <f t="shared" si="83"/>
        <v>0</v>
      </c>
      <c r="C438">
        <f t="shared" si="84"/>
        <v>0</v>
      </c>
      <c r="D438">
        <f t="shared" si="85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6"/>
        <v>0</v>
      </c>
      <c r="G438">
        <f t="shared" si="87"/>
        <v>0</v>
      </c>
      <c r="H438">
        <f t="shared" si="88"/>
        <v>0</v>
      </c>
      <c r="I438">
        <f t="shared" si="89"/>
        <v>0</v>
      </c>
      <c r="J438">
        <f t="shared" si="90"/>
        <v>0</v>
      </c>
      <c r="K438" s="4" t="e">
        <f t="shared" si="93"/>
        <v>#N/A</v>
      </c>
      <c r="L438" t="e">
        <f t="shared" si="94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2"/>
        <v>0</v>
      </c>
      <c r="B439">
        <f t="shared" si="83"/>
        <v>0</v>
      </c>
      <c r="C439">
        <f t="shared" si="84"/>
        <v>0</v>
      </c>
      <c r="D439">
        <f t="shared" si="85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6"/>
        <v>0</v>
      </c>
      <c r="G439">
        <f t="shared" si="87"/>
        <v>0</v>
      </c>
      <c r="H439">
        <f t="shared" si="88"/>
        <v>0</v>
      </c>
      <c r="I439">
        <f t="shared" si="89"/>
        <v>0</v>
      </c>
      <c r="J439">
        <f t="shared" si="90"/>
        <v>0</v>
      </c>
      <c r="K439" s="4" t="e">
        <f t="shared" si="93"/>
        <v>#N/A</v>
      </c>
      <c r="L439" t="e">
        <f t="shared" si="94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2"/>
        <v>0</v>
      </c>
      <c r="B440">
        <f t="shared" si="83"/>
        <v>0</v>
      </c>
      <c r="C440">
        <f t="shared" si="84"/>
        <v>0</v>
      </c>
      <c r="D440">
        <f t="shared" si="85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6"/>
        <v>0</v>
      </c>
      <c r="G440">
        <f t="shared" si="87"/>
        <v>0</v>
      </c>
      <c r="H440">
        <f t="shared" si="88"/>
        <v>0</v>
      </c>
      <c r="I440">
        <f t="shared" si="89"/>
        <v>0</v>
      </c>
      <c r="J440">
        <f t="shared" si="90"/>
        <v>0</v>
      </c>
      <c r="K440" s="4" t="e">
        <f t="shared" si="93"/>
        <v>#N/A</v>
      </c>
      <c r="L440" t="e">
        <f t="shared" si="94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2"/>
        <v>0</v>
      </c>
      <c r="B441">
        <f t="shared" si="83"/>
        <v>0</v>
      </c>
      <c r="C441">
        <f t="shared" si="84"/>
        <v>0</v>
      </c>
      <c r="D441">
        <f t="shared" si="85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6"/>
        <v>0</v>
      </c>
      <c r="G441">
        <f t="shared" si="87"/>
        <v>0</v>
      </c>
      <c r="H441">
        <f t="shared" si="88"/>
        <v>0</v>
      </c>
      <c r="I441">
        <f t="shared" si="89"/>
        <v>0</v>
      </c>
      <c r="J441">
        <f t="shared" si="90"/>
        <v>0</v>
      </c>
      <c r="K441" s="4" t="e">
        <f t="shared" si="93"/>
        <v>#N/A</v>
      </c>
      <c r="L441" t="e">
        <f t="shared" si="94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2"/>
        <v>0</v>
      </c>
      <c r="B442">
        <f t="shared" si="83"/>
        <v>0</v>
      </c>
      <c r="C442">
        <f t="shared" si="84"/>
        <v>0</v>
      </c>
      <c r="D442">
        <f t="shared" si="85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6"/>
        <v>0</v>
      </c>
      <c r="G442">
        <f t="shared" si="87"/>
        <v>0</v>
      </c>
      <c r="H442">
        <f t="shared" si="88"/>
        <v>0</v>
      </c>
      <c r="I442">
        <f t="shared" si="89"/>
        <v>0</v>
      </c>
      <c r="J442">
        <f t="shared" si="90"/>
        <v>0</v>
      </c>
      <c r="K442" s="4" t="e">
        <f t="shared" si="93"/>
        <v>#N/A</v>
      </c>
      <c r="L442" t="e">
        <f t="shared" si="94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2"/>
        <v>0</v>
      </c>
      <c r="B443">
        <f t="shared" si="83"/>
        <v>0</v>
      </c>
      <c r="C443">
        <f t="shared" si="84"/>
        <v>0</v>
      </c>
      <c r="D443">
        <f t="shared" si="85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6"/>
        <v>0</v>
      </c>
      <c r="G443">
        <f t="shared" si="87"/>
        <v>0</v>
      </c>
      <c r="H443">
        <f t="shared" si="88"/>
        <v>0</v>
      </c>
      <c r="I443">
        <f t="shared" si="89"/>
        <v>0</v>
      </c>
      <c r="J443">
        <f t="shared" si="90"/>
        <v>0</v>
      </c>
      <c r="K443" s="4" t="e">
        <f t="shared" si="93"/>
        <v>#N/A</v>
      </c>
      <c r="L443" t="e">
        <f t="shared" si="94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2"/>
        <v>0</v>
      </c>
      <c r="B444">
        <f t="shared" si="83"/>
        <v>0</v>
      </c>
      <c r="C444">
        <f t="shared" si="84"/>
        <v>0</v>
      </c>
      <c r="D444">
        <f t="shared" si="85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6"/>
        <v>0</v>
      </c>
      <c r="G444">
        <f t="shared" si="87"/>
        <v>0</v>
      </c>
      <c r="H444">
        <f t="shared" si="88"/>
        <v>0</v>
      </c>
      <c r="I444">
        <f t="shared" si="89"/>
        <v>0</v>
      </c>
      <c r="J444">
        <f t="shared" si="90"/>
        <v>0</v>
      </c>
      <c r="K444" s="4" t="e">
        <f t="shared" si="93"/>
        <v>#N/A</v>
      </c>
      <c r="L444" t="e">
        <f t="shared" si="94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2"/>
        <v>0</v>
      </c>
      <c r="B445">
        <f t="shared" si="83"/>
        <v>0</v>
      </c>
      <c r="C445">
        <f t="shared" si="84"/>
        <v>0</v>
      </c>
      <c r="D445">
        <f t="shared" si="85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6"/>
        <v>0</v>
      </c>
      <c r="G445">
        <f t="shared" si="87"/>
        <v>0</v>
      </c>
      <c r="H445">
        <f t="shared" si="88"/>
        <v>0</v>
      </c>
      <c r="I445">
        <f t="shared" si="89"/>
        <v>0</v>
      </c>
      <c r="J445">
        <f t="shared" si="90"/>
        <v>0</v>
      </c>
      <c r="K445" s="4" t="e">
        <f t="shared" si="93"/>
        <v>#N/A</v>
      </c>
      <c r="L445" t="e">
        <f t="shared" si="94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2"/>
        <v>0</v>
      </c>
      <c r="B446">
        <f t="shared" si="83"/>
        <v>0</v>
      </c>
      <c r="C446">
        <f t="shared" si="84"/>
        <v>0</v>
      </c>
      <c r="D446">
        <f t="shared" si="85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6"/>
        <v>0</v>
      </c>
      <c r="G446">
        <f t="shared" si="87"/>
        <v>0</v>
      </c>
      <c r="H446">
        <f t="shared" si="88"/>
        <v>0</v>
      </c>
      <c r="I446">
        <f t="shared" si="89"/>
        <v>0</v>
      </c>
      <c r="J446">
        <f t="shared" si="90"/>
        <v>0</v>
      </c>
      <c r="K446" s="4" t="e">
        <f t="shared" si="93"/>
        <v>#N/A</v>
      </c>
      <c r="L446" t="e">
        <f t="shared" si="94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2"/>
        <v>0</v>
      </c>
      <c r="B447">
        <f t="shared" si="83"/>
        <v>0</v>
      </c>
      <c r="C447">
        <f t="shared" si="84"/>
        <v>0</v>
      </c>
      <c r="D447">
        <f t="shared" si="85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6"/>
        <v>0</v>
      </c>
      <c r="G447">
        <f t="shared" si="87"/>
        <v>0</v>
      </c>
      <c r="H447">
        <f t="shared" si="88"/>
        <v>0</v>
      </c>
      <c r="I447">
        <f t="shared" si="89"/>
        <v>0</v>
      </c>
      <c r="J447">
        <f t="shared" si="90"/>
        <v>0</v>
      </c>
      <c r="K447" s="4" t="e">
        <f t="shared" si="93"/>
        <v>#N/A</v>
      </c>
      <c r="L447" t="e">
        <f t="shared" si="94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2"/>
        <v>0</v>
      </c>
      <c r="B448">
        <f t="shared" si="83"/>
        <v>0</v>
      </c>
      <c r="C448">
        <f t="shared" si="84"/>
        <v>0</v>
      </c>
      <c r="D448">
        <f t="shared" si="85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6"/>
        <v>0</v>
      </c>
      <c r="G448">
        <f t="shared" si="87"/>
        <v>0</v>
      </c>
      <c r="H448">
        <f t="shared" si="88"/>
        <v>0</v>
      </c>
      <c r="I448">
        <f t="shared" si="89"/>
        <v>0</v>
      </c>
      <c r="J448">
        <f t="shared" si="90"/>
        <v>0</v>
      </c>
      <c r="K448" s="4" t="e">
        <f t="shared" si="93"/>
        <v>#N/A</v>
      </c>
      <c r="L448" t="e">
        <f t="shared" si="94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2"/>
        <v>0</v>
      </c>
      <c r="B449">
        <f t="shared" si="83"/>
        <v>0</v>
      </c>
      <c r="C449">
        <f t="shared" si="84"/>
        <v>0</v>
      </c>
      <c r="D449">
        <f t="shared" si="85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6"/>
        <v>0</v>
      </c>
      <c r="G449">
        <f t="shared" si="87"/>
        <v>0</v>
      </c>
      <c r="H449">
        <f t="shared" si="88"/>
        <v>0</v>
      </c>
      <c r="I449">
        <f t="shared" si="89"/>
        <v>0</v>
      </c>
      <c r="J449">
        <f t="shared" si="90"/>
        <v>0</v>
      </c>
      <c r="K449" s="4" t="e">
        <f t="shared" si="93"/>
        <v>#N/A</v>
      </c>
      <c r="L449" t="e">
        <f t="shared" si="94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5">bd_campaign</f>
        <v>0</v>
      </c>
      <c r="B450">
        <f t="shared" ref="B450:B513" si="96">bd_site</f>
        <v>0</v>
      </c>
      <c r="C450">
        <f t="shared" ref="C450:C513" si="97">bd_placement</f>
        <v>0</v>
      </c>
      <c r="D450">
        <f t="shared" ref="D450:D513" si="98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9">bd_ad</f>
        <v>0</v>
      </c>
      <c r="G450">
        <f t="shared" ref="G450:G513" si="100">bd_adid</f>
        <v>0</v>
      </c>
      <c r="H450">
        <f t="shared" ref="H450:H513" si="101">bd_creativetype</f>
        <v>0</v>
      </c>
      <c r="I450">
        <f t="shared" ref="I450:I513" si="102">bd_impression</f>
        <v>0</v>
      </c>
      <c r="J450">
        <f t="shared" ref="J450:J513" si="103">bd_clicks</f>
        <v>0</v>
      </c>
      <c r="K450" s="4" t="e">
        <f t="shared" si="93"/>
        <v>#N/A</v>
      </c>
      <c r="L450" t="e">
        <f t="shared" si="94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5"/>
        <v>0</v>
      </c>
      <c r="B451">
        <f t="shared" si="96"/>
        <v>0</v>
      </c>
      <c r="C451">
        <f t="shared" si="97"/>
        <v>0</v>
      </c>
      <c r="D451">
        <f t="shared" si="98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9"/>
        <v>0</v>
      </c>
      <c r="G451">
        <f t="shared" si="100"/>
        <v>0</v>
      </c>
      <c r="H451">
        <f t="shared" si="101"/>
        <v>0</v>
      </c>
      <c r="I451">
        <f t="shared" si="102"/>
        <v>0</v>
      </c>
      <c r="J451">
        <f t="shared" si="103"/>
        <v>0</v>
      </c>
      <c r="K451" s="4" t="e">
        <f t="shared" si="93"/>
        <v>#N/A</v>
      </c>
      <c r="L451" t="e">
        <f t="shared" si="94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5"/>
        <v>0</v>
      </c>
      <c r="B452">
        <f t="shared" si="96"/>
        <v>0</v>
      </c>
      <c r="C452">
        <f t="shared" si="97"/>
        <v>0</v>
      </c>
      <c r="D452">
        <f t="shared" si="98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9"/>
        <v>0</v>
      </c>
      <c r="G452">
        <f t="shared" si="100"/>
        <v>0</v>
      </c>
      <c r="H452">
        <f t="shared" si="101"/>
        <v>0</v>
      </c>
      <c r="I452">
        <f t="shared" si="102"/>
        <v>0</v>
      </c>
      <c r="J452">
        <f t="shared" si="103"/>
        <v>0</v>
      </c>
      <c r="K452" s="4" t="e">
        <f t="shared" si="93"/>
        <v>#N/A</v>
      </c>
      <c r="L452" t="e">
        <f t="shared" si="94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5"/>
        <v>0</v>
      </c>
      <c r="B453">
        <f t="shared" si="96"/>
        <v>0</v>
      </c>
      <c r="C453">
        <f t="shared" si="97"/>
        <v>0</v>
      </c>
      <c r="D453">
        <f t="shared" si="98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9"/>
        <v>0</v>
      </c>
      <c r="G453">
        <f t="shared" si="100"/>
        <v>0</v>
      </c>
      <c r="H453">
        <f t="shared" si="101"/>
        <v>0</v>
      </c>
      <c r="I453">
        <f t="shared" si="102"/>
        <v>0</v>
      </c>
      <c r="J453">
        <f t="shared" si="103"/>
        <v>0</v>
      </c>
      <c r="K453" s="4" t="e">
        <f t="shared" si="93"/>
        <v>#N/A</v>
      </c>
      <c r="L453" t="e">
        <f t="shared" si="94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5"/>
        <v>0</v>
      </c>
      <c r="B454">
        <f t="shared" si="96"/>
        <v>0</v>
      </c>
      <c r="C454">
        <f t="shared" si="97"/>
        <v>0</v>
      </c>
      <c r="D454">
        <f t="shared" si="98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9"/>
        <v>0</v>
      </c>
      <c r="G454">
        <f t="shared" si="100"/>
        <v>0</v>
      </c>
      <c r="H454">
        <f t="shared" si="101"/>
        <v>0</v>
      </c>
      <c r="I454">
        <f t="shared" si="102"/>
        <v>0</v>
      </c>
      <c r="J454">
        <f t="shared" si="103"/>
        <v>0</v>
      </c>
      <c r="K454" s="4" t="e">
        <f t="shared" si="93"/>
        <v>#N/A</v>
      </c>
      <c r="L454" t="e">
        <f t="shared" si="94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5"/>
        <v>0</v>
      </c>
      <c r="B455">
        <f t="shared" si="96"/>
        <v>0</v>
      </c>
      <c r="C455">
        <f t="shared" si="97"/>
        <v>0</v>
      </c>
      <c r="D455">
        <f t="shared" si="98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9"/>
        <v>0</v>
      </c>
      <c r="G455">
        <f t="shared" si="100"/>
        <v>0</v>
      </c>
      <c r="H455">
        <f t="shared" si="101"/>
        <v>0</v>
      </c>
      <c r="I455">
        <f t="shared" si="102"/>
        <v>0</v>
      </c>
      <c r="J455">
        <f t="shared" si="103"/>
        <v>0</v>
      </c>
      <c r="K455" s="4" t="e">
        <f t="shared" si="93"/>
        <v>#N/A</v>
      </c>
      <c r="L455" t="e">
        <f t="shared" si="94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5"/>
        <v>0</v>
      </c>
      <c r="B456">
        <f t="shared" si="96"/>
        <v>0</v>
      </c>
      <c r="C456">
        <f t="shared" si="97"/>
        <v>0</v>
      </c>
      <c r="D456">
        <f t="shared" si="98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9"/>
        <v>0</v>
      </c>
      <c r="G456">
        <f t="shared" si="100"/>
        <v>0</v>
      </c>
      <c r="H456">
        <f t="shared" si="101"/>
        <v>0</v>
      </c>
      <c r="I456">
        <f t="shared" si="102"/>
        <v>0</v>
      </c>
      <c r="J456">
        <f t="shared" si="103"/>
        <v>0</v>
      </c>
      <c r="K456" s="4" t="e">
        <f t="shared" si="93"/>
        <v>#N/A</v>
      </c>
      <c r="L456" t="e">
        <f t="shared" si="94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5"/>
        <v>0</v>
      </c>
      <c r="B457">
        <f t="shared" si="96"/>
        <v>0</v>
      </c>
      <c r="C457">
        <f t="shared" si="97"/>
        <v>0</v>
      </c>
      <c r="D457">
        <f t="shared" si="98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9"/>
        <v>0</v>
      </c>
      <c r="G457">
        <f t="shared" si="100"/>
        <v>0</v>
      </c>
      <c r="H457">
        <f t="shared" si="101"/>
        <v>0</v>
      </c>
      <c r="I457">
        <f t="shared" si="102"/>
        <v>0</v>
      </c>
      <c r="J457">
        <f t="shared" si="103"/>
        <v>0</v>
      </c>
      <c r="K457" s="4" t="e">
        <f t="shared" si="93"/>
        <v>#N/A</v>
      </c>
      <c r="L457" t="e">
        <f t="shared" si="94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5"/>
        <v>0</v>
      </c>
      <c r="B458">
        <f t="shared" si="96"/>
        <v>0</v>
      </c>
      <c r="C458">
        <f t="shared" si="97"/>
        <v>0</v>
      </c>
      <c r="D458">
        <f t="shared" si="98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9"/>
        <v>0</v>
      </c>
      <c r="G458">
        <f t="shared" si="100"/>
        <v>0</v>
      </c>
      <c r="H458">
        <f t="shared" si="101"/>
        <v>0</v>
      </c>
      <c r="I458">
        <f t="shared" si="102"/>
        <v>0</v>
      </c>
      <c r="J458">
        <f t="shared" si="103"/>
        <v>0</v>
      </c>
      <c r="K458" s="4" t="e">
        <f t="shared" si="93"/>
        <v>#N/A</v>
      </c>
      <c r="L458" t="e">
        <f t="shared" si="94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5"/>
        <v>0</v>
      </c>
      <c r="B459">
        <f t="shared" si="96"/>
        <v>0</v>
      </c>
      <c r="C459">
        <f t="shared" si="97"/>
        <v>0</v>
      </c>
      <c r="D459">
        <f t="shared" si="98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9"/>
        <v>0</v>
      </c>
      <c r="G459">
        <f t="shared" si="100"/>
        <v>0</v>
      </c>
      <c r="H459">
        <f t="shared" si="101"/>
        <v>0</v>
      </c>
      <c r="I459">
        <f t="shared" si="102"/>
        <v>0</v>
      </c>
      <c r="J459">
        <f t="shared" si="103"/>
        <v>0</v>
      </c>
      <c r="K459" s="4" t="e">
        <f t="shared" si="93"/>
        <v>#N/A</v>
      </c>
      <c r="L459" t="e">
        <f t="shared" si="94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5"/>
        <v>0</v>
      </c>
      <c r="B460">
        <f t="shared" si="96"/>
        <v>0</v>
      </c>
      <c r="C460">
        <f t="shared" si="97"/>
        <v>0</v>
      </c>
      <c r="D460">
        <f t="shared" si="98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9"/>
        <v>0</v>
      </c>
      <c r="G460">
        <f t="shared" si="100"/>
        <v>0</v>
      </c>
      <c r="H460">
        <f t="shared" si="101"/>
        <v>0</v>
      </c>
      <c r="I460">
        <f t="shared" si="102"/>
        <v>0</v>
      </c>
      <c r="J460">
        <f t="shared" si="103"/>
        <v>0</v>
      </c>
      <c r="K460" s="4" t="e">
        <f t="shared" si="93"/>
        <v>#N/A</v>
      </c>
      <c r="L460" t="e">
        <f t="shared" si="94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5"/>
        <v>0</v>
      </c>
      <c r="B461">
        <f t="shared" si="96"/>
        <v>0</v>
      </c>
      <c r="C461">
        <f t="shared" si="97"/>
        <v>0</v>
      </c>
      <c r="D461">
        <f t="shared" si="98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9"/>
        <v>0</v>
      </c>
      <c r="G461">
        <f t="shared" si="100"/>
        <v>0</v>
      </c>
      <c r="H461">
        <f t="shared" si="101"/>
        <v>0</v>
      </c>
      <c r="I461">
        <f t="shared" si="102"/>
        <v>0</v>
      </c>
      <c r="J461">
        <f t="shared" si="103"/>
        <v>0</v>
      </c>
      <c r="K461" s="4" t="e">
        <f t="shared" si="93"/>
        <v>#N/A</v>
      </c>
      <c r="L461" t="e">
        <f t="shared" si="94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5"/>
        <v>0</v>
      </c>
      <c r="B462">
        <f t="shared" si="96"/>
        <v>0</v>
      </c>
      <c r="C462">
        <f t="shared" si="97"/>
        <v>0</v>
      </c>
      <c r="D462">
        <f t="shared" si="98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9"/>
        <v>0</v>
      </c>
      <c r="G462">
        <f t="shared" si="100"/>
        <v>0</v>
      </c>
      <c r="H462">
        <f t="shared" si="101"/>
        <v>0</v>
      </c>
      <c r="I462">
        <f t="shared" si="102"/>
        <v>0</v>
      </c>
      <c r="J462">
        <f t="shared" si="103"/>
        <v>0</v>
      </c>
      <c r="K462" s="4" t="e">
        <f t="shared" si="93"/>
        <v>#N/A</v>
      </c>
      <c r="L462" t="e">
        <f t="shared" si="94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5"/>
        <v>0</v>
      </c>
      <c r="B463">
        <f t="shared" si="96"/>
        <v>0</v>
      </c>
      <c r="C463">
        <f t="shared" si="97"/>
        <v>0</v>
      </c>
      <c r="D463">
        <f t="shared" si="98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9"/>
        <v>0</v>
      </c>
      <c r="G463">
        <f t="shared" si="100"/>
        <v>0</v>
      </c>
      <c r="H463">
        <f t="shared" si="101"/>
        <v>0</v>
      </c>
      <c r="I463">
        <f t="shared" si="102"/>
        <v>0</v>
      </c>
      <c r="J463">
        <f t="shared" si="103"/>
        <v>0</v>
      </c>
      <c r="K463" s="4" t="e">
        <f t="shared" si="93"/>
        <v>#N/A</v>
      </c>
      <c r="L463" t="e">
        <f t="shared" si="94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5"/>
        <v>0</v>
      </c>
      <c r="B464">
        <f t="shared" si="96"/>
        <v>0</v>
      </c>
      <c r="C464">
        <f t="shared" si="97"/>
        <v>0</v>
      </c>
      <c r="D464">
        <f t="shared" si="98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9"/>
        <v>0</v>
      </c>
      <c r="G464">
        <f t="shared" si="100"/>
        <v>0</v>
      </c>
      <c r="H464">
        <f t="shared" si="101"/>
        <v>0</v>
      </c>
      <c r="I464">
        <f t="shared" si="102"/>
        <v>0</v>
      </c>
      <c r="J464">
        <f t="shared" si="103"/>
        <v>0</v>
      </c>
      <c r="K464" s="4" t="e">
        <f t="shared" si="93"/>
        <v>#N/A</v>
      </c>
      <c r="L464" t="e">
        <f t="shared" si="94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5"/>
        <v>0</v>
      </c>
      <c r="B465">
        <f t="shared" si="96"/>
        <v>0</v>
      </c>
      <c r="C465">
        <f t="shared" si="97"/>
        <v>0</v>
      </c>
      <c r="D465">
        <f t="shared" si="98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9"/>
        <v>0</v>
      </c>
      <c r="G465">
        <f t="shared" si="100"/>
        <v>0</v>
      </c>
      <c r="H465">
        <f t="shared" si="101"/>
        <v>0</v>
      </c>
      <c r="I465">
        <f t="shared" si="102"/>
        <v>0</v>
      </c>
      <c r="J465">
        <f t="shared" si="103"/>
        <v>0</v>
      </c>
      <c r="K465" s="4" t="e">
        <f t="shared" si="93"/>
        <v>#N/A</v>
      </c>
      <c r="L465" t="e">
        <f t="shared" si="94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5"/>
        <v>0</v>
      </c>
      <c r="B466">
        <f t="shared" si="96"/>
        <v>0</v>
      </c>
      <c r="C466">
        <f t="shared" si="97"/>
        <v>0</v>
      </c>
      <c r="D466">
        <f t="shared" si="98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9"/>
        <v>0</v>
      </c>
      <c r="G466">
        <f t="shared" si="100"/>
        <v>0</v>
      </c>
      <c r="H466">
        <f t="shared" si="101"/>
        <v>0</v>
      </c>
      <c r="I466">
        <f t="shared" si="102"/>
        <v>0</v>
      </c>
      <c r="J466">
        <f t="shared" si="103"/>
        <v>0</v>
      </c>
      <c r="K466" s="4" t="e">
        <f t="shared" si="93"/>
        <v>#N/A</v>
      </c>
      <c r="L466" t="e">
        <f t="shared" si="94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5"/>
        <v>0</v>
      </c>
      <c r="B467">
        <f t="shared" si="96"/>
        <v>0</v>
      </c>
      <c r="C467">
        <f t="shared" si="97"/>
        <v>0</v>
      </c>
      <c r="D467">
        <f t="shared" si="98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9"/>
        <v>0</v>
      </c>
      <c r="G467">
        <f t="shared" si="100"/>
        <v>0</v>
      </c>
      <c r="H467">
        <f t="shared" si="101"/>
        <v>0</v>
      </c>
      <c r="I467">
        <f t="shared" si="102"/>
        <v>0</v>
      </c>
      <c r="J467">
        <f t="shared" si="103"/>
        <v>0</v>
      </c>
      <c r="K467" s="4" t="e">
        <f t="shared" si="93"/>
        <v>#N/A</v>
      </c>
      <c r="L467" t="e">
        <f t="shared" si="94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5"/>
        <v>0</v>
      </c>
      <c r="B468">
        <f t="shared" si="96"/>
        <v>0</v>
      </c>
      <c r="C468">
        <f t="shared" si="97"/>
        <v>0</v>
      </c>
      <c r="D468">
        <f t="shared" si="98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9"/>
        <v>0</v>
      </c>
      <c r="G468">
        <f t="shared" si="100"/>
        <v>0</v>
      </c>
      <c r="H468">
        <f t="shared" si="101"/>
        <v>0</v>
      </c>
      <c r="I468">
        <f t="shared" si="102"/>
        <v>0</v>
      </c>
      <c r="J468">
        <f t="shared" si="103"/>
        <v>0</v>
      </c>
      <c r="K468" s="4" t="e">
        <f t="shared" si="93"/>
        <v>#N/A</v>
      </c>
      <c r="L468" t="e">
        <f t="shared" si="94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5"/>
        <v>0</v>
      </c>
      <c r="B469">
        <f t="shared" si="96"/>
        <v>0</v>
      </c>
      <c r="C469">
        <f t="shared" si="97"/>
        <v>0</v>
      </c>
      <c r="D469">
        <f t="shared" si="98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9"/>
        <v>0</v>
      </c>
      <c r="G469">
        <f t="shared" si="100"/>
        <v>0</v>
      </c>
      <c r="H469">
        <f t="shared" si="101"/>
        <v>0</v>
      </c>
      <c r="I469">
        <f t="shared" si="102"/>
        <v>0</v>
      </c>
      <c r="J469">
        <f t="shared" si="103"/>
        <v>0</v>
      </c>
      <c r="K469" s="4" t="e">
        <f t="shared" si="93"/>
        <v>#N/A</v>
      </c>
      <c r="L469" t="e">
        <f t="shared" si="94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5"/>
        <v>0</v>
      </c>
      <c r="B470">
        <f t="shared" si="96"/>
        <v>0</v>
      </c>
      <c r="C470">
        <f t="shared" si="97"/>
        <v>0</v>
      </c>
      <c r="D470">
        <f t="shared" si="98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9"/>
        <v>0</v>
      </c>
      <c r="G470">
        <f t="shared" si="100"/>
        <v>0</v>
      </c>
      <c r="H470">
        <f t="shared" si="101"/>
        <v>0</v>
      </c>
      <c r="I470">
        <f t="shared" si="102"/>
        <v>0</v>
      </c>
      <c r="J470">
        <f t="shared" si="103"/>
        <v>0</v>
      </c>
      <c r="K470" s="4" t="e">
        <f t="shared" si="93"/>
        <v>#N/A</v>
      </c>
      <c r="L470" t="e">
        <f t="shared" si="94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5"/>
        <v>0</v>
      </c>
      <c r="B471">
        <f t="shared" si="96"/>
        <v>0</v>
      </c>
      <c r="C471">
        <f t="shared" si="97"/>
        <v>0</v>
      </c>
      <c r="D471">
        <f t="shared" si="98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9"/>
        <v>0</v>
      </c>
      <c r="G471">
        <f t="shared" si="100"/>
        <v>0</v>
      </c>
      <c r="H471">
        <f t="shared" si="101"/>
        <v>0</v>
      </c>
      <c r="I471">
        <f t="shared" si="102"/>
        <v>0</v>
      </c>
      <c r="J471">
        <f t="shared" si="103"/>
        <v>0</v>
      </c>
      <c r="K471" s="4" t="e">
        <f t="shared" si="93"/>
        <v>#N/A</v>
      </c>
      <c r="L471" t="e">
        <f t="shared" si="94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5"/>
        <v>0</v>
      </c>
      <c r="B472">
        <f t="shared" si="96"/>
        <v>0</v>
      </c>
      <c r="C472">
        <f t="shared" si="97"/>
        <v>0</v>
      </c>
      <c r="D472">
        <f t="shared" si="98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9"/>
        <v>0</v>
      </c>
      <c r="G472">
        <f t="shared" si="100"/>
        <v>0</v>
      </c>
      <c r="H472">
        <f t="shared" si="101"/>
        <v>0</v>
      </c>
      <c r="I472">
        <f t="shared" si="102"/>
        <v>0</v>
      </c>
      <c r="J472">
        <f t="shared" si="103"/>
        <v>0</v>
      </c>
      <c r="K472" s="4" t="e">
        <f t="shared" si="93"/>
        <v>#N/A</v>
      </c>
      <c r="L472" t="e">
        <f t="shared" si="94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5"/>
        <v>0</v>
      </c>
      <c r="B473">
        <f t="shared" si="96"/>
        <v>0</v>
      </c>
      <c r="C473">
        <f t="shared" si="97"/>
        <v>0</v>
      </c>
      <c r="D473">
        <f t="shared" si="98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9"/>
        <v>0</v>
      </c>
      <c r="G473">
        <f t="shared" si="100"/>
        <v>0</v>
      </c>
      <c r="H473">
        <f t="shared" si="101"/>
        <v>0</v>
      </c>
      <c r="I473">
        <f t="shared" si="102"/>
        <v>0</v>
      </c>
      <c r="J473">
        <f t="shared" si="103"/>
        <v>0</v>
      </c>
      <c r="K473" s="4" t="e">
        <f t="shared" si="93"/>
        <v>#N/A</v>
      </c>
      <c r="L473" t="e">
        <f t="shared" si="94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5"/>
        <v>0</v>
      </c>
      <c r="B474">
        <f t="shared" si="96"/>
        <v>0</v>
      </c>
      <c r="C474">
        <f t="shared" si="97"/>
        <v>0</v>
      </c>
      <c r="D474">
        <f t="shared" si="98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9"/>
        <v>0</v>
      </c>
      <c r="G474">
        <f t="shared" si="100"/>
        <v>0</v>
      </c>
      <c r="H474">
        <f t="shared" si="101"/>
        <v>0</v>
      </c>
      <c r="I474">
        <f t="shared" si="102"/>
        <v>0</v>
      </c>
      <c r="J474">
        <f t="shared" si="103"/>
        <v>0</v>
      </c>
      <c r="K474" s="4" t="e">
        <f t="shared" si="93"/>
        <v>#N/A</v>
      </c>
      <c r="L474" t="e">
        <f t="shared" si="94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5"/>
        <v>0</v>
      </c>
      <c r="B475">
        <f t="shared" si="96"/>
        <v>0</v>
      </c>
      <c r="C475">
        <f t="shared" si="97"/>
        <v>0</v>
      </c>
      <c r="D475">
        <f t="shared" si="98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9"/>
        <v>0</v>
      </c>
      <c r="G475">
        <f t="shared" si="100"/>
        <v>0</v>
      </c>
      <c r="H475">
        <f t="shared" si="101"/>
        <v>0</v>
      </c>
      <c r="I475">
        <f t="shared" si="102"/>
        <v>0</v>
      </c>
      <c r="J475">
        <f t="shared" si="103"/>
        <v>0</v>
      </c>
      <c r="K475" s="4" t="e">
        <f t="shared" si="93"/>
        <v>#N/A</v>
      </c>
      <c r="L475" t="e">
        <f t="shared" si="94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5"/>
        <v>0</v>
      </c>
      <c r="B476">
        <f t="shared" si="96"/>
        <v>0</v>
      </c>
      <c r="C476">
        <f t="shared" si="97"/>
        <v>0</v>
      </c>
      <c r="D476">
        <f t="shared" si="98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9"/>
        <v>0</v>
      </c>
      <c r="G476">
        <f t="shared" si="100"/>
        <v>0</v>
      </c>
      <c r="H476">
        <f t="shared" si="101"/>
        <v>0</v>
      </c>
      <c r="I476">
        <f t="shared" si="102"/>
        <v>0</v>
      </c>
      <c r="J476">
        <f t="shared" si="103"/>
        <v>0</v>
      </c>
      <c r="K476" s="4" t="e">
        <f t="shared" si="93"/>
        <v>#N/A</v>
      </c>
      <c r="L476" t="e">
        <f t="shared" si="94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5"/>
        <v>0</v>
      </c>
      <c r="B477">
        <f t="shared" si="96"/>
        <v>0</v>
      </c>
      <c r="C477">
        <f t="shared" si="97"/>
        <v>0</v>
      </c>
      <c r="D477">
        <f t="shared" si="98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9"/>
        <v>0</v>
      </c>
      <c r="G477">
        <f t="shared" si="100"/>
        <v>0</v>
      </c>
      <c r="H477">
        <f t="shared" si="101"/>
        <v>0</v>
      </c>
      <c r="I477">
        <f t="shared" si="102"/>
        <v>0</v>
      </c>
      <c r="J477">
        <f t="shared" si="103"/>
        <v>0</v>
      </c>
      <c r="K477" s="4" t="e">
        <f t="shared" si="93"/>
        <v>#N/A</v>
      </c>
      <c r="L477" t="e">
        <f t="shared" si="94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5"/>
        <v>0</v>
      </c>
      <c r="B478">
        <f t="shared" si="96"/>
        <v>0</v>
      </c>
      <c r="C478">
        <f t="shared" si="97"/>
        <v>0</v>
      </c>
      <c r="D478">
        <f t="shared" si="98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9"/>
        <v>0</v>
      </c>
      <c r="G478">
        <f t="shared" si="100"/>
        <v>0</v>
      </c>
      <c r="H478">
        <f t="shared" si="101"/>
        <v>0</v>
      </c>
      <c r="I478">
        <f t="shared" si="102"/>
        <v>0</v>
      </c>
      <c r="J478">
        <f t="shared" si="103"/>
        <v>0</v>
      </c>
      <c r="K478" s="4" t="e">
        <f t="shared" si="93"/>
        <v>#N/A</v>
      </c>
      <c r="L478" t="e">
        <f t="shared" si="94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5"/>
        <v>0</v>
      </c>
      <c r="B479">
        <f t="shared" si="96"/>
        <v>0</v>
      </c>
      <c r="C479">
        <f t="shared" si="97"/>
        <v>0</v>
      </c>
      <c r="D479">
        <f t="shared" si="98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9"/>
        <v>0</v>
      </c>
      <c r="G479">
        <f t="shared" si="100"/>
        <v>0</v>
      </c>
      <c r="H479">
        <f t="shared" si="101"/>
        <v>0</v>
      </c>
      <c r="I479">
        <f t="shared" si="102"/>
        <v>0</v>
      </c>
      <c r="J479">
        <f t="shared" si="103"/>
        <v>0</v>
      </c>
      <c r="K479" s="4" t="e">
        <f t="shared" si="93"/>
        <v>#N/A</v>
      </c>
      <c r="L479" t="e">
        <f t="shared" si="94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5"/>
        <v>0</v>
      </c>
      <c r="B480">
        <f t="shared" si="96"/>
        <v>0</v>
      </c>
      <c r="C480">
        <f t="shared" si="97"/>
        <v>0</v>
      </c>
      <c r="D480">
        <f t="shared" si="98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9"/>
        <v>0</v>
      </c>
      <c r="G480">
        <f t="shared" si="100"/>
        <v>0</v>
      </c>
      <c r="H480">
        <f t="shared" si="101"/>
        <v>0</v>
      </c>
      <c r="I480">
        <f t="shared" si="102"/>
        <v>0</v>
      </c>
      <c r="J480">
        <f t="shared" si="103"/>
        <v>0</v>
      </c>
      <c r="K480" s="4" t="e">
        <f t="shared" si="93"/>
        <v>#N/A</v>
      </c>
      <c r="L480" t="e">
        <f t="shared" si="94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5"/>
        <v>0</v>
      </c>
      <c r="B481">
        <f t="shared" si="96"/>
        <v>0</v>
      </c>
      <c r="C481">
        <f t="shared" si="97"/>
        <v>0</v>
      </c>
      <c r="D481">
        <f t="shared" si="98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9"/>
        <v>0</v>
      </c>
      <c r="G481">
        <f t="shared" si="100"/>
        <v>0</v>
      </c>
      <c r="H481">
        <f t="shared" si="101"/>
        <v>0</v>
      </c>
      <c r="I481">
        <f t="shared" si="102"/>
        <v>0</v>
      </c>
      <c r="J481">
        <f t="shared" si="103"/>
        <v>0</v>
      </c>
      <c r="K481" s="4" t="e">
        <f t="shared" si="93"/>
        <v>#N/A</v>
      </c>
      <c r="L481" t="e">
        <f t="shared" si="94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5"/>
        <v>0</v>
      </c>
      <c r="B482">
        <f t="shared" si="96"/>
        <v>0</v>
      </c>
      <c r="C482">
        <f t="shared" si="97"/>
        <v>0</v>
      </c>
      <c r="D482">
        <f t="shared" si="98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9"/>
        <v>0</v>
      </c>
      <c r="G482">
        <f t="shared" si="100"/>
        <v>0</v>
      </c>
      <c r="H482">
        <f t="shared" si="101"/>
        <v>0</v>
      </c>
      <c r="I482">
        <f t="shared" si="102"/>
        <v>0</v>
      </c>
      <c r="J482">
        <f t="shared" si="103"/>
        <v>0</v>
      </c>
      <c r="K482" s="4" t="e">
        <f t="shared" si="93"/>
        <v>#N/A</v>
      </c>
      <c r="L482" t="e">
        <f t="shared" si="94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5"/>
        <v>0</v>
      </c>
      <c r="B483">
        <f t="shared" si="96"/>
        <v>0</v>
      </c>
      <c r="C483">
        <f t="shared" si="97"/>
        <v>0</v>
      </c>
      <c r="D483">
        <f t="shared" si="98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9"/>
        <v>0</v>
      </c>
      <c r="G483">
        <f t="shared" si="100"/>
        <v>0</v>
      </c>
      <c r="H483">
        <f t="shared" si="101"/>
        <v>0</v>
      </c>
      <c r="I483">
        <f t="shared" si="102"/>
        <v>0</v>
      </c>
      <c r="J483">
        <f t="shared" si="103"/>
        <v>0</v>
      </c>
      <c r="K483" s="4" t="e">
        <f t="shared" si="93"/>
        <v>#N/A</v>
      </c>
      <c r="L483" t="e">
        <f t="shared" si="94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5"/>
        <v>0</v>
      </c>
      <c r="B484">
        <f t="shared" si="96"/>
        <v>0</v>
      </c>
      <c r="C484">
        <f t="shared" si="97"/>
        <v>0</v>
      </c>
      <c r="D484">
        <f t="shared" si="98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9"/>
        <v>0</v>
      </c>
      <c r="G484">
        <f t="shared" si="100"/>
        <v>0</v>
      </c>
      <c r="H484">
        <f t="shared" si="101"/>
        <v>0</v>
      </c>
      <c r="I484">
        <f t="shared" si="102"/>
        <v>0</v>
      </c>
      <c r="J484">
        <f t="shared" si="103"/>
        <v>0</v>
      </c>
      <c r="K484" s="4" t="e">
        <f t="shared" si="93"/>
        <v>#N/A</v>
      </c>
      <c r="L484" t="e">
        <f t="shared" si="94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5"/>
        <v>0</v>
      </c>
      <c r="B485">
        <f t="shared" si="96"/>
        <v>0</v>
      </c>
      <c r="C485">
        <f t="shared" si="97"/>
        <v>0</v>
      </c>
      <c r="D485">
        <f t="shared" si="98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9"/>
        <v>0</v>
      </c>
      <c r="G485">
        <f t="shared" si="100"/>
        <v>0</v>
      </c>
      <c r="H485">
        <f t="shared" si="101"/>
        <v>0</v>
      </c>
      <c r="I485">
        <f t="shared" si="102"/>
        <v>0</v>
      </c>
      <c r="J485">
        <f t="shared" si="103"/>
        <v>0</v>
      </c>
      <c r="K485" s="4" t="e">
        <f t="shared" si="93"/>
        <v>#N/A</v>
      </c>
      <c r="L485" t="e">
        <f t="shared" si="94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5"/>
        <v>0</v>
      </c>
      <c r="B486">
        <f t="shared" si="96"/>
        <v>0</v>
      </c>
      <c r="C486">
        <f t="shared" si="97"/>
        <v>0</v>
      </c>
      <c r="D486">
        <f t="shared" si="98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9"/>
        <v>0</v>
      </c>
      <c r="G486">
        <f t="shared" si="100"/>
        <v>0</v>
      </c>
      <c r="H486">
        <f t="shared" si="101"/>
        <v>0</v>
      </c>
      <c r="I486">
        <f t="shared" si="102"/>
        <v>0</v>
      </c>
      <c r="J486">
        <f t="shared" si="103"/>
        <v>0</v>
      </c>
      <c r="K486" s="4" t="e">
        <f t="shared" si="93"/>
        <v>#N/A</v>
      </c>
      <c r="L486" t="e">
        <f t="shared" si="94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5"/>
        <v>0</v>
      </c>
      <c r="B487">
        <f t="shared" si="96"/>
        <v>0</v>
      </c>
      <c r="C487">
        <f t="shared" si="97"/>
        <v>0</v>
      </c>
      <c r="D487">
        <f t="shared" si="98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9"/>
        <v>0</v>
      </c>
      <c r="G487">
        <f t="shared" si="100"/>
        <v>0</v>
      </c>
      <c r="H487">
        <f t="shared" si="101"/>
        <v>0</v>
      </c>
      <c r="I487">
        <f t="shared" si="102"/>
        <v>0</v>
      </c>
      <c r="J487">
        <f t="shared" si="103"/>
        <v>0</v>
      </c>
      <c r="K487" s="4" t="e">
        <f t="shared" si="93"/>
        <v>#N/A</v>
      </c>
      <c r="L487" t="e">
        <f t="shared" si="94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5"/>
        <v>0</v>
      </c>
      <c r="B488">
        <f t="shared" si="96"/>
        <v>0</v>
      </c>
      <c r="C488">
        <f t="shared" si="97"/>
        <v>0</v>
      </c>
      <c r="D488">
        <f t="shared" si="98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9"/>
        <v>0</v>
      </c>
      <c r="G488">
        <f t="shared" si="100"/>
        <v>0</v>
      </c>
      <c r="H488">
        <f t="shared" si="101"/>
        <v>0</v>
      </c>
      <c r="I488">
        <f t="shared" si="102"/>
        <v>0</v>
      </c>
      <c r="J488">
        <f t="shared" si="103"/>
        <v>0</v>
      </c>
      <c r="K488" s="4" t="e">
        <f t="shared" si="93"/>
        <v>#N/A</v>
      </c>
      <c r="L488" t="e">
        <f t="shared" si="94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5"/>
        <v>0</v>
      </c>
      <c r="B489">
        <f t="shared" si="96"/>
        <v>0</v>
      </c>
      <c r="C489">
        <f t="shared" si="97"/>
        <v>0</v>
      </c>
      <c r="D489">
        <f t="shared" si="98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9"/>
        <v>0</v>
      </c>
      <c r="G489">
        <f t="shared" si="100"/>
        <v>0</v>
      </c>
      <c r="H489">
        <f t="shared" si="101"/>
        <v>0</v>
      </c>
      <c r="I489">
        <f t="shared" si="102"/>
        <v>0</v>
      </c>
      <c r="J489">
        <f t="shared" si="103"/>
        <v>0</v>
      </c>
      <c r="K489" s="4" t="e">
        <f t="shared" si="93"/>
        <v>#N/A</v>
      </c>
      <c r="L489" t="e">
        <f t="shared" si="94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5"/>
        <v>0</v>
      </c>
      <c r="B490">
        <f t="shared" si="96"/>
        <v>0</v>
      </c>
      <c r="C490">
        <f t="shared" si="97"/>
        <v>0</v>
      </c>
      <c r="D490">
        <f t="shared" si="98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9"/>
        <v>0</v>
      </c>
      <c r="G490">
        <f t="shared" si="100"/>
        <v>0</v>
      </c>
      <c r="H490">
        <f t="shared" si="101"/>
        <v>0</v>
      </c>
      <c r="I490">
        <f t="shared" si="102"/>
        <v>0</v>
      </c>
      <c r="J490">
        <f t="shared" si="103"/>
        <v>0</v>
      </c>
      <c r="K490" s="4" t="e">
        <f t="shared" si="93"/>
        <v>#N/A</v>
      </c>
      <c r="L490" t="e">
        <f t="shared" si="94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5"/>
        <v>0</v>
      </c>
      <c r="B491">
        <f t="shared" si="96"/>
        <v>0</v>
      </c>
      <c r="C491">
        <f t="shared" si="97"/>
        <v>0</v>
      </c>
      <c r="D491">
        <f t="shared" si="98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9"/>
        <v>0</v>
      </c>
      <c r="G491">
        <f t="shared" si="100"/>
        <v>0</v>
      </c>
      <c r="H491">
        <f t="shared" si="101"/>
        <v>0</v>
      </c>
      <c r="I491">
        <f t="shared" si="102"/>
        <v>0</v>
      </c>
      <c r="J491">
        <f t="shared" si="103"/>
        <v>0</v>
      </c>
      <c r="K491" s="4" t="e">
        <f t="shared" si="93"/>
        <v>#N/A</v>
      </c>
      <c r="L491" t="e">
        <f t="shared" si="94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5"/>
        <v>0</v>
      </c>
      <c r="B492">
        <f t="shared" si="96"/>
        <v>0</v>
      </c>
      <c r="C492">
        <f t="shared" si="97"/>
        <v>0</v>
      </c>
      <c r="D492">
        <f t="shared" si="98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9"/>
        <v>0</v>
      </c>
      <c r="G492">
        <f t="shared" si="100"/>
        <v>0</v>
      </c>
      <c r="H492">
        <f t="shared" si="101"/>
        <v>0</v>
      </c>
      <c r="I492">
        <f t="shared" si="102"/>
        <v>0</v>
      </c>
      <c r="J492">
        <f t="shared" si="103"/>
        <v>0</v>
      </c>
      <c r="K492" s="4" t="e">
        <f t="shared" ref="K492:K555" si="106">IF(LEFT(B492,3)="DBM",0,VLOOKUP(E492,tabela,2,FALSE))</f>
        <v>#N/A</v>
      </c>
      <c r="L492" t="e">
        <f t="shared" ref="L492:L555" si="107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5"/>
        <v>0</v>
      </c>
      <c r="B493">
        <f t="shared" si="96"/>
        <v>0</v>
      </c>
      <c r="C493">
        <f t="shared" si="97"/>
        <v>0</v>
      </c>
      <c r="D493">
        <f t="shared" si="98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9"/>
        <v>0</v>
      </c>
      <c r="G493">
        <f t="shared" si="100"/>
        <v>0</v>
      </c>
      <c r="H493">
        <f t="shared" si="101"/>
        <v>0</v>
      </c>
      <c r="I493">
        <f t="shared" si="102"/>
        <v>0</v>
      </c>
      <c r="J493">
        <f t="shared" si="103"/>
        <v>0</v>
      </c>
      <c r="K493" s="4" t="e">
        <f t="shared" si="106"/>
        <v>#N/A</v>
      </c>
      <c r="L493" t="e">
        <f t="shared" si="107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5"/>
        <v>0</v>
      </c>
      <c r="B494">
        <f t="shared" si="96"/>
        <v>0</v>
      </c>
      <c r="C494">
        <f t="shared" si="97"/>
        <v>0</v>
      </c>
      <c r="D494">
        <f t="shared" si="98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9"/>
        <v>0</v>
      </c>
      <c r="G494">
        <f t="shared" si="100"/>
        <v>0</v>
      </c>
      <c r="H494">
        <f t="shared" si="101"/>
        <v>0</v>
      </c>
      <c r="I494">
        <f t="shared" si="102"/>
        <v>0</v>
      </c>
      <c r="J494">
        <f t="shared" si="103"/>
        <v>0</v>
      </c>
      <c r="K494" s="4" t="e">
        <f t="shared" si="106"/>
        <v>#N/A</v>
      </c>
      <c r="L494" t="e">
        <f t="shared" si="107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5"/>
        <v>0</v>
      </c>
      <c r="B495">
        <f t="shared" si="96"/>
        <v>0</v>
      </c>
      <c r="C495">
        <f t="shared" si="97"/>
        <v>0</v>
      </c>
      <c r="D495">
        <f t="shared" si="98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9"/>
        <v>0</v>
      </c>
      <c r="G495">
        <f t="shared" si="100"/>
        <v>0</v>
      </c>
      <c r="H495">
        <f t="shared" si="101"/>
        <v>0</v>
      </c>
      <c r="I495">
        <f t="shared" si="102"/>
        <v>0</v>
      </c>
      <c r="J495">
        <f t="shared" si="103"/>
        <v>0</v>
      </c>
      <c r="K495" s="4" t="e">
        <f t="shared" si="106"/>
        <v>#N/A</v>
      </c>
      <c r="L495" t="e">
        <f t="shared" si="107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5"/>
        <v>0</v>
      </c>
      <c r="B496">
        <f t="shared" si="96"/>
        <v>0</v>
      </c>
      <c r="C496">
        <f t="shared" si="97"/>
        <v>0</v>
      </c>
      <c r="D496">
        <f t="shared" si="98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9"/>
        <v>0</v>
      </c>
      <c r="G496">
        <f t="shared" si="100"/>
        <v>0</v>
      </c>
      <c r="H496">
        <f t="shared" si="101"/>
        <v>0</v>
      </c>
      <c r="I496">
        <f t="shared" si="102"/>
        <v>0</v>
      </c>
      <c r="J496">
        <f t="shared" si="103"/>
        <v>0</v>
      </c>
      <c r="K496" s="4" t="e">
        <f t="shared" si="106"/>
        <v>#N/A</v>
      </c>
      <c r="L496" t="e">
        <f t="shared" si="107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5"/>
        <v>0</v>
      </c>
      <c r="B497">
        <f t="shared" si="96"/>
        <v>0</v>
      </c>
      <c r="C497">
        <f t="shared" si="97"/>
        <v>0</v>
      </c>
      <c r="D497">
        <f t="shared" si="98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9"/>
        <v>0</v>
      </c>
      <c r="G497">
        <f t="shared" si="100"/>
        <v>0</v>
      </c>
      <c r="H497">
        <f t="shared" si="101"/>
        <v>0</v>
      </c>
      <c r="I497">
        <f t="shared" si="102"/>
        <v>0</v>
      </c>
      <c r="J497">
        <f t="shared" si="103"/>
        <v>0</v>
      </c>
      <c r="K497" s="4" t="e">
        <f t="shared" si="106"/>
        <v>#N/A</v>
      </c>
      <c r="L497" t="e">
        <f t="shared" si="107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5"/>
        <v>0</v>
      </c>
      <c r="B498">
        <f t="shared" si="96"/>
        <v>0</v>
      </c>
      <c r="C498">
        <f t="shared" si="97"/>
        <v>0</v>
      </c>
      <c r="D498">
        <f t="shared" si="98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9"/>
        <v>0</v>
      </c>
      <c r="G498">
        <f t="shared" si="100"/>
        <v>0</v>
      </c>
      <c r="H498">
        <f t="shared" si="101"/>
        <v>0</v>
      </c>
      <c r="I498">
        <f t="shared" si="102"/>
        <v>0</v>
      </c>
      <c r="J498">
        <f t="shared" si="103"/>
        <v>0</v>
      </c>
      <c r="K498" s="4" t="e">
        <f t="shared" si="106"/>
        <v>#N/A</v>
      </c>
      <c r="L498" t="e">
        <f t="shared" si="107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5"/>
        <v>0</v>
      </c>
      <c r="B499">
        <f t="shared" si="96"/>
        <v>0</v>
      </c>
      <c r="C499">
        <f t="shared" si="97"/>
        <v>0</v>
      </c>
      <c r="D499">
        <f t="shared" si="98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9"/>
        <v>0</v>
      </c>
      <c r="G499">
        <f t="shared" si="100"/>
        <v>0</v>
      </c>
      <c r="H499">
        <f t="shared" si="101"/>
        <v>0</v>
      </c>
      <c r="I499">
        <f t="shared" si="102"/>
        <v>0</v>
      </c>
      <c r="J499">
        <f t="shared" si="103"/>
        <v>0</v>
      </c>
      <c r="K499" s="4" t="e">
        <f t="shared" si="106"/>
        <v>#N/A</v>
      </c>
      <c r="L499" t="e">
        <f t="shared" si="107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5"/>
        <v>0</v>
      </c>
      <c r="B500">
        <f t="shared" si="96"/>
        <v>0</v>
      </c>
      <c r="C500">
        <f t="shared" si="97"/>
        <v>0</v>
      </c>
      <c r="D500">
        <f t="shared" si="98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9"/>
        <v>0</v>
      </c>
      <c r="G500">
        <f t="shared" si="100"/>
        <v>0</v>
      </c>
      <c r="H500">
        <f t="shared" si="101"/>
        <v>0</v>
      </c>
      <c r="I500">
        <f t="shared" si="102"/>
        <v>0</v>
      </c>
      <c r="J500">
        <f t="shared" si="103"/>
        <v>0</v>
      </c>
      <c r="K500" s="4" t="e">
        <f t="shared" si="106"/>
        <v>#N/A</v>
      </c>
      <c r="L500" t="e">
        <f t="shared" si="107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5"/>
        <v>0</v>
      </c>
      <c r="B501">
        <f t="shared" si="96"/>
        <v>0</v>
      </c>
      <c r="C501">
        <f t="shared" si="97"/>
        <v>0</v>
      </c>
      <c r="D501">
        <f t="shared" si="98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9"/>
        <v>0</v>
      </c>
      <c r="G501">
        <f t="shared" si="100"/>
        <v>0</v>
      </c>
      <c r="H501">
        <f t="shared" si="101"/>
        <v>0</v>
      </c>
      <c r="I501">
        <f t="shared" si="102"/>
        <v>0</v>
      </c>
      <c r="J501">
        <f t="shared" si="103"/>
        <v>0</v>
      </c>
      <c r="K501" s="4" t="e">
        <f t="shared" si="106"/>
        <v>#N/A</v>
      </c>
      <c r="L501" t="e">
        <f t="shared" si="107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5"/>
        <v>0</v>
      </c>
      <c r="B502">
        <f t="shared" si="96"/>
        <v>0</v>
      </c>
      <c r="C502">
        <f t="shared" si="97"/>
        <v>0</v>
      </c>
      <c r="D502">
        <f t="shared" si="98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9"/>
        <v>0</v>
      </c>
      <c r="G502">
        <f t="shared" si="100"/>
        <v>0</v>
      </c>
      <c r="H502">
        <f t="shared" si="101"/>
        <v>0</v>
      </c>
      <c r="I502">
        <f t="shared" si="102"/>
        <v>0</v>
      </c>
      <c r="J502">
        <f t="shared" si="103"/>
        <v>0</v>
      </c>
      <c r="K502" s="4" t="e">
        <f t="shared" si="106"/>
        <v>#N/A</v>
      </c>
      <c r="L502" t="e">
        <f t="shared" si="107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5"/>
        <v>0</v>
      </c>
      <c r="B503">
        <f t="shared" si="96"/>
        <v>0</v>
      </c>
      <c r="C503">
        <f t="shared" si="97"/>
        <v>0</v>
      </c>
      <c r="D503">
        <f t="shared" si="98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9"/>
        <v>0</v>
      </c>
      <c r="G503">
        <f t="shared" si="100"/>
        <v>0</v>
      </c>
      <c r="H503">
        <f t="shared" si="101"/>
        <v>0</v>
      </c>
      <c r="I503">
        <f t="shared" si="102"/>
        <v>0</v>
      </c>
      <c r="J503">
        <f t="shared" si="103"/>
        <v>0</v>
      </c>
      <c r="K503" s="4" t="e">
        <f t="shared" si="106"/>
        <v>#N/A</v>
      </c>
      <c r="L503" t="e">
        <f t="shared" si="107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5"/>
        <v>0</v>
      </c>
      <c r="B504">
        <f t="shared" si="96"/>
        <v>0</v>
      </c>
      <c r="C504">
        <f t="shared" si="97"/>
        <v>0</v>
      </c>
      <c r="D504">
        <f t="shared" si="98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9"/>
        <v>0</v>
      </c>
      <c r="G504">
        <f t="shared" si="100"/>
        <v>0</v>
      </c>
      <c r="H504">
        <f t="shared" si="101"/>
        <v>0</v>
      </c>
      <c r="I504">
        <f t="shared" si="102"/>
        <v>0</v>
      </c>
      <c r="J504">
        <f t="shared" si="103"/>
        <v>0</v>
      </c>
      <c r="K504" s="4" t="e">
        <f t="shared" si="106"/>
        <v>#N/A</v>
      </c>
      <c r="L504" t="e">
        <f t="shared" si="107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5"/>
        <v>0</v>
      </c>
      <c r="B505">
        <f t="shared" si="96"/>
        <v>0</v>
      </c>
      <c r="C505">
        <f t="shared" si="97"/>
        <v>0</v>
      </c>
      <c r="D505">
        <f t="shared" si="98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9"/>
        <v>0</v>
      </c>
      <c r="G505">
        <f t="shared" si="100"/>
        <v>0</v>
      </c>
      <c r="H505">
        <f t="shared" si="101"/>
        <v>0</v>
      </c>
      <c r="I505">
        <f t="shared" si="102"/>
        <v>0</v>
      </c>
      <c r="J505">
        <f t="shared" si="103"/>
        <v>0</v>
      </c>
      <c r="K505" s="4" t="e">
        <f t="shared" si="106"/>
        <v>#N/A</v>
      </c>
      <c r="L505" t="e">
        <f t="shared" si="107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5"/>
        <v>0</v>
      </c>
      <c r="B506">
        <f t="shared" si="96"/>
        <v>0</v>
      </c>
      <c r="C506">
        <f t="shared" si="97"/>
        <v>0</v>
      </c>
      <c r="D506">
        <f t="shared" si="98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9"/>
        <v>0</v>
      </c>
      <c r="G506">
        <f t="shared" si="100"/>
        <v>0</v>
      </c>
      <c r="H506">
        <f t="shared" si="101"/>
        <v>0</v>
      </c>
      <c r="I506">
        <f t="shared" si="102"/>
        <v>0</v>
      </c>
      <c r="J506">
        <f t="shared" si="103"/>
        <v>0</v>
      </c>
      <c r="K506" s="4" t="e">
        <f t="shared" si="106"/>
        <v>#N/A</v>
      </c>
      <c r="L506" t="e">
        <f t="shared" si="107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5"/>
        <v>0</v>
      </c>
      <c r="B507">
        <f t="shared" si="96"/>
        <v>0</v>
      </c>
      <c r="C507">
        <f t="shared" si="97"/>
        <v>0</v>
      </c>
      <c r="D507">
        <f t="shared" si="98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9"/>
        <v>0</v>
      </c>
      <c r="G507">
        <f t="shared" si="100"/>
        <v>0</v>
      </c>
      <c r="H507">
        <f t="shared" si="101"/>
        <v>0</v>
      </c>
      <c r="I507">
        <f t="shared" si="102"/>
        <v>0</v>
      </c>
      <c r="J507">
        <f t="shared" si="103"/>
        <v>0</v>
      </c>
      <c r="K507" s="4" t="e">
        <f t="shared" si="106"/>
        <v>#N/A</v>
      </c>
      <c r="L507" t="e">
        <f t="shared" si="107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5"/>
        <v>0</v>
      </c>
      <c r="B508">
        <f t="shared" si="96"/>
        <v>0</v>
      </c>
      <c r="C508">
        <f t="shared" si="97"/>
        <v>0</v>
      </c>
      <c r="D508">
        <f t="shared" si="98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9"/>
        <v>0</v>
      </c>
      <c r="G508">
        <f t="shared" si="100"/>
        <v>0</v>
      </c>
      <c r="H508">
        <f t="shared" si="101"/>
        <v>0</v>
      </c>
      <c r="I508">
        <f t="shared" si="102"/>
        <v>0</v>
      </c>
      <c r="J508">
        <f t="shared" si="103"/>
        <v>0</v>
      </c>
      <c r="K508" s="4" t="e">
        <f t="shared" si="106"/>
        <v>#N/A</v>
      </c>
      <c r="L508" t="e">
        <f t="shared" si="107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5"/>
        <v>0</v>
      </c>
      <c r="B509">
        <f t="shared" si="96"/>
        <v>0</v>
      </c>
      <c r="C509">
        <f t="shared" si="97"/>
        <v>0</v>
      </c>
      <c r="D509">
        <f t="shared" si="98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9"/>
        <v>0</v>
      </c>
      <c r="G509">
        <f t="shared" si="100"/>
        <v>0</v>
      </c>
      <c r="H509">
        <f t="shared" si="101"/>
        <v>0</v>
      </c>
      <c r="I509">
        <f t="shared" si="102"/>
        <v>0</v>
      </c>
      <c r="J509">
        <f t="shared" si="103"/>
        <v>0</v>
      </c>
      <c r="K509" s="4" t="e">
        <f t="shared" si="106"/>
        <v>#N/A</v>
      </c>
      <c r="L509" t="e">
        <f t="shared" si="107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5"/>
        <v>0</v>
      </c>
      <c r="B510">
        <f t="shared" si="96"/>
        <v>0</v>
      </c>
      <c r="C510">
        <f t="shared" si="97"/>
        <v>0</v>
      </c>
      <c r="D510">
        <f t="shared" si="98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9"/>
        <v>0</v>
      </c>
      <c r="G510">
        <f t="shared" si="100"/>
        <v>0</v>
      </c>
      <c r="H510">
        <f t="shared" si="101"/>
        <v>0</v>
      </c>
      <c r="I510">
        <f t="shared" si="102"/>
        <v>0</v>
      </c>
      <c r="J510">
        <f t="shared" si="103"/>
        <v>0</v>
      </c>
      <c r="K510" s="4" t="e">
        <f t="shared" si="106"/>
        <v>#N/A</v>
      </c>
      <c r="L510" t="e">
        <f t="shared" si="107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5"/>
        <v>0</v>
      </c>
      <c r="B511">
        <f t="shared" si="96"/>
        <v>0</v>
      </c>
      <c r="C511">
        <f t="shared" si="97"/>
        <v>0</v>
      </c>
      <c r="D511">
        <f t="shared" si="98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9"/>
        <v>0</v>
      </c>
      <c r="G511">
        <f t="shared" si="100"/>
        <v>0</v>
      </c>
      <c r="H511">
        <f t="shared" si="101"/>
        <v>0</v>
      </c>
      <c r="I511">
        <f t="shared" si="102"/>
        <v>0</v>
      </c>
      <c r="J511">
        <f t="shared" si="103"/>
        <v>0</v>
      </c>
      <c r="K511" s="4" t="e">
        <f t="shared" si="106"/>
        <v>#N/A</v>
      </c>
      <c r="L511" t="e">
        <f t="shared" si="107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5"/>
        <v>0</v>
      </c>
      <c r="B512">
        <f t="shared" si="96"/>
        <v>0</v>
      </c>
      <c r="C512">
        <f t="shared" si="97"/>
        <v>0</v>
      </c>
      <c r="D512">
        <f t="shared" si="98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9"/>
        <v>0</v>
      </c>
      <c r="G512">
        <f t="shared" si="100"/>
        <v>0</v>
      </c>
      <c r="H512">
        <f t="shared" si="101"/>
        <v>0</v>
      </c>
      <c r="I512">
        <f t="shared" si="102"/>
        <v>0</v>
      </c>
      <c r="J512">
        <f t="shared" si="103"/>
        <v>0</v>
      </c>
      <c r="K512" s="4" t="e">
        <f t="shared" si="106"/>
        <v>#N/A</v>
      </c>
      <c r="L512" t="e">
        <f t="shared" si="107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5"/>
        <v>0</v>
      </c>
      <c r="B513">
        <f t="shared" si="96"/>
        <v>0</v>
      </c>
      <c r="C513">
        <f t="shared" si="97"/>
        <v>0</v>
      </c>
      <c r="D513">
        <f t="shared" si="98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9"/>
        <v>0</v>
      </c>
      <c r="G513">
        <f t="shared" si="100"/>
        <v>0</v>
      </c>
      <c r="H513">
        <f t="shared" si="101"/>
        <v>0</v>
      </c>
      <c r="I513">
        <f t="shared" si="102"/>
        <v>0</v>
      </c>
      <c r="J513">
        <f t="shared" si="103"/>
        <v>0</v>
      </c>
      <c r="K513" s="4" t="e">
        <f t="shared" si="106"/>
        <v>#N/A</v>
      </c>
      <c r="L513" t="e">
        <f t="shared" si="107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8">bd_campaign</f>
        <v>0</v>
      </c>
      <c r="B514">
        <f t="shared" ref="B514:B577" si="109">bd_site</f>
        <v>0</v>
      </c>
      <c r="C514">
        <f t="shared" ref="C514:C577" si="110">bd_placement</f>
        <v>0</v>
      </c>
      <c r="D514">
        <f t="shared" ref="D514:D577" si="111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2">bd_ad</f>
        <v>0</v>
      </c>
      <c r="G514">
        <f t="shared" ref="G514:G577" si="113">bd_adid</f>
        <v>0</v>
      </c>
      <c r="H514">
        <f t="shared" ref="H514:H577" si="114">bd_creativetype</f>
        <v>0</v>
      </c>
      <c r="I514">
        <f t="shared" ref="I514:I577" si="115">bd_impression</f>
        <v>0</v>
      </c>
      <c r="J514">
        <f t="shared" ref="J514:J577" si="116">bd_clicks</f>
        <v>0</v>
      </c>
      <c r="K514" s="4" t="e">
        <f t="shared" si="106"/>
        <v>#N/A</v>
      </c>
      <c r="L514" t="e">
        <f t="shared" si="107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8"/>
        <v>0</v>
      </c>
      <c r="B515">
        <f t="shared" si="109"/>
        <v>0</v>
      </c>
      <c r="C515">
        <f t="shared" si="110"/>
        <v>0</v>
      </c>
      <c r="D515">
        <f t="shared" si="111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2"/>
        <v>0</v>
      </c>
      <c r="G515">
        <f t="shared" si="113"/>
        <v>0</v>
      </c>
      <c r="H515">
        <f t="shared" si="114"/>
        <v>0</v>
      </c>
      <c r="I515">
        <f t="shared" si="115"/>
        <v>0</v>
      </c>
      <c r="J515">
        <f t="shared" si="116"/>
        <v>0</v>
      </c>
      <c r="K515" s="4" t="e">
        <f t="shared" si="106"/>
        <v>#N/A</v>
      </c>
      <c r="L515" t="e">
        <f t="shared" si="107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8"/>
        <v>0</v>
      </c>
      <c r="B516">
        <f t="shared" si="109"/>
        <v>0</v>
      </c>
      <c r="C516">
        <f t="shared" si="110"/>
        <v>0</v>
      </c>
      <c r="D516">
        <f t="shared" si="111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2"/>
        <v>0</v>
      </c>
      <c r="G516">
        <f t="shared" si="113"/>
        <v>0</v>
      </c>
      <c r="H516">
        <f t="shared" si="114"/>
        <v>0</v>
      </c>
      <c r="I516">
        <f t="shared" si="115"/>
        <v>0</v>
      </c>
      <c r="J516">
        <f t="shared" si="116"/>
        <v>0</v>
      </c>
      <c r="K516" s="4" t="e">
        <f t="shared" si="106"/>
        <v>#N/A</v>
      </c>
      <c r="L516" t="e">
        <f t="shared" si="107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8"/>
        <v>0</v>
      </c>
      <c r="B517">
        <f t="shared" si="109"/>
        <v>0</v>
      </c>
      <c r="C517">
        <f t="shared" si="110"/>
        <v>0</v>
      </c>
      <c r="D517">
        <f t="shared" si="111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2"/>
        <v>0</v>
      </c>
      <c r="G517">
        <f t="shared" si="113"/>
        <v>0</v>
      </c>
      <c r="H517">
        <f t="shared" si="114"/>
        <v>0</v>
      </c>
      <c r="I517">
        <f t="shared" si="115"/>
        <v>0</v>
      </c>
      <c r="J517">
        <f t="shared" si="116"/>
        <v>0</v>
      </c>
      <c r="K517" s="4" t="e">
        <f t="shared" si="106"/>
        <v>#N/A</v>
      </c>
      <c r="L517" t="e">
        <f t="shared" si="107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8"/>
        <v>0</v>
      </c>
      <c r="B518">
        <f t="shared" si="109"/>
        <v>0</v>
      </c>
      <c r="C518">
        <f t="shared" si="110"/>
        <v>0</v>
      </c>
      <c r="D518">
        <f t="shared" si="111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2"/>
        <v>0</v>
      </c>
      <c r="G518">
        <f t="shared" si="113"/>
        <v>0</v>
      </c>
      <c r="H518">
        <f t="shared" si="114"/>
        <v>0</v>
      </c>
      <c r="I518">
        <f t="shared" si="115"/>
        <v>0</v>
      </c>
      <c r="J518">
        <f t="shared" si="116"/>
        <v>0</v>
      </c>
      <c r="K518" s="4" t="e">
        <f t="shared" si="106"/>
        <v>#N/A</v>
      </c>
      <c r="L518" t="e">
        <f t="shared" si="107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8"/>
        <v>0</v>
      </c>
      <c r="B519">
        <f t="shared" si="109"/>
        <v>0</v>
      </c>
      <c r="C519">
        <f t="shared" si="110"/>
        <v>0</v>
      </c>
      <c r="D519">
        <f t="shared" si="111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2"/>
        <v>0</v>
      </c>
      <c r="G519">
        <f t="shared" si="113"/>
        <v>0</v>
      </c>
      <c r="H519">
        <f t="shared" si="114"/>
        <v>0</v>
      </c>
      <c r="I519">
        <f t="shared" si="115"/>
        <v>0</v>
      </c>
      <c r="J519">
        <f t="shared" si="116"/>
        <v>0</v>
      </c>
      <c r="K519" s="4" t="e">
        <f t="shared" si="106"/>
        <v>#N/A</v>
      </c>
      <c r="L519" t="e">
        <f t="shared" si="107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8"/>
        <v>0</v>
      </c>
      <c r="B520">
        <f t="shared" si="109"/>
        <v>0</v>
      </c>
      <c r="C520">
        <f t="shared" si="110"/>
        <v>0</v>
      </c>
      <c r="D520">
        <f t="shared" si="111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2"/>
        <v>0</v>
      </c>
      <c r="G520">
        <f t="shared" si="113"/>
        <v>0</v>
      </c>
      <c r="H520">
        <f t="shared" si="114"/>
        <v>0</v>
      </c>
      <c r="I520">
        <f t="shared" si="115"/>
        <v>0</v>
      </c>
      <c r="J520">
        <f t="shared" si="116"/>
        <v>0</v>
      </c>
      <c r="K520" s="4" t="e">
        <f t="shared" si="106"/>
        <v>#N/A</v>
      </c>
      <c r="L520" t="e">
        <f t="shared" si="107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8"/>
        <v>0</v>
      </c>
      <c r="B521">
        <f t="shared" si="109"/>
        <v>0</v>
      </c>
      <c r="C521">
        <f t="shared" si="110"/>
        <v>0</v>
      </c>
      <c r="D521">
        <f t="shared" si="111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2"/>
        <v>0</v>
      </c>
      <c r="G521">
        <f t="shared" si="113"/>
        <v>0</v>
      </c>
      <c r="H521">
        <f t="shared" si="114"/>
        <v>0</v>
      </c>
      <c r="I521">
        <f t="shared" si="115"/>
        <v>0</v>
      </c>
      <c r="J521">
        <f t="shared" si="116"/>
        <v>0</v>
      </c>
      <c r="K521" s="4" t="e">
        <f t="shared" si="106"/>
        <v>#N/A</v>
      </c>
      <c r="L521" t="e">
        <f t="shared" si="107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8"/>
        <v>0</v>
      </c>
      <c r="B522">
        <f t="shared" si="109"/>
        <v>0</v>
      </c>
      <c r="C522">
        <f t="shared" si="110"/>
        <v>0</v>
      </c>
      <c r="D522">
        <f t="shared" si="111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2"/>
        <v>0</v>
      </c>
      <c r="G522">
        <f t="shared" si="113"/>
        <v>0</v>
      </c>
      <c r="H522">
        <f t="shared" si="114"/>
        <v>0</v>
      </c>
      <c r="I522">
        <f t="shared" si="115"/>
        <v>0</v>
      </c>
      <c r="J522">
        <f t="shared" si="116"/>
        <v>0</v>
      </c>
      <c r="K522" s="4" t="e">
        <f t="shared" si="106"/>
        <v>#N/A</v>
      </c>
      <c r="L522" t="e">
        <f t="shared" si="107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8"/>
        <v>0</v>
      </c>
      <c r="B523">
        <f t="shared" si="109"/>
        <v>0</v>
      </c>
      <c r="C523">
        <f t="shared" si="110"/>
        <v>0</v>
      </c>
      <c r="D523">
        <f t="shared" si="111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2"/>
        <v>0</v>
      </c>
      <c r="G523">
        <f t="shared" si="113"/>
        <v>0</v>
      </c>
      <c r="H523">
        <f t="shared" si="114"/>
        <v>0</v>
      </c>
      <c r="I523">
        <f t="shared" si="115"/>
        <v>0</v>
      </c>
      <c r="J523">
        <f t="shared" si="116"/>
        <v>0</v>
      </c>
      <c r="K523" s="4" t="e">
        <f t="shared" si="106"/>
        <v>#N/A</v>
      </c>
      <c r="L523" t="e">
        <f t="shared" si="107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8"/>
        <v>0</v>
      </c>
      <c r="B524">
        <f t="shared" si="109"/>
        <v>0</v>
      </c>
      <c r="C524">
        <f t="shared" si="110"/>
        <v>0</v>
      </c>
      <c r="D524">
        <f t="shared" si="111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2"/>
        <v>0</v>
      </c>
      <c r="G524">
        <f t="shared" si="113"/>
        <v>0</v>
      </c>
      <c r="H524">
        <f t="shared" si="114"/>
        <v>0</v>
      </c>
      <c r="I524">
        <f t="shared" si="115"/>
        <v>0</v>
      </c>
      <c r="J524">
        <f t="shared" si="116"/>
        <v>0</v>
      </c>
      <c r="K524" s="4" t="e">
        <f t="shared" si="106"/>
        <v>#N/A</v>
      </c>
      <c r="L524" t="e">
        <f t="shared" si="107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8"/>
        <v>0</v>
      </c>
      <c r="B525">
        <f t="shared" si="109"/>
        <v>0</v>
      </c>
      <c r="C525">
        <f t="shared" si="110"/>
        <v>0</v>
      </c>
      <c r="D525">
        <f t="shared" si="111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2"/>
        <v>0</v>
      </c>
      <c r="G525">
        <f t="shared" si="113"/>
        <v>0</v>
      </c>
      <c r="H525">
        <f t="shared" si="114"/>
        <v>0</v>
      </c>
      <c r="I525">
        <f t="shared" si="115"/>
        <v>0</v>
      </c>
      <c r="J525">
        <f t="shared" si="116"/>
        <v>0</v>
      </c>
      <c r="K525" s="4" t="e">
        <f t="shared" si="106"/>
        <v>#N/A</v>
      </c>
      <c r="L525" t="e">
        <f t="shared" si="107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8"/>
        <v>0</v>
      </c>
      <c r="B526">
        <f t="shared" si="109"/>
        <v>0</v>
      </c>
      <c r="C526">
        <f t="shared" si="110"/>
        <v>0</v>
      </c>
      <c r="D526">
        <f t="shared" si="111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2"/>
        <v>0</v>
      </c>
      <c r="G526">
        <f t="shared" si="113"/>
        <v>0</v>
      </c>
      <c r="H526">
        <f t="shared" si="114"/>
        <v>0</v>
      </c>
      <c r="I526">
        <f t="shared" si="115"/>
        <v>0</v>
      </c>
      <c r="J526">
        <f t="shared" si="116"/>
        <v>0</v>
      </c>
      <c r="K526" s="4" t="e">
        <f t="shared" si="106"/>
        <v>#N/A</v>
      </c>
      <c r="L526" t="e">
        <f t="shared" si="107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8"/>
        <v>0</v>
      </c>
      <c r="B527">
        <f t="shared" si="109"/>
        <v>0</v>
      </c>
      <c r="C527">
        <f t="shared" si="110"/>
        <v>0</v>
      </c>
      <c r="D527">
        <f t="shared" si="111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2"/>
        <v>0</v>
      </c>
      <c r="G527">
        <f t="shared" si="113"/>
        <v>0</v>
      </c>
      <c r="H527">
        <f t="shared" si="114"/>
        <v>0</v>
      </c>
      <c r="I527">
        <f t="shared" si="115"/>
        <v>0</v>
      </c>
      <c r="J527">
        <f t="shared" si="116"/>
        <v>0</v>
      </c>
      <c r="K527" s="4" t="e">
        <f t="shared" si="106"/>
        <v>#N/A</v>
      </c>
      <c r="L527" t="e">
        <f t="shared" si="107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8"/>
        <v>0</v>
      </c>
      <c r="B528">
        <f t="shared" si="109"/>
        <v>0</v>
      </c>
      <c r="C528">
        <f t="shared" si="110"/>
        <v>0</v>
      </c>
      <c r="D528">
        <f t="shared" si="111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2"/>
        <v>0</v>
      </c>
      <c r="G528">
        <f t="shared" si="113"/>
        <v>0</v>
      </c>
      <c r="H528">
        <f t="shared" si="114"/>
        <v>0</v>
      </c>
      <c r="I528">
        <f t="shared" si="115"/>
        <v>0</v>
      </c>
      <c r="J528">
        <f t="shared" si="116"/>
        <v>0</v>
      </c>
      <c r="K528" s="4" t="e">
        <f t="shared" si="106"/>
        <v>#N/A</v>
      </c>
      <c r="L528" t="e">
        <f t="shared" si="107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8"/>
        <v>0</v>
      </c>
      <c r="B529">
        <f t="shared" si="109"/>
        <v>0</v>
      </c>
      <c r="C529">
        <f t="shared" si="110"/>
        <v>0</v>
      </c>
      <c r="D529">
        <f t="shared" si="111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2"/>
        <v>0</v>
      </c>
      <c r="G529">
        <f t="shared" si="113"/>
        <v>0</v>
      </c>
      <c r="H529">
        <f t="shared" si="114"/>
        <v>0</v>
      </c>
      <c r="I529">
        <f t="shared" si="115"/>
        <v>0</v>
      </c>
      <c r="J529">
        <f t="shared" si="116"/>
        <v>0</v>
      </c>
      <c r="K529" s="4" t="e">
        <f t="shared" si="106"/>
        <v>#N/A</v>
      </c>
      <c r="L529" t="e">
        <f t="shared" si="107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8"/>
        <v>0</v>
      </c>
      <c r="B530">
        <f t="shared" si="109"/>
        <v>0</v>
      </c>
      <c r="C530">
        <f t="shared" si="110"/>
        <v>0</v>
      </c>
      <c r="D530">
        <f t="shared" si="111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2"/>
        <v>0</v>
      </c>
      <c r="G530">
        <f t="shared" si="113"/>
        <v>0</v>
      </c>
      <c r="H530">
        <f t="shared" si="114"/>
        <v>0</v>
      </c>
      <c r="I530">
        <f t="shared" si="115"/>
        <v>0</v>
      </c>
      <c r="J530">
        <f t="shared" si="116"/>
        <v>0</v>
      </c>
      <c r="K530" s="4" t="e">
        <f t="shared" si="106"/>
        <v>#N/A</v>
      </c>
      <c r="L530" t="e">
        <f t="shared" si="107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8"/>
        <v>0</v>
      </c>
      <c r="B531">
        <f t="shared" si="109"/>
        <v>0</v>
      </c>
      <c r="C531">
        <f t="shared" si="110"/>
        <v>0</v>
      </c>
      <c r="D531">
        <f t="shared" si="111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2"/>
        <v>0</v>
      </c>
      <c r="G531">
        <f t="shared" si="113"/>
        <v>0</v>
      </c>
      <c r="H531">
        <f t="shared" si="114"/>
        <v>0</v>
      </c>
      <c r="I531">
        <f t="shared" si="115"/>
        <v>0</v>
      </c>
      <c r="J531">
        <f t="shared" si="116"/>
        <v>0</v>
      </c>
      <c r="K531" s="4" t="e">
        <f t="shared" si="106"/>
        <v>#N/A</v>
      </c>
      <c r="L531" t="e">
        <f t="shared" si="107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8"/>
        <v>0</v>
      </c>
      <c r="B532">
        <f t="shared" si="109"/>
        <v>0</v>
      </c>
      <c r="C532">
        <f t="shared" si="110"/>
        <v>0</v>
      </c>
      <c r="D532">
        <f t="shared" si="111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2"/>
        <v>0</v>
      </c>
      <c r="G532">
        <f t="shared" si="113"/>
        <v>0</v>
      </c>
      <c r="H532">
        <f t="shared" si="114"/>
        <v>0</v>
      </c>
      <c r="I532">
        <f t="shared" si="115"/>
        <v>0</v>
      </c>
      <c r="J532">
        <f t="shared" si="116"/>
        <v>0</v>
      </c>
      <c r="K532" s="4" t="e">
        <f t="shared" si="106"/>
        <v>#N/A</v>
      </c>
      <c r="L532" t="e">
        <f t="shared" si="107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8"/>
        <v>0</v>
      </c>
      <c r="B533">
        <f t="shared" si="109"/>
        <v>0</v>
      </c>
      <c r="C533">
        <f t="shared" si="110"/>
        <v>0</v>
      </c>
      <c r="D533">
        <f t="shared" si="111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2"/>
        <v>0</v>
      </c>
      <c r="G533">
        <f t="shared" si="113"/>
        <v>0</v>
      </c>
      <c r="H533">
        <f t="shared" si="114"/>
        <v>0</v>
      </c>
      <c r="I533">
        <f t="shared" si="115"/>
        <v>0</v>
      </c>
      <c r="J533">
        <f t="shared" si="116"/>
        <v>0</v>
      </c>
      <c r="K533" s="4" t="e">
        <f t="shared" si="106"/>
        <v>#N/A</v>
      </c>
      <c r="L533" t="e">
        <f t="shared" si="107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8"/>
        <v>0</v>
      </c>
      <c r="B534">
        <f t="shared" si="109"/>
        <v>0</v>
      </c>
      <c r="C534">
        <f t="shared" si="110"/>
        <v>0</v>
      </c>
      <c r="D534">
        <f t="shared" si="111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2"/>
        <v>0</v>
      </c>
      <c r="G534">
        <f t="shared" si="113"/>
        <v>0</v>
      </c>
      <c r="H534">
        <f t="shared" si="114"/>
        <v>0</v>
      </c>
      <c r="I534">
        <f t="shared" si="115"/>
        <v>0</v>
      </c>
      <c r="J534">
        <f t="shared" si="116"/>
        <v>0</v>
      </c>
      <c r="K534" s="4" t="e">
        <f t="shared" si="106"/>
        <v>#N/A</v>
      </c>
      <c r="L534" t="e">
        <f t="shared" si="107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8"/>
        <v>0</v>
      </c>
      <c r="B535">
        <f t="shared" si="109"/>
        <v>0</v>
      </c>
      <c r="C535">
        <f t="shared" si="110"/>
        <v>0</v>
      </c>
      <c r="D535">
        <f t="shared" si="111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2"/>
        <v>0</v>
      </c>
      <c r="G535">
        <f t="shared" si="113"/>
        <v>0</v>
      </c>
      <c r="H535">
        <f t="shared" si="114"/>
        <v>0</v>
      </c>
      <c r="I535">
        <f t="shared" si="115"/>
        <v>0</v>
      </c>
      <c r="J535">
        <f t="shared" si="116"/>
        <v>0</v>
      </c>
      <c r="K535" s="4" t="e">
        <f t="shared" si="106"/>
        <v>#N/A</v>
      </c>
      <c r="L535" t="e">
        <f t="shared" si="107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8"/>
        <v>0</v>
      </c>
      <c r="B536">
        <f t="shared" si="109"/>
        <v>0</v>
      </c>
      <c r="C536">
        <f t="shared" si="110"/>
        <v>0</v>
      </c>
      <c r="D536">
        <f t="shared" si="111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2"/>
        <v>0</v>
      </c>
      <c r="G536">
        <f t="shared" si="113"/>
        <v>0</v>
      </c>
      <c r="H536">
        <f t="shared" si="114"/>
        <v>0</v>
      </c>
      <c r="I536">
        <f t="shared" si="115"/>
        <v>0</v>
      </c>
      <c r="J536">
        <f t="shared" si="116"/>
        <v>0</v>
      </c>
      <c r="K536" s="4" t="e">
        <f t="shared" si="106"/>
        <v>#N/A</v>
      </c>
      <c r="L536" t="e">
        <f t="shared" si="107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8"/>
        <v>0</v>
      </c>
      <c r="B537">
        <f t="shared" si="109"/>
        <v>0</v>
      </c>
      <c r="C537">
        <f t="shared" si="110"/>
        <v>0</v>
      </c>
      <c r="D537">
        <f t="shared" si="111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2"/>
        <v>0</v>
      </c>
      <c r="G537">
        <f t="shared" si="113"/>
        <v>0</v>
      </c>
      <c r="H537">
        <f t="shared" si="114"/>
        <v>0</v>
      </c>
      <c r="I537">
        <f t="shared" si="115"/>
        <v>0</v>
      </c>
      <c r="J537">
        <f t="shared" si="116"/>
        <v>0</v>
      </c>
      <c r="K537" s="4" t="e">
        <f t="shared" si="106"/>
        <v>#N/A</v>
      </c>
      <c r="L537" t="e">
        <f t="shared" si="107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8"/>
        <v>0</v>
      </c>
      <c r="B538">
        <f t="shared" si="109"/>
        <v>0</v>
      </c>
      <c r="C538">
        <f t="shared" si="110"/>
        <v>0</v>
      </c>
      <c r="D538">
        <f t="shared" si="111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2"/>
        <v>0</v>
      </c>
      <c r="G538">
        <f t="shared" si="113"/>
        <v>0</v>
      </c>
      <c r="H538">
        <f t="shared" si="114"/>
        <v>0</v>
      </c>
      <c r="I538">
        <f t="shared" si="115"/>
        <v>0</v>
      </c>
      <c r="J538">
        <f t="shared" si="116"/>
        <v>0</v>
      </c>
      <c r="K538" s="4" t="e">
        <f t="shared" si="106"/>
        <v>#N/A</v>
      </c>
      <c r="L538" t="e">
        <f t="shared" si="107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8"/>
        <v>0</v>
      </c>
      <c r="B539">
        <f t="shared" si="109"/>
        <v>0</v>
      </c>
      <c r="C539">
        <f t="shared" si="110"/>
        <v>0</v>
      </c>
      <c r="D539">
        <f t="shared" si="111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2"/>
        <v>0</v>
      </c>
      <c r="G539">
        <f t="shared" si="113"/>
        <v>0</v>
      </c>
      <c r="H539">
        <f t="shared" si="114"/>
        <v>0</v>
      </c>
      <c r="I539">
        <f t="shared" si="115"/>
        <v>0</v>
      </c>
      <c r="J539">
        <f t="shared" si="116"/>
        <v>0</v>
      </c>
      <c r="K539" s="4" t="e">
        <f t="shared" si="106"/>
        <v>#N/A</v>
      </c>
      <c r="L539" t="e">
        <f t="shared" si="107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8"/>
        <v>0</v>
      </c>
      <c r="B540">
        <f t="shared" si="109"/>
        <v>0</v>
      </c>
      <c r="C540">
        <f t="shared" si="110"/>
        <v>0</v>
      </c>
      <c r="D540">
        <f t="shared" si="111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2"/>
        <v>0</v>
      </c>
      <c r="G540">
        <f t="shared" si="113"/>
        <v>0</v>
      </c>
      <c r="H540">
        <f t="shared" si="114"/>
        <v>0</v>
      </c>
      <c r="I540">
        <f t="shared" si="115"/>
        <v>0</v>
      </c>
      <c r="J540">
        <f t="shared" si="116"/>
        <v>0</v>
      </c>
      <c r="K540" s="4" t="e">
        <f t="shared" si="106"/>
        <v>#N/A</v>
      </c>
      <c r="L540" t="e">
        <f t="shared" si="107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8"/>
        <v>0</v>
      </c>
      <c r="B541">
        <f t="shared" si="109"/>
        <v>0</v>
      </c>
      <c r="C541">
        <f t="shared" si="110"/>
        <v>0</v>
      </c>
      <c r="D541">
        <f t="shared" si="111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2"/>
        <v>0</v>
      </c>
      <c r="G541">
        <f t="shared" si="113"/>
        <v>0</v>
      </c>
      <c r="H541">
        <f t="shared" si="114"/>
        <v>0</v>
      </c>
      <c r="I541">
        <f t="shared" si="115"/>
        <v>0</v>
      </c>
      <c r="J541">
        <f t="shared" si="116"/>
        <v>0</v>
      </c>
      <c r="K541" s="4" t="e">
        <f t="shared" si="106"/>
        <v>#N/A</v>
      </c>
      <c r="L541" t="e">
        <f t="shared" si="107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8"/>
        <v>0</v>
      </c>
      <c r="B542">
        <f t="shared" si="109"/>
        <v>0</v>
      </c>
      <c r="C542">
        <f t="shared" si="110"/>
        <v>0</v>
      </c>
      <c r="D542">
        <f t="shared" si="111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2"/>
        <v>0</v>
      </c>
      <c r="G542">
        <f t="shared" si="113"/>
        <v>0</v>
      </c>
      <c r="H542">
        <f t="shared" si="114"/>
        <v>0</v>
      </c>
      <c r="I542">
        <f t="shared" si="115"/>
        <v>0</v>
      </c>
      <c r="J542">
        <f t="shared" si="116"/>
        <v>0</v>
      </c>
      <c r="K542" s="4" t="e">
        <f t="shared" si="106"/>
        <v>#N/A</v>
      </c>
      <c r="L542" t="e">
        <f t="shared" si="107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8"/>
        <v>0</v>
      </c>
      <c r="B543">
        <f t="shared" si="109"/>
        <v>0</v>
      </c>
      <c r="C543">
        <f t="shared" si="110"/>
        <v>0</v>
      </c>
      <c r="D543">
        <f t="shared" si="111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2"/>
        <v>0</v>
      </c>
      <c r="G543">
        <f t="shared" si="113"/>
        <v>0</v>
      </c>
      <c r="H543">
        <f t="shared" si="114"/>
        <v>0</v>
      </c>
      <c r="I543">
        <f t="shared" si="115"/>
        <v>0</v>
      </c>
      <c r="J543">
        <f t="shared" si="116"/>
        <v>0</v>
      </c>
      <c r="K543" s="4" t="e">
        <f t="shared" si="106"/>
        <v>#N/A</v>
      </c>
      <c r="L543" t="e">
        <f t="shared" si="107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8"/>
        <v>0</v>
      </c>
      <c r="B544">
        <f t="shared" si="109"/>
        <v>0</v>
      </c>
      <c r="C544">
        <f t="shared" si="110"/>
        <v>0</v>
      </c>
      <c r="D544">
        <f t="shared" si="111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2"/>
        <v>0</v>
      </c>
      <c r="G544">
        <f t="shared" si="113"/>
        <v>0</v>
      </c>
      <c r="H544">
        <f t="shared" si="114"/>
        <v>0</v>
      </c>
      <c r="I544">
        <f t="shared" si="115"/>
        <v>0</v>
      </c>
      <c r="J544">
        <f t="shared" si="116"/>
        <v>0</v>
      </c>
      <c r="K544" s="4" t="e">
        <f t="shared" si="106"/>
        <v>#N/A</v>
      </c>
      <c r="L544" t="e">
        <f t="shared" si="107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8"/>
        <v>0</v>
      </c>
      <c r="B545">
        <f t="shared" si="109"/>
        <v>0</v>
      </c>
      <c r="C545">
        <f t="shared" si="110"/>
        <v>0</v>
      </c>
      <c r="D545">
        <f t="shared" si="111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2"/>
        <v>0</v>
      </c>
      <c r="G545">
        <f t="shared" si="113"/>
        <v>0</v>
      </c>
      <c r="H545">
        <f t="shared" si="114"/>
        <v>0</v>
      </c>
      <c r="I545">
        <f t="shared" si="115"/>
        <v>0</v>
      </c>
      <c r="J545">
        <f t="shared" si="116"/>
        <v>0</v>
      </c>
      <c r="K545" s="4" t="e">
        <f t="shared" si="106"/>
        <v>#N/A</v>
      </c>
      <c r="L545" t="e">
        <f t="shared" si="107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8"/>
        <v>0</v>
      </c>
      <c r="B546">
        <f t="shared" si="109"/>
        <v>0</v>
      </c>
      <c r="C546">
        <f t="shared" si="110"/>
        <v>0</v>
      </c>
      <c r="D546">
        <f t="shared" si="111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2"/>
        <v>0</v>
      </c>
      <c r="G546">
        <f t="shared" si="113"/>
        <v>0</v>
      </c>
      <c r="H546">
        <f t="shared" si="114"/>
        <v>0</v>
      </c>
      <c r="I546">
        <f t="shared" si="115"/>
        <v>0</v>
      </c>
      <c r="J546">
        <f t="shared" si="116"/>
        <v>0</v>
      </c>
      <c r="K546" s="4" t="e">
        <f t="shared" si="106"/>
        <v>#N/A</v>
      </c>
      <c r="L546" t="e">
        <f t="shared" si="107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8"/>
        <v>0</v>
      </c>
      <c r="B547">
        <f t="shared" si="109"/>
        <v>0</v>
      </c>
      <c r="C547">
        <f t="shared" si="110"/>
        <v>0</v>
      </c>
      <c r="D547">
        <f t="shared" si="111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2"/>
        <v>0</v>
      </c>
      <c r="G547">
        <f t="shared" si="113"/>
        <v>0</v>
      </c>
      <c r="H547">
        <f t="shared" si="114"/>
        <v>0</v>
      </c>
      <c r="I547">
        <f t="shared" si="115"/>
        <v>0</v>
      </c>
      <c r="J547">
        <f t="shared" si="116"/>
        <v>0</v>
      </c>
      <c r="K547" s="4" t="e">
        <f t="shared" si="106"/>
        <v>#N/A</v>
      </c>
      <c r="L547" t="e">
        <f t="shared" si="107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8"/>
        <v>0</v>
      </c>
      <c r="B548">
        <f t="shared" si="109"/>
        <v>0</v>
      </c>
      <c r="C548">
        <f t="shared" si="110"/>
        <v>0</v>
      </c>
      <c r="D548">
        <f t="shared" si="111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2"/>
        <v>0</v>
      </c>
      <c r="G548">
        <f t="shared" si="113"/>
        <v>0</v>
      </c>
      <c r="H548">
        <f t="shared" si="114"/>
        <v>0</v>
      </c>
      <c r="I548">
        <f t="shared" si="115"/>
        <v>0</v>
      </c>
      <c r="J548">
        <f t="shared" si="116"/>
        <v>0</v>
      </c>
      <c r="K548" s="4" t="e">
        <f t="shared" si="106"/>
        <v>#N/A</v>
      </c>
      <c r="L548" t="e">
        <f t="shared" si="107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8"/>
        <v>0</v>
      </c>
      <c r="B549">
        <f t="shared" si="109"/>
        <v>0</v>
      </c>
      <c r="C549">
        <f t="shared" si="110"/>
        <v>0</v>
      </c>
      <c r="D549">
        <f t="shared" si="111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2"/>
        <v>0</v>
      </c>
      <c r="G549">
        <f t="shared" si="113"/>
        <v>0</v>
      </c>
      <c r="H549">
        <f t="shared" si="114"/>
        <v>0</v>
      </c>
      <c r="I549">
        <f t="shared" si="115"/>
        <v>0</v>
      </c>
      <c r="J549">
        <f t="shared" si="116"/>
        <v>0</v>
      </c>
      <c r="K549" s="4" t="e">
        <f t="shared" si="106"/>
        <v>#N/A</v>
      </c>
      <c r="L549" t="e">
        <f t="shared" si="107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8"/>
        <v>0</v>
      </c>
      <c r="B550">
        <f t="shared" si="109"/>
        <v>0</v>
      </c>
      <c r="C550">
        <f t="shared" si="110"/>
        <v>0</v>
      </c>
      <c r="D550">
        <f t="shared" si="111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2"/>
        <v>0</v>
      </c>
      <c r="G550">
        <f t="shared" si="113"/>
        <v>0</v>
      </c>
      <c r="H550">
        <f t="shared" si="114"/>
        <v>0</v>
      </c>
      <c r="I550">
        <f t="shared" si="115"/>
        <v>0</v>
      </c>
      <c r="J550">
        <f t="shared" si="116"/>
        <v>0</v>
      </c>
      <c r="K550" s="4" t="e">
        <f t="shared" si="106"/>
        <v>#N/A</v>
      </c>
      <c r="L550" t="e">
        <f t="shared" si="107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8"/>
        <v>0</v>
      </c>
      <c r="B551">
        <f t="shared" si="109"/>
        <v>0</v>
      </c>
      <c r="C551">
        <f t="shared" si="110"/>
        <v>0</v>
      </c>
      <c r="D551">
        <f t="shared" si="111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2"/>
        <v>0</v>
      </c>
      <c r="G551">
        <f t="shared" si="113"/>
        <v>0</v>
      </c>
      <c r="H551">
        <f t="shared" si="114"/>
        <v>0</v>
      </c>
      <c r="I551">
        <f t="shared" si="115"/>
        <v>0</v>
      </c>
      <c r="J551">
        <f t="shared" si="116"/>
        <v>0</v>
      </c>
      <c r="K551" s="4" t="e">
        <f t="shared" si="106"/>
        <v>#N/A</v>
      </c>
      <c r="L551" t="e">
        <f t="shared" si="107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8"/>
        <v>0</v>
      </c>
      <c r="B552">
        <f t="shared" si="109"/>
        <v>0</v>
      </c>
      <c r="C552">
        <f t="shared" si="110"/>
        <v>0</v>
      </c>
      <c r="D552">
        <f t="shared" si="111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2"/>
        <v>0</v>
      </c>
      <c r="G552">
        <f t="shared" si="113"/>
        <v>0</v>
      </c>
      <c r="H552">
        <f t="shared" si="114"/>
        <v>0</v>
      </c>
      <c r="I552">
        <f t="shared" si="115"/>
        <v>0</v>
      </c>
      <c r="J552">
        <f t="shared" si="116"/>
        <v>0</v>
      </c>
      <c r="K552" s="4" t="e">
        <f t="shared" si="106"/>
        <v>#N/A</v>
      </c>
      <c r="L552" t="e">
        <f t="shared" si="107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8"/>
        <v>0</v>
      </c>
      <c r="B553">
        <f t="shared" si="109"/>
        <v>0</v>
      </c>
      <c r="C553">
        <f t="shared" si="110"/>
        <v>0</v>
      </c>
      <c r="D553">
        <f t="shared" si="111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2"/>
        <v>0</v>
      </c>
      <c r="G553">
        <f t="shared" si="113"/>
        <v>0</v>
      </c>
      <c r="H553">
        <f t="shared" si="114"/>
        <v>0</v>
      </c>
      <c r="I553">
        <f t="shared" si="115"/>
        <v>0</v>
      </c>
      <c r="J553">
        <f t="shared" si="116"/>
        <v>0</v>
      </c>
      <c r="K553" s="4" t="e">
        <f t="shared" si="106"/>
        <v>#N/A</v>
      </c>
      <c r="L553" t="e">
        <f t="shared" si="107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8"/>
        <v>0</v>
      </c>
      <c r="B554">
        <f t="shared" si="109"/>
        <v>0</v>
      </c>
      <c r="C554">
        <f t="shared" si="110"/>
        <v>0</v>
      </c>
      <c r="D554">
        <f t="shared" si="111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2"/>
        <v>0</v>
      </c>
      <c r="G554">
        <f t="shared" si="113"/>
        <v>0</v>
      </c>
      <c r="H554">
        <f t="shared" si="114"/>
        <v>0</v>
      </c>
      <c r="I554">
        <f t="shared" si="115"/>
        <v>0</v>
      </c>
      <c r="J554">
        <f t="shared" si="116"/>
        <v>0</v>
      </c>
      <c r="K554" s="4" t="e">
        <f t="shared" si="106"/>
        <v>#N/A</v>
      </c>
      <c r="L554" t="e">
        <f t="shared" si="107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8"/>
        <v>0</v>
      </c>
      <c r="B555">
        <f t="shared" si="109"/>
        <v>0</v>
      </c>
      <c r="C555">
        <f t="shared" si="110"/>
        <v>0</v>
      </c>
      <c r="D555">
        <f t="shared" si="111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2"/>
        <v>0</v>
      </c>
      <c r="G555">
        <f t="shared" si="113"/>
        <v>0</v>
      </c>
      <c r="H555">
        <f t="shared" si="114"/>
        <v>0</v>
      </c>
      <c r="I555">
        <f t="shared" si="115"/>
        <v>0</v>
      </c>
      <c r="J555">
        <f t="shared" si="116"/>
        <v>0</v>
      </c>
      <c r="K555" s="4" t="e">
        <f t="shared" si="106"/>
        <v>#N/A</v>
      </c>
      <c r="L555" t="e">
        <f t="shared" si="107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8"/>
        <v>0</v>
      </c>
      <c r="B556">
        <f t="shared" si="109"/>
        <v>0</v>
      </c>
      <c r="C556">
        <f t="shared" si="110"/>
        <v>0</v>
      </c>
      <c r="D556">
        <f t="shared" si="111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2"/>
        <v>0</v>
      </c>
      <c r="G556">
        <f t="shared" si="113"/>
        <v>0</v>
      </c>
      <c r="H556">
        <f t="shared" si="114"/>
        <v>0</v>
      </c>
      <c r="I556">
        <f t="shared" si="115"/>
        <v>0</v>
      </c>
      <c r="J556">
        <f t="shared" si="116"/>
        <v>0</v>
      </c>
      <c r="K556" s="4" t="e">
        <f t="shared" ref="K556:K619" si="119">IF(LEFT(B556,3)="DBM",0,VLOOKUP(E556,tabela,2,FALSE))</f>
        <v>#N/A</v>
      </c>
      <c r="L556" t="e">
        <f t="shared" ref="L556:L619" si="120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8"/>
        <v>0</v>
      </c>
      <c r="B557">
        <f t="shared" si="109"/>
        <v>0</v>
      </c>
      <c r="C557">
        <f t="shared" si="110"/>
        <v>0</v>
      </c>
      <c r="D557">
        <f t="shared" si="111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2"/>
        <v>0</v>
      </c>
      <c r="G557">
        <f t="shared" si="113"/>
        <v>0</v>
      </c>
      <c r="H557">
        <f t="shared" si="114"/>
        <v>0</v>
      </c>
      <c r="I557">
        <f t="shared" si="115"/>
        <v>0</v>
      </c>
      <c r="J557">
        <f t="shared" si="116"/>
        <v>0</v>
      </c>
      <c r="K557" s="4" t="e">
        <f t="shared" si="119"/>
        <v>#N/A</v>
      </c>
      <c r="L557" t="e">
        <f t="shared" si="120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8"/>
        <v>0</v>
      </c>
      <c r="B558">
        <f t="shared" si="109"/>
        <v>0</v>
      </c>
      <c r="C558">
        <f t="shared" si="110"/>
        <v>0</v>
      </c>
      <c r="D558">
        <f t="shared" si="111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2"/>
        <v>0</v>
      </c>
      <c r="G558">
        <f t="shared" si="113"/>
        <v>0</v>
      </c>
      <c r="H558">
        <f t="shared" si="114"/>
        <v>0</v>
      </c>
      <c r="I558">
        <f t="shared" si="115"/>
        <v>0</v>
      </c>
      <c r="J558">
        <f t="shared" si="116"/>
        <v>0</v>
      </c>
      <c r="K558" s="4" t="e">
        <f t="shared" si="119"/>
        <v>#N/A</v>
      </c>
      <c r="L558" t="e">
        <f t="shared" si="120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8"/>
        <v>0</v>
      </c>
      <c r="B559">
        <f t="shared" si="109"/>
        <v>0</v>
      </c>
      <c r="C559">
        <f t="shared" si="110"/>
        <v>0</v>
      </c>
      <c r="D559">
        <f t="shared" si="111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2"/>
        <v>0</v>
      </c>
      <c r="G559">
        <f t="shared" si="113"/>
        <v>0</v>
      </c>
      <c r="H559">
        <f t="shared" si="114"/>
        <v>0</v>
      </c>
      <c r="I559">
        <f t="shared" si="115"/>
        <v>0</v>
      </c>
      <c r="J559">
        <f t="shared" si="116"/>
        <v>0</v>
      </c>
      <c r="K559" s="4" t="e">
        <f t="shared" si="119"/>
        <v>#N/A</v>
      </c>
      <c r="L559" t="e">
        <f t="shared" si="120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8"/>
        <v>0</v>
      </c>
      <c r="B560">
        <f t="shared" si="109"/>
        <v>0</v>
      </c>
      <c r="C560">
        <f t="shared" si="110"/>
        <v>0</v>
      </c>
      <c r="D560">
        <f t="shared" si="111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2"/>
        <v>0</v>
      </c>
      <c r="G560">
        <f t="shared" si="113"/>
        <v>0</v>
      </c>
      <c r="H560">
        <f t="shared" si="114"/>
        <v>0</v>
      </c>
      <c r="I560">
        <f t="shared" si="115"/>
        <v>0</v>
      </c>
      <c r="J560">
        <f t="shared" si="116"/>
        <v>0</v>
      </c>
      <c r="K560" s="4" t="e">
        <f t="shared" si="119"/>
        <v>#N/A</v>
      </c>
      <c r="L560" t="e">
        <f t="shared" si="120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8"/>
        <v>0</v>
      </c>
      <c r="B561">
        <f t="shared" si="109"/>
        <v>0</v>
      </c>
      <c r="C561">
        <f t="shared" si="110"/>
        <v>0</v>
      </c>
      <c r="D561">
        <f t="shared" si="111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2"/>
        <v>0</v>
      </c>
      <c r="G561">
        <f t="shared" si="113"/>
        <v>0</v>
      </c>
      <c r="H561">
        <f t="shared" si="114"/>
        <v>0</v>
      </c>
      <c r="I561">
        <f t="shared" si="115"/>
        <v>0</v>
      </c>
      <c r="J561">
        <f t="shared" si="116"/>
        <v>0</v>
      </c>
      <c r="K561" s="4" t="e">
        <f t="shared" si="119"/>
        <v>#N/A</v>
      </c>
      <c r="L561" t="e">
        <f t="shared" si="120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8"/>
        <v>0</v>
      </c>
      <c r="B562">
        <f t="shared" si="109"/>
        <v>0</v>
      </c>
      <c r="C562">
        <f t="shared" si="110"/>
        <v>0</v>
      </c>
      <c r="D562">
        <f t="shared" si="111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2"/>
        <v>0</v>
      </c>
      <c r="G562">
        <f t="shared" si="113"/>
        <v>0</v>
      </c>
      <c r="H562">
        <f t="shared" si="114"/>
        <v>0</v>
      </c>
      <c r="I562">
        <f t="shared" si="115"/>
        <v>0</v>
      </c>
      <c r="J562">
        <f t="shared" si="116"/>
        <v>0</v>
      </c>
      <c r="K562" s="4" t="e">
        <f t="shared" si="119"/>
        <v>#N/A</v>
      </c>
      <c r="L562" t="e">
        <f t="shared" si="120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8"/>
        <v>0</v>
      </c>
      <c r="B563">
        <f t="shared" si="109"/>
        <v>0</v>
      </c>
      <c r="C563">
        <f t="shared" si="110"/>
        <v>0</v>
      </c>
      <c r="D563">
        <f t="shared" si="111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2"/>
        <v>0</v>
      </c>
      <c r="G563">
        <f t="shared" si="113"/>
        <v>0</v>
      </c>
      <c r="H563">
        <f t="shared" si="114"/>
        <v>0</v>
      </c>
      <c r="I563">
        <f t="shared" si="115"/>
        <v>0</v>
      </c>
      <c r="J563">
        <f t="shared" si="116"/>
        <v>0</v>
      </c>
      <c r="K563" s="4" t="e">
        <f t="shared" si="119"/>
        <v>#N/A</v>
      </c>
      <c r="L563" t="e">
        <f t="shared" si="120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8"/>
        <v>0</v>
      </c>
      <c r="B564">
        <f t="shared" si="109"/>
        <v>0</v>
      </c>
      <c r="C564">
        <f t="shared" si="110"/>
        <v>0</v>
      </c>
      <c r="D564">
        <f t="shared" si="111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2"/>
        <v>0</v>
      </c>
      <c r="G564">
        <f t="shared" si="113"/>
        <v>0</v>
      </c>
      <c r="H564">
        <f t="shared" si="114"/>
        <v>0</v>
      </c>
      <c r="I564">
        <f t="shared" si="115"/>
        <v>0</v>
      </c>
      <c r="J564">
        <f t="shared" si="116"/>
        <v>0</v>
      </c>
      <c r="K564" s="4" t="e">
        <f t="shared" si="119"/>
        <v>#N/A</v>
      </c>
      <c r="L564" t="e">
        <f t="shared" si="120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8"/>
        <v>0</v>
      </c>
      <c r="B565">
        <f t="shared" si="109"/>
        <v>0</v>
      </c>
      <c r="C565">
        <f t="shared" si="110"/>
        <v>0</v>
      </c>
      <c r="D565">
        <f t="shared" si="111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2"/>
        <v>0</v>
      </c>
      <c r="G565">
        <f t="shared" si="113"/>
        <v>0</v>
      </c>
      <c r="H565">
        <f t="shared" si="114"/>
        <v>0</v>
      </c>
      <c r="I565">
        <f t="shared" si="115"/>
        <v>0</v>
      </c>
      <c r="J565">
        <f t="shared" si="116"/>
        <v>0</v>
      </c>
      <c r="K565" s="4" t="e">
        <f t="shared" si="119"/>
        <v>#N/A</v>
      </c>
      <c r="L565" t="e">
        <f t="shared" si="120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8"/>
        <v>0</v>
      </c>
      <c r="B566">
        <f t="shared" si="109"/>
        <v>0</v>
      </c>
      <c r="C566">
        <f t="shared" si="110"/>
        <v>0</v>
      </c>
      <c r="D566">
        <f t="shared" si="111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2"/>
        <v>0</v>
      </c>
      <c r="G566">
        <f t="shared" si="113"/>
        <v>0</v>
      </c>
      <c r="H566">
        <f t="shared" si="114"/>
        <v>0</v>
      </c>
      <c r="I566">
        <f t="shared" si="115"/>
        <v>0</v>
      </c>
      <c r="J566">
        <f t="shared" si="116"/>
        <v>0</v>
      </c>
      <c r="K566" s="4" t="e">
        <f t="shared" si="119"/>
        <v>#N/A</v>
      </c>
      <c r="L566" t="e">
        <f t="shared" si="120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8"/>
        <v>0</v>
      </c>
      <c r="B567">
        <f t="shared" si="109"/>
        <v>0</v>
      </c>
      <c r="C567">
        <f t="shared" si="110"/>
        <v>0</v>
      </c>
      <c r="D567">
        <f t="shared" si="111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2"/>
        <v>0</v>
      </c>
      <c r="G567">
        <f t="shared" si="113"/>
        <v>0</v>
      </c>
      <c r="H567">
        <f t="shared" si="114"/>
        <v>0</v>
      </c>
      <c r="I567">
        <f t="shared" si="115"/>
        <v>0</v>
      </c>
      <c r="J567">
        <f t="shared" si="116"/>
        <v>0</v>
      </c>
      <c r="K567" s="4" t="e">
        <f t="shared" si="119"/>
        <v>#N/A</v>
      </c>
      <c r="L567" t="e">
        <f t="shared" si="120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8"/>
        <v>0</v>
      </c>
      <c r="B568">
        <f t="shared" si="109"/>
        <v>0</v>
      </c>
      <c r="C568">
        <f t="shared" si="110"/>
        <v>0</v>
      </c>
      <c r="D568">
        <f t="shared" si="111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2"/>
        <v>0</v>
      </c>
      <c r="G568">
        <f t="shared" si="113"/>
        <v>0</v>
      </c>
      <c r="H568">
        <f t="shared" si="114"/>
        <v>0</v>
      </c>
      <c r="I568">
        <f t="shared" si="115"/>
        <v>0</v>
      </c>
      <c r="J568">
        <f t="shared" si="116"/>
        <v>0</v>
      </c>
      <c r="K568" s="4" t="e">
        <f t="shared" si="119"/>
        <v>#N/A</v>
      </c>
      <c r="L568" t="e">
        <f t="shared" si="120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8"/>
        <v>0</v>
      </c>
      <c r="B569">
        <f t="shared" si="109"/>
        <v>0</v>
      </c>
      <c r="C569">
        <f t="shared" si="110"/>
        <v>0</v>
      </c>
      <c r="D569">
        <f t="shared" si="111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2"/>
        <v>0</v>
      </c>
      <c r="G569">
        <f t="shared" si="113"/>
        <v>0</v>
      </c>
      <c r="H569">
        <f t="shared" si="114"/>
        <v>0</v>
      </c>
      <c r="I569">
        <f t="shared" si="115"/>
        <v>0</v>
      </c>
      <c r="J569">
        <f t="shared" si="116"/>
        <v>0</v>
      </c>
      <c r="K569" s="4" t="e">
        <f t="shared" si="119"/>
        <v>#N/A</v>
      </c>
      <c r="L569" t="e">
        <f t="shared" si="120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8"/>
        <v>0</v>
      </c>
      <c r="B570">
        <f t="shared" si="109"/>
        <v>0</v>
      </c>
      <c r="C570">
        <f t="shared" si="110"/>
        <v>0</v>
      </c>
      <c r="D570">
        <f t="shared" si="111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2"/>
        <v>0</v>
      </c>
      <c r="G570">
        <f t="shared" si="113"/>
        <v>0</v>
      </c>
      <c r="H570">
        <f t="shared" si="114"/>
        <v>0</v>
      </c>
      <c r="I570">
        <f t="shared" si="115"/>
        <v>0</v>
      </c>
      <c r="J570">
        <f t="shared" si="116"/>
        <v>0</v>
      </c>
      <c r="K570" s="4" t="e">
        <f t="shared" si="119"/>
        <v>#N/A</v>
      </c>
      <c r="L570" t="e">
        <f t="shared" si="120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8"/>
        <v>0</v>
      </c>
      <c r="B571">
        <f t="shared" si="109"/>
        <v>0</v>
      </c>
      <c r="C571">
        <f t="shared" si="110"/>
        <v>0</v>
      </c>
      <c r="D571">
        <f t="shared" si="111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2"/>
        <v>0</v>
      </c>
      <c r="G571">
        <f t="shared" si="113"/>
        <v>0</v>
      </c>
      <c r="H571">
        <f t="shared" si="114"/>
        <v>0</v>
      </c>
      <c r="I571">
        <f t="shared" si="115"/>
        <v>0</v>
      </c>
      <c r="J571">
        <f t="shared" si="116"/>
        <v>0</v>
      </c>
      <c r="K571" s="4" t="e">
        <f t="shared" si="119"/>
        <v>#N/A</v>
      </c>
      <c r="L571" t="e">
        <f t="shared" si="120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8"/>
        <v>0</v>
      </c>
      <c r="B572">
        <f t="shared" si="109"/>
        <v>0</v>
      </c>
      <c r="C572">
        <f t="shared" si="110"/>
        <v>0</v>
      </c>
      <c r="D572">
        <f t="shared" si="111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2"/>
        <v>0</v>
      </c>
      <c r="G572">
        <f t="shared" si="113"/>
        <v>0</v>
      </c>
      <c r="H572">
        <f t="shared" si="114"/>
        <v>0</v>
      </c>
      <c r="I572">
        <f t="shared" si="115"/>
        <v>0</v>
      </c>
      <c r="J572">
        <f t="shared" si="116"/>
        <v>0</v>
      </c>
      <c r="K572" s="4" t="e">
        <f t="shared" si="119"/>
        <v>#N/A</v>
      </c>
      <c r="L572" t="e">
        <f t="shared" si="120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8"/>
        <v>0</v>
      </c>
      <c r="B573">
        <f t="shared" si="109"/>
        <v>0</v>
      </c>
      <c r="C573">
        <f t="shared" si="110"/>
        <v>0</v>
      </c>
      <c r="D573">
        <f t="shared" si="111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2"/>
        <v>0</v>
      </c>
      <c r="G573">
        <f t="shared" si="113"/>
        <v>0</v>
      </c>
      <c r="H573">
        <f t="shared" si="114"/>
        <v>0</v>
      </c>
      <c r="I573">
        <f t="shared" si="115"/>
        <v>0</v>
      </c>
      <c r="J573">
        <f t="shared" si="116"/>
        <v>0</v>
      </c>
      <c r="K573" s="4" t="e">
        <f t="shared" si="119"/>
        <v>#N/A</v>
      </c>
      <c r="L573" t="e">
        <f t="shared" si="120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8"/>
        <v>0</v>
      </c>
      <c r="B574">
        <f t="shared" si="109"/>
        <v>0</v>
      </c>
      <c r="C574">
        <f t="shared" si="110"/>
        <v>0</v>
      </c>
      <c r="D574">
        <f t="shared" si="111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2"/>
        <v>0</v>
      </c>
      <c r="G574">
        <f t="shared" si="113"/>
        <v>0</v>
      </c>
      <c r="H574">
        <f t="shared" si="114"/>
        <v>0</v>
      </c>
      <c r="I574">
        <f t="shared" si="115"/>
        <v>0</v>
      </c>
      <c r="J574">
        <f t="shared" si="116"/>
        <v>0</v>
      </c>
      <c r="K574" s="4" t="e">
        <f t="shared" si="119"/>
        <v>#N/A</v>
      </c>
      <c r="L574" t="e">
        <f t="shared" si="120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8"/>
        <v>0</v>
      </c>
      <c r="B575">
        <f t="shared" si="109"/>
        <v>0</v>
      </c>
      <c r="C575">
        <f t="shared" si="110"/>
        <v>0</v>
      </c>
      <c r="D575">
        <f t="shared" si="111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2"/>
        <v>0</v>
      </c>
      <c r="G575">
        <f t="shared" si="113"/>
        <v>0</v>
      </c>
      <c r="H575">
        <f t="shared" si="114"/>
        <v>0</v>
      </c>
      <c r="I575">
        <f t="shared" si="115"/>
        <v>0</v>
      </c>
      <c r="J575">
        <f t="shared" si="116"/>
        <v>0</v>
      </c>
      <c r="K575" s="4" t="e">
        <f t="shared" si="119"/>
        <v>#N/A</v>
      </c>
      <c r="L575" t="e">
        <f t="shared" si="120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8"/>
        <v>0</v>
      </c>
      <c r="B576">
        <f t="shared" si="109"/>
        <v>0</v>
      </c>
      <c r="C576">
        <f t="shared" si="110"/>
        <v>0</v>
      </c>
      <c r="D576">
        <f t="shared" si="111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2"/>
        <v>0</v>
      </c>
      <c r="G576">
        <f t="shared" si="113"/>
        <v>0</v>
      </c>
      <c r="H576">
        <f t="shared" si="114"/>
        <v>0</v>
      </c>
      <c r="I576">
        <f t="shared" si="115"/>
        <v>0</v>
      </c>
      <c r="J576">
        <f t="shared" si="116"/>
        <v>0</v>
      </c>
      <c r="K576" s="4" t="e">
        <f t="shared" si="119"/>
        <v>#N/A</v>
      </c>
      <c r="L576" t="e">
        <f t="shared" si="120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8"/>
        <v>0</v>
      </c>
      <c r="B577">
        <f t="shared" si="109"/>
        <v>0</v>
      </c>
      <c r="C577">
        <f t="shared" si="110"/>
        <v>0</v>
      </c>
      <c r="D577">
        <f t="shared" si="111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2"/>
        <v>0</v>
      </c>
      <c r="G577">
        <f t="shared" si="113"/>
        <v>0</v>
      </c>
      <c r="H577">
        <f t="shared" si="114"/>
        <v>0</v>
      </c>
      <c r="I577">
        <f t="shared" si="115"/>
        <v>0</v>
      </c>
      <c r="J577">
        <f t="shared" si="116"/>
        <v>0</v>
      </c>
      <c r="K577" s="4" t="e">
        <f t="shared" si="119"/>
        <v>#N/A</v>
      </c>
      <c r="L577" t="e">
        <f t="shared" si="120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1">bd_campaign</f>
        <v>0</v>
      </c>
      <c r="B578">
        <f t="shared" ref="B578:B641" si="122">bd_site</f>
        <v>0</v>
      </c>
      <c r="C578">
        <f t="shared" ref="C578:C641" si="123">bd_placement</f>
        <v>0</v>
      </c>
      <c r="D578">
        <f t="shared" ref="D578:D641" si="124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5">bd_ad</f>
        <v>0</v>
      </c>
      <c r="G578">
        <f t="shared" ref="G578:G641" si="126">bd_adid</f>
        <v>0</v>
      </c>
      <c r="H578">
        <f t="shared" ref="H578:H641" si="127">bd_creativetype</f>
        <v>0</v>
      </c>
      <c r="I578">
        <f t="shared" ref="I578:I641" si="128">bd_impression</f>
        <v>0</v>
      </c>
      <c r="J578">
        <f t="shared" ref="J578:J641" si="129">bd_clicks</f>
        <v>0</v>
      </c>
      <c r="K578" s="4" t="e">
        <f t="shared" si="119"/>
        <v>#N/A</v>
      </c>
      <c r="L578" t="e">
        <f t="shared" si="120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1"/>
        <v>0</v>
      </c>
      <c r="B579">
        <f t="shared" si="122"/>
        <v>0</v>
      </c>
      <c r="C579">
        <f t="shared" si="123"/>
        <v>0</v>
      </c>
      <c r="D579">
        <f t="shared" si="124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5"/>
        <v>0</v>
      </c>
      <c r="G579">
        <f t="shared" si="126"/>
        <v>0</v>
      </c>
      <c r="H579">
        <f t="shared" si="127"/>
        <v>0</v>
      </c>
      <c r="I579">
        <f t="shared" si="128"/>
        <v>0</v>
      </c>
      <c r="J579">
        <f t="shared" si="129"/>
        <v>0</v>
      </c>
      <c r="K579" s="4" t="e">
        <f t="shared" si="119"/>
        <v>#N/A</v>
      </c>
      <c r="L579" t="e">
        <f t="shared" si="120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1"/>
        <v>0</v>
      </c>
      <c r="B580">
        <f t="shared" si="122"/>
        <v>0</v>
      </c>
      <c r="C580">
        <f t="shared" si="123"/>
        <v>0</v>
      </c>
      <c r="D580">
        <f t="shared" si="124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5"/>
        <v>0</v>
      </c>
      <c r="G580">
        <f t="shared" si="126"/>
        <v>0</v>
      </c>
      <c r="H580">
        <f t="shared" si="127"/>
        <v>0</v>
      </c>
      <c r="I580">
        <f t="shared" si="128"/>
        <v>0</v>
      </c>
      <c r="J580">
        <f t="shared" si="129"/>
        <v>0</v>
      </c>
      <c r="K580" s="4" t="e">
        <f t="shared" si="119"/>
        <v>#N/A</v>
      </c>
      <c r="L580" t="e">
        <f t="shared" si="120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1"/>
        <v>0</v>
      </c>
      <c r="B581">
        <f t="shared" si="122"/>
        <v>0</v>
      </c>
      <c r="C581">
        <f t="shared" si="123"/>
        <v>0</v>
      </c>
      <c r="D581">
        <f t="shared" si="124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5"/>
        <v>0</v>
      </c>
      <c r="G581">
        <f t="shared" si="126"/>
        <v>0</v>
      </c>
      <c r="H581">
        <f t="shared" si="127"/>
        <v>0</v>
      </c>
      <c r="I581">
        <f t="shared" si="128"/>
        <v>0</v>
      </c>
      <c r="J581">
        <f t="shared" si="129"/>
        <v>0</v>
      </c>
      <c r="K581" s="4" t="e">
        <f t="shared" si="119"/>
        <v>#N/A</v>
      </c>
      <c r="L581" t="e">
        <f t="shared" si="120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1"/>
        <v>0</v>
      </c>
      <c r="B582">
        <f t="shared" si="122"/>
        <v>0</v>
      </c>
      <c r="C582">
        <f t="shared" si="123"/>
        <v>0</v>
      </c>
      <c r="D582">
        <f t="shared" si="124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5"/>
        <v>0</v>
      </c>
      <c r="G582">
        <f t="shared" si="126"/>
        <v>0</v>
      </c>
      <c r="H582">
        <f t="shared" si="127"/>
        <v>0</v>
      </c>
      <c r="I582">
        <f t="shared" si="128"/>
        <v>0</v>
      </c>
      <c r="J582">
        <f t="shared" si="129"/>
        <v>0</v>
      </c>
      <c r="K582" s="4" t="e">
        <f t="shared" si="119"/>
        <v>#N/A</v>
      </c>
      <c r="L582" t="e">
        <f t="shared" si="120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1"/>
        <v>0</v>
      </c>
      <c r="B583">
        <f t="shared" si="122"/>
        <v>0</v>
      </c>
      <c r="C583">
        <f t="shared" si="123"/>
        <v>0</v>
      </c>
      <c r="D583">
        <f t="shared" si="124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5"/>
        <v>0</v>
      </c>
      <c r="G583">
        <f t="shared" si="126"/>
        <v>0</v>
      </c>
      <c r="H583">
        <f t="shared" si="127"/>
        <v>0</v>
      </c>
      <c r="I583">
        <f t="shared" si="128"/>
        <v>0</v>
      </c>
      <c r="J583">
        <f t="shared" si="129"/>
        <v>0</v>
      </c>
      <c r="K583" s="4" t="e">
        <f t="shared" si="119"/>
        <v>#N/A</v>
      </c>
      <c r="L583" t="e">
        <f t="shared" si="120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1"/>
        <v>0</v>
      </c>
      <c r="B584">
        <f t="shared" si="122"/>
        <v>0</v>
      </c>
      <c r="C584">
        <f t="shared" si="123"/>
        <v>0</v>
      </c>
      <c r="D584">
        <f t="shared" si="124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5"/>
        <v>0</v>
      </c>
      <c r="G584">
        <f t="shared" si="126"/>
        <v>0</v>
      </c>
      <c r="H584">
        <f t="shared" si="127"/>
        <v>0</v>
      </c>
      <c r="I584">
        <f t="shared" si="128"/>
        <v>0</v>
      </c>
      <c r="J584">
        <f t="shared" si="129"/>
        <v>0</v>
      </c>
      <c r="K584" s="4" t="e">
        <f t="shared" si="119"/>
        <v>#N/A</v>
      </c>
      <c r="L584" t="e">
        <f t="shared" si="120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1"/>
        <v>0</v>
      </c>
      <c r="B585">
        <f t="shared" si="122"/>
        <v>0</v>
      </c>
      <c r="C585">
        <f t="shared" si="123"/>
        <v>0</v>
      </c>
      <c r="D585">
        <f t="shared" si="124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5"/>
        <v>0</v>
      </c>
      <c r="G585">
        <f t="shared" si="126"/>
        <v>0</v>
      </c>
      <c r="H585">
        <f t="shared" si="127"/>
        <v>0</v>
      </c>
      <c r="I585">
        <f t="shared" si="128"/>
        <v>0</v>
      </c>
      <c r="J585">
        <f t="shared" si="129"/>
        <v>0</v>
      </c>
      <c r="K585" s="4" t="e">
        <f t="shared" si="119"/>
        <v>#N/A</v>
      </c>
      <c r="L585" t="e">
        <f t="shared" si="120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1"/>
        <v>0</v>
      </c>
      <c r="B586">
        <f t="shared" si="122"/>
        <v>0</v>
      </c>
      <c r="C586">
        <f t="shared" si="123"/>
        <v>0</v>
      </c>
      <c r="D586">
        <f t="shared" si="124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5"/>
        <v>0</v>
      </c>
      <c r="G586">
        <f t="shared" si="126"/>
        <v>0</v>
      </c>
      <c r="H586">
        <f t="shared" si="127"/>
        <v>0</v>
      </c>
      <c r="I586">
        <f t="shared" si="128"/>
        <v>0</v>
      </c>
      <c r="J586">
        <f t="shared" si="129"/>
        <v>0</v>
      </c>
      <c r="K586" s="4" t="e">
        <f t="shared" si="119"/>
        <v>#N/A</v>
      </c>
      <c r="L586" t="e">
        <f t="shared" si="120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1"/>
        <v>0</v>
      </c>
      <c r="B587">
        <f t="shared" si="122"/>
        <v>0</v>
      </c>
      <c r="C587">
        <f t="shared" si="123"/>
        <v>0</v>
      </c>
      <c r="D587">
        <f t="shared" si="124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5"/>
        <v>0</v>
      </c>
      <c r="G587">
        <f t="shared" si="126"/>
        <v>0</v>
      </c>
      <c r="H587">
        <f t="shared" si="127"/>
        <v>0</v>
      </c>
      <c r="I587">
        <f t="shared" si="128"/>
        <v>0</v>
      </c>
      <c r="J587">
        <f t="shared" si="129"/>
        <v>0</v>
      </c>
      <c r="K587" s="4" t="e">
        <f t="shared" si="119"/>
        <v>#N/A</v>
      </c>
      <c r="L587" t="e">
        <f t="shared" si="120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1"/>
        <v>0</v>
      </c>
      <c r="B588">
        <f t="shared" si="122"/>
        <v>0</v>
      </c>
      <c r="C588">
        <f t="shared" si="123"/>
        <v>0</v>
      </c>
      <c r="D588">
        <f t="shared" si="124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5"/>
        <v>0</v>
      </c>
      <c r="G588">
        <f t="shared" si="126"/>
        <v>0</v>
      </c>
      <c r="H588">
        <f t="shared" si="127"/>
        <v>0</v>
      </c>
      <c r="I588">
        <f t="shared" si="128"/>
        <v>0</v>
      </c>
      <c r="J588">
        <f t="shared" si="129"/>
        <v>0</v>
      </c>
      <c r="K588" s="4" t="e">
        <f t="shared" si="119"/>
        <v>#N/A</v>
      </c>
      <c r="L588" t="e">
        <f t="shared" si="120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1"/>
        <v>0</v>
      </c>
      <c r="B589">
        <f t="shared" si="122"/>
        <v>0</v>
      </c>
      <c r="C589">
        <f t="shared" si="123"/>
        <v>0</v>
      </c>
      <c r="D589">
        <f t="shared" si="124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5"/>
        <v>0</v>
      </c>
      <c r="G589">
        <f t="shared" si="126"/>
        <v>0</v>
      </c>
      <c r="H589">
        <f t="shared" si="127"/>
        <v>0</v>
      </c>
      <c r="I589">
        <f t="shared" si="128"/>
        <v>0</v>
      </c>
      <c r="J589">
        <f t="shared" si="129"/>
        <v>0</v>
      </c>
      <c r="K589" s="4" t="e">
        <f t="shared" si="119"/>
        <v>#N/A</v>
      </c>
      <c r="L589" t="e">
        <f t="shared" si="120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1"/>
        <v>0</v>
      </c>
      <c r="B590">
        <f t="shared" si="122"/>
        <v>0</v>
      </c>
      <c r="C590">
        <f t="shared" si="123"/>
        <v>0</v>
      </c>
      <c r="D590">
        <f t="shared" si="124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5"/>
        <v>0</v>
      </c>
      <c r="G590">
        <f t="shared" si="126"/>
        <v>0</v>
      </c>
      <c r="H590">
        <f t="shared" si="127"/>
        <v>0</v>
      </c>
      <c r="I590">
        <f t="shared" si="128"/>
        <v>0</v>
      </c>
      <c r="J590">
        <f t="shared" si="129"/>
        <v>0</v>
      </c>
      <c r="K590" s="4" t="e">
        <f t="shared" si="119"/>
        <v>#N/A</v>
      </c>
      <c r="L590" t="e">
        <f t="shared" si="120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1"/>
        <v>0</v>
      </c>
      <c r="B591">
        <f t="shared" si="122"/>
        <v>0</v>
      </c>
      <c r="C591">
        <f t="shared" si="123"/>
        <v>0</v>
      </c>
      <c r="D591">
        <f t="shared" si="124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5"/>
        <v>0</v>
      </c>
      <c r="G591">
        <f t="shared" si="126"/>
        <v>0</v>
      </c>
      <c r="H591">
        <f t="shared" si="127"/>
        <v>0</v>
      </c>
      <c r="I591">
        <f t="shared" si="128"/>
        <v>0</v>
      </c>
      <c r="J591">
        <f t="shared" si="129"/>
        <v>0</v>
      </c>
      <c r="K591" s="4" t="e">
        <f t="shared" si="119"/>
        <v>#N/A</v>
      </c>
      <c r="L591" t="e">
        <f t="shared" si="120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1"/>
        <v>0</v>
      </c>
      <c r="B592">
        <f t="shared" si="122"/>
        <v>0</v>
      </c>
      <c r="C592">
        <f t="shared" si="123"/>
        <v>0</v>
      </c>
      <c r="D592">
        <f t="shared" si="124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5"/>
        <v>0</v>
      </c>
      <c r="G592">
        <f t="shared" si="126"/>
        <v>0</v>
      </c>
      <c r="H592">
        <f t="shared" si="127"/>
        <v>0</v>
      </c>
      <c r="I592">
        <f t="shared" si="128"/>
        <v>0</v>
      </c>
      <c r="J592">
        <f t="shared" si="129"/>
        <v>0</v>
      </c>
      <c r="K592" s="4" t="e">
        <f t="shared" si="119"/>
        <v>#N/A</v>
      </c>
      <c r="L592" t="e">
        <f t="shared" si="120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1"/>
        <v>0</v>
      </c>
      <c r="B593">
        <f t="shared" si="122"/>
        <v>0</v>
      </c>
      <c r="C593">
        <f t="shared" si="123"/>
        <v>0</v>
      </c>
      <c r="D593">
        <f t="shared" si="124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5"/>
        <v>0</v>
      </c>
      <c r="G593">
        <f t="shared" si="126"/>
        <v>0</v>
      </c>
      <c r="H593">
        <f t="shared" si="127"/>
        <v>0</v>
      </c>
      <c r="I593">
        <f t="shared" si="128"/>
        <v>0</v>
      </c>
      <c r="J593">
        <f t="shared" si="129"/>
        <v>0</v>
      </c>
      <c r="K593" s="4" t="e">
        <f t="shared" si="119"/>
        <v>#N/A</v>
      </c>
      <c r="L593" t="e">
        <f t="shared" si="120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1"/>
        <v>0</v>
      </c>
      <c r="B594">
        <f t="shared" si="122"/>
        <v>0</v>
      </c>
      <c r="C594">
        <f t="shared" si="123"/>
        <v>0</v>
      </c>
      <c r="D594">
        <f t="shared" si="124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5"/>
        <v>0</v>
      </c>
      <c r="G594">
        <f t="shared" si="126"/>
        <v>0</v>
      </c>
      <c r="H594">
        <f t="shared" si="127"/>
        <v>0</v>
      </c>
      <c r="I594">
        <f t="shared" si="128"/>
        <v>0</v>
      </c>
      <c r="J594">
        <f t="shared" si="129"/>
        <v>0</v>
      </c>
      <c r="K594" s="4" t="e">
        <f t="shared" si="119"/>
        <v>#N/A</v>
      </c>
      <c r="L594" t="e">
        <f t="shared" si="120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1"/>
        <v>0</v>
      </c>
      <c r="B595">
        <f t="shared" si="122"/>
        <v>0</v>
      </c>
      <c r="C595">
        <f t="shared" si="123"/>
        <v>0</v>
      </c>
      <c r="D595">
        <f t="shared" si="124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5"/>
        <v>0</v>
      </c>
      <c r="G595">
        <f t="shared" si="126"/>
        <v>0</v>
      </c>
      <c r="H595">
        <f t="shared" si="127"/>
        <v>0</v>
      </c>
      <c r="I595">
        <f t="shared" si="128"/>
        <v>0</v>
      </c>
      <c r="J595">
        <f t="shared" si="129"/>
        <v>0</v>
      </c>
      <c r="K595" s="4" t="e">
        <f t="shared" si="119"/>
        <v>#N/A</v>
      </c>
      <c r="L595" t="e">
        <f t="shared" si="120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1"/>
        <v>0</v>
      </c>
      <c r="B596">
        <f t="shared" si="122"/>
        <v>0</v>
      </c>
      <c r="C596">
        <f t="shared" si="123"/>
        <v>0</v>
      </c>
      <c r="D596">
        <f t="shared" si="124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5"/>
        <v>0</v>
      </c>
      <c r="G596">
        <f t="shared" si="126"/>
        <v>0</v>
      </c>
      <c r="H596">
        <f t="shared" si="127"/>
        <v>0</v>
      </c>
      <c r="I596">
        <f t="shared" si="128"/>
        <v>0</v>
      </c>
      <c r="J596">
        <f t="shared" si="129"/>
        <v>0</v>
      </c>
      <c r="K596" s="4" t="e">
        <f t="shared" si="119"/>
        <v>#N/A</v>
      </c>
      <c r="L596" t="e">
        <f t="shared" si="120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1"/>
        <v>0</v>
      </c>
      <c r="B597">
        <f t="shared" si="122"/>
        <v>0</v>
      </c>
      <c r="C597">
        <f t="shared" si="123"/>
        <v>0</v>
      </c>
      <c r="D597">
        <f t="shared" si="124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5"/>
        <v>0</v>
      </c>
      <c r="G597">
        <f t="shared" si="126"/>
        <v>0</v>
      </c>
      <c r="H597">
        <f t="shared" si="127"/>
        <v>0</v>
      </c>
      <c r="I597">
        <f t="shared" si="128"/>
        <v>0</v>
      </c>
      <c r="J597">
        <f t="shared" si="129"/>
        <v>0</v>
      </c>
      <c r="K597" s="4" t="e">
        <f t="shared" si="119"/>
        <v>#N/A</v>
      </c>
      <c r="L597" t="e">
        <f t="shared" si="120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1"/>
        <v>0</v>
      </c>
      <c r="B598">
        <f t="shared" si="122"/>
        <v>0</v>
      </c>
      <c r="C598">
        <f t="shared" si="123"/>
        <v>0</v>
      </c>
      <c r="D598">
        <f t="shared" si="124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5"/>
        <v>0</v>
      </c>
      <c r="G598">
        <f t="shared" si="126"/>
        <v>0</v>
      </c>
      <c r="H598">
        <f t="shared" si="127"/>
        <v>0</v>
      </c>
      <c r="I598">
        <f t="shared" si="128"/>
        <v>0</v>
      </c>
      <c r="J598">
        <f t="shared" si="129"/>
        <v>0</v>
      </c>
      <c r="K598" s="4" t="e">
        <f t="shared" si="119"/>
        <v>#N/A</v>
      </c>
      <c r="L598" t="e">
        <f t="shared" si="120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1"/>
        <v>0</v>
      </c>
      <c r="B599">
        <f t="shared" si="122"/>
        <v>0</v>
      </c>
      <c r="C599">
        <f t="shared" si="123"/>
        <v>0</v>
      </c>
      <c r="D599">
        <f t="shared" si="124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5"/>
        <v>0</v>
      </c>
      <c r="G599">
        <f t="shared" si="126"/>
        <v>0</v>
      </c>
      <c r="H599">
        <f t="shared" si="127"/>
        <v>0</v>
      </c>
      <c r="I599">
        <f t="shared" si="128"/>
        <v>0</v>
      </c>
      <c r="J599">
        <f t="shared" si="129"/>
        <v>0</v>
      </c>
      <c r="K599" s="4" t="e">
        <f t="shared" si="119"/>
        <v>#N/A</v>
      </c>
      <c r="L599" t="e">
        <f t="shared" si="120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1"/>
        <v>0</v>
      </c>
      <c r="B600">
        <f t="shared" si="122"/>
        <v>0</v>
      </c>
      <c r="C600">
        <f t="shared" si="123"/>
        <v>0</v>
      </c>
      <c r="D600">
        <f t="shared" si="124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5"/>
        <v>0</v>
      </c>
      <c r="G600">
        <f t="shared" si="126"/>
        <v>0</v>
      </c>
      <c r="H600">
        <f t="shared" si="127"/>
        <v>0</v>
      </c>
      <c r="I600">
        <f t="shared" si="128"/>
        <v>0</v>
      </c>
      <c r="J600">
        <f t="shared" si="129"/>
        <v>0</v>
      </c>
      <c r="K600" s="4" t="e">
        <f t="shared" si="119"/>
        <v>#N/A</v>
      </c>
      <c r="L600" t="e">
        <f t="shared" si="120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1"/>
        <v>0</v>
      </c>
      <c r="B601">
        <f t="shared" si="122"/>
        <v>0</v>
      </c>
      <c r="C601">
        <f t="shared" si="123"/>
        <v>0</v>
      </c>
      <c r="D601">
        <f t="shared" si="124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5"/>
        <v>0</v>
      </c>
      <c r="G601">
        <f t="shared" si="126"/>
        <v>0</v>
      </c>
      <c r="H601">
        <f t="shared" si="127"/>
        <v>0</v>
      </c>
      <c r="I601">
        <f t="shared" si="128"/>
        <v>0</v>
      </c>
      <c r="J601">
        <f t="shared" si="129"/>
        <v>0</v>
      </c>
      <c r="K601" s="4" t="e">
        <f t="shared" si="119"/>
        <v>#N/A</v>
      </c>
      <c r="L601" t="e">
        <f t="shared" si="120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1"/>
        <v>0</v>
      </c>
      <c r="B602">
        <f t="shared" si="122"/>
        <v>0</v>
      </c>
      <c r="C602">
        <f t="shared" si="123"/>
        <v>0</v>
      </c>
      <c r="D602">
        <f t="shared" si="124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5"/>
        <v>0</v>
      </c>
      <c r="G602">
        <f t="shared" si="126"/>
        <v>0</v>
      </c>
      <c r="H602">
        <f t="shared" si="127"/>
        <v>0</v>
      </c>
      <c r="I602">
        <f t="shared" si="128"/>
        <v>0</v>
      </c>
      <c r="J602">
        <f t="shared" si="129"/>
        <v>0</v>
      </c>
      <c r="K602" s="4" t="e">
        <f t="shared" si="119"/>
        <v>#N/A</v>
      </c>
      <c r="L602" t="e">
        <f t="shared" si="120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1"/>
        <v>0</v>
      </c>
      <c r="B603">
        <f t="shared" si="122"/>
        <v>0</v>
      </c>
      <c r="C603">
        <f t="shared" si="123"/>
        <v>0</v>
      </c>
      <c r="D603">
        <f t="shared" si="124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5"/>
        <v>0</v>
      </c>
      <c r="G603">
        <f t="shared" si="126"/>
        <v>0</v>
      </c>
      <c r="H603">
        <f t="shared" si="127"/>
        <v>0</v>
      </c>
      <c r="I603">
        <f t="shared" si="128"/>
        <v>0</v>
      </c>
      <c r="J603">
        <f t="shared" si="129"/>
        <v>0</v>
      </c>
      <c r="K603" s="4" t="e">
        <f t="shared" si="119"/>
        <v>#N/A</v>
      </c>
      <c r="L603" t="e">
        <f t="shared" si="120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1"/>
        <v>0</v>
      </c>
      <c r="B604">
        <f t="shared" si="122"/>
        <v>0</v>
      </c>
      <c r="C604">
        <f t="shared" si="123"/>
        <v>0</v>
      </c>
      <c r="D604">
        <f t="shared" si="124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5"/>
        <v>0</v>
      </c>
      <c r="G604">
        <f t="shared" si="126"/>
        <v>0</v>
      </c>
      <c r="H604">
        <f t="shared" si="127"/>
        <v>0</v>
      </c>
      <c r="I604">
        <f t="shared" si="128"/>
        <v>0</v>
      </c>
      <c r="J604">
        <f t="shared" si="129"/>
        <v>0</v>
      </c>
      <c r="K604" s="4" t="e">
        <f t="shared" si="119"/>
        <v>#N/A</v>
      </c>
      <c r="L604" t="e">
        <f t="shared" si="120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1"/>
        <v>0</v>
      </c>
      <c r="B605">
        <f t="shared" si="122"/>
        <v>0</v>
      </c>
      <c r="C605">
        <f t="shared" si="123"/>
        <v>0</v>
      </c>
      <c r="D605">
        <f t="shared" si="124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5"/>
        <v>0</v>
      </c>
      <c r="G605">
        <f t="shared" si="126"/>
        <v>0</v>
      </c>
      <c r="H605">
        <f t="shared" si="127"/>
        <v>0</v>
      </c>
      <c r="I605">
        <f t="shared" si="128"/>
        <v>0</v>
      </c>
      <c r="J605">
        <f t="shared" si="129"/>
        <v>0</v>
      </c>
      <c r="K605" s="4" t="e">
        <f t="shared" si="119"/>
        <v>#N/A</v>
      </c>
      <c r="L605" t="e">
        <f t="shared" si="120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1"/>
        <v>0</v>
      </c>
      <c r="B606">
        <f t="shared" si="122"/>
        <v>0</v>
      </c>
      <c r="C606">
        <f t="shared" si="123"/>
        <v>0</v>
      </c>
      <c r="D606">
        <f t="shared" si="124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5"/>
        <v>0</v>
      </c>
      <c r="G606">
        <f t="shared" si="126"/>
        <v>0</v>
      </c>
      <c r="H606">
        <f t="shared" si="127"/>
        <v>0</v>
      </c>
      <c r="I606">
        <f t="shared" si="128"/>
        <v>0</v>
      </c>
      <c r="J606">
        <f t="shared" si="129"/>
        <v>0</v>
      </c>
      <c r="K606" s="4" t="e">
        <f t="shared" si="119"/>
        <v>#N/A</v>
      </c>
      <c r="L606" t="e">
        <f t="shared" si="120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1"/>
        <v>0</v>
      </c>
      <c r="B607">
        <f t="shared" si="122"/>
        <v>0</v>
      </c>
      <c r="C607">
        <f t="shared" si="123"/>
        <v>0</v>
      </c>
      <c r="D607">
        <f t="shared" si="124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5"/>
        <v>0</v>
      </c>
      <c r="G607">
        <f t="shared" si="126"/>
        <v>0</v>
      </c>
      <c r="H607">
        <f t="shared" si="127"/>
        <v>0</v>
      </c>
      <c r="I607">
        <f t="shared" si="128"/>
        <v>0</v>
      </c>
      <c r="J607">
        <f t="shared" si="129"/>
        <v>0</v>
      </c>
      <c r="K607" s="4" t="e">
        <f t="shared" si="119"/>
        <v>#N/A</v>
      </c>
      <c r="L607" t="e">
        <f t="shared" si="120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1"/>
        <v>0</v>
      </c>
      <c r="B608">
        <f t="shared" si="122"/>
        <v>0</v>
      </c>
      <c r="C608">
        <f t="shared" si="123"/>
        <v>0</v>
      </c>
      <c r="D608">
        <f t="shared" si="124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5"/>
        <v>0</v>
      </c>
      <c r="G608">
        <f t="shared" si="126"/>
        <v>0</v>
      </c>
      <c r="H608">
        <f t="shared" si="127"/>
        <v>0</v>
      </c>
      <c r="I608">
        <f t="shared" si="128"/>
        <v>0</v>
      </c>
      <c r="J608">
        <f t="shared" si="129"/>
        <v>0</v>
      </c>
      <c r="K608" s="4" t="e">
        <f t="shared" si="119"/>
        <v>#N/A</v>
      </c>
      <c r="L608" t="e">
        <f t="shared" si="120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1"/>
        <v>0</v>
      </c>
      <c r="B609">
        <f t="shared" si="122"/>
        <v>0</v>
      </c>
      <c r="C609">
        <f t="shared" si="123"/>
        <v>0</v>
      </c>
      <c r="D609">
        <f t="shared" si="124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5"/>
        <v>0</v>
      </c>
      <c r="G609">
        <f t="shared" si="126"/>
        <v>0</v>
      </c>
      <c r="H609">
        <f t="shared" si="127"/>
        <v>0</v>
      </c>
      <c r="I609">
        <f t="shared" si="128"/>
        <v>0</v>
      </c>
      <c r="J609">
        <f t="shared" si="129"/>
        <v>0</v>
      </c>
      <c r="K609" s="4" t="e">
        <f t="shared" si="119"/>
        <v>#N/A</v>
      </c>
      <c r="L609" t="e">
        <f t="shared" si="120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1"/>
        <v>0</v>
      </c>
      <c r="B610">
        <f t="shared" si="122"/>
        <v>0</v>
      </c>
      <c r="C610">
        <f t="shared" si="123"/>
        <v>0</v>
      </c>
      <c r="D610">
        <f t="shared" si="124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5"/>
        <v>0</v>
      </c>
      <c r="G610">
        <f t="shared" si="126"/>
        <v>0</v>
      </c>
      <c r="H610">
        <f t="shared" si="127"/>
        <v>0</v>
      </c>
      <c r="I610">
        <f t="shared" si="128"/>
        <v>0</v>
      </c>
      <c r="J610">
        <f t="shared" si="129"/>
        <v>0</v>
      </c>
      <c r="K610" s="4" t="e">
        <f t="shared" si="119"/>
        <v>#N/A</v>
      </c>
      <c r="L610" t="e">
        <f t="shared" si="120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1"/>
        <v>0</v>
      </c>
      <c r="B611">
        <f t="shared" si="122"/>
        <v>0</v>
      </c>
      <c r="C611">
        <f t="shared" si="123"/>
        <v>0</v>
      </c>
      <c r="D611">
        <f t="shared" si="124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5"/>
        <v>0</v>
      </c>
      <c r="G611">
        <f t="shared" si="126"/>
        <v>0</v>
      </c>
      <c r="H611">
        <f t="shared" si="127"/>
        <v>0</v>
      </c>
      <c r="I611">
        <f t="shared" si="128"/>
        <v>0</v>
      </c>
      <c r="J611">
        <f t="shared" si="129"/>
        <v>0</v>
      </c>
      <c r="K611" s="4" t="e">
        <f t="shared" si="119"/>
        <v>#N/A</v>
      </c>
      <c r="L611" t="e">
        <f t="shared" si="120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1"/>
        <v>0</v>
      </c>
      <c r="B612">
        <f t="shared" si="122"/>
        <v>0</v>
      </c>
      <c r="C612">
        <f t="shared" si="123"/>
        <v>0</v>
      </c>
      <c r="D612">
        <f t="shared" si="124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5"/>
        <v>0</v>
      </c>
      <c r="G612">
        <f t="shared" si="126"/>
        <v>0</v>
      </c>
      <c r="H612">
        <f t="shared" si="127"/>
        <v>0</v>
      </c>
      <c r="I612">
        <f t="shared" si="128"/>
        <v>0</v>
      </c>
      <c r="J612">
        <f t="shared" si="129"/>
        <v>0</v>
      </c>
      <c r="K612" s="4" t="e">
        <f t="shared" si="119"/>
        <v>#N/A</v>
      </c>
      <c r="L612" t="e">
        <f t="shared" si="120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1"/>
        <v>0</v>
      </c>
      <c r="B613">
        <f t="shared" si="122"/>
        <v>0</v>
      </c>
      <c r="C613">
        <f t="shared" si="123"/>
        <v>0</v>
      </c>
      <c r="D613">
        <f t="shared" si="124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5"/>
        <v>0</v>
      </c>
      <c r="G613">
        <f t="shared" si="126"/>
        <v>0</v>
      </c>
      <c r="H613">
        <f t="shared" si="127"/>
        <v>0</v>
      </c>
      <c r="I613">
        <f t="shared" si="128"/>
        <v>0</v>
      </c>
      <c r="J613">
        <f t="shared" si="129"/>
        <v>0</v>
      </c>
      <c r="K613" s="4" t="e">
        <f t="shared" si="119"/>
        <v>#N/A</v>
      </c>
      <c r="L613" t="e">
        <f t="shared" si="120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1"/>
        <v>0</v>
      </c>
      <c r="B614">
        <f t="shared" si="122"/>
        <v>0</v>
      </c>
      <c r="C614">
        <f t="shared" si="123"/>
        <v>0</v>
      </c>
      <c r="D614">
        <f t="shared" si="124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5"/>
        <v>0</v>
      </c>
      <c r="G614">
        <f t="shared" si="126"/>
        <v>0</v>
      </c>
      <c r="H614">
        <f t="shared" si="127"/>
        <v>0</v>
      </c>
      <c r="I614">
        <f t="shared" si="128"/>
        <v>0</v>
      </c>
      <c r="J614">
        <f t="shared" si="129"/>
        <v>0</v>
      </c>
      <c r="K614" s="4" t="e">
        <f t="shared" si="119"/>
        <v>#N/A</v>
      </c>
      <c r="L614" t="e">
        <f t="shared" si="120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1"/>
        <v>0</v>
      </c>
      <c r="B615">
        <f t="shared" si="122"/>
        <v>0</v>
      </c>
      <c r="C615">
        <f t="shared" si="123"/>
        <v>0</v>
      </c>
      <c r="D615">
        <f t="shared" si="124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5"/>
        <v>0</v>
      </c>
      <c r="G615">
        <f t="shared" si="126"/>
        <v>0</v>
      </c>
      <c r="H615">
        <f t="shared" si="127"/>
        <v>0</v>
      </c>
      <c r="I615">
        <f t="shared" si="128"/>
        <v>0</v>
      </c>
      <c r="J615">
        <f t="shared" si="129"/>
        <v>0</v>
      </c>
      <c r="K615" s="4" t="e">
        <f t="shared" si="119"/>
        <v>#N/A</v>
      </c>
      <c r="L615" t="e">
        <f t="shared" si="120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1"/>
        <v>0</v>
      </c>
      <c r="B616">
        <f t="shared" si="122"/>
        <v>0</v>
      </c>
      <c r="C616">
        <f t="shared" si="123"/>
        <v>0</v>
      </c>
      <c r="D616">
        <f t="shared" si="124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5"/>
        <v>0</v>
      </c>
      <c r="G616">
        <f t="shared" si="126"/>
        <v>0</v>
      </c>
      <c r="H616">
        <f t="shared" si="127"/>
        <v>0</v>
      </c>
      <c r="I616">
        <f t="shared" si="128"/>
        <v>0</v>
      </c>
      <c r="J616">
        <f t="shared" si="129"/>
        <v>0</v>
      </c>
      <c r="K616" s="4" t="e">
        <f t="shared" si="119"/>
        <v>#N/A</v>
      </c>
      <c r="L616" t="e">
        <f t="shared" si="120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1"/>
        <v>0</v>
      </c>
      <c r="B617">
        <f t="shared" si="122"/>
        <v>0</v>
      </c>
      <c r="C617">
        <f t="shared" si="123"/>
        <v>0</v>
      </c>
      <c r="D617">
        <f t="shared" si="124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5"/>
        <v>0</v>
      </c>
      <c r="G617">
        <f t="shared" si="126"/>
        <v>0</v>
      </c>
      <c r="H617">
        <f t="shared" si="127"/>
        <v>0</v>
      </c>
      <c r="I617">
        <f t="shared" si="128"/>
        <v>0</v>
      </c>
      <c r="J617">
        <f t="shared" si="129"/>
        <v>0</v>
      </c>
      <c r="K617" s="4" t="e">
        <f t="shared" si="119"/>
        <v>#N/A</v>
      </c>
      <c r="L617" t="e">
        <f t="shared" si="120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1"/>
        <v>0</v>
      </c>
      <c r="B618">
        <f t="shared" si="122"/>
        <v>0</v>
      </c>
      <c r="C618">
        <f t="shared" si="123"/>
        <v>0</v>
      </c>
      <c r="D618">
        <f t="shared" si="124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5"/>
        <v>0</v>
      </c>
      <c r="G618">
        <f t="shared" si="126"/>
        <v>0</v>
      </c>
      <c r="H618">
        <f t="shared" si="127"/>
        <v>0</v>
      </c>
      <c r="I618">
        <f t="shared" si="128"/>
        <v>0</v>
      </c>
      <c r="J618">
        <f t="shared" si="129"/>
        <v>0</v>
      </c>
      <c r="K618" s="4" t="e">
        <f t="shared" si="119"/>
        <v>#N/A</v>
      </c>
      <c r="L618" t="e">
        <f t="shared" si="120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1"/>
        <v>0</v>
      </c>
      <c r="B619">
        <f t="shared" si="122"/>
        <v>0</v>
      </c>
      <c r="C619">
        <f t="shared" si="123"/>
        <v>0</v>
      </c>
      <c r="D619">
        <f t="shared" si="124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5"/>
        <v>0</v>
      </c>
      <c r="G619">
        <f t="shared" si="126"/>
        <v>0</v>
      </c>
      <c r="H619">
        <f t="shared" si="127"/>
        <v>0</v>
      </c>
      <c r="I619">
        <f t="shared" si="128"/>
        <v>0</v>
      </c>
      <c r="J619">
        <f t="shared" si="129"/>
        <v>0</v>
      </c>
      <c r="K619" s="4" t="e">
        <f t="shared" si="119"/>
        <v>#N/A</v>
      </c>
      <c r="L619" t="e">
        <f t="shared" si="120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1"/>
        <v>0</v>
      </c>
      <c r="B620">
        <f t="shared" si="122"/>
        <v>0</v>
      </c>
      <c r="C620">
        <f t="shared" si="123"/>
        <v>0</v>
      </c>
      <c r="D620">
        <f t="shared" si="124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5"/>
        <v>0</v>
      </c>
      <c r="G620">
        <f t="shared" si="126"/>
        <v>0</v>
      </c>
      <c r="H620">
        <f t="shared" si="127"/>
        <v>0</v>
      </c>
      <c r="I620">
        <f t="shared" si="128"/>
        <v>0</v>
      </c>
      <c r="J620">
        <f t="shared" si="129"/>
        <v>0</v>
      </c>
      <c r="K620" s="4" t="e">
        <f t="shared" ref="K620:K683" si="132">IF(LEFT(B620,3)="DBM",0,VLOOKUP(E620,tabela,2,FALSE))</f>
        <v>#N/A</v>
      </c>
      <c r="L620" t="e">
        <f t="shared" ref="L620:L683" si="133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1"/>
        <v>0</v>
      </c>
      <c r="B621">
        <f t="shared" si="122"/>
        <v>0</v>
      </c>
      <c r="C621">
        <f t="shared" si="123"/>
        <v>0</v>
      </c>
      <c r="D621">
        <f t="shared" si="124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5"/>
        <v>0</v>
      </c>
      <c r="G621">
        <f t="shared" si="126"/>
        <v>0</v>
      </c>
      <c r="H621">
        <f t="shared" si="127"/>
        <v>0</v>
      </c>
      <c r="I621">
        <f t="shared" si="128"/>
        <v>0</v>
      </c>
      <c r="J621">
        <f t="shared" si="129"/>
        <v>0</v>
      </c>
      <c r="K621" s="4" t="e">
        <f t="shared" si="132"/>
        <v>#N/A</v>
      </c>
      <c r="L621" t="e">
        <f t="shared" si="133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1"/>
        <v>0</v>
      </c>
      <c r="B622">
        <f t="shared" si="122"/>
        <v>0</v>
      </c>
      <c r="C622">
        <f t="shared" si="123"/>
        <v>0</v>
      </c>
      <c r="D622">
        <f t="shared" si="124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5"/>
        <v>0</v>
      </c>
      <c r="G622">
        <f t="shared" si="126"/>
        <v>0</v>
      </c>
      <c r="H622">
        <f t="shared" si="127"/>
        <v>0</v>
      </c>
      <c r="I622">
        <f t="shared" si="128"/>
        <v>0</v>
      </c>
      <c r="J622">
        <f t="shared" si="129"/>
        <v>0</v>
      </c>
      <c r="K622" s="4" t="e">
        <f t="shared" si="132"/>
        <v>#N/A</v>
      </c>
      <c r="L622" t="e">
        <f t="shared" si="133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1"/>
        <v>0</v>
      </c>
      <c r="B623">
        <f t="shared" si="122"/>
        <v>0</v>
      </c>
      <c r="C623">
        <f t="shared" si="123"/>
        <v>0</v>
      </c>
      <c r="D623">
        <f t="shared" si="124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5"/>
        <v>0</v>
      </c>
      <c r="G623">
        <f t="shared" si="126"/>
        <v>0</v>
      </c>
      <c r="H623">
        <f t="shared" si="127"/>
        <v>0</v>
      </c>
      <c r="I623">
        <f t="shared" si="128"/>
        <v>0</v>
      </c>
      <c r="J623">
        <f t="shared" si="129"/>
        <v>0</v>
      </c>
      <c r="K623" s="4" t="e">
        <f t="shared" si="132"/>
        <v>#N/A</v>
      </c>
      <c r="L623" t="e">
        <f t="shared" si="133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1"/>
        <v>0</v>
      </c>
      <c r="B624">
        <f t="shared" si="122"/>
        <v>0</v>
      </c>
      <c r="C624">
        <f t="shared" si="123"/>
        <v>0</v>
      </c>
      <c r="D624">
        <f t="shared" si="124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5"/>
        <v>0</v>
      </c>
      <c r="G624">
        <f t="shared" si="126"/>
        <v>0</v>
      </c>
      <c r="H624">
        <f t="shared" si="127"/>
        <v>0</v>
      </c>
      <c r="I624">
        <f t="shared" si="128"/>
        <v>0</v>
      </c>
      <c r="J624">
        <f t="shared" si="129"/>
        <v>0</v>
      </c>
      <c r="K624" s="4" t="e">
        <f t="shared" si="132"/>
        <v>#N/A</v>
      </c>
      <c r="L624" t="e">
        <f t="shared" si="133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1"/>
        <v>0</v>
      </c>
      <c r="B625">
        <f t="shared" si="122"/>
        <v>0</v>
      </c>
      <c r="C625">
        <f t="shared" si="123"/>
        <v>0</v>
      </c>
      <c r="D625">
        <f t="shared" si="124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5"/>
        <v>0</v>
      </c>
      <c r="G625">
        <f t="shared" si="126"/>
        <v>0</v>
      </c>
      <c r="H625">
        <f t="shared" si="127"/>
        <v>0</v>
      </c>
      <c r="I625">
        <f t="shared" si="128"/>
        <v>0</v>
      </c>
      <c r="J625">
        <f t="shared" si="129"/>
        <v>0</v>
      </c>
      <c r="K625" s="4" t="e">
        <f t="shared" si="132"/>
        <v>#N/A</v>
      </c>
      <c r="L625" t="e">
        <f t="shared" si="133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1"/>
        <v>0</v>
      </c>
      <c r="B626">
        <f t="shared" si="122"/>
        <v>0</v>
      </c>
      <c r="C626">
        <f t="shared" si="123"/>
        <v>0</v>
      </c>
      <c r="D626">
        <f t="shared" si="124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5"/>
        <v>0</v>
      </c>
      <c r="G626">
        <f t="shared" si="126"/>
        <v>0</v>
      </c>
      <c r="H626">
        <f t="shared" si="127"/>
        <v>0</v>
      </c>
      <c r="I626">
        <f t="shared" si="128"/>
        <v>0</v>
      </c>
      <c r="J626">
        <f t="shared" si="129"/>
        <v>0</v>
      </c>
      <c r="K626" s="4" t="e">
        <f t="shared" si="132"/>
        <v>#N/A</v>
      </c>
      <c r="L626" t="e">
        <f t="shared" si="133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1"/>
        <v>0</v>
      </c>
      <c r="B627">
        <f t="shared" si="122"/>
        <v>0</v>
      </c>
      <c r="C627">
        <f t="shared" si="123"/>
        <v>0</v>
      </c>
      <c r="D627">
        <f t="shared" si="124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5"/>
        <v>0</v>
      </c>
      <c r="G627">
        <f t="shared" si="126"/>
        <v>0</v>
      </c>
      <c r="H627">
        <f t="shared" si="127"/>
        <v>0</v>
      </c>
      <c r="I627">
        <f t="shared" si="128"/>
        <v>0</v>
      </c>
      <c r="J627">
        <f t="shared" si="129"/>
        <v>0</v>
      </c>
      <c r="K627" s="4" t="e">
        <f t="shared" si="132"/>
        <v>#N/A</v>
      </c>
      <c r="L627" t="e">
        <f t="shared" si="133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1"/>
        <v>0</v>
      </c>
      <c r="B628">
        <f t="shared" si="122"/>
        <v>0</v>
      </c>
      <c r="C628">
        <f t="shared" si="123"/>
        <v>0</v>
      </c>
      <c r="D628">
        <f t="shared" si="124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5"/>
        <v>0</v>
      </c>
      <c r="G628">
        <f t="shared" si="126"/>
        <v>0</v>
      </c>
      <c r="H628">
        <f t="shared" si="127"/>
        <v>0</v>
      </c>
      <c r="I628">
        <f t="shared" si="128"/>
        <v>0</v>
      </c>
      <c r="J628">
        <f t="shared" si="129"/>
        <v>0</v>
      </c>
      <c r="K628" s="4" t="e">
        <f t="shared" si="132"/>
        <v>#N/A</v>
      </c>
      <c r="L628" t="e">
        <f t="shared" si="133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1"/>
        <v>0</v>
      </c>
      <c r="B629">
        <f t="shared" si="122"/>
        <v>0</v>
      </c>
      <c r="C629">
        <f t="shared" si="123"/>
        <v>0</v>
      </c>
      <c r="D629">
        <f t="shared" si="124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5"/>
        <v>0</v>
      </c>
      <c r="G629">
        <f t="shared" si="126"/>
        <v>0</v>
      </c>
      <c r="H629">
        <f t="shared" si="127"/>
        <v>0</v>
      </c>
      <c r="I629">
        <f t="shared" si="128"/>
        <v>0</v>
      </c>
      <c r="J629">
        <f t="shared" si="129"/>
        <v>0</v>
      </c>
      <c r="K629" s="4" t="e">
        <f t="shared" si="132"/>
        <v>#N/A</v>
      </c>
      <c r="L629" t="e">
        <f t="shared" si="133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1"/>
        <v>0</v>
      </c>
      <c r="B630">
        <f t="shared" si="122"/>
        <v>0</v>
      </c>
      <c r="C630">
        <f t="shared" si="123"/>
        <v>0</v>
      </c>
      <c r="D630">
        <f t="shared" si="124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5"/>
        <v>0</v>
      </c>
      <c r="G630">
        <f t="shared" si="126"/>
        <v>0</v>
      </c>
      <c r="H630">
        <f t="shared" si="127"/>
        <v>0</v>
      </c>
      <c r="I630">
        <f t="shared" si="128"/>
        <v>0</v>
      </c>
      <c r="J630">
        <f t="shared" si="129"/>
        <v>0</v>
      </c>
      <c r="K630" s="4" t="e">
        <f t="shared" si="132"/>
        <v>#N/A</v>
      </c>
      <c r="L630" t="e">
        <f t="shared" si="133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1"/>
        <v>0</v>
      </c>
      <c r="B631">
        <f t="shared" si="122"/>
        <v>0</v>
      </c>
      <c r="C631">
        <f t="shared" si="123"/>
        <v>0</v>
      </c>
      <c r="D631">
        <f t="shared" si="124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5"/>
        <v>0</v>
      </c>
      <c r="G631">
        <f t="shared" si="126"/>
        <v>0</v>
      </c>
      <c r="H631">
        <f t="shared" si="127"/>
        <v>0</v>
      </c>
      <c r="I631">
        <f t="shared" si="128"/>
        <v>0</v>
      </c>
      <c r="J631">
        <f t="shared" si="129"/>
        <v>0</v>
      </c>
      <c r="K631" s="4" t="e">
        <f t="shared" si="132"/>
        <v>#N/A</v>
      </c>
      <c r="L631" t="e">
        <f t="shared" si="133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1"/>
        <v>0</v>
      </c>
      <c r="B632">
        <f t="shared" si="122"/>
        <v>0</v>
      </c>
      <c r="C632">
        <f t="shared" si="123"/>
        <v>0</v>
      </c>
      <c r="D632">
        <f t="shared" si="124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5"/>
        <v>0</v>
      </c>
      <c r="G632">
        <f t="shared" si="126"/>
        <v>0</v>
      </c>
      <c r="H632">
        <f t="shared" si="127"/>
        <v>0</v>
      </c>
      <c r="I632">
        <f t="shared" si="128"/>
        <v>0</v>
      </c>
      <c r="J632">
        <f t="shared" si="129"/>
        <v>0</v>
      </c>
      <c r="K632" s="4" t="e">
        <f t="shared" si="132"/>
        <v>#N/A</v>
      </c>
      <c r="L632" t="e">
        <f t="shared" si="133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1"/>
        <v>0</v>
      </c>
      <c r="B633">
        <f t="shared" si="122"/>
        <v>0</v>
      </c>
      <c r="C633">
        <f t="shared" si="123"/>
        <v>0</v>
      </c>
      <c r="D633">
        <f t="shared" si="124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5"/>
        <v>0</v>
      </c>
      <c r="G633">
        <f t="shared" si="126"/>
        <v>0</v>
      </c>
      <c r="H633">
        <f t="shared" si="127"/>
        <v>0</v>
      </c>
      <c r="I633">
        <f t="shared" si="128"/>
        <v>0</v>
      </c>
      <c r="J633">
        <f t="shared" si="129"/>
        <v>0</v>
      </c>
      <c r="K633" s="4" t="e">
        <f t="shared" si="132"/>
        <v>#N/A</v>
      </c>
      <c r="L633" t="e">
        <f t="shared" si="133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1"/>
        <v>0</v>
      </c>
      <c r="B634">
        <f t="shared" si="122"/>
        <v>0</v>
      </c>
      <c r="C634">
        <f t="shared" si="123"/>
        <v>0</v>
      </c>
      <c r="D634">
        <f t="shared" si="124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5"/>
        <v>0</v>
      </c>
      <c r="G634">
        <f t="shared" si="126"/>
        <v>0</v>
      </c>
      <c r="H634">
        <f t="shared" si="127"/>
        <v>0</v>
      </c>
      <c r="I634">
        <f t="shared" si="128"/>
        <v>0</v>
      </c>
      <c r="J634">
        <f t="shared" si="129"/>
        <v>0</v>
      </c>
      <c r="K634" s="4" t="e">
        <f t="shared" si="132"/>
        <v>#N/A</v>
      </c>
      <c r="L634" t="e">
        <f t="shared" si="133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1"/>
        <v>0</v>
      </c>
      <c r="B635">
        <f t="shared" si="122"/>
        <v>0</v>
      </c>
      <c r="C635">
        <f t="shared" si="123"/>
        <v>0</v>
      </c>
      <c r="D635">
        <f t="shared" si="124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5"/>
        <v>0</v>
      </c>
      <c r="G635">
        <f t="shared" si="126"/>
        <v>0</v>
      </c>
      <c r="H635">
        <f t="shared" si="127"/>
        <v>0</v>
      </c>
      <c r="I635">
        <f t="shared" si="128"/>
        <v>0</v>
      </c>
      <c r="J635">
        <f t="shared" si="129"/>
        <v>0</v>
      </c>
      <c r="K635" s="4" t="e">
        <f t="shared" si="132"/>
        <v>#N/A</v>
      </c>
      <c r="L635" t="e">
        <f t="shared" si="133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1"/>
        <v>0</v>
      </c>
      <c r="B636">
        <f t="shared" si="122"/>
        <v>0</v>
      </c>
      <c r="C636">
        <f t="shared" si="123"/>
        <v>0</v>
      </c>
      <c r="D636">
        <f t="shared" si="124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5"/>
        <v>0</v>
      </c>
      <c r="G636">
        <f t="shared" si="126"/>
        <v>0</v>
      </c>
      <c r="H636">
        <f t="shared" si="127"/>
        <v>0</v>
      </c>
      <c r="I636">
        <f t="shared" si="128"/>
        <v>0</v>
      </c>
      <c r="J636">
        <f t="shared" si="129"/>
        <v>0</v>
      </c>
      <c r="K636" s="4" t="e">
        <f t="shared" si="132"/>
        <v>#N/A</v>
      </c>
      <c r="L636" t="e">
        <f t="shared" si="133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1"/>
        <v>0</v>
      </c>
      <c r="B637">
        <f t="shared" si="122"/>
        <v>0</v>
      </c>
      <c r="C637">
        <f t="shared" si="123"/>
        <v>0</v>
      </c>
      <c r="D637">
        <f t="shared" si="124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5"/>
        <v>0</v>
      </c>
      <c r="G637">
        <f t="shared" si="126"/>
        <v>0</v>
      </c>
      <c r="H637">
        <f t="shared" si="127"/>
        <v>0</v>
      </c>
      <c r="I637">
        <f t="shared" si="128"/>
        <v>0</v>
      </c>
      <c r="J637">
        <f t="shared" si="129"/>
        <v>0</v>
      </c>
      <c r="K637" s="4" t="e">
        <f t="shared" si="132"/>
        <v>#N/A</v>
      </c>
      <c r="L637" t="e">
        <f t="shared" si="133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1"/>
        <v>0</v>
      </c>
      <c r="B638">
        <f t="shared" si="122"/>
        <v>0</v>
      </c>
      <c r="C638">
        <f t="shared" si="123"/>
        <v>0</v>
      </c>
      <c r="D638">
        <f t="shared" si="124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5"/>
        <v>0</v>
      </c>
      <c r="G638">
        <f t="shared" si="126"/>
        <v>0</v>
      </c>
      <c r="H638">
        <f t="shared" si="127"/>
        <v>0</v>
      </c>
      <c r="I638">
        <f t="shared" si="128"/>
        <v>0</v>
      </c>
      <c r="J638">
        <f t="shared" si="129"/>
        <v>0</v>
      </c>
      <c r="K638" s="4" t="e">
        <f t="shared" si="132"/>
        <v>#N/A</v>
      </c>
      <c r="L638" t="e">
        <f t="shared" si="133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1"/>
        <v>0</v>
      </c>
      <c r="B639">
        <f t="shared" si="122"/>
        <v>0</v>
      </c>
      <c r="C639">
        <f t="shared" si="123"/>
        <v>0</v>
      </c>
      <c r="D639">
        <f t="shared" si="124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5"/>
        <v>0</v>
      </c>
      <c r="G639">
        <f t="shared" si="126"/>
        <v>0</v>
      </c>
      <c r="H639">
        <f t="shared" si="127"/>
        <v>0</v>
      </c>
      <c r="I639">
        <f t="shared" si="128"/>
        <v>0</v>
      </c>
      <c r="J639">
        <f t="shared" si="129"/>
        <v>0</v>
      </c>
      <c r="K639" s="4" t="e">
        <f t="shared" si="132"/>
        <v>#N/A</v>
      </c>
      <c r="L639" t="e">
        <f t="shared" si="133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1"/>
        <v>0</v>
      </c>
      <c r="B640">
        <f t="shared" si="122"/>
        <v>0</v>
      </c>
      <c r="C640">
        <f t="shared" si="123"/>
        <v>0</v>
      </c>
      <c r="D640">
        <f t="shared" si="124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5"/>
        <v>0</v>
      </c>
      <c r="G640">
        <f t="shared" si="126"/>
        <v>0</v>
      </c>
      <c r="H640">
        <f t="shared" si="127"/>
        <v>0</v>
      </c>
      <c r="I640">
        <f t="shared" si="128"/>
        <v>0</v>
      </c>
      <c r="J640">
        <f t="shared" si="129"/>
        <v>0</v>
      </c>
      <c r="K640" s="4" t="e">
        <f t="shared" si="132"/>
        <v>#N/A</v>
      </c>
      <c r="L640" t="e">
        <f t="shared" si="133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1"/>
        <v>0</v>
      </c>
      <c r="B641">
        <f t="shared" si="122"/>
        <v>0</v>
      </c>
      <c r="C641">
        <f t="shared" si="123"/>
        <v>0</v>
      </c>
      <c r="D641">
        <f t="shared" si="124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5"/>
        <v>0</v>
      </c>
      <c r="G641">
        <f t="shared" si="126"/>
        <v>0</v>
      </c>
      <c r="H641">
        <f t="shared" si="127"/>
        <v>0</v>
      </c>
      <c r="I641">
        <f t="shared" si="128"/>
        <v>0</v>
      </c>
      <c r="J641">
        <f t="shared" si="129"/>
        <v>0</v>
      </c>
      <c r="K641" s="4" t="e">
        <f t="shared" si="132"/>
        <v>#N/A</v>
      </c>
      <c r="L641" t="e">
        <f t="shared" si="133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4">bd_campaign</f>
        <v>0</v>
      </c>
      <c r="B642">
        <f t="shared" ref="B642:B705" si="135">bd_site</f>
        <v>0</v>
      </c>
      <c r="C642">
        <f t="shared" ref="C642:C705" si="136">bd_placement</f>
        <v>0</v>
      </c>
      <c r="D642">
        <f t="shared" ref="D642:D705" si="137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8">bd_ad</f>
        <v>0</v>
      </c>
      <c r="G642">
        <f t="shared" ref="G642:G705" si="139">bd_adid</f>
        <v>0</v>
      </c>
      <c r="H642">
        <f t="shared" ref="H642:H705" si="140">bd_creativetype</f>
        <v>0</v>
      </c>
      <c r="I642">
        <f t="shared" ref="I642:I705" si="141">bd_impression</f>
        <v>0</v>
      </c>
      <c r="J642">
        <f t="shared" ref="J642:J705" si="142">bd_clicks</f>
        <v>0</v>
      </c>
      <c r="K642" s="4" t="e">
        <f t="shared" si="132"/>
        <v>#N/A</v>
      </c>
      <c r="L642" t="e">
        <f t="shared" si="133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4"/>
        <v>0</v>
      </c>
      <c r="B643">
        <f t="shared" si="135"/>
        <v>0</v>
      </c>
      <c r="C643">
        <f t="shared" si="136"/>
        <v>0</v>
      </c>
      <c r="D643">
        <f t="shared" si="137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8"/>
        <v>0</v>
      </c>
      <c r="G643">
        <f t="shared" si="139"/>
        <v>0</v>
      </c>
      <c r="H643">
        <f t="shared" si="140"/>
        <v>0</v>
      </c>
      <c r="I643">
        <f t="shared" si="141"/>
        <v>0</v>
      </c>
      <c r="J643">
        <f t="shared" si="142"/>
        <v>0</v>
      </c>
      <c r="K643" s="4" t="e">
        <f t="shared" si="132"/>
        <v>#N/A</v>
      </c>
      <c r="L643" t="e">
        <f t="shared" si="133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4"/>
        <v>0</v>
      </c>
      <c r="B644">
        <f t="shared" si="135"/>
        <v>0</v>
      </c>
      <c r="C644">
        <f t="shared" si="136"/>
        <v>0</v>
      </c>
      <c r="D644">
        <f t="shared" si="137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8"/>
        <v>0</v>
      </c>
      <c r="G644">
        <f t="shared" si="139"/>
        <v>0</v>
      </c>
      <c r="H644">
        <f t="shared" si="140"/>
        <v>0</v>
      </c>
      <c r="I644">
        <f t="shared" si="141"/>
        <v>0</v>
      </c>
      <c r="J644">
        <f t="shared" si="142"/>
        <v>0</v>
      </c>
      <c r="K644" s="4" t="e">
        <f t="shared" si="132"/>
        <v>#N/A</v>
      </c>
      <c r="L644" t="e">
        <f t="shared" si="133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4"/>
        <v>0</v>
      </c>
      <c r="B645">
        <f t="shared" si="135"/>
        <v>0</v>
      </c>
      <c r="C645">
        <f t="shared" si="136"/>
        <v>0</v>
      </c>
      <c r="D645">
        <f t="shared" si="137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8"/>
        <v>0</v>
      </c>
      <c r="G645">
        <f t="shared" si="139"/>
        <v>0</v>
      </c>
      <c r="H645">
        <f t="shared" si="140"/>
        <v>0</v>
      </c>
      <c r="I645">
        <f t="shared" si="141"/>
        <v>0</v>
      </c>
      <c r="J645">
        <f t="shared" si="142"/>
        <v>0</v>
      </c>
      <c r="K645" s="4" t="e">
        <f t="shared" si="132"/>
        <v>#N/A</v>
      </c>
      <c r="L645" t="e">
        <f t="shared" si="133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4"/>
        <v>0</v>
      </c>
      <c r="B646">
        <f t="shared" si="135"/>
        <v>0</v>
      </c>
      <c r="C646">
        <f t="shared" si="136"/>
        <v>0</v>
      </c>
      <c r="D646">
        <f t="shared" si="137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8"/>
        <v>0</v>
      </c>
      <c r="G646">
        <f t="shared" si="139"/>
        <v>0</v>
      </c>
      <c r="H646">
        <f t="shared" si="140"/>
        <v>0</v>
      </c>
      <c r="I646">
        <f t="shared" si="141"/>
        <v>0</v>
      </c>
      <c r="J646">
        <f t="shared" si="142"/>
        <v>0</v>
      </c>
      <c r="K646" s="4" t="e">
        <f t="shared" si="132"/>
        <v>#N/A</v>
      </c>
      <c r="L646" t="e">
        <f t="shared" si="133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4"/>
        <v>0</v>
      </c>
      <c r="B647">
        <f t="shared" si="135"/>
        <v>0</v>
      </c>
      <c r="C647">
        <f t="shared" si="136"/>
        <v>0</v>
      </c>
      <c r="D647">
        <f t="shared" si="137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8"/>
        <v>0</v>
      </c>
      <c r="G647">
        <f t="shared" si="139"/>
        <v>0</v>
      </c>
      <c r="H647">
        <f t="shared" si="140"/>
        <v>0</v>
      </c>
      <c r="I647">
        <f t="shared" si="141"/>
        <v>0</v>
      </c>
      <c r="J647">
        <f t="shared" si="142"/>
        <v>0</v>
      </c>
      <c r="K647" s="4" t="e">
        <f t="shared" si="132"/>
        <v>#N/A</v>
      </c>
      <c r="L647" t="e">
        <f t="shared" si="133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4"/>
        <v>0</v>
      </c>
      <c r="B648">
        <f t="shared" si="135"/>
        <v>0</v>
      </c>
      <c r="C648">
        <f t="shared" si="136"/>
        <v>0</v>
      </c>
      <c r="D648">
        <f t="shared" si="137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8"/>
        <v>0</v>
      </c>
      <c r="G648">
        <f t="shared" si="139"/>
        <v>0</v>
      </c>
      <c r="H648">
        <f t="shared" si="140"/>
        <v>0</v>
      </c>
      <c r="I648">
        <f t="shared" si="141"/>
        <v>0</v>
      </c>
      <c r="J648">
        <f t="shared" si="142"/>
        <v>0</v>
      </c>
      <c r="K648" s="4" t="e">
        <f t="shared" si="132"/>
        <v>#N/A</v>
      </c>
      <c r="L648" t="e">
        <f t="shared" si="133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4"/>
        <v>0</v>
      </c>
      <c r="B649">
        <f t="shared" si="135"/>
        <v>0</v>
      </c>
      <c r="C649">
        <f t="shared" si="136"/>
        <v>0</v>
      </c>
      <c r="D649">
        <f t="shared" si="137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8"/>
        <v>0</v>
      </c>
      <c r="G649">
        <f t="shared" si="139"/>
        <v>0</v>
      </c>
      <c r="H649">
        <f t="shared" si="140"/>
        <v>0</v>
      </c>
      <c r="I649">
        <f t="shared" si="141"/>
        <v>0</v>
      </c>
      <c r="J649">
        <f t="shared" si="142"/>
        <v>0</v>
      </c>
      <c r="K649" s="4" t="e">
        <f t="shared" si="132"/>
        <v>#N/A</v>
      </c>
      <c r="L649" t="e">
        <f t="shared" si="133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4"/>
        <v>0</v>
      </c>
      <c r="B650">
        <f t="shared" si="135"/>
        <v>0</v>
      </c>
      <c r="C650">
        <f t="shared" si="136"/>
        <v>0</v>
      </c>
      <c r="D650">
        <f t="shared" si="137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8"/>
        <v>0</v>
      </c>
      <c r="G650">
        <f t="shared" si="139"/>
        <v>0</v>
      </c>
      <c r="H650">
        <f t="shared" si="140"/>
        <v>0</v>
      </c>
      <c r="I650">
        <f t="shared" si="141"/>
        <v>0</v>
      </c>
      <c r="J650">
        <f t="shared" si="142"/>
        <v>0</v>
      </c>
      <c r="K650" s="4" t="e">
        <f t="shared" si="132"/>
        <v>#N/A</v>
      </c>
      <c r="L650" t="e">
        <f t="shared" si="133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4"/>
        <v>0</v>
      </c>
      <c r="B651">
        <f t="shared" si="135"/>
        <v>0</v>
      </c>
      <c r="C651">
        <f t="shared" si="136"/>
        <v>0</v>
      </c>
      <c r="D651">
        <f t="shared" si="137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8"/>
        <v>0</v>
      </c>
      <c r="G651">
        <f t="shared" si="139"/>
        <v>0</v>
      </c>
      <c r="H651">
        <f t="shared" si="140"/>
        <v>0</v>
      </c>
      <c r="I651">
        <f t="shared" si="141"/>
        <v>0</v>
      </c>
      <c r="J651">
        <f t="shared" si="142"/>
        <v>0</v>
      </c>
      <c r="K651" s="4" t="e">
        <f t="shared" si="132"/>
        <v>#N/A</v>
      </c>
      <c r="L651" t="e">
        <f t="shared" si="133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4"/>
        <v>0</v>
      </c>
      <c r="B652">
        <f t="shared" si="135"/>
        <v>0</v>
      </c>
      <c r="C652">
        <f t="shared" si="136"/>
        <v>0</v>
      </c>
      <c r="D652">
        <f t="shared" si="137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8"/>
        <v>0</v>
      </c>
      <c r="G652">
        <f t="shared" si="139"/>
        <v>0</v>
      </c>
      <c r="H652">
        <f t="shared" si="140"/>
        <v>0</v>
      </c>
      <c r="I652">
        <f t="shared" si="141"/>
        <v>0</v>
      </c>
      <c r="J652">
        <f t="shared" si="142"/>
        <v>0</v>
      </c>
      <c r="K652" s="4" t="e">
        <f t="shared" si="132"/>
        <v>#N/A</v>
      </c>
      <c r="L652" t="e">
        <f t="shared" si="133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4"/>
        <v>0</v>
      </c>
      <c r="B653">
        <f t="shared" si="135"/>
        <v>0</v>
      </c>
      <c r="C653">
        <f t="shared" si="136"/>
        <v>0</v>
      </c>
      <c r="D653">
        <f t="shared" si="137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8"/>
        <v>0</v>
      </c>
      <c r="G653">
        <f t="shared" si="139"/>
        <v>0</v>
      </c>
      <c r="H653">
        <f t="shared" si="140"/>
        <v>0</v>
      </c>
      <c r="I653">
        <f t="shared" si="141"/>
        <v>0</v>
      </c>
      <c r="J653">
        <f t="shared" si="142"/>
        <v>0</v>
      </c>
      <c r="K653" s="4" t="e">
        <f t="shared" si="132"/>
        <v>#N/A</v>
      </c>
      <c r="L653" t="e">
        <f t="shared" si="133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4"/>
        <v>0</v>
      </c>
      <c r="B654">
        <f t="shared" si="135"/>
        <v>0</v>
      </c>
      <c r="C654">
        <f t="shared" si="136"/>
        <v>0</v>
      </c>
      <c r="D654">
        <f t="shared" si="137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8"/>
        <v>0</v>
      </c>
      <c r="G654">
        <f t="shared" si="139"/>
        <v>0</v>
      </c>
      <c r="H654">
        <f t="shared" si="140"/>
        <v>0</v>
      </c>
      <c r="I654">
        <f t="shared" si="141"/>
        <v>0</v>
      </c>
      <c r="J654">
        <f t="shared" si="142"/>
        <v>0</v>
      </c>
      <c r="K654" s="4" t="e">
        <f t="shared" si="132"/>
        <v>#N/A</v>
      </c>
      <c r="L654" t="e">
        <f t="shared" si="133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4"/>
        <v>0</v>
      </c>
      <c r="B655">
        <f t="shared" si="135"/>
        <v>0</v>
      </c>
      <c r="C655">
        <f t="shared" si="136"/>
        <v>0</v>
      </c>
      <c r="D655">
        <f t="shared" si="137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8"/>
        <v>0</v>
      </c>
      <c r="G655">
        <f t="shared" si="139"/>
        <v>0</v>
      </c>
      <c r="H655">
        <f t="shared" si="140"/>
        <v>0</v>
      </c>
      <c r="I655">
        <f t="shared" si="141"/>
        <v>0</v>
      </c>
      <c r="J655">
        <f t="shared" si="142"/>
        <v>0</v>
      </c>
      <c r="K655" s="4" t="e">
        <f t="shared" si="132"/>
        <v>#N/A</v>
      </c>
      <c r="L655" t="e">
        <f t="shared" si="133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4"/>
        <v>0</v>
      </c>
      <c r="B656">
        <f t="shared" si="135"/>
        <v>0</v>
      </c>
      <c r="C656">
        <f t="shared" si="136"/>
        <v>0</v>
      </c>
      <c r="D656">
        <f t="shared" si="137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8"/>
        <v>0</v>
      </c>
      <c r="G656">
        <f t="shared" si="139"/>
        <v>0</v>
      </c>
      <c r="H656">
        <f t="shared" si="140"/>
        <v>0</v>
      </c>
      <c r="I656">
        <f t="shared" si="141"/>
        <v>0</v>
      </c>
      <c r="J656">
        <f t="shared" si="142"/>
        <v>0</v>
      </c>
      <c r="K656" s="4" t="e">
        <f t="shared" si="132"/>
        <v>#N/A</v>
      </c>
      <c r="L656" t="e">
        <f t="shared" si="133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4"/>
        <v>0</v>
      </c>
      <c r="B657">
        <f t="shared" si="135"/>
        <v>0</v>
      </c>
      <c r="C657">
        <f t="shared" si="136"/>
        <v>0</v>
      </c>
      <c r="D657">
        <f t="shared" si="137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8"/>
        <v>0</v>
      </c>
      <c r="G657">
        <f t="shared" si="139"/>
        <v>0</v>
      </c>
      <c r="H657">
        <f t="shared" si="140"/>
        <v>0</v>
      </c>
      <c r="I657">
        <f t="shared" si="141"/>
        <v>0</v>
      </c>
      <c r="J657">
        <f t="shared" si="142"/>
        <v>0</v>
      </c>
      <c r="K657" s="4" t="e">
        <f t="shared" si="132"/>
        <v>#N/A</v>
      </c>
      <c r="L657" t="e">
        <f t="shared" si="133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4"/>
        <v>0</v>
      </c>
      <c r="B658">
        <f t="shared" si="135"/>
        <v>0</v>
      </c>
      <c r="C658">
        <f t="shared" si="136"/>
        <v>0</v>
      </c>
      <c r="D658">
        <f t="shared" si="137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8"/>
        <v>0</v>
      </c>
      <c r="G658">
        <f t="shared" si="139"/>
        <v>0</v>
      </c>
      <c r="H658">
        <f t="shared" si="140"/>
        <v>0</v>
      </c>
      <c r="I658">
        <f t="shared" si="141"/>
        <v>0</v>
      </c>
      <c r="J658">
        <f t="shared" si="142"/>
        <v>0</v>
      </c>
      <c r="K658" s="4" t="e">
        <f t="shared" si="132"/>
        <v>#N/A</v>
      </c>
      <c r="L658" t="e">
        <f t="shared" si="133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4"/>
        <v>0</v>
      </c>
      <c r="B659">
        <f t="shared" si="135"/>
        <v>0</v>
      </c>
      <c r="C659">
        <f t="shared" si="136"/>
        <v>0</v>
      </c>
      <c r="D659">
        <f t="shared" si="137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8"/>
        <v>0</v>
      </c>
      <c r="G659">
        <f t="shared" si="139"/>
        <v>0</v>
      </c>
      <c r="H659">
        <f t="shared" si="140"/>
        <v>0</v>
      </c>
      <c r="I659">
        <f t="shared" si="141"/>
        <v>0</v>
      </c>
      <c r="J659">
        <f t="shared" si="142"/>
        <v>0</v>
      </c>
      <c r="K659" s="4" t="e">
        <f t="shared" si="132"/>
        <v>#N/A</v>
      </c>
      <c r="L659" t="e">
        <f t="shared" si="133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4"/>
        <v>0</v>
      </c>
      <c r="B660">
        <f t="shared" si="135"/>
        <v>0</v>
      </c>
      <c r="C660">
        <f t="shared" si="136"/>
        <v>0</v>
      </c>
      <c r="D660">
        <f t="shared" si="137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8"/>
        <v>0</v>
      </c>
      <c r="G660">
        <f t="shared" si="139"/>
        <v>0</v>
      </c>
      <c r="H660">
        <f t="shared" si="140"/>
        <v>0</v>
      </c>
      <c r="I660">
        <f t="shared" si="141"/>
        <v>0</v>
      </c>
      <c r="J660">
        <f t="shared" si="142"/>
        <v>0</v>
      </c>
      <c r="K660" s="4" t="e">
        <f t="shared" si="132"/>
        <v>#N/A</v>
      </c>
      <c r="L660" t="e">
        <f t="shared" si="133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4"/>
        <v>0</v>
      </c>
      <c r="B661">
        <f t="shared" si="135"/>
        <v>0</v>
      </c>
      <c r="C661">
        <f t="shared" si="136"/>
        <v>0</v>
      </c>
      <c r="D661">
        <f t="shared" si="137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8"/>
        <v>0</v>
      </c>
      <c r="G661">
        <f t="shared" si="139"/>
        <v>0</v>
      </c>
      <c r="H661">
        <f t="shared" si="140"/>
        <v>0</v>
      </c>
      <c r="I661">
        <f t="shared" si="141"/>
        <v>0</v>
      </c>
      <c r="J661">
        <f t="shared" si="142"/>
        <v>0</v>
      </c>
      <c r="K661" s="4" t="e">
        <f t="shared" si="132"/>
        <v>#N/A</v>
      </c>
      <c r="L661" t="e">
        <f t="shared" si="133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4"/>
        <v>0</v>
      </c>
      <c r="B662">
        <f t="shared" si="135"/>
        <v>0</v>
      </c>
      <c r="C662">
        <f t="shared" si="136"/>
        <v>0</v>
      </c>
      <c r="D662">
        <f t="shared" si="137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8"/>
        <v>0</v>
      </c>
      <c r="G662">
        <f t="shared" si="139"/>
        <v>0</v>
      </c>
      <c r="H662">
        <f t="shared" si="140"/>
        <v>0</v>
      </c>
      <c r="I662">
        <f t="shared" si="141"/>
        <v>0</v>
      </c>
      <c r="J662">
        <f t="shared" si="142"/>
        <v>0</v>
      </c>
      <c r="K662" s="4" t="e">
        <f t="shared" si="132"/>
        <v>#N/A</v>
      </c>
      <c r="L662" t="e">
        <f t="shared" si="133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4"/>
        <v>0</v>
      </c>
      <c r="B663">
        <f t="shared" si="135"/>
        <v>0</v>
      </c>
      <c r="C663">
        <f t="shared" si="136"/>
        <v>0</v>
      </c>
      <c r="D663">
        <f t="shared" si="137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8"/>
        <v>0</v>
      </c>
      <c r="G663">
        <f t="shared" si="139"/>
        <v>0</v>
      </c>
      <c r="H663">
        <f t="shared" si="140"/>
        <v>0</v>
      </c>
      <c r="I663">
        <f t="shared" si="141"/>
        <v>0</v>
      </c>
      <c r="J663">
        <f t="shared" si="142"/>
        <v>0</v>
      </c>
      <c r="K663" s="4" t="e">
        <f t="shared" si="132"/>
        <v>#N/A</v>
      </c>
      <c r="L663" t="e">
        <f t="shared" si="133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4"/>
        <v>0</v>
      </c>
      <c r="B664">
        <f t="shared" si="135"/>
        <v>0</v>
      </c>
      <c r="C664">
        <f t="shared" si="136"/>
        <v>0</v>
      </c>
      <c r="D664">
        <f t="shared" si="137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8"/>
        <v>0</v>
      </c>
      <c r="G664">
        <f t="shared" si="139"/>
        <v>0</v>
      </c>
      <c r="H664">
        <f t="shared" si="140"/>
        <v>0</v>
      </c>
      <c r="I664">
        <f t="shared" si="141"/>
        <v>0</v>
      </c>
      <c r="J664">
        <f t="shared" si="142"/>
        <v>0</v>
      </c>
      <c r="K664" s="4" t="e">
        <f t="shared" si="132"/>
        <v>#N/A</v>
      </c>
      <c r="L664" t="e">
        <f t="shared" si="133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4"/>
        <v>0</v>
      </c>
      <c r="B665">
        <f t="shared" si="135"/>
        <v>0</v>
      </c>
      <c r="C665">
        <f t="shared" si="136"/>
        <v>0</v>
      </c>
      <c r="D665">
        <f t="shared" si="137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8"/>
        <v>0</v>
      </c>
      <c r="G665">
        <f t="shared" si="139"/>
        <v>0</v>
      </c>
      <c r="H665">
        <f t="shared" si="140"/>
        <v>0</v>
      </c>
      <c r="I665">
        <f t="shared" si="141"/>
        <v>0</v>
      </c>
      <c r="J665">
        <f t="shared" si="142"/>
        <v>0</v>
      </c>
      <c r="K665" s="4" t="e">
        <f t="shared" si="132"/>
        <v>#N/A</v>
      </c>
      <c r="L665" t="e">
        <f t="shared" si="133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4"/>
        <v>0</v>
      </c>
      <c r="B666">
        <f t="shared" si="135"/>
        <v>0</v>
      </c>
      <c r="C666">
        <f t="shared" si="136"/>
        <v>0</v>
      </c>
      <c r="D666">
        <f t="shared" si="137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8"/>
        <v>0</v>
      </c>
      <c r="G666">
        <f t="shared" si="139"/>
        <v>0</v>
      </c>
      <c r="H666">
        <f t="shared" si="140"/>
        <v>0</v>
      </c>
      <c r="I666">
        <f t="shared" si="141"/>
        <v>0</v>
      </c>
      <c r="J666">
        <f t="shared" si="142"/>
        <v>0</v>
      </c>
      <c r="K666" s="4" t="e">
        <f t="shared" si="132"/>
        <v>#N/A</v>
      </c>
      <c r="L666" t="e">
        <f t="shared" si="133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4"/>
        <v>0</v>
      </c>
      <c r="B667">
        <f t="shared" si="135"/>
        <v>0</v>
      </c>
      <c r="C667">
        <f t="shared" si="136"/>
        <v>0</v>
      </c>
      <c r="D667">
        <f t="shared" si="137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8"/>
        <v>0</v>
      </c>
      <c r="G667">
        <f t="shared" si="139"/>
        <v>0</v>
      </c>
      <c r="H667">
        <f t="shared" si="140"/>
        <v>0</v>
      </c>
      <c r="I667">
        <f t="shared" si="141"/>
        <v>0</v>
      </c>
      <c r="J667">
        <f t="shared" si="142"/>
        <v>0</v>
      </c>
      <c r="K667" s="4" t="e">
        <f t="shared" si="132"/>
        <v>#N/A</v>
      </c>
      <c r="L667" t="e">
        <f t="shared" si="133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4"/>
        <v>0</v>
      </c>
      <c r="B668">
        <f t="shared" si="135"/>
        <v>0</v>
      </c>
      <c r="C668">
        <f t="shared" si="136"/>
        <v>0</v>
      </c>
      <c r="D668">
        <f t="shared" si="137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8"/>
        <v>0</v>
      </c>
      <c r="G668">
        <f t="shared" si="139"/>
        <v>0</v>
      </c>
      <c r="H668">
        <f t="shared" si="140"/>
        <v>0</v>
      </c>
      <c r="I668">
        <f t="shared" si="141"/>
        <v>0</v>
      </c>
      <c r="J668">
        <f t="shared" si="142"/>
        <v>0</v>
      </c>
      <c r="K668" s="4" t="e">
        <f t="shared" si="132"/>
        <v>#N/A</v>
      </c>
      <c r="L668" t="e">
        <f t="shared" si="133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4"/>
        <v>0</v>
      </c>
      <c r="B669">
        <f t="shared" si="135"/>
        <v>0</v>
      </c>
      <c r="C669">
        <f t="shared" si="136"/>
        <v>0</v>
      </c>
      <c r="D669">
        <f t="shared" si="137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8"/>
        <v>0</v>
      </c>
      <c r="G669">
        <f t="shared" si="139"/>
        <v>0</v>
      </c>
      <c r="H669">
        <f t="shared" si="140"/>
        <v>0</v>
      </c>
      <c r="I669">
        <f t="shared" si="141"/>
        <v>0</v>
      </c>
      <c r="J669">
        <f t="shared" si="142"/>
        <v>0</v>
      </c>
      <c r="K669" s="4" t="e">
        <f t="shared" si="132"/>
        <v>#N/A</v>
      </c>
      <c r="L669" t="e">
        <f t="shared" si="133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4"/>
        <v>0</v>
      </c>
      <c r="B670">
        <f t="shared" si="135"/>
        <v>0</v>
      </c>
      <c r="C670">
        <f t="shared" si="136"/>
        <v>0</v>
      </c>
      <c r="D670">
        <f t="shared" si="137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8"/>
        <v>0</v>
      </c>
      <c r="G670">
        <f t="shared" si="139"/>
        <v>0</v>
      </c>
      <c r="H670">
        <f t="shared" si="140"/>
        <v>0</v>
      </c>
      <c r="I670">
        <f t="shared" si="141"/>
        <v>0</v>
      </c>
      <c r="J670">
        <f t="shared" si="142"/>
        <v>0</v>
      </c>
      <c r="K670" s="4" t="e">
        <f t="shared" si="132"/>
        <v>#N/A</v>
      </c>
      <c r="L670" t="e">
        <f t="shared" si="133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4"/>
        <v>0</v>
      </c>
      <c r="B671">
        <f t="shared" si="135"/>
        <v>0</v>
      </c>
      <c r="C671">
        <f t="shared" si="136"/>
        <v>0</v>
      </c>
      <c r="D671">
        <f t="shared" si="137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8"/>
        <v>0</v>
      </c>
      <c r="G671">
        <f t="shared" si="139"/>
        <v>0</v>
      </c>
      <c r="H671">
        <f t="shared" si="140"/>
        <v>0</v>
      </c>
      <c r="I671">
        <f t="shared" si="141"/>
        <v>0</v>
      </c>
      <c r="J671">
        <f t="shared" si="142"/>
        <v>0</v>
      </c>
      <c r="K671" s="4" t="e">
        <f t="shared" si="132"/>
        <v>#N/A</v>
      </c>
      <c r="L671" t="e">
        <f t="shared" si="133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4"/>
        <v>0</v>
      </c>
      <c r="B672">
        <f t="shared" si="135"/>
        <v>0</v>
      </c>
      <c r="C672">
        <f t="shared" si="136"/>
        <v>0</v>
      </c>
      <c r="D672">
        <f t="shared" si="137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8"/>
        <v>0</v>
      </c>
      <c r="G672">
        <f t="shared" si="139"/>
        <v>0</v>
      </c>
      <c r="H672">
        <f t="shared" si="140"/>
        <v>0</v>
      </c>
      <c r="I672">
        <f t="shared" si="141"/>
        <v>0</v>
      </c>
      <c r="J672">
        <f t="shared" si="142"/>
        <v>0</v>
      </c>
      <c r="K672" s="4" t="e">
        <f t="shared" si="132"/>
        <v>#N/A</v>
      </c>
      <c r="L672" t="e">
        <f t="shared" si="133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4"/>
        <v>0</v>
      </c>
      <c r="B673">
        <f t="shared" si="135"/>
        <v>0</v>
      </c>
      <c r="C673">
        <f t="shared" si="136"/>
        <v>0</v>
      </c>
      <c r="D673">
        <f t="shared" si="137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8"/>
        <v>0</v>
      </c>
      <c r="G673">
        <f t="shared" si="139"/>
        <v>0</v>
      </c>
      <c r="H673">
        <f t="shared" si="140"/>
        <v>0</v>
      </c>
      <c r="I673">
        <f t="shared" si="141"/>
        <v>0</v>
      </c>
      <c r="J673">
        <f t="shared" si="142"/>
        <v>0</v>
      </c>
      <c r="K673" s="4" t="e">
        <f t="shared" si="132"/>
        <v>#N/A</v>
      </c>
      <c r="L673" t="e">
        <f t="shared" si="133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4"/>
        <v>0</v>
      </c>
      <c r="B674">
        <f t="shared" si="135"/>
        <v>0</v>
      </c>
      <c r="C674">
        <f t="shared" si="136"/>
        <v>0</v>
      </c>
      <c r="D674">
        <f t="shared" si="137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8"/>
        <v>0</v>
      </c>
      <c r="G674">
        <f t="shared" si="139"/>
        <v>0</v>
      </c>
      <c r="H674">
        <f t="shared" si="140"/>
        <v>0</v>
      </c>
      <c r="I674">
        <f t="shared" si="141"/>
        <v>0</v>
      </c>
      <c r="J674">
        <f t="shared" si="142"/>
        <v>0</v>
      </c>
      <c r="K674" s="4" t="e">
        <f t="shared" si="132"/>
        <v>#N/A</v>
      </c>
      <c r="L674" t="e">
        <f t="shared" si="133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4"/>
        <v>0</v>
      </c>
      <c r="B675">
        <f t="shared" si="135"/>
        <v>0</v>
      </c>
      <c r="C675">
        <f t="shared" si="136"/>
        <v>0</v>
      </c>
      <c r="D675">
        <f t="shared" si="137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8"/>
        <v>0</v>
      </c>
      <c r="G675">
        <f t="shared" si="139"/>
        <v>0</v>
      </c>
      <c r="H675">
        <f t="shared" si="140"/>
        <v>0</v>
      </c>
      <c r="I675">
        <f t="shared" si="141"/>
        <v>0</v>
      </c>
      <c r="J675">
        <f t="shared" si="142"/>
        <v>0</v>
      </c>
      <c r="K675" s="4" t="e">
        <f t="shared" si="132"/>
        <v>#N/A</v>
      </c>
      <c r="L675" t="e">
        <f t="shared" si="133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4"/>
        <v>0</v>
      </c>
      <c r="B676">
        <f t="shared" si="135"/>
        <v>0</v>
      </c>
      <c r="C676">
        <f t="shared" si="136"/>
        <v>0</v>
      </c>
      <c r="D676">
        <f t="shared" si="137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8"/>
        <v>0</v>
      </c>
      <c r="G676">
        <f t="shared" si="139"/>
        <v>0</v>
      </c>
      <c r="H676">
        <f t="shared" si="140"/>
        <v>0</v>
      </c>
      <c r="I676">
        <f t="shared" si="141"/>
        <v>0</v>
      </c>
      <c r="J676">
        <f t="shared" si="142"/>
        <v>0</v>
      </c>
      <c r="K676" s="4" t="e">
        <f t="shared" si="132"/>
        <v>#N/A</v>
      </c>
      <c r="L676" t="e">
        <f t="shared" si="133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4"/>
        <v>0</v>
      </c>
      <c r="B677">
        <f t="shared" si="135"/>
        <v>0</v>
      </c>
      <c r="C677">
        <f t="shared" si="136"/>
        <v>0</v>
      </c>
      <c r="D677">
        <f t="shared" si="137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8"/>
        <v>0</v>
      </c>
      <c r="G677">
        <f t="shared" si="139"/>
        <v>0</v>
      </c>
      <c r="H677">
        <f t="shared" si="140"/>
        <v>0</v>
      </c>
      <c r="I677">
        <f t="shared" si="141"/>
        <v>0</v>
      </c>
      <c r="J677">
        <f t="shared" si="142"/>
        <v>0</v>
      </c>
      <c r="K677" s="4" t="e">
        <f t="shared" si="132"/>
        <v>#N/A</v>
      </c>
      <c r="L677" t="e">
        <f t="shared" si="133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4"/>
        <v>0</v>
      </c>
      <c r="B678">
        <f t="shared" si="135"/>
        <v>0</v>
      </c>
      <c r="C678">
        <f t="shared" si="136"/>
        <v>0</v>
      </c>
      <c r="D678">
        <f t="shared" si="137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8"/>
        <v>0</v>
      </c>
      <c r="G678">
        <f t="shared" si="139"/>
        <v>0</v>
      </c>
      <c r="H678">
        <f t="shared" si="140"/>
        <v>0</v>
      </c>
      <c r="I678">
        <f t="shared" si="141"/>
        <v>0</v>
      </c>
      <c r="J678">
        <f t="shared" si="142"/>
        <v>0</v>
      </c>
      <c r="K678" s="4" t="e">
        <f t="shared" si="132"/>
        <v>#N/A</v>
      </c>
      <c r="L678" t="e">
        <f t="shared" si="133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4"/>
        <v>0</v>
      </c>
      <c r="B679">
        <f t="shared" si="135"/>
        <v>0</v>
      </c>
      <c r="C679">
        <f t="shared" si="136"/>
        <v>0</v>
      </c>
      <c r="D679">
        <f t="shared" si="137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8"/>
        <v>0</v>
      </c>
      <c r="G679">
        <f t="shared" si="139"/>
        <v>0</v>
      </c>
      <c r="H679">
        <f t="shared" si="140"/>
        <v>0</v>
      </c>
      <c r="I679">
        <f t="shared" si="141"/>
        <v>0</v>
      </c>
      <c r="J679">
        <f t="shared" si="142"/>
        <v>0</v>
      </c>
      <c r="K679" s="4" t="e">
        <f t="shared" si="132"/>
        <v>#N/A</v>
      </c>
      <c r="L679" t="e">
        <f t="shared" si="133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4"/>
        <v>0</v>
      </c>
      <c r="B680">
        <f t="shared" si="135"/>
        <v>0</v>
      </c>
      <c r="C680">
        <f t="shared" si="136"/>
        <v>0</v>
      </c>
      <c r="D680">
        <f t="shared" si="137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8"/>
        <v>0</v>
      </c>
      <c r="G680">
        <f t="shared" si="139"/>
        <v>0</v>
      </c>
      <c r="H680">
        <f t="shared" si="140"/>
        <v>0</v>
      </c>
      <c r="I680">
        <f t="shared" si="141"/>
        <v>0</v>
      </c>
      <c r="J680">
        <f t="shared" si="142"/>
        <v>0</v>
      </c>
      <c r="K680" s="4" t="e">
        <f t="shared" si="132"/>
        <v>#N/A</v>
      </c>
      <c r="L680" t="e">
        <f t="shared" si="133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4"/>
        <v>0</v>
      </c>
      <c r="B681">
        <f t="shared" si="135"/>
        <v>0</v>
      </c>
      <c r="C681">
        <f t="shared" si="136"/>
        <v>0</v>
      </c>
      <c r="D681">
        <f t="shared" si="137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8"/>
        <v>0</v>
      </c>
      <c r="G681">
        <f t="shared" si="139"/>
        <v>0</v>
      </c>
      <c r="H681">
        <f t="shared" si="140"/>
        <v>0</v>
      </c>
      <c r="I681">
        <f t="shared" si="141"/>
        <v>0</v>
      </c>
      <c r="J681">
        <f t="shared" si="142"/>
        <v>0</v>
      </c>
      <c r="K681" s="4" t="e">
        <f t="shared" si="132"/>
        <v>#N/A</v>
      </c>
      <c r="L681" t="e">
        <f t="shared" si="133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4"/>
        <v>0</v>
      </c>
      <c r="B682">
        <f t="shared" si="135"/>
        <v>0</v>
      </c>
      <c r="C682">
        <f t="shared" si="136"/>
        <v>0</v>
      </c>
      <c r="D682">
        <f t="shared" si="137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8"/>
        <v>0</v>
      </c>
      <c r="G682">
        <f t="shared" si="139"/>
        <v>0</v>
      </c>
      <c r="H682">
        <f t="shared" si="140"/>
        <v>0</v>
      </c>
      <c r="I682">
        <f t="shared" si="141"/>
        <v>0</v>
      </c>
      <c r="J682">
        <f t="shared" si="142"/>
        <v>0</v>
      </c>
      <c r="K682" s="4" t="e">
        <f t="shared" si="132"/>
        <v>#N/A</v>
      </c>
      <c r="L682" t="e">
        <f t="shared" si="133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4"/>
        <v>0</v>
      </c>
      <c r="B683">
        <f t="shared" si="135"/>
        <v>0</v>
      </c>
      <c r="C683">
        <f t="shared" si="136"/>
        <v>0</v>
      </c>
      <c r="D683">
        <f t="shared" si="137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8"/>
        <v>0</v>
      </c>
      <c r="G683">
        <f t="shared" si="139"/>
        <v>0</v>
      </c>
      <c r="H683">
        <f t="shared" si="140"/>
        <v>0</v>
      </c>
      <c r="I683">
        <f t="shared" si="141"/>
        <v>0</v>
      </c>
      <c r="J683">
        <f t="shared" si="142"/>
        <v>0</v>
      </c>
      <c r="K683" s="4" t="e">
        <f t="shared" si="132"/>
        <v>#N/A</v>
      </c>
      <c r="L683" t="e">
        <f t="shared" si="133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4"/>
        <v>0</v>
      </c>
      <c r="B684">
        <f t="shared" si="135"/>
        <v>0</v>
      </c>
      <c r="C684">
        <f t="shared" si="136"/>
        <v>0</v>
      </c>
      <c r="D684">
        <f t="shared" si="137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8"/>
        <v>0</v>
      </c>
      <c r="G684">
        <f t="shared" si="139"/>
        <v>0</v>
      </c>
      <c r="H684">
        <f t="shared" si="140"/>
        <v>0</v>
      </c>
      <c r="I684">
        <f t="shared" si="141"/>
        <v>0</v>
      </c>
      <c r="J684">
        <f t="shared" si="142"/>
        <v>0</v>
      </c>
      <c r="K684" s="4" t="e">
        <f t="shared" ref="K684:K747" si="145">IF(LEFT(B684,3)="DBM",0,VLOOKUP(E684,tabela,2,FALSE))</f>
        <v>#N/A</v>
      </c>
      <c r="L684" t="e">
        <f t="shared" ref="L684:L747" si="146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4"/>
        <v>0</v>
      </c>
      <c r="B685">
        <f t="shared" si="135"/>
        <v>0</v>
      </c>
      <c r="C685">
        <f t="shared" si="136"/>
        <v>0</v>
      </c>
      <c r="D685">
        <f t="shared" si="137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8"/>
        <v>0</v>
      </c>
      <c r="G685">
        <f t="shared" si="139"/>
        <v>0</v>
      </c>
      <c r="H685">
        <f t="shared" si="140"/>
        <v>0</v>
      </c>
      <c r="I685">
        <f t="shared" si="141"/>
        <v>0</v>
      </c>
      <c r="J685">
        <f t="shared" si="142"/>
        <v>0</v>
      </c>
      <c r="K685" s="4" t="e">
        <f t="shared" si="145"/>
        <v>#N/A</v>
      </c>
      <c r="L685" t="e">
        <f t="shared" si="146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4"/>
        <v>0</v>
      </c>
      <c r="B686">
        <f t="shared" si="135"/>
        <v>0</v>
      </c>
      <c r="C686">
        <f t="shared" si="136"/>
        <v>0</v>
      </c>
      <c r="D686">
        <f t="shared" si="137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8"/>
        <v>0</v>
      </c>
      <c r="G686">
        <f t="shared" si="139"/>
        <v>0</v>
      </c>
      <c r="H686">
        <f t="shared" si="140"/>
        <v>0</v>
      </c>
      <c r="I686">
        <f t="shared" si="141"/>
        <v>0</v>
      </c>
      <c r="J686">
        <f t="shared" si="142"/>
        <v>0</v>
      </c>
      <c r="K686" s="4" t="e">
        <f t="shared" si="145"/>
        <v>#N/A</v>
      </c>
      <c r="L686" t="e">
        <f t="shared" si="146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4"/>
        <v>0</v>
      </c>
      <c r="B687">
        <f t="shared" si="135"/>
        <v>0</v>
      </c>
      <c r="C687">
        <f t="shared" si="136"/>
        <v>0</v>
      </c>
      <c r="D687">
        <f t="shared" si="137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8"/>
        <v>0</v>
      </c>
      <c r="G687">
        <f t="shared" si="139"/>
        <v>0</v>
      </c>
      <c r="H687">
        <f t="shared" si="140"/>
        <v>0</v>
      </c>
      <c r="I687">
        <f t="shared" si="141"/>
        <v>0</v>
      </c>
      <c r="J687">
        <f t="shared" si="142"/>
        <v>0</v>
      </c>
      <c r="K687" s="4" t="e">
        <f t="shared" si="145"/>
        <v>#N/A</v>
      </c>
      <c r="L687" t="e">
        <f t="shared" si="146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4"/>
        <v>0</v>
      </c>
      <c r="B688">
        <f t="shared" si="135"/>
        <v>0</v>
      </c>
      <c r="C688">
        <f t="shared" si="136"/>
        <v>0</v>
      </c>
      <c r="D688">
        <f t="shared" si="137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8"/>
        <v>0</v>
      </c>
      <c r="G688">
        <f t="shared" si="139"/>
        <v>0</v>
      </c>
      <c r="H688">
        <f t="shared" si="140"/>
        <v>0</v>
      </c>
      <c r="I688">
        <f t="shared" si="141"/>
        <v>0</v>
      </c>
      <c r="J688">
        <f t="shared" si="142"/>
        <v>0</v>
      </c>
      <c r="K688" s="4" t="e">
        <f t="shared" si="145"/>
        <v>#N/A</v>
      </c>
      <c r="L688" t="e">
        <f t="shared" si="146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4"/>
        <v>0</v>
      </c>
      <c r="B689">
        <f t="shared" si="135"/>
        <v>0</v>
      </c>
      <c r="C689">
        <f t="shared" si="136"/>
        <v>0</v>
      </c>
      <c r="D689">
        <f t="shared" si="137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8"/>
        <v>0</v>
      </c>
      <c r="G689">
        <f t="shared" si="139"/>
        <v>0</v>
      </c>
      <c r="H689">
        <f t="shared" si="140"/>
        <v>0</v>
      </c>
      <c r="I689">
        <f t="shared" si="141"/>
        <v>0</v>
      </c>
      <c r="J689">
        <f t="shared" si="142"/>
        <v>0</v>
      </c>
      <c r="K689" s="4" t="e">
        <f t="shared" si="145"/>
        <v>#N/A</v>
      </c>
      <c r="L689" t="e">
        <f t="shared" si="146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4"/>
        <v>0</v>
      </c>
      <c r="B690">
        <f t="shared" si="135"/>
        <v>0</v>
      </c>
      <c r="C690">
        <f t="shared" si="136"/>
        <v>0</v>
      </c>
      <c r="D690">
        <f t="shared" si="137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8"/>
        <v>0</v>
      </c>
      <c r="G690">
        <f t="shared" si="139"/>
        <v>0</v>
      </c>
      <c r="H690">
        <f t="shared" si="140"/>
        <v>0</v>
      </c>
      <c r="I690">
        <f t="shared" si="141"/>
        <v>0</v>
      </c>
      <c r="J690">
        <f t="shared" si="142"/>
        <v>0</v>
      </c>
      <c r="K690" s="4" t="e">
        <f t="shared" si="145"/>
        <v>#N/A</v>
      </c>
      <c r="L690" t="e">
        <f t="shared" si="146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4"/>
        <v>0</v>
      </c>
      <c r="B691">
        <f t="shared" si="135"/>
        <v>0</v>
      </c>
      <c r="C691">
        <f t="shared" si="136"/>
        <v>0</v>
      </c>
      <c r="D691">
        <f t="shared" si="137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8"/>
        <v>0</v>
      </c>
      <c r="G691">
        <f t="shared" si="139"/>
        <v>0</v>
      </c>
      <c r="H691">
        <f t="shared" si="140"/>
        <v>0</v>
      </c>
      <c r="I691">
        <f t="shared" si="141"/>
        <v>0</v>
      </c>
      <c r="J691">
        <f t="shared" si="142"/>
        <v>0</v>
      </c>
      <c r="K691" s="4" t="e">
        <f t="shared" si="145"/>
        <v>#N/A</v>
      </c>
      <c r="L691" t="e">
        <f t="shared" si="146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4"/>
        <v>0</v>
      </c>
      <c r="B692">
        <f t="shared" si="135"/>
        <v>0</v>
      </c>
      <c r="C692">
        <f t="shared" si="136"/>
        <v>0</v>
      </c>
      <c r="D692">
        <f t="shared" si="137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8"/>
        <v>0</v>
      </c>
      <c r="G692">
        <f t="shared" si="139"/>
        <v>0</v>
      </c>
      <c r="H692">
        <f t="shared" si="140"/>
        <v>0</v>
      </c>
      <c r="I692">
        <f t="shared" si="141"/>
        <v>0</v>
      </c>
      <c r="J692">
        <f t="shared" si="142"/>
        <v>0</v>
      </c>
      <c r="K692" s="4" t="e">
        <f t="shared" si="145"/>
        <v>#N/A</v>
      </c>
      <c r="L692" t="e">
        <f t="shared" si="146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4"/>
        <v>0</v>
      </c>
      <c r="B693">
        <f t="shared" si="135"/>
        <v>0</v>
      </c>
      <c r="C693">
        <f t="shared" si="136"/>
        <v>0</v>
      </c>
      <c r="D693">
        <f t="shared" si="137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8"/>
        <v>0</v>
      </c>
      <c r="G693">
        <f t="shared" si="139"/>
        <v>0</v>
      </c>
      <c r="H693">
        <f t="shared" si="140"/>
        <v>0</v>
      </c>
      <c r="I693">
        <f t="shared" si="141"/>
        <v>0</v>
      </c>
      <c r="J693">
        <f t="shared" si="142"/>
        <v>0</v>
      </c>
      <c r="K693" s="4" t="e">
        <f t="shared" si="145"/>
        <v>#N/A</v>
      </c>
      <c r="L693" t="e">
        <f t="shared" si="146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4"/>
        <v>0</v>
      </c>
      <c r="B694">
        <f t="shared" si="135"/>
        <v>0</v>
      </c>
      <c r="C694">
        <f t="shared" si="136"/>
        <v>0</v>
      </c>
      <c r="D694">
        <f t="shared" si="137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8"/>
        <v>0</v>
      </c>
      <c r="G694">
        <f t="shared" si="139"/>
        <v>0</v>
      </c>
      <c r="H694">
        <f t="shared" si="140"/>
        <v>0</v>
      </c>
      <c r="I694">
        <f t="shared" si="141"/>
        <v>0</v>
      </c>
      <c r="J694">
        <f t="shared" si="142"/>
        <v>0</v>
      </c>
      <c r="K694" s="4" t="e">
        <f t="shared" si="145"/>
        <v>#N/A</v>
      </c>
      <c r="L694" t="e">
        <f t="shared" si="146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4"/>
        <v>0</v>
      </c>
      <c r="B695">
        <f t="shared" si="135"/>
        <v>0</v>
      </c>
      <c r="C695">
        <f t="shared" si="136"/>
        <v>0</v>
      </c>
      <c r="D695">
        <f t="shared" si="137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8"/>
        <v>0</v>
      </c>
      <c r="G695">
        <f t="shared" si="139"/>
        <v>0</v>
      </c>
      <c r="H695">
        <f t="shared" si="140"/>
        <v>0</v>
      </c>
      <c r="I695">
        <f t="shared" si="141"/>
        <v>0</v>
      </c>
      <c r="J695">
        <f t="shared" si="142"/>
        <v>0</v>
      </c>
      <c r="K695" s="4" t="e">
        <f t="shared" si="145"/>
        <v>#N/A</v>
      </c>
      <c r="L695" t="e">
        <f t="shared" si="146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4"/>
        <v>0</v>
      </c>
      <c r="B696">
        <f t="shared" si="135"/>
        <v>0</v>
      </c>
      <c r="C696">
        <f t="shared" si="136"/>
        <v>0</v>
      </c>
      <c r="D696">
        <f t="shared" si="137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8"/>
        <v>0</v>
      </c>
      <c r="G696">
        <f t="shared" si="139"/>
        <v>0</v>
      </c>
      <c r="H696">
        <f t="shared" si="140"/>
        <v>0</v>
      </c>
      <c r="I696">
        <f t="shared" si="141"/>
        <v>0</v>
      </c>
      <c r="J696">
        <f t="shared" si="142"/>
        <v>0</v>
      </c>
      <c r="K696" s="4" t="e">
        <f t="shared" si="145"/>
        <v>#N/A</v>
      </c>
      <c r="L696" t="e">
        <f t="shared" si="146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4"/>
        <v>0</v>
      </c>
      <c r="B697">
        <f t="shared" si="135"/>
        <v>0</v>
      </c>
      <c r="C697">
        <f t="shared" si="136"/>
        <v>0</v>
      </c>
      <c r="D697">
        <f t="shared" si="137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8"/>
        <v>0</v>
      </c>
      <c r="G697">
        <f t="shared" si="139"/>
        <v>0</v>
      </c>
      <c r="H697">
        <f t="shared" si="140"/>
        <v>0</v>
      </c>
      <c r="I697">
        <f t="shared" si="141"/>
        <v>0</v>
      </c>
      <c r="J697">
        <f t="shared" si="142"/>
        <v>0</v>
      </c>
      <c r="K697" s="4" t="e">
        <f t="shared" si="145"/>
        <v>#N/A</v>
      </c>
      <c r="L697" t="e">
        <f t="shared" si="146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4"/>
        <v>0</v>
      </c>
      <c r="B698">
        <f t="shared" si="135"/>
        <v>0</v>
      </c>
      <c r="C698">
        <f t="shared" si="136"/>
        <v>0</v>
      </c>
      <c r="D698">
        <f t="shared" si="137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8"/>
        <v>0</v>
      </c>
      <c r="G698">
        <f t="shared" si="139"/>
        <v>0</v>
      </c>
      <c r="H698">
        <f t="shared" si="140"/>
        <v>0</v>
      </c>
      <c r="I698">
        <f t="shared" si="141"/>
        <v>0</v>
      </c>
      <c r="J698">
        <f t="shared" si="142"/>
        <v>0</v>
      </c>
      <c r="K698" s="4" t="e">
        <f t="shared" si="145"/>
        <v>#N/A</v>
      </c>
      <c r="L698" t="e">
        <f t="shared" si="146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4"/>
        <v>0</v>
      </c>
      <c r="B699">
        <f t="shared" si="135"/>
        <v>0</v>
      </c>
      <c r="C699">
        <f t="shared" si="136"/>
        <v>0</v>
      </c>
      <c r="D699">
        <f t="shared" si="137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8"/>
        <v>0</v>
      </c>
      <c r="G699">
        <f t="shared" si="139"/>
        <v>0</v>
      </c>
      <c r="H699">
        <f t="shared" si="140"/>
        <v>0</v>
      </c>
      <c r="I699">
        <f t="shared" si="141"/>
        <v>0</v>
      </c>
      <c r="J699">
        <f t="shared" si="142"/>
        <v>0</v>
      </c>
      <c r="K699" s="4" t="e">
        <f t="shared" si="145"/>
        <v>#N/A</v>
      </c>
      <c r="L699" t="e">
        <f t="shared" si="146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4"/>
        <v>0</v>
      </c>
      <c r="B700">
        <f t="shared" si="135"/>
        <v>0</v>
      </c>
      <c r="C700">
        <f t="shared" si="136"/>
        <v>0</v>
      </c>
      <c r="D700">
        <f t="shared" si="137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8"/>
        <v>0</v>
      </c>
      <c r="G700">
        <f t="shared" si="139"/>
        <v>0</v>
      </c>
      <c r="H700">
        <f t="shared" si="140"/>
        <v>0</v>
      </c>
      <c r="I700">
        <f t="shared" si="141"/>
        <v>0</v>
      </c>
      <c r="J700">
        <f t="shared" si="142"/>
        <v>0</v>
      </c>
      <c r="K700" s="4" t="e">
        <f t="shared" si="145"/>
        <v>#N/A</v>
      </c>
      <c r="L700" t="e">
        <f t="shared" si="146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4"/>
        <v>0</v>
      </c>
      <c r="B701">
        <f t="shared" si="135"/>
        <v>0</v>
      </c>
      <c r="C701">
        <f t="shared" si="136"/>
        <v>0</v>
      </c>
      <c r="D701">
        <f t="shared" si="137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8"/>
        <v>0</v>
      </c>
      <c r="G701">
        <f t="shared" si="139"/>
        <v>0</v>
      </c>
      <c r="H701">
        <f t="shared" si="140"/>
        <v>0</v>
      </c>
      <c r="I701">
        <f t="shared" si="141"/>
        <v>0</v>
      </c>
      <c r="J701">
        <f t="shared" si="142"/>
        <v>0</v>
      </c>
      <c r="K701" s="4" t="e">
        <f t="shared" si="145"/>
        <v>#N/A</v>
      </c>
      <c r="L701" t="e">
        <f t="shared" si="146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4"/>
        <v>0</v>
      </c>
      <c r="B702">
        <f t="shared" si="135"/>
        <v>0</v>
      </c>
      <c r="C702">
        <f t="shared" si="136"/>
        <v>0</v>
      </c>
      <c r="D702">
        <f t="shared" si="137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8"/>
        <v>0</v>
      </c>
      <c r="G702">
        <f t="shared" si="139"/>
        <v>0</v>
      </c>
      <c r="H702">
        <f t="shared" si="140"/>
        <v>0</v>
      </c>
      <c r="I702">
        <f t="shared" si="141"/>
        <v>0</v>
      </c>
      <c r="J702">
        <f t="shared" si="142"/>
        <v>0</v>
      </c>
      <c r="K702" s="4" t="e">
        <f t="shared" si="145"/>
        <v>#N/A</v>
      </c>
      <c r="L702" t="e">
        <f t="shared" si="146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4"/>
        <v>0</v>
      </c>
      <c r="B703">
        <f t="shared" si="135"/>
        <v>0</v>
      </c>
      <c r="C703">
        <f t="shared" si="136"/>
        <v>0</v>
      </c>
      <c r="D703">
        <f t="shared" si="137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8"/>
        <v>0</v>
      </c>
      <c r="G703">
        <f t="shared" si="139"/>
        <v>0</v>
      </c>
      <c r="H703">
        <f t="shared" si="140"/>
        <v>0</v>
      </c>
      <c r="I703">
        <f t="shared" si="141"/>
        <v>0</v>
      </c>
      <c r="J703">
        <f t="shared" si="142"/>
        <v>0</v>
      </c>
      <c r="K703" s="4" t="e">
        <f t="shared" si="145"/>
        <v>#N/A</v>
      </c>
      <c r="L703" t="e">
        <f t="shared" si="146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4"/>
        <v>0</v>
      </c>
      <c r="B704">
        <f t="shared" si="135"/>
        <v>0</v>
      </c>
      <c r="C704">
        <f t="shared" si="136"/>
        <v>0</v>
      </c>
      <c r="D704">
        <f t="shared" si="137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8"/>
        <v>0</v>
      </c>
      <c r="G704">
        <f t="shared" si="139"/>
        <v>0</v>
      </c>
      <c r="H704">
        <f t="shared" si="140"/>
        <v>0</v>
      </c>
      <c r="I704">
        <f t="shared" si="141"/>
        <v>0</v>
      </c>
      <c r="J704">
        <f t="shared" si="142"/>
        <v>0</v>
      </c>
      <c r="K704" s="4" t="e">
        <f t="shared" si="145"/>
        <v>#N/A</v>
      </c>
      <c r="L704" t="e">
        <f t="shared" si="146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4"/>
        <v>0</v>
      </c>
      <c r="B705">
        <f t="shared" si="135"/>
        <v>0</v>
      </c>
      <c r="C705">
        <f t="shared" si="136"/>
        <v>0</v>
      </c>
      <c r="D705">
        <f t="shared" si="137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8"/>
        <v>0</v>
      </c>
      <c r="G705">
        <f t="shared" si="139"/>
        <v>0</v>
      </c>
      <c r="H705">
        <f t="shared" si="140"/>
        <v>0</v>
      </c>
      <c r="I705">
        <f t="shared" si="141"/>
        <v>0</v>
      </c>
      <c r="J705">
        <f t="shared" si="142"/>
        <v>0</v>
      </c>
      <c r="K705" s="4" t="e">
        <f t="shared" si="145"/>
        <v>#N/A</v>
      </c>
      <c r="L705" t="e">
        <f t="shared" si="146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7">bd_campaign</f>
        <v>0</v>
      </c>
      <c r="B706">
        <f t="shared" ref="B706:B769" si="148">bd_site</f>
        <v>0</v>
      </c>
      <c r="C706">
        <f t="shared" ref="C706:C769" si="149">bd_placement</f>
        <v>0</v>
      </c>
      <c r="D706">
        <f t="shared" ref="D706:D769" si="150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1">bd_ad</f>
        <v>0</v>
      </c>
      <c r="G706">
        <f t="shared" ref="G706:G769" si="152">bd_adid</f>
        <v>0</v>
      </c>
      <c r="H706">
        <f t="shared" ref="H706:H769" si="153">bd_creativetype</f>
        <v>0</v>
      </c>
      <c r="I706">
        <f t="shared" ref="I706:I769" si="154">bd_impression</f>
        <v>0</v>
      </c>
      <c r="J706">
        <f t="shared" ref="J706:J769" si="155">bd_clicks</f>
        <v>0</v>
      </c>
      <c r="K706" s="4" t="e">
        <f t="shared" si="145"/>
        <v>#N/A</v>
      </c>
      <c r="L706" t="e">
        <f t="shared" si="146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7"/>
        <v>0</v>
      </c>
      <c r="B707">
        <f t="shared" si="148"/>
        <v>0</v>
      </c>
      <c r="C707">
        <f t="shared" si="149"/>
        <v>0</v>
      </c>
      <c r="D707">
        <f t="shared" si="150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1"/>
        <v>0</v>
      </c>
      <c r="G707">
        <f t="shared" si="152"/>
        <v>0</v>
      </c>
      <c r="H707">
        <f t="shared" si="153"/>
        <v>0</v>
      </c>
      <c r="I707">
        <f t="shared" si="154"/>
        <v>0</v>
      </c>
      <c r="J707">
        <f t="shared" si="155"/>
        <v>0</v>
      </c>
      <c r="K707" s="4" t="e">
        <f t="shared" si="145"/>
        <v>#N/A</v>
      </c>
      <c r="L707" t="e">
        <f t="shared" si="146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7"/>
        <v>0</v>
      </c>
      <c r="B708">
        <f t="shared" si="148"/>
        <v>0</v>
      </c>
      <c r="C708">
        <f t="shared" si="149"/>
        <v>0</v>
      </c>
      <c r="D708">
        <f t="shared" si="150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1"/>
        <v>0</v>
      </c>
      <c r="G708">
        <f t="shared" si="152"/>
        <v>0</v>
      </c>
      <c r="H708">
        <f t="shared" si="153"/>
        <v>0</v>
      </c>
      <c r="I708">
        <f t="shared" si="154"/>
        <v>0</v>
      </c>
      <c r="J708">
        <f t="shared" si="155"/>
        <v>0</v>
      </c>
      <c r="K708" s="4" t="e">
        <f t="shared" si="145"/>
        <v>#N/A</v>
      </c>
      <c r="L708" t="e">
        <f t="shared" si="146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7"/>
        <v>0</v>
      </c>
      <c r="B709">
        <f t="shared" si="148"/>
        <v>0</v>
      </c>
      <c r="C709">
        <f t="shared" si="149"/>
        <v>0</v>
      </c>
      <c r="D709">
        <f t="shared" si="150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1"/>
        <v>0</v>
      </c>
      <c r="G709">
        <f t="shared" si="152"/>
        <v>0</v>
      </c>
      <c r="H709">
        <f t="shared" si="153"/>
        <v>0</v>
      </c>
      <c r="I709">
        <f t="shared" si="154"/>
        <v>0</v>
      </c>
      <c r="J709">
        <f t="shared" si="155"/>
        <v>0</v>
      </c>
      <c r="K709" s="4" t="e">
        <f t="shared" si="145"/>
        <v>#N/A</v>
      </c>
      <c r="L709" t="e">
        <f t="shared" si="146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7"/>
        <v>0</v>
      </c>
      <c r="B710">
        <f t="shared" si="148"/>
        <v>0</v>
      </c>
      <c r="C710">
        <f t="shared" si="149"/>
        <v>0</v>
      </c>
      <c r="D710">
        <f t="shared" si="150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1"/>
        <v>0</v>
      </c>
      <c r="G710">
        <f t="shared" si="152"/>
        <v>0</v>
      </c>
      <c r="H710">
        <f t="shared" si="153"/>
        <v>0</v>
      </c>
      <c r="I710">
        <f t="shared" si="154"/>
        <v>0</v>
      </c>
      <c r="J710">
        <f t="shared" si="155"/>
        <v>0</v>
      </c>
      <c r="K710" s="4" t="e">
        <f t="shared" si="145"/>
        <v>#N/A</v>
      </c>
      <c r="L710" t="e">
        <f t="shared" si="146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7"/>
        <v>0</v>
      </c>
      <c r="B711">
        <f t="shared" si="148"/>
        <v>0</v>
      </c>
      <c r="C711">
        <f t="shared" si="149"/>
        <v>0</v>
      </c>
      <c r="D711">
        <f t="shared" si="150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1"/>
        <v>0</v>
      </c>
      <c r="G711">
        <f t="shared" si="152"/>
        <v>0</v>
      </c>
      <c r="H711">
        <f t="shared" si="153"/>
        <v>0</v>
      </c>
      <c r="I711">
        <f t="shared" si="154"/>
        <v>0</v>
      </c>
      <c r="J711">
        <f t="shared" si="155"/>
        <v>0</v>
      </c>
      <c r="K711" s="4" t="e">
        <f t="shared" si="145"/>
        <v>#N/A</v>
      </c>
      <c r="L711" t="e">
        <f t="shared" si="146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7"/>
        <v>0</v>
      </c>
      <c r="B712">
        <f t="shared" si="148"/>
        <v>0</v>
      </c>
      <c r="C712">
        <f t="shared" si="149"/>
        <v>0</v>
      </c>
      <c r="D712">
        <f t="shared" si="150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1"/>
        <v>0</v>
      </c>
      <c r="G712">
        <f t="shared" si="152"/>
        <v>0</v>
      </c>
      <c r="H712">
        <f t="shared" si="153"/>
        <v>0</v>
      </c>
      <c r="I712">
        <f t="shared" si="154"/>
        <v>0</v>
      </c>
      <c r="J712">
        <f t="shared" si="155"/>
        <v>0</v>
      </c>
      <c r="K712" s="4" t="e">
        <f t="shared" si="145"/>
        <v>#N/A</v>
      </c>
      <c r="L712" t="e">
        <f t="shared" si="146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7"/>
        <v>0</v>
      </c>
      <c r="B713">
        <f t="shared" si="148"/>
        <v>0</v>
      </c>
      <c r="C713">
        <f t="shared" si="149"/>
        <v>0</v>
      </c>
      <c r="D713">
        <f t="shared" si="150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1"/>
        <v>0</v>
      </c>
      <c r="G713">
        <f t="shared" si="152"/>
        <v>0</v>
      </c>
      <c r="H713">
        <f t="shared" si="153"/>
        <v>0</v>
      </c>
      <c r="I713">
        <f t="shared" si="154"/>
        <v>0</v>
      </c>
      <c r="J713">
        <f t="shared" si="155"/>
        <v>0</v>
      </c>
      <c r="K713" s="4" t="e">
        <f t="shared" si="145"/>
        <v>#N/A</v>
      </c>
      <c r="L713" t="e">
        <f t="shared" si="146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7"/>
        <v>0</v>
      </c>
      <c r="B714">
        <f t="shared" si="148"/>
        <v>0</v>
      </c>
      <c r="C714">
        <f t="shared" si="149"/>
        <v>0</v>
      </c>
      <c r="D714">
        <f t="shared" si="150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1"/>
        <v>0</v>
      </c>
      <c r="G714">
        <f t="shared" si="152"/>
        <v>0</v>
      </c>
      <c r="H714">
        <f t="shared" si="153"/>
        <v>0</v>
      </c>
      <c r="I714">
        <f t="shared" si="154"/>
        <v>0</v>
      </c>
      <c r="J714">
        <f t="shared" si="155"/>
        <v>0</v>
      </c>
      <c r="K714" s="4" t="e">
        <f t="shared" si="145"/>
        <v>#N/A</v>
      </c>
      <c r="L714" t="e">
        <f t="shared" si="146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7"/>
        <v>0</v>
      </c>
      <c r="B715">
        <f t="shared" si="148"/>
        <v>0</v>
      </c>
      <c r="C715">
        <f t="shared" si="149"/>
        <v>0</v>
      </c>
      <c r="D715">
        <f t="shared" si="150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1"/>
        <v>0</v>
      </c>
      <c r="G715">
        <f t="shared" si="152"/>
        <v>0</v>
      </c>
      <c r="H715">
        <f t="shared" si="153"/>
        <v>0</v>
      </c>
      <c r="I715">
        <f t="shared" si="154"/>
        <v>0</v>
      </c>
      <c r="J715">
        <f t="shared" si="155"/>
        <v>0</v>
      </c>
      <c r="K715" s="4" t="e">
        <f t="shared" si="145"/>
        <v>#N/A</v>
      </c>
      <c r="L715" t="e">
        <f t="shared" si="146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7"/>
        <v>0</v>
      </c>
      <c r="B716">
        <f t="shared" si="148"/>
        <v>0</v>
      </c>
      <c r="C716">
        <f t="shared" si="149"/>
        <v>0</v>
      </c>
      <c r="D716">
        <f t="shared" si="150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1"/>
        <v>0</v>
      </c>
      <c r="G716">
        <f t="shared" si="152"/>
        <v>0</v>
      </c>
      <c r="H716">
        <f t="shared" si="153"/>
        <v>0</v>
      </c>
      <c r="I716">
        <f t="shared" si="154"/>
        <v>0</v>
      </c>
      <c r="J716">
        <f t="shared" si="155"/>
        <v>0</v>
      </c>
      <c r="K716" s="4" t="e">
        <f t="shared" si="145"/>
        <v>#N/A</v>
      </c>
      <c r="L716" t="e">
        <f t="shared" si="146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7"/>
        <v>0</v>
      </c>
      <c r="B717">
        <f t="shared" si="148"/>
        <v>0</v>
      </c>
      <c r="C717">
        <f t="shared" si="149"/>
        <v>0</v>
      </c>
      <c r="D717">
        <f t="shared" si="150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1"/>
        <v>0</v>
      </c>
      <c r="G717">
        <f t="shared" si="152"/>
        <v>0</v>
      </c>
      <c r="H717">
        <f t="shared" si="153"/>
        <v>0</v>
      </c>
      <c r="I717">
        <f t="shared" si="154"/>
        <v>0</v>
      </c>
      <c r="J717">
        <f t="shared" si="155"/>
        <v>0</v>
      </c>
      <c r="K717" s="4" t="e">
        <f t="shared" si="145"/>
        <v>#N/A</v>
      </c>
      <c r="L717" t="e">
        <f t="shared" si="146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7"/>
        <v>0</v>
      </c>
      <c r="B718">
        <f t="shared" si="148"/>
        <v>0</v>
      </c>
      <c r="C718">
        <f t="shared" si="149"/>
        <v>0</v>
      </c>
      <c r="D718">
        <f t="shared" si="150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1"/>
        <v>0</v>
      </c>
      <c r="G718">
        <f t="shared" si="152"/>
        <v>0</v>
      </c>
      <c r="H718">
        <f t="shared" si="153"/>
        <v>0</v>
      </c>
      <c r="I718">
        <f t="shared" si="154"/>
        <v>0</v>
      </c>
      <c r="J718">
        <f t="shared" si="155"/>
        <v>0</v>
      </c>
      <c r="K718" s="4" t="e">
        <f t="shared" si="145"/>
        <v>#N/A</v>
      </c>
      <c r="L718" t="e">
        <f t="shared" si="146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7"/>
        <v>0</v>
      </c>
      <c r="B719">
        <f t="shared" si="148"/>
        <v>0</v>
      </c>
      <c r="C719">
        <f t="shared" si="149"/>
        <v>0</v>
      </c>
      <c r="D719">
        <f t="shared" si="150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1"/>
        <v>0</v>
      </c>
      <c r="G719">
        <f t="shared" si="152"/>
        <v>0</v>
      </c>
      <c r="H719">
        <f t="shared" si="153"/>
        <v>0</v>
      </c>
      <c r="I719">
        <f t="shared" si="154"/>
        <v>0</v>
      </c>
      <c r="J719">
        <f t="shared" si="155"/>
        <v>0</v>
      </c>
      <c r="K719" s="4" t="e">
        <f t="shared" si="145"/>
        <v>#N/A</v>
      </c>
      <c r="L719" t="e">
        <f t="shared" si="146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7"/>
        <v>0</v>
      </c>
      <c r="B720">
        <f t="shared" si="148"/>
        <v>0</v>
      </c>
      <c r="C720">
        <f t="shared" si="149"/>
        <v>0</v>
      </c>
      <c r="D720">
        <f t="shared" si="150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1"/>
        <v>0</v>
      </c>
      <c r="G720">
        <f t="shared" si="152"/>
        <v>0</v>
      </c>
      <c r="H720">
        <f t="shared" si="153"/>
        <v>0</v>
      </c>
      <c r="I720">
        <f t="shared" si="154"/>
        <v>0</v>
      </c>
      <c r="J720">
        <f t="shared" si="155"/>
        <v>0</v>
      </c>
      <c r="K720" s="4" t="e">
        <f t="shared" si="145"/>
        <v>#N/A</v>
      </c>
      <c r="L720" t="e">
        <f t="shared" si="146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7"/>
        <v>0</v>
      </c>
      <c r="B721">
        <f t="shared" si="148"/>
        <v>0</v>
      </c>
      <c r="C721">
        <f t="shared" si="149"/>
        <v>0</v>
      </c>
      <c r="D721">
        <f t="shared" si="150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1"/>
        <v>0</v>
      </c>
      <c r="G721">
        <f t="shared" si="152"/>
        <v>0</v>
      </c>
      <c r="H721">
        <f t="shared" si="153"/>
        <v>0</v>
      </c>
      <c r="I721">
        <f t="shared" si="154"/>
        <v>0</v>
      </c>
      <c r="J721">
        <f t="shared" si="155"/>
        <v>0</v>
      </c>
      <c r="K721" s="4" t="e">
        <f t="shared" si="145"/>
        <v>#N/A</v>
      </c>
      <c r="L721" t="e">
        <f t="shared" si="146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7"/>
        <v>0</v>
      </c>
      <c r="B722">
        <f t="shared" si="148"/>
        <v>0</v>
      </c>
      <c r="C722">
        <f t="shared" si="149"/>
        <v>0</v>
      </c>
      <c r="D722">
        <f t="shared" si="150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1"/>
        <v>0</v>
      </c>
      <c r="G722">
        <f t="shared" si="152"/>
        <v>0</v>
      </c>
      <c r="H722">
        <f t="shared" si="153"/>
        <v>0</v>
      </c>
      <c r="I722">
        <f t="shared" si="154"/>
        <v>0</v>
      </c>
      <c r="J722">
        <f t="shared" si="155"/>
        <v>0</v>
      </c>
      <c r="K722" s="4" t="e">
        <f t="shared" si="145"/>
        <v>#N/A</v>
      </c>
      <c r="L722" t="e">
        <f t="shared" si="146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7"/>
        <v>0</v>
      </c>
      <c r="B723">
        <f t="shared" si="148"/>
        <v>0</v>
      </c>
      <c r="C723">
        <f t="shared" si="149"/>
        <v>0</v>
      </c>
      <c r="D723">
        <f t="shared" si="150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1"/>
        <v>0</v>
      </c>
      <c r="G723">
        <f t="shared" si="152"/>
        <v>0</v>
      </c>
      <c r="H723">
        <f t="shared" si="153"/>
        <v>0</v>
      </c>
      <c r="I723">
        <f t="shared" si="154"/>
        <v>0</v>
      </c>
      <c r="J723">
        <f t="shared" si="155"/>
        <v>0</v>
      </c>
      <c r="K723" s="4" t="e">
        <f t="shared" si="145"/>
        <v>#N/A</v>
      </c>
      <c r="L723" t="e">
        <f t="shared" si="146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7"/>
        <v>0</v>
      </c>
      <c r="B724">
        <f t="shared" si="148"/>
        <v>0</v>
      </c>
      <c r="C724">
        <f t="shared" si="149"/>
        <v>0</v>
      </c>
      <c r="D724">
        <f t="shared" si="150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1"/>
        <v>0</v>
      </c>
      <c r="G724">
        <f t="shared" si="152"/>
        <v>0</v>
      </c>
      <c r="H724">
        <f t="shared" si="153"/>
        <v>0</v>
      </c>
      <c r="I724">
        <f t="shared" si="154"/>
        <v>0</v>
      </c>
      <c r="J724">
        <f t="shared" si="155"/>
        <v>0</v>
      </c>
      <c r="K724" s="4" t="e">
        <f t="shared" si="145"/>
        <v>#N/A</v>
      </c>
      <c r="L724" t="e">
        <f t="shared" si="146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7"/>
        <v>0</v>
      </c>
      <c r="B725">
        <f t="shared" si="148"/>
        <v>0</v>
      </c>
      <c r="C725">
        <f t="shared" si="149"/>
        <v>0</v>
      </c>
      <c r="D725">
        <f t="shared" si="150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1"/>
        <v>0</v>
      </c>
      <c r="G725">
        <f t="shared" si="152"/>
        <v>0</v>
      </c>
      <c r="H725">
        <f t="shared" si="153"/>
        <v>0</v>
      </c>
      <c r="I725">
        <f t="shared" si="154"/>
        <v>0</v>
      </c>
      <c r="J725">
        <f t="shared" si="155"/>
        <v>0</v>
      </c>
      <c r="K725" s="4" t="e">
        <f t="shared" si="145"/>
        <v>#N/A</v>
      </c>
      <c r="L725" t="e">
        <f t="shared" si="146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7"/>
        <v>0</v>
      </c>
      <c r="B726">
        <f t="shared" si="148"/>
        <v>0</v>
      </c>
      <c r="C726">
        <f t="shared" si="149"/>
        <v>0</v>
      </c>
      <c r="D726">
        <f t="shared" si="150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1"/>
        <v>0</v>
      </c>
      <c r="G726">
        <f t="shared" si="152"/>
        <v>0</v>
      </c>
      <c r="H726">
        <f t="shared" si="153"/>
        <v>0</v>
      </c>
      <c r="I726">
        <f t="shared" si="154"/>
        <v>0</v>
      </c>
      <c r="J726">
        <f t="shared" si="155"/>
        <v>0</v>
      </c>
      <c r="K726" s="4" t="e">
        <f t="shared" si="145"/>
        <v>#N/A</v>
      </c>
      <c r="L726" t="e">
        <f t="shared" si="146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7"/>
        <v>0</v>
      </c>
      <c r="B727">
        <f t="shared" si="148"/>
        <v>0</v>
      </c>
      <c r="C727">
        <f t="shared" si="149"/>
        <v>0</v>
      </c>
      <c r="D727">
        <f t="shared" si="150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1"/>
        <v>0</v>
      </c>
      <c r="G727">
        <f t="shared" si="152"/>
        <v>0</v>
      </c>
      <c r="H727">
        <f t="shared" si="153"/>
        <v>0</v>
      </c>
      <c r="I727">
        <f t="shared" si="154"/>
        <v>0</v>
      </c>
      <c r="J727">
        <f t="shared" si="155"/>
        <v>0</v>
      </c>
      <c r="K727" s="4" t="e">
        <f t="shared" si="145"/>
        <v>#N/A</v>
      </c>
      <c r="L727" t="e">
        <f t="shared" si="146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7"/>
        <v>0</v>
      </c>
      <c r="B728">
        <f t="shared" si="148"/>
        <v>0</v>
      </c>
      <c r="C728">
        <f t="shared" si="149"/>
        <v>0</v>
      </c>
      <c r="D728">
        <f t="shared" si="150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1"/>
        <v>0</v>
      </c>
      <c r="G728">
        <f t="shared" si="152"/>
        <v>0</v>
      </c>
      <c r="H728">
        <f t="shared" si="153"/>
        <v>0</v>
      </c>
      <c r="I728">
        <f t="shared" si="154"/>
        <v>0</v>
      </c>
      <c r="J728">
        <f t="shared" si="155"/>
        <v>0</v>
      </c>
      <c r="K728" s="4" t="e">
        <f t="shared" si="145"/>
        <v>#N/A</v>
      </c>
      <c r="L728" t="e">
        <f t="shared" si="146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7"/>
        <v>0</v>
      </c>
      <c r="B729">
        <f t="shared" si="148"/>
        <v>0</v>
      </c>
      <c r="C729">
        <f t="shared" si="149"/>
        <v>0</v>
      </c>
      <c r="D729">
        <f t="shared" si="150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1"/>
        <v>0</v>
      </c>
      <c r="G729">
        <f t="shared" si="152"/>
        <v>0</v>
      </c>
      <c r="H729">
        <f t="shared" si="153"/>
        <v>0</v>
      </c>
      <c r="I729">
        <f t="shared" si="154"/>
        <v>0</v>
      </c>
      <c r="J729">
        <f t="shared" si="155"/>
        <v>0</v>
      </c>
      <c r="K729" s="4" t="e">
        <f t="shared" si="145"/>
        <v>#N/A</v>
      </c>
      <c r="L729" t="e">
        <f t="shared" si="146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7"/>
        <v>0</v>
      </c>
      <c r="B730">
        <f t="shared" si="148"/>
        <v>0</v>
      </c>
      <c r="C730">
        <f t="shared" si="149"/>
        <v>0</v>
      </c>
      <c r="D730">
        <f t="shared" si="150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1"/>
        <v>0</v>
      </c>
      <c r="G730">
        <f t="shared" si="152"/>
        <v>0</v>
      </c>
      <c r="H730">
        <f t="shared" si="153"/>
        <v>0</v>
      </c>
      <c r="I730">
        <f t="shared" si="154"/>
        <v>0</v>
      </c>
      <c r="J730">
        <f t="shared" si="155"/>
        <v>0</v>
      </c>
      <c r="K730" s="4" t="e">
        <f t="shared" si="145"/>
        <v>#N/A</v>
      </c>
      <c r="L730" t="e">
        <f t="shared" si="146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7"/>
        <v>0</v>
      </c>
      <c r="B731">
        <f t="shared" si="148"/>
        <v>0</v>
      </c>
      <c r="C731">
        <f t="shared" si="149"/>
        <v>0</v>
      </c>
      <c r="D731">
        <f t="shared" si="150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1"/>
        <v>0</v>
      </c>
      <c r="G731">
        <f t="shared" si="152"/>
        <v>0</v>
      </c>
      <c r="H731">
        <f t="shared" si="153"/>
        <v>0</v>
      </c>
      <c r="I731">
        <f t="shared" si="154"/>
        <v>0</v>
      </c>
      <c r="J731">
        <f t="shared" si="155"/>
        <v>0</v>
      </c>
      <c r="K731" s="4" t="e">
        <f t="shared" si="145"/>
        <v>#N/A</v>
      </c>
      <c r="L731" t="e">
        <f t="shared" si="146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7"/>
        <v>0</v>
      </c>
      <c r="B732">
        <f t="shared" si="148"/>
        <v>0</v>
      </c>
      <c r="C732">
        <f t="shared" si="149"/>
        <v>0</v>
      </c>
      <c r="D732">
        <f t="shared" si="150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1"/>
        <v>0</v>
      </c>
      <c r="G732">
        <f t="shared" si="152"/>
        <v>0</v>
      </c>
      <c r="H732">
        <f t="shared" si="153"/>
        <v>0</v>
      </c>
      <c r="I732">
        <f t="shared" si="154"/>
        <v>0</v>
      </c>
      <c r="J732">
        <f t="shared" si="155"/>
        <v>0</v>
      </c>
      <c r="K732" s="4" t="e">
        <f t="shared" si="145"/>
        <v>#N/A</v>
      </c>
      <c r="L732" t="e">
        <f t="shared" si="146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7"/>
        <v>0</v>
      </c>
      <c r="B733">
        <f t="shared" si="148"/>
        <v>0</v>
      </c>
      <c r="C733">
        <f t="shared" si="149"/>
        <v>0</v>
      </c>
      <c r="D733">
        <f t="shared" si="150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1"/>
        <v>0</v>
      </c>
      <c r="G733">
        <f t="shared" si="152"/>
        <v>0</v>
      </c>
      <c r="H733">
        <f t="shared" si="153"/>
        <v>0</v>
      </c>
      <c r="I733">
        <f t="shared" si="154"/>
        <v>0</v>
      </c>
      <c r="J733">
        <f t="shared" si="155"/>
        <v>0</v>
      </c>
      <c r="K733" s="4" t="e">
        <f t="shared" si="145"/>
        <v>#N/A</v>
      </c>
      <c r="L733" t="e">
        <f t="shared" si="146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7"/>
        <v>0</v>
      </c>
      <c r="B734">
        <f t="shared" si="148"/>
        <v>0</v>
      </c>
      <c r="C734">
        <f t="shared" si="149"/>
        <v>0</v>
      </c>
      <c r="D734">
        <f t="shared" si="150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1"/>
        <v>0</v>
      </c>
      <c r="G734">
        <f t="shared" si="152"/>
        <v>0</v>
      </c>
      <c r="H734">
        <f t="shared" si="153"/>
        <v>0</v>
      </c>
      <c r="I734">
        <f t="shared" si="154"/>
        <v>0</v>
      </c>
      <c r="J734">
        <f t="shared" si="155"/>
        <v>0</v>
      </c>
      <c r="K734" s="4" t="e">
        <f t="shared" si="145"/>
        <v>#N/A</v>
      </c>
      <c r="L734" t="e">
        <f t="shared" si="146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7"/>
        <v>0</v>
      </c>
      <c r="B735">
        <f t="shared" si="148"/>
        <v>0</v>
      </c>
      <c r="C735">
        <f t="shared" si="149"/>
        <v>0</v>
      </c>
      <c r="D735">
        <f t="shared" si="150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1"/>
        <v>0</v>
      </c>
      <c r="G735">
        <f t="shared" si="152"/>
        <v>0</v>
      </c>
      <c r="H735">
        <f t="shared" si="153"/>
        <v>0</v>
      </c>
      <c r="I735">
        <f t="shared" si="154"/>
        <v>0</v>
      </c>
      <c r="J735">
        <f t="shared" si="155"/>
        <v>0</v>
      </c>
      <c r="K735" s="4" t="e">
        <f t="shared" si="145"/>
        <v>#N/A</v>
      </c>
      <c r="L735" t="e">
        <f t="shared" si="146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7"/>
        <v>0</v>
      </c>
      <c r="B736">
        <f t="shared" si="148"/>
        <v>0</v>
      </c>
      <c r="C736">
        <f t="shared" si="149"/>
        <v>0</v>
      </c>
      <c r="D736">
        <f t="shared" si="150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1"/>
        <v>0</v>
      </c>
      <c r="G736">
        <f t="shared" si="152"/>
        <v>0</v>
      </c>
      <c r="H736">
        <f t="shared" si="153"/>
        <v>0</v>
      </c>
      <c r="I736">
        <f t="shared" si="154"/>
        <v>0</v>
      </c>
      <c r="J736">
        <f t="shared" si="155"/>
        <v>0</v>
      </c>
      <c r="K736" s="4" t="e">
        <f t="shared" si="145"/>
        <v>#N/A</v>
      </c>
      <c r="L736" t="e">
        <f t="shared" si="146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7"/>
        <v>0</v>
      </c>
      <c r="B737">
        <f t="shared" si="148"/>
        <v>0</v>
      </c>
      <c r="C737">
        <f t="shared" si="149"/>
        <v>0</v>
      </c>
      <c r="D737">
        <f t="shared" si="150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1"/>
        <v>0</v>
      </c>
      <c r="G737">
        <f t="shared" si="152"/>
        <v>0</v>
      </c>
      <c r="H737">
        <f t="shared" si="153"/>
        <v>0</v>
      </c>
      <c r="I737">
        <f t="shared" si="154"/>
        <v>0</v>
      </c>
      <c r="J737">
        <f t="shared" si="155"/>
        <v>0</v>
      </c>
      <c r="K737" s="4" t="e">
        <f t="shared" si="145"/>
        <v>#N/A</v>
      </c>
      <c r="L737" t="e">
        <f t="shared" si="146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7"/>
        <v>0</v>
      </c>
      <c r="B738">
        <f t="shared" si="148"/>
        <v>0</v>
      </c>
      <c r="C738">
        <f t="shared" si="149"/>
        <v>0</v>
      </c>
      <c r="D738">
        <f t="shared" si="150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1"/>
        <v>0</v>
      </c>
      <c r="G738">
        <f t="shared" si="152"/>
        <v>0</v>
      </c>
      <c r="H738">
        <f t="shared" si="153"/>
        <v>0</v>
      </c>
      <c r="I738">
        <f t="shared" si="154"/>
        <v>0</v>
      </c>
      <c r="J738">
        <f t="shared" si="155"/>
        <v>0</v>
      </c>
      <c r="K738" s="4" t="e">
        <f t="shared" si="145"/>
        <v>#N/A</v>
      </c>
      <c r="L738" t="e">
        <f t="shared" si="146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7"/>
        <v>0</v>
      </c>
      <c r="B739">
        <f t="shared" si="148"/>
        <v>0</v>
      </c>
      <c r="C739">
        <f t="shared" si="149"/>
        <v>0</v>
      </c>
      <c r="D739">
        <f t="shared" si="150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1"/>
        <v>0</v>
      </c>
      <c r="G739">
        <f t="shared" si="152"/>
        <v>0</v>
      </c>
      <c r="H739">
        <f t="shared" si="153"/>
        <v>0</v>
      </c>
      <c r="I739">
        <f t="shared" si="154"/>
        <v>0</v>
      </c>
      <c r="J739">
        <f t="shared" si="155"/>
        <v>0</v>
      </c>
      <c r="K739" s="4" t="e">
        <f t="shared" si="145"/>
        <v>#N/A</v>
      </c>
      <c r="L739" t="e">
        <f t="shared" si="146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7"/>
        <v>0</v>
      </c>
      <c r="B740">
        <f t="shared" si="148"/>
        <v>0</v>
      </c>
      <c r="C740">
        <f t="shared" si="149"/>
        <v>0</v>
      </c>
      <c r="D740">
        <f t="shared" si="150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1"/>
        <v>0</v>
      </c>
      <c r="G740">
        <f t="shared" si="152"/>
        <v>0</v>
      </c>
      <c r="H740">
        <f t="shared" si="153"/>
        <v>0</v>
      </c>
      <c r="I740">
        <f t="shared" si="154"/>
        <v>0</v>
      </c>
      <c r="J740">
        <f t="shared" si="155"/>
        <v>0</v>
      </c>
      <c r="K740" s="4" t="e">
        <f t="shared" si="145"/>
        <v>#N/A</v>
      </c>
      <c r="L740" t="e">
        <f t="shared" si="146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7"/>
        <v>0</v>
      </c>
      <c r="B741">
        <f t="shared" si="148"/>
        <v>0</v>
      </c>
      <c r="C741">
        <f t="shared" si="149"/>
        <v>0</v>
      </c>
      <c r="D741">
        <f t="shared" si="150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1"/>
        <v>0</v>
      </c>
      <c r="G741">
        <f t="shared" si="152"/>
        <v>0</v>
      </c>
      <c r="H741">
        <f t="shared" si="153"/>
        <v>0</v>
      </c>
      <c r="I741">
        <f t="shared" si="154"/>
        <v>0</v>
      </c>
      <c r="J741">
        <f t="shared" si="155"/>
        <v>0</v>
      </c>
      <c r="K741" s="4" t="e">
        <f t="shared" si="145"/>
        <v>#N/A</v>
      </c>
      <c r="L741" t="e">
        <f t="shared" si="146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7"/>
        <v>0</v>
      </c>
      <c r="B742">
        <f t="shared" si="148"/>
        <v>0</v>
      </c>
      <c r="C742">
        <f t="shared" si="149"/>
        <v>0</v>
      </c>
      <c r="D742">
        <f t="shared" si="150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1"/>
        <v>0</v>
      </c>
      <c r="G742">
        <f t="shared" si="152"/>
        <v>0</v>
      </c>
      <c r="H742">
        <f t="shared" si="153"/>
        <v>0</v>
      </c>
      <c r="I742">
        <f t="shared" si="154"/>
        <v>0</v>
      </c>
      <c r="J742">
        <f t="shared" si="155"/>
        <v>0</v>
      </c>
      <c r="K742" s="4" t="e">
        <f t="shared" si="145"/>
        <v>#N/A</v>
      </c>
      <c r="L742" t="e">
        <f t="shared" si="146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7"/>
        <v>0</v>
      </c>
      <c r="B743">
        <f t="shared" si="148"/>
        <v>0</v>
      </c>
      <c r="C743">
        <f t="shared" si="149"/>
        <v>0</v>
      </c>
      <c r="D743">
        <f t="shared" si="150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1"/>
        <v>0</v>
      </c>
      <c r="G743">
        <f t="shared" si="152"/>
        <v>0</v>
      </c>
      <c r="H743">
        <f t="shared" si="153"/>
        <v>0</v>
      </c>
      <c r="I743">
        <f t="shared" si="154"/>
        <v>0</v>
      </c>
      <c r="J743">
        <f t="shared" si="155"/>
        <v>0</v>
      </c>
      <c r="K743" s="4" t="e">
        <f t="shared" si="145"/>
        <v>#N/A</v>
      </c>
      <c r="L743" t="e">
        <f t="shared" si="146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7"/>
        <v>0</v>
      </c>
      <c r="B744">
        <f t="shared" si="148"/>
        <v>0</v>
      </c>
      <c r="C744">
        <f t="shared" si="149"/>
        <v>0</v>
      </c>
      <c r="D744">
        <f t="shared" si="150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1"/>
        <v>0</v>
      </c>
      <c r="G744">
        <f t="shared" si="152"/>
        <v>0</v>
      </c>
      <c r="H744">
        <f t="shared" si="153"/>
        <v>0</v>
      </c>
      <c r="I744">
        <f t="shared" si="154"/>
        <v>0</v>
      </c>
      <c r="J744">
        <f t="shared" si="155"/>
        <v>0</v>
      </c>
      <c r="K744" s="4" t="e">
        <f t="shared" si="145"/>
        <v>#N/A</v>
      </c>
      <c r="L744" t="e">
        <f t="shared" si="146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7"/>
        <v>0</v>
      </c>
      <c r="B745">
        <f t="shared" si="148"/>
        <v>0</v>
      </c>
      <c r="C745">
        <f t="shared" si="149"/>
        <v>0</v>
      </c>
      <c r="D745">
        <f t="shared" si="150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1"/>
        <v>0</v>
      </c>
      <c r="G745">
        <f t="shared" si="152"/>
        <v>0</v>
      </c>
      <c r="H745">
        <f t="shared" si="153"/>
        <v>0</v>
      </c>
      <c r="I745">
        <f t="shared" si="154"/>
        <v>0</v>
      </c>
      <c r="J745">
        <f t="shared" si="155"/>
        <v>0</v>
      </c>
      <c r="K745" s="4" t="e">
        <f t="shared" si="145"/>
        <v>#N/A</v>
      </c>
      <c r="L745" t="e">
        <f t="shared" si="146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7"/>
        <v>0</v>
      </c>
      <c r="B746">
        <f t="shared" si="148"/>
        <v>0</v>
      </c>
      <c r="C746">
        <f t="shared" si="149"/>
        <v>0</v>
      </c>
      <c r="D746">
        <f t="shared" si="150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1"/>
        <v>0</v>
      </c>
      <c r="G746">
        <f t="shared" si="152"/>
        <v>0</v>
      </c>
      <c r="H746">
        <f t="shared" si="153"/>
        <v>0</v>
      </c>
      <c r="I746">
        <f t="shared" si="154"/>
        <v>0</v>
      </c>
      <c r="J746">
        <f t="shared" si="155"/>
        <v>0</v>
      </c>
      <c r="K746" s="4" t="e">
        <f t="shared" si="145"/>
        <v>#N/A</v>
      </c>
      <c r="L746" t="e">
        <f t="shared" si="146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7"/>
        <v>0</v>
      </c>
      <c r="B747">
        <f t="shared" si="148"/>
        <v>0</v>
      </c>
      <c r="C747">
        <f t="shared" si="149"/>
        <v>0</v>
      </c>
      <c r="D747">
        <f t="shared" si="150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1"/>
        <v>0</v>
      </c>
      <c r="G747">
        <f t="shared" si="152"/>
        <v>0</v>
      </c>
      <c r="H747">
        <f t="shared" si="153"/>
        <v>0</v>
      </c>
      <c r="I747">
        <f t="shared" si="154"/>
        <v>0</v>
      </c>
      <c r="J747">
        <f t="shared" si="155"/>
        <v>0</v>
      </c>
      <c r="K747" s="4" t="e">
        <f t="shared" si="145"/>
        <v>#N/A</v>
      </c>
      <c r="L747" t="e">
        <f t="shared" si="146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7"/>
        <v>0</v>
      </c>
      <c r="B748">
        <f t="shared" si="148"/>
        <v>0</v>
      </c>
      <c r="C748">
        <f t="shared" si="149"/>
        <v>0</v>
      </c>
      <c r="D748">
        <f t="shared" si="150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1"/>
        <v>0</v>
      </c>
      <c r="G748">
        <f t="shared" si="152"/>
        <v>0</v>
      </c>
      <c r="H748">
        <f t="shared" si="153"/>
        <v>0</v>
      </c>
      <c r="I748">
        <f t="shared" si="154"/>
        <v>0</v>
      </c>
      <c r="J748">
        <f t="shared" si="155"/>
        <v>0</v>
      </c>
      <c r="K748" s="4" t="e">
        <f t="shared" ref="K748:K811" si="158">IF(LEFT(B748,3)="DBM",0,VLOOKUP(E748,tabela,2,FALSE))</f>
        <v>#N/A</v>
      </c>
      <c r="L748" t="e">
        <f t="shared" ref="L748:L811" si="159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7"/>
        <v>0</v>
      </c>
      <c r="B749">
        <f t="shared" si="148"/>
        <v>0</v>
      </c>
      <c r="C749">
        <f t="shared" si="149"/>
        <v>0</v>
      </c>
      <c r="D749">
        <f t="shared" si="150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1"/>
        <v>0</v>
      </c>
      <c r="G749">
        <f t="shared" si="152"/>
        <v>0</v>
      </c>
      <c r="H749">
        <f t="shared" si="153"/>
        <v>0</v>
      </c>
      <c r="I749">
        <f t="shared" si="154"/>
        <v>0</v>
      </c>
      <c r="J749">
        <f t="shared" si="155"/>
        <v>0</v>
      </c>
      <c r="K749" s="4" t="e">
        <f t="shared" si="158"/>
        <v>#N/A</v>
      </c>
      <c r="L749" t="e">
        <f t="shared" si="159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7"/>
        <v>0</v>
      </c>
      <c r="B750">
        <f t="shared" si="148"/>
        <v>0</v>
      </c>
      <c r="C750">
        <f t="shared" si="149"/>
        <v>0</v>
      </c>
      <c r="D750">
        <f t="shared" si="150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1"/>
        <v>0</v>
      </c>
      <c r="G750">
        <f t="shared" si="152"/>
        <v>0</v>
      </c>
      <c r="H750">
        <f t="shared" si="153"/>
        <v>0</v>
      </c>
      <c r="I750">
        <f t="shared" si="154"/>
        <v>0</v>
      </c>
      <c r="J750">
        <f t="shared" si="155"/>
        <v>0</v>
      </c>
      <c r="K750" s="4" t="e">
        <f t="shared" si="158"/>
        <v>#N/A</v>
      </c>
      <c r="L750" t="e">
        <f t="shared" si="159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7"/>
        <v>0</v>
      </c>
      <c r="B751">
        <f t="shared" si="148"/>
        <v>0</v>
      </c>
      <c r="C751">
        <f t="shared" si="149"/>
        <v>0</v>
      </c>
      <c r="D751">
        <f t="shared" si="150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1"/>
        <v>0</v>
      </c>
      <c r="G751">
        <f t="shared" si="152"/>
        <v>0</v>
      </c>
      <c r="H751">
        <f t="shared" si="153"/>
        <v>0</v>
      </c>
      <c r="I751">
        <f t="shared" si="154"/>
        <v>0</v>
      </c>
      <c r="J751">
        <f t="shared" si="155"/>
        <v>0</v>
      </c>
      <c r="K751" s="4" t="e">
        <f t="shared" si="158"/>
        <v>#N/A</v>
      </c>
      <c r="L751" t="e">
        <f t="shared" si="159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7"/>
        <v>0</v>
      </c>
      <c r="B752">
        <f t="shared" si="148"/>
        <v>0</v>
      </c>
      <c r="C752">
        <f t="shared" si="149"/>
        <v>0</v>
      </c>
      <c r="D752">
        <f t="shared" si="150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1"/>
        <v>0</v>
      </c>
      <c r="G752">
        <f t="shared" si="152"/>
        <v>0</v>
      </c>
      <c r="H752">
        <f t="shared" si="153"/>
        <v>0</v>
      </c>
      <c r="I752">
        <f t="shared" si="154"/>
        <v>0</v>
      </c>
      <c r="J752">
        <f t="shared" si="155"/>
        <v>0</v>
      </c>
      <c r="K752" s="4" t="e">
        <f t="shared" si="158"/>
        <v>#N/A</v>
      </c>
      <c r="L752" t="e">
        <f t="shared" si="159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7"/>
        <v>0</v>
      </c>
      <c r="B753">
        <f t="shared" si="148"/>
        <v>0</v>
      </c>
      <c r="C753">
        <f t="shared" si="149"/>
        <v>0</v>
      </c>
      <c r="D753">
        <f t="shared" si="150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1"/>
        <v>0</v>
      </c>
      <c r="G753">
        <f t="shared" si="152"/>
        <v>0</v>
      </c>
      <c r="H753">
        <f t="shared" si="153"/>
        <v>0</v>
      </c>
      <c r="I753">
        <f t="shared" si="154"/>
        <v>0</v>
      </c>
      <c r="J753">
        <f t="shared" si="155"/>
        <v>0</v>
      </c>
      <c r="K753" s="4" t="e">
        <f t="shared" si="158"/>
        <v>#N/A</v>
      </c>
      <c r="L753" t="e">
        <f t="shared" si="159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7"/>
        <v>0</v>
      </c>
      <c r="B754">
        <f t="shared" si="148"/>
        <v>0</v>
      </c>
      <c r="C754">
        <f t="shared" si="149"/>
        <v>0</v>
      </c>
      <c r="D754">
        <f t="shared" si="150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1"/>
        <v>0</v>
      </c>
      <c r="G754">
        <f t="shared" si="152"/>
        <v>0</v>
      </c>
      <c r="H754">
        <f t="shared" si="153"/>
        <v>0</v>
      </c>
      <c r="I754">
        <f t="shared" si="154"/>
        <v>0</v>
      </c>
      <c r="J754">
        <f t="shared" si="155"/>
        <v>0</v>
      </c>
      <c r="K754" s="4" t="e">
        <f t="shared" si="158"/>
        <v>#N/A</v>
      </c>
      <c r="L754" t="e">
        <f t="shared" si="159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7"/>
        <v>0</v>
      </c>
      <c r="B755">
        <f t="shared" si="148"/>
        <v>0</v>
      </c>
      <c r="C755">
        <f t="shared" si="149"/>
        <v>0</v>
      </c>
      <c r="D755">
        <f t="shared" si="150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1"/>
        <v>0</v>
      </c>
      <c r="G755">
        <f t="shared" si="152"/>
        <v>0</v>
      </c>
      <c r="H755">
        <f t="shared" si="153"/>
        <v>0</v>
      </c>
      <c r="I755">
        <f t="shared" si="154"/>
        <v>0</v>
      </c>
      <c r="J755">
        <f t="shared" si="155"/>
        <v>0</v>
      </c>
      <c r="K755" s="4" t="e">
        <f t="shared" si="158"/>
        <v>#N/A</v>
      </c>
      <c r="L755" t="e">
        <f t="shared" si="159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7"/>
        <v>0</v>
      </c>
      <c r="B756">
        <f t="shared" si="148"/>
        <v>0</v>
      </c>
      <c r="C756">
        <f t="shared" si="149"/>
        <v>0</v>
      </c>
      <c r="D756">
        <f t="shared" si="150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1"/>
        <v>0</v>
      </c>
      <c r="G756">
        <f t="shared" si="152"/>
        <v>0</v>
      </c>
      <c r="H756">
        <f t="shared" si="153"/>
        <v>0</v>
      </c>
      <c r="I756">
        <f t="shared" si="154"/>
        <v>0</v>
      </c>
      <c r="J756">
        <f t="shared" si="155"/>
        <v>0</v>
      </c>
      <c r="K756" s="4" t="e">
        <f t="shared" si="158"/>
        <v>#N/A</v>
      </c>
      <c r="L756" t="e">
        <f t="shared" si="159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7"/>
        <v>0</v>
      </c>
      <c r="B757">
        <f t="shared" si="148"/>
        <v>0</v>
      </c>
      <c r="C757">
        <f t="shared" si="149"/>
        <v>0</v>
      </c>
      <c r="D757">
        <f t="shared" si="150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1"/>
        <v>0</v>
      </c>
      <c r="G757">
        <f t="shared" si="152"/>
        <v>0</v>
      </c>
      <c r="H757">
        <f t="shared" si="153"/>
        <v>0</v>
      </c>
      <c r="I757">
        <f t="shared" si="154"/>
        <v>0</v>
      </c>
      <c r="J757">
        <f t="shared" si="155"/>
        <v>0</v>
      </c>
      <c r="K757" s="4" t="e">
        <f t="shared" si="158"/>
        <v>#N/A</v>
      </c>
      <c r="L757" t="e">
        <f t="shared" si="159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7"/>
        <v>0</v>
      </c>
      <c r="B758">
        <f t="shared" si="148"/>
        <v>0</v>
      </c>
      <c r="C758">
        <f t="shared" si="149"/>
        <v>0</v>
      </c>
      <c r="D758">
        <f t="shared" si="150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1"/>
        <v>0</v>
      </c>
      <c r="G758">
        <f t="shared" si="152"/>
        <v>0</v>
      </c>
      <c r="H758">
        <f t="shared" si="153"/>
        <v>0</v>
      </c>
      <c r="I758">
        <f t="shared" si="154"/>
        <v>0</v>
      </c>
      <c r="J758">
        <f t="shared" si="155"/>
        <v>0</v>
      </c>
      <c r="K758" s="4" t="e">
        <f t="shared" si="158"/>
        <v>#N/A</v>
      </c>
      <c r="L758" t="e">
        <f t="shared" si="159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7"/>
        <v>0</v>
      </c>
      <c r="B759">
        <f t="shared" si="148"/>
        <v>0</v>
      </c>
      <c r="C759">
        <f t="shared" si="149"/>
        <v>0</v>
      </c>
      <c r="D759">
        <f t="shared" si="150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1"/>
        <v>0</v>
      </c>
      <c r="G759">
        <f t="shared" si="152"/>
        <v>0</v>
      </c>
      <c r="H759">
        <f t="shared" si="153"/>
        <v>0</v>
      </c>
      <c r="I759">
        <f t="shared" si="154"/>
        <v>0</v>
      </c>
      <c r="J759">
        <f t="shared" si="155"/>
        <v>0</v>
      </c>
      <c r="K759" s="4" t="e">
        <f t="shared" si="158"/>
        <v>#N/A</v>
      </c>
      <c r="L759" t="e">
        <f t="shared" si="159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7"/>
        <v>0</v>
      </c>
      <c r="B760">
        <f t="shared" si="148"/>
        <v>0</v>
      </c>
      <c r="C760">
        <f t="shared" si="149"/>
        <v>0</v>
      </c>
      <c r="D760">
        <f t="shared" si="150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1"/>
        <v>0</v>
      </c>
      <c r="G760">
        <f t="shared" si="152"/>
        <v>0</v>
      </c>
      <c r="H760">
        <f t="shared" si="153"/>
        <v>0</v>
      </c>
      <c r="I760">
        <f t="shared" si="154"/>
        <v>0</v>
      </c>
      <c r="J760">
        <f t="shared" si="155"/>
        <v>0</v>
      </c>
      <c r="K760" s="4" t="e">
        <f t="shared" si="158"/>
        <v>#N/A</v>
      </c>
      <c r="L760" t="e">
        <f t="shared" si="159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7"/>
        <v>0</v>
      </c>
      <c r="B761">
        <f t="shared" si="148"/>
        <v>0</v>
      </c>
      <c r="C761">
        <f t="shared" si="149"/>
        <v>0</v>
      </c>
      <c r="D761">
        <f t="shared" si="150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1"/>
        <v>0</v>
      </c>
      <c r="G761">
        <f t="shared" si="152"/>
        <v>0</v>
      </c>
      <c r="H761">
        <f t="shared" si="153"/>
        <v>0</v>
      </c>
      <c r="I761">
        <f t="shared" si="154"/>
        <v>0</v>
      </c>
      <c r="J761">
        <f t="shared" si="155"/>
        <v>0</v>
      </c>
      <c r="K761" s="4" t="e">
        <f t="shared" si="158"/>
        <v>#N/A</v>
      </c>
      <c r="L761" t="e">
        <f t="shared" si="159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7"/>
        <v>0</v>
      </c>
      <c r="B762">
        <f t="shared" si="148"/>
        <v>0</v>
      </c>
      <c r="C762">
        <f t="shared" si="149"/>
        <v>0</v>
      </c>
      <c r="D762">
        <f t="shared" si="150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1"/>
        <v>0</v>
      </c>
      <c r="G762">
        <f t="shared" si="152"/>
        <v>0</v>
      </c>
      <c r="H762">
        <f t="shared" si="153"/>
        <v>0</v>
      </c>
      <c r="I762">
        <f t="shared" si="154"/>
        <v>0</v>
      </c>
      <c r="J762">
        <f t="shared" si="155"/>
        <v>0</v>
      </c>
      <c r="K762" s="4" t="e">
        <f t="shared" si="158"/>
        <v>#N/A</v>
      </c>
      <c r="L762" t="e">
        <f t="shared" si="159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7"/>
        <v>0</v>
      </c>
      <c r="B763">
        <f t="shared" si="148"/>
        <v>0</v>
      </c>
      <c r="C763">
        <f t="shared" si="149"/>
        <v>0</v>
      </c>
      <c r="D763">
        <f t="shared" si="150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1"/>
        <v>0</v>
      </c>
      <c r="G763">
        <f t="shared" si="152"/>
        <v>0</v>
      </c>
      <c r="H763">
        <f t="shared" si="153"/>
        <v>0</v>
      </c>
      <c r="I763">
        <f t="shared" si="154"/>
        <v>0</v>
      </c>
      <c r="J763">
        <f t="shared" si="155"/>
        <v>0</v>
      </c>
      <c r="K763" s="4" t="e">
        <f t="shared" si="158"/>
        <v>#N/A</v>
      </c>
      <c r="L763" t="e">
        <f t="shared" si="159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7"/>
        <v>0</v>
      </c>
      <c r="B764">
        <f t="shared" si="148"/>
        <v>0</v>
      </c>
      <c r="C764">
        <f t="shared" si="149"/>
        <v>0</v>
      </c>
      <c r="D764">
        <f t="shared" si="150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1"/>
        <v>0</v>
      </c>
      <c r="G764">
        <f t="shared" si="152"/>
        <v>0</v>
      </c>
      <c r="H764">
        <f t="shared" si="153"/>
        <v>0</v>
      </c>
      <c r="I764">
        <f t="shared" si="154"/>
        <v>0</v>
      </c>
      <c r="J764">
        <f t="shared" si="155"/>
        <v>0</v>
      </c>
      <c r="K764" s="4" t="e">
        <f t="shared" si="158"/>
        <v>#N/A</v>
      </c>
      <c r="L764" t="e">
        <f t="shared" si="159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7"/>
        <v>0</v>
      </c>
      <c r="B765">
        <f t="shared" si="148"/>
        <v>0</v>
      </c>
      <c r="C765">
        <f t="shared" si="149"/>
        <v>0</v>
      </c>
      <c r="D765">
        <f t="shared" si="150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1"/>
        <v>0</v>
      </c>
      <c r="G765">
        <f t="shared" si="152"/>
        <v>0</v>
      </c>
      <c r="H765">
        <f t="shared" si="153"/>
        <v>0</v>
      </c>
      <c r="I765">
        <f t="shared" si="154"/>
        <v>0</v>
      </c>
      <c r="J765">
        <f t="shared" si="155"/>
        <v>0</v>
      </c>
      <c r="K765" s="4" t="e">
        <f t="shared" si="158"/>
        <v>#N/A</v>
      </c>
      <c r="L765" t="e">
        <f t="shared" si="159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7"/>
        <v>0</v>
      </c>
      <c r="B766">
        <f t="shared" si="148"/>
        <v>0</v>
      </c>
      <c r="C766">
        <f t="shared" si="149"/>
        <v>0</v>
      </c>
      <c r="D766">
        <f t="shared" si="150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1"/>
        <v>0</v>
      </c>
      <c r="G766">
        <f t="shared" si="152"/>
        <v>0</v>
      </c>
      <c r="H766">
        <f t="shared" si="153"/>
        <v>0</v>
      </c>
      <c r="I766">
        <f t="shared" si="154"/>
        <v>0</v>
      </c>
      <c r="J766">
        <f t="shared" si="155"/>
        <v>0</v>
      </c>
      <c r="K766" s="4" t="e">
        <f t="shared" si="158"/>
        <v>#N/A</v>
      </c>
      <c r="L766" t="e">
        <f t="shared" si="159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7"/>
        <v>0</v>
      </c>
      <c r="B767">
        <f t="shared" si="148"/>
        <v>0</v>
      </c>
      <c r="C767">
        <f t="shared" si="149"/>
        <v>0</v>
      </c>
      <c r="D767">
        <f t="shared" si="150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1"/>
        <v>0</v>
      </c>
      <c r="G767">
        <f t="shared" si="152"/>
        <v>0</v>
      </c>
      <c r="H767">
        <f t="shared" si="153"/>
        <v>0</v>
      </c>
      <c r="I767">
        <f t="shared" si="154"/>
        <v>0</v>
      </c>
      <c r="J767">
        <f t="shared" si="155"/>
        <v>0</v>
      </c>
      <c r="K767" s="4" t="e">
        <f t="shared" si="158"/>
        <v>#N/A</v>
      </c>
      <c r="L767" t="e">
        <f t="shared" si="159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7"/>
        <v>0</v>
      </c>
      <c r="B768">
        <f t="shared" si="148"/>
        <v>0</v>
      </c>
      <c r="C768">
        <f t="shared" si="149"/>
        <v>0</v>
      </c>
      <c r="D768">
        <f t="shared" si="150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1"/>
        <v>0</v>
      </c>
      <c r="G768">
        <f t="shared" si="152"/>
        <v>0</v>
      </c>
      <c r="H768">
        <f t="shared" si="153"/>
        <v>0</v>
      </c>
      <c r="I768">
        <f t="shared" si="154"/>
        <v>0</v>
      </c>
      <c r="J768">
        <f t="shared" si="155"/>
        <v>0</v>
      </c>
      <c r="K768" s="4" t="e">
        <f t="shared" si="158"/>
        <v>#N/A</v>
      </c>
      <c r="L768" t="e">
        <f t="shared" si="159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7"/>
        <v>0</v>
      </c>
      <c r="B769">
        <f t="shared" si="148"/>
        <v>0</v>
      </c>
      <c r="C769">
        <f t="shared" si="149"/>
        <v>0</v>
      </c>
      <c r="D769">
        <f t="shared" si="150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1"/>
        <v>0</v>
      </c>
      <c r="G769">
        <f t="shared" si="152"/>
        <v>0</v>
      </c>
      <c r="H769">
        <f t="shared" si="153"/>
        <v>0</v>
      </c>
      <c r="I769">
        <f t="shared" si="154"/>
        <v>0</v>
      </c>
      <c r="J769">
        <f t="shared" si="155"/>
        <v>0</v>
      </c>
      <c r="K769" s="4" t="e">
        <f t="shared" si="158"/>
        <v>#N/A</v>
      </c>
      <c r="L769" t="e">
        <f t="shared" si="159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60">bd_campaign</f>
        <v>0</v>
      </c>
      <c r="B770">
        <f t="shared" ref="B770:B833" si="161">bd_site</f>
        <v>0</v>
      </c>
      <c r="C770">
        <f t="shared" ref="C770:C833" si="162">bd_placement</f>
        <v>0</v>
      </c>
      <c r="D770">
        <f t="shared" ref="D770:D833" si="163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4">bd_ad</f>
        <v>0</v>
      </c>
      <c r="G770">
        <f t="shared" ref="G770:G833" si="165">bd_adid</f>
        <v>0</v>
      </c>
      <c r="H770">
        <f t="shared" ref="H770:H833" si="166">bd_creativetype</f>
        <v>0</v>
      </c>
      <c r="I770">
        <f t="shared" ref="I770:I833" si="167">bd_impression</f>
        <v>0</v>
      </c>
      <c r="J770">
        <f t="shared" ref="J770:J833" si="168">bd_clicks</f>
        <v>0</v>
      </c>
      <c r="K770" s="4" t="e">
        <f t="shared" si="158"/>
        <v>#N/A</v>
      </c>
      <c r="L770" t="e">
        <f t="shared" si="159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60"/>
        <v>0</v>
      </c>
      <c r="B771">
        <f t="shared" si="161"/>
        <v>0</v>
      </c>
      <c r="C771">
        <f t="shared" si="162"/>
        <v>0</v>
      </c>
      <c r="D771">
        <f t="shared" si="163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4"/>
        <v>0</v>
      </c>
      <c r="G771">
        <f t="shared" si="165"/>
        <v>0</v>
      </c>
      <c r="H771">
        <f t="shared" si="166"/>
        <v>0</v>
      </c>
      <c r="I771">
        <f t="shared" si="167"/>
        <v>0</v>
      </c>
      <c r="J771">
        <f t="shared" si="168"/>
        <v>0</v>
      </c>
      <c r="K771" s="4" t="e">
        <f t="shared" si="158"/>
        <v>#N/A</v>
      </c>
      <c r="L771" t="e">
        <f t="shared" si="159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60"/>
        <v>0</v>
      </c>
      <c r="B772">
        <f t="shared" si="161"/>
        <v>0</v>
      </c>
      <c r="C772">
        <f t="shared" si="162"/>
        <v>0</v>
      </c>
      <c r="D772">
        <f t="shared" si="163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4"/>
        <v>0</v>
      </c>
      <c r="G772">
        <f t="shared" si="165"/>
        <v>0</v>
      </c>
      <c r="H772">
        <f t="shared" si="166"/>
        <v>0</v>
      </c>
      <c r="I772">
        <f t="shared" si="167"/>
        <v>0</v>
      </c>
      <c r="J772">
        <f t="shared" si="168"/>
        <v>0</v>
      </c>
      <c r="K772" s="4" t="e">
        <f t="shared" si="158"/>
        <v>#N/A</v>
      </c>
      <c r="L772" t="e">
        <f t="shared" si="159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60"/>
        <v>0</v>
      </c>
      <c r="B773">
        <f t="shared" si="161"/>
        <v>0</v>
      </c>
      <c r="C773">
        <f t="shared" si="162"/>
        <v>0</v>
      </c>
      <c r="D773">
        <f t="shared" si="163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4"/>
        <v>0</v>
      </c>
      <c r="G773">
        <f t="shared" si="165"/>
        <v>0</v>
      </c>
      <c r="H773">
        <f t="shared" si="166"/>
        <v>0</v>
      </c>
      <c r="I773">
        <f t="shared" si="167"/>
        <v>0</v>
      </c>
      <c r="J773">
        <f t="shared" si="168"/>
        <v>0</v>
      </c>
      <c r="K773" s="4" t="e">
        <f t="shared" si="158"/>
        <v>#N/A</v>
      </c>
      <c r="L773" t="e">
        <f t="shared" si="159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60"/>
        <v>0</v>
      </c>
      <c r="B774">
        <f t="shared" si="161"/>
        <v>0</v>
      </c>
      <c r="C774">
        <f t="shared" si="162"/>
        <v>0</v>
      </c>
      <c r="D774">
        <f t="shared" si="163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4"/>
        <v>0</v>
      </c>
      <c r="G774">
        <f t="shared" si="165"/>
        <v>0</v>
      </c>
      <c r="H774">
        <f t="shared" si="166"/>
        <v>0</v>
      </c>
      <c r="I774">
        <f t="shared" si="167"/>
        <v>0</v>
      </c>
      <c r="J774">
        <f t="shared" si="168"/>
        <v>0</v>
      </c>
      <c r="K774" s="4" t="e">
        <f t="shared" si="158"/>
        <v>#N/A</v>
      </c>
      <c r="L774" t="e">
        <f t="shared" si="159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60"/>
        <v>0</v>
      </c>
      <c r="B775">
        <f t="shared" si="161"/>
        <v>0</v>
      </c>
      <c r="C775">
        <f t="shared" si="162"/>
        <v>0</v>
      </c>
      <c r="D775">
        <f t="shared" si="163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4"/>
        <v>0</v>
      </c>
      <c r="G775">
        <f t="shared" si="165"/>
        <v>0</v>
      </c>
      <c r="H775">
        <f t="shared" si="166"/>
        <v>0</v>
      </c>
      <c r="I775">
        <f t="shared" si="167"/>
        <v>0</v>
      </c>
      <c r="J775">
        <f t="shared" si="168"/>
        <v>0</v>
      </c>
      <c r="K775" s="4" t="e">
        <f t="shared" si="158"/>
        <v>#N/A</v>
      </c>
      <c r="L775" t="e">
        <f t="shared" si="159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60"/>
        <v>0</v>
      </c>
      <c r="B776">
        <f t="shared" si="161"/>
        <v>0</v>
      </c>
      <c r="C776">
        <f t="shared" si="162"/>
        <v>0</v>
      </c>
      <c r="D776">
        <f t="shared" si="163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4"/>
        <v>0</v>
      </c>
      <c r="G776">
        <f t="shared" si="165"/>
        <v>0</v>
      </c>
      <c r="H776">
        <f t="shared" si="166"/>
        <v>0</v>
      </c>
      <c r="I776">
        <f t="shared" si="167"/>
        <v>0</v>
      </c>
      <c r="J776">
        <f t="shared" si="168"/>
        <v>0</v>
      </c>
      <c r="K776" s="4" t="e">
        <f t="shared" si="158"/>
        <v>#N/A</v>
      </c>
      <c r="L776" t="e">
        <f t="shared" si="159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60"/>
        <v>0</v>
      </c>
      <c r="B777">
        <f t="shared" si="161"/>
        <v>0</v>
      </c>
      <c r="C777">
        <f t="shared" si="162"/>
        <v>0</v>
      </c>
      <c r="D777">
        <f t="shared" si="163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4"/>
        <v>0</v>
      </c>
      <c r="G777">
        <f t="shared" si="165"/>
        <v>0</v>
      </c>
      <c r="H777">
        <f t="shared" si="166"/>
        <v>0</v>
      </c>
      <c r="I777">
        <f t="shared" si="167"/>
        <v>0</v>
      </c>
      <c r="J777">
        <f t="shared" si="168"/>
        <v>0</v>
      </c>
      <c r="K777" s="4" t="e">
        <f t="shared" si="158"/>
        <v>#N/A</v>
      </c>
      <c r="L777" t="e">
        <f t="shared" si="159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60"/>
        <v>0</v>
      </c>
      <c r="B778">
        <f t="shared" si="161"/>
        <v>0</v>
      </c>
      <c r="C778">
        <f t="shared" si="162"/>
        <v>0</v>
      </c>
      <c r="D778">
        <f t="shared" si="163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4"/>
        <v>0</v>
      </c>
      <c r="G778">
        <f t="shared" si="165"/>
        <v>0</v>
      </c>
      <c r="H778">
        <f t="shared" si="166"/>
        <v>0</v>
      </c>
      <c r="I778">
        <f t="shared" si="167"/>
        <v>0</v>
      </c>
      <c r="J778">
        <f t="shared" si="168"/>
        <v>0</v>
      </c>
      <c r="K778" s="4" t="e">
        <f t="shared" si="158"/>
        <v>#N/A</v>
      </c>
      <c r="L778" t="e">
        <f t="shared" si="159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60"/>
        <v>0</v>
      </c>
      <c r="B779">
        <f t="shared" si="161"/>
        <v>0</v>
      </c>
      <c r="C779">
        <f t="shared" si="162"/>
        <v>0</v>
      </c>
      <c r="D779">
        <f t="shared" si="163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4"/>
        <v>0</v>
      </c>
      <c r="G779">
        <f t="shared" si="165"/>
        <v>0</v>
      </c>
      <c r="H779">
        <f t="shared" si="166"/>
        <v>0</v>
      </c>
      <c r="I779">
        <f t="shared" si="167"/>
        <v>0</v>
      </c>
      <c r="J779">
        <f t="shared" si="168"/>
        <v>0</v>
      </c>
      <c r="K779" s="4" t="e">
        <f t="shared" si="158"/>
        <v>#N/A</v>
      </c>
      <c r="L779" t="e">
        <f t="shared" si="159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60"/>
        <v>0</v>
      </c>
      <c r="B780">
        <f t="shared" si="161"/>
        <v>0</v>
      </c>
      <c r="C780">
        <f t="shared" si="162"/>
        <v>0</v>
      </c>
      <c r="D780">
        <f t="shared" si="163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4"/>
        <v>0</v>
      </c>
      <c r="G780">
        <f t="shared" si="165"/>
        <v>0</v>
      </c>
      <c r="H780">
        <f t="shared" si="166"/>
        <v>0</v>
      </c>
      <c r="I780">
        <f t="shared" si="167"/>
        <v>0</v>
      </c>
      <c r="J780">
        <f t="shared" si="168"/>
        <v>0</v>
      </c>
      <c r="K780" s="4" t="e">
        <f t="shared" si="158"/>
        <v>#N/A</v>
      </c>
      <c r="L780" t="e">
        <f t="shared" si="159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60"/>
        <v>0</v>
      </c>
      <c r="B781">
        <f t="shared" si="161"/>
        <v>0</v>
      </c>
      <c r="C781">
        <f t="shared" si="162"/>
        <v>0</v>
      </c>
      <c r="D781">
        <f t="shared" si="163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4"/>
        <v>0</v>
      </c>
      <c r="G781">
        <f t="shared" si="165"/>
        <v>0</v>
      </c>
      <c r="H781">
        <f t="shared" si="166"/>
        <v>0</v>
      </c>
      <c r="I781">
        <f t="shared" si="167"/>
        <v>0</v>
      </c>
      <c r="J781">
        <f t="shared" si="168"/>
        <v>0</v>
      </c>
      <c r="K781" s="4" t="e">
        <f t="shared" si="158"/>
        <v>#N/A</v>
      </c>
      <c r="L781" t="e">
        <f t="shared" si="159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60"/>
        <v>0</v>
      </c>
      <c r="B782">
        <f t="shared" si="161"/>
        <v>0</v>
      </c>
      <c r="C782">
        <f t="shared" si="162"/>
        <v>0</v>
      </c>
      <c r="D782">
        <f t="shared" si="163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4"/>
        <v>0</v>
      </c>
      <c r="G782">
        <f t="shared" si="165"/>
        <v>0</v>
      </c>
      <c r="H782">
        <f t="shared" si="166"/>
        <v>0</v>
      </c>
      <c r="I782">
        <f t="shared" si="167"/>
        <v>0</v>
      </c>
      <c r="J782">
        <f t="shared" si="168"/>
        <v>0</v>
      </c>
      <c r="K782" s="4" t="e">
        <f t="shared" si="158"/>
        <v>#N/A</v>
      </c>
      <c r="L782" t="e">
        <f t="shared" si="159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60"/>
        <v>0</v>
      </c>
      <c r="B783">
        <f t="shared" si="161"/>
        <v>0</v>
      </c>
      <c r="C783">
        <f t="shared" si="162"/>
        <v>0</v>
      </c>
      <c r="D783">
        <f t="shared" si="163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4"/>
        <v>0</v>
      </c>
      <c r="G783">
        <f t="shared" si="165"/>
        <v>0</v>
      </c>
      <c r="H783">
        <f t="shared" si="166"/>
        <v>0</v>
      </c>
      <c r="I783">
        <f t="shared" si="167"/>
        <v>0</v>
      </c>
      <c r="J783">
        <f t="shared" si="168"/>
        <v>0</v>
      </c>
      <c r="K783" s="4" t="e">
        <f t="shared" si="158"/>
        <v>#N/A</v>
      </c>
      <c r="L783" t="e">
        <f t="shared" si="159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60"/>
        <v>0</v>
      </c>
      <c r="B784">
        <f t="shared" si="161"/>
        <v>0</v>
      </c>
      <c r="C784">
        <f t="shared" si="162"/>
        <v>0</v>
      </c>
      <c r="D784">
        <f t="shared" si="163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4"/>
        <v>0</v>
      </c>
      <c r="G784">
        <f t="shared" si="165"/>
        <v>0</v>
      </c>
      <c r="H784">
        <f t="shared" si="166"/>
        <v>0</v>
      </c>
      <c r="I784">
        <f t="shared" si="167"/>
        <v>0</v>
      </c>
      <c r="J784">
        <f t="shared" si="168"/>
        <v>0</v>
      </c>
      <c r="K784" s="4" t="e">
        <f t="shared" si="158"/>
        <v>#N/A</v>
      </c>
      <c r="L784" t="e">
        <f t="shared" si="159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60"/>
        <v>0</v>
      </c>
      <c r="B785">
        <f t="shared" si="161"/>
        <v>0</v>
      </c>
      <c r="C785">
        <f t="shared" si="162"/>
        <v>0</v>
      </c>
      <c r="D785">
        <f t="shared" si="163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4"/>
        <v>0</v>
      </c>
      <c r="G785">
        <f t="shared" si="165"/>
        <v>0</v>
      </c>
      <c r="H785">
        <f t="shared" si="166"/>
        <v>0</v>
      </c>
      <c r="I785">
        <f t="shared" si="167"/>
        <v>0</v>
      </c>
      <c r="J785">
        <f t="shared" si="168"/>
        <v>0</v>
      </c>
      <c r="K785" s="4" t="e">
        <f t="shared" si="158"/>
        <v>#N/A</v>
      </c>
      <c r="L785" t="e">
        <f t="shared" si="159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60"/>
        <v>0</v>
      </c>
      <c r="B786">
        <f t="shared" si="161"/>
        <v>0</v>
      </c>
      <c r="C786">
        <f t="shared" si="162"/>
        <v>0</v>
      </c>
      <c r="D786">
        <f t="shared" si="163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4"/>
        <v>0</v>
      </c>
      <c r="G786">
        <f t="shared" si="165"/>
        <v>0</v>
      </c>
      <c r="H786">
        <f t="shared" si="166"/>
        <v>0</v>
      </c>
      <c r="I786">
        <f t="shared" si="167"/>
        <v>0</v>
      </c>
      <c r="J786">
        <f t="shared" si="168"/>
        <v>0</v>
      </c>
      <c r="K786" s="4" t="e">
        <f t="shared" si="158"/>
        <v>#N/A</v>
      </c>
      <c r="L786" t="e">
        <f t="shared" si="159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60"/>
        <v>0</v>
      </c>
      <c r="B787">
        <f t="shared" si="161"/>
        <v>0</v>
      </c>
      <c r="C787">
        <f t="shared" si="162"/>
        <v>0</v>
      </c>
      <c r="D787">
        <f t="shared" si="163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4"/>
        <v>0</v>
      </c>
      <c r="G787">
        <f t="shared" si="165"/>
        <v>0</v>
      </c>
      <c r="H787">
        <f t="shared" si="166"/>
        <v>0</v>
      </c>
      <c r="I787">
        <f t="shared" si="167"/>
        <v>0</v>
      </c>
      <c r="J787">
        <f t="shared" si="168"/>
        <v>0</v>
      </c>
      <c r="K787" s="4" t="e">
        <f t="shared" si="158"/>
        <v>#N/A</v>
      </c>
      <c r="L787" t="e">
        <f t="shared" si="159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60"/>
        <v>0</v>
      </c>
      <c r="B788">
        <f t="shared" si="161"/>
        <v>0</v>
      </c>
      <c r="C788">
        <f t="shared" si="162"/>
        <v>0</v>
      </c>
      <c r="D788">
        <f t="shared" si="163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4"/>
        <v>0</v>
      </c>
      <c r="G788">
        <f t="shared" si="165"/>
        <v>0</v>
      </c>
      <c r="H788">
        <f t="shared" si="166"/>
        <v>0</v>
      </c>
      <c r="I788">
        <f t="shared" si="167"/>
        <v>0</v>
      </c>
      <c r="J788">
        <f t="shared" si="168"/>
        <v>0</v>
      </c>
      <c r="K788" s="4" t="e">
        <f t="shared" si="158"/>
        <v>#N/A</v>
      </c>
      <c r="L788" t="e">
        <f t="shared" si="159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60"/>
        <v>0</v>
      </c>
      <c r="B789">
        <f t="shared" si="161"/>
        <v>0</v>
      </c>
      <c r="C789">
        <f t="shared" si="162"/>
        <v>0</v>
      </c>
      <c r="D789">
        <f t="shared" si="163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4"/>
        <v>0</v>
      </c>
      <c r="G789">
        <f t="shared" si="165"/>
        <v>0</v>
      </c>
      <c r="H789">
        <f t="shared" si="166"/>
        <v>0</v>
      </c>
      <c r="I789">
        <f t="shared" si="167"/>
        <v>0</v>
      </c>
      <c r="J789">
        <f t="shared" si="168"/>
        <v>0</v>
      </c>
      <c r="K789" s="4" t="e">
        <f t="shared" si="158"/>
        <v>#N/A</v>
      </c>
      <c r="L789" t="e">
        <f t="shared" si="159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60"/>
        <v>0</v>
      </c>
      <c r="B790">
        <f t="shared" si="161"/>
        <v>0</v>
      </c>
      <c r="C790">
        <f t="shared" si="162"/>
        <v>0</v>
      </c>
      <c r="D790">
        <f t="shared" si="163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4"/>
        <v>0</v>
      </c>
      <c r="G790">
        <f t="shared" si="165"/>
        <v>0</v>
      </c>
      <c r="H790">
        <f t="shared" si="166"/>
        <v>0</v>
      </c>
      <c r="I790">
        <f t="shared" si="167"/>
        <v>0</v>
      </c>
      <c r="J790">
        <f t="shared" si="168"/>
        <v>0</v>
      </c>
      <c r="K790" s="4" t="e">
        <f t="shared" si="158"/>
        <v>#N/A</v>
      </c>
      <c r="L790" t="e">
        <f t="shared" si="159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60"/>
        <v>0</v>
      </c>
      <c r="B791">
        <f t="shared" si="161"/>
        <v>0</v>
      </c>
      <c r="C791">
        <f t="shared" si="162"/>
        <v>0</v>
      </c>
      <c r="D791">
        <f t="shared" si="163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4"/>
        <v>0</v>
      </c>
      <c r="G791">
        <f t="shared" si="165"/>
        <v>0</v>
      </c>
      <c r="H791">
        <f t="shared" si="166"/>
        <v>0</v>
      </c>
      <c r="I791">
        <f t="shared" si="167"/>
        <v>0</v>
      </c>
      <c r="J791">
        <f t="shared" si="168"/>
        <v>0</v>
      </c>
      <c r="K791" s="4" t="e">
        <f t="shared" si="158"/>
        <v>#N/A</v>
      </c>
      <c r="L791" t="e">
        <f t="shared" si="159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60"/>
        <v>0</v>
      </c>
      <c r="B792">
        <f t="shared" si="161"/>
        <v>0</v>
      </c>
      <c r="C792">
        <f t="shared" si="162"/>
        <v>0</v>
      </c>
      <c r="D792">
        <f t="shared" si="163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4"/>
        <v>0</v>
      </c>
      <c r="G792">
        <f t="shared" si="165"/>
        <v>0</v>
      </c>
      <c r="H792">
        <f t="shared" si="166"/>
        <v>0</v>
      </c>
      <c r="I792">
        <f t="shared" si="167"/>
        <v>0</v>
      </c>
      <c r="J792">
        <f t="shared" si="168"/>
        <v>0</v>
      </c>
      <c r="K792" s="4" t="e">
        <f t="shared" si="158"/>
        <v>#N/A</v>
      </c>
      <c r="L792" t="e">
        <f t="shared" si="159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60"/>
        <v>0</v>
      </c>
      <c r="B793">
        <f t="shared" si="161"/>
        <v>0</v>
      </c>
      <c r="C793">
        <f t="shared" si="162"/>
        <v>0</v>
      </c>
      <c r="D793">
        <f t="shared" si="163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4"/>
        <v>0</v>
      </c>
      <c r="G793">
        <f t="shared" si="165"/>
        <v>0</v>
      </c>
      <c r="H793">
        <f t="shared" si="166"/>
        <v>0</v>
      </c>
      <c r="I793">
        <f t="shared" si="167"/>
        <v>0</v>
      </c>
      <c r="J793">
        <f t="shared" si="168"/>
        <v>0</v>
      </c>
      <c r="K793" s="4" t="e">
        <f t="shared" si="158"/>
        <v>#N/A</v>
      </c>
      <c r="L793" t="e">
        <f t="shared" si="159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60"/>
        <v>0</v>
      </c>
      <c r="B794">
        <f t="shared" si="161"/>
        <v>0</v>
      </c>
      <c r="C794">
        <f t="shared" si="162"/>
        <v>0</v>
      </c>
      <c r="D794">
        <f t="shared" si="163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4"/>
        <v>0</v>
      </c>
      <c r="G794">
        <f t="shared" si="165"/>
        <v>0</v>
      </c>
      <c r="H794">
        <f t="shared" si="166"/>
        <v>0</v>
      </c>
      <c r="I794">
        <f t="shared" si="167"/>
        <v>0</v>
      </c>
      <c r="J794">
        <f t="shared" si="168"/>
        <v>0</v>
      </c>
      <c r="K794" s="4" t="e">
        <f t="shared" si="158"/>
        <v>#N/A</v>
      </c>
      <c r="L794" t="e">
        <f t="shared" si="159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60"/>
        <v>0</v>
      </c>
      <c r="B795">
        <f t="shared" si="161"/>
        <v>0</v>
      </c>
      <c r="C795">
        <f t="shared" si="162"/>
        <v>0</v>
      </c>
      <c r="D795">
        <f t="shared" si="163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4"/>
        <v>0</v>
      </c>
      <c r="G795">
        <f t="shared" si="165"/>
        <v>0</v>
      </c>
      <c r="H795">
        <f t="shared" si="166"/>
        <v>0</v>
      </c>
      <c r="I795">
        <f t="shared" si="167"/>
        <v>0</v>
      </c>
      <c r="J795">
        <f t="shared" si="168"/>
        <v>0</v>
      </c>
      <c r="K795" s="4" t="e">
        <f t="shared" si="158"/>
        <v>#N/A</v>
      </c>
      <c r="L795" t="e">
        <f t="shared" si="159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60"/>
        <v>0</v>
      </c>
      <c r="B796">
        <f t="shared" si="161"/>
        <v>0</v>
      </c>
      <c r="C796">
        <f t="shared" si="162"/>
        <v>0</v>
      </c>
      <c r="D796">
        <f t="shared" si="163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4"/>
        <v>0</v>
      </c>
      <c r="G796">
        <f t="shared" si="165"/>
        <v>0</v>
      </c>
      <c r="H796">
        <f t="shared" si="166"/>
        <v>0</v>
      </c>
      <c r="I796">
        <f t="shared" si="167"/>
        <v>0</v>
      </c>
      <c r="J796">
        <f t="shared" si="168"/>
        <v>0</v>
      </c>
      <c r="K796" s="4" t="e">
        <f t="shared" si="158"/>
        <v>#N/A</v>
      </c>
      <c r="L796" t="e">
        <f t="shared" si="159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60"/>
        <v>0</v>
      </c>
      <c r="B797">
        <f t="shared" si="161"/>
        <v>0</v>
      </c>
      <c r="C797">
        <f t="shared" si="162"/>
        <v>0</v>
      </c>
      <c r="D797">
        <f t="shared" si="163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4"/>
        <v>0</v>
      </c>
      <c r="G797">
        <f t="shared" si="165"/>
        <v>0</v>
      </c>
      <c r="H797">
        <f t="shared" si="166"/>
        <v>0</v>
      </c>
      <c r="I797">
        <f t="shared" si="167"/>
        <v>0</v>
      </c>
      <c r="J797">
        <f t="shared" si="168"/>
        <v>0</v>
      </c>
      <c r="K797" s="4" t="e">
        <f t="shared" si="158"/>
        <v>#N/A</v>
      </c>
      <c r="L797" t="e">
        <f t="shared" si="159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60"/>
        <v>0</v>
      </c>
      <c r="B798">
        <f t="shared" si="161"/>
        <v>0</v>
      </c>
      <c r="C798">
        <f t="shared" si="162"/>
        <v>0</v>
      </c>
      <c r="D798">
        <f t="shared" si="163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4"/>
        <v>0</v>
      </c>
      <c r="G798">
        <f t="shared" si="165"/>
        <v>0</v>
      </c>
      <c r="H798">
        <f t="shared" si="166"/>
        <v>0</v>
      </c>
      <c r="I798">
        <f t="shared" si="167"/>
        <v>0</v>
      </c>
      <c r="J798">
        <f t="shared" si="168"/>
        <v>0</v>
      </c>
      <c r="K798" s="4" t="e">
        <f t="shared" si="158"/>
        <v>#N/A</v>
      </c>
      <c r="L798" t="e">
        <f t="shared" si="159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60"/>
        <v>0</v>
      </c>
      <c r="B799">
        <f t="shared" si="161"/>
        <v>0</v>
      </c>
      <c r="C799">
        <f t="shared" si="162"/>
        <v>0</v>
      </c>
      <c r="D799">
        <f t="shared" si="163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4"/>
        <v>0</v>
      </c>
      <c r="G799">
        <f t="shared" si="165"/>
        <v>0</v>
      </c>
      <c r="H799">
        <f t="shared" si="166"/>
        <v>0</v>
      </c>
      <c r="I799">
        <f t="shared" si="167"/>
        <v>0</v>
      </c>
      <c r="J799">
        <f t="shared" si="168"/>
        <v>0</v>
      </c>
      <c r="K799" s="4" t="e">
        <f t="shared" si="158"/>
        <v>#N/A</v>
      </c>
      <c r="L799" t="e">
        <f t="shared" si="159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60"/>
        <v>0</v>
      </c>
      <c r="B800">
        <f t="shared" si="161"/>
        <v>0</v>
      </c>
      <c r="C800">
        <f t="shared" si="162"/>
        <v>0</v>
      </c>
      <c r="D800">
        <f t="shared" si="163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4"/>
        <v>0</v>
      </c>
      <c r="G800">
        <f t="shared" si="165"/>
        <v>0</v>
      </c>
      <c r="H800">
        <f t="shared" si="166"/>
        <v>0</v>
      </c>
      <c r="I800">
        <f t="shared" si="167"/>
        <v>0</v>
      </c>
      <c r="J800">
        <f t="shared" si="168"/>
        <v>0</v>
      </c>
      <c r="K800" s="4" t="e">
        <f t="shared" si="158"/>
        <v>#N/A</v>
      </c>
      <c r="L800" t="e">
        <f t="shared" si="159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60"/>
        <v>0</v>
      </c>
      <c r="B801">
        <f t="shared" si="161"/>
        <v>0</v>
      </c>
      <c r="C801">
        <f t="shared" si="162"/>
        <v>0</v>
      </c>
      <c r="D801">
        <f t="shared" si="163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4"/>
        <v>0</v>
      </c>
      <c r="G801">
        <f t="shared" si="165"/>
        <v>0</v>
      </c>
      <c r="H801">
        <f t="shared" si="166"/>
        <v>0</v>
      </c>
      <c r="I801">
        <f t="shared" si="167"/>
        <v>0</v>
      </c>
      <c r="J801">
        <f t="shared" si="168"/>
        <v>0</v>
      </c>
      <c r="K801" s="4" t="e">
        <f t="shared" si="158"/>
        <v>#N/A</v>
      </c>
      <c r="L801" t="e">
        <f t="shared" si="159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60"/>
        <v>0</v>
      </c>
      <c r="B802">
        <f t="shared" si="161"/>
        <v>0</v>
      </c>
      <c r="C802">
        <f t="shared" si="162"/>
        <v>0</v>
      </c>
      <c r="D802">
        <f t="shared" si="163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4"/>
        <v>0</v>
      </c>
      <c r="G802">
        <f t="shared" si="165"/>
        <v>0</v>
      </c>
      <c r="H802">
        <f t="shared" si="166"/>
        <v>0</v>
      </c>
      <c r="I802">
        <f t="shared" si="167"/>
        <v>0</v>
      </c>
      <c r="J802">
        <f t="shared" si="168"/>
        <v>0</v>
      </c>
      <c r="K802" s="4" t="e">
        <f t="shared" si="158"/>
        <v>#N/A</v>
      </c>
      <c r="L802" t="e">
        <f t="shared" si="159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60"/>
        <v>0</v>
      </c>
      <c r="B803">
        <f t="shared" si="161"/>
        <v>0</v>
      </c>
      <c r="C803">
        <f t="shared" si="162"/>
        <v>0</v>
      </c>
      <c r="D803">
        <f t="shared" si="163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4"/>
        <v>0</v>
      </c>
      <c r="G803">
        <f t="shared" si="165"/>
        <v>0</v>
      </c>
      <c r="H803">
        <f t="shared" si="166"/>
        <v>0</v>
      </c>
      <c r="I803">
        <f t="shared" si="167"/>
        <v>0</v>
      </c>
      <c r="J803">
        <f t="shared" si="168"/>
        <v>0</v>
      </c>
      <c r="K803" s="4" t="e">
        <f t="shared" si="158"/>
        <v>#N/A</v>
      </c>
      <c r="L803" t="e">
        <f t="shared" si="159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60"/>
        <v>0</v>
      </c>
      <c r="B804">
        <f t="shared" si="161"/>
        <v>0</v>
      </c>
      <c r="C804">
        <f t="shared" si="162"/>
        <v>0</v>
      </c>
      <c r="D804">
        <f t="shared" si="163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4"/>
        <v>0</v>
      </c>
      <c r="G804">
        <f t="shared" si="165"/>
        <v>0</v>
      </c>
      <c r="H804">
        <f t="shared" si="166"/>
        <v>0</v>
      </c>
      <c r="I804">
        <f t="shared" si="167"/>
        <v>0</v>
      </c>
      <c r="J804">
        <f t="shared" si="168"/>
        <v>0</v>
      </c>
      <c r="K804" s="4" t="e">
        <f t="shared" si="158"/>
        <v>#N/A</v>
      </c>
      <c r="L804" t="e">
        <f t="shared" si="159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60"/>
        <v>0</v>
      </c>
      <c r="B805">
        <f t="shared" si="161"/>
        <v>0</v>
      </c>
      <c r="C805">
        <f t="shared" si="162"/>
        <v>0</v>
      </c>
      <c r="D805">
        <f t="shared" si="163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4"/>
        <v>0</v>
      </c>
      <c r="G805">
        <f t="shared" si="165"/>
        <v>0</v>
      </c>
      <c r="H805">
        <f t="shared" si="166"/>
        <v>0</v>
      </c>
      <c r="I805">
        <f t="shared" si="167"/>
        <v>0</v>
      </c>
      <c r="J805">
        <f t="shared" si="168"/>
        <v>0</v>
      </c>
      <c r="K805" s="4" t="e">
        <f t="shared" si="158"/>
        <v>#N/A</v>
      </c>
      <c r="L805" t="e">
        <f t="shared" si="159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60"/>
        <v>0</v>
      </c>
      <c r="B806">
        <f t="shared" si="161"/>
        <v>0</v>
      </c>
      <c r="C806">
        <f t="shared" si="162"/>
        <v>0</v>
      </c>
      <c r="D806">
        <f t="shared" si="163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4"/>
        <v>0</v>
      </c>
      <c r="G806">
        <f t="shared" si="165"/>
        <v>0</v>
      </c>
      <c r="H806">
        <f t="shared" si="166"/>
        <v>0</v>
      </c>
      <c r="I806">
        <f t="shared" si="167"/>
        <v>0</v>
      </c>
      <c r="J806">
        <f t="shared" si="168"/>
        <v>0</v>
      </c>
      <c r="K806" s="4" t="e">
        <f t="shared" si="158"/>
        <v>#N/A</v>
      </c>
      <c r="L806" t="e">
        <f t="shared" si="159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60"/>
        <v>0</v>
      </c>
      <c r="B807">
        <f t="shared" si="161"/>
        <v>0</v>
      </c>
      <c r="C807">
        <f t="shared" si="162"/>
        <v>0</v>
      </c>
      <c r="D807">
        <f t="shared" si="163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4"/>
        <v>0</v>
      </c>
      <c r="G807">
        <f t="shared" si="165"/>
        <v>0</v>
      </c>
      <c r="H807">
        <f t="shared" si="166"/>
        <v>0</v>
      </c>
      <c r="I807">
        <f t="shared" si="167"/>
        <v>0</v>
      </c>
      <c r="J807">
        <f t="shared" si="168"/>
        <v>0</v>
      </c>
      <c r="K807" s="4" t="e">
        <f t="shared" si="158"/>
        <v>#N/A</v>
      </c>
      <c r="L807" t="e">
        <f t="shared" si="159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60"/>
        <v>0</v>
      </c>
      <c r="B808">
        <f t="shared" si="161"/>
        <v>0</v>
      </c>
      <c r="C808">
        <f t="shared" si="162"/>
        <v>0</v>
      </c>
      <c r="D808">
        <f t="shared" si="163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4"/>
        <v>0</v>
      </c>
      <c r="G808">
        <f t="shared" si="165"/>
        <v>0</v>
      </c>
      <c r="H808">
        <f t="shared" si="166"/>
        <v>0</v>
      </c>
      <c r="I808">
        <f t="shared" si="167"/>
        <v>0</v>
      </c>
      <c r="J808">
        <f t="shared" si="168"/>
        <v>0</v>
      </c>
      <c r="K808" s="4" t="e">
        <f t="shared" si="158"/>
        <v>#N/A</v>
      </c>
      <c r="L808" t="e">
        <f t="shared" si="159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60"/>
        <v>0</v>
      </c>
      <c r="B809">
        <f t="shared" si="161"/>
        <v>0</v>
      </c>
      <c r="C809">
        <f t="shared" si="162"/>
        <v>0</v>
      </c>
      <c r="D809">
        <f t="shared" si="163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4"/>
        <v>0</v>
      </c>
      <c r="G809">
        <f t="shared" si="165"/>
        <v>0</v>
      </c>
      <c r="H809">
        <f t="shared" si="166"/>
        <v>0</v>
      </c>
      <c r="I809">
        <f t="shared" si="167"/>
        <v>0</v>
      </c>
      <c r="J809">
        <f t="shared" si="168"/>
        <v>0</v>
      </c>
      <c r="K809" s="4" t="e">
        <f t="shared" si="158"/>
        <v>#N/A</v>
      </c>
      <c r="L809" t="e">
        <f t="shared" si="159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60"/>
        <v>0</v>
      </c>
      <c r="B810">
        <f t="shared" si="161"/>
        <v>0</v>
      </c>
      <c r="C810">
        <f t="shared" si="162"/>
        <v>0</v>
      </c>
      <c r="D810">
        <f t="shared" si="163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4"/>
        <v>0</v>
      </c>
      <c r="G810">
        <f t="shared" si="165"/>
        <v>0</v>
      </c>
      <c r="H810">
        <f t="shared" si="166"/>
        <v>0</v>
      </c>
      <c r="I810">
        <f t="shared" si="167"/>
        <v>0</v>
      </c>
      <c r="J810">
        <f t="shared" si="168"/>
        <v>0</v>
      </c>
      <c r="K810" s="4" t="e">
        <f t="shared" si="158"/>
        <v>#N/A</v>
      </c>
      <c r="L810" t="e">
        <f t="shared" si="159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60"/>
        <v>0</v>
      </c>
      <c r="B811">
        <f t="shared" si="161"/>
        <v>0</v>
      </c>
      <c r="C811">
        <f t="shared" si="162"/>
        <v>0</v>
      </c>
      <c r="D811">
        <f t="shared" si="163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4"/>
        <v>0</v>
      </c>
      <c r="G811">
        <f t="shared" si="165"/>
        <v>0</v>
      </c>
      <c r="H811">
        <f t="shared" si="166"/>
        <v>0</v>
      </c>
      <c r="I811">
        <f t="shared" si="167"/>
        <v>0</v>
      </c>
      <c r="J811">
        <f t="shared" si="168"/>
        <v>0</v>
      </c>
      <c r="K811" s="4" t="e">
        <f t="shared" si="158"/>
        <v>#N/A</v>
      </c>
      <c r="L811" t="e">
        <f t="shared" si="159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60"/>
        <v>0</v>
      </c>
      <c r="B812">
        <f t="shared" si="161"/>
        <v>0</v>
      </c>
      <c r="C812">
        <f t="shared" si="162"/>
        <v>0</v>
      </c>
      <c r="D812">
        <f t="shared" si="163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4"/>
        <v>0</v>
      </c>
      <c r="G812">
        <f t="shared" si="165"/>
        <v>0</v>
      </c>
      <c r="H812">
        <f t="shared" si="166"/>
        <v>0</v>
      </c>
      <c r="I812">
        <f t="shared" si="167"/>
        <v>0</v>
      </c>
      <c r="J812">
        <f t="shared" si="168"/>
        <v>0</v>
      </c>
      <c r="K812" s="4" t="e">
        <f t="shared" ref="K812:K875" si="171">IF(LEFT(B812,3)="DBM",0,VLOOKUP(E812,tabela,2,FALSE))</f>
        <v>#N/A</v>
      </c>
      <c r="L812" t="e">
        <f t="shared" ref="L812:L875" si="172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60"/>
        <v>0</v>
      </c>
      <c r="B813">
        <f t="shared" si="161"/>
        <v>0</v>
      </c>
      <c r="C813">
        <f t="shared" si="162"/>
        <v>0</v>
      </c>
      <c r="D813">
        <f t="shared" si="163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4"/>
        <v>0</v>
      </c>
      <c r="G813">
        <f t="shared" si="165"/>
        <v>0</v>
      </c>
      <c r="H813">
        <f t="shared" si="166"/>
        <v>0</v>
      </c>
      <c r="I813">
        <f t="shared" si="167"/>
        <v>0</v>
      </c>
      <c r="J813">
        <f t="shared" si="168"/>
        <v>0</v>
      </c>
      <c r="K813" s="4" t="e">
        <f t="shared" si="171"/>
        <v>#N/A</v>
      </c>
      <c r="L813" t="e">
        <f t="shared" si="172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60"/>
        <v>0</v>
      </c>
      <c r="B814">
        <f t="shared" si="161"/>
        <v>0</v>
      </c>
      <c r="C814">
        <f t="shared" si="162"/>
        <v>0</v>
      </c>
      <c r="D814">
        <f t="shared" si="163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4"/>
        <v>0</v>
      </c>
      <c r="G814">
        <f t="shared" si="165"/>
        <v>0</v>
      </c>
      <c r="H814">
        <f t="shared" si="166"/>
        <v>0</v>
      </c>
      <c r="I814">
        <f t="shared" si="167"/>
        <v>0</v>
      </c>
      <c r="J814">
        <f t="shared" si="168"/>
        <v>0</v>
      </c>
      <c r="K814" s="4" t="e">
        <f t="shared" si="171"/>
        <v>#N/A</v>
      </c>
      <c r="L814" t="e">
        <f t="shared" si="172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60"/>
        <v>0</v>
      </c>
      <c r="B815">
        <f t="shared" si="161"/>
        <v>0</v>
      </c>
      <c r="C815">
        <f t="shared" si="162"/>
        <v>0</v>
      </c>
      <c r="D815">
        <f t="shared" si="163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4"/>
        <v>0</v>
      </c>
      <c r="G815">
        <f t="shared" si="165"/>
        <v>0</v>
      </c>
      <c r="H815">
        <f t="shared" si="166"/>
        <v>0</v>
      </c>
      <c r="I815">
        <f t="shared" si="167"/>
        <v>0</v>
      </c>
      <c r="J815">
        <f t="shared" si="168"/>
        <v>0</v>
      </c>
      <c r="K815" s="4" t="e">
        <f t="shared" si="171"/>
        <v>#N/A</v>
      </c>
      <c r="L815" t="e">
        <f t="shared" si="172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60"/>
        <v>0</v>
      </c>
      <c r="B816">
        <f t="shared" si="161"/>
        <v>0</v>
      </c>
      <c r="C816">
        <f t="shared" si="162"/>
        <v>0</v>
      </c>
      <c r="D816">
        <f t="shared" si="163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4"/>
        <v>0</v>
      </c>
      <c r="G816">
        <f t="shared" si="165"/>
        <v>0</v>
      </c>
      <c r="H816">
        <f t="shared" si="166"/>
        <v>0</v>
      </c>
      <c r="I816">
        <f t="shared" si="167"/>
        <v>0</v>
      </c>
      <c r="J816">
        <f t="shared" si="168"/>
        <v>0</v>
      </c>
      <c r="K816" s="4" t="e">
        <f t="shared" si="171"/>
        <v>#N/A</v>
      </c>
      <c r="L816" t="e">
        <f t="shared" si="172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60"/>
        <v>0</v>
      </c>
      <c r="B817">
        <f t="shared" si="161"/>
        <v>0</v>
      </c>
      <c r="C817">
        <f t="shared" si="162"/>
        <v>0</v>
      </c>
      <c r="D817">
        <f t="shared" si="163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4"/>
        <v>0</v>
      </c>
      <c r="G817">
        <f t="shared" si="165"/>
        <v>0</v>
      </c>
      <c r="H817">
        <f t="shared" si="166"/>
        <v>0</v>
      </c>
      <c r="I817">
        <f t="shared" si="167"/>
        <v>0</v>
      </c>
      <c r="J817">
        <f t="shared" si="168"/>
        <v>0</v>
      </c>
      <c r="K817" s="4" t="e">
        <f t="shared" si="171"/>
        <v>#N/A</v>
      </c>
      <c r="L817" t="e">
        <f t="shared" si="172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60"/>
        <v>0</v>
      </c>
      <c r="B818">
        <f t="shared" si="161"/>
        <v>0</v>
      </c>
      <c r="C818">
        <f t="shared" si="162"/>
        <v>0</v>
      </c>
      <c r="D818">
        <f t="shared" si="163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4"/>
        <v>0</v>
      </c>
      <c r="G818">
        <f t="shared" si="165"/>
        <v>0</v>
      </c>
      <c r="H818">
        <f t="shared" si="166"/>
        <v>0</v>
      </c>
      <c r="I818">
        <f t="shared" si="167"/>
        <v>0</v>
      </c>
      <c r="J818">
        <f t="shared" si="168"/>
        <v>0</v>
      </c>
      <c r="K818" s="4" t="e">
        <f t="shared" si="171"/>
        <v>#N/A</v>
      </c>
      <c r="L818" t="e">
        <f t="shared" si="172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60"/>
        <v>0</v>
      </c>
      <c r="B819">
        <f t="shared" si="161"/>
        <v>0</v>
      </c>
      <c r="C819">
        <f t="shared" si="162"/>
        <v>0</v>
      </c>
      <c r="D819">
        <f t="shared" si="163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4"/>
        <v>0</v>
      </c>
      <c r="G819">
        <f t="shared" si="165"/>
        <v>0</v>
      </c>
      <c r="H819">
        <f t="shared" si="166"/>
        <v>0</v>
      </c>
      <c r="I819">
        <f t="shared" si="167"/>
        <v>0</v>
      </c>
      <c r="J819">
        <f t="shared" si="168"/>
        <v>0</v>
      </c>
      <c r="K819" s="4" t="e">
        <f t="shared" si="171"/>
        <v>#N/A</v>
      </c>
      <c r="L819" t="e">
        <f t="shared" si="172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60"/>
        <v>0</v>
      </c>
      <c r="B820">
        <f t="shared" si="161"/>
        <v>0</v>
      </c>
      <c r="C820">
        <f t="shared" si="162"/>
        <v>0</v>
      </c>
      <c r="D820">
        <f t="shared" si="163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4"/>
        <v>0</v>
      </c>
      <c r="G820">
        <f t="shared" si="165"/>
        <v>0</v>
      </c>
      <c r="H820">
        <f t="shared" si="166"/>
        <v>0</v>
      </c>
      <c r="I820">
        <f t="shared" si="167"/>
        <v>0</v>
      </c>
      <c r="J820">
        <f t="shared" si="168"/>
        <v>0</v>
      </c>
      <c r="K820" s="4" t="e">
        <f t="shared" si="171"/>
        <v>#N/A</v>
      </c>
      <c r="L820" t="e">
        <f t="shared" si="172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60"/>
        <v>0</v>
      </c>
      <c r="B821">
        <f t="shared" si="161"/>
        <v>0</v>
      </c>
      <c r="C821">
        <f t="shared" si="162"/>
        <v>0</v>
      </c>
      <c r="D821">
        <f t="shared" si="163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4"/>
        <v>0</v>
      </c>
      <c r="G821">
        <f t="shared" si="165"/>
        <v>0</v>
      </c>
      <c r="H821">
        <f t="shared" si="166"/>
        <v>0</v>
      </c>
      <c r="I821">
        <f t="shared" si="167"/>
        <v>0</v>
      </c>
      <c r="J821">
        <f t="shared" si="168"/>
        <v>0</v>
      </c>
      <c r="K821" s="4" t="e">
        <f t="shared" si="171"/>
        <v>#N/A</v>
      </c>
      <c r="L821" t="e">
        <f t="shared" si="172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60"/>
        <v>0</v>
      </c>
      <c r="B822">
        <f t="shared" si="161"/>
        <v>0</v>
      </c>
      <c r="C822">
        <f t="shared" si="162"/>
        <v>0</v>
      </c>
      <c r="D822">
        <f t="shared" si="163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4"/>
        <v>0</v>
      </c>
      <c r="G822">
        <f t="shared" si="165"/>
        <v>0</v>
      </c>
      <c r="H822">
        <f t="shared" si="166"/>
        <v>0</v>
      </c>
      <c r="I822">
        <f t="shared" si="167"/>
        <v>0</v>
      </c>
      <c r="J822">
        <f t="shared" si="168"/>
        <v>0</v>
      </c>
      <c r="K822" s="4" t="e">
        <f t="shared" si="171"/>
        <v>#N/A</v>
      </c>
      <c r="L822" t="e">
        <f t="shared" si="172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60"/>
        <v>0</v>
      </c>
      <c r="B823">
        <f t="shared" si="161"/>
        <v>0</v>
      </c>
      <c r="C823">
        <f t="shared" si="162"/>
        <v>0</v>
      </c>
      <c r="D823">
        <f t="shared" si="163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4"/>
        <v>0</v>
      </c>
      <c r="G823">
        <f t="shared" si="165"/>
        <v>0</v>
      </c>
      <c r="H823">
        <f t="shared" si="166"/>
        <v>0</v>
      </c>
      <c r="I823">
        <f t="shared" si="167"/>
        <v>0</v>
      </c>
      <c r="J823">
        <f t="shared" si="168"/>
        <v>0</v>
      </c>
      <c r="K823" s="4" t="e">
        <f t="shared" si="171"/>
        <v>#N/A</v>
      </c>
      <c r="L823" t="e">
        <f t="shared" si="172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60"/>
        <v>0</v>
      </c>
      <c r="B824">
        <f t="shared" si="161"/>
        <v>0</v>
      </c>
      <c r="C824">
        <f t="shared" si="162"/>
        <v>0</v>
      </c>
      <c r="D824">
        <f t="shared" si="163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4"/>
        <v>0</v>
      </c>
      <c r="G824">
        <f t="shared" si="165"/>
        <v>0</v>
      </c>
      <c r="H824">
        <f t="shared" si="166"/>
        <v>0</v>
      </c>
      <c r="I824">
        <f t="shared" si="167"/>
        <v>0</v>
      </c>
      <c r="J824">
        <f t="shared" si="168"/>
        <v>0</v>
      </c>
      <c r="K824" s="4" t="e">
        <f t="shared" si="171"/>
        <v>#N/A</v>
      </c>
      <c r="L824" t="e">
        <f t="shared" si="172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60"/>
        <v>0</v>
      </c>
      <c r="B825">
        <f t="shared" si="161"/>
        <v>0</v>
      </c>
      <c r="C825">
        <f t="shared" si="162"/>
        <v>0</v>
      </c>
      <c r="D825">
        <f t="shared" si="163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4"/>
        <v>0</v>
      </c>
      <c r="G825">
        <f t="shared" si="165"/>
        <v>0</v>
      </c>
      <c r="H825">
        <f t="shared" si="166"/>
        <v>0</v>
      </c>
      <c r="I825">
        <f t="shared" si="167"/>
        <v>0</v>
      </c>
      <c r="J825">
        <f t="shared" si="168"/>
        <v>0</v>
      </c>
      <c r="K825" s="4" t="e">
        <f t="shared" si="171"/>
        <v>#N/A</v>
      </c>
      <c r="L825" t="e">
        <f t="shared" si="172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60"/>
        <v>0</v>
      </c>
      <c r="B826">
        <f t="shared" si="161"/>
        <v>0</v>
      </c>
      <c r="C826">
        <f t="shared" si="162"/>
        <v>0</v>
      </c>
      <c r="D826">
        <f t="shared" si="163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4"/>
        <v>0</v>
      </c>
      <c r="G826">
        <f t="shared" si="165"/>
        <v>0</v>
      </c>
      <c r="H826">
        <f t="shared" si="166"/>
        <v>0</v>
      </c>
      <c r="I826">
        <f t="shared" si="167"/>
        <v>0</v>
      </c>
      <c r="J826">
        <f t="shared" si="168"/>
        <v>0</v>
      </c>
      <c r="K826" s="4" t="e">
        <f t="shared" si="171"/>
        <v>#N/A</v>
      </c>
      <c r="L826" t="e">
        <f t="shared" si="172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60"/>
        <v>0</v>
      </c>
      <c r="B827">
        <f t="shared" si="161"/>
        <v>0</v>
      </c>
      <c r="C827">
        <f t="shared" si="162"/>
        <v>0</v>
      </c>
      <c r="D827">
        <f t="shared" si="163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4"/>
        <v>0</v>
      </c>
      <c r="G827">
        <f t="shared" si="165"/>
        <v>0</v>
      </c>
      <c r="H827">
        <f t="shared" si="166"/>
        <v>0</v>
      </c>
      <c r="I827">
        <f t="shared" si="167"/>
        <v>0</v>
      </c>
      <c r="J827">
        <f t="shared" si="168"/>
        <v>0</v>
      </c>
      <c r="K827" s="4" t="e">
        <f t="shared" si="171"/>
        <v>#N/A</v>
      </c>
      <c r="L827" t="e">
        <f t="shared" si="172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60"/>
        <v>0</v>
      </c>
      <c r="B828">
        <f t="shared" si="161"/>
        <v>0</v>
      </c>
      <c r="C828">
        <f t="shared" si="162"/>
        <v>0</v>
      </c>
      <c r="D828">
        <f t="shared" si="163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4"/>
        <v>0</v>
      </c>
      <c r="G828">
        <f t="shared" si="165"/>
        <v>0</v>
      </c>
      <c r="H828">
        <f t="shared" si="166"/>
        <v>0</v>
      </c>
      <c r="I828">
        <f t="shared" si="167"/>
        <v>0</v>
      </c>
      <c r="J828">
        <f t="shared" si="168"/>
        <v>0</v>
      </c>
      <c r="K828" s="4" t="e">
        <f t="shared" si="171"/>
        <v>#N/A</v>
      </c>
      <c r="L828" t="e">
        <f t="shared" si="172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60"/>
        <v>0</v>
      </c>
      <c r="B829">
        <f t="shared" si="161"/>
        <v>0</v>
      </c>
      <c r="C829">
        <f t="shared" si="162"/>
        <v>0</v>
      </c>
      <c r="D829">
        <f t="shared" si="163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4"/>
        <v>0</v>
      </c>
      <c r="G829">
        <f t="shared" si="165"/>
        <v>0</v>
      </c>
      <c r="H829">
        <f t="shared" si="166"/>
        <v>0</v>
      </c>
      <c r="I829">
        <f t="shared" si="167"/>
        <v>0</v>
      </c>
      <c r="J829">
        <f t="shared" si="168"/>
        <v>0</v>
      </c>
      <c r="K829" s="4" t="e">
        <f t="shared" si="171"/>
        <v>#N/A</v>
      </c>
      <c r="L829" t="e">
        <f t="shared" si="172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60"/>
        <v>0</v>
      </c>
      <c r="B830">
        <f t="shared" si="161"/>
        <v>0</v>
      </c>
      <c r="C830">
        <f t="shared" si="162"/>
        <v>0</v>
      </c>
      <c r="D830">
        <f t="shared" si="163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4"/>
        <v>0</v>
      </c>
      <c r="G830">
        <f t="shared" si="165"/>
        <v>0</v>
      </c>
      <c r="H830">
        <f t="shared" si="166"/>
        <v>0</v>
      </c>
      <c r="I830">
        <f t="shared" si="167"/>
        <v>0</v>
      </c>
      <c r="J830">
        <f t="shared" si="168"/>
        <v>0</v>
      </c>
      <c r="K830" s="4" t="e">
        <f t="shared" si="171"/>
        <v>#N/A</v>
      </c>
      <c r="L830" t="e">
        <f t="shared" si="172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60"/>
        <v>0</v>
      </c>
      <c r="B831">
        <f t="shared" si="161"/>
        <v>0</v>
      </c>
      <c r="C831">
        <f t="shared" si="162"/>
        <v>0</v>
      </c>
      <c r="D831">
        <f t="shared" si="163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4"/>
        <v>0</v>
      </c>
      <c r="G831">
        <f t="shared" si="165"/>
        <v>0</v>
      </c>
      <c r="H831">
        <f t="shared" si="166"/>
        <v>0</v>
      </c>
      <c r="I831">
        <f t="shared" si="167"/>
        <v>0</v>
      </c>
      <c r="J831">
        <f t="shared" si="168"/>
        <v>0</v>
      </c>
      <c r="K831" s="4" t="e">
        <f t="shared" si="171"/>
        <v>#N/A</v>
      </c>
      <c r="L831" t="e">
        <f t="shared" si="172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60"/>
        <v>0</v>
      </c>
      <c r="B832">
        <f t="shared" si="161"/>
        <v>0</v>
      </c>
      <c r="C832">
        <f t="shared" si="162"/>
        <v>0</v>
      </c>
      <c r="D832">
        <f t="shared" si="163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4"/>
        <v>0</v>
      </c>
      <c r="G832">
        <f t="shared" si="165"/>
        <v>0</v>
      </c>
      <c r="H832">
        <f t="shared" si="166"/>
        <v>0</v>
      </c>
      <c r="I832">
        <f t="shared" si="167"/>
        <v>0</v>
      </c>
      <c r="J832">
        <f t="shared" si="168"/>
        <v>0</v>
      </c>
      <c r="K832" s="4" t="e">
        <f t="shared" si="171"/>
        <v>#N/A</v>
      </c>
      <c r="L832" t="e">
        <f t="shared" si="172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60"/>
        <v>0</v>
      </c>
      <c r="B833">
        <f t="shared" si="161"/>
        <v>0</v>
      </c>
      <c r="C833">
        <f t="shared" si="162"/>
        <v>0</v>
      </c>
      <c r="D833">
        <f t="shared" si="163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4"/>
        <v>0</v>
      </c>
      <c r="G833">
        <f t="shared" si="165"/>
        <v>0</v>
      </c>
      <c r="H833">
        <f t="shared" si="166"/>
        <v>0</v>
      </c>
      <c r="I833">
        <f t="shared" si="167"/>
        <v>0</v>
      </c>
      <c r="J833">
        <f t="shared" si="168"/>
        <v>0</v>
      </c>
      <c r="K833" s="4" t="e">
        <f t="shared" si="171"/>
        <v>#N/A</v>
      </c>
      <c r="L833" t="e">
        <f t="shared" si="172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3">bd_campaign</f>
        <v>0</v>
      </c>
      <c r="B834">
        <f t="shared" ref="B834:B897" si="174">bd_site</f>
        <v>0</v>
      </c>
      <c r="C834">
        <f t="shared" ref="C834:C897" si="175">bd_placement</f>
        <v>0</v>
      </c>
      <c r="D834">
        <f t="shared" ref="D834:D897" si="176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7">bd_ad</f>
        <v>0</v>
      </c>
      <c r="G834">
        <f t="shared" ref="G834:G897" si="178">bd_adid</f>
        <v>0</v>
      </c>
      <c r="H834">
        <f t="shared" ref="H834:H897" si="179">bd_creativetype</f>
        <v>0</v>
      </c>
      <c r="I834">
        <f t="shared" ref="I834:I897" si="180">bd_impression</f>
        <v>0</v>
      </c>
      <c r="J834">
        <f t="shared" ref="J834:J897" si="181">bd_clicks</f>
        <v>0</v>
      </c>
      <c r="K834" s="4" t="e">
        <f t="shared" si="171"/>
        <v>#N/A</v>
      </c>
      <c r="L834" t="e">
        <f t="shared" si="172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3"/>
        <v>0</v>
      </c>
      <c r="B835">
        <f t="shared" si="174"/>
        <v>0</v>
      </c>
      <c r="C835">
        <f t="shared" si="175"/>
        <v>0</v>
      </c>
      <c r="D835">
        <f t="shared" si="176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7"/>
        <v>0</v>
      </c>
      <c r="G835">
        <f t="shared" si="178"/>
        <v>0</v>
      </c>
      <c r="H835">
        <f t="shared" si="179"/>
        <v>0</v>
      </c>
      <c r="I835">
        <f t="shared" si="180"/>
        <v>0</v>
      </c>
      <c r="J835">
        <f t="shared" si="181"/>
        <v>0</v>
      </c>
      <c r="K835" s="4" t="e">
        <f t="shared" si="171"/>
        <v>#N/A</v>
      </c>
      <c r="L835" t="e">
        <f t="shared" si="172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3"/>
        <v>0</v>
      </c>
      <c r="B836">
        <f t="shared" si="174"/>
        <v>0</v>
      </c>
      <c r="C836">
        <f t="shared" si="175"/>
        <v>0</v>
      </c>
      <c r="D836">
        <f t="shared" si="176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7"/>
        <v>0</v>
      </c>
      <c r="G836">
        <f t="shared" si="178"/>
        <v>0</v>
      </c>
      <c r="H836">
        <f t="shared" si="179"/>
        <v>0</v>
      </c>
      <c r="I836">
        <f t="shared" si="180"/>
        <v>0</v>
      </c>
      <c r="J836">
        <f t="shared" si="181"/>
        <v>0</v>
      </c>
      <c r="K836" s="4" t="e">
        <f t="shared" si="171"/>
        <v>#N/A</v>
      </c>
      <c r="L836" t="e">
        <f t="shared" si="172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3"/>
        <v>0</v>
      </c>
      <c r="B837">
        <f t="shared" si="174"/>
        <v>0</v>
      </c>
      <c r="C837">
        <f t="shared" si="175"/>
        <v>0</v>
      </c>
      <c r="D837">
        <f t="shared" si="176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7"/>
        <v>0</v>
      </c>
      <c r="G837">
        <f t="shared" si="178"/>
        <v>0</v>
      </c>
      <c r="H837">
        <f t="shared" si="179"/>
        <v>0</v>
      </c>
      <c r="I837">
        <f t="shared" si="180"/>
        <v>0</v>
      </c>
      <c r="J837">
        <f t="shared" si="181"/>
        <v>0</v>
      </c>
      <c r="K837" s="4" t="e">
        <f t="shared" si="171"/>
        <v>#N/A</v>
      </c>
      <c r="L837" t="e">
        <f t="shared" si="172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3"/>
        <v>0</v>
      </c>
      <c r="B838">
        <f t="shared" si="174"/>
        <v>0</v>
      </c>
      <c r="C838">
        <f t="shared" si="175"/>
        <v>0</v>
      </c>
      <c r="D838">
        <f t="shared" si="176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7"/>
        <v>0</v>
      </c>
      <c r="G838">
        <f t="shared" si="178"/>
        <v>0</v>
      </c>
      <c r="H838">
        <f t="shared" si="179"/>
        <v>0</v>
      </c>
      <c r="I838">
        <f t="shared" si="180"/>
        <v>0</v>
      </c>
      <c r="J838">
        <f t="shared" si="181"/>
        <v>0</v>
      </c>
      <c r="K838" s="4" t="e">
        <f t="shared" si="171"/>
        <v>#N/A</v>
      </c>
      <c r="L838" t="e">
        <f t="shared" si="172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3"/>
        <v>0</v>
      </c>
      <c r="B839">
        <f t="shared" si="174"/>
        <v>0</v>
      </c>
      <c r="C839">
        <f t="shared" si="175"/>
        <v>0</v>
      </c>
      <c r="D839">
        <f t="shared" si="176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7"/>
        <v>0</v>
      </c>
      <c r="G839">
        <f t="shared" si="178"/>
        <v>0</v>
      </c>
      <c r="H839">
        <f t="shared" si="179"/>
        <v>0</v>
      </c>
      <c r="I839">
        <f t="shared" si="180"/>
        <v>0</v>
      </c>
      <c r="J839">
        <f t="shared" si="181"/>
        <v>0</v>
      </c>
      <c r="K839" s="4" t="e">
        <f t="shared" si="171"/>
        <v>#N/A</v>
      </c>
      <c r="L839" t="e">
        <f t="shared" si="172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3"/>
        <v>0</v>
      </c>
      <c r="B840">
        <f t="shared" si="174"/>
        <v>0</v>
      </c>
      <c r="C840">
        <f t="shared" si="175"/>
        <v>0</v>
      </c>
      <c r="D840">
        <f t="shared" si="176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7"/>
        <v>0</v>
      </c>
      <c r="G840">
        <f t="shared" si="178"/>
        <v>0</v>
      </c>
      <c r="H840">
        <f t="shared" si="179"/>
        <v>0</v>
      </c>
      <c r="I840">
        <f t="shared" si="180"/>
        <v>0</v>
      </c>
      <c r="J840">
        <f t="shared" si="181"/>
        <v>0</v>
      </c>
      <c r="K840" s="4" t="e">
        <f t="shared" si="171"/>
        <v>#N/A</v>
      </c>
      <c r="L840" t="e">
        <f t="shared" si="172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3"/>
        <v>0</v>
      </c>
      <c r="B841">
        <f t="shared" si="174"/>
        <v>0</v>
      </c>
      <c r="C841">
        <f t="shared" si="175"/>
        <v>0</v>
      </c>
      <c r="D841">
        <f t="shared" si="176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7"/>
        <v>0</v>
      </c>
      <c r="G841">
        <f t="shared" si="178"/>
        <v>0</v>
      </c>
      <c r="H841">
        <f t="shared" si="179"/>
        <v>0</v>
      </c>
      <c r="I841">
        <f t="shared" si="180"/>
        <v>0</v>
      </c>
      <c r="J841">
        <f t="shared" si="181"/>
        <v>0</v>
      </c>
      <c r="K841" s="4" t="e">
        <f t="shared" si="171"/>
        <v>#N/A</v>
      </c>
      <c r="L841" t="e">
        <f t="shared" si="172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3"/>
        <v>0</v>
      </c>
      <c r="B842">
        <f t="shared" si="174"/>
        <v>0</v>
      </c>
      <c r="C842">
        <f t="shared" si="175"/>
        <v>0</v>
      </c>
      <c r="D842">
        <f t="shared" si="176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7"/>
        <v>0</v>
      </c>
      <c r="G842">
        <f t="shared" si="178"/>
        <v>0</v>
      </c>
      <c r="H842">
        <f t="shared" si="179"/>
        <v>0</v>
      </c>
      <c r="I842">
        <f t="shared" si="180"/>
        <v>0</v>
      </c>
      <c r="J842">
        <f t="shared" si="181"/>
        <v>0</v>
      </c>
      <c r="K842" s="4" t="e">
        <f t="shared" si="171"/>
        <v>#N/A</v>
      </c>
      <c r="L842" t="e">
        <f t="shared" si="172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3"/>
        <v>0</v>
      </c>
      <c r="B843">
        <f t="shared" si="174"/>
        <v>0</v>
      </c>
      <c r="C843">
        <f t="shared" si="175"/>
        <v>0</v>
      </c>
      <c r="D843">
        <f t="shared" si="176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7"/>
        <v>0</v>
      </c>
      <c r="G843">
        <f t="shared" si="178"/>
        <v>0</v>
      </c>
      <c r="H843">
        <f t="shared" si="179"/>
        <v>0</v>
      </c>
      <c r="I843">
        <f t="shared" si="180"/>
        <v>0</v>
      </c>
      <c r="J843">
        <f t="shared" si="181"/>
        <v>0</v>
      </c>
      <c r="K843" s="4" t="e">
        <f t="shared" si="171"/>
        <v>#N/A</v>
      </c>
      <c r="L843" t="e">
        <f t="shared" si="172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3"/>
        <v>0</v>
      </c>
      <c r="B844">
        <f t="shared" si="174"/>
        <v>0</v>
      </c>
      <c r="C844">
        <f t="shared" si="175"/>
        <v>0</v>
      </c>
      <c r="D844">
        <f t="shared" si="176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7"/>
        <v>0</v>
      </c>
      <c r="G844">
        <f t="shared" si="178"/>
        <v>0</v>
      </c>
      <c r="H844">
        <f t="shared" si="179"/>
        <v>0</v>
      </c>
      <c r="I844">
        <f t="shared" si="180"/>
        <v>0</v>
      </c>
      <c r="J844">
        <f t="shared" si="181"/>
        <v>0</v>
      </c>
      <c r="K844" s="4" t="e">
        <f t="shared" si="171"/>
        <v>#N/A</v>
      </c>
      <c r="L844" t="e">
        <f t="shared" si="172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3"/>
        <v>0</v>
      </c>
      <c r="B845">
        <f t="shared" si="174"/>
        <v>0</v>
      </c>
      <c r="C845">
        <f t="shared" si="175"/>
        <v>0</v>
      </c>
      <c r="D845">
        <f t="shared" si="176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7"/>
        <v>0</v>
      </c>
      <c r="G845">
        <f t="shared" si="178"/>
        <v>0</v>
      </c>
      <c r="H845">
        <f t="shared" si="179"/>
        <v>0</v>
      </c>
      <c r="I845">
        <f t="shared" si="180"/>
        <v>0</v>
      </c>
      <c r="J845">
        <f t="shared" si="181"/>
        <v>0</v>
      </c>
      <c r="K845" s="4" t="e">
        <f t="shared" si="171"/>
        <v>#N/A</v>
      </c>
      <c r="L845" t="e">
        <f t="shared" si="172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3"/>
        <v>0</v>
      </c>
      <c r="B846">
        <f t="shared" si="174"/>
        <v>0</v>
      </c>
      <c r="C846">
        <f t="shared" si="175"/>
        <v>0</v>
      </c>
      <c r="D846">
        <f t="shared" si="176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7"/>
        <v>0</v>
      </c>
      <c r="G846">
        <f t="shared" si="178"/>
        <v>0</v>
      </c>
      <c r="H846">
        <f t="shared" si="179"/>
        <v>0</v>
      </c>
      <c r="I846">
        <f t="shared" si="180"/>
        <v>0</v>
      </c>
      <c r="J846">
        <f t="shared" si="181"/>
        <v>0</v>
      </c>
      <c r="K846" s="4" t="e">
        <f t="shared" si="171"/>
        <v>#N/A</v>
      </c>
      <c r="L846" t="e">
        <f t="shared" si="172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3"/>
        <v>0</v>
      </c>
      <c r="B847">
        <f t="shared" si="174"/>
        <v>0</v>
      </c>
      <c r="C847">
        <f t="shared" si="175"/>
        <v>0</v>
      </c>
      <c r="D847">
        <f t="shared" si="176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7"/>
        <v>0</v>
      </c>
      <c r="G847">
        <f t="shared" si="178"/>
        <v>0</v>
      </c>
      <c r="H847">
        <f t="shared" si="179"/>
        <v>0</v>
      </c>
      <c r="I847">
        <f t="shared" si="180"/>
        <v>0</v>
      </c>
      <c r="J847">
        <f t="shared" si="181"/>
        <v>0</v>
      </c>
      <c r="K847" s="4" t="e">
        <f t="shared" si="171"/>
        <v>#N/A</v>
      </c>
      <c r="L847" t="e">
        <f t="shared" si="172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3"/>
        <v>0</v>
      </c>
      <c r="B848">
        <f t="shared" si="174"/>
        <v>0</v>
      </c>
      <c r="C848">
        <f t="shared" si="175"/>
        <v>0</v>
      </c>
      <c r="D848">
        <f t="shared" si="176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7"/>
        <v>0</v>
      </c>
      <c r="G848">
        <f t="shared" si="178"/>
        <v>0</v>
      </c>
      <c r="H848">
        <f t="shared" si="179"/>
        <v>0</v>
      </c>
      <c r="I848">
        <f t="shared" si="180"/>
        <v>0</v>
      </c>
      <c r="J848">
        <f t="shared" si="181"/>
        <v>0</v>
      </c>
      <c r="K848" s="4" t="e">
        <f t="shared" si="171"/>
        <v>#N/A</v>
      </c>
      <c r="L848" t="e">
        <f t="shared" si="172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3"/>
        <v>0</v>
      </c>
      <c r="B849">
        <f t="shared" si="174"/>
        <v>0</v>
      </c>
      <c r="C849">
        <f t="shared" si="175"/>
        <v>0</v>
      </c>
      <c r="D849">
        <f t="shared" si="176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7"/>
        <v>0</v>
      </c>
      <c r="G849">
        <f t="shared" si="178"/>
        <v>0</v>
      </c>
      <c r="H849">
        <f t="shared" si="179"/>
        <v>0</v>
      </c>
      <c r="I849">
        <f t="shared" si="180"/>
        <v>0</v>
      </c>
      <c r="J849">
        <f t="shared" si="181"/>
        <v>0</v>
      </c>
      <c r="K849" s="4" t="e">
        <f t="shared" si="171"/>
        <v>#N/A</v>
      </c>
      <c r="L849" t="e">
        <f t="shared" si="172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3"/>
        <v>0</v>
      </c>
      <c r="B850">
        <f t="shared" si="174"/>
        <v>0</v>
      </c>
      <c r="C850">
        <f t="shared" si="175"/>
        <v>0</v>
      </c>
      <c r="D850">
        <f t="shared" si="176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7"/>
        <v>0</v>
      </c>
      <c r="G850">
        <f t="shared" si="178"/>
        <v>0</v>
      </c>
      <c r="H850">
        <f t="shared" si="179"/>
        <v>0</v>
      </c>
      <c r="I850">
        <f t="shared" si="180"/>
        <v>0</v>
      </c>
      <c r="J850">
        <f t="shared" si="181"/>
        <v>0</v>
      </c>
      <c r="K850" s="4" t="e">
        <f t="shared" si="171"/>
        <v>#N/A</v>
      </c>
      <c r="L850" t="e">
        <f t="shared" si="172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3"/>
        <v>0</v>
      </c>
      <c r="B851">
        <f t="shared" si="174"/>
        <v>0</v>
      </c>
      <c r="C851">
        <f t="shared" si="175"/>
        <v>0</v>
      </c>
      <c r="D851">
        <f t="shared" si="176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7"/>
        <v>0</v>
      </c>
      <c r="G851">
        <f t="shared" si="178"/>
        <v>0</v>
      </c>
      <c r="H851">
        <f t="shared" si="179"/>
        <v>0</v>
      </c>
      <c r="I851">
        <f t="shared" si="180"/>
        <v>0</v>
      </c>
      <c r="J851">
        <f t="shared" si="181"/>
        <v>0</v>
      </c>
      <c r="K851" s="4" t="e">
        <f t="shared" si="171"/>
        <v>#N/A</v>
      </c>
      <c r="L851" t="e">
        <f t="shared" si="172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3"/>
        <v>0</v>
      </c>
      <c r="B852">
        <f t="shared" si="174"/>
        <v>0</v>
      </c>
      <c r="C852">
        <f t="shared" si="175"/>
        <v>0</v>
      </c>
      <c r="D852">
        <f t="shared" si="176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7"/>
        <v>0</v>
      </c>
      <c r="G852">
        <f t="shared" si="178"/>
        <v>0</v>
      </c>
      <c r="H852">
        <f t="shared" si="179"/>
        <v>0</v>
      </c>
      <c r="I852">
        <f t="shared" si="180"/>
        <v>0</v>
      </c>
      <c r="J852">
        <f t="shared" si="181"/>
        <v>0</v>
      </c>
      <c r="K852" s="4" t="e">
        <f t="shared" si="171"/>
        <v>#N/A</v>
      </c>
      <c r="L852" t="e">
        <f t="shared" si="172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3"/>
        <v>0</v>
      </c>
      <c r="B853">
        <f t="shared" si="174"/>
        <v>0</v>
      </c>
      <c r="C853">
        <f t="shared" si="175"/>
        <v>0</v>
      </c>
      <c r="D853">
        <f t="shared" si="176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7"/>
        <v>0</v>
      </c>
      <c r="G853">
        <f t="shared" si="178"/>
        <v>0</v>
      </c>
      <c r="H853">
        <f t="shared" si="179"/>
        <v>0</v>
      </c>
      <c r="I853">
        <f t="shared" si="180"/>
        <v>0</v>
      </c>
      <c r="J853">
        <f t="shared" si="181"/>
        <v>0</v>
      </c>
      <c r="K853" s="4" t="e">
        <f t="shared" si="171"/>
        <v>#N/A</v>
      </c>
      <c r="L853" t="e">
        <f t="shared" si="172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3"/>
        <v>0</v>
      </c>
      <c r="B854">
        <f t="shared" si="174"/>
        <v>0</v>
      </c>
      <c r="C854">
        <f t="shared" si="175"/>
        <v>0</v>
      </c>
      <c r="D854">
        <f t="shared" si="176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7"/>
        <v>0</v>
      </c>
      <c r="G854">
        <f t="shared" si="178"/>
        <v>0</v>
      </c>
      <c r="H854">
        <f t="shared" si="179"/>
        <v>0</v>
      </c>
      <c r="I854">
        <f t="shared" si="180"/>
        <v>0</v>
      </c>
      <c r="J854">
        <f t="shared" si="181"/>
        <v>0</v>
      </c>
      <c r="K854" s="4" t="e">
        <f t="shared" si="171"/>
        <v>#N/A</v>
      </c>
      <c r="L854" t="e">
        <f t="shared" si="172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3"/>
        <v>0</v>
      </c>
      <c r="B855">
        <f t="shared" si="174"/>
        <v>0</v>
      </c>
      <c r="C855">
        <f t="shared" si="175"/>
        <v>0</v>
      </c>
      <c r="D855">
        <f t="shared" si="176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7"/>
        <v>0</v>
      </c>
      <c r="G855">
        <f t="shared" si="178"/>
        <v>0</v>
      </c>
      <c r="H855">
        <f t="shared" si="179"/>
        <v>0</v>
      </c>
      <c r="I855">
        <f t="shared" si="180"/>
        <v>0</v>
      </c>
      <c r="J855">
        <f t="shared" si="181"/>
        <v>0</v>
      </c>
      <c r="K855" s="4" t="e">
        <f t="shared" si="171"/>
        <v>#N/A</v>
      </c>
      <c r="L855" t="e">
        <f t="shared" si="172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3"/>
        <v>0</v>
      </c>
      <c r="B856">
        <f t="shared" si="174"/>
        <v>0</v>
      </c>
      <c r="C856">
        <f t="shared" si="175"/>
        <v>0</v>
      </c>
      <c r="D856">
        <f t="shared" si="176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7"/>
        <v>0</v>
      </c>
      <c r="G856">
        <f t="shared" si="178"/>
        <v>0</v>
      </c>
      <c r="H856">
        <f t="shared" si="179"/>
        <v>0</v>
      </c>
      <c r="I856">
        <f t="shared" si="180"/>
        <v>0</v>
      </c>
      <c r="J856">
        <f t="shared" si="181"/>
        <v>0</v>
      </c>
      <c r="K856" s="4" t="e">
        <f t="shared" si="171"/>
        <v>#N/A</v>
      </c>
      <c r="L856" t="e">
        <f t="shared" si="172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3"/>
        <v>0</v>
      </c>
      <c r="B857">
        <f t="shared" si="174"/>
        <v>0</v>
      </c>
      <c r="C857">
        <f t="shared" si="175"/>
        <v>0</v>
      </c>
      <c r="D857">
        <f t="shared" si="176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7"/>
        <v>0</v>
      </c>
      <c r="G857">
        <f t="shared" si="178"/>
        <v>0</v>
      </c>
      <c r="H857">
        <f t="shared" si="179"/>
        <v>0</v>
      </c>
      <c r="I857">
        <f t="shared" si="180"/>
        <v>0</v>
      </c>
      <c r="J857">
        <f t="shared" si="181"/>
        <v>0</v>
      </c>
      <c r="K857" s="4" t="e">
        <f t="shared" si="171"/>
        <v>#N/A</v>
      </c>
      <c r="L857" t="e">
        <f t="shared" si="172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3"/>
        <v>0</v>
      </c>
      <c r="B858">
        <f t="shared" si="174"/>
        <v>0</v>
      </c>
      <c r="C858">
        <f t="shared" si="175"/>
        <v>0</v>
      </c>
      <c r="D858">
        <f t="shared" si="176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7"/>
        <v>0</v>
      </c>
      <c r="G858">
        <f t="shared" si="178"/>
        <v>0</v>
      </c>
      <c r="H858">
        <f t="shared" si="179"/>
        <v>0</v>
      </c>
      <c r="I858">
        <f t="shared" si="180"/>
        <v>0</v>
      </c>
      <c r="J858">
        <f t="shared" si="181"/>
        <v>0</v>
      </c>
      <c r="K858" s="4" t="e">
        <f t="shared" si="171"/>
        <v>#N/A</v>
      </c>
      <c r="L858" t="e">
        <f t="shared" si="172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3"/>
        <v>0</v>
      </c>
      <c r="B859">
        <f t="shared" si="174"/>
        <v>0</v>
      </c>
      <c r="C859">
        <f t="shared" si="175"/>
        <v>0</v>
      </c>
      <c r="D859">
        <f t="shared" si="176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7"/>
        <v>0</v>
      </c>
      <c r="G859">
        <f t="shared" si="178"/>
        <v>0</v>
      </c>
      <c r="H859">
        <f t="shared" si="179"/>
        <v>0</v>
      </c>
      <c r="I859">
        <f t="shared" si="180"/>
        <v>0</v>
      </c>
      <c r="J859">
        <f t="shared" si="181"/>
        <v>0</v>
      </c>
      <c r="K859" s="4" t="e">
        <f t="shared" si="171"/>
        <v>#N/A</v>
      </c>
      <c r="L859" t="e">
        <f t="shared" si="172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3"/>
        <v>0</v>
      </c>
      <c r="B860">
        <f t="shared" si="174"/>
        <v>0</v>
      </c>
      <c r="C860">
        <f t="shared" si="175"/>
        <v>0</v>
      </c>
      <c r="D860">
        <f t="shared" si="176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7"/>
        <v>0</v>
      </c>
      <c r="G860">
        <f t="shared" si="178"/>
        <v>0</v>
      </c>
      <c r="H860">
        <f t="shared" si="179"/>
        <v>0</v>
      </c>
      <c r="I860">
        <f t="shared" si="180"/>
        <v>0</v>
      </c>
      <c r="J860">
        <f t="shared" si="181"/>
        <v>0</v>
      </c>
      <c r="K860" s="4" t="e">
        <f t="shared" si="171"/>
        <v>#N/A</v>
      </c>
      <c r="L860" t="e">
        <f t="shared" si="172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3"/>
        <v>0</v>
      </c>
      <c r="B861">
        <f t="shared" si="174"/>
        <v>0</v>
      </c>
      <c r="C861">
        <f t="shared" si="175"/>
        <v>0</v>
      </c>
      <c r="D861">
        <f t="shared" si="176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7"/>
        <v>0</v>
      </c>
      <c r="G861">
        <f t="shared" si="178"/>
        <v>0</v>
      </c>
      <c r="H861">
        <f t="shared" si="179"/>
        <v>0</v>
      </c>
      <c r="I861">
        <f t="shared" si="180"/>
        <v>0</v>
      </c>
      <c r="J861">
        <f t="shared" si="181"/>
        <v>0</v>
      </c>
      <c r="K861" s="4" t="e">
        <f t="shared" si="171"/>
        <v>#N/A</v>
      </c>
      <c r="L861" t="e">
        <f t="shared" si="172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3"/>
        <v>0</v>
      </c>
      <c r="B862">
        <f t="shared" si="174"/>
        <v>0</v>
      </c>
      <c r="C862">
        <f t="shared" si="175"/>
        <v>0</v>
      </c>
      <c r="D862">
        <f t="shared" si="176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7"/>
        <v>0</v>
      </c>
      <c r="G862">
        <f t="shared" si="178"/>
        <v>0</v>
      </c>
      <c r="H862">
        <f t="shared" si="179"/>
        <v>0</v>
      </c>
      <c r="I862">
        <f t="shared" si="180"/>
        <v>0</v>
      </c>
      <c r="J862">
        <f t="shared" si="181"/>
        <v>0</v>
      </c>
      <c r="K862" s="4" t="e">
        <f t="shared" si="171"/>
        <v>#N/A</v>
      </c>
      <c r="L862" t="e">
        <f t="shared" si="172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3"/>
        <v>0</v>
      </c>
      <c r="B863">
        <f t="shared" si="174"/>
        <v>0</v>
      </c>
      <c r="C863">
        <f t="shared" si="175"/>
        <v>0</v>
      </c>
      <c r="D863">
        <f t="shared" si="176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7"/>
        <v>0</v>
      </c>
      <c r="G863">
        <f t="shared" si="178"/>
        <v>0</v>
      </c>
      <c r="H863">
        <f t="shared" si="179"/>
        <v>0</v>
      </c>
      <c r="I863">
        <f t="shared" si="180"/>
        <v>0</v>
      </c>
      <c r="J863">
        <f t="shared" si="181"/>
        <v>0</v>
      </c>
      <c r="K863" s="4" t="e">
        <f t="shared" si="171"/>
        <v>#N/A</v>
      </c>
      <c r="L863" t="e">
        <f t="shared" si="172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3"/>
        <v>0</v>
      </c>
      <c r="B864">
        <f t="shared" si="174"/>
        <v>0</v>
      </c>
      <c r="C864">
        <f t="shared" si="175"/>
        <v>0</v>
      </c>
      <c r="D864">
        <f t="shared" si="176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7"/>
        <v>0</v>
      </c>
      <c r="G864">
        <f t="shared" si="178"/>
        <v>0</v>
      </c>
      <c r="H864">
        <f t="shared" si="179"/>
        <v>0</v>
      </c>
      <c r="I864">
        <f t="shared" si="180"/>
        <v>0</v>
      </c>
      <c r="J864">
        <f t="shared" si="181"/>
        <v>0</v>
      </c>
      <c r="K864" s="4" t="e">
        <f t="shared" si="171"/>
        <v>#N/A</v>
      </c>
      <c r="L864" t="e">
        <f t="shared" si="172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3"/>
        <v>0</v>
      </c>
      <c r="B865">
        <f t="shared" si="174"/>
        <v>0</v>
      </c>
      <c r="C865">
        <f t="shared" si="175"/>
        <v>0</v>
      </c>
      <c r="D865">
        <f t="shared" si="176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7"/>
        <v>0</v>
      </c>
      <c r="G865">
        <f t="shared" si="178"/>
        <v>0</v>
      </c>
      <c r="H865">
        <f t="shared" si="179"/>
        <v>0</v>
      </c>
      <c r="I865">
        <f t="shared" si="180"/>
        <v>0</v>
      </c>
      <c r="J865">
        <f t="shared" si="181"/>
        <v>0</v>
      </c>
      <c r="K865" s="4" t="e">
        <f t="shared" si="171"/>
        <v>#N/A</v>
      </c>
      <c r="L865" t="e">
        <f t="shared" si="172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3"/>
        <v>0</v>
      </c>
      <c r="B866">
        <f t="shared" si="174"/>
        <v>0</v>
      </c>
      <c r="C866">
        <f t="shared" si="175"/>
        <v>0</v>
      </c>
      <c r="D866">
        <f t="shared" si="176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7"/>
        <v>0</v>
      </c>
      <c r="G866">
        <f t="shared" si="178"/>
        <v>0</v>
      </c>
      <c r="H866">
        <f t="shared" si="179"/>
        <v>0</v>
      </c>
      <c r="I866">
        <f t="shared" si="180"/>
        <v>0</v>
      </c>
      <c r="J866">
        <f t="shared" si="181"/>
        <v>0</v>
      </c>
      <c r="K866" s="4" t="e">
        <f t="shared" si="171"/>
        <v>#N/A</v>
      </c>
      <c r="L866" t="e">
        <f t="shared" si="172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3"/>
        <v>0</v>
      </c>
      <c r="B867">
        <f t="shared" si="174"/>
        <v>0</v>
      </c>
      <c r="C867">
        <f t="shared" si="175"/>
        <v>0</v>
      </c>
      <c r="D867">
        <f t="shared" si="176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7"/>
        <v>0</v>
      </c>
      <c r="G867">
        <f t="shared" si="178"/>
        <v>0</v>
      </c>
      <c r="H867">
        <f t="shared" si="179"/>
        <v>0</v>
      </c>
      <c r="I867">
        <f t="shared" si="180"/>
        <v>0</v>
      </c>
      <c r="J867">
        <f t="shared" si="181"/>
        <v>0</v>
      </c>
      <c r="K867" s="4" t="e">
        <f t="shared" si="171"/>
        <v>#N/A</v>
      </c>
      <c r="L867" t="e">
        <f t="shared" si="172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3"/>
        <v>0</v>
      </c>
      <c r="B868">
        <f t="shared" si="174"/>
        <v>0</v>
      </c>
      <c r="C868">
        <f t="shared" si="175"/>
        <v>0</v>
      </c>
      <c r="D868">
        <f t="shared" si="176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7"/>
        <v>0</v>
      </c>
      <c r="G868">
        <f t="shared" si="178"/>
        <v>0</v>
      </c>
      <c r="H868">
        <f t="shared" si="179"/>
        <v>0</v>
      </c>
      <c r="I868">
        <f t="shared" si="180"/>
        <v>0</v>
      </c>
      <c r="J868">
        <f t="shared" si="181"/>
        <v>0</v>
      </c>
      <c r="K868" s="4" t="e">
        <f t="shared" si="171"/>
        <v>#N/A</v>
      </c>
      <c r="L868" t="e">
        <f t="shared" si="172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3"/>
        <v>0</v>
      </c>
      <c r="B869">
        <f t="shared" si="174"/>
        <v>0</v>
      </c>
      <c r="C869">
        <f t="shared" si="175"/>
        <v>0</v>
      </c>
      <c r="D869">
        <f t="shared" si="176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7"/>
        <v>0</v>
      </c>
      <c r="G869">
        <f t="shared" si="178"/>
        <v>0</v>
      </c>
      <c r="H869">
        <f t="shared" si="179"/>
        <v>0</v>
      </c>
      <c r="I869">
        <f t="shared" si="180"/>
        <v>0</v>
      </c>
      <c r="J869">
        <f t="shared" si="181"/>
        <v>0</v>
      </c>
      <c r="K869" s="4" t="e">
        <f t="shared" si="171"/>
        <v>#N/A</v>
      </c>
      <c r="L869" t="e">
        <f t="shared" si="172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3"/>
        <v>0</v>
      </c>
      <c r="B870">
        <f t="shared" si="174"/>
        <v>0</v>
      </c>
      <c r="C870">
        <f t="shared" si="175"/>
        <v>0</v>
      </c>
      <c r="D870">
        <f t="shared" si="176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7"/>
        <v>0</v>
      </c>
      <c r="G870">
        <f t="shared" si="178"/>
        <v>0</v>
      </c>
      <c r="H870">
        <f t="shared" si="179"/>
        <v>0</v>
      </c>
      <c r="I870">
        <f t="shared" si="180"/>
        <v>0</v>
      </c>
      <c r="J870">
        <f t="shared" si="181"/>
        <v>0</v>
      </c>
      <c r="K870" s="4" t="e">
        <f t="shared" si="171"/>
        <v>#N/A</v>
      </c>
      <c r="L870" t="e">
        <f t="shared" si="172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3"/>
        <v>0</v>
      </c>
      <c r="B871">
        <f t="shared" si="174"/>
        <v>0</v>
      </c>
      <c r="C871">
        <f t="shared" si="175"/>
        <v>0</v>
      </c>
      <c r="D871">
        <f t="shared" si="176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7"/>
        <v>0</v>
      </c>
      <c r="G871">
        <f t="shared" si="178"/>
        <v>0</v>
      </c>
      <c r="H871">
        <f t="shared" si="179"/>
        <v>0</v>
      </c>
      <c r="I871">
        <f t="shared" si="180"/>
        <v>0</v>
      </c>
      <c r="J871">
        <f t="shared" si="181"/>
        <v>0</v>
      </c>
      <c r="K871" s="4" t="e">
        <f t="shared" si="171"/>
        <v>#N/A</v>
      </c>
      <c r="L871" t="e">
        <f t="shared" si="172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3"/>
        <v>0</v>
      </c>
      <c r="B872">
        <f t="shared" si="174"/>
        <v>0</v>
      </c>
      <c r="C872">
        <f t="shared" si="175"/>
        <v>0</v>
      </c>
      <c r="D872">
        <f t="shared" si="176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7"/>
        <v>0</v>
      </c>
      <c r="G872">
        <f t="shared" si="178"/>
        <v>0</v>
      </c>
      <c r="H872">
        <f t="shared" si="179"/>
        <v>0</v>
      </c>
      <c r="I872">
        <f t="shared" si="180"/>
        <v>0</v>
      </c>
      <c r="J872">
        <f t="shared" si="181"/>
        <v>0</v>
      </c>
      <c r="K872" s="4" t="e">
        <f t="shared" si="171"/>
        <v>#N/A</v>
      </c>
      <c r="L872" t="e">
        <f t="shared" si="172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3"/>
        <v>0</v>
      </c>
      <c r="B873">
        <f t="shared" si="174"/>
        <v>0</v>
      </c>
      <c r="C873">
        <f t="shared" si="175"/>
        <v>0</v>
      </c>
      <c r="D873">
        <f t="shared" si="176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7"/>
        <v>0</v>
      </c>
      <c r="G873">
        <f t="shared" si="178"/>
        <v>0</v>
      </c>
      <c r="H873">
        <f t="shared" si="179"/>
        <v>0</v>
      </c>
      <c r="I873">
        <f t="shared" si="180"/>
        <v>0</v>
      </c>
      <c r="J873">
        <f t="shared" si="181"/>
        <v>0</v>
      </c>
      <c r="K873" s="4" t="e">
        <f t="shared" si="171"/>
        <v>#N/A</v>
      </c>
      <c r="L873" t="e">
        <f t="shared" si="172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3"/>
        <v>0</v>
      </c>
      <c r="B874">
        <f t="shared" si="174"/>
        <v>0</v>
      </c>
      <c r="C874">
        <f t="shared" si="175"/>
        <v>0</v>
      </c>
      <c r="D874">
        <f t="shared" si="176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7"/>
        <v>0</v>
      </c>
      <c r="G874">
        <f t="shared" si="178"/>
        <v>0</v>
      </c>
      <c r="H874">
        <f t="shared" si="179"/>
        <v>0</v>
      </c>
      <c r="I874">
        <f t="shared" si="180"/>
        <v>0</v>
      </c>
      <c r="J874">
        <f t="shared" si="181"/>
        <v>0</v>
      </c>
      <c r="K874" s="4" t="e">
        <f t="shared" si="171"/>
        <v>#N/A</v>
      </c>
      <c r="L874" t="e">
        <f t="shared" si="172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3"/>
        <v>0</v>
      </c>
      <c r="B875">
        <f t="shared" si="174"/>
        <v>0</v>
      </c>
      <c r="C875">
        <f t="shared" si="175"/>
        <v>0</v>
      </c>
      <c r="D875">
        <f t="shared" si="176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7"/>
        <v>0</v>
      </c>
      <c r="G875">
        <f t="shared" si="178"/>
        <v>0</v>
      </c>
      <c r="H875">
        <f t="shared" si="179"/>
        <v>0</v>
      </c>
      <c r="I875">
        <f t="shared" si="180"/>
        <v>0</v>
      </c>
      <c r="J875">
        <f t="shared" si="181"/>
        <v>0</v>
      </c>
      <c r="K875" s="4" t="e">
        <f t="shared" si="171"/>
        <v>#N/A</v>
      </c>
      <c r="L875" t="e">
        <f t="shared" si="172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3"/>
        <v>0</v>
      </c>
      <c r="B876">
        <f t="shared" si="174"/>
        <v>0</v>
      </c>
      <c r="C876">
        <f t="shared" si="175"/>
        <v>0</v>
      </c>
      <c r="D876">
        <f t="shared" si="176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7"/>
        <v>0</v>
      </c>
      <c r="G876">
        <f t="shared" si="178"/>
        <v>0</v>
      </c>
      <c r="H876">
        <f t="shared" si="179"/>
        <v>0</v>
      </c>
      <c r="I876">
        <f t="shared" si="180"/>
        <v>0</v>
      </c>
      <c r="J876">
        <f t="shared" si="181"/>
        <v>0</v>
      </c>
      <c r="K876" s="4" t="e">
        <f t="shared" ref="K876:K939" si="184">IF(LEFT(B876,3)="DBM",0,VLOOKUP(E876,tabela,2,FALSE))</f>
        <v>#N/A</v>
      </c>
      <c r="L876" t="e">
        <f t="shared" ref="L876:L939" si="185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3"/>
        <v>0</v>
      </c>
      <c r="B877">
        <f t="shared" si="174"/>
        <v>0</v>
      </c>
      <c r="C877">
        <f t="shared" si="175"/>
        <v>0</v>
      </c>
      <c r="D877">
        <f t="shared" si="176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7"/>
        <v>0</v>
      </c>
      <c r="G877">
        <f t="shared" si="178"/>
        <v>0</v>
      </c>
      <c r="H877">
        <f t="shared" si="179"/>
        <v>0</v>
      </c>
      <c r="I877">
        <f t="shared" si="180"/>
        <v>0</v>
      </c>
      <c r="J877">
        <f t="shared" si="181"/>
        <v>0</v>
      </c>
      <c r="K877" s="4" t="e">
        <f t="shared" si="184"/>
        <v>#N/A</v>
      </c>
      <c r="L877" t="e">
        <f t="shared" si="185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3"/>
        <v>0</v>
      </c>
      <c r="B878">
        <f t="shared" si="174"/>
        <v>0</v>
      </c>
      <c r="C878">
        <f t="shared" si="175"/>
        <v>0</v>
      </c>
      <c r="D878">
        <f t="shared" si="176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7"/>
        <v>0</v>
      </c>
      <c r="G878">
        <f t="shared" si="178"/>
        <v>0</v>
      </c>
      <c r="H878">
        <f t="shared" si="179"/>
        <v>0</v>
      </c>
      <c r="I878">
        <f t="shared" si="180"/>
        <v>0</v>
      </c>
      <c r="J878">
        <f t="shared" si="181"/>
        <v>0</v>
      </c>
      <c r="K878" s="4" t="e">
        <f t="shared" si="184"/>
        <v>#N/A</v>
      </c>
      <c r="L878" t="e">
        <f t="shared" si="185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3"/>
        <v>0</v>
      </c>
      <c r="B879">
        <f t="shared" si="174"/>
        <v>0</v>
      </c>
      <c r="C879">
        <f t="shared" si="175"/>
        <v>0</v>
      </c>
      <c r="D879">
        <f t="shared" si="176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7"/>
        <v>0</v>
      </c>
      <c r="G879">
        <f t="shared" si="178"/>
        <v>0</v>
      </c>
      <c r="H879">
        <f t="shared" si="179"/>
        <v>0</v>
      </c>
      <c r="I879">
        <f t="shared" si="180"/>
        <v>0</v>
      </c>
      <c r="J879">
        <f t="shared" si="181"/>
        <v>0</v>
      </c>
      <c r="K879" s="4" t="e">
        <f t="shared" si="184"/>
        <v>#N/A</v>
      </c>
      <c r="L879" t="e">
        <f t="shared" si="185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3"/>
        <v>0</v>
      </c>
      <c r="B880">
        <f t="shared" si="174"/>
        <v>0</v>
      </c>
      <c r="C880">
        <f t="shared" si="175"/>
        <v>0</v>
      </c>
      <c r="D880">
        <f t="shared" si="176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7"/>
        <v>0</v>
      </c>
      <c r="G880">
        <f t="shared" si="178"/>
        <v>0</v>
      </c>
      <c r="H880">
        <f t="shared" si="179"/>
        <v>0</v>
      </c>
      <c r="I880">
        <f t="shared" si="180"/>
        <v>0</v>
      </c>
      <c r="J880">
        <f t="shared" si="181"/>
        <v>0</v>
      </c>
      <c r="K880" s="4" t="e">
        <f t="shared" si="184"/>
        <v>#N/A</v>
      </c>
      <c r="L880" t="e">
        <f t="shared" si="185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3"/>
        <v>0</v>
      </c>
      <c r="B881">
        <f t="shared" si="174"/>
        <v>0</v>
      </c>
      <c r="C881">
        <f t="shared" si="175"/>
        <v>0</v>
      </c>
      <c r="D881">
        <f t="shared" si="176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7"/>
        <v>0</v>
      </c>
      <c r="G881">
        <f t="shared" si="178"/>
        <v>0</v>
      </c>
      <c r="H881">
        <f t="shared" si="179"/>
        <v>0</v>
      </c>
      <c r="I881">
        <f t="shared" si="180"/>
        <v>0</v>
      </c>
      <c r="J881">
        <f t="shared" si="181"/>
        <v>0</v>
      </c>
      <c r="K881" s="4" t="e">
        <f t="shared" si="184"/>
        <v>#N/A</v>
      </c>
      <c r="L881" t="e">
        <f t="shared" si="185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3"/>
        <v>0</v>
      </c>
      <c r="B882">
        <f t="shared" si="174"/>
        <v>0</v>
      </c>
      <c r="C882">
        <f t="shared" si="175"/>
        <v>0</v>
      </c>
      <c r="D882">
        <f t="shared" si="176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7"/>
        <v>0</v>
      </c>
      <c r="G882">
        <f t="shared" si="178"/>
        <v>0</v>
      </c>
      <c r="H882">
        <f t="shared" si="179"/>
        <v>0</v>
      </c>
      <c r="I882">
        <f t="shared" si="180"/>
        <v>0</v>
      </c>
      <c r="J882">
        <f t="shared" si="181"/>
        <v>0</v>
      </c>
      <c r="K882" s="4" t="e">
        <f t="shared" si="184"/>
        <v>#N/A</v>
      </c>
      <c r="L882" t="e">
        <f t="shared" si="185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3"/>
        <v>0</v>
      </c>
      <c r="B883">
        <f t="shared" si="174"/>
        <v>0</v>
      </c>
      <c r="C883">
        <f t="shared" si="175"/>
        <v>0</v>
      </c>
      <c r="D883">
        <f t="shared" si="176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7"/>
        <v>0</v>
      </c>
      <c r="G883">
        <f t="shared" si="178"/>
        <v>0</v>
      </c>
      <c r="H883">
        <f t="shared" si="179"/>
        <v>0</v>
      </c>
      <c r="I883">
        <f t="shared" si="180"/>
        <v>0</v>
      </c>
      <c r="J883">
        <f t="shared" si="181"/>
        <v>0</v>
      </c>
      <c r="K883" s="4" t="e">
        <f t="shared" si="184"/>
        <v>#N/A</v>
      </c>
      <c r="L883" t="e">
        <f t="shared" si="185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3"/>
        <v>0</v>
      </c>
      <c r="B884">
        <f t="shared" si="174"/>
        <v>0</v>
      </c>
      <c r="C884">
        <f t="shared" si="175"/>
        <v>0</v>
      </c>
      <c r="D884">
        <f t="shared" si="176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7"/>
        <v>0</v>
      </c>
      <c r="G884">
        <f t="shared" si="178"/>
        <v>0</v>
      </c>
      <c r="H884">
        <f t="shared" si="179"/>
        <v>0</v>
      </c>
      <c r="I884">
        <f t="shared" si="180"/>
        <v>0</v>
      </c>
      <c r="J884">
        <f t="shared" si="181"/>
        <v>0</v>
      </c>
      <c r="K884" s="4" t="e">
        <f t="shared" si="184"/>
        <v>#N/A</v>
      </c>
      <c r="L884" t="e">
        <f t="shared" si="185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3"/>
        <v>0</v>
      </c>
      <c r="B885">
        <f t="shared" si="174"/>
        <v>0</v>
      </c>
      <c r="C885">
        <f t="shared" si="175"/>
        <v>0</v>
      </c>
      <c r="D885">
        <f t="shared" si="176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7"/>
        <v>0</v>
      </c>
      <c r="G885">
        <f t="shared" si="178"/>
        <v>0</v>
      </c>
      <c r="H885">
        <f t="shared" si="179"/>
        <v>0</v>
      </c>
      <c r="I885">
        <f t="shared" si="180"/>
        <v>0</v>
      </c>
      <c r="J885">
        <f t="shared" si="181"/>
        <v>0</v>
      </c>
      <c r="K885" s="4" t="e">
        <f t="shared" si="184"/>
        <v>#N/A</v>
      </c>
      <c r="L885" t="e">
        <f t="shared" si="185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3"/>
        <v>0</v>
      </c>
      <c r="B886">
        <f t="shared" si="174"/>
        <v>0</v>
      </c>
      <c r="C886">
        <f t="shared" si="175"/>
        <v>0</v>
      </c>
      <c r="D886">
        <f t="shared" si="176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7"/>
        <v>0</v>
      </c>
      <c r="G886">
        <f t="shared" si="178"/>
        <v>0</v>
      </c>
      <c r="H886">
        <f t="shared" si="179"/>
        <v>0</v>
      </c>
      <c r="I886">
        <f t="shared" si="180"/>
        <v>0</v>
      </c>
      <c r="J886">
        <f t="shared" si="181"/>
        <v>0</v>
      </c>
      <c r="K886" s="4" t="e">
        <f t="shared" si="184"/>
        <v>#N/A</v>
      </c>
      <c r="L886" t="e">
        <f t="shared" si="185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3"/>
        <v>0</v>
      </c>
      <c r="B887">
        <f t="shared" si="174"/>
        <v>0</v>
      </c>
      <c r="C887">
        <f t="shared" si="175"/>
        <v>0</v>
      </c>
      <c r="D887">
        <f t="shared" si="176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7"/>
        <v>0</v>
      </c>
      <c r="G887">
        <f t="shared" si="178"/>
        <v>0</v>
      </c>
      <c r="H887">
        <f t="shared" si="179"/>
        <v>0</v>
      </c>
      <c r="I887">
        <f t="shared" si="180"/>
        <v>0</v>
      </c>
      <c r="J887">
        <f t="shared" si="181"/>
        <v>0</v>
      </c>
      <c r="K887" s="4" t="e">
        <f t="shared" si="184"/>
        <v>#N/A</v>
      </c>
      <c r="L887" t="e">
        <f t="shared" si="185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3"/>
        <v>0</v>
      </c>
      <c r="B888">
        <f t="shared" si="174"/>
        <v>0</v>
      </c>
      <c r="C888">
        <f t="shared" si="175"/>
        <v>0</v>
      </c>
      <c r="D888">
        <f t="shared" si="176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7"/>
        <v>0</v>
      </c>
      <c r="G888">
        <f t="shared" si="178"/>
        <v>0</v>
      </c>
      <c r="H888">
        <f t="shared" si="179"/>
        <v>0</v>
      </c>
      <c r="I888">
        <f t="shared" si="180"/>
        <v>0</v>
      </c>
      <c r="J888">
        <f t="shared" si="181"/>
        <v>0</v>
      </c>
      <c r="K888" s="4" t="e">
        <f t="shared" si="184"/>
        <v>#N/A</v>
      </c>
      <c r="L888" t="e">
        <f t="shared" si="185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3"/>
        <v>0</v>
      </c>
      <c r="B889">
        <f t="shared" si="174"/>
        <v>0</v>
      </c>
      <c r="C889">
        <f t="shared" si="175"/>
        <v>0</v>
      </c>
      <c r="D889">
        <f t="shared" si="176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7"/>
        <v>0</v>
      </c>
      <c r="G889">
        <f t="shared" si="178"/>
        <v>0</v>
      </c>
      <c r="H889">
        <f t="shared" si="179"/>
        <v>0</v>
      </c>
      <c r="I889">
        <f t="shared" si="180"/>
        <v>0</v>
      </c>
      <c r="J889">
        <f t="shared" si="181"/>
        <v>0</v>
      </c>
      <c r="K889" s="4" t="e">
        <f t="shared" si="184"/>
        <v>#N/A</v>
      </c>
      <c r="L889" t="e">
        <f t="shared" si="185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3"/>
        <v>0</v>
      </c>
      <c r="B890">
        <f t="shared" si="174"/>
        <v>0</v>
      </c>
      <c r="C890">
        <f t="shared" si="175"/>
        <v>0</v>
      </c>
      <c r="D890">
        <f t="shared" si="176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7"/>
        <v>0</v>
      </c>
      <c r="G890">
        <f t="shared" si="178"/>
        <v>0</v>
      </c>
      <c r="H890">
        <f t="shared" si="179"/>
        <v>0</v>
      </c>
      <c r="I890">
        <f t="shared" si="180"/>
        <v>0</v>
      </c>
      <c r="J890">
        <f t="shared" si="181"/>
        <v>0</v>
      </c>
      <c r="K890" s="4" t="e">
        <f t="shared" si="184"/>
        <v>#N/A</v>
      </c>
      <c r="L890" t="e">
        <f t="shared" si="185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3"/>
        <v>0</v>
      </c>
      <c r="B891">
        <f t="shared" si="174"/>
        <v>0</v>
      </c>
      <c r="C891">
        <f t="shared" si="175"/>
        <v>0</v>
      </c>
      <c r="D891">
        <f t="shared" si="176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7"/>
        <v>0</v>
      </c>
      <c r="G891">
        <f t="shared" si="178"/>
        <v>0</v>
      </c>
      <c r="H891">
        <f t="shared" si="179"/>
        <v>0</v>
      </c>
      <c r="I891">
        <f t="shared" si="180"/>
        <v>0</v>
      </c>
      <c r="J891">
        <f t="shared" si="181"/>
        <v>0</v>
      </c>
      <c r="K891" s="4" t="e">
        <f t="shared" si="184"/>
        <v>#N/A</v>
      </c>
      <c r="L891" t="e">
        <f t="shared" si="185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3"/>
        <v>0</v>
      </c>
      <c r="B892">
        <f t="shared" si="174"/>
        <v>0</v>
      </c>
      <c r="C892">
        <f t="shared" si="175"/>
        <v>0</v>
      </c>
      <c r="D892">
        <f t="shared" si="176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7"/>
        <v>0</v>
      </c>
      <c r="G892">
        <f t="shared" si="178"/>
        <v>0</v>
      </c>
      <c r="H892">
        <f t="shared" si="179"/>
        <v>0</v>
      </c>
      <c r="I892">
        <f t="shared" si="180"/>
        <v>0</v>
      </c>
      <c r="J892">
        <f t="shared" si="181"/>
        <v>0</v>
      </c>
      <c r="K892" s="4" t="e">
        <f t="shared" si="184"/>
        <v>#N/A</v>
      </c>
      <c r="L892" t="e">
        <f t="shared" si="185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3"/>
        <v>0</v>
      </c>
      <c r="B893">
        <f t="shared" si="174"/>
        <v>0</v>
      </c>
      <c r="C893">
        <f t="shared" si="175"/>
        <v>0</v>
      </c>
      <c r="D893">
        <f t="shared" si="176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7"/>
        <v>0</v>
      </c>
      <c r="G893">
        <f t="shared" si="178"/>
        <v>0</v>
      </c>
      <c r="H893">
        <f t="shared" si="179"/>
        <v>0</v>
      </c>
      <c r="I893">
        <f t="shared" si="180"/>
        <v>0</v>
      </c>
      <c r="J893">
        <f t="shared" si="181"/>
        <v>0</v>
      </c>
      <c r="K893" s="4" t="e">
        <f t="shared" si="184"/>
        <v>#N/A</v>
      </c>
      <c r="L893" t="e">
        <f t="shared" si="185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3"/>
        <v>0</v>
      </c>
      <c r="B894">
        <f t="shared" si="174"/>
        <v>0</v>
      </c>
      <c r="C894">
        <f t="shared" si="175"/>
        <v>0</v>
      </c>
      <c r="D894">
        <f t="shared" si="176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7"/>
        <v>0</v>
      </c>
      <c r="G894">
        <f t="shared" si="178"/>
        <v>0</v>
      </c>
      <c r="H894">
        <f t="shared" si="179"/>
        <v>0</v>
      </c>
      <c r="I894">
        <f t="shared" si="180"/>
        <v>0</v>
      </c>
      <c r="J894">
        <f t="shared" si="181"/>
        <v>0</v>
      </c>
      <c r="K894" s="4" t="e">
        <f t="shared" si="184"/>
        <v>#N/A</v>
      </c>
      <c r="L894" t="e">
        <f t="shared" si="185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3"/>
        <v>0</v>
      </c>
      <c r="B895">
        <f t="shared" si="174"/>
        <v>0</v>
      </c>
      <c r="C895">
        <f t="shared" si="175"/>
        <v>0</v>
      </c>
      <c r="D895">
        <f t="shared" si="176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7"/>
        <v>0</v>
      </c>
      <c r="G895">
        <f t="shared" si="178"/>
        <v>0</v>
      </c>
      <c r="H895">
        <f t="shared" si="179"/>
        <v>0</v>
      </c>
      <c r="I895">
        <f t="shared" si="180"/>
        <v>0</v>
      </c>
      <c r="J895">
        <f t="shared" si="181"/>
        <v>0</v>
      </c>
      <c r="K895" s="4" t="e">
        <f t="shared" si="184"/>
        <v>#N/A</v>
      </c>
      <c r="L895" t="e">
        <f t="shared" si="185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3"/>
        <v>0</v>
      </c>
      <c r="B896">
        <f t="shared" si="174"/>
        <v>0</v>
      </c>
      <c r="C896">
        <f t="shared" si="175"/>
        <v>0</v>
      </c>
      <c r="D896">
        <f t="shared" si="176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7"/>
        <v>0</v>
      </c>
      <c r="G896">
        <f t="shared" si="178"/>
        <v>0</v>
      </c>
      <c r="H896">
        <f t="shared" si="179"/>
        <v>0</v>
      </c>
      <c r="I896">
        <f t="shared" si="180"/>
        <v>0</v>
      </c>
      <c r="J896">
        <f t="shared" si="181"/>
        <v>0</v>
      </c>
      <c r="K896" s="4" t="e">
        <f t="shared" si="184"/>
        <v>#N/A</v>
      </c>
      <c r="L896" t="e">
        <f t="shared" si="185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3"/>
        <v>0</v>
      </c>
      <c r="B897">
        <f t="shared" si="174"/>
        <v>0</v>
      </c>
      <c r="C897">
        <f t="shared" si="175"/>
        <v>0</v>
      </c>
      <c r="D897">
        <f t="shared" si="176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7"/>
        <v>0</v>
      </c>
      <c r="G897">
        <f t="shared" si="178"/>
        <v>0</v>
      </c>
      <c r="H897">
        <f t="shared" si="179"/>
        <v>0</v>
      </c>
      <c r="I897">
        <f t="shared" si="180"/>
        <v>0</v>
      </c>
      <c r="J897">
        <f t="shared" si="181"/>
        <v>0</v>
      </c>
      <c r="K897" s="4" t="e">
        <f t="shared" si="184"/>
        <v>#N/A</v>
      </c>
      <c r="L897" t="e">
        <f t="shared" si="185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6">bd_campaign</f>
        <v>0</v>
      </c>
      <c r="B898">
        <f t="shared" ref="B898:B961" si="187">bd_site</f>
        <v>0</v>
      </c>
      <c r="C898">
        <f t="shared" ref="C898:C961" si="188">bd_placement</f>
        <v>0</v>
      </c>
      <c r="D898">
        <f t="shared" ref="D898:D961" si="189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90">bd_ad</f>
        <v>0</v>
      </c>
      <c r="G898">
        <f t="shared" ref="G898:G961" si="191">bd_adid</f>
        <v>0</v>
      </c>
      <c r="H898">
        <f t="shared" ref="H898:H961" si="192">bd_creativetype</f>
        <v>0</v>
      </c>
      <c r="I898">
        <f t="shared" ref="I898:I961" si="193">bd_impression</f>
        <v>0</v>
      </c>
      <c r="J898">
        <f t="shared" ref="J898:J961" si="194">bd_clicks</f>
        <v>0</v>
      </c>
      <c r="K898" s="4" t="e">
        <f t="shared" si="184"/>
        <v>#N/A</v>
      </c>
      <c r="L898" t="e">
        <f t="shared" si="185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6"/>
        <v>0</v>
      </c>
      <c r="B899">
        <f t="shared" si="187"/>
        <v>0</v>
      </c>
      <c r="C899">
        <f t="shared" si="188"/>
        <v>0</v>
      </c>
      <c r="D899">
        <f t="shared" si="189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90"/>
        <v>0</v>
      </c>
      <c r="G899">
        <f t="shared" si="191"/>
        <v>0</v>
      </c>
      <c r="H899">
        <f t="shared" si="192"/>
        <v>0</v>
      </c>
      <c r="I899">
        <f t="shared" si="193"/>
        <v>0</v>
      </c>
      <c r="J899">
        <f t="shared" si="194"/>
        <v>0</v>
      </c>
      <c r="K899" s="4" t="e">
        <f t="shared" si="184"/>
        <v>#N/A</v>
      </c>
      <c r="L899" t="e">
        <f t="shared" si="185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6"/>
        <v>0</v>
      </c>
      <c r="B900">
        <f t="shared" si="187"/>
        <v>0</v>
      </c>
      <c r="C900">
        <f t="shared" si="188"/>
        <v>0</v>
      </c>
      <c r="D900">
        <f t="shared" si="189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90"/>
        <v>0</v>
      </c>
      <c r="G900">
        <f t="shared" si="191"/>
        <v>0</v>
      </c>
      <c r="H900">
        <f t="shared" si="192"/>
        <v>0</v>
      </c>
      <c r="I900">
        <f t="shared" si="193"/>
        <v>0</v>
      </c>
      <c r="J900">
        <f t="shared" si="194"/>
        <v>0</v>
      </c>
      <c r="K900" s="4" t="e">
        <f t="shared" si="184"/>
        <v>#N/A</v>
      </c>
      <c r="L900" t="e">
        <f t="shared" si="185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6"/>
        <v>0</v>
      </c>
      <c r="B901">
        <f t="shared" si="187"/>
        <v>0</v>
      </c>
      <c r="C901">
        <f t="shared" si="188"/>
        <v>0</v>
      </c>
      <c r="D901">
        <f t="shared" si="189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90"/>
        <v>0</v>
      </c>
      <c r="G901">
        <f t="shared" si="191"/>
        <v>0</v>
      </c>
      <c r="H901">
        <f t="shared" si="192"/>
        <v>0</v>
      </c>
      <c r="I901">
        <f t="shared" si="193"/>
        <v>0</v>
      </c>
      <c r="J901">
        <f t="shared" si="194"/>
        <v>0</v>
      </c>
      <c r="K901" s="4" t="e">
        <f t="shared" si="184"/>
        <v>#N/A</v>
      </c>
      <c r="L901" t="e">
        <f t="shared" si="185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6"/>
        <v>0</v>
      </c>
      <c r="B902">
        <f t="shared" si="187"/>
        <v>0</v>
      </c>
      <c r="C902">
        <f t="shared" si="188"/>
        <v>0</v>
      </c>
      <c r="D902">
        <f t="shared" si="189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90"/>
        <v>0</v>
      </c>
      <c r="G902">
        <f t="shared" si="191"/>
        <v>0</v>
      </c>
      <c r="H902">
        <f t="shared" si="192"/>
        <v>0</v>
      </c>
      <c r="I902">
        <f t="shared" si="193"/>
        <v>0</v>
      </c>
      <c r="J902">
        <f t="shared" si="194"/>
        <v>0</v>
      </c>
      <c r="K902" s="4" t="e">
        <f t="shared" si="184"/>
        <v>#N/A</v>
      </c>
      <c r="L902" t="e">
        <f t="shared" si="185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6"/>
        <v>0</v>
      </c>
      <c r="B903">
        <f t="shared" si="187"/>
        <v>0</v>
      </c>
      <c r="C903">
        <f t="shared" si="188"/>
        <v>0</v>
      </c>
      <c r="D903">
        <f t="shared" si="189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90"/>
        <v>0</v>
      </c>
      <c r="G903">
        <f t="shared" si="191"/>
        <v>0</v>
      </c>
      <c r="H903">
        <f t="shared" si="192"/>
        <v>0</v>
      </c>
      <c r="I903">
        <f t="shared" si="193"/>
        <v>0</v>
      </c>
      <c r="J903">
        <f t="shared" si="194"/>
        <v>0</v>
      </c>
      <c r="K903" s="4" t="e">
        <f t="shared" si="184"/>
        <v>#N/A</v>
      </c>
      <c r="L903" t="e">
        <f t="shared" si="185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6"/>
        <v>0</v>
      </c>
      <c r="B904">
        <f t="shared" si="187"/>
        <v>0</v>
      </c>
      <c r="C904">
        <f t="shared" si="188"/>
        <v>0</v>
      </c>
      <c r="D904">
        <f t="shared" si="189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90"/>
        <v>0</v>
      </c>
      <c r="G904">
        <f t="shared" si="191"/>
        <v>0</v>
      </c>
      <c r="H904">
        <f t="shared" si="192"/>
        <v>0</v>
      </c>
      <c r="I904">
        <f t="shared" si="193"/>
        <v>0</v>
      </c>
      <c r="J904">
        <f t="shared" si="194"/>
        <v>0</v>
      </c>
      <c r="K904" s="4" t="e">
        <f t="shared" si="184"/>
        <v>#N/A</v>
      </c>
      <c r="L904" t="e">
        <f t="shared" si="185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6"/>
        <v>0</v>
      </c>
      <c r="B905">
        <f t="shared" si="187"/>
        <v>0</v>
      </c>
      <c r="C905">
        <f t="shared" si="188"/>
        <v>0</v>
      </c>
      <c r="D905">
        <f t="shared" si="189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90"/>
        <v>0</v>
      </c>
      <c r="G905">
        <f t="shared" si="191"/>
        <v>0</v>
      </c>
      <c r="H905">
        <f t="shared" si="192"/>
        <v>0</v>
      </c>
      <c r="I905">
        <f t="shared" si="193"/>
        <v>0</v>
      </c>
      <c r="J905">
        <f t="shared" si="194"/>
        <v>0</v>
      </c>
      <c r="K905" s="4" t="e">
        <f t="shared" si="184"/>
        <v>#N/A</v>
      </c>
      <c r="L905" t="e">
        <f t="shared" si="185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6"/>
        <v>0</v>
      </c>
      <c r="B906">
        <f t="shared" si="187"/>
        <v>0</v>
      </c>
      <c r="C906">
        <f t="shared" si="188"/>
        <v>0</v>
      </c>
      <c r="D906">
        <f t="shared" si="189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90"/>
        <v>0</v>
      </c>
      <c r="G906">
        <f t="shared" si="191"/>
        <v>0</v>
      </c>
      <c r="H906">
        <f t="shared" si="192"/>
        <v>0</v>
      </c>
      <c r="I906">
        <f t="shared" si="193"/>
        <v>0</v>
      </c>
      <c r="J906">
        <f t="shared" si="194"/>
        <v>0</v>
      </c>
      <c r="K906" s="4" t="e">
        <f t="shared" si="184"/>
        <v>#N/A</v>
      </c>
      <c r="L906" t="e">
        <f t="shared" si="185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6"/>
        <v>0</v>
      </c>
      <c r="B907">
        <f t="shared" si="187"/>
        <v>0</v>
      </c>
      <c r="C907">
        <f t="shared" si="188"/>
        <v>0</v>
      </c>
      <c r="D907">
        <f t="shared" si="189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90"/>
        <v>0</v>
      </c>
      <c r="G907">
        <f t="shared" si="191"/>
        <v>0</v>
      </c>
      <c r="H907">
        <f t="shared" si="192"/>
        <v>0</v>
      </c>
      <c r="I907">
        <f t="shared" si="193"/>
        <v>0</v>
      </c>
      <c r="J907">
        <f t="shared" si="194"/>
        <v>0</v>
      </c>
      <c r="K907" s="4" t="e">
        <f t="shared" si="184"/>
        <v>#N/A</v>
      </c>
      <c r="L907" t="e">
        <f t="shared" si="185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6"/>
        <v>0</v>
      </c>
      <c r="B908">
        <f t="shared" si="187"/>
        <v>0</v>
      </c>
      <c r="C908">
        <f t="shared" si="188"/>
        <v>0</v>
      </c>
      <c r="D908">
        <f t="shared" si="189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90"/>
        <v>0</v>
      </c>
      <c r="G908">
        <f t="shared" si="191"/>
        <v>0</v>
      </c>
      <c r="H908">
        <f t="shared" si="192"/>
        <v>0</v>
      </c>
      <c r="I908">
        <f t="shared" si="193"/>
        <v>0</v>
      </c>
      <c r="J908">
        <f t="shared" si="194"/>
        <v>0</v>
      </c>
      <c r="K908" s="4" t="e">
        <f t="shared" si="184"/>
        <v>#N/A</v>
      </c>
      <c r="L908" t="e">
        <f t="shared" si="185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6"/>
        <v>0</v>
      </c>
      <c r="B909">
        <f t="shared" si="187"/>
        <v>0</v>
      </c>
      <c r="C909">
        <f t="shared" si="188"/>
        <v>0</v>
      </c>
      <c r="D909">
        <f t="shared" si="189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90"/>
        <v>0</v>
      </c>
      <c r="G909">
        <f t="shared" si="191"/>
        <v>0</v>
      </c>
      <c r="H909">
        <f t="shared" si="192"/>
        <v>0</v>
      </c>
      <c r="I909">
        <f t="shared" si="193"/>
        <v>0</v>
      </c>
      <c r="J909">
        <f t="shared" si="194"/>
        <v>0</v>
      </c>
      <c r="K909" s="4" t="e">
        <f t="shared" si="184"/>
        <v>#N/A</v>
      </c>
      <c r="L909" t="e">
        <f t="shared" si="185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6"/>
        <v>0</v>
      </c>
      <c r="B910">
        <f t="shared" si="187"/>
        <v>0</v>
      </c>
      <c r="C910">
        <f t="shared" si="188"/>
        <v>0</v>
      </c>
      <c r="D910">
        <f t="shared" si="189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90"/>
        <v>0</v>
      </c>
      <c r="G910">
        <f t="shared" si="191"/>
        <v>0</v>
      </c>
      <c r="H910">
        <f t="shared" si="192"/>
        <v>0</v>
      </c>
      <c r="I910">
        <f t="shared" si="193"/>
        <v>0</v>
      </c>
      <c r="J910">
        <f t="shared" si="194"/>
        <v>0</v>
      </c>
      <c r="K910" s="4" t="e">
        <f t="shared" si="184"/>
        <v>#N/A</v>
      </c>
      <c r="L910" t="e">
        <f t="shared" si="185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6"/>
        <v>0</v>
      </c>
      <c r="B911">
        <f t="shared" si="187"/>
        <v>0</v>
      </c>
      <c r="C911">
        <f t="shared" si="188"/>
        <v>0</v>
      </c>
      <c r="D911">
        <f t="shared" si="189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90"/>
        <v>0</v>
      </c>
      <c r="G911">
        <f t="shared" si="191"/>
        <v>0</v>
      </c>
      <c r="H911">
        <f t="shared" si="192"/>
        <v>0</v>
      </c>
      <c r="I911">
        <f t="shared" si="193"/>
        <v>0</v>
      </c>
      <c r="J911">
        <f t="shared" si="194"/>
        <v>0</v>
      </c>
      <c r="K911" s="4" t="e">
        <f t="shared" si="184"/>
        <v>#N/A</v>
      </c>
      <c r="L911" t="e">
        <f t="shared" si="185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6"/>
        <v>0</v>
      </c>
      <c r="B912">
        <f t="shared" si="187"/>
        <v>0</v>
      </c>
      <c r="C912">
        <f t="shared" si="188"/>
        <v>0</v>
      </c>
      <c r="D912">
        <f t="shared" si="189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90"/>
        <v>0</v>
      </c>
      <c r="G912">
        <f t="shared" si="191"/>
        <v>0</v>
      </c>
      <c r="H912">
        <f t="shared" si="192"/>
        <v>0</v>
      </c>
      <c r="I912">
        <f t="shared" si="193"/>
        <v>0</v>
      </c>
      <c r="J912">
        <f t="shared" si="194"/>
        <v>0</v>
      </c>
      <c r="K912" s="4" t="e">
        <f t="shared" si="184"/>
        <v>#N/A</v>
      </c>
      <c r="L912" t="e">
        <f t="shared" si="185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6"/>
        <v>0</v>
      </c>
      <c r="B913">
        <f t="shared" si="187"/>
        <v>0</v>
      </c>
      <c r="C913">
        <f t="shared" si="188"/>
        <v>0</v>
      </c>
      <c r="D913">
        <f t="shared" si="189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90"/>
        <v>0</v>
      </c>
      <c r="G913">
        <f t="shared" si="191"/>
        <v>0</v>
      </c>
      <c r="H913">
        <f t="shared" si="192"/>
        <v>0</v>
      </c>
      <c r="I913">
        <f t="shared" si="193"/>
        <v>0</v>
      </c>
      <c r="J913">
        <f t="shared" si="194"/>
        <v>0</v>
      </c>
      <c r="K913" s="4" t="e">
        <f t="shared" si="184"/>
        <v>#N/A</v>
      </c>
      <c r="L913" t="e">
        <f t="shared" si="185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6"/>
        <v>0</v>
      </c>
      <c r="B914">
        <f t="shared" si="187"/>
        <v>0</v>
      </c>
      <c r="C914">
        <f t="shared" si="188"/>
        <v>0</v>
      </c>
      <c r="D914">
        <f t="shared" si="189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90"/>
        <v>0</v>
      </c>
      <c r="G914">
        <f t="shared" si="191"/>
        <v>0</v>
      </c>
      <c r="H914">
        <f t="shared" si="192"/>
        <v>0</v>
      </c>
      <c r="I914">
        <f t="shared" si="193"/>
        <v>0</v>
      </c>
      <c r="J914">
        <f t="shared" si="194"/>
        <v>0</v>
      </c>
      <c r="K914" s="4" t="e">
        <f t="shared" si="184"/>
        <v>#N/A</v>
      </c>
      <c r="L914" t="e">
        <f t="shared" si="185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6"/>
        <v>0</v>
      </c>
      <c r="B915">
        <f t="shared" si="187"/>
        <v>0</v>
      </c>
      <c r="C915">
        <f t="shared" si="188"/>
        <v>0</v>
      </c>
      <c r="D915">
        <f t="shared" si="189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90"/>
        <v>0</v>
      </c>
      <c r="G915">
        <f t="shared" si="191"/>
        <v>0</v>
      </c>
      <c r="H915">
        <f t="shared" si="192"/>
        <v>0</v>
      </c>
      <c r="I915">
        <f t="shared" si="193"/>
        <v>0</v>
      </c>
      <c r="J915">
        <f t="shared" si="194"/>
        <v>0</v>
      </c>
      <c r="K915" s="4" t="e">
        <f t="shared" si="184"/>
        <v>#N/A</v>
      </c>
      <c r="L915" t="e">
        <f t="shared" si="185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6"/>
        <v>0</v>
      </c>
      <c r="B916">
        <f t="shared" si="187"/>
        <v>0</v>
      </c>
      <c r="C916">
        <f t="shared" si="188"/>
        <v>0</v>
      </c>
      <c r="D916">
        <f t="shared" si="189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90"/>
        <v>0</v>
      </c>
      <c r="G916">
        <f t="shared" si="191"/>
        <v>0</v>
      </c>
      <c r="H916">
        <f t="shared" si="192"/>
        <v>0</v>
      </c>
      <c r="I916">
        <f t="shared" si="193"/>
        <v>0</v>
      </c>
      <c r="J916">
        <f t="shared" si="194"/>
        <v>0</v>
      </c>
      <c r="K916" s="4" t="e">
        <f t="shared" si="184"/>
        <v>#N/A</v>
      </c>
      <c r="L916" t="e">
        <f t="shared" si="185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6"/>
        <v>0</v>
      </c>
      <c r="B917">
        <f t="shared" si="187"/>
        <v>0</v>
      </c>
      <c r="C917">
        <f t="shared" si="188"/>
        <v>0</v>
      </c>
      <c r="D917">
        <f t="shared" si="189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90"/>
        <v>0</v>
      </c>
      <c r="G917">
        <f t="shared" si="191"/>
        <v>0</v>
      </c>
      <c r="H917">
        <f t="shared" si="192"/>
        <v>0</v>
      </c>
      <c r="I917">
        <f t="shared" si="193"/>
        <v>0</v>
      </c>
      <c r="J917">
        <f t="shared" si="194"/>
        <v>0</v>
      </c>
      <c r="K917" s="4" t="e">
        <f t="shared" si="184"/>
        <v>#N/A</v>
      </c>
      <c r="L917" t="e">
        <f t="shared" si="185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6"/>
        <v>0</v>
      </c>
      <c r="B918">
        <f t="shared" si="187"/>
        <v>0</v>
      </c>
      <c r="C918">
        <f t="shared" si="188"/>
        <v>0</v>
      </c>
      <c r="D918">
        <f t="shared" si="189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90"/>
        <v>0</v>
      </c>
      <c r="G918">
        <f t="shared" si="191"/>
        <v>0</v>
      </c>
      <c r="H918">
        <f t="shared" si="192"/>
        <v>0</v>
      </c>
      <c r="I918">
        <f t="shared" si="193"/>
        <v>0</v>
      </c>
      <c r="J918">
        <f t="shared" si="194"/>
        <v>0</v>
      </c>
      <c r="K918" s="4" t="e">
        <f t="shared" si="184"/>
        <v>#N/A</v>
      </c>
      <c r="L918" t="e">
        <f t="shared" si="185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6"/>
        <v>0</v>
      </c>
      <c r="B919">
        <f t="shared" si="187"/>
        <v>0</v>
      </c>
      <c r="C919">
        <f t="shared" si="188"/>
        <v>0</v>
      </c>
      <c r="D919">
        <f t="shared" si="189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90"/>
        <v>0</v>
      </c>
      <c r="G919">
        <f t="shared" si="191"/>
        <v>0</v>
      </c>
      <c r="H919">
        <f t="shared" si="192"/>
        <v>0</v>
      </c>
      <c r="I919">
        <f t="shared" si="193"/>
        <v>0</v>
      </c>
      <c r="J919">
        <f t="shared" si="194"/>
        <v>0</v>
      </c>
      <c r="K919" s="4" t="e">
        <f t="shared" si="184"/>
        <v>#N/A</v>
      </c>
      <c r="L919" t="e">
        <f t="shared" si="185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6"/>
        <v>0</v>
      </c>
      <c r="B920">
        <f t="shared" si="187"/>
        <v>0</v>
      </c>
      <c r="C920">
        <f t="shared" si="188"/>
        <v>0</v>
      </c>
      <c r="D920">
        <f t="shared" si="189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90"/>
        <v>0</v>
      </c>
      <c r="G920">
        <f t="shared" si="191"/>
        <v>0</v>
      </c>
      <c r="H920">
        <f t="shared" si="192"/>
        <v>0</v>
      </c>
      <c r="I920">
        <f t="shared" si="193"/>
        <v>0</v>
      </c>
      <c r="J920">
        <f t="shared" si="194"/>
        <v>0</v>
      </c>
      <c r="K920" s="4" t="e">
        <f t="shared" si="184"/>
        <v>#N/A</v>
      </c>
      <c r="L920" t="e">
        <f t="shared" si="185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6"/>
        <v>0</v>
      </c>
      <c r="B921">
        <f t="shared" si="187"/>
        <v>0</v>
      </c>
      <c r="C921">
        <f t="shared" si="188"/>
        <v>0</v>
      </c>
      <c r="D921">
        <f t="shared" si="189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90"/>
        <v>0</v>
      </c>
      <c r="G921">
        <f t="shared" si="191"/>
        <v>0</v>
      </c>
      <c r="H921">
        <f t="shared" si="192"/>
        <v>0</v>
      </c>
      <c r="I921">
        <f t="shared" si="193"/>
        <v>0</v>
      </c>
      <c r="J921">
        <f t="shared" si="194"/>
        <v>0</v>
      </c>
      <c r="K921" s="4" t="e">
        <f t="shared" si="184"/>
        <v>#N/A</v>
      </c>
      <c r="L921" t="e">
        <f t="shared" si="185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6"/>
        <v>0</v>
      </c>
      <c r="B922">
        <f t="shared" si="187"/>
        <v>0</v>
      </c>
      <c r="C922">
        <f t="shared" si="188"/>
        <v>0</v>
      </c>
      <c r="D922">
        <f t="shared" si="189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90"/>
        <v>0</v>
      </c>
      <c r="G922">
        <f t="shared" si="191"/>
        <v>0</v>
      </c>
      <c r="H922">
        <f t="shared" si="192"/>
        <v>0</v>
      </c>
      <c r="I922">
        <f t="shared" si="193"/>
        <v>0</v>
      </c>
      <c r="J922">
        <f t="shared" si="194"/>
        <v>0</v>
      </c>
      <c r="K922" s="4" t="e">
        <f t="shared" si="184"/>
        <v>#N/A</v>
      </c>
      <c r="L922" t="e">
        <f t="shared" si="185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6"/>
        <v>0</v>
      </c>
      <c r="B923">
        <f t="shared" si="187"/>
        <v>0</v>
      </c>
      <c r="C923">
        <f t="shared" si="188"/>
        <v>0</v>
      </c>
      <c r="D923">
        <f t="shared" si="189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90"/>
        <v>0</v>
      </c>
      <c r="G923">
        <f t="shared" si="191"/>
        <v>0</v>
      </c>
      <c r="H923">
        <f t="shared" si="192"/>
        <v>0</v>
      </c>
      <c r="I923">
        <f t="shared" si="193"/>
        <v>0</v>
      </c>
      <c r="J923">
        <f t="shared" si="194"/>
        <v>0</v>
      </c>
      <c r="K923" s="4" t="e">
        <f t="shared" si="184"/>
        <v>#N/A</v>
      </c>
      <c r="L923" t="e">
        <f t="shared" si="185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6"/>
        <v>0</v>
      </c>
      <c r="B924">
        <f t="shared" si="187"/>
        <v>0</v>
      </c>
      <c r="C924">
        <f t="shared" si="188"/>
        <v>0</v>
      </c>
      <c r="D924">
        <f t="shared" si="189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90"/>
        <v>0</v>
      </c>
      <c r="G924">
        <f t="shared" si="191"/>
        <v>0</v>
      </c>
      <c r="H924">
        <f t="shared" si="192"/>
        <v>0</v>
      </c>
      <c r="I924">
        <f t="shared" si="193"/>
        <v>0</v>
      </c>
      <c r="J924">
        <f t="shared" si="194"/>
        <v>0</v>
      </c>
      <c r="K924" s="4" t="e">
        <f t="shared" si="184"/>
        <v>#N/A</v>
      </c>
      <c r="L924" t="e">
        <f t="shared" si="185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6"/>
        <v>0</v>
      </c>
      <c r="B925">
        <f t="shared" si="187"/>
        <v>0</v>
      </c>
      <c r="C925">
        <f t="shared" si="188"/>
        <v>0</v>
      </c>
      <c r="D925">
        <f t="shared" si="189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90"/>
        <v>0</v>
      </c>
      <c r="G925">
        <f t="shared" si="191"/>
        <v>0</v>
      </c>
      <c r="H925">
        <f t="shared" si="192"/>
        <v>0</v>
      </c>
      <c r="I925">
        <f t="shared" si="193"/>
        <v>0</v>
      </c>
      <c r="J925">
        <f t="shared" si="194"/>
        <v>0</v>
      </c>
      <c r="K925" s="4" t="e">
        <f t="shared" si="184"/>
        <v>#N/A</v>
      </c>
      <c r="L925" t="e">
        <f t="shared" si="185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6"/>
        <v>0</v>
      </c>
      <c r="B926">
        <f t="shared" si="187"/>
        <v>0</v>
      </c>
      <c r="C926">
        <f t="shared" si="188"/>
        <v>0</v>
      </c>
      <c r="D926">
        <f t="shared" si="189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90"/>
        <v>0</v>
      </c>
      <c r="G926">
        <f t="shared" si="191"/>
        <v>0</v>
      </c>
      <c r="H926">
        <f t="shared" si="192"/>
        <v>0</v>
      </c>
      <c r="I926">
        <f t="shared" si="193"/>
        <v>0</v>
      </c>
      <c r="J926">
        <f t="shared" si="194"/>
        <v>0</v>
      </c>
      <c r="K926" s="4" t="e">
        <f t="shared" si="184"/>
        <v>#N/A</v>
      </c>
      <c r="L926" t="e">
        <f t="shared" si="185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6"/>
        <v>0</v>
      </c>
      <c r="B927">
        <f t="shared" si="187"/>
        <v>0</v>
      </c>
      <c r="C927">
        <f t="shared" si="188"/>
        <v>0</v>
      </c>
      <c r="D927">
        <f t="shared" si="189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90"/>
        <v>0</v>
      </c>
      <c r="G927">
        <f t="shared" si="191"/>
        <v>0</v>
      </c>
      <c r="H927">
        <f t="shared" si="192"/>
        <v>0</v>
      </c>
      <c r="I927">
        <f t="shared" si="193"/>
        <v>0</v>
      </c>
      <c r="J927">
        <f t="shared" si="194"/>
        <v>0</v>
      </c>
      <c r="K927" s="4" t="e">
        <f t="shared" si="184"/>
        <v>#N/A</v>
      </c>
      <c r="L927" t="e">
        <f t="shared" si="185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6"/>
        <v>0</v>
      </c>
      <c r="B928">
        <f t="shared" si="187"/>
        <v>0</v>
      </c>
      <c r="C928">
        <f t="shared" si="188"/>
        <v>0</v>
      </c>
      <c r="D928">
        <f t="shared" si="189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90"/>
        <v>0</v>
      </c>
      <c r="G928">
        <f t="shared" si="191"/>
        <v>0</v>
      </c>
      <c r="H928">
        <f t="shared" si="192"/>
        <v>0</v>
      </c>
      <c r="I928">
        <f t="shared" si="193"/>
        <v>0</v>
      </c>
      <c r="J928">
        <f t="shared" si="194"/>
        <v>0</v>
      </c>
      <c r="K928" s="4" t="e">
        <f t="shared" si="184"/>
        <v>#N/A</v>
      </c>
      <c r="L928" t="e">
        <f t="shared" si="185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6"/>
        <v>0</v>
      </c>
      <c r="B929">
        <f t="shared" si="187"/>
        <v>0</v>
      </c>
      <c r="C929">
        <f t="shared" si="188"/>
        <v>0</v>
      </c>
      <c r="D929">
        <f t="shared" si="189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90"/>
        <v>0</v>
      </c>
      <c r="G929">
        <f t="shared" si="191"/>
        <v>0</v>
      </c>
      <c r="H929">
        <f t="shared" si="192"/>
        <v>0</v>
      </c>
      <c r="I929">
        <f t="shared" si="193"/>
        <v>0</v>
      </c>
      <c r="J929">
        <f t="shared" si="194"/>
        <v>0</v>
      </c>
      <c r="K929" s="4" t="e">
        <f t="shared" si="184"/>
        <v>#N/A</v>
      </c>
      <c r="L929" t="e">
        <f t="shared" si="185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6"/>
        <v>0</v>
      </c>
      <c r="B930">
        <f t="shared" si="187"/>
        <v>0</v>
      </c>
      <c r="C930">
        <f t="shared" si="188"/>
        <v>0</v>
      </c>
      <c r="D930">
        <f t="shared" si="189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90"/>
        <v>0</v>
      </c>
      <c r="G930">
        <f t="shared" si="191"/>
        <v>0</v>
      </c>
      <c r="H930">
        <f t="shared" si="192"/>
        <v>0</v>
      </c>
      <c r="I930">
        <f t="shared" si="193"/>
        <v>0</v>
      </c>
      <c r="J930">
        <f t="shared" si="194"/>
        <v>0</v>
      </c>
      <c r="K930" s="4" t="e">
        <f t="shared" si="184"/>
        <v>#N/A</v>
      </c>
      <c r="L930" t="e">
        <f t="shared" si="185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6"/>
        <v>0</v>
      </c>
      <c r="B931">
        <f t="shared" si="187"/>
        <v>0</v>
      </c>
      <c r="C931">
        <f t="shared" si="188"/>
        <v>0</v>
      </c>
      <c r="D931">
        <f t="shared" si="189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90"/>
        <v>0</v>
      </c>
      <c r="G931">
        <f t="shared" si="191"/>
        <v>0</v>
      </c>
      <c r="H931">
        <f t="shared" si="192"/>
        <v>0</v>
      </c>
      <c r="I931">
        <f t="shared" si="193"/>
        <v>0</v>
      </c>
      <c r="J931">
        <f t="shared" si="194"/>
        <v>0</v>
      </c>
      <c r="K931" s="4" t="e">
        <f t="shared" si="184"/>
        <v>#N/A</v>
      </c>
      <c r="L931" t="e">
        <f t="shared" si="185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6"/>
        <v>0</v>
      </c>
      <c r="B932">
        <f t="shared" si="187"/>
        <v>0</v>
      </c>
      <c r="C932">
        <f t="shared" si="188"/>
        <v>0</v>
      </c>
      <c r="D932">
        <f t="shared" si="189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90"/>
        <v>0</v>
      </c>
      <c r="G932">
        <f t="shared" si="191"/>
        <v>0</v>
      </c>
      <c r="H932">
        <f t="shared" si="192"/>
        <v>0</v>
      </c>
      <c r="I932">
        <f t="shared" si="193"/>
        <v>0</v>
      </c>
      <c r="J932">
        <f t="shared" si="194"/>
        <v>0</v>
      </c>
      <c r="K932" s="4" t="e">
        <f t="shared" si="184"/>
        <v>#N/A</v>
      </c>
      <c r="L932" t="e">
        <f t="shared" si="185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6"/>
        <v>0</v>
      </c>
      <c r="B933">
        <f t="shared" si="187"/>
        <v>0</v>
      </c>
      <c r="C933">
        <f t="shared" si="188"/>
        <v>0</v>
      </c>
      <c r="D933">
        <f t="shared" si="189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90"/>
        <v>0</v>
      </c>
      <c r="G933">
        <f t="shared" si="191"/>
        <v>0</v>
      </c>
      <c r="H933">
        <f t="shared" si="192"/>
        <v>0</v>
      </c>
      <c r="I933">
        <f t="shared" si="193"/>
        <v>0</v>
      </c>
      <c r="J933">
        <f t="shared" si="194"/>
        <v>0</v>
      </c>
      <c r="K933" s="4" t="e">
        <f t="shared" si="184"/>
        <v>#N/A</v>
      </c>
      <c r="L933" t="e">
        <f t="shared" si="185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6"/>
        <v>0</v>
      </c>
      <c r="B934">
        <f t="shared" si="187"/>
        <v>0</v>
      </c>
      <c r="C934">
        <f t="shared" si="188"/>
        <v>0</v>
      </c>
      <c r="D934">
        <f t="shared" si="189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90"/>
        <v>0</v>
      </c>
      <c r="G934">
        <f t="shared" si="191"/>
        <v>0</v>
      </c>
      <c r="H934">
        <f t="shared" si="192"/>
        <v>0</v>
      </c>
      <c r="I934">
        <f t="shared" si="193"/>
        <v>0</v>
      </c>
      <c r="J934">
        <f t="shared" si="194"/>
        <v>0</v>
      </c>
      <c r="K934" s="4" t="e">
        <f t="shared" si="184"/>
        <v>#N/A</v>
      </c>
      <c r="L934" t="e">
        <f t="shared" si="185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6"/>
        <v>0</v>
      </c>
      <c r="B935">
        <f t="shared" si="187"/>
        <v>0</v>
      </c>
      <c r="C935">
        <f t="shared" si="188"/>
        <v>0</v>
      </c>
      <c r="D935">
        <f t="shared" si="189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90"/>
        <v>0</v>
      </c>
      <c r="G935">
        <f t="shared" si="191"/>
        <v>0</v>
      </c>
      <c r="H935">
        <f t="shared" si="192"/>
        <v>0</v>
      </c>
      <c r="I935">
        <f t="shared" si="193"/>
        <v>0</v>
      </c>
      <c r="J935">
        <f t="shared" si="194"/>
        <v>0</v>
      </c>
      <c r="K935" s="4" t="e">
        <f t="shared" si="184"/>
        <v>#N/A</v>
      </c>
      <c r="L935" t="e">
        <f t="shared" si="185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6"/>
        <v>0</v>
      </c>
      <c r="B936">
        <f t="shared" si="187"/>
        <v>0</v>
      </c>
      <c r="C936">
        <f t="shared" si="188"/>
        <v>0</v>
      </c>
      <c r="D936">
        <f t="shared" si="189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90"/>
        <v>0</v>
      </c>
      <c r="G936">
        <f t="shared" si="191"/>
        <v>0</v>
      </c>
      <c r="H936">
        <f t="shared" si="192"/>
        <v>0</v>
      </c>
      <c r="I936">
        <f t="shared" si="193"/>
        <v>0</v>
      </c>
      <c r="J936">
        <f t="shared" si="194"/>
        <v>0</v>
      </c>
      <c r="K936" s="4" t="e">
        <f t="shared" si="184"/>
        <v>#N/A</v>
      </c>
      <c r="L936" t="e">
        <f t="shared" si="185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6"/>
        <v>0</v>
      </c>
      <c r="B937">
        <f t="shared" si="187"/>
        <v>0</v>
      </c>
      <c r="C937">
        <f t="shared" si="188"/>
        <v>0</v>
      </c>
      <c r="D937">
        <f t="shared" si="189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90"/>
        <v>0</v>
      </c>
      <c r="G937">
        <f t="shared" si="191"/>
        <v>0</v>
      </c>
      <c r="H937">
        <f t="shared" si="192"/>
        <v>0</v>
      </c>
      <c r="I937">
        <f t="shared" si="193"/>
        <v>0</v>
      </c>
      <c r="J937">
        <f t="shared" si="194"/>
        <v>0</v>
      </c>
      <c r="K937" s="4" t="e">
        <f t="shared" si="184"/>
        <v>#N/A</v>
      </c>
      <c r="L937" t="e">
        <f t="shared" si="185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6"/>
        <v>0</v>
      </c>
      <c r="B938">
        <f t="shared" si="187"/>
        <v>0</v>
      </c>
      <c r="C938">
        <f t="shared" si="188"/>
        <v>0</v>
      </c>
      <c r="D938">
        <f t="shared" si="189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90"/>
        <v>0</v>
      </c>
      <c r="G938">
        <f t="shared" si="191"/>
        <v>0</v>
      </c>
      <c r="H938">
        <f t="shared" si="192"/>
        <v>0</v>
      </c>
      <c r="I938">
        <f t="shared" si="193"/>
        <v>0</v>
      </c>
      <c r="J938">
        <f t="shared" si="194"/>
        <v>0</v>
      </c>
      <c r="K938" s="4" t="e">
        <f t="shared" si="184"/>
        <v>#N/A</v>
      </c>
      <c r="L938" t="e">
        <f t="shared" si="185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6"/>
        <v>0</v>
      </c>
      <c r="B939">
        <f t="shared" si="187"/>
        <v>0</v>
      </c>
      <c r="C939">
        <f t="shared" si="188"/>
        <v>0</v>
      </c>
      <c r="D939">
        <f t="shared" si="189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90"/>
        <v>0</v>
      </c>
      <c r="G939">
        <f t="shared" si="191"/>
        <v>0</v>
      </c>
      <c r="H939">
        <f t="shared" si="192"/>
        <v>0</v>
      </c>
      <c r="I939">
        <f t="shared" si="193"/>
        <v>0</v>
      </c>
      <c r="J939">
        <f t="shared" si="194"/>
        <v>0</v>
      </c>
      <c r="K939" s="4" t="e">
        <f t="shared" si="184"/>
        <v>#N/A</v>
      </c>
      <c r="L939" t="e">
        <f t="shared" si="185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6"/>
        <v>0</v>
      </c>
      <c r="B940">
        <f t="shared" si="187"/>
        <v>0</v>
      </c>
      <c r="C940">
        <f t="shared" si="188"/>
        <v>0</v>
      </c>
      <c r="D940">
        <f t="shared" si="189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90"/>
        <v>0</v>
      </c>
      <c r="G940">
        <f t="shared" si="191"/>
        <v>0</v>
      </c>
      <c r="H940">
        <f t="shared" si="192"/>
        <v>0</v>
      </c>
      <c r="I940">
        <f t="shared" si="193"/>
        <v>0</v>
      </c>
      <c r="J940">
        <f t="shared" si="194"/>
        <v>0</v>
      </c>
      <c r="K940" s="4" t="e">
        <f t="shared" ref="K940:K1003" si="197">IF(LEFT(B940,3)="DBM",0,VLOOKUP(E940,tabela,2,FALSE))</f>
        <v>#N/A</v>
      </c>
      <c r="L940" t="e">
        <f t="shared" ref="L940:L1003" si="198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6"/>
        <v>0</v>
      </c>
      <c r="B941">
        <f t="shared" si="187"/>
        <v>0</v>
      </c>
      <c r="C941">
        <f t="shared" si="188"/>
        <v>0</v>
      </c>
      <c r="D941">
        <f t="shared" si="189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90"/>
        <v>0</v>
      </c>
      <c r="G941">
        <f t="shared" si="191"/>
        <v>0</v>
      </c>
      <c r="H941">
        <f t="shared" si="192"/>
        <v>0</v>
      </c>
      <c r="I941">
        <f t="shared" si="193"/>
        <v>0</v>
      </c>
      <c r="J941">
        <f t="shared" si="194"/>
        <v>0</v>
      </c>
      <c r="K941" s="4" t="e">
        <f t="shared" si="197"/>
        <v>#N/A</v>
      </c>
      <c r="L941" t="e">
        <f t="shared" si="198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6"/>
        <v>0</v>
      </c>
      <c r="B942">
        <f t="shared" si="187"/>
        <v>0</v>
      </c>
      <c r="C942">
        <f t="shared" si="188"/>
        <v>0</v>
      </c>
      <c r="D942">
        <f t="shared" si="189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90"/>
        <v>0</v>
      </c>
      <c r="G942">
        <f t="shared" si="191"/>
        <v>0</v>
      </c>
      <c r="H942">
        <f t="shared" si="192"/>
        <v>0</v>
      </c>
      <c r="I942">
        <f t="shared" si="193"/>
        <v>0</v>
      </c>
      <c r="J942">
        <f t="shared" si="194"/>
        <v>0</v>
      </c>
      <c r="K942" s="4" t="e">
        <f t="shared" si="197"/>
        <v>#N/A</v>
      </c>
      <c r="L942" t="e">
        <f t="shared" si="198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6"/>
        <v>0</v>
      </c>
      <c r="B943">
        <f t="shared" si="187"/>
        <v>0</v>
      </c>
      <c r="C943">
        <f t="shared" si="188"/>
        <v>0</v>
      </c>
      <c r="D943">
        <f t="shared" si="189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90"/>
        <v>0</v>
      </c>
      <c r="G943">
        <f t="shared" si="191"/>
        <v>0</v>
      </c>
      <c r="H943">
        <f t="shared" si="192"/>
        <v>0</v>
      </c>
      <c r="I943">
        <f t="shared" si="193"/>
        <v>0</v>
      </c>
      <c r="J943">
        <f t="shared" si="194"/>
        <v>0</v>
      </c>
      <c r="K943" s="4" t="e">
        <f t="shared" si="197"/>
        <v>#N/A</v>
      </c>
      <c r="L943" t="e">
        <f t="shared" si="198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6"/>
        <v>0</v>
      </c>
      <c r="B944">
        <f t="shared" si="187"/>
        <v>0</v>
      </c>
      <c r="C944">
        <f t="shared" si="188"/>
        <v>0</v>
      </c>
      <c r="D944">
        <f t="shared" si="189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90"/>
        <v>0</v>
      </c>
      <c r="G944">
        <f t="shared" si="191"/>
        <v>0</v>
      </c>
      <c r="H944">
        <f t="shared" si="192"/>
        <v>0</v>
      </c>
      <c r="I944">
        <f t="shared" si="193"/>
        <v>0</v>
      </c>
      <c r="J944">
        <f t="shared" si="194"/>
        <v>0</v>
      </c>
      <c r="K944" s="4" t="e">
        <f t="shared" si="197"/>
        <v>#N/A</v>
      </c>
      <c r="L944" t="e">
        <f t="shared" si="198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6"/>
        <v>0</v>
      </c>
      <c r="B945">
        <f t="shared" si="187"/>
        <v>0</v>
      </c>
      <c r="C945">
        <f t="shared" si="188"/>
        <v>0</v>
      </c>
      <c r="D945">
        <f t="shared" si="189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90"/>
        <v>0</v>
      </c>
      <c r="G945">
        <f t="shared" si="191"/>
        <v>0</v>
      </c>
      <c r="H945">
        <f t="shared" si="192"/>
        <v>0</v>
      </c>
      <c r="I945">
        <f t="shared" si="193"/>
        <v>0</v>
      </c>
      <c r="J945">
        <f t="shared" si="194"/>
        <v>0</v>
      </c>
      <c r="K945" s="4" t="e">
        <f t="shared" si="197"/>
        <v>#N/A</v>
      </c>
      <c r="L945" t="e">
        <f t="shared" si="198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6"/>
        <v>0</v>
      </c>
      <c r="B946">
        <f t="shared" si="187"/>
        <v>0</v>
      </c>
      <c r="C946">
        <f t="shared" si="188"/>
        <v>0</v>
      </c>
      <c r="D946">
        <f t="shared" si="189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90"/>
        <v>0</v>
      </c>
      <c r="G946">
        <f t="shared" si="191"/>
        <v>0</v>
      </c>
      <c r="H946">
        <f t="shared" si="192"/>
        <v>0</v>
      </c>
      <c r="I946">
        <f t="shared" si="193"/>
        <v>0</v>
      </c>
      <c r="J946">
        <f t="shared" si="194"/>
        <v>0</v>
      </c>
      <c r="K946" s="4" t="e">
        <f t="shared" si="197"/>
        <v>#N/A</v>
      </c>
      <c r="L946" t="e">
        <f t="shared" si="198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6"/>
        <v>0</v>
      </c>
      <c r="B947">
        <f t="shared" si="187"/>
        <v>0</v>
      </c>
      <c r="C947">
        <f t="shared" si="188"/>
        <v>0</v>
      </c>
      <c r="D947">
        <f t="shared" si="189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90"/>
        <v>0</v>
      </c>
      <c r="G947">
        <f t="shared" si="191"/>
        <v>0</v>
      </c>
      <c r="H947">
        <f t="shared" si="192"/>
        <v>0</v>
      </c>
      <c r="I947">
        <f t="shared" si="193"/>
        <v>0</v>
      </c>
      <c r="J947">
        <f t="shared" si="194"/>
        <v>0</v>
      </c>
      <c r="K947" s="4" t="e">
        <f t="shared" si="197"/>
        <v>#N/A</v>
      </c>
      <c r="L947" t="e">
        <f t="shared" si="198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6"/>
        <v>0</v>
      </c>
      <c r="B948">
        <f t="shared" si="187"/>
        <v>0</v>
      </c>
      <c r="C948">
        <f t="shared" si="188"/>
        <v>0</v>
      </c>
      <c r="D948">
        <f t="shared" si="189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90"/>
        <v>0</v>
      </c>
      <c r="G948">
        <f t="shared" si="191"/>
        <v>0</v>
      </c>
      <c r="H948">
        <f t="shared" si="192"/>
        <v>0</v>
      </c>
      <c r="I948">
        <f t="shared" si="193"/>
        <v>0</v>
      </c>
      <c r="J948">
        <f t="shared" si="194"/>
        <v>0</v>
      </c>
      <c r="K948" s="4" t="e">
        <f t="shared" si="197"/>
        <v>#N/A</v>
      </c>
      <c r="L948" t="e">
        <f t="shared" si="198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6"/>
        <v>0</v>
      </c>
      <c r="B949">
        <f t="shared" si="187"/>
        <v>0</v>
      </c>
      <c r="C949">
        <f t="shared" si="188"/>
        <v>0</v>
      </c>
      <c r="D949">
        <f t="shared" si="189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90"/>
        <v>0</v>
      </c>
      <c r="G949">
        <f t="shared" si="191"/>
        <v>0</v>
      </c>
      <c r="H949">
        <f t="shared" si="192"/>
        <v>0</v>
      </c>
      <c r="I949">
        <f t="shared" si="193"/>
        <v>0</v>
      </c>
      <c r="J949">
        <f t="shared" si="194"/>
        <v>0</v>
      </c>
      <c r="K949" s="4" t="e">
        <f t="shared" si="197"/>
        <v>#N/A</v>
      </c>
      <c r="L949" t="e">
        <f t="shared" si="198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6"/>
        <v>0</v>
      </c>
      <c r="B950">
        <f t="shared" si="187"/>
        <v>0</v>
      </c>
      <c r="C950">
        <f t="shared" si="188"/>
        <v>0</v>
      </c>
      <c r="D950">
        <f t="shared" si="189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90"/>
        <v>0</v>
      </c>
      <c r="G950">
        <f t="shared" si="191"/>
        <v>0</v>
      </c>
      <c r="H950">
        <f t="shared" si="192"/>
        <v>0</v>
      </c>
      <c r="I950">
        <f t="shared" si="193"/>
        <v>0</v>
      </c>
      <c r="J950">
        <f t="shared" si="194"/>
        <v>0</v>
      </c>
      <c r="K950" s="4" t="e">
        <f t="shared" si="197"/>
        <v>#N/A</v>
      </c>
      <c r="L950" t="e">
        <f t="shared" si="198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6"/>
        <v>0</v>
      </c>
      <c r="B951">
        <f t="shared" si="187"/>
        <v>0</v>
      </c>
      <c r="C951">
        <f t="shared" si="188"/>
        <v>0</v>
      </c>
      <c r="D951">
        <f t="shared" si="189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90"/>
        <v>0</v>
      </c>
      <c r="G951">
        <f t="shared" si="191"/>
        <v>0</v>
      </c>
      <c r="H951">
        <f t="shared" si="192"/>
        <v>0</v>
      </c>
      <c r="I951">
        <f t="shared" si="193"/>
        <v>0</v>
      </c>
      <c r="J951">
        <f t="shared" si="194"/>
        <v>0</v>
      </c>
      <c r="K951" s="4" t="e">
        <f t="shared" si="197"/>
        <v>#N/A</v>
      </c>
      <c r="L951" t="e">
        <f t="shared" si="198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6"/>
        <v>0</v>
      </c>
      <c r="B952">
        <f t="shared" si="187"/>
        <v>0</v>
      </c>
      <c r="C952">
        <f t="shared" si="188"/>
        <v>0</v>
      </c>
      <c r="D952">
        <f t="shared" si="189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90"/>
        <v>0</v>
      </c>
      <c r="G952">
        <f t="shared" si="191"/>
        <v>0</v>
      </c>
      <c r="H952">
        <f t="shared" si="192"/>
        <v>0</v>
      </c>
      <c r="I952">
        <f t="shared" si="193"/>
        <v>0</v>
      </c>
      <c r="J952">
        <f t="shared" si="194"/>
        <v>0</v>
      </c>
      <c r="K952" s="4" t="e">
        <f t="shared" si="197"/>
        <v>#N/A</v>
      </c>
      <c r="L952" t="e">
        <f t="shared" si="198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6"/>
        <v>0</v>
      </c>
      <c r="B953">
        <f t="shared" si="187"/>
        <v>0</v>
      </c>
      <c r="C953">
        <f t="shared" si="188"/>
        <v>0</v>
      </c>
      <c r="D953">
        <f t="shared" si="189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90"/>
        <v>0</v>
      </c>
      <c r="G953">
        <f t="shared" si="191"/>
        <v>0</v>
      </c>
      <c r="H953">
        <f t="shared" si="192"/>
        <v>0</v>
      </c>
      <c r="I953">
        <f t="shared" si="193"/>
        <v>0</v>
      </c>
      <c r="J953">
        <f t="shared" si="194"/>
        <v>0</v>
      </c>
      <c r="K953" s="4" t="e">
        <f t="shared" si="197"/>
        <v>#N/A</v>
      </c>
      <c r="L953" t="e">
        <f t="shared" si="198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6"/>
        <v>0</v>
      </c>
      <c r="B954">
        <f t="shared" si="187"/>
        <v>0</v>
      </c>
      <c r="C954">
        <f t="shared" si="188"/>
        <v>0</v>
      </c>
      <c r="D954">
        <f t="shared" si="189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90"/>
        <v>0</v>
      </c>
      <c r="G954">
        <f t="shared" si="191"/>
        <v>0</v>
      </c>
      <c r="H954">
        <f t="shared" si="192"/>
        <v>0</v>
      </c>
      <c r="I954">
        <f t="shared" si="193"/>
        <v>0</v>
      </c>
      <c r="J954">
        <f t="shared" si="194"/>
        <v>0</v>
      </c>
      <c r="K954" s="4" t="e">
        <f t="shared" si="197"/>
        <v>#N/A</v>
      </c>
      <c r="L954" t="e">
        <f t="shared" si="198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6"/>
        <v>0</v>
      </c>
      <c r="B955">
        <f t="shared" si="187"/>
        <v>0</v>
      </c>
      <c r="C955">
        <f t="shared" si="188"/>
        <v>0</v>
      </c>
      <c r="D955">
        <f t="shared" si="189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90"/>
        <v>0</v>
      </c>
      <c r="G955">
        <f t="shared" si="191"/>
        <v>0</v>
      </c>
      <c r="H955">
        <f t="shared" si="192"/>
        <v>0</v>
      </c>
      <c r="I955">
        <f t="shared" si="193"/>
        <v>0</v>
      </c>
      <c r="J955">
        <f t="shared" si="194"/>
        <v>0</v>
      </c>
      <c r="K955" s="4" t="e">
        <f t="shared" si="197"/>
        <v>#N/A</v>
      </c>
      <c r="L955" t="e">
        <f t="shared" si="198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6"/>
        <v>0</v>
      </c>
      <c r="B956">
        <f t="shared" si="187"/>
        <v>0</v>
      </c>
      <c r="C956">
        <f t="shared" si="188"/>
        <v>0</v>
      </c>
      <c r="D956">
        <f t="shared" si="189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90"/>
        <v>0</v>
      </c>
      <c r="G956">
        <f t="shared" si="191"/>
        <v>0</v>
      </c>
      <c r="H956">
        <f t="shared" si="192"/>
        <v>0</v>
      </c>
      <c r="I956">
        <f t="shared" si="193"/>
        <v>0</v>
      </c>
      <c r="J956">
        <f t="shared" si="194"/>
        <v>0</v>
      </c>
      <c r="K956" s="4" t="e">
        <f t="shared" si="197"/>
        <v>#N/A</v>
      </c>
      <c r="L956" t="e">
        <f t="shared" si="198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6"/>
        <v>0</v>
      </c>
      <c r="B957">
        <f t="shared" si="187"/>
        <v>0</v>
      </c>
      <c r="C957">
        <f t="shared" si="188"/>
        <v>0</v>
      </c>
      <c r="D957">
        <f t="shared" si="189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90"/>
        <v>0</v>
      </c>
      <c r="G957">
        <f t="shared" si="191"/>
        <v>0</v>
      </c>
      <c r="H957">
        <f t="shared" si="192"/>
        <v>0</v>
      </c>
      <c r="I957">
        <f t="shared" si="193"/>
        <v>0</v>
      </c>
      <c r="J957">
        <f t="shared" si="194"/>
        <v>0</v>
      </c>
      <c r="K957" s="4" t="e">
        <f t="shared" si="197"/>
        <v>#N/A</v>
      </c>
      <c r="L957" t="e">
        <f t="shared" si="198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6"/>
        <v>0</v>
      </c>
      <c r="B958">
        <f t="shared" si="187"/>
        <v>0</v>
      </c>
      <c r="C958">
        <f t="shared" si="188"/>
        <v>0</v>
      </c>
      <c r="D958">
        <f t="shared" si="189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90"/>
        <v>0</v>
      </c>
      <c r="G958">
        <f t="shared" si="191"/>
        <v>0</v>
      </c>
      <c r="H958">
        <f t="shared" si="192"/>
        <v>0</v>
      </c>
      <c r="I958">
        <f t="shared" si="193"/>
        <v>0</v>
      </c>
      <c r="J958">
        <f t="shared" si="194"/>
        <v>0</v>
      </c>
      <c r="K958" s="4" t="e">
        <f t="shared" si="197"/>
        <v>#N/A</v>
      </c>
      <c r="L958" t="e">
        <f t="shared" si="198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6"/>
        <v>0</v>
      </c>
      <c r="B959">
        <f t="shared" si="187"/>
        <v>0</v>
      </c>
      <c r="C959">
        <f t="shared" si="188"/>
        <v>0</v>
      </c>
      <c r="D959">
        <f t="shared" si="189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90"/>
        <v>0</v>
      </c>
      <c r="G959">
        <f t="shared" si="191"/>
        <v>0</v>
      </c>
      <c r="H959">
        <f t="shared" si="192"/>
        <v>0</v>
      </c>
      <c r="I959">
        <f t="shared" si="193"/>
        <v>0</v>
      </c>
      <c r="J959">
        <f t="shared" si="194"/>
        <v>0</v>
      </c>
      <c r="K959" s="4" t="e">
        <f t="shared" si="197"/>
        <v>#N/A</v>
      </c>
      <c r="L959" t="e">
        <f t="shared" si="198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6"/>
        <v>0</v>
      </c>
      <c r="B960">
        <f t="shared" si="187"/>
        <v>0</v>
      </c>
      <c r="C960">
        <f t="shared" si="188"/>
        <v>0</v>
      </c>
      <c r="D960">
        <f t="shared" si="189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90"/>
        <v>0</v>
      </c>
      <c r="G960">
        <f t="shared" si="191"/>
        <v>0</v>
      </c>
      <c r="H960">
        <f t="shared" si="192"/>
        <v>0</v>
      </c>
      <c r="I960">
        <f t="shared" si="193"/>
        <v>0</v>
      </c>
      <c r="J960">
        <f t="shared" si="194"/>
        <v>0</v>
      </c>
      <c r="K960" s="4" t="e">
        <f t="shared" si="197"/>
        <v>#N/A</v>
      </c>
      <c r="L960" t="e">
        <f t="shared" si="198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6"/>
        <v>0</v>
      </c>
      <c r="B961">
        <f t="shared" si="187"/>
        <v>0</v>
      </c>
      <c r="C961">
        <f t="shared" si="188"/>
        <v>0</v>
      </c>
      <c r="D961">
        <f t="shared" si="189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90"/>
        <v>0</v>
      </c>
      <c r="G961">
        <f t="shared" si="191"/>
        <v>0</v>
      </c>
      <c r="H961">
        <f t="shared" si="192"/>
        <v>0</v>
      </c>
      <c r="I961">
        <f t="shared" si="193"/>
        <v>0</v>
      </c>
      <c r="J961">
        <f t="shared" si="194"/>
        <v>0</v>
      </c>
      <c r="K961" s="4" t="e">
        <f t="shared" si="197"/>
        <v>#N/A</v>
      </c>
      <c r="L961" t="e">
        <f t="shared" si="198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9">bd_campaign</f>
        <v>0</v>
      </c>
      <c r="B962">
        <f t="shared" ref="B962:B1025" si="200">bd_site</f>
        <v>0</v>
      </c>
      <c r="C962">
        <f t="shared" ref="C962:C1025" si="201">bd_placement</f>
        <v>0</v>
      </c>
      <c r="D962">
        <f t="shared" ref="D962:D1025" si="202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3">bd_ad</f>
        <v>0</v>
      </c>
      <c r="G962">
        <f t="shared" ref="G962:G1025" si="204">bd_adid</f>
        <v>0</v>
      </c>
      <c r="H962">
        <f t="shared" ref="H962:H1025" si="205">bd_creativetype</f>
        <v>0</v>
      </c>
      <c r="I962">
        <f t="shared" ref="I962:I1025" si="206">bd_impression</f>
        <v>0</v>
      </c>
      <c r="J962">
        <f t="shared" ref="J962:J1025" si="207">bd_clicks</f>
        <v>0</v>
      </c>
      <c r="K962" s="4" t="e">
        <f t="shared" si="197"/>
        <v>#N/A</v>
      </c>
      <c r="L962" t="e">
        <f t="shared" si="198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9"/>
        <v>0</v>
      </c>
      <c r="B963">
        <f t="shared" si="200"/>
        <v>0</v>
      </c>
      <c r="C963">
        <f t="shared" si="201"/>
        <v>0</v>
      </c>
      <c r="D963">
        <f t="shared" si="202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3"/>
        <v>0</v>
      </c>
      <c r="G963">
        <f t="shared" si="204"/>
        <v>0</v>
      </c>
      <c r="H963">
        <f t="shared" si="205"/>
        <v>0</v>
      </c>
      <c r="I963">
        <f t="shared" si="206"/>
        <v>0</v>
      </c>
      <c r="J963">
        <f t="shared" si="207"/>
        <v>0</v>
      </c>
      <c r="K963" s="4" t="e">
        <f t="shared" si="197"/>
        <v>#N/A</v>
      </c>
      <c r="L963" t="e">
        <f t="shared" si="198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9"/>
        <v>0</v>
      </c>
      <c r="B964">
        <f t="shared" si="200"/>
        <v>0</v>
      </c>
      <c r="C964">
        <f t="shared" si="201"/>
        <v>0</v>
      </c>
      <c r="D964">
        <f t="shared" si="202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3"/>
        <v>0</v>
      </c>
      <c r="G964">
        <f t="shared" si="204"/>
        <v>0</v>
      </c>
      <c r="H964">
        <f t="shared" si="205"/>
        <v>0</v>
      </c>
      <c r="I964">
        <f t="shared" si="206"/>
        <v>0</v>
      </c>
      <c r="J964">
        <f t="shared" si="207"/>
        <v>0</v>
      </c>
      <c r="K964" s="4" t="e">
        <f t="shared" si="197"/>
        <v>#N/A</v>
      </c>
      <c r="L964" t="e">
        <f t="shared" si="198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9"/>
        <v>0</v>
      </c>
      <c r="B965">
        <f t="shared" si="200"/>
        <v>0</v>
      </c>
      <c r="C965">
        <f t="shared" si="201"/>
        <v>0</v>
      </c>
      <c r="D965">
        <f t="shared" si="202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3"/>
        <v>0</v>
      </c>
      <c r="G965">
        <f t="shared" si="204"/>
        <v>0</v>
      </c>
      <c r="H965">
        <f t="shared" si="205"/>
        <v>0</v>
      </c>
      <c r="I965">
        <f t="shared" si="206"/>
        <v>0</v>
      </c>
      <c r="J965">
        <f t="shared" si="207"/>
        <v>0</v>
      </c>
      <c r="K965" s="4" t="e">
        <f t="shared" si="197"/>
        <v>#N/A</v>
      </c>
      <c r="L965" t="e">
        <f t="shared" si="198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9"/>
        <v>0</v>
      </c>
      <c r="B966">
        <f t="shared" si="200"/>
        <v>0</v>
      </c>
      <c r="C966">
        <f t="shared" si="201"/>
        <v>0</v>
      </c>
      <c r="D966">
        <f t="shared" si="202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3"/>
        <v>0</v>
      </c>
      <c r="G966">
        <f t="shared" si="204"/>
        <v>0</v>
      </c>
      <c r="H966">
        <f t="shared" si="205"/>
        <v>0</v>
      </c>
      <c r="I966">
        <f t="shared" si="206"/>
        <v>0</v>
      </c>
      <c r="J966">
        <f t="shared" si="207"/>
        <v>0</v>
      </c>
      <c r="K966" s="4" t="e">
        <f t="shared" si="197"/>
        <v>#N/A</v>
      </c>
      <c r="L966" t="e">
        <f t="shared" si="198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9"/>
        <v>0</v>
      </c>
      <c r="B967">
        <f t="shared" si="200"/>
        <v>0</v>
      </c>
      <c r="C967">
        <f t="shared" si="201"/>
        <v>0</v>
      </c>
      <c r="D967">
        <f t="shared" si="202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3"/>
        <v>0</v>
      </c>
      <c r="G967">
        <f t="shared" si="204"/>
        <v>0</v>
      </c>
      <c r="H967">
        <f t="shared" si="205"/>
        <v>0</v>
      </c>
      <c r="I967">
        <f t="shared" si="206"/>
        <v>0</v>
      </c>
      <c r="J967">
        <f t="shared" si="207"/>
        <v>0</v>
      </c>
      <c r="K967" s="4" t="e">
        <f t="shared" si="197"/>
        <v>#N/A</v>
      </c>
      <c r="L967" t="e">
        <f t="shared" si="198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9"/>
        <v>0</v>
      </c>
      <c r="B968">
        <f t="shared" si="200"/>
        <v>0</v>
      </c>
      <c r="C968">
        <f t="shared" si="201"/>
        <v>0</v>
      </c>
      <c r="D968">
        <f t="shared" si="202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3"/>
        <v>0</v>
      </c>
      <c r="G968">
        <f t="shared" si="204"/>
        <v>0</v>
      </c>
      <c r="H968">
        <f t="shared" si="205"/>
        <v>0</v>
      </c>
      <c r="I968">
        <f t="shared" si="206"/>
        <v>0</v>
      </c>
      <c r="J968">
        <f t="shared" si="207"/>
        <v>0</v>
      </c>
      <c r="K968" s="4" t="e">
        <f t="shared" si="197"/>
        <v>#N/A</v>
      </c>
      <c r="L968" t="e">
        <f t="shared" si="198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9"/>
        <v>0</v>
      </c>
      <c r="B969">
        <f t="shared" si="200"/>
        <v>0</v>
      </c>
      <c r="C969">
        <f t="shared" si="201"/>
        <v>0</v>
      </c>
      <c r="D969">
        <f t="shared" si="202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3"/>
        <v>0</v>
      </c>
      <c r="G969">
        <f t="shared" si="204"/>
        <v>0</v>
      </c>
      <c r="H969">
        <f t="shared" si="205"/>
        <v>0</v>
      </c>
      <c r="I969">
        <f t="shared" si="206"/>
        <v>0</v>
      </c>
      <c r="J969">
        <f t="shared" si="207"/>
        <v>0</v>
      </c>
      <c r="K969" s="4" t="e">
        <f t="shared" si="197"/>
        <v>#N/A</v>
      </c>
      <c r="L969" t="e">
        <f t="shared" si="198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9"/>
        <v>0</v>
      </c>
      <c r="B970">
        <f t="shared" si="200"/>
        <v>0</v>
      </c>
      <c r="C970">
        <f t="shared" si="201"/>
        <v>0</v>
      </c>
      <c r="D970">
        <f t="shared" si="202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3"/>
        <v>0</v>
      </c>
      <c r="G970">
        <f t="shared" si="204"/>
        <v>0</v>
      </c>
      <c r="H970">
        <f t="shared" si="205"/>
        <v>0</v>
      </c>
      <c r="I970">
        <f t="shared" si="206"/>
        <v>0</v>
      </c>
      <c r="J970">
        <f t="shared" si="207"/>
        <v>0</v>
      </c>
      <c r="K970" s="4" t="e">
        <f t="shared" si="197"/>
        <v>#N/A</v>
      </c>
      <c r="L970" t="e">
        <f t="shared" si="198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9"/>
        <v>0</v>
      </c>
      <c r="B971">
        <f t="shared" si="200"/>
        <v>0</v>
      </c>
      <c r="C971">
        <f t="shared" si="201"/>
        <v>0</v>
      </c>
      <c r="D971">
        <f t="shared" si="202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3"/>
        <v>0</v>
      </c>
      <c r="G971">
        <f t="shared" si="204"/>
        <v>0</v>
      </c>
      <c r="H971">
        <f t="shared" si="205"/>
        <v>0</v>
      </c>
      <c r="I971">
        <f t="shared" si="206"/>
        <v>0</v>
      </c>
      <c r="J971">
        <f t="shared" si="207"/>
        <v>0</v>
      </c>
      <c r="K971" s="4" t="e">
        <f t="shared" si="197"/>
        <v>#N/A</v>
      </c>
      <c r="L971" t="e">
        <f t="shared" si="198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9"/>
        <v>0</v>
      </c>
      <c r="B972">
        <f t="shared" si="200"/>
        <v>0</v>
      </c>
      <c r="C972">
        <f t="shared" si="201"/>
        <v>0</v>
      </c>
      <c r="D972">
        <f t="shared" si="202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3"/>
        <v>0</v>
      </c>
      <c r="G972">
        <f t="shared" si="204"/>
        <v>0</v>
      </c>
      <c r="H972">
        <f t="shared" si="205"/>
        <v>0</v>
      </c>
      <c r="I972">
        <f t="shared" si="206"/>
        <v>0</v>
      </c>
      <c r="J972">
        <f t="shared" si="207"/>
        <v>0</v>
      </c>
      <c r="K972" s="4" t="e">
        <f t="shared" si="197"/>
        <v>#N/A</v>
      </c>
      <c r="L972" t="e">
        <f t="shared" si="198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9"/>
        <v>0</v>
      </c>
      <c r="B973">
        <f t="shared" si="200"/>
        <v>0</v>
      </c>
      <c r="C973">
        <f t="shared" si="201"/>
        <v>0</v>
      </c>
      <c r="D973">
        <f t="shared" si="202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3"/>
        <v>0</v>
      </c>
      <c r="G973">
        <f t="shared" si="204"/>
        <v>0</v>
      </c>
      <c r="H973">
        <f t="shared" si="205"/>
        <v>0</v>
      </c>
      <c r="I973">
        <f t="shared" si="206"/>
        <v>0</v>
      </c>
      <c r="J973">
        <f t="shared" si="207"/>
        <v>0</v>
      </c>
      <c r="K973" s="4" t="e">
        <f t="shared" si="197"/>
        <v>#N/A</v>
      </c>
      <c r="L973" t="e">
        <f t="shared" si="198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9"/>
        <v>0</v>
      </c>
      <c r="B974">
        <f t="shared" si="200"/>
        <v>0</v>
      </c>
      <c r="C974">
        <f t="shared" si="201"/>
        <v>0</v>
      </c>
      <c r="D974">
        <f t="shared" si="202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3"/>
        <v>0</v>
      </c>
      <c r="G974">
        <f t="shared" si="204"/>
        <v>0</v>
      </c>
      <c r="H974">
        <f t="shared" si="205"/>
        <v>0</v>
      </c>
      <c r="I974">
        <f t="shared" si="206"/>
        <v>0</v>
      </c>
      <c r="J974">
        <f t="shared" si="207"/>
        <v>0</v>
      </c>
      <c r="K974" s="4" t="e">
        <f t="shared" si="197"/>
        <v>#N/A</v>
      </c>
      <c r="L974" t="e">
        <f t="shared" si="198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9"/>
        <v>0</v>
      </c>
      <c r="B975">
        <f t="shared" si="200"/>
        <v>0</v>
      </c>
      <c r="C975">
        <f t="shared" si="201"/>
        <v>0</v>
      </c>
      <c r="D975">
        <f t="shared" si="202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3"/>
        <v>0</v>
      </c>
      <c r="G975">
        <f t="shared" si="204"/>
        <v>0</v>
      </c>
      <c r="H975">
        <f t="shared" si="205"/>
        <v>0</v>
      </c>
      <c r="I975">
        <f t="shared" si="206"/>
        <v>0</v>
      </c>
      <c r="J975">
        <f t="shared" si="207"/>
        <v>0</v>
      </c>
      <c r="K975" s="4" t="e">
        <f t="shared" si="197"/>
        <v>#N/A</v>
      </c>
      <c r="L975" t="e">
        <f t="shared" si="198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9"/>
        <v>0</v>
      </c>
      <c r="B976">
        <f t="shared" si="200"/>
        <v>0</v>
      </c>
      <c r="C976">
        <f t="shared" si="201"/>
        <v>0</v>
      </c>
      <c r="D976">
        <f t="shared" si="202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3"/>
        <v>0</v>
      </c>
      <c r="G976">
        <f t="shared" si="204"/>
        <v>0</v>
      </c>
      <c r="H976">
        <f t="shared" si="205"/>
        <v>0</v>
      </c>
      <c r="I976">
        <f t="shared" si="206"/>
        <v>0</v>
      </c>
      <c r="J976">
        <f t="shared" si="207"/>
        <v>0</v>
      </c>
      <c r="K976" s="4" t="e">
        <f t="shared" si="197"/>
        <v>#N/A</v>
      </c>
      <c r="L976" t="e">
        <f t="shared" si="198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9"/>
        <v>0</v>
      </c>
      <c r="B977">
        <f t="shared" si="200"/>
        <v>0</v>
      </c>
      <c r="C977">
        <f t="shared" si="201"/>
        <v>0</v>
      </c>
      <c r="D977">
        <f t="shared" si="202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3"/>
        <v>0</v>
      </c>
      <c r="G977">
        <f t="shared" si="204"/>
        <v>0</v>
      </c>
      <c r="H977">
        <f t="shared" si="205"/>
        <v>0</v>
      </c>
      <c r="I977">
        <f t="shared" si="206"/>
        <v>0</v>
      </c>
      <c r="J977">
        <f t="shared" si="207"/>
        <v>0</v>
      </c>
      <c r="K977" s="4" t="e">
        <f t="shared" si="197"/>
        <v>#N/A</v>
      </c>
      <c r="L977" t="e">
        <f t="shared" si="198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9"/>
        <v>0</v>
      </c>
      <c r="B978">
        <f t="shared" si="200"/>
        <v>0</v>
      </c>
      <c r="C978">
        <f t="shared" si="201"/>
        <v>0</v>
      </c>
      <c r="D978">
        <f t="shared" si="202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3"/>
        <v>0</v>
      </c>
      <c r="G978">
        <f t="shared" si="204"/>
        <v>0</v>
      </c>
      <c r="H978">
        <f t="shared" si="205"/>
        <v>0</v>
      </c>
      <c r="I978">
        <f t="shared" si="206"/>
        <v>0</v>
      </c>
      <c r="J978">
        <f t="shared" si="207"/>
        <v>0</v>
      </c>
      <c r="K978" s="4" t="e">
        <f t="shared" si="197"/>
        <v>#N/A</v>
      </c>
      <c r="L978" t="e">
        <f t="shared" si="198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9"/>
        <v>0</v>
      </c>
      <c r="B979">
        <f t="shared" si="200"/>
        <v>0</v>
      </c>
      <c r="C979">
        <f t="shared" si="201"/>
        <v>0</v>
      </c>
      <c r="D979">
        <f t="shared" si="202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3"/>
        <v>0</v>
      </c>
      <c r="G979">
        <f t="shared" si="204"/>
        <v>0</v>
      </c>
      <c r="H979">
        <f t="shared" si="205"/>
        <v>0</v>
      </c>
      <c r="I979">
        <f t="shared" si="206"/>
        <v>0</v>
      </c>
      <c r="J979">
        <f t="shared" si="207"/>
        <v>0</v>
      </c>
      <c r="K979" s="4" t="e">
        <f t="shared" si="197"/>
        <v>#N/A</v>
      </c>
      <c r="L979" t="e">
        <f t="shared" si="198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9"/>
        <v>0</v>
      </c>
      <c r="B980">
        <f t="shared" si="200"/>
        <v>0</v>
      </c>
      <c r="C980">
        <f t="shared" si="201"/>
        <v>0</v>
      </c>
      <c r="D980">
        <f t="shared" si="202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3"/>
        <v>0</v>
      </c>
      <c r="G980">
        <f t="shared" si="204"/>
        <v>0</v>
      </c>
      <c r="H980">
        <f t="shared" si="205"/>
        <v>0</v>
      </c>
      <c r="I980">
        <f t="shared" si="206"/>
        <v>0</v>
      </c>
      <c r="J980">
        <f t="shared" si="207"/>
        <v>0</v>
      </c>
      <c r="K980" s="4" t="e">
        <f t="shared" si="197"/>
        <v>#N/A</v>
      </c>
      <c r="L980" t="e">
        <f t="shared" si="198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9"/>
        <v>0</v>
      </c>
      <c r="B981">
        <f t="shared" si="200"/>
        <v>0</v>
      </c>
      <c r="C981">
        <f t="shared" si="201"/>
        <v>0</v>
      </c>
      <c r="D981">
        <f t="shared" si="202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3"/>
        <v>0</v>
      </c>
      <c r="G981">
        <f t="shared" si="204"/>
        <v>0</v>
      </c>
      <c r="H981">
        <f t="shared" si="205"/>
        <v>0</v>
      </c>
      <c r="I981">
        <f t="shared" si="206"/>
        <v>0</v>
      </c>
      <c r="J981">
        <f t="shared" si="207"/>
        <v>0</v>
      </c>
      <c r="K981" s="4" t="e">
        <f t="shared" si="197"/>
        <v>#N/A</v>
      </c>
      <c r="L981" t="e">
        <f t="shared" si="198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9"/>
        <v>0</v>
      </c>
      <c r="B982">
        <f t="shared" si="200"/>
        <v>0</v>
      </c>
      <c r="C982">
        <f t="shared" si="201"/>
        <v>0</v>
      </c>
      <c r="D982">
        <f t="shared" si="202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3"/>
        <v>0</v>
      </c>
      <c r="G982">
        <f t="shared" si="204"/>
        <v>0</v>
      </c>
      <c r="H982">
        <f t="shared" si="205"/>
        <v>0</v>
      </c>
      <c r="I982">
        <f t="shared" si="206"/>
        <v>0</v>
      </c>
      <c r="J982">
        <f t="shared" si="207"/>
        <v>0</v>
      </c>
      <c r="K982" s="4" t="e">
        <f t="shared" si="197"/>
        <v>#N/A</v>
      </c>
      <c r="L982" t="e">
        <f t="shared" si="198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9"/>
        <v>0</v>
      </c>
      <c r="B983">
        <f t="shared" si="200"/>
        <v>0</v>
      </c>
      <c r="C983">
        <f t="shared" si="201"/>
        <v>0</v>
      </c>
      <c r="D983">
        <f t="shared" si="202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3"/>
        <v>0</v>
      </c>
      <c r="G983">
        <f t="shared" si="204"/>
        <v>0</v>
      </c>
      <c r="H983">
        <f t="shared" si="205"/>
        <v>0</v>
      </c>
      <c r="I983">
        <f t="shared" si="206"/>
        <v>0</v>
      </c>
      <c r="J983">
        <f t="shared" si="207"/>
        <v>0</v>
      </c>
      <c r="K983" s="4" t="e">
        <f t="shared" si="197"/>
        <v>#N/A</v>
      </c>
      <c r="L983" t="e">
        <f t="shared" si="198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9"/>
        <v>0</v>
      </c>
      <c r="B984">
        <f t="shared" si="200"/>
        <v>0</v>
      </c>
      <c r="C984">
        <f t="shared" si="201"/>
        <v>0</v>
      </c>
      <c r="D984">
        <f t="shared" si="202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3"/>
        <v>0</v>
      </c>
      <c r="G984">
        <f t="shared" si="204"/>
        <v>0</v>
      </c>
      <c r="H984">
        <f t="shared" si="205"/>
        <v>0</v>
      </c>
      <c r="I984">
        <f t="shared" si="206"/>
        <v>0</v>
      </c>
      <c r="J984">
        <f t="shared" si="207"/>
        <v>0</v>
      </c>
      <c r="K984" s="4" t="e">
        <f t="shared" si="197"/>
        <v>#N/A</v>
      </c>
      <c r="L984" t="e">
        <f t="shared" si="198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9"/>
        <v>0</v>
      </c>
      <c r="B985">
        <f t="shared" si="200"/>
        <v>0</v>
      </c>
      <c r="C985">
        <f t="shared" si="201"/>
        <v>0</v>
      </c>
      <c r="D985">
        <f t="shared" si="202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3"/>
        <v>0</v>
      </c>
      <c r="G985">
        <f t="shared" si="204"/>
        <v>0</v>
      </c>
      <c r="H985">
        <f t="shared" si="205"/>
        <v>0</v>
      </c>
      <c r="I985">
        <f t="shared" si="206"/>
        <v>0</v>
      </c>
      <c r="J985">
        <f t="shared" si="207"/>
        <v>0</v>
      </c>
      <c r="K985" s="4" t="e">
        <f t="shared" si="197"/>
        <v>#N/A</v>
      </c>
      <c r="L985" t="e">
        <f t="shared" si="198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9"/>
        <v>0</v>
      </c>
      <c r="B986">
        <f t="shared" si="200"/>
        <v>0</v>
      </c>
      <c r="C986">
        <f t="shared" si="201"/>
        <v>0</v>
      </c>
      <c r="D986">
        <f t="shared" si="202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3"/>
        <v>0</v>
      </c>
      <c r="G986">
        <f t="shared" si="204"/>
        <v>0</v>
      </c>
      <c r="H986">
        <f t="shared" si="205"/>
        <v>0</v>
      </c>
      <c r="I986">
        <f t="shared" si="206"/>
        <v>0</v>
      </c>
      <c r="J986">
        <f t="shared" si="207"/>
        <v>0</v>
      </c>
      <c r="K986" s="4" t="e">
        <f t="shared" si="197"/>
        <v>#N/A</v>
      </c>
      <c r="L986" t="e">
        <f t="shared" si="198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9"/>
        <v>0</v>
      </c>
      <c r="B987">
        <f t="shared" si="200"/>
        <v>0</v>
      </c>
      <c r="C987">
        <f t="shared" si="201"/>
        <v>0</v>
      </c>
      <c r="D987">
        <f t="shared" si="202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3"/>
        <v>0</v>
      </c>
      <c r="G987">
        <f t="shared" si="204"/>
        <v>0</v>
      </c>
      <c r="H987">
        <f t="shared" si="205"/>
        <v>0</v>
      </c>
      <c r="I987">
        <f t="shared" si="206"/>
        <v>0</v>
      </c>
      <c r="J987">
        <f t="shared" si="207"/>
        <v>0</v>
      </c>
      <c r="K987" s="4" t="e">
        <f t="shared" si="197"/>
        <v>#N/A</v>
      </c>
      <c r="L987" t="e">
        <f t="shared" si="198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9"/>
        <v>0</v>
      </c>
      <c r="B988">
        <f t="shared" si="200"/>
        <v>0</v>
      </c>
      <c r="C988">
        <f t="shared" si="201"/>
        <v>0</v>
      </c>
      <c r="D988">
        <f t="shared" si="202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3"/>
        <v>0</v>
      </c>
      <c r="G988">
        <f t="shared" si="204"/>
        <v>0</v>
      </c>
      <c r="H988">
        <f t="shared" si="205"/>
        <v>0</v>
      </c>
      <c r="I988">
        <f t="shared" si="206"/>
        <v>0</v>
      </c>
      <c r="J988">
        <f t="shared" si="207"/>
        <v>0</v>
      </c>
      <c r="K988" s="4" t="e">
        <f t="shared" si="197"/>
        <v>#N/A</v>
      </c>
      <c r="L988" t="e">
        <f t="shared" si="198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9"/>
        <v>0</v>
      </c>
      <c r="B989">
        <f t="shared" si="200"/>
        <v>0</v>
      </c>
      <c r="C989">
        <f t="shared" si="201"/>
        <v>0</v>
      </c>
      <c r="D989">
        <f t="shared" si="202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3"/>
        <v>0</v>
      </c>
      <c r="G989">
        <f t="shared" si="204"/>
        <v>0</v>
      </c>
      <c r="H989">
        <f t="shared" si="205"/>
        <v>0</v>
      </c>
      <c r="I989">
        <f t="shared" si="206"/>
        <v>0</v>
      </c>
      <c r="J989">
        <f t="shared" si="207"/>
        <v>0</v>
      </c>
      <c r="K989" s="4" t="e">
        <f t="shared" si="197"/>
        <v>#N/A</v>
      </c>
      <c r="L989" t="e">
        <f t="shared" si="198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9"/>
        <v>0</v>
      </c>
      <c r="B990">
        <f t="shared" si="200"/>
        <v>0</v>
      </c>
      <c r="C990">
        <f t="shared" si="201"/>
        <v>0</v>
      </c>
      <c r="D990">
        <f t="shared" si="202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3"/>
        <v>0</v>
      </c>
      <c r="G990">
        <f t="shared" si="204"/>
        <v>0</v>
      </c>
      <c r="H990">
        <f t="shared" si="205"/>
        <v>0</v>
      </c>
      <c r="I990">
        <f t="shared" si="206"/>
        <v>0</v>
      </c>
      <c r="J990">
        <f t="shared" si="207"/>
        <v>0</v>
      </c>
      <c r="K990" s="4" t="e">
        <f t="shared" si="197"/>
        <v>#N/A</v>
      </c>
      <c r="L990" t="e">
        <f t="shared" si="198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9"/>
        <v>0</v>
      </c>
      <c r="B991">
        <f t="shared" si="200"/>
        <v>0</v>
      </c>
      <c r="C991">
        <f t="shared" si="201"/>
        <v>0</v>
      </c>
      <c r="D991">
        <f t="shared" si="202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3"/>
        <v>0</v>
      </c>
      <c r="G991">
        <f t="shared" si="204"/>
        <v>0</v>
      </c>
      <c r="H991">
        <f t="shared" si="205"/>
        <v>0</v>
      </c>
      <c r="I991">
        <f t="shared" si="206"/>
        <v>0</v>
      </c>
      <c r="J991">
        <f t="shared" si="207"/>
        <v>0</v>
      </c>
      <c r="K991" s="4" t="e">
        <f t="shared" si="197"/>
        <v>#N/A</v>
      </c>
      <c r="L991" t="e">
        <f t="shared" si="198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9"/>
        <v>0</v>
      </c>
      <c r="B992">
        <f t="shared" si="200"/>
        <v>0</v>
      </c>
      <c r="C992">
        <f t="shared" si="201"/>
        <v>0</v>
      </c>
      <c r="D992">
        <f t="shared" si="202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3"/>
        <v>0</v>
      </c>
      <c r="G992">
        <f t="shared" si="204"/>
        <v>0</v>
      </c>
      <c r="H992">
        <f t="shared" si="205"/>
        <v>0</v>
      </c>
      <c r="I992">
        <f t="shared" si="206"/>
        <v>0</v>
      </c>
      <c r="J992">
        <f t="shared" si="207"/>
        <v>0</v>
      </c>
      <c r="K992" s="4" t="e">
        <f t="shared" si="197"/>
        <v>#N/A</v>
      </c>
      <c r="L992" t="e">
        <f t="shared" si="198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9"/>
        <v>0</v>
      </c>
      <c r="B993">
        <f t="shared" si="200"/>
        <v>0</v>
      </c>
      <c r="C993">
        <f t="shared" si="201"/>
        <v>0</v>
      </c>
      <c r="D993">
        <f t="shared" si="202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3"/>
        <v>0</v>
      </c>
      <c r="G993">
        <f t="shared" si="204"/>
        <v>0</v>
      </c>
      <c r="H993">
        <f t="shared" si="205"/>
        <v>0</v>
      </c>
      <c r="I993">
        <f t="shared" si="206"/>
        <v>0</v>
      </c>
      <c r="J993">
        <f t="shared" si="207"/>
        <v>0</v>
      </c>
      <c r="K993" s="4" t="e">
        <f t="shared" si="197"/>
        <v>#N/A</v>
      </c>
      <c r="L993" t="e">
        <f t="shared" si="198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9"/>
        <v>0</v>
      </c>
      <c r="B994">
        <f t="shared" si="200"/>
        <v>0</v>
      </c>
      <c r="C994">
        <f t="shared" si="201"/>
        <v>0</v>
      </c>
      <c r="D994">
        <f t="shared" si="202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3"/>
        <v>0</v>
      </c>
      <c r="G994">
        <f t="shared" si="204"/>
        <v>0</v>
      </c>
      <c r="H994">
        <f t="shared" si="205"/>
        <v>0</v>
      </c>
      <c r="I994">
        <f t="shared" si="206"/>
        <v>0</v>
      </c>
      <c r="J994">
        <f t="shared" si="207"/>
        <v>0</v>
      </c>
      <c r="K994" s="4" t="e">
        <f t="shared" si="197"/>
        <v>#N/A</v>
      </c>
      <c r="L994" t="e">
        <f t="shared" si="198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9"/>
        <v>0</v>
      </c>
      <c r="B995">
        <f t="shared" si="200"/>
        <v>0</v>
      </c>
      <c r="C995">
        <f t="shared" si="201"/>
        <v>0</v>
      </c>
      <c r="D995">
        <f t="shared" si="202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3"/>
        <v>0</v>
      </c>
      <c r="G995">
        <f t="shared" si="204"/>
        <v>0</v>
      </c>
      <c r="H995">
        <f t="shared" si="205"/>
        <v>0</v>
      </c>
      <c r="I995">
        <f t="shared" si="206"/>
        <v>0</v>
      </c>
      <c r="J995">
        <f t="shared" si="207"/>
        <v>0</v>
      </c>
      <c r="K995" s="4" t="e">
        <f t="shared" si="197"/>
        <v>#N/A</v>
      </c>
      <c r="L995" t="e">
        <f t="shared" si="198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9"/>
        <v>0</v>
      </c>
      <c r="B996">
        <f t="shared" si="200"/>
        <v>0</v>
      </c>
      <c r="C996">
        <f t="shared" si="201"/>
        <v>0</v>
      </c>
      <c r="D996">
        <f t="shared" si="202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3"/>
        <v>0</v>
      </c>
      <c r="G996">
        <f t="shared" si="204"/>
        <v>0</v>
      </c>
      <c r="H996">
        <f t="shared" si="205"/>
        <v>0</v>
      </c>
      <c r="I996">
        <f t="shared" si="206"/>
        <v>0</v>
      </c>
      <c r="J996">
        <f t="shared" si="207"/>
        <v>0</v>
      </c>
      <c r="K996" s="4" t="e">
        <f t="shared" si="197"/>
        <v>#N/A</v>
      </c>
      <c r="L996" t="e">
        <f t="shared" si="198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9"/>
        <v>0</v>
      </c>
      <c r="B997">
        <f t="shared" si="200"/>
        <v>0</v>
      </c>
      <c r="C997">
        <f t="shared" si="201"/>
        <v>0</v>
      </c>
      <c r="D997">
        <f t="shared" si="202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3"/>
        <v>0</v>
      </c>
      <c r="G997">
        <f t="shared" si="204"/>
        <v>0</v>
      </c>
      <c r="H997">
        <f t="shared" si="205"/>
        <v>0</v>
      </c>
      <c r="I997">
        <f t="shared" si="206"/>
        <v>0</v>
      </c>
      <c r="J997">
        <f t="shared" si="207"/>
        <v>0</v>
      </c>
      <c r="K997" s="4" t="e">
        <f t="shared" si="197"/>
        <v>#N/A</v>
      </c>
      <c r="L997" t="e">
        <f t="shared" si="198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9"/>
        <v>0</v>
      </c>
      <c r="B998">
        <f t="shared" si="200"/>
        <v>0</v>
      </c>
      <c r="C998">
        <f t="shared" si="201"/>
        <v>0</v>
      </c>
      <c r="D998">
        <f t="shared" si="202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3"/>
        <v>0</v>
      </c>
      <c r="G998">
        <f t="shared" si="204"/>
        <v>0</v>
      </c>
      <c r="H998">
        <f t="shared" si="205"/>
        <v>0</v>
      </c>
      <c r="I998">
        <f t="shared" si="206"/>
        <v>0</v>
      </c>
      <c r="J998">
        <f t="shared" si="207"/>
        <v>0</v>
      </c>
      <c r="K998" s="4" t="e">
        <f t="shared" si="197"/>
        <v>#N/A</v>
      </c>
      <c r="L998" t="e">
        <f t="shared" si="198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9"/>
        <v>0</v>
      </c>
      <c r="B999">
        <f t="shared" si="200"/>
        <v>0</v>
      </c>
      <c r="C999">
        <f t="shared" si="201"/>
        <v>0</v>
      </c>
      <c r="D999">
        <f t="shared" si="202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3"/>
        <v>0</v>
      </c>
      <c r="G999">
        <f t="shared" si="204"/>
        <v>0</v>
      </c>
      <c r="H999">
        <f t="shared" si="205"/>
        <v>0</v>
      </c>
      <c r="I999">
        <f t="shared" si="206"/>
        <v>0</v>
      </c>
      <c r="J999">
        <f t="shared" si="207"/>
        <v>0</v>
      </c>
      <c r="K999" s="4" t="e">
        <f t="shared" si="197"/>
        <v>#N/A</v>
      </c>
      <c r="L999" t="e">
        <f t="shared" si="198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9"/>
        <v>0</v>
      </c>
      <c r="B1000">
        <f t="shared" si="200"/>
        <v>0</v>
      </c>
      <c r="C1000">
        <f t="shared" si="201"/>
        <v>0</v>
      </c>
      <c r="D1000">
        <f t="shared" si="202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3"/>
        <v>0</v>
      </c>
      <c r="G1000">
        <f t="shared" si="204"/>
        <v>0</v>
      </c>
      <c r="H1000">
        <f t="shared" si="205"/>
        <v>0</v>
      </c>
      <c r="I1000">
        <f t="shared" si="206"/>
        <v>0</v>
      </c>
      <c r="J1000">
        <f t="shared" si="207"/>
        <v>0</v>
      </c>
      <c r="K1000" s="4" t="e">
        <f t="shared" si="197"/>
        <v>#N/A</v>
      </c>
      <c r="L1000" t="e">
        <f t="shared" si="198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9"/>
        <v>0</v>
      </c>
      <c r="B1001">
        <f t="shared" si="200"/>
        <v>0</v>
      </c>
      <c r="C1001">
        <f t="shared" si="201"/>
        <v>0</v>
      </c>
      <c r="D1001">
        <f t="shared" si="202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3"/>
        <v>0</v>
      </c>
      <c r="G1001">
        <f t="shared" si="204"/>
        <v>0</v>
      </c>
      <c r="H1001">
        <f t="shared" si="205"/>
        <v>0</v>
      </c>
      <c r="I1001">
        <f t="shared" si="206"/>
        <v>0</v>
      </c>
      <c r="J1001">
        <f t="shared" si="207"/>
        <v>0</v>
      </c>
      <c r="K1001" s="4" t="e">
        <f t="shared" si="197"/>
        <v>#N/A</v>
      </c>
      <c r="L1001" t="e">
        <f t="shared" si="198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9"/>
        <v>0</v>
      </c>
      <c r="B1002">
        <f t="shared" si="200"/>
        <v>0</v>
      </c>
      <c r="C1002">
        <f t="shared" si="201"/>
        <v>0</v>
      </c>
      <c r="D1002">
        <f t="shared" si="202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3"/>
        <v>0</v>
      </c>
      <c r="G1002">
        <f t="shared" si="204"/>
        <v>0</v>
      </c>
      <c r="H1002">
        <f t="shared" si="205"/>
        <v>0</v>
      </c>
      <c r="I1002">
        <f t="shared" si="206"/>
        <v>0</v>
      </c>
      <c r="J1002">
        <f t="shared" si="207"/>
        <v>0</v>
      </c>
      <c r="K1002" s="4" t="e">
        <f t="shared" si="197"/>
        <v>#N/A</v>
      </c>
      <c r="L1002" t="e">
        <f t="shared" si="198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9"/>
        <v>0</v>
      </c>
      <c r="B1003">
        <f t="shared" si="200"/>
        <v>0</v>
      </c>
      <c r="C1003">
        <f t="shared" si="201"/>
        <v>0</v>
      </c>
      <c r="D1003">
        <f t="shared" si="202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3"/>
        <v>0</v>
      </c>
      <c r="G1003">
        <f t="shared" si="204"/>
        <v>0</v>
      </c>
      <c r="H1003">
        <f t="shared" si="205"/>
        <v>0</v>
      </c>
      <c r="I1003">
        <f t="shared" si="206"/>
        <v>0</v>
      </c>
      <c r="J1003">
        <f t="shared" si="207"/>
        <v>0</v>
      </c>
      <c r="K1003" s="4" t="e">
        <f t="shared" si="197"/>
        <v>#N/A</v>
      </c>
      <c r="L1003" t="e">
        <f t="shared" si="198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9"/>
        <v>0</v>
      </c>
      <c r="B1004">
        <f t="shared" si="200"/>
        <v>0</v>
      </c>
      <c r="C1004">
        <f t="shared" si="201"/>
        <v>0</v>
      </c>
      <c r="D1004">
        <f t="shared" si="202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3"/>
        <v>0</v>
      </c>
      <c r="G1004">
        <f t="shared" si="204"/>
        <v>0</v>
      </c>
      <c r="H1004">
        <f t="shared" si="205"/>
        <v>0</v>
      </c>
      <c r="I1004">
        <f t="shared" si="206"/>
        <v>0</v>
      </c>
      <c r="J1004">
        <f t="shared" si="207"/>
        <v>0</v>
      </c>
      <c r="K1004" s="4" t="e">
        <f t="shared" ref="K1004:K1067" si="210">IF(LEFT(B1004,3)="DBM",0,VLOOKUP(E1004,tabela,2,FALSE))</f>
        <v>#N/A</v>
      </c>
      <c r="L1004" t="e">
        <f t="shared" ref="L1004:L1067" si="211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9"/>
        <v>0</v>
      </c>
      <c r="B1005">
        <f t="shared" si="200"/>
        <v>0</v>
      </c>
      <c r="C1005">
        <f t="shared" si="201"/>
        <v>0</v>
      </c>
      <c r="D1005">
        <f t="shared" si="202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3"/>
        <v>0</v>
      </c>
      <c r="G1005">
        <f t="shared" si="204"/>
        <v>0</v>
      </c>
      <c r="H1005">
        <f t="shared" si="205"/>
        <v>0</v>
      </c>
      <c r="I1005">
        <f t="shared" si="206"/>
        <v>0</v>
      </c>
      <c r="J1005">
        <f t="shared" si="207"/>
        <v>0</v>
      </c>
      <c r="K1005" s="4" t="e">
        <f t="shared" si="210"/>
        <v>#N/A</v>
      </c>
      <c r="L1005" t="e">
        <f t="shared" si="211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9"/>
        <v>0</v>
      </c>
      <c r="B1006">
        <f t="shared" si="200"/>
        <v>0</v>
      </c>
      <c r="C1006">
        <f t="shared" si="201"/>
        <v>0</v>
      </c>
      <c r="D1006">
        <f t="shared" si="202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3"/>
        <v>0</v>
      </c>
      <c r="G1006">
        <f t="shared" si="204"/>
        <v>0</v>
      </c>
      <c r="H1006">
        <f t="shared" si="205"/>
        <v>0</v>
      </c>
      <c r="I1006">
        <f t="shared" si="206"/>
        <v>0</v>
      </c>
      <c r="J1006">
        <f t="shared" si="207"/>
        <v>0</v>
      </c>
      <c r="K1006" s="4" t="e">
        <f t="shared" si="210"/>
        <v>#N/A</v>
      </c>
      <c r="L1006" t="e">
        <f t="shared" si="211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9"/>
        <v>0</v>
      </c>
      <c r="B1007">
        <f t="shared" si="200"/>
        <v>0</v>
      </c>
      <c r="C1007">
        <f t="shared" si="201"/>
        <v>0</v>
      </c>
      <c r="D1007">
        <f t="shared" si="202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3"/>
        <v>0</v>
      </c>
      <c r="G1007">
        <f t="shared" si="204"/>
        <v>0</v>
      </c>
      <c r="H1007">
        <f t="shared" si="205"/>
        <v>0</v>
      </c>
      <c r="I1007">
        <f t="shared" si="206"/>
        <v>0</v>
      </c>
      <c r="J1007">
        <f t="shared" si="207"/>
        <v>0</v>
      </c>
      <c r="K1007" s="4" t="e">
        <f t="shared" si="210"/>
        <v>#N/A</v>
      </c>
      <c r="L1007" t="e">
        <f t="shared" si="211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9"/>
        <v>0</v>
      </c>
      <c r="B1008">
        <f t="shared" si="200"/>
        <v>0</v>
      </c>
      <c r="C1008">
        <f t="shared" si="201"/>
        <v>0</v>
      </c>
      <c r="D1008">
        <f t="shared" si="202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3"/>
        <v>0</v>
      </c>
      <c r="G1008">
        <f t="shared" si="204"/>
        <v>0</v>
      </c>
      <c r="H1008">
        <f t="shared" si="205"/>
        <v>0</v>
      </c>
      <c r="I1008">
        <f t="shared" si="206"/>
        <v>0</v>
      </c>
      <c r="J1008">
        <f t="shared" si="207"/>
        <v>0</v>
      </c>
      <c r="K1008" s="4" t="e">
        <f t="shared" si="210"/>
        <v>#N/A</v>
      </c>
      <c r="L1008" t="e">
        <f t="shared" si="211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9"/>
        <v>0</v>
      </c>
      <c r="B1009">
        <f t="shared" si="200"/>
        <v>0</v>
      </c>
      <c r="C1009">
        <f t="shared" si="201"/>
        <v>0</v>
      </c>
      <c r="D1009">
        <f t="shared" si="202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3"/>
        <v>0</v>
      </c>
      <c r="G1009">
        <f t="shared" si="204"/>
        <v>0</v>
      </c>
      <c r="H1009">
        <f t="shared" si="205"/>
        <v>0</v>
      </c>
      <c r="I1009">
        <f t="shared" si="206"/>
        <v>0</v>
      </c>
      <c r="J1009">
        <f t="shared" si="207"/>
        <v>0</v>
      </c>
      <c r="K1009" s="4" t="e">
        <f t="shared" si="210"/>
        <v>#N/A</v>
      </c>
      <c r="L1009" t="e">
        <f t="shared" si="211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9"/>
        <v>0</v>
      </c>
      <c r="B1010">
        <f t="shared" si="200"/>
        <v>0</v>
      </c>
      <c r="C1010">
        <f t="shared" si="201"/>
        <v>0</v>
      </c>
      <c r="D1010">
        <f t="shared" si="202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3"/>
        <v>0</v>
      </c>
      <c r="G1010">
        <f t="shared" si="204"/>
        <v>0</v>
      </c>
      <c r="H1010">
        <f t="shared" si="205"/>
        <v>0</v>
      </c>
      <c r="I1010">
        <f t="shared" si="206"/>
        <v>0</v>
      </c>
      <c r="J1010">
        <f t="shared" si="207"/>
        <v>0</v>
      </c>
      <c r="K1010" s="4" t="e">
        <f t="shared" si="210"/>
        <v>#N/A</v>
      </c>
      <c r="L1010" t="e">
        <f t="shared" si="211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9"/>
        <v>0</v>
      </c>
      <c r="B1011">
        <f t="shared" si="200"/>
        <v>0</v>
      </c>
      <c r="C1011">
        <f t="shared" si="201"/>
        <v>0</v>
      </c>
      <c r="D1011">
        <f t="shared" si="202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3"/>
        <v>0</v>
      </c>
      <c r="G1011">
        <f t="shared" si="204"/>
        <v>0</v>
      </c>
      <c r="H1011">
        <f t="shared" si="205"/>
        <v>0</v>
      </c>
      <c r="I1011">
        <f t="shared" si="206"/>
        <v>0</v>
      </c>
      <c r="J1011">
        <f t="shared" si="207"/>
        <v>0</v>
      </c>
      <c r="K1011" s="4" t="e">
        <f t="shared" si="210"/>
        <v>#N/A</v>
      </c>
      <c r="L1011" t="e">
        <f t="shared" si="211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9"/>
        <v>0</v>
      </c>
      <c r="B1012">
        <f t="shared" si="200"/>
        <v>0</v>
      </c>
      <c r="C1012">
        <f t="shared" si="201"/>
        <v>0</v>
      </c>
      <c r="D1012">
        <f t="shared" si="202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3"/>
        <v>0</v>
      </c>
      <c r="G1012">
        <f t="shared" si="204"/>
        <v>0</v>
      </c>
      <c r="H1012">
        <f t="shared" si="205"/>
        <v>0</v>
      </c>
      <c r="I1012">
        <f t="shared" si="206"/>
        <v>0</v>
      </c>
      <c r="J1012">
        <f t="shared" si="207"/>
        <v>0</v>
      </c>
      <c r="K1012" s="4" t="e">
        <f t="shared" si="210"/>
        <v>#N/A</v>
      </c>
      <c r="L1012" t="e">
        <f t="shared" si="211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9"/>
        <v>0</v>
      </c>
      <c r="B1013">
        <f t="shared" si="200"/>
        <v>0</v>
      </c>
      <c r="C1013">
        <f t="shared" si="201"/>
        <v>0</v>
      </c>
      <c r="D1013">
        <f t="shared" si="202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3"/>
        <v>0</v>
      </c>
      <c r="G1013">
        <f t="shared" si="204"/>
        <v>0</v>
      </c>
      <c r="H1013">
        <f t="shared" si="205"/>
        <v>0</v>
      </c>
      <c r="I1013">
        <f t="shared" si="206"/>
        <v>0</v>
      </c>
      <c r="J1013">
        <f t="shared" si="207"/>
        <v>0</v>
      </c>
      <c r="K1013" s="4" t="e">
        <f t="shared" si="210"/>
        <v>#N/A</v>
      </c>
      <c r="L1013" t="e">
        <f t="shared" si="211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9"/>
        <v>0</v>
      </c>
      <c r="B1014">
        <f t="shared" si="200"/>
        <v>0</v>
      </c>
      <c r="C1014">
        <f t="shared" si="201"/>
        <v>0</v>
      </c>
      <c r="D1014">
        <f t="shared" si="202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3"/>
        <v>0</v>
      </c>
      <c r="G1014">
        <f t="shared" si="204"/>
        <v>0</v>
      </c>
      <c r="H1014">
        <f t="shared" si="205"/>
        <v>0</v>
      </c>
      <c r="I1014">
        <f t="shared" si="206"/>
        <v>0</v>
      </c>
      <c r="J1014">
        <f t="shared" si="207"/>
        <v>0</v>
      </c>
      <c r="K1014" s="4" t="e">
        <f t="shared" si="210"/>
        <v>#N/A</v>
      </c>
      <c r="L1014" t="e">
        <f t="shared" si="211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9"/>
        <v>0</v>
      </c>
      <c r="B1015">
        <f t="shared" si="200"/>
        <v>0</v>
      </c>
      <c r="C1015">
        <f t="shared" si="201"/>
        <v>0</v>
      </c>
      <c r="D1015">
        <f t="shared" si="202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3"/>
        <v>0</v>
      </c>
      <c r="G1015">
        <f t="shared" si="204"/>
        <v>0</v>
      </c>
      <c r="H1015">
        <f t="shared" si="205"/>
        <v>0</v>
      </c>
      <c r="I1015">
        <f t="shared" si="206"/>
        <v>0</v>
      </c>
      <c r="J1015">
        <f t="shared" si="207"/>
        <v>0</v>
      </c>
      <c r="K1015" s="4" t="e">
        <f t="shared" si="210"/>
        <v>#N/A</v>
      </c>
      <c r="L1015" t="e">
        <f t="shared" si="211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9"/>
        <v>0</v>
      </c>
      <c r="B1016">
        <f t="shared" si="200"/>
        <v>0</v>
      </c>
      <c r="C1016">
        <f t="shared" si="201"/>
        <v>0</v>
      </c>
      <c r="D1016">
        <f t="shared" si="202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3"/>
        <v>0</v>
      </c>
      <c r="G1016">
        <f t="shared" si="204"/>
        <v>0</v>
      </c>
      <c r="H1016">
        <f t="shared" si="205"/>
        <v>0</v>
      </c>
      <c r="I1016">
        <f t="shared" si="206"/>
        <v>0</v>
      </c>
      <c r="J1016">
        <f t="shared" si="207"/>
        <v>0</v>
      </c>
      <c r="K1016" s="4" t="e">
        <f t="shared" si="210"/>
        <v>#N/A</v>
      </c>
      <c r="L1016" t="e">
        <f t="shared" si="211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9"/>
        <v>0</v>
      </c>
      <c r="B1017">
        <f t="shared" si="200"/>
        <v>0</v>
      </c>
      <c r="C1017">
        <f t="shared" si="201"/>
        <v>0</v>
      </c>
      <c r="D1017">
        <f t="shared" si="202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3"/>
        <v>0</v>
      </c>
      <c r="G1017">
        <f t="shared" si="204"/>
        <v>0</v>
      </c>
      <c r="H1017">
        <f t="shared" si="205"/>
        <v>0</v>
      </c>
      <c r="I1017">
        <f t="shared" si="206"/>
        <v>0</v>
      </c>
      <c r="J1017">
        <f t="shared" si="207"/>
        <v>0</v>
      </c>
      <c r="K1017" s="4" t="e">
        <f t="shared" si="210"/>
        <v>#N/A</v>
      </c>
      <c r="L1017" t="e">
        <f t="shared" si="211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9"/>
        <v>0</v>
      </c>
      <c r="B1018">
        <f t="shared" si="200"/>
        <v>0</v>
      </c>
      <c r="C1018">
        <f t="shared" si="201"/>
        <v>0</v>
      </c>
      <c r="D1018">
        <f t="shared" si="202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3"/>
        <v>0</v>
      </c>
      <c r="G1018">
        <f t="shared" si="204"/>
        <v>0</v>
      </c>
      <c r="H1018">
        <f t="shared" si="205"/>
        <v>0</v>
      </c>
      <c r="I1018">
        <f t="shared" si="206"/>
        <v>0</v>
      </c>
      <c r="J1018">
        <f t="shared" si="207"/>
        <v>0</v>
      </c>
      <c r="K1018" s="4" t="e">
        <f t="shared" si="210"/>
        <v>#N/A</v>
      </c>
      <c r="L1018" t="e">
        <f t="shared" si="211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9"/>
        <v>0</v>
      </c>
      <c r="B1019">
        <f t="shared" si="200"/>
        <v>0</v>
      </c>
      <c r="C1019">
        <f t="shared" si="201"/>
        <v>0</v>
      </c>
      <c r="D1019">
        <f t="shared" si="202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3"/>
        <v>0</v>
      </c>
      <c r="G1019">
        <f t="shared" si="204"/>
        <v>0</v>
      </c>
      <c r="H1019">
        <f t="shared" si="205"/>
        <v>0</v>
      </c>
      <c r="I1019">
        <f t="shared" si="206"/>
        <v>0</v>
      </c>
      <c r="J1019">
        <f t="shared" si="207"/>
        <v>0</v>
      </c>
      <c r="K1019" s="4" t="e">
        <f t="shared" si="210"/>
        <v>#N/A</v>
      </c>
      <c r="L1019" t="e">
        <f t="shared" si="211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9"/>
        <v>0</v>
      </c>
      <c r="B1020">
        <f t="shared" si="200"/>
        <v>0</v>
      </c>
      <c r="C1020">
        <f t="shared" si="201"/>
        <v>0</v>
      </c>
      <c r="D1020">
        <f t="shared" si="202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3"/>
        <v>0</v>
      </c>
      <c r="G1020">
        <f t="shared" si="204"/>
        <v>0</v>
      </c>
      <c r="H1020">
        <f t="shared" si="205"/>
        <v>0</v>
      </c>
      <c r="I1020">
        <f t="shared" si="206"/>
        <v>0</v>
      </c>
      <c r="J1020">
        <f t="shared" si="207"/>
        <v>0</v>
      </c>
      <c r="K1020" s="4" t="e">
        <f t="shared" si="210"/>
        <v>#N/A</v>
      </c>
      <c r="L1020" t="e">
        <f t="shared" si="211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9"/>
        <v>0</v>
      </c>
      <c r="B1021">
        <f t="shared" si="200"/>
        <v>0</v>
      </c>
      <c r="C1021">
        <f t="shared" si="201"/>
        <v>0</v>
      </c>
      <c r="D1021">
        <f t="shared" si="202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3"/>
        <v>0</v>
      </c>
      <c r="G1021">
        <f t="shared" si="204"/>
        <v>0</v>
      </c>
      <c r="H1021">
        <f t="shared" si="205"/>
        <v>0</v>
      </c>
      <c r="I1021">
        <f t="shared" si="206"/>
        <v>0</v>
      </c>
      <c r="J1021">
        <f t="shared" si="207"/>
        <v>0</v>
      </c>
      <c r="K1021" s="4" t="e">
        <f t="shared" si="210"/>
        <v>#N/A</v>
      </c>
      <c r="L1021" t="e">
        <f t="shared" si="211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9"/>
        <v>0</v>
      </c>
      <c r="B1022">
        <f t="shared" si="200"/>
        <v>0</v>
      </c>
      <c r="C1022">
        <f t="shared" si="201"/>
        <v>0</v>
      </c>
      <c r="D1022">
        <f t="shared" si="202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3"/>
        <v>0</v>
      </c>
      <c r="G1022">
        <f t="shared" si="204"/>
        <v>0</v>
      </c>
      <c r="H1022">
        <f t="shared" si="205"/>
        <v>0</v>
      </c>
      <c r="I1022">
        <f t="shared" si="206"/>
        <v>0</v>
      </c>
      <c r="J1022">
        <f t="shared" si="207"/>
        <v>0</v>
      </c>
      <c r="K1022" s="4" t="e">
        <f t="shared" si="210"/>
        <v>#N/A</v>
      </c>
      <c r="L1022" t="e">
        <f t="shared" si="211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9"/>
        <v>0</v>
      </c>
      <c r="B1023">
        <f t="shared" si="200"/>
        <v>0</v>
      </c>
      <c r="C1023">
        <f t="shared" si="201"/>
        <v>0</v>
      </c>
      <c r="D1023">
        <f t="shared" si="202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3"/>
        <v>0</v>
      </c>
      <c r="G1023">
        <f t="shared" si="204"/>
        <v>0</v>
      </c>
      <c r="H1023">
        <f t="shared" si="205"/>
        <v>0</v>
      </c>
      <c r="I1023">
        <f t="shared" si="206"/>
        <v>0</v>
      </c>
      <c r="J1023">
        <f t="shared" si="207"/>
        <v>0</v>
      </c>
      <c r="K1023" s="4" t="e">
        <f t="shared" si="210"/>
        <v>#N/A</v>
      </c>
      <c r="L1023" t="e">
        <f t="shared" si="211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9"/>
        <v>0</v>
      </c>
      <c r="B1024">
        <f t="shared" si="200"/>
        <v>0</v>
      </c>
      <c r="C1024">
        <f t="shared" si="201"/>
        <v>0</v>
      </c>
      <c r="D1024">
        <f t="shared" si="202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3"/>
        <v>0</v>
      </c>
      <c r="G1024">
        <f t="shared" si="204"/>
        <v>0</v>
      </c>
      <c r="H1024">
        <f t="shared" si="205"/>
        <v>0</v>
      </c>
      <c r="I1024">
        <f t="shared" si="206"/>
        <v>0</v>
      </c>
      <c r="J1024">
        <f t="shared" si="207"/>
        <v>0</v>
      </c>
      <c r="K1024" s="4" t="e">
        <f t="shared" si="210"/>
        <v>#N/A</v>
      </c>
      <c r="L1024" t="e">
        <f t="shared" si="211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9"/>
        <v>0</v>
      </c>
      <c r="B1025">
        <f t="shared" si="200"/>
        <v>0</v>
      </c>
      <c r="C1025">
        <f t="shared" si="201"/>
        <v>0</v>
      </c>
      <c r="D1025">
        <f t="shared" si="202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3"/>
        <v>0</v>
      </c>
      <c r="G1025">
        <f t="shared" si="204"/>
        <v>0</v>
      </c>
      <c r="H1025">
        <f t="shared" si="205"/>
        <v>0</v>
      </c>
      <c r="I1025">
        <f t="shared" si="206"/>
        <v>0</v>
      </c>
      <c r="J1025">
        <f t="shared" si="207"/>
        <v>0</v>
      </c>
      <c r="K1025" s="4" t="e">
        <f t="shared" si="210"/>
        <v>#N/A</v>
      </c>
      <c r="L1025" t="e">
        <f t="shared" si="211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2">bd_campaign</f>
        <v>0</v>
      </c>
      <c r="B1026">
        <f t="shared" ref="B1026:B1089" si="213">bd_site</f>
        <v>0</v>
      </c>
      <c r="C1026">
        <f t="shared" ref="C1026:C1089" si="214">bd_placement</f>
        <v>0</v>
      </c>
      <c r="D1026">
        <f t="shared" ref="D1026:D1089" si="215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6">bd_ad</f>
        <v>0</v>
      </c>
      <c r="G1026">
        <f t="shared" ref="G1026:G1089" si="217">bd_adid</f>
        <v>0</v>
      </c>
      <c r="H1026">
        <f t="shared" ref="H1026:H1089" si="218">bd_creativetype</f>
        <v>0</v>
      </c>
      <c r="I1026">
        <f t="shared" ref="I1026:I1089" si="219">bd_impression</f>
        <v>0</v>
      </c>
      <c r="J1026">
        <f t="shared" ref="J1026:J1089" si="220">bd_clicks</f>
        <v>0</v>
      </c>
      <c r="K1026" s="4" t="e">
        <f t="shared" si="210"/>
        <v>#N/A</v>
      </c>
      <c r="L1026" t="e">
        <f t="shared" si="211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2"/>
        <v>0</v>
      </c>
      <c r="B1027">
        <f t="shared" si="213"/>
        <v>0</v>
      </c>
      <c r="C1027">
        <f t="shared" si="214"/>
        <v>0</v>
      </c>
      <c r="D1027">
        <f t="shared" si="215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6"/>
        <v>0</v>
      </c>
      <c r="G1027">
        <f t="shared" si="217"/>
        <v>0</v>
      </c>
      <c r="H1027">
        <f t="shared" si="218"/>
        <v>0</v>
      </c>
      <c r="I1027">
        <f t="shared" si="219"/>
        <v>0</v>
      </c>
      <c r="J1027">
        <f t="shared" si="220"/>
        <v>0</v>
      </c>
      <c r="K1027" s="4" t="e">
        <f t="shared" si="210"/>
        <v>#N/A</v>
      </c>
      <c r="L1027" t="e">
        <f t="shared" si="211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2"/>
        <v>0</v>
      </c>
      <c r="B1028">
        <f t="shared" si="213"/>
        <v>0</v>
      </c>
      <c r="C1028">
        <f t="shared" si="214"/>
        <v>0</v>
      </c>
      <c r="D1028">
        <f t="shared" si="215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6"/>
        <v>0</v>
      </c>
      <c r="G1028">
        <f t="shared" si="217"/>
        <v>0</v>
      </c>
      <c r="H1028">
        <f t="shared" si="218"/>
        <v>0</v>
      </c>
      <c r="I1028">
        <f t="shared" si="219"/>
        <v>0</v>
      </c>
      <c r="J1028">
        <f t="shared" si="220"/>
        <v>0</v>
      </c>
      <c r="K1028" s="4" t="e">
        <f t="shared" si="210"/>
        <v>#N/A</v>
      </c>
      <c r="L1028" t="e">
        <f t="shared" si="211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2"/>
        <v>0</v>
      </c>
      <c r="B1029">
        <f t="shared" si="213"/>
        <v>0</v>
      </c>
      <c r="C1029">
        <f t="shared" si="214"/>
        <v>0</v>
      </c>
      <c r="D1029">
        <f t="shared" si="215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6"/>
        <v>0</v>
      </c>
      <c r="G1029">
        <f t="shared" si="217"/>
        <v>0</v>
      </c>
      <c r="H1029">
        <f t="shared" si="218"/>
        <v>0</v>
      </c>
      <c r="I1029">
        <f t="shared" si="219"/>
        <v>0</v>
      </c>
      <c r="J1029">
        <f t="shared" si="220"/>
        <v>0</v>
      </c>
      <c r="K1029" s="4" t="e">
        <f t="shared" si="210"/>
        <v>#N/A</v>
      </c>
      <c r="L1029" t="e">
        <f t="shared" si="211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2"/>
        <v>0</v>
      </c>
      <c r="B1030">
        <f t="shared" si="213"/>
        <v>0</v>
      </c>
      <c r="C1030">
        <f t="shared" si="214"/>
        <v>0</v>
      </c>
      <c r="D1030">
        <f t="shared" si="215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6"/>
        <v>0</v>
      </c>
      <c r="G1030">
        <f t="shared" si="217"/>
        <v>0</v>
      </c>
      <c r="H1030">
        <f t="shared" si="218"/>
        <v>0</v>
      </c>
      <c r="I1030">
        <f t="shared" si="219"/>
        <v>0</v>
      </c>
      <c r="J1030">
        <f t="shared" si="220"/>
        <v>0</v>
      </c>
      <c r="K1030" s="4" t="e">
        <f t="shared" si="210"/>
        <v>#N/A</v>
      </c>
      <c r="L1030" t="e">
        <f t="shared" si="211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2"/>
        <v>0</v>
      </c>
      <c r="B1031">
        <f t="shared" si="213"/>
        <v>0</v>
      </c>
      <c r="C1031">
        <f t="shared" si="214"/>
        <v>0</v>
      </c>
      <c r="D1031">
        <f t="shared" si="215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6"/>
        <v>0</v>
      </c>
      <c r="G1031">
        <f t="shared" si="217"/>
        <v>0</v>
      </c>
      <c r="H1031">
        <f t="shared" si="218"/>
        <v>0</v>
      </c>
      <c r="I1031">
        <f t="shared" si="219"/>
        <v>0</v>
      </c>
      <c r="J1031">
        <f t="shared" si="220"/>
        <v>0</v>
      </c>
      <c r="K1031" s="4" t="e">
        <f t="shared" si="210"/>
        <v>#N/A</v>
      </c>
      <c r="L1031" t="e">
        <f t="shared" si="211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2"/>
        <v>0</v>
      </c>
      <c r="B1032">
        <f t="shared" si="213"/>
        <v>0</v>
      </c>
      <c r="C1032">
        <f t="shared" si="214"/>
        <v>0</v>
      </c>
      <c r="D1032">
        <f t="shared" si="215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6"/>
        <v>0</v>
      </c>
      <c r="G1032">
        <f t="shared" si="217"/>
        <v>0</v>
      </c>
      <c r="H1032">
        <f t="shared" si="218"/>
        <v>0</v>
      </c>
      <c r="I1032">
        <f t="shared" si="219"/>
        <v>0</v>
      </c>
      <c r="J1032">
        <f t="shared" si="220"/>
        <v>0</v>
      </c>
      <c r="K1032" s="4" t="e">
        <f t="shared" si="210"/>
        <v>#N/A</v>
      </c>
      <c r="L1032" t="e">
        <f t="shared" si="211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2"/>
        <v>0</v>
      </c>
      <c r="B1033">
        <f t="shared" si="213"/>
        <v>0</v>
      </c>
      <c r="C1033">
        <f t="shared" si="214"/>
        <v>0</v>
      </c>
      <c r="D1033">
        <f t="shared" si="215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6"/>
        <v>0</v>
      </c>
      <c r="G1033">
        <f t="shared" si="217"/>
        <v>0</v>
      </c>
      <c r="H1033">
        <f t="shared" si="218"/>
        <v>0</v>
      </c>
      <c r="I1033">
        <f t="shared" si="219"/>
        <v>0</v>
      </c>
      <c r="J1033">
        <f t="shared" si="220"/>
        <v>0</v>
      </c>
      <c r="K1033" s="4" t="e">
        <f t="shared" si="210"/>
        <v>#N/A</v>
      </c>
      <c r="L1033" t="e">
        <f t="shared" si="211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2"/>
        <v>0</v>
      </c>
      <c r="B1034">
        <f t="shared" si="213"/>
        <v>0</v>
      </c>
      <c r="C1034">
        <f t="shared" si="214"/>
        <v>0</v>
      </c>
      <c r="D1034">
        <f t="shared" si="215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6"/>
        <v>0</v>
      </c>
      <c r="G1034">
        <f t="shared" si="217"/>
        <v>0</v>
      </c>
      <c r="H1034">
        <f t="shared" si="218"/>
        <v>0</v>
      </c>
      <c r="I1034">
        <f t="shared" si="219"/>
        <v>0</v>
      </c>
      <c r="J1034">
        <f t="shared" si="220"/>
        <v>0</v>
      </c>
      <c r="K1034" s="4" t="e">
        <f t="shared" si="210"/>
        <v>#N/A</v>
      </c>
      <c r="L1034" t="e">
        <f t="shared" si="211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2"/>
        <v>0</v>
      </c>
      <c r="B1035">
        <f t="shared" si="213"/>
        <v>0</v>
      </c>
      <c r="C1035">
        <f t="shared" si="214"/>
        <v>0</v>
      </c>
      <c r="D1035">
        <f t="shared" si="215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6"/>
        <v>0</v>
      </c>
      <c r="G1035">
        <f t="shared" si="217"/>
        <v>0</v>
      </c>
      <c r="H1035">
        <f t="shared" si="218"/>
        <v>0</v>
      </c>
      <c r="I1035">
        <f t="shared" si="219"/>
        <v>0</v>
      </c>
      <c r="J1035">
        <f t="shared" si="220"/>
        <v>0</v>
      </c>
      <c r="K1035" s="4" t="e">
        <f t="shared" si="210"/>
        <v>#N/A</v>
      </c>
      <c r="L1035" t="e">
        <f t="shared" si="211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2"/>
        <v>0</v>
      </c>
      <c r="B1036">
        <f t="shared" si="213"/>
        <v>0</v>
      </c>
      <c r="C1036">
        <f t="shared" si="214"/>
        <v>0</v>
      </c>
      <c r="D1036">
        <f t="shared" si="215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6"/>
        <v>0</v>
      </c>
      <c r="G1036">
        <f t="shared" si="217"/>
        <v>0</v>
      </c>
      <c r="H1036">
        <f t="shared" si="218"/>
        <v>0</v>
      </c>
      <c r="I1036">
        <f t="shared" si="219"/>
        <v>0</v>
      </c>
      <c r="J1036">
        <f t="shared" si="220"/>
        <v>0</v>
      </c>
      <c r="K1036" s="4" t="e">
        <f t="shared" si="210"/>
        <v>#N/A</v>
      </c>
      <c r="L1036" t="e">
        <f t="shared" si="211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2"/>
        <v>0</v>
      </c>
      <c r="B1037">
        <f t="shared" si="213"/>
        <v>0</v>
      </c>
      <c r="C1037">
        <f t="shared" si="214"/>
        <v>0</v>
      </c>
      <c r="D1037">
        <f t="shared" si="215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6"/>
        <v>0</v>
      </c>
      <c r="G1037">
        <f t="shared" si="217"/>
        <v>0</v>
      </c>
      <c r="H1037">
        <f t="shared" si="218"/>
        <v>0</v>
      </c>
      <c r="I1037">
        <f t="shared" si="219"/>
        <v>0</v>
      </c>
      <c r="J1037">
        <f t="shared" si="220"/>
        <v>0</v>
      </c>
      <c r="K1037" s="4" t="e">
        <f t="shared" si="210"/>
        <v>#N/A</v>
      </c>
      <c r="L1037" t="e">
        <f t="shared" si="211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2"/>
        <v>0</v>
      </c>
      <c r="B1038">
        <f t="shared" si="213"/>
        <v>0</v>
      </c>
      <c r="C1038">
        <f t="shared" si="214"/>
        <v>0</v>
      </c>
      <c r="D1038">
        <f t="shared" si="215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6"/>
        <v>0</v>
      </c>
      <c r="G1038">
        <f t="shared" si="217"/>
        <v>0</v>
      </c>
      <c r="H1038">
        <f t="shared" si="218"/>
        <v>0</v>
      </c>
      <c r="I1038">
        <f t="shared" si="219"/>
        <v>0</v>
      </c>
      <c r="J1038">
        <f t="shared" si="220"/>
        <v>0</v>
      </c>
      <c r="K1038" s="4" t="e">
        <f t="shared" si="210"/>
        <v>#N/A</v>
      </c>
      <c r="L1038" t="e">
        <f t="shared" si="211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2"/>
        <v>0</v>
      </c>
      <c r="B1039">
        <f t="shared" si="213"/>
        <v>0</v>
      </c>
      <c r="C1039">
        <f t="shared" si="214"/>
        <v>0</v>
      </c>
      <c r="D1039">
        <f t="shared" si="215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6"/>
        <v>0</v>
      </c>
      <c r="G1039">
        <f t="shared" si="217"/>
        <v>0</v>
      </c>
      <c r="H1039">
        <f t="shared" si="218"/>
        <v>0</v>
      </c>
      <c r="I1039">
        <f t="shared" si="219"/>
        <v>0</v>
      </c>
      <c r="J1039">
        <f t="shared" si="220"/>
        <v>0</v>
      </c>
      <c r="K1039" s="4" t="e">
        <f t="shared" si="210"/>
        <v>#N/A</v>
      </c>
      <c r="L1039" t="e">
        <f t="shared" si="211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2"/>
        <v>0</v>
      </c>
      <c r="B1040">
        <f t="shared" si="213"/>
        <v>0</v>
      </c>
      <c r="C1040">
        <f t="shared" si="214"/>
        <v>0</v>
      </c>
      <c r="D1040">
        <f t="shared" si="215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6"/>
        <v>0</v>
      </c>
      <c r="G1040">
        <f t="shared" si="217"/>
        <v>0</v>
      </c>
      <c r="H1040">
        <f t="shared" si="218"/>
        <v>0</v>
      </c>
      <c r="I1040">
        <f t="shared" si="219"/>
        <v>0</v>
      </c>
      <c r="J1040">
        <f t="shared" si="220"/>
        <v>0</v>
      </c>
      <c r="K1040" s="4" t="e">
        <f t="shared" si="210"/>
        <v>#N/A</v>
      </c>
      <c r="L1040" t="e">
        <f t="shared" si="211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2"/>
        <v>0</v>
      </c>
      <c r="B1041">
        <f t="shared" si="213"/>
        <v>0</v>
      </c>
      <c r="C1041">
        <f t="shared" si="214"/>
        <v>0</v>
      </c>
      <c r="D1041">
        <f t="shared" si="215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6"/>
        <v>0</v>
      </c>
      <c r="G1041">
        <f t="shared" si="217"/>
        <v>0</v>
      </c>
      <c r="H1041">
        <f t="shared" si="218"/>
        <v>0</v>
      </c>
      <c r="I1041">
        <f t="shared" si="219"/>
        <v>0</v>
      </c>
      <c r="J1041">
        <f t="shared" si="220"/>
        <v>0</v>
      </c>
      <c r="K1041" s="4" t="e">
        <f t="shared" si="210"/>
        <v>#N/A</v>
      </c>
      <c r="L1041" t="e">
        <f t="shared" si="211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2"/>
        <v>0</v>
      </c>
      <c r="B1042">
        <f t="shared" si="213"/>
        <v>0</v>
      </c>
      <c r="C1042">
        <f t="shared" si="214"/>
        <v>0</v>
      </c>
      <c r="D1042">
        <f t="shared" si="215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6"/>
        <v>0</v>
      </c>
      <c r="G1042">
        <f t="shared" si="217"/>
        <v>0</v>
      </c>
      <c r="H1042">
        <f t="shared" si="218"/>
        <v>0</v>
      </c>
      <c r="I1042">
        <f t="shared" si="219"/>
        <v>0</v>
      </c>
      <c r="J1042">
        <f t="shared" si="220"/>
        <v>0</v>
      </c>
      <c r="K1042" s="4" t="e">
        <f t="shared" si="210"/>
        <v>#N/A</v>
      </c>
      <c r="L1042" t="e">
        <f t="shared" si="211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2"/>
        <v>0</v>
      </c>
      <c r="B1043">
        <f t="shared" si="213"/>
        <v>0</v>
      </c>
      <c r="C1043">
        <f t="shared" si="214"/>
        <v>0</v>
      </c>
      <c r="D1043">
        <f t="shared" si="215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6"/>
        <v>0</v>
      </c>
      <c r="G1043">
        <f t="shared" si="217"/>
        <v>0</v>
      </c>
      <c r="H1043">
        <f t="shared" si="218"/>
        <v>0</v>
      </c>
      <c r="I1043">
        <f t="shared" si="219"/>
        <v>0</v>
      </c>
      <c r="J1043">
        <f t="shared" si="220"/>
        <v>0</v>
      </c>
      <c r="K1043" s="4" t="e">
        <f t="shared" si="210"/>
        <v>#N/A</v>
      </c>
      <c r="L1043" t="e">
        <f t="shared" si="211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2"/>
        <v>0</v>
      </c>
      <c r="B1044">
        <f t="shared" si="213"/>
        <v>0</v>
      </c>
      <c r="C1044">
        <f t="shared" si="214"/>
        <v>0</v>
      </c>
      <c r="D1044">
        <f t="shared" si="215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6"/>
        <v>0</v>
      </c>
      <c r="G1044">
        <f t="shared" si="217"/>
        <v>0</v>
      </c>
      <c r="H1044">
        <f t="shared" si="218"/>
        <v>0</v>
      </c>
      <c r="I1044">
        <f t="shared" si="219"/>
        <v>0</v>
      </c>
      <c r="J1044">
        <f t="shared" si="220"/>
        <v>0</v>
      </c>
      <c r="K1044" s="4" t="e">
        <f t="shared" si="210"/>
        <v>#N/A</v>
      </c>
      <c r="L1044" t="e">
        <f t="shared" si="211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2"/>
        <v>0</v>
      </c>
      <c r="B1045">
        <f t="shared" si="213"/>
        <v>0</v>
      </c>
      <c r="C1045">
        <f t="shared" si="214"/>
        <v>0</v>
      </c>
      <c r="D1045">
        <f t="shared" si="215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6"/>
        <v>0</v>
      </c>
      <c r="G1045">
        <f t="shared" si="217"/>
        <v>0</v>
      </c>
      <c r="H1045">
        <f t="shared" si="218"/>
        <v>0</v>
      </c>
      <c r="I1045">
        <f t="shared" si="219"/>
        <v>0</v>
      </c>
      <c r="J1045">
        <f t="shared" si="220"/>
        <v>0</v>
      </c>
      <c r="K1045" s="4" t="e">
        <f t="shared" si="210"/>
        <v>#N/A</v>
      </c>
      <c r="L1045" t="e">
        <f t="shared" si="211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2"/>
        <v>0</v>
      </c>
      <c r="B1046">
        <f t="shared" si="213"/>
        <v>0</v>
      </c>
      <c r="C1046">
        <f t="shared" si="214"/>
        <v>0</v>
      </c>
      <c r="D1046">
        <f t="shared" si="215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6"/>
        <v>0</v>
      </c>
      <c r="G1046">
        <f t="shared" si="217"/>
        <v>0</v>
      </c>
      <c r="H1046">
        <f t="shared" si="218"/>
        <v>0</v>
      </c>
      <c r="I1046">
        <f t="shared" si="219"/>
        <v>0</v>
      </c>
      <c r="J1046">
        <f t="shared" si="220"/>
        <v>0</v>
      </c>
      <c r="K1046" s="4" t="e">
        <f t="shared" si="210"/>
        <v>#N/A</v>
      </c>
      <c r="L1046" t="e">
        <f t="shared" si="211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2"/>
        <v>0</v>
      </c>
      <c r="B1047">
        <f t="shared" si="213"/>
        <v>0</v>
      </c>
      <c r="C1047">
        <f t="shared" si="214"/>
        <v>0</v>
      </c>
      <c r="D1047">
        <f t="shared" si="215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6"/>
        <v>0</v>
      </c>
      <c r="G1047">
        <f t="shared" si="217"/>
        <v>0</v>
      </c>
      <c r="H1047">
        <f t="shared" si="218"/>
        <v>0</v>
      </c>
      <c r="I1047">
        <f t="shared" si="219"/>
        <v>0</v>
      </c>
      <c r="J1047">
        <f t="shared" si="220"/>
        <v>0</v>
      </c>
      <c r="K1047" s="4" t="e">
        <f t="shared" si="210"/>
        <v>#N/A</v>
      </c>
      <c r="L1047" t="e">
        <f t="shared" si="211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2"/>
        <v>0</v>
      </c>
      <c r="B1048">
        <f t="shared" si="213"/>
        <v>0</v>
      </c>
      <c r="C1048">
        <f t="shared" si="214"/>
        <v>0</v>
      </c>
      <c r="D1048">
        <f t="shared" si="215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6"/>
        <v>0</v>
      </c>
      <c r="G1048">
        <f t="shared" si="217"/>
        <v>0</v>
      </c>
      <c r="H1048">
        <f t="shared" si="218"/>
        <v>0</v>
      </c>
      <c r="I1048">
        <f t="shared" si="219"/>
        <v>0</v>
      </c>
      <c r="J1048">
        <f t="shared" si="220"/>
        <v>0</v>
      </c>
      <c r="K1048" s="4" t="e">
        <f t="shared" si="210"/>
        <v>#N/A</v>
      </c>
      <c r="L1048" t="e">
        <f t="shared" si="211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2"/>
        <v>0</v>
      </c>
      <c r="B1049">
        <f t="shared" si="213"/>
        <v>0</v>
      </c>
      <c r="C1049">
        <f t="shared" si="214"/>
        <v>0</v>
      </c>
      <c r="D1049">
        <f t="shared" si="215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6"/>
        <v>0</v>
      </c>
      <c r="G1049">
        <f t="shared" si="217"/>
        <v>0</v>
      </c>
      <c r="H1049">
        <f t="shared" si="218"/>
        <v>0</v>
      </c>
      <c r="I1049">
        <f t="shared" si="219"/>
        <v>0</v>
      </c>
      <c r="J1049">
        <f t="shared" si="220"/>
        <v>0</v>
      </c>
      <c r="K1049" s="4" t="e">
        <f t="shared" si="210"/>
        <v>#N/A</v>
      </c>
      <c r="L1049" t="e">
        <f t="shared" si="211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2"/>
        <v>0</v>
      </c>
      <c r="B1050">
        <f t="shared" si="213"/>
        <v>0</v>
      </c>
      <c r="C1050">
        <f t="shared" si="214"/>
        <v>0</v>
      </c>
      <c r="D1050">
        <f t="shared" si="215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6"/>
        <v>0</v>
      </c>
      <c r="G1050">
        <f t="shared" si="217"/>
        <v>0</v>
      </c>
      <c r="H1050">
        <f t="shared" si="218"/>
        <v>0</v>
      </c>
      <c r="I1050">
        <f t="shared" si="219"/>
        <v>0</v>
      </c>
      <c r="J1050">
        <f t="shared" si="220"/>
        <v>0</v>
      </c>
      <c r="K1050" s="4" t="e">
        <f t="shared" si="210"/>
        <v>#N/A</v>
      </c>
      <c r="L1050" t="e">
        <f t="shared" si="211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2"/>
        <v>0</v>
      </c>
      <c r="B1051">
        <f t="shared" si="213"/>
        <v>0</v>
      </c>
      <c r="C1051">
        <f t="shared" si="214"/>
        <v>0</v>
      </c>
      <c r="D1051">
        <f t="shared" si="215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6"/>
        <v>0</v>
      </c>
      <c r="G1051">
        <f t="shared" si="217"/>
        <v>0</v>
      </c>
      <c r="H1051">
        <f t="shared" si="218"/>
        <v>0</v>
      </c>
      <c r="I1051">
        <f t="shared" si="219"/>
        <v>0</v>
      </c>
      <c r="J1051">
        <f t="shared" si="220"/>
        <v>0</v>
      </c>
      <c r="K1051" s="4" t="e">
        <f t="shared" si="210"/>
        <v>#N/A</v>
      </c>
      <c r="L1051" t="e">
        <f t="shared" si="211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2"/>
        <v>0</v>
      </c>
      <c r="B1052">
        <f t="shared" si="213"/>
        <v>0</v>
      </c>
      <c r="C1052">
        <f t="shared" si="214"/>
        <v>0</v>
      </c>
      <c r="D1052">
        <f t="shared" si="215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6"/>
        <v>0</v>
      </c>
      <c r="G1052">
        <f t="shared" si="217"/>
        <v>0</v>
      </c>
      <c r="H1052">
        <f t="shared" si="218"/>
        <v>0</v>
      </c>
      <c r="I1052">
        <f t="shared" si="219"/>
        <v>0</v>
      </c>
      <c r="J1052">
        <f t="shared" si="220"/>
        <v>0</v>
      </c>
      <c r="K1052" s="4" t="e">
        <f t="shared" si="210"/>
        <v>#N/A</v>
      </c>
      <c r="L1052" t="e">
        <f t="shared" si="211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2"/>
        <v>0</v>
      </c>
      <c r="B1053">
        <f t="shared" si="213"/>
        <v>0</v>
      </c>
      <c r="C1053">
        <f t="shared" si="214"/>
        <v>0</v>
      </c>
      <c r="D1053">
        <f t="shared" si="215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6"/>
        <v>0</v>
      </c>
      <c r="G1053">
        <f t="shared" si="217"/>
        <v>0</v>
      </c>
      <c r="H1053">
        <f t="shared" si="218"/>
        <v>0</v>
      </c>
      <c r="I1053">
        <f t="shared" si="219"/>
        <v>0</v>
      </c>
      <c r="J1053">
        <f t="shared" si="220"/>
        <v>0</v>
      </c>
      <c r="K1053" s="4" t="e">
        <f t="shared" si="210"/>
        <v>#N/A</v>
      </c>
      <c r="L1053" t="e">
        <f t="shared" si="211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2"/>
        <v>0</v>
      </c>
      <c r="B1054">
        <f t="shared" si="213"/>
        <v>0</v>
      </c>
      <c r="C1054">
        <f t="shared" si="214"/>
        <v>0</v>
      </c>
      <c r="D1054">
        <f t="shared" si="215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6"/>
        <v>0</v>
      </c>
      <c r="G1054">
        <f t="shared" si="217"/>
        <v>0</v>
      </c>
      <c r="H1054">
        <f t="shared" si="218"/>
        <v>0</v>
      </c>
      <c r="I1054">
        <f t="shared" si="219"/>
        <v>0</v>
      </c>
      <c r="J1054">
        <f t="shared" si="220"/>
        <v>0</v>
      </c>
      <c r="K1054" s="4" t="e">
        <f t="shared" si="210"/>
        <v>#N/A</v>
      </c>
      <c r="L1054" t="e">
        <f t="shared" si="211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2"/>
        <v>0</v>
      </c>
      <c r="B1055">
        <f t="shared" si="213"/>
        <v>0</v>
      </c>
      <c r="C1055">
        <f t="shared" si="214"/>
        <v>0</v>
      </c>
      <c r="D1055">
        <f t="shared" si="215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6"/>
        <v>0</v>
      </c>
      <c r="G1055">
        <f t="shared" si="217"/>
        <v>0</v>
      </c>
      <c r="H1055">
        <f t="shared" si="218"/>
        <v>0</v>
      </c>
      <c r="I1055">
        <f t="shared" si="219"/>
        <v>0</v>
      </c>
      <c r="J1055">
        <f t="shared" si="220"/>
        <v>0</v>
      </c>
      <c r="K1055" s="4" t="e">
        <f t="shared" si="210"/>
        <v>#N/A</v>
      </c>
      <c r="L1055" t="e">
        <f t="shared" si="211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2"/>
        <v>0</v>
      </c>
      <c r="B1056">
        <f t="shared" si="213"/>
        <v>0</v>
      </c>
      <c r="C1056">
        <f t="shared" si="214"/>
        <v>0</v>
      </c>
      <c r="D1056">
        <f t="shared" si="215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6"/>
        <v>0</v>
      </c>
      <c r="G1056">
        <f t="shared" si="217"/>
        <v>0</v>
      </c>
      <c r="H1056">
        <f t="shared" si="218"/>
        <v>0</v>
      </c>
      <c r="I1056">
        <f t="shared" si="219"/>
        <v>0</v>
      </c>
      <c r="J1056">
        <f t="shared" si="220"/>
        <v>0</v>
      </c>
      <c r="K1056" s="4" t="e">
        <f t="shared" si="210"/>
        <v>#N/A</v>
      </c>
      <c r="L1056" t="e">
        <f t="shared" si="211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2"/>
        <v>0</v>
      </c>
      <c r="B1057">
        <f t="shared" si="213"/>
        <v>0</v>
      </c>
      <c r="C1057">
        <f t="shared" si="214"/>
        <v>0</v>
      </c>
      <c r="D1057">
        <f t="shared" si="215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6"/>
        <v>0</v>
      </c>
      <c r="G1057">
        <f t="shared" si="217"/>
        <v>0</v>
      </c>
      <c r="H1057">
        <f t="shared" si="218"/>
        <v>0</v>
      </c>
      <c r="I1057">
        <f t="shared" si="219"/>
        <v>0</v>
      </c>
      <c r="J1057">
        <f t="shared" si="220"/>
        <v>0</v>
      </c>
      <c r="K1057" s="4" t="e">
        <f t="shared" si="210"/>
        <v>#N/A</v>
      </c>
      <c r="L1057" t="e">
        <f t="shared" si="211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2"/>
        <v>0</v>
      </c>
      <c r="B1058">
        <f t="shared" si="213"/>
        <v>0</v>
      </c>
      <c r="C1058">
        <f t="shared" si="214"/>
        <v>0</v>
      </c>
      <c r="D1058">
        <f t="shared" si="215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6"/>
        <v>0</v>
      </c>
      <c r="G1058">
        <f t="shared" si="217"/>
        <v>0</v>
      </c>
      <c r="H1058">
        <f t="shared" si="218"/>
        <v>0</v>
      </c>
      <c r="I1058">
        <f t="shared" si="219"/>
        <v>0</v>
      </c>
      <c r="J1058">
        <f t="shared" si="220"/>
        <v>0</v>
      </c>
      <c r="K1058" s="4" t="e">
        <f t="shared" si="210"/>
        <v>#N/A</v>
      </c>
      <c r="L1058" t="e">
        <f t="shared" si="211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2"/>
        <v>0</v>
      </c>
      <c r="B1059">
        <f t="shared" si="213"/>
        <v>0</v>
      </c>
      <c r="C1059">
        <f t="shared" si="214"/>
        <v>0</v>
      </c>
      <c r="D1059">
        <f t="shared" si="215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6"/>
        <v>0</v>
      </c>
      <c r="G1059">
        <f t="shared" si="217"/>
        <v>0</v>
      </c>
      <c r="H1059">
        <f t="shared" si="218"/>
        <v>0</v>
      </c>
      <c r="I1059">
        <f t="shared" si="219"/>
        <v>0</v>
      </c>
      <c r="J1059">
        <f t="shared" si="220"/>
        <v>0</v>
      </c>
      <c r="K1059" s="4" t="e">
        <f t="shared" si="210"/>
        <v>#N/A</v>
      </c>
      <c r="L1059" t="e">
        <f t="shared" si="211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2"/>
        <v>0</v>
      </c>
      <c r="B1060">
        <f t="shared" si="213"/>
        <v>0</v>
      </c>
      <c r="C1060">
        <f t="shared" si="214"/>
        <v>0</v>
      </c>
      <c r="D1060">
        <f t="shared" si="215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6"/>
        <v>0</v>
      </c>
      <c r="G1060">
        <f t="shared" si="217"/>
        <v>0</v>
      </c>
      <c r="H1060">
        <f t="shared" si="218"/>
        <v>0</v>
      </c>
      <c r="I1060">
        <f t="shared" si="219"/>
        <v>0</v>
      </c>
      <c r="J1060">
        <f t="shared" si="220"/>
        <v>0</v>
      </c>
      <c r="K1060" s="4" t="e">
        <f t="shared" si="210"/>
        <v>#N/A</v>
      </c>
      <c r="L1060" t="e">
        <f t="shared" si="211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2"/>
        <v>0</v>
      </c>
      <c r="B1061">
        <f t="shared" si="213"/>
        <v>0</v>
      </c>
      <c r="C1061">
        <f t="shared" si="214"/>
        <v>0</v>
      </c>
      <c r="D1061">
        <f t="shared" si="215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6"/>
        <v>0</v>
      </c>
      <c r="G1061">
        <f t="shared" si="217"/>
        <v>0</v>
      </c>
      <c r="H1061">
        <f t="shared" si="218"/>
        <v>0</v>
      </c>
      <c r="I1061">
        <f t="shared" si="219"/>
        <v>0</v>
      </c>
      <c r="J1061">
        <f t="shared" si="220"/>
        <v>0</v>
      </c>
      <c r="K1061" s="4" t="e">
        <f t="shared" si="210"/>
        <v>#N/A</v>
      </c>
      <c r="L1061" t="e">
        <f t="shared" si="211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2"/>
        <v>0</v>
      </c>
      <c r="B1062">
        <f t="shared" si="213"/>
        <v>0</v>
      </c>
      <c r="C1062">
        <f t="shared" si="214"/>
        <v>0</v>
      </c>
      <c r="D1062">
        <f t="shared" si="215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6"/>
        <v>0</v>
      </c>
      <c r="G1062">
        <f t="shared" si="217"/>
        <v>0</v>
      </c>
      <c r="H1062">
        <f t="shared" si="218"/>
        <v>0</v>
      </c>
      <c r="I1062">
        <f t="shared" si="219"/>
        <v>0</v>
      </c>
      <c r="J1062">
        <f t="shared" si="220"/>
        <v>0</v>
      </c>
      <c r="K1062" s="4" t="e">
        <f t="shared" si="210"/>
        <v>#N/A</v>
      </c>
      <c r="L1062" t="e">
        <f t="shared" si="211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2"/>
        <v>0</v>
      </c>
      <c r="B1063">
        <f t="shared" si="213"/>
        <v>0</v>
      </c>
      <c r="C1063">
        <f t="shared" si="214"/>
        <v>0</v>
      </c>
      <c r="D1063">
        <f t="shared" si="215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6"/>
        <v>0</v>
      </c>
      <c r="G1063">
        <f t="shared" si="217"/>
        <v>0</v>
      </c>
      <c r="H1063">
        <f t="shared" si="218"/>
        <v>0</v>
      </c>
      <c r="I1063">
        <f t="shared" si="219"/>
        <v>0</v>
      </c>
      <c r="J1063">
        <f t="shared" si="220"/>
        <v>0</v>
      </c>
      <c r="K1063" s="4" t="e">
        <f t="shared" si="210"/>
        <v>#N/A</v>
      </c>
      <c r="L1063" t="e">
        <f t="shared" si="211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2"/>
        <v>0</v>
      </c>
      <c r="B1064">
        <f t="shared" si="213"/>
        <v>0</v>
      </c>
      <c r="C1064">
        <f t="shared" si="214"/>
        <v>0</v>
      </c>
      <c r="D1064">
        <f t="shared" si="215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6"/>
        <v>0</v>
      </c>
      <c r="G1064">
        <f t="shared" si="217"/>
        <v>0</v>
      </c>
      <c r="H1064">
        <f t="shared" si="218"/>
        <v>0</v>
      </c>
      <c r="I1064">
        <f t="shared" si="219"/>
        <v>0</v>
      </c>
      <c r="J1064">
        <f t="shared" si="220"/>
        <v>0</v>
      </c>
      <c r="K1064" s="4" t="e">
        <f t="shared" si="210"/>
        <v>#N/A</v>
      </c>
      <c r="L1064" t="e">
        <f t="shared" si="211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2"/>
        <v>0</v>
      </c>
      <c r="B1065">
        <f t="shared" si="213"/>
        <v>0</v>
      </c>
      <c r="C1065">
        <f t="shared" si="214"/>
        <v>0</v>
      </c>
      <c r="D1065">
        <f t="shared" si="215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6"/>
        <v>0</v>
      </c>
      <c r="G1065">
        <f t="shared" si="217"/>
        <v>0</v>
      </c>
      <c r="H1065">
        <f t="shared" si="218"/>
        <v>0</v>
      </c>
      <c r="I1065">
        <f t="shared" si="219"/>
        <v>0</v>
      </c>
      <c r="J1065">
        <f t="shared" si="220"/>
        <v>0</v>
      </c>
      <c r="K1065" s="4" t="e">
        <f t="shared" si="210"/>
        <v>#N/A</v>
      </c>
      <c r="L1065" t="e">
        <f t="shared" si="211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2"/>
        <v>0</v>
      </c>
      <c r="B1066">
        <f t="shared" si="213"/>
        <v>0</v>
      </c>
      <c r="C1066">
        <f t="shared" si="214"/>
        <v>0</v>
      </c>
      <c r="D1066">
        <f t="shared" si="215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6"/>
        <v>0</v>
      </c>
      <c r="G1066">
        <f t="shared" si="217"/>
        <v>0</v>
      </c>
      <c r="H1066">
        <f t="shared" si="218"/>
        <v>0</v>
      </c>
      <c r="I1066">
        <f t="shared" si="219"/>
        <v>0</v>
      </c>
      <c r="J1066">
        <f t="shared" si="220"/>
        <v>0</v>
      </c>
      <c r="K1066" s="4" t="e">
        <f t="shared" si="210"/>
        <v>#N/A</v>
      </c>
      <c r="L1066" t="e">
        <f t="shared" si="211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2"/>
        <v>0</v>
      </c>
      <c r="B1067">
        <f t="shared" si="213"/>
        <v>0</v>
      </c>
      <c r="C1067">
        <f t="shared" si="214"/>
        <v>0</v>
      </c>
      <c r="D1067">
        <f t="shared" si="215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6"/>
        <v>0</v>
      </c>
      <c r="G1067">
        <f t="shared" si="217"/>
        <v>0</v>
      </c>
      <c r="H1067">
        <f t="shared" si="218"/>
        <v>0</v>
      </c>
      <c r="I1067">
        <f t="shared" si="219"/>
        <v>0</v>
      </c>
      <c r="J1067">
        <f t="shared" si="220"/>
        <v>0</v>
      </c>
      <c r="K1067" s="4" t="e">
        <f t="shared" si="210"/>
        <v>#N/A</v>
      </c>
      <c r="L1067" t="e">
        <f t="shared" si="211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2"/>
        <v>0</v>
      </c>
      <c r="B1068">
        <f t="shared" si="213"/>
        <v>0</v>
      </c>
      <c r="C1068">
        <f t="shared" si="214"/>
        <v>0</v>
      </c>
      <c r="D1068">
        <f t="shared" si="215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6"/>
        <v>0</v>
      </c>
      <c r="G1068">
        <f t="shared" si="217"/>
        <v>0</v>
      </c>
      <c r="H1068">
        <f t="shared" si="218"/>
        <v>0</v>
      </c>
      <c r="I1068">
        <f t="shared" si="219"/>
        <v>0</v>
      </c>
      <c r="J1068">
        <f t="shared" si="220"/>
        <v>0</v>
      </c>
      <c r="K1068" s="4" t="e">
        <f t="shared" ref="K1068:K1131" si="223">IF(LEFT(B1068,3)="DBM",0,VLOOKUP(E1068,tabela,2,FALSE))</f>
        <v>#N/A</v>
      </c>
      <c r="L1068" t="e">
        <f t="shared" ref="L1068:L1131" si="224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2"/>
        <v>0</v>
      </c>
      <c r="B1069">
        <f t="shared" si="213"/>
        <v>0</v>
      </c>
      <c r="C1069">
        <f t="shared" si="214"/>
        <v>0</v>
      </c>
      <c r="D1069">
        <f t="shared" si="215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6"/>
        <v>0</v>
      </c>
      <c r="G1069">
        <f t="shared" si="217"/>
        <v>0</v>
      </c>
      <c r="H1069">
        <f t="shared" si="218"/>
        <v>0</v>
      </c>
      <c r="I1069">
        <f t="shared" si="219"/>
        <v>0</v>
      </c>
      <c r="J1069">
        <f t="shared" si="220"/>
        <v>0</v>
      </c>
      <c r="K1069" s="4" t="e">
        <f t="shared" si="223"/>
        <v>#N/A</v>
      </c>
      <c r="L1069" t="e">
        <f t="shared" si="224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2"/>
        <v>0</v>
      </c>
      <c r="B1070">
        <f t="shared" si="213"/>
        <v>0</v>
      </c>
      <c r="C1070">
        <f t="shared" si="214"/>
        <v>0</v>
      </c>
      <c r="D1070">
        <f t="shared" si="215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6"/>
        <v>0</v>
      </c>
      <c r="G1070">
        <f t="shared" si="217"/>
        <v>0</v>
      </c>
      <c r="H1070">
        <f t="shared" si="218"/>
        <v>0</v>
      </c>
      <c r="I1070">
        <f t="shared" si="219"/>
        <v>0</v>
      </c>
      <c r="J1070">
        <f t="shared" si="220"/>
        <v>0</v>
      </c>
      <c r="K1070" s="4" t="e">
        <f t="shared" si="223"/>
        <v>#N/A</v>
      </c>
      <c r="L1070" t="e">
        <f t="shared" si="224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2"/>
        <v>0</v>
      </c>
      <c r="B1071">
        <f t="shared" si="213"/>
        <v>0</v>
      </c>
      <c r="C1071">
        <f t="shared" si="214"/>
        <v>0</v>
      </c>
      <c r="D1071">
        <f t="shared" si="215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6"/>
        <v>0</v>
      </c>
      <c r="G1071">
        <f t="shared" si="217"/>
        <v>0</v>
      </c>
      <c r="H1071">
        <f t="shared" si="218"/>
        <v>0</v>
      </c>
      <c r="I1071">
        <f t="shared" si="219"/>
        <v>0</v>
      </c>
      <c r="J1071">
        <f t="shared" si="220"/>
        <v>0</v>
      </c>
      <c r="K1071" s="4" t="e">
        <f t="shared" si="223"/>
        <v>#N/A</v>
      </c>
      <c r="L1071" t="e">
        <f t="shared" si="224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2"/>
        <v>0</v>
      </c>
      <c r="B1072">
        <f t="shared" si="213"/>
        <v>0</v>
      </c>
      <c r="C1072">
        <f t="shared" si="214"/>
        <v>0</v>
      </c>
      <c r="D1072">
        <f t="shared" si="215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6"/>
        <v>0</v>
      </c>
      <c r="G1072">
        <f t="shared" si="217"/>
        <v>0</v>
      </c>
      <c r="H1072">
        <f t="shared" si="218"/>
        <v>0</v>
      </c>
      <c r="I1072">
        <f t="shared" si="219"/>
        <v>0</v>
      </c>
      <c r="J1072">
        <f t="shared" si="220"/>
        <v>0</v>
      </c>
      <c r="K1072" s="4" t="e">
        <f t="shared" si="223"/>
        <v>#N/A</v>
      </c>
      <c r="L1072" t="e">
        <f t="shared" si="224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2"/>
        <v>0</v>
      </c>
      <c r="B1073">
        <f t="shared" si="213"/>
        <v>0</v>
      </c>
      <c r="C1073">
        <f t="shared" si="214"/>
        <v>0</v>
      </c>
      <c r="D1073">
        <f t="shared" si="215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6"/>
        <v>0</v>
      </c>
      <c r="G1073">
        <f t="shared" si="217"/>
        <v>0</v>
      </c>
      <c r="H1073">
        <f t="shared" si="218"/>
        <v>0</v>
      </c>
      <c r="I1073">
        <f t="shared" si="219"/>
        <v>0</v>
      </c>
      <c r="J1073">
        <f t="shared" si="220"/>
        <v>0</v>
      </c>
      <c r="K1073" s="4" t="e">
        <f t="shared" si="223"/>
        <v>#N/A</v>
      </c>
      <c r="L1073" t="e">
        <f t="shared" si="224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2"/>
        <v>0</v>
      </c>
      <c r="B1074">
        <f t="shared" si="213"/>
        <v>0</v>
      </c>
      <c r="C1074">
        <f t="shared" si="214"/>
        <v>0</v>
      </c>
      <c r="D1074">
        <f t="shared" si="215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6"/>
        <v>0</v>
      </c>
      <c r="G1074">
        <f t="shared" si="217"/>
        <v>0</v>
      </c>
      <c r="H1074">
        <f t="shared" si="218"/>
        <v>0</v>
      </c>
      <c r="I1074">
        <f t="shared" si="219"/>
        <v>0</v>
      </c>
      <c r="J1074">
        <f t="shared" si="220"/>
        <v>0</v>
      </c>
      <c r="K1074" s="4" t="e">
        <f t="shared" si="223"/>
        <v>#N/A</v>
      </c>
      <c r="L1074" t="e">
        <f t="shared" si="224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2"/>
        <v>0</v>
      </c>
      <c r="B1075">
        <f t="shared" si="213"/>
        <v>0</v>
      </c>
      <c r="C1075">
        <f t="shared" si="214"/>
        <v>0</v>
      </c>
      <c r="D1075">
        <f t="shared" si="215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6"/>
        <v>0</v>
      </c>
      <c r="G1075">
        <f t="shared" si="217"/>
        <v>0</v>
      </c>
      <c r="H1075">
        <f t="shared" si="218"/>
        <v>0</v>
      </c>
      <c r="I1075">
        <f t="shared" si="219"/>
        <v>0</v>
      </c>
      <c r="J1075">
        <f t="shared" si="220"/>
        <v>0</v>
      </c>
      <c r="K1075" s="4" t="e">
        <f t="shared" si="223"/>
        <v>#N/A</v>
      </c>
      <c r="L1075" t="e">
        <f t="shared" si="224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2"/>
        <v>0</v>
      </c>
      <c r="B1076">
        <f t="shared" si="213"/>
        <v>0</v>
      </c>
      <c r="C1076">
        <f t="shared" si="214"/>
        <v>0</v>
      </c>
      <c r="D1076">
        <f t="shared" si="215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6"/>
        <v>0</v>
      </c>
      <c r="G1076">
        <f t="shared" si="217"/>
        <v>0</v>
      </c>
      <c r="H1076">
        <f t="shared" si="218"/>
        <v>0</v>
      </c>
      <c r="I1076">
        <f t="shared" si="219"/>
        <v>0</v>
      </c>
      <c r="J1076">
        <f t="shared" si="220"/>
        <v>0</v>
      </c>
      <c r="K1076" s="4" t="e">
        <f t="shared" si="223"/>
        <v>#N/A</v>
      </c>
      <c r="L1076" t="e">
        <f t="shared" si="224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2"/>
        <v>0</v>
      </c>
      <c r="B1077">
        <f t="shared" si="213"/>
        <v>0</v>
      </c>
      <c r="C1077">
        <f t="shared" si="214"/>
        <v>0</v>
      </c>
      <c r="D1077">
        <f t="shared" si="215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6"/>
        <v>0</v>
      </c>
      <c r="G1077">
        <f t="shared" si="217"/>
        <v>0</v>
      </c>
      <c r="H1077">
        <f t="shared" si="218"/>
        <v>0</v>
      </c>
      <c r="I1077">
        <f t="shared" si="219"/>
        <v>0</v>
      </c>
      <c r="J1077">
        <f t="shared" si="220"/>
        <v>0</v>
      </c>
      <c r="K1077" s="4" t="e">
        <f t="shared" si="223"/>
        <v>#N/A</v>
      </c>
      <c r="L1077" t="e">
        <f t="shared" si="224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2"/>
        <v>0</v>
      </c>
      <c r="B1078">
        <f t="shared" si="213"/>
        <v>0</v>
      </c>
      <c r="C1078">
        <f t="shared" si="214"/>
        <v>0</v>
      </c>
      <c r="D1078">
        <f t="shared" si="215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6"/>
        <v>0</v>
      </c>
      <c r="G1078">
        <f t="shared" si="217"/>
        <v>0</v>
      </c>
      <c r="H1078">
        <f t="shared" si="218"/>
        <v>0</v>
      </c>
      <c r="I1078">
        <f t="shared" si="219"/>
        <v>0</v>
      </c>
      <c r="J1078">
        <f t="shared" si="220"/>
        <v>0</v>
      </c>
      <c r="K1078" s="4" t="e">
        <f t="shared" si="223"/>
        <v>#N/A</v>
      </c>
      <c r="L1078" t="e">
        <f t="shared" si="224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2"/>
        <v>0</v>
      </c>
      <c r="B1079">
        <f t="shared" si="213"/>
        <v>0</v>
      </c>
      <c r="C1079">
        <f t="shared" si="214"/>
        <v>0</v>
      </c>
      <c r="D1079">
        <f t="shared" si="215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6"/>
        <v>0</v>
      </c>
      <c r="G1079">
        <f t="shared" si="217"/>
        <v>0</v>
      </c>
      <c r="H1079">
        <f t="shared" si="218"/>
        <v>0</v>
      </c>
      <c r="I1079">
        <f t="shared" si="219"/>
        <v>0</v>
      </c>
      <c r="J1079">
        <f t="shared" si="220"/>
        <v>0</v>
      </c>
      <c r="K1079" s="4" t="e">
        <f t="shared" si="223"/>
        <v>#N/A</v>
      </c>
      <c r="L1079" t="e">
        <f t="shared" si="224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2"/>
        <v>0</v>
      </c>
      <c r="B1080">
        <f t="shared" si="213"/>
        <v>0</v>
      </c>
      <c r="C1080">
        <f t="shared" si="214"/>
        <v>0</v>
      </c>
      <c r="D1080">
        <f t="shared" si="215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6"/>
        <v>0</v>
      </c>
      <c r="G1080">
        <f t="shared" si="217"/>
        <v>0</v>
      </c>
      <c r="H1080">
        <f t="shared" si="218"/>
        <v>0</v>
      </c>
      <c r="I1080">
        <f t="shared" si="219"/>
        <v>0</v>
      </c>
      <c r="J1080">
        <f t="shared" si="220"/>
        <v>0</v>
      </c>
      <c r="K1080" s="4" t="e">
        <f t="shared" si="223"/>
        <v>#N/A</v>
      </c>
      <c r="L1080" t="e">
        <f t="shared" si="224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2"/>
        <v>0</v>
      </c>
      <c r="B1081">
        <f t="shared" si="213"/>
        <v>0</v>
      </c>
      <c r="C1081">
        <f t="shared" si="214"/>
        <v>0</v>
      </c>
      <c r="D1081">
        <f t="shared" si="215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6"/>
        <v>0</v>
      </c>
      <c r="G1081">
        <f t="shared" si="217"/>
        <v>0</v>
      </c>
      <c r="H1081">
        <f t="shared" si="218"/>
        <v>0</v>
      </c>
      <c r="I1081">
        <f t="shared" si="219"/>
        <v>0</v>
      </c>
      <c r="J1081">
        <f t="shared" si="220"/>
        <v>0</v>
      </c>
      <c r="K1081" s="4" t="e">
        <f t="shared" si="223"/>
        <v>#N/A</v>
      </c>
      <c r="L1081" t="e">
        <f t="shared" si="224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2"/>
        <v>0</v>
      </c>
      <c r="B1082">
        <f t="shared" si="213"/>
        <v>0</v>
      </c>
      <c r="C1082">
        <f t="shared" si="214"/>
        <v>0</v>
      </c>
      <c r="D1082">
        <f t="shared" si="215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6"/>
        <v>0</v>
      </c>
      <c r="G1082">
        <f t="shared" si="217"/>
        <v>0</v>
      </c>
      <c r="H1082">
        <f t="shared" si="218"/>
        <v>0</v>
      </c>
      <c r="I1082">
        <f t="shared" si="219"/>
        <v>0</v>
      </c>
      <c r="J1082">
        <f t="shared" si="220"/>
        <v>0</v>
      </c>
      <c r="K1082" s="4" t="e">
        <f t="shared" si="223"/>
        <v>#N/A</v>
      </c>
      <c r="L1082" t="e">
        <f t="shared" si="224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2"/>
        <v>0</v>
      </c>
      <c r="B1083">
        <f t="shared" si="213"/>
        <v>0</v>
      </c>
      <c r="C1083">
        <f t="shared" si="214"/>
        <v>0</v>
      </c>
      <c r="D1083">
        <f t="shared" si="215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6"/>
        <v>0</v>
      </c>
      <c r="G1083">
        <f t="shared" si="217"/>
        <v>0</v>
      </c>
      <c r="H1083">
        <f t="shared" si="218"/>
        <v>0</v>
      </c>
      <c r="I1083">
        <f t="shared" si="219"/>
        <v>0</v>
      </c>
      <c r="J1083">
        <f t="shared" si="220"/>
        <v>0</v>
      </c>
      <c r="K1083" s="4" t="e">
        <f t="shared" si="223"/>
        <v>#N/A</v>
      </c>
      <c r="L1083" t="e">
        <f t="shared" si="224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2"/>
        <v>0</v>
      </c>
      <c r="B1084">
        <f t="shared" si="213"/>
        <v>0</v>
      </c>
      <c r="C1084">
        <f t="shared" si="214"/>
        <v>0</v>
      </c>
      <c r="D1084">
        <f t="shared" si="215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6"/>
        <v>0</v>
      </c>
      <c r="G1084">
        <f t="shared" si="217"/>
        <v>0</v>
      </c>
      <c r="H1084">
        <f t="shared" si="218"/>
        <v>0</v>
      </c>
      <c r="I1084">
        <f t="shared" si="219"/>
        <v>0</v>
      </c>
      <c r="J1084">
        <f t="shared" si="220"/>
        <v>0</v>
      </c>
      <c r="K1084" s="4" t="e">
        <f t="shared" si="223"/>
        <v>#N/A</v>
      </c>
      <c r="L1084" t="e">
        <f t="shared" si="224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2"/>
        <v>0</v>
      </c>
      <c r="B1085">
        <f t="shared" si="213"/>
        <v>0</v>
      </c>
      <c r="C1085">
        <f t="shared" si="214"/>
        <v>0</v>
      </c>
      <c r="D1085">
        <f t="shared" si="215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6"/>
        <v>0</v>
      </c>
      <c r="G1085">
        <f t="shared" si="217"/>
        <v>0</v>
      </c>
      <c r="H1085">
        <f t="shared" si="218"/>
        <v>0</v>
      </c>
      <c r="I1085">
        <f t="shared" si="219"/>
        <v>0</v>
      </c>
      <c r="J1085">
        <f t="shared" si="220"/>
        <v>0</v>
      </c>
      <c r="K1085" s="4" t="e">
        <f t="shared" si="223"/>
        <v>#N/A</v>
      </c>
      <c r="L1085" t="e">
        <f t="shared" si="224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2"/>
        <v>0</v>
      </c>
      <c r="B1086">
        <f t="shared" si="213"/>
        <v>0</v>
      </c>
      <c r="C1086">
        <f t="shared" si="214"/>
        <v>0</v>
      </c>
      <c r="D1086">
        <f t="shared" si="215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6"/>
        <v>0</v>
      </c>
      <c r="G1086">
        <f t="shared" si="217"/>
        <v>0</v>
      </c>
      <c r="H1086">
        <f t="shared" si="218"/>
        <v>0</v>
      </c>
      <c r="I1086">
        <f t="shared" si="219"/>
        <v>0</v>
      </c>
      <c r="J1086">
        <f t="shared" si="220"/>
        <v>0</v>
      </c>
      <c r="K1086" s="4" t="e">
        <f t="shared" si="223"/>
        <v>#N/A</v>
      </c>
      <c r="L1086" t="e">
        <f t="shared" si="224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2"/>
        <v>0</v>
      </c>
      <c r="B1087">
        <f t="shared" si="213"/>
        <v>0</v>
      </c>
      <c r="C1087">
        <f t="shared" si="214"/>
        <v>0</v>
      </c>
      <c r="D1087">
        <f t="shared" si="215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6"/>
        <v>0</v>
      </c>
      <c r="G1087">
        <f t="shared" si="217"/>
        <v>0</v>
      </c>
      <c r="H1087">
        <f t="shared" si="218"/>
        <v>0</v>
      </c>
      <c r="I1087">
        <f t="shared" si="219"/>
        <v>0</v>
      </c>
      <c r="J1087">
        <f t="shared" si="220"/>
        <v>0</v>
      </c>
      <c r="K1087" s="4" t="e">
        <f t="shared" si="223"/>
        <v>#N/A</v>
      </c>
      <c r="L1087" t="e">
        <f t="shared" si="224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2"/>
        <v>0</v>
      </c>
      <c r="B1088">
        <f t="shared" si="213"/>
        <v>0</v>
      </c>
      <c r="C1088">
        <f t="shared" si="214"/>
        <v>0</v>
      </c>
      <c r="D1088">
        <f t="shared" si="215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6"/>
        <v>0</v>
      </c>
      <c r="G1088">
        <f t="shared" si="217"/>
        <v>0</v>
      </c>
      <c r="H1088">
        <f t="shared" si="218"/>
        <v>0</v>
      </c>
      <c r="I1088">
        <f t="shared" si="219"/>
        <v>0</v>
      </c>
      <c r="J1088">
        <f t="shared" si="220"/>
        <v>0</v>
      </c>
      <c r="K1088" s="4" t="e">
        <f t="shared" si="223"/>
        <v>#N/A</v>
      </c>
      <c r="L1088" t="e">
        <f t="shared" si="224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2"/>
        <v>0</v>
      </c>
      <c r="B1089">
        <f t="shared" si="213"/>
        <v>0</v>
      </c>
      <c r="C1089">
        <f t="shared" si="214"/>
        <v>0</v>
      </c>
      <c r="D1089">
        <f t="shared" si="215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6"/>
        <v>0</v>
      </c>
      <c r="G1089">
        <f t="shared" si="217"/>
        <v>0</v>
      </c>
      <c r="H1089">
        <f t="shared" si="218"/>
        <v>0</v>
      </c>
      <c r="I1089">
        <f t="shared" si="219"/>
        <v>0</v>
      </c>
      <c r="J1089">
        <f t="shared" si="220"/>
        <v>0</v>
      </c>
      <c r="K1089" s="4" t="e">
        <f t="shared" si="223"/>
        <v>#N/A</v>
      </c>
      <c r="L1089" t="e">
        <f t="shared" si="224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5">bd_campaign</f>
        <v>0</v>
      </c>
      <c r="B1090">
        <f t="shared" ref="B1090:B1153" si="226">bd_site</f>
        <v>0</v>
      </c>
      <c r="C1090">
        <f t="shared" ref="C1090:C1153" si="227">bd_placement</f>
        <v>0</v>
      </c>
      <c r="D1090">
        <f t="shared" ref="D1090:D1153" si="228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9">bd_ad</f>
        <v>0</v>
      </c>
      <c r="G1090">
        <f t="shared" ref="G1090:G1153" si="230">bd_adid</f>
        <v>0</v>
      </c>
      <c r="H1090">
        <f t="shared" ref="H1090:H1153" si="231">bd_creativetype</f>
        <v>0</v>
      </c>
      <c r="I1090">
        <f t="shared" ref="I1090:I1153" si="232">bd_impression</f>
        <v>0</v>
      </c>
      <c r="J1090">
        <f t="shared" ref="J1090:J1153" si="233">bd_clicks</f>
        <v>0</v>
      </c>
      <c r="K1090" s="4" t="e">
        <f t="shared" si="223"/>
        <v>#N/A</v>
      </c>
      <c r="L1090" t="e">
        <f t="shared" si="224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5"/>
        <v>0</v>
      </c>
      <c r="B1091">
        <f t="shared" si="226"/>
        <v>0</v>
      </c>
      <c r="C1091">
        <f t="shared" si="227"/>
        <v>0</v>
      </c>
      <c r="D1091">
        <f t="shared" si="228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9"/>
        <v>0</v>
      </c>
      <c r="G1091">
        <f t="shared" si="230"/>
        <v>0</v>
      </c>
      <c r="H1091">
        <f t="shared" si="231"/>
        <v>0</v>
      </c>
      <c r="I1091">
        <f t="shared" si="232"/>
        <v>0</v>
      </c>
      <c r="J1091">
        <f t="shared" si="233"/>
        <v>0</v>
      </c>
      <c r="K1091" s="4" t="e">
        <f t="shared" si="223"/>
        <v>#N/A</v>
      </c>
      <c r="L1091" t="e">
        <f t="shared" si="224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5"/>
        <v>0</v>
      </c>
      <c r="B1092">
        <f t="shared" si="226"/>
        <v>0</v>
      </c>
      <c r="C1092">
        <f t="shared" si="227"/>
        <v>0</v>
      </c>
      <c r="D1092">
        <f t="shared" si="228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9"/>
        <v>0</v>
      </c>
      <c r="G1092">
        <f t="shared" si="230"/>
        <v>0</v>
      </c>
      <c r="H1092">
        <f t="shared" si="231"/>
        <v>0</v>
      </c>
      <c r="I1092">
        <f t="shared" si="232"/>
        <v>0</v>
      </c>
      <c r="J1092">
        <f t="shared" si="233"/>
        <v>0</v>
      </c>
      <c r="K1092" s="4" t="e">
        <f t="shared" si="223"/>
        <v>#N/A</v>
      </c>
      <c r="L1092" t="e">
        <f t="shared" si="224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5"/>
        <v>0</v>
      </c>
      <c r="B1093">
        <f t="shared" si="226"/>
        <v>0</v>
      </c>
      <c r="C1093">
        <f t="shared" si="227"/>
        <v>0</v>
      </c>
      <c r="D1093">
        <f t="shared" si="228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9"/>
        <v>0</v>
      </c>
      <c r="G1093">
        <f t="shared" si="230"/>
        <v>0</v>
      </c>
      <c r="H1093">
        <f t="shared" si="231"/>
        <v>0</v>
      </c>
      <c r="I1093">
        <f t="shared" si="232"/>
        <v>0</v>
      </c>
      <c r="J1093">
        <f t="shared" si="233"/>
        <v>0</v>
      </c>
      <c r="K1093" s="4" t="e">
        <f t="shared" si="223"/>
        <v>#N/A</v>
      </c>
      <c r="L1093" t="e">
        <f t="shared" si="224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5"/>
        <v>0</v>
      </c>
      <c r="B1094">
        <f t="shared" si="226"/>
        <v>0</v>
      </c>
      <c r="C1094">
        <f t="shared" si="227"/>
        <v>0</v>
      </c>
      <c r="D1094">
        <f t="shared" si="228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9"/>
        <v>0</v>
      </c>
      <c r="G1094">
        <f t="shared" si="230"/>
        <v>0</v>
      </c>
      <c r="H1094">
        <f t="shared" si="231"/>
        <v>0</v>
      </c>
      <c r="I1094">
        <f t="shared" si="232"/>
        <v>0</v>
      </c>
      <c r="J1094">
        <f t="shared" si="233"/>
        <v>0</v>
      </c>
      <c r="K1094" s="4" t="e">
        <f t="shared" si="223"/>
        <v>#N/A</v>
      </c>
      <c r="L1094" t="e">
        <f t="shared" si="224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5"/>
        <v>0</v>
      </c>
      <c r="B1095">
        <f t="shared" si="226"/>
        <v>0</v>
      </c>
      <c r="C1095">
        <f t="shared" si="227"/>
        <v>0</v>
      </c>
      <c r="D1095">
        <f t="shared" si="228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9"/>
        <v>0</v>
      </c>
      <c r="G1095">
        <f t="shared" si="230"/>
        <v>0</v>
      </c>
      <c r="H1095">
        <f t="shared" si="231"/>
        <v>0</v>
      </c>
      <c r="I1095">
        <f t="shared" si="232"/>
        <v>0</v>
      </c>
      <c r="J1095">
        <f t="shared" si="233"/>
        <v>0</v>
      </c>
      <c r="K1095" s="4" t="e">
        <f t="shared" si="223"/>
        <v>#N/A</v>
      </c>
      <c r="L1095" t="e">
        <f t="shared" si="224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5"/>
        <v>0</v>
      </c>
      <c r="B1096">
        <f t="shared" si="226"/>
        <v>0</v>
      </c>
      <c r="C1096">
        <f t="shared" si="227"/>
        <v>0</v>
      </c>
      <c r="D1096">
        <f t="shared" si="228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9"/>
        <v>0</v>
      </c>
      <c r="G1096">
        <f t="shared" si="230"/>
        <v>0</v>
      </c>
      <c r="H1096">
        <f t="shared" si="231"/>
        <v>0</v>
      </c>
      <c r="I1096">
        <f t="shared" si="232"/>
        <v>0</v>
      </c>
      <c r="J1096">
        <f t="shared" si="233"/>
        <v>0</v>
      </c>
      <c r="K1096" s="4" t="e">
        <f t="shared" si="223"/>
        <v>#N/A</v>
      </c>
      <c r="L1096" t="e">
        <f t="shared" si="224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5"/>
        <v>0</v>
      </c>
      <c r="B1097">
        <f t="shared" si="226"/>
        <v>0</v>
      </c>
      <c r="C1097">
        <f t="shared" si="227"/>
        <v>0</v>
      </c>
      <c r="D1097">
        <f t="shared" si="228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9"/>
        <v>0</v>
      </c>
      <c r="G1097">
        <f t="shared" si="230"/>
        <v>0</v>
      </c>
      <c r="H1097">
        <f t="shared" si="231"/>
        <v>0</v>
      </c>
      <c r="I1097">
        <f t="shared" si="232"/>
        <v>0</v>
      </c>
      <c r="J1097">
        <f t="shared" si="233"/>
        <v>0</v>
      </c>
      <c r="K1097" s="4" t="e">
        <f t="shared" si="223"/>
        <v>#N/A</v>
      </c>
      <c r="L1097" t="e">
        <f t="shared" si="224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5"/>
        <v>0</v>
      </c>
      <c r="B1098">
        <f t="shared" si="226"/>
        <v>0</v>
      </c>
      <c r="C1098">
        <f t="shared" si="227"/>
        <v>0</v>
      </c>
      <c r="D1098">
        <f t="shared" si="228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9"/>
        <v>0</v>
      </c>
      <c r="G1098">
        <f t="shared" si="230"/>
        <v>0</v>
      </c>
      <c r="H1098">
        <f t="shared" si="231"/>
        <v>0</v>
      </c>
      <c r="I1098">
        <f t="shared" si="232"/>
        <v>0</v>
      </c>
      <c r="J1098">
        <f t="shared" si="233"/>
        <v>0</v>
      </c>
      <c r="K1098" s="4" t="e">
        <f t="shared" si="223"/>
        <v>#N/A</v>
      </c>
      <c r="L1098" t="e">
        <f t="shared" si="224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5"/>
        <v>0</v>
      </c>
      <c r="B1099">
        <f t="shared" si="226"/>
        <v>0</v>
      </c>
      <c r="C1099">
        <f t="shared" si="227"/>
        <v>0</v>
      </c>
      <c r="D1099">
        <f t="shared" si="228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9"/>
        <v>0</v>
      </c>
      <c r="G1099">
        <f t="shared" si="230"/>
        <v>0</v>
      </c>
      <c r="H1099">
        <f t="shared" si="231"/>
        <v>0</v>
      </c>
      <c r="I1099">
        <f t="shared" si="232"/>
        <v>0</v>
      </c>
      <c r="J1099">
        <f t="shared" si="233"/>
        <v>0</v>
      </c>
      <c r="K1099" s="4" t="e">
        <f t="shared" si="223"/>
        <v>#N/A</v>
      </c>
      <c r="L1099" t="e">
        <f t="shared" si="224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5"/>
        <v>0</v>
      </c>
      <c r="B1100">
        <f t="shared" si="226"/>
        <v>0</v>
      </c>
      <c r="C1100">
        <f t="shared" si="227"/>
        <v>0</v>
      </c>
      <c r="D1100">
        <f t="shared" si="228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9"/>
        <v>0</v>
      </c>
      <c r="G1100">
        <f t="shared" si="230"/>
        <v>0</v>
      </c>
      <c r="H1100">
        <f t="shared" si="231"/>
        <v>0</v>
      </c>
      <c r="I1100">
        <f t="shared" si="232"/>
        <v>0</v>
      </c>
      <c r="J1100">
        <f t="shared" si="233"/>
        <v>0</v>
      </c>
      <c r="K1100" s="4" t="e">
        <f t="shared" si="223"/>
        <v>#N/A</v>
      </c>
      <c r="L1100" t="e">
        <f t="shared" si="224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5"/>
        <v>0</v>
      </c>
      <c r="B1101">
        <f t="shared" si="226"/>
        <v>0</v>
      </c>
      <c r="C1101">
        <f t="shared" si="227"/>
        <v>0</v>
      </c>
      <c r="D1101">
        <f t="shared" si="228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9"/>
        <v>0</v>
      </c>
      <c r="G1101">
        <f t="shared" si="230"/>
        <v>0</v>
      </c>
      <c r="H1101">
        <f t="shared" si="231"/>
        <v>0</v>
      </c>
      <c r="I1101">
        <f t="shared" si="232"/>
        <v>0</v>
      </c>
      <c r="J1101">
        <f t="shared" si="233"/>
        <v>0</v>
      </c>
      <c r="K1101" s="4" t="e">
        <f t="shared" si="223"/>
        <v>#N/A</v>
      </c>
      <c r="L1101" t="e">
        <f t="shared" si="224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5"/>
        <v>0</v>
      </c>
      <c r="B1102">
        <f t="shared" si="226"/>
        <v>0</v>
      </c>
      <c r="C1102">
        <f t="shared" si="227"/>
        <v>0</v>
      </c>
      <c r="D1102">
        <f t="shared" si="228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9"/>
        <v>0</v>
      </c>
      <c r="G1102">
        <f t="shared" si="230"/>
        <v>0</v>
      </c>
      <c r="H1102">
        <f t="shared" si="231"/>
        <v>0</v>
      </c>
      <c r="I1102">
        <f t="shared" si="232"/>
        <v>0</v>
      </c>
      <c r="J1102">
        <f t="shared" si="233"/>
        <v>0</v>
      </c>
      <c r="K1102" s="4" t="e">
        <f t="shared" si="223"/>
        <v>#N/A</v>
      </c>
      <c r="L1102" t="e">
        <f t="shared" si="224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5"/>
        <v>0</v>
      </c>
      <c r="B1103">
        <f t="shared" si="226"/>
        <v>0</v>
      </c>
      <c r="C1103">
        <f t="shared" si="227"/>
        <v>0</v>
      </c>
      <c r="D1103">
        <f t="shared" si="228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9"/>
        <v>0</v>
      </c>
      <c r="G1103">
        <f t="shared" si="230"/>
        <v>0</v>
      </c>
      <c r="H1103">
        <f t="shared" si="231"/>
        <v>0</v>
      </c>
      <c r="I1103">
        <f t="shared" si="232"/>
        <v>0</v>
      </c>
      <c r="J1103">
        <f t="shared" si="233"/>
        <v>0</v>
      </c>
      <c r="K1103" s="4" t="e">
        <f t="shared" si="223"/>
        <v>#N/A</v>
      </c>
      <c r="L1103" t="e">
        <f t="shared" si="224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5"/>
        <v>0</v>
      </c>
      <c r="B1104">
        <f t="shared" si="226"/>
        <v>0</v>
      </c>
      <c r="C1104">
        <f t="shared" si="227"/>
        <v>0</v>
      </c>
      <c r="D1104">
        <f t="shared" si="228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9"/>
        <v>0</v>
      </c>
      <c r="G1104">
        <f t="shared" si="230"/>
        <v>0</v>
      </c>
      <c r="H1104">
        <f t="shared" si="231"/>
        <v>0</v>
      </c>
      <c r="I1104">
        <f t="shared" si="232"/>
        <v>0</v>
      </c>
      <c r="J1104">
        <f t="shared" si="233"/>
        <v>0</v>
      </c>
      <c r="K1104" s="4" t="e">
        <f t="shared" si="223"/>
        <v>#N/A</v>
      </c>
      <c r="L1104" t="e">
        <f t="shared" si="224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5"/>
        <v>0</v>
      </c>
      <c r="B1105">
        <f t="shared" si="226"/>
        <v>0</v>
      </c>
      <c r="C1105">
        <f t="shared" si="227"/>
        <v>0</v>
      </c>
      <c r="D1105">
        <f t="shared" si="228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9"/>
        <v>0</v>
      </c>
      <c r="G1105">
        <f t="shared" si="230"/>
        <v>0</v>
      </c>
      <c r="H1105">
        <f t="shared" si="231"/>
        <v>0</v>
      </c>
      <c r="I1105">
        <f t="shared" si="232"/>
        <v>0</v>
      </c>
      <c r="J1105">
        <f t="shared" si="233"/>
        <v>0</v>
      </c>
      <c r="K1105" s="4" t="e">
        <f t="shared" si="223"/>
        <v>#N/A</v>
      </c>
      <c r="L1105" t="e">
        <f t="shared" si="224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5"/>
        <v>0</v>
      </c>
      <c r="B1106">
        <f t="shared" si="226"/>
        <v>0</v>
      </c>
      <c r="C1106">
        <f t="shared" si="227"/>
        <v>0</v>
      </c>
      <c r="D1106">
        <f t="shared" si="228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9"/>
        <v>0</v>
      </c>
      <c r="G1106">
        <f t="shared" si="230"/>
        <v>0</v>
      </c>
      <c r="H1106">
        <f t="shared" si="231"/>
        <v>0</v>
      </c>
      <c r="I1106">
        <f t="shared" si="232"/>
        <v>0</v>
      </c>
      <c r="J1106">
        <f t="shared" si="233"/>
        <v>0</v>
      </c>
      <c r="K1106" s="4" t="e">
        <f t="shared" si="223"/>
        <v>#N/A</v>
      </c>
      <c r="L1106" t="e">
        <f t="shared" si="224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5"/>
        <v>0</v>
      </c>
      <c r="B1107">
        <f t="shared" si="226"/>
        <v>0</v>
      </c>
      <c r="C1107">
        <f t="shared" si="227"/>
        <v>0</v>
      </c>
      <c r="D1107">
        <f t="shared" si="228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9"/>
        <v>0</v>
      </c>
      <c r="G1107">
        <f t="shared" si="230"/>
        <v>0</v>
      </c>
      <c r="H1107">
        <f t="shared" si="231"/>
        <v>0</v>
      </c>
      <c r="I1107">
        <f t="shared" si="232"/>
        <v>0</v>
      </c>
      <c r="J1107">
        <f t="shared" si="233"/>
        <v>0</v>
      </c>
      <c r="K1107" s="4" t="e">
        <f t="shared" si="223"/>
        <v>#N/A</v>
      </c>
      <c r="L1107" t="e">
        <f t="shared" si="224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5"/>
        <v>0</v>
      </c>
      <c r="B1108">
        <f t="shared" si="226"/>
        <v>0</v>
      </c>
      <c r="C1108">
        <f t="shared" si="227"/>
        <v>0</v>
      </c>
      <c r="D1108">
        <f t="shared" si="228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9"/>
        <v>0</v>
      </c>
      <c r="G1108">
        <f t="shared" si="230"/>
        <v>0</v>
      </c>
      <c r="H1108">
        <f t="shared" si="231"/>
        <v>0</v>
      </c>
      <c r="I1108">
        <f t="shared" si="232"/>
        <v>0</v>
      </c>
      <c r="J1108">
        <f t="shared" si="233"/>
        <v>0</v>
      </c>
      <c r="K1108" s="4" t="e">
        <f t="shared" si="223"/>
        <v>#N/A</v>
      </c>
      <c r="L1108" t="e">
        <f t="shared" si="224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5"/>
        <v>0</v>
      </c>
      <c r="B1109">
        <f t="shared" si="226"/>
        <v>0</v>
      </c>
      <c r="C1109">
        <f t="shared" si="227"/>
        <v>0</v>
      </c>
      <c r="D1109">
        <f t="shared" si="228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9"/>
        <v>0</v>
      </c>
      <c r="G1109">
        <f t="shared" si="230"/>
        <v>0</v>
      </c>
      <c r="H1109">
        <f t="shared" si="231"/>
        <v>0</v>
      </c>
      <c r="I1109">
        <f t="shared" si="232"/>
        <v>0</v>
      </c>
      <c r="J1109">
        <f t="shared" si="233"/>
        <v>0</v>
      </c>
      <c r="K1109" s="4" t="e">
        <f t="shared" si="223"/>
        <v>#N/A</v>
      </c>
      <c r="L1109" t="e">
        <f t="shared" si="224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5"/>
        <v>0</v>
      </c>
      <c r="B1110">
        <f t="shared" si="226"/>
        <v>0</v>
      </c>
      <c r="C1110">
        <f t="shared" si="227"/>
        <v>0</v>
      </c>
      <c r="D1110">
        <f t="shared" si="228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9"/>
        <v>0</v>
      </c>
      <c r="G1110">
        <f t="shared" si="230"/>
        <v>0</v>
      </c>
      <c r="H1110">
        <f t="shared" si="231"/>
        <v>0</v>
      </c>
      <c r="I1110">
        <f t="shared" si="232"/>
        <v>0</v>
      </c>
      <c r="J1110">
        <f t="shared" si="233"/>
        <v>0</v>
      </c>
      <c r="K1110" s="4" t="e">
        <f t="shared" si="223"/>
        <v>#N/A</v>
      </c>
      <c r="L1110" t="e">
        <f t="shared" si="224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5"/>
        <v>0</v>
      </c>
      <c r="B1111">
        <f t="shared" si="226"/>
        <v>0</v>
      </c>
      <c r="C1111">
        <f t="shared" si="227"/>
        <v>0</v>
      </c>
      <c r="D1111">
        <f t="shared" si="228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9"/>
        <v>0</v>
      </c>
      <c r="G1111">
        <f t="shared" si="230"/>
        <v>0</v>
      </c>
      <c r="H1111">
        <f t="shared" si="231"/>
        <v>0</v>
      </c>
      <c r="I1111">
        <f t="shared" si="232"/>
        <v>0</v>
      </c>
      <c r="J1111">
        <f t="shared" si="233"/>
        <v>0</v>
      </c>
      <c r="K1111" s="4" t="e">
        <f t="shared" si="223"/>
        <v>#N/A</v>
      </c>
      <c r="L1111" t="e">
        <f t="shared" si="224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5"/>
        <v>0</v>
      </c>
      <c r="B1112">
        <f t="shared" si="226"/>
        <v>0</v>
      </c>
      <c r="C1112">
        <f t="shared" si="227"/>
        <v>0</v>
      </c>
      <c r="D1112">
        <f t="shared" si="228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9"/>
        <v>0</v>
      </c>
      <c r="G1112">
        <f t="shared" si="230"/>
        <v>0</v>
      </c>
      <c r="H1112">
        <f t="shared" si="231"/>
        <v>0</v>
      </c>
      <c r="I1112">
        <f t="shared" si="232"/>
        <v>0</v>
      </c>
      <c r="J1112">
        <f t="shared" si="233"/>
        <v>0</v>
      </c>
      <c r="K1112" s="4" t="e">
        <f t="shared" si="223"/>
        <v>#N/A</v>
      </c>
      <c r="L1112" t="e">
        <f t="shared" si="224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5"/>
        <v>0</v>
      </c>
      <c r="B1113">
        <f t="shared" si="226"/>
        <v>0</v>
      </c>
      <c r="C1113">
        <f t="shared" si="227"/>
        <v>0</v>
      </c>
      <c r="D1113">
        <f t="shared" si="228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9"/>
        <v>0</v>
      </c>
      <c r="G1113">
        <f t="shared" si="230"/>
        <v>0</v>
      </c>
      <c r="H1113">
        <f t="shared" si="231"/>
        <v>0</v>
      </c>
      <c r="I1113">
        <f t="shared" si="232"/>
        <v>0</v>
      </c>
      <c r="J1113">
        <f t="shared" si="233"/>
        <v>0</v>
      </c>
      <c r="K1113" s="4" t="e">
        <f t="shared" si="223"/>
        <v>#N/A</v>
      </c>
      <c r="L1113" t="e">
        <f t="shared" si="224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5"/>
        <v>0</v>
      </c>
      <c r="B1114">
        <f t="shared" si="226"/>
        <v>0</v>
      </c>
      <c r="C1114">
        <f t="shared" si="227"/>
        <v>0</v>
      </c>
      <c r="D1114">
        <f t="shared" si="228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9"/>
        <v>0</v>
      </c>
      <c r="G1114">
        <f t="shared" si="230"/>
        <v>0</v>
      </c>
      <c r="H1114">
        <f t="shared" si="231"/>
        <v>0</v>
      </c>
      <c r="I1114">
        <f t="shared" si="232"/>
        <v>0</v>
      </c>
      <c r="J1114">
        <f t="shared" si="233"/>
        <v>0</v>
      </c>
      <c r="K1114" s="4" t="e">
        <f t="shared" si="223"/>
        <v>#N/A</v>
      </c>
      <c r="L1114" t="e">
        <f t="shared" si="224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5"/>
        <v>0</v>
      </c>
      <c r="B1115">
        <f t="shared" si="226"/>
        <v>0</v>
      </c>
      <c r="C1115">
        <f t="shared" si="227"/>
        <v>0</v>
      </c>
      <c r="D1115">
        <f t="shared" si="228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9"/>
        <v>0</v>
      </c>
      <c r="G1115">
        <f t="shared" si="230"/>
        <v>0</v>
      </c>
      <c r="H1115">
        <f t="shared" si="231"/>
        <v>0</v>
      </c>
      <c r="I1115">
        <f t="shared" si="232"/>
        <v>0</v>
      </c>
      <c r="J1115">
        <f t="shared" si="233"/>
        <v>0</v>
      </c>
      <c r="K1115" s="4" t="e">
        <f t="shared" si="223"/>
        <v>#N/A</v>
      </c>
      <c r="L1115" t="e">
        <f t="shared" si="224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5"/>
        <v>0</v>
      </c>
      <c r="B1116">
        <f t="shared" si="226"/>
        <v>0</v>
      </c>
      <c r="C1116">
        <f t="shared" si="227"/>
        <v>0</v>
      </c>
      <c r="D1116">
        <f t="shared" si="228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9"/>
        <v>0</v>
      </c>
      <c r="G1116">
        <f t="shared" si="230"/>
        <v>0</v>
      </c>
      <c r="H1116">
        <f t="shared" si="231"/>
        <v>0</v>
      </c>
      <c r="I1116">
        <f t="shared" si="232"/>
        <v>0</v>
      </c>
      <c r="J1116">
        <f t="shared" si="233"/>
        <v>0</v>
      </c>
      <c r="K1116" s="4" t="e">
        <f t="shared" si="223"/>
        <v>#N/A</v>
      </c>
      <c r="L1116" t="e">
        <f t="shared" si="224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5"/>
        <v>0</v>
      </c>
      <c r="B1117">
        <f t="shared" si="226"/>
        <v>0</v>
      </c>
      <c r="C1117">
        <f t="shared" si="227"/>
        <v>0</v>
      </c>
      <c r="D1117">
        <f t="shared" si="228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9"/>
        <v>0</v>
      </c>
      <c r="G1117">
        <f t="shared" si="230"/>
        <v>0</v>
      </c>
      <c r="H1117">
        <f t="shared" si="231"/>
        <v>0</v>
      </c>
      <c r="I1117">
        <f t="shared" si="232"/>
        <v>0</v>
      </c>
      <c r="J1117">
        <f t="shared" si="233"/>
        <v>0</v>
      </c>
      <c r="K1117" s="4" t="e">
        <f t="shared" si="223"/>
        <v>#N/A</v>
      </c>
      <c r="L1117" t="e">
        <f t="shared" si="224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5"/>
        <v>0</v>
      </c>
      <c r="B1118">
        <f t="shared" si="226"/>
        <v>0</v>
      </c>
      <c r="C1118">
        <f t="shared" si="227"/>
        <v>0</v>
      </c>
      <c r="D1118">
        <f t="shared" si="228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9"/>
        <v>0</v>
      </c>
      <c r="G1118">
        <f t="shared" si="230"/>
        <v>0</v>
      </c>
      <c r="H1118">
        <f t="shared" si="231"/>
        <v>0</v>
      </c>
      <c r="I1118">
        <f t="shared" si="232"/>
        <v>0</v>
      </c>
      <c r="J1118">
        <f t="shared" si="233"/>
        <v>0</v>
      </c>
      <c r="K1118" s="4" t="e">
        <f t="shared" si="223"/>
        <v>#N/A</v>
      </c>
      <c r="L1118" t="e">
        <f t="shared" si="224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5"/>
        <v>0</v>
      </c>
      <c r="B1119">
        <f t="shared" si="226"/>
        <v>0</v>
      </c>
      <c r="C1119">
        <f t="shared" si="227"/>
        <v>0</v>
      </c>
      <c r="D1119">
        <f t="shared" si="228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9"/>
        <v>0</v>
      </c>
      <c r="G1119">
        <f t="shared" si="230"/>
        <v>0</v>
      </c>
      <c r="H1119">
        <f t="shared" si="231"/>
        <v>0</v>
      </c>
      <c r="I1119">
        <f t="shared" si="232"/>
        <v>0</v>
      </c>
      <c r="J1119">
        <f t="shared" si="233"/>
        <v>0</v>
      </c>
      <c r="K1119" s="4" t="e">
        <f t="shared" si="223"/>
        <v>#N/A</v>
      </c>
      <c r="L1119" t="e">
        <f t="shared" si="224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5"/>
        <v>0</v>
      </c>
      <c r="B1120">
        <f t="shared" si="226"/>
        <v>0</v>
      </c>
      <c r="C1120">
        <f t="shared" si="227"/>
        <v>0</v>
      </c>
      <c r="D1120">
        <f t="shared" si="228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9"/>
        <v>0</v>
      </c>
      <c r="G1120">
        <f t="shared" si="230"/>
        <v>0</v>
      </c>
      <c r="H1120">
        <f t="shared" si="231"/>
        <v>0</v>
      </c>
      <c r="I1120">
        <f t="shared" si="232"/>
        <v>0</v>
      </c>
      <c r="J1120">
        <f t="shared" si="233"/>
        <v>0</v>
      </c>
      <c r="K1120" s="4" t="e">
        <f t="shared" si="223"/>
        <v>#N/A</v>
      </c>
      <c r="L1120" t="e">
        <f t="shared" si="224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5"/>
        <v>0</v>
      </c>
      <c r="B1121">
        <f t="shared" si="226"/>
        <v>0</v>
      </c>
      <c r="C1121">
        <f t="shared" si="227"/>
        <v>0</v>
      </c>
      <c r="D1121">
        <f t="shared" si="228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9"/>
        <v>0</v>
      </c>
      <c r="G1121">
        <f t="shared" si="230"/>
        <v>0</v>
      </c>
      <c r="H1121">
        <f t="shared" si="231"/>
        <v>0</v>
      </c>
      <c r="I1121">
        <f t="shared" si="232"/>
        <v>0</v>
      </c>
      <c r="J1121">
        <f t="shared" si="233"/>
        <v>0</v>
      </c>
      <c r="K1121" s="4" t="e">
        <f t="shared" si="223"/>
        <v>#N/A</v>
      </c>
      <c r="L1121" t="e">
        <f t="shared" si="224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5"/>
        <v>0</v>
      </c>
      <c r="B1122">
        <f t="shared" si="226"/>
        <v>0</v>
      </c>
      <c r="C1122">
        <f t="shared" si="227"/>
        <v>0</v>
      </c>
      <c r="D1122">
        <f t="shared" si="228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9"/>
        <v>0</v>
      </c>
      <c r="G1122">
        <f t="shared" si="230"/>
        <v>0</v>
      </c>
      <c r="H1122">
        <f t="shared" si="231"/>
        <v>0</v>
      </c>
      <c r="I1122">
        <f t="shared" si="232"/>
        <v>0</v>
      </c>
      <c r="J1122">
        <f t="shared" si="233"/>
        <v>0</v>
      </c>
      <c r="K1122" s="4" t="e">
        <f t="shared" si="223"/>
        <v>#N/A</v>
      </c>
      <c r="L1122" t="e">
        <f t="shared" si="224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5"/>
        <v>0</v>
      </c>
      <c r="B1123">
        <f t="shared" si="226"/>
        <v>0</v>
      </c>
      <c r="C1123">
        <f t="shared" si="227"/>
        <v>0</v>
      </c>
      <c r="D1123">
        <f t="shared" si="228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9"/>
        <v>0</v>
      </c>
      <c r="G1123">
        <f t="shared" si="230"/>
        <v>0</v>
      </c>
      <c r="H1123">
        <f t="shared" si="231"/>
        <v>0</v>
      </c>
      <c r="I1123">
        <f t="shared" si="232"/>
        <v>0</v>
      </c>
      <c r="J1123">
        <f t="shared" si="233"/>
        <v>0</v>
      </c>
      <c r="K1123" s="4" t="e">
        <f t="shared" si="223"/>
        <v>#N/A</v>
      </c>
      <c r="L1123" t="e">
        <f t="shared" si="224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5"/>
        <v>0</v>
      </c>
      <c r="B1124">
        <f t="shared" si="226"/>
        <v>0</v>
      </c>
      <c r="C1124">
        <f t="shared" si="227"/>
        <v>0</v>
      </c>
      <c r="D1124">
        <f t="shared" si="228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9"/>
        <v>0</v>
      </c>
      <c r="G1124">
        <f t="shared" si="230"/>
        <v>0</v>
      </c>
      <c r="H1124">
        <f t="shared" si="231"/>
        <v>0</v>
      </c>
      <c r="I1124">
        <f t="shared" si="232"/>
        <v>0</v>
      </c>
      <c r="J1124">
        <f t="shared" si="233"/>
        <v>0</v>
      </c>
      <c r="K1124" s="4" t="e">
        <f t="shared" si="223"/>
        <v>#N/A</v>
      </c>
      <c r="L1124" t="e">
        <f t="shared" si="224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5"/>
        <v>0</v>
      </c>
      <c r="B1125">
        <f t="shared" si="226"/>
        <v>0</v>
      </c>
      <c r="C1125">
        <f t="shared" si="227"/>
        <v>0</v>
      </c>
      <c r="D1125">
        <f t="shared" si="228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9"/>
        <v>0</v>
      </c>
      <c r="G1125">
        <f t="shared" si="230"/>
        <v>0</v>
      </c>
      <c r="H1125">
        <f t="shared" si="231"/>
        <v>0</v>
      </c>
      <c r="I1125">
        <f t="shared" si="232"/>
        <v>0</v>
      </c>
      <c r="J1125">
        <f t="shared" si="233"/>
        <v>0</v>
      </c>
      <c r="K1125" s="4" t="e">
        <f t="shared" si="223"/>
        <v>#N/A</v>
      </c>
      <c r="L1125" t="e">
        <f t="shared" si="224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5"/>
        <v>0</v>
      </c>
      <c r="B1126">
        <f t="shared" si="226"/>
        <v>0</v>
      </c>
      <c r="C1126">
        <f t="shared" si="227"/>
        <v>0</v>
      </c>
      <c r="D1126">
        <f t="shared" si="228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9"/>
        <v>0</v>
      </c>
      <c r="G1126">
        <f t="shared" si="230"/>
        <v>0</v>
      </c>
      <c r="H1126">
        <f t="shared" si="231"/>
        <v>0</v>
      </c>
      <c r="I1126">
        <f t="shared" si="232"/>
        <v>0</v>
      </c>
      <c r="J1126">
        <f t="shared" si="233"/>
        <v>0</v>
      </c>
      <c r="K1126" s="4" t="e">
        <f t="shared" si="223"/>
        <v>#N/A</v>
      </c>
      <c r="L1126" t="e">
        <f t="shared" si="224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5"/>
        <v>0</v>
      </c>
      <c r="B1127">
        <f t="shared" si="226"/>
        <v>0</v>
      </c>
      <c r="C1127">
        <f t="shared" si="227"/>
        <v>0</v>
      </c>
      <c r="D1127">
        <f t="shared" si="228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9"/>
        <v>0</v>
      </c>
      <c r="G1127">
        <f t="shared" si="230"/>
        <v>0</v>
      </c>
      <c r="H1127">
        <f t="shared" si="231"/>
        <v>0</v>
      </c>
      <c r="I1127">
        <f t="shared" si="232"/>
        <v>0</v>
      </c>
      <c r="J1127">
        <f t="shared" si="233"/>
        <v>0</v>
      </c>
      <c r="K1127" s="4" t="e">
        <f t="shared" si="223"/>
        <v>#N/A</v>
      </c>
      <c r="L1127" t="e">
        <f t="shared" si="224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5"/>
        <v>0</v>
      </c>
      <c r="B1128">
        <f t="shared" si="226"/>
        <v>0</v>
      </c>
      <c r="C1128">
        <f t="shared" si="227"/>
        <v>0</v>
      </c>
      <c r="D1128">
        <f t="shared" si="228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9"/>
        <v>0</v>
      </c>
      <c r="G1128">
        <f t="shared" si="230"/>
        <v>0</v>
      </c>
      <c r="H1128">
        <f t="shared" si="231"/>
        <v>0</v>
      </c>
      <c r="I1128">
        <f t="shared" si="232"/>
        <v>0</v>
      </c>
      <c r="J1128">
        <f t="shared" si="233"/>
        <v>0</v>
      </c>
      <c r="K1128" s="4" t="e">
        <f t="shared" si="223"/>
        <v>#N/A</v>
      </c>
      <c r="L1128" t="e">
        <f t="shared" si="224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5"/>
        <v>0</v>
      </c>
      <c r="B1129">
        <f t="shared" si="226"/>
        <v>0</v>
      </c>
      <c r="C1129">
        <f t="shared" si="227"/>
        <v>0</v>
      </c>
      <c r="D1129">
        <f t="shared" si="228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9"/>
        <v>0</v>
      </c>
      <c r="G1129">
        <f t="shared" si="230"/>
        <v>0</v>
      </c>
      <c r="H1129">
        <f t="shared" si="231"/>
        <v>0</v>
      </c>
      <c r="I1129">
        <f t="shared" si="232"/>
        <v>0</v>
      </c>
      <c r="J1129">
        <f t="shared" si="233"/>
        <v>0</v>
      </c>
      <c r="K1129" s="4" t="e">
        <f t="shared" si="223"/>
        <v>#N/A</v>
      </c>
      <c r="L1129" t="e">
        <f t="shared" si="224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5"/>
        <v>0</v>
      </c>
      <c r="B1130">
        <f t="shared" si="226"/>
        <v>0</v>
      </c>
      <c r="C1130">
        <f t="shared" si="227"/>
        <v>0</v>
      </c>
      <c r="D1130">
        <f t="shared" si="228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9"/>
        <v>0</v>
      </c>
      <c r="G1130">
        <f t="shared" si="230"/>
        <v>0</v>
      </c>
      <c r="H1130">
        <f t="shared" si="231"/>
        <v>0</v>
      </c>
      <c r="I1130">
        <f t="shared" si="232"/>
        <v>0</v>
      </c>
      <c r="J1130">
        <f t="shared" si="233"/>
        <v>0</v>
      </c>
      <c r="K1130" s="4" t="e">
        <f t="shared" si="223"/>
        <v>#N/A</v>
      </c>
      <c r="L1130" t="e">
        <f t="shared" si="224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5"/>
        <v>0</v>
      </c>
      <c r="B1131">
        <f t="shared" si="226"/>
        <v>0</v>
      </c>
      <c r="C1131">
        <f t="shared" si="227"/>
        <v>0</v>
      </c>
      <c r="D1131">
        <f t="shared" si="228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9"/>
        <v>0</v>
      </c>
      <c r="G1131">
        <f t="shared" si="230"/>
        <v>0</v>
      </c>
      <c r="H1131">
        <f t="shared" si="231"/>
        <v>0</v>
      </c>
      <c r="I1131">
        <f t="shared" si="232"/>
        <v>0</v>
      </c>
      <c r="J1131">
        <f t="shared" si="233"/>
        <v>0</v>
      </c>
      <c r="K1131" s="4" t="e">
        <f t="shared" si="223"/>
        <v>#N/A</v>
      </c>
      <c r="L1131" t="e">
        <f t="shared" si="224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5"/>
        <v>0</v>
      </c>
      <c r="B1132">
        <f t="shared" si="226"/>
        <v>0</v>
      </c>
      <c r="C1132">
        <f t="shared" si="227"/>
        <v>0</v>
      </c>
      <c r="D1132">
        <f t="shared" si="228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9"/>
        <v>0</v>
      </c>
      <c r="G1132">
        <f t="shared" si="230"/>
        <v>0</v>
      </c>
      <c r="H1132">
        <f t="shared" si="231"/>
        <v>0</v>
      </c>
      <c r="I1132">
        <f t="shared" si="232"/>
        <v>0</v>
      </c>
      <c r="J1132">
        <f t="shared" si="233"/>
        <v>0</v>
      </c>
      <c r="K1132" s="4" t="e">
        <f t="shared" ref="K1132:K1195" si="236">IF(LEFT(B1132,3)="DBM",0,VLOOKUP(E1132,tabela,2,FALSE))</f>
        <v>#N/A</v>
      </c>
      <c r="L1132" t="e">
        <f t="shared" ref="L1132:L1195" si="237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5"/>
        <v>0</v>
      </c>
      <c r="B1133">
        <f t="shared" si="226"/>
        <v>0</v>
      </c>
      <c r="C1133">
        <f t="shared" si="227"/>
        <v>0</v>
      </c>
      <c r="D1133">
        <f t="shared" si="228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9"/>
        <v>0</v>
      </c>
      <c r="G1133">
        <f t="shared" si="230"/>
        <v>0</v>
      </c>
      <c r="H1133">
        <f t="shared" si="231"/>
        <v>0</v>
      </c>
      <c r="I1133">
        <f t="shared" si="232"/>
        <v>0</v>
      </c>
      <c r="J1133">
        <f t="shared" si="233"/>
        <v>0</v>
      </c>
      <c r="K1133" s="4" t="e">
        <f t="shared" si="236"/>
        <v>#N/A</v>
      </c>
      <c r="L1133" t="e">
        <f t="shared" si="237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5"/>
        <v>0</v>
      </c>
      <c r="B1134">
        <f t="shared" si="226"/>
        <v>0</v>
      </c>
      <c r="C1134">
        <f t="shared" si="227"/>
        <v>0</v>
      </c>
      <c r="D1134">
        <f t="shared" si="228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9"/>
        <v>0</v>
      </c>
      <c r="G1134">
        <f t="shared" si="230"/>
        <v>0</v>
      </c>
      <c r="H1134">
        <f t="shared" si="231"/>
        <v>0</v>
      </c>
      <c r="I1134">
        <f t="shared" si="232"/>
        <v>0</v>
      </c>
      <c r="J1134">
        <f t="shared" si="233"/>
        <v>0</v>
      </c>
      <c r="K1134" s="4" t="e">
        <f t="shared" si="236"/>
        <v>#N/A</v>
      </c>
      <c r="L1134" t="e">
        <f t="shared" si="237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5"/>
        <v>0</v>
      </c>
      <c r="B1135">
        <f t="shared" si="226"/>
        <v>0</v>
      </c>
      <c r="C1135">
        <f t="shared" si="227"/>
        <v>0</v>
      </c>
      <c r="D1135">
        <f t="shared" si="228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9"/>
        <v>0</v>
      </c>
      <c r="G1135">
        <f t="shared" si="230"/>
        <v>0</v>
      </c>
      <c r="H1135">
        <f t="shared" si="231"/>
        <v>0</v>
      </c>
      <c r="I1135">
        <f t="shared" si="232"/>
        <v>0</v>
      </c>
      <c r="J1135">
        <f t="shared" si="233"/>
        <v>0</v>
      </c>
      <c r="K1135" s="4" t="e">
        <f t="shared" si="236"/>
        <v>#N/A</v>
      </c>
      <c r="L1135" t="e">
        <f t="shared" si="237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5"/>
        <v>0</v>
      </c>
      <c r="B1136">
        <f t="shared" si="226"/>
        <v>0</v>
      </c>
      <c r="C1136">
        <f t="shared" si="227"/>
        <v>0</v>
      </c>
      <c r="D1136">
        <f t="shared" si="228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9"/>
        <v>0</v>
      </c>
      <c r="G1136">
        <f t="shared" si="230"/>
        <v>0</v>
      </c>
      <c r="H1136">
        <f t="shared" si="231"/>
        <v>0</v>
      </c>
      <c r="I1136">
        <f t="shared" si="232"/>
        <v>0</v>
      </c>
      <c r="J1136">
        <f t="shared" si="233"/>
        <v>0</v>
      </c>
      <c r="K1136" s="4" t="e">
        <f t="shared" si="236"/>
        <v>#N/A</v>
      </c>
      <c r="L1136" t="e">
        <f t="shared" si="237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5"/>
        <v>0</v>
      </c>
      <c r="B1137">
        <f t="shared" si="226"/>
        <v>0</v>
      </c>
      <c r="C1137">
        <f t="shared" si="227"/>
        <v>0</v>
      </c>
      <c r="D1137">
        <f t="shared" si="228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9"/>
        <v>0</v>
      </c>
      <c r="G1137">
        <f t="shared" si="230"/>
        <v>0</v>
      </c>
      <c r="H1137">
        <f t="shared" si="231"/>
        <v>0</v>
      </c>
      <c r="I1137">
        <f t="shared" si="232"/>
        <v>0</v>
      </c>
      <c r="J1137">
        <f t="shared" si="233"/>
        <v>0</v>
      </c>
      <c r="K1137" s="4" t="e">
        <f t="shared" si="236"/>
        <v>#N/A</v>
      </c>
      <c r="L1137" t="e">
        <f t="shared" si="237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5"/>
        <v>0</v>
      </c>
      <c r="B1138">
        <f t="shared" si="226"/>
        <v>0</v>
      </c>
      <c r="C1138">
        <f t="shared" si="227"/>
        <v>0</v>
      </c>
      <c r="D1138">
        <f t="shared" si="228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9"/>
        <v>0</v>
      </c>
      <c r="G1138">
        <f t="shared" si="230"/>
        <v>0</v>
      </c>
      <c r="H1138">
        <f t="shared" si="231"/>
        <v>0</v>
      </c>
      <c r="I1138">
        <f t="shared" si="232"/>
        <v>0</v>
      </c>
      <c r="J1138">
        <f t="shared" si="233"/>
        <v>0</v>
      </c>
      <c r="K1138" s="4" t="e">
        <f t="shared" si="236"/>
        <v>#N/A</v>
      </c>
      <c r="L1138" t="e">
        <f t="shared" si="237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5"/>
        <v>0</v>
      </c>
      <c r="B1139">
        <f t="shared" si="226"/>
        <v>0</v>
      </c>
      <c r="C1139">
        <f t="shared" si="227"/>
        <v>0</v>
      </c>
      <c r="D1139">
        <f t="shared" si="228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9"/>
        <v>0</v>
      </c>
      <c r="G1139">
        <f t="shared" si="230"/>
        <v>0</v>
      </c>
      <c r="H1139">
        <f t="shared" si="231"/>
        <v>0</v>
      </c>
      <c r="I1139">
        <f t="shared" si="232"/>
        <v>0</v>
      </c>
      <c r="J1139">
        <f t="shared" si="233"/>
        <v>0</v>
      </c>
      <c r="K1139" s="4" t="e">
        <f t="shared" si="236"/>
        <v>#N/A</v>
      </c>
      <c r="L1139" t="e">
        <f t="shared" si="237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5"/>
        <v>0</v>
      </c>
      <c r="B1140">
        <f t="shared" si="226"/>
        <v>0</v>
      </c>
      <c r="C1140">
        <f t="shared" si="227"/>
        <v>0</v>
      </c>
      <c r="D1140">
        <f t="shared" si="228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9"/>
        <v>0</v>
      </c>
      <c r="G1140">
        <f t="shared" si="230"/>
        <v>0</v>
      </c>
      <c r="H1140">
        <f t="shared" si="231"/>
        <v>0</v>
      </c>
      <c r="I1140">
        <f t="shared" si="232"/>
        <v>0</v>
      </c>
      <c r="J1140">
        <f t="shared" si="233"/>
        <v>0</v>
      </c>
      <c r="K1140" s="4" t="e">
        <f t="shared" si="236"/>
        <v>#N/A</v>
      </c>
      <c r="L1140" t="e">
        <f t="shared" si="237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5"/>
        <v>0</v>
      </c>
      <c r="B1141">
        <f t="shared" si="226"/>
        <v>0</v>
      </c>
      <c r="C1141">
        <f t="shared" si="227"/>
        <v>0</v>
      </c>
      <c r="D1141">
        <f t="shared" si="228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9"/>
        <v>0</v>
      </c>
      <c r="G1141">
        <f t="shared" si="230"/>
        <v>0</v>
      </c>
      <c r="H1141">
        <f t="shared" si="231"/>
        <v>0</v>
      </c>
      <c r="I1141">
        <f t="shared" si="232"/>
        <v>0</v>
      </c>
      <c r="J1141">
        <f t="shared" si="233"/>
        <v>0</v>
      </c>
      <c r="K1141" s="4" t="e">
        <f t="shared" si="236"/>
        <v>#N/A</v>
      </c>
      <c r="L1141" t="e">
        <f t="shared" si="237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5"/>
        <v>0</v>
      </c>
      <c r="B1142">
        <f t="shared" si="226"/>
        <v>0</v>
      </c>
      <c r="C1142">
        <f t="shared" si="227"/>
        <v>0</v>
      </c>
      <c r="D1142">
        <f t="shared" si="228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9"/>
        <v>0</v>
      </c>
      <c r="G1142">
        <f t="shared" si="230"/>
        <v>0</v>
      </c>
      <c r="H1142">
        <f t="shared" si="231"/>
        <v>0</v>
      </c>
      <c r="I1142">
        <f t="shared" si="232"/>
        <v>0</v>
      </c>
      <c r="J1142">
        <f t="shared" si="233"/>
        <v>0</v>
      </c>
      <c r="K1142" s="4" t="e">
        <f t="shared" si="236"/>
        <v>#N/A</v>
      </c>
      <c r="L1142" t="e">
        <f t="shared" si="237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5"/>
        <v>0</v>
      </c>
      <c r="B1143">
        <f t="shared" si="226"/>
        <v>0</v>
      </c>
      <c r="C1143">
        <f t="shared" si="227"/>
        <v>0</v>
      </c>
      <c r="D1143">
        <f t="shared" si="228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9"/>
        <v>0</v>
      </c>
      <c r="G1143">
        <f t="shared" si="230"/>
        <v>0</v>
      </c>
      <c r="H1143">
        <f t="shared" si="231"/>
        <v>0</v>
      </c>
      <c r="I1143">
        <f t="shared" si="232"/>
        <v>0</v>
      </c>
      <c r="J1143">
        <f t="shared" si="233"/>
        <v>0</v>
      </c>
      <c r="K1143" s="4" t="e">
        <f t="shared" si="236"/>
        <v>#N/A</v>
      </c>
      <c r="L1143" t="e">
        <f t="shared" si="237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5"/>
        <v>0</v>
      </c>
      <c r="B1144">
        <f t="shared" si="226"/>
        <v>0</v>
      </c>
      <c r="C1144">
        <f t="shared" si="227"/>
        <v>0</v>
      </c>
      <c r="D1144">
        <f t="shared" si="228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9"/>
        <v>0</v>
      </c>
      <c r="G1144">
        <f t="shared" si="230"/>
        <v>0</v>
      </c>
      <c r="H1144">
        <f t="shared" si="231"/>
        <v>0</v>
      </c>
      <c r="I1144">
        <f t="shared" si="232"/>
        <v>0</v>
      </c>
      <c r="J1144">
        <f t="shared" si="233"/>
        <v>0</v>
      </c>
      <c r="K1144" s="4" t="e">
        <f t="shared" si="236"/>
        <v>#N/A</v>
      </c>
      <c r="L1144" t="e">
        <f t="shared" si="237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5"/>
        <v>0</v>
      </c>
      <c r="B1145">
        <f t="shared" si="226"/>
        <v>0</v>
      </c>
      <c r="C1145">
        <f t="shared" si="227"/>
        <v>0</v>
      </c>
      <c r="D1145">
        <f t="shared" si="228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9"/>
        <v>0</v>
      </c>
      <c r="G1145">
        <f t="shared" si="230"/>
        <v>0</v>
      </c>
      <c r="H1145">
        <f t="shared" si="231"/>
        <v>0</v>
      </c>
      <c r="I1145">
        <f t="shared" si="232"/>
        <v>0</v>
      </c>
      <c r="J1145">
        <f t="shared" si="233"/>
        <v>0</v>
      </c>
      <c r="K1145" s="4" t="e">
        <f t="shared" si="236"/>
        <v>#N/A</v>
      </c>
      <c r="L1145" t="e">
        <f t="shared" si="237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5"/>
        <v>0</v>
      </c>
      <c r="B1146">
        <f t="shared" si="226"/>
        <v>0</v>
      </c>
      <c r="C1146">
        <f t="shared" si="227"/>
        <v>0</v>
      </c>
      <c r="D1146">
        <f t="shared" si="228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9"/>
        <v>0</v>
      </c>
      <c r="G1146">
        <f t="shared" si="230"/>
        <v>0</v>
      </c>
      <c r="H1146">
        <f t="shared" si="231"/>
        <v>0</v>
      </c>
      <c r="I1146">
        <f t="shared" si="232"/>
        <v>0</v>
      </c>
      <c r="J1146">
        <f t="shared" si="233"/>
        <v>0</v>
      </c>
      <c r="K1146" s="4" t="e">
        <f t="shared" si="236"/>
        <v>#N/A</v>
      </c>
      <c r="L1146" t="e">
        <f t="shared" si="237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5"/>
        <v>0</v>
      </c>
      <c r="B1147">
        <f t="shared" si="226"/>
        <v>0</v>
      </c>
      <c r="C1147">
        <f t="shared" si="227"/>
        <v>0</v>
      </c>
      <c r="D1147">
        <f t="shared" si="228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9"/>
        <v>0</v>
      </c>
      <c r="G1147">
        <f t="shared" si="230"/>
        <v>0</v>
      </c>
      <c r="H1147">
        <f t="shared" si="231"/>
        <v>0</v>
      </c>
      <c r="I1147">
        <f t="shared" si="232"/>
        <v>0</v>
      </c>
      <c r="J1147">
        <f t="shared" si="233"/>
        <v>0</v>
      </c>
      <c r="K1147" s="4" t="e">
        <f t="shared" si="236"/>
        <v>#N/A</v>
      </c>
      <c r="L1147" t="e">
        <f t="shared" si="237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5"/>
        <v>0</v>
      </c>
      <c r="B1148">
        <f t="shared" si="226"/>
        <v>0</v>
      </c>
      <c r="C1148">
        <f t="shared" si="227"/>
        <v>0</v>
      </c>
      <c r="D1148">
        <f t="shared" si="228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9"/>
        <v>0</v>
      </c>
      <c r="G1148">
        <f t="shared" si="230"/>
        <v>0</v>
      </c>
      <c r="H1148">
        <f t="shared" si="231"/>
        <v>0</v>
      </c>
      <c r="I1148">
        <f t="shared" si="232"/>
        <v>0</v>
      </c>
      <c r="J1148">
        <f t="shared" si="233"/>
        <v>0</v>
      </c>
      <c r="K1148" s="4" t="e">
        <f t="shared" si="236"/>
        <v>#N/A</v>
      </c>
      <c r="L1148" t="e">
        <f t="shared" si="237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5"/>
        <v>0</v>
      </c>
      <c r="B1149">
        <f t="shared" si="226"/>
        <v>0</v>
      </c>
      <c r="C1149">
        <f t="shared" si="227"/>
        <v>0</v>
      </c>
      <c r="D1149">
        <f t="shared" si="228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9"/>
        <v>0</v>
      </c>
      <c r="G1149">
        <f t="shared" si="230"/>
        <v>0</v>
      </c>
      <c r="H1149">
        <f t="shared" si="231"/>
        <v>0</v>
      </c>
      <c r="I1149">
        <f t="shared" si="232"/>
        <v>0</v>
      </c>
      <c r="J1149">
        <f t="shared" si="233"/>
        <v>0</v>
      </c>
      <c r="K1149" s="4" t="e">
        <f t="shared" si="236"/>
        <v>#N/A</v>
      </c>
      <c r="L1149" t="e">
        <f t="shared" si="237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5"/>
        <v>0</v>
      </c>
      <c r="B1150">
        <f t="shared" si="226"/>
        <v>0</v>
      </c>
      <c r="C1150">
        <f t="shared" si="227"/>
        <v>0</v>
      </c>
      <c r="D1150">
        <f t="shared" si="228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9"/>
        <v>0</v>
      </c>
      <c r="G1150">
        <f t="shared" si="230"/>
        <v>0</v>
      </c>
      <c r="H1150">
        <f t="shared" si="231"/>
        <v>0</v>
      </c>
      <c r="I1150">
        <f t="shared" si="232"/>
        <v>0</v>
      </c>
      <c r="J1150">
        <f t="shared" si="233"/>
        <v>0</v>
      </c>
      <c r="K1150" s="4" t="e">
        <f t="shared" si="236"/>
        <v>#N/A</v>
      </c>
      <c r="L1150" t="e">
        <f t="shared" si="237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5"/>
        <v>0</v>
      </c>
      <c r="B1151">
        <f t="shared" si="226"/>
        <v>0</v>
      </c>
      <c r="C1151">
        <f t="shared" si="227"/>
        <v>0</v>
      </c>
      <c r="D1151">
        <f t="shared" si="228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9"/>
        <v>0</v>
      </c>
      <c r="G1151">
        <f t="shared" si="230"/>
        <v>0</v>
      </c>
      <c r="H1151">
        <f t="shared" si="231"/>
        <v>0</v>
      </c>
      <c r="I1151">
        <f t="shared" si="232"/>
        <v>0</v>
      </c>
      <c r="J1151">
        <f t="shared" si="233"/>
        <v>0</v>
      </c>
      <c r="K1151" s="4" t="e">
        <f t="shared" si="236"/>
        <v>#N/A</v>
      </c>
      <c r="L1151" t="e">
        <f t="shared" si="237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5"/>
        <v>0</v>
      </c>
      <c r="B1152">
        <f t="shared" si="226"/>
        <v>0</v>
      </c>
      <c r="C1152">
        <f t="shared" si="227"/>
        <v>0</v>
      </c>
      <c r="D1152">
        <f t="shared" si="228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9"/>
        <v>0</v>
      </c>
      <c r="G1152">
        <f t="shared" si="230"/>
        <v>0</v>
      </c>
      <c r="H1152">
        <f t="shared" si="231"/>
        <v>0</v>
      </c>
      <c r="I1152">
        <f t="shared" si="232"/>
        <v>0</v>
      </c>
      <c r="J1152">
        <f t="shared" si="233"/>
        <v>0</v>
      </c>
      <c r="K1152" s="4" t="e">
        <f t="shared" si="236"/>
        <v>#N/A</v>
      </c>
      <c r="L1152" t="e">
        <f t="shared" si="237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5"/>
        <v>0</v>
      </c>
      <c r="B1153">
        <f t="shared" si="226"/>
        <v>0</v>
      </c>
      <c r="C1153">
        <f t="shared" si="227"/>
        <v>0</v>
      </c>
      <c r="D1153">
        <f t="shared" si="228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9"/>
        <v>0</v>
      </c>
      <c r="G1153">
        <f t="shared" si="230"/>
        <v>0</v>
      </c>
      <c r="H1153">
        <f t="shared" si="231"/>
        <v>0</v>
      </c>
      <c r="I1153">
        <f t="shared" si="232"/>
        <v>0</v>
      </c>
      <c r="J1153">
        <f t="shared" si="233"/>
        <v>0</v>
      </c>
      <c r="K1153" s="4" t="e">
        <f t="shared" si="236"/>
        <v>#N/A</v>
      </c>
      <c r="L1153" t="e">
        <f t="shared" si="237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8">bd_campaign</f>
        <v>0</v>
      </c>
      <c r="B1154">
        <f t="shared" ref="B1154:B1217" si="239">bd_site</f>
        <v>0</v>
      </c>
      <c r="C1154">
        <f t="shared" ref="C1154:C1217" si="240">bd_placement</f>
        <v>0</v>
      </c>
      <c r="D1154">
        <f t="shared" ref="D1154:D1217" si="241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2">bd_ad</f>
        <v>0</v>
      </c>
      <c r="G1154">
        <f t="shared" ref="G1154:G1217" si="243">bd_adid</f>
        <v>0</v>
      </c>
      <c r="H1154">
        <f t="shared" ref="H1154:H1217" si="244">bd_creativetype</f>
        <v>0</v>
      </c>
      <c r="I1154">
        <f t="shared" ref="I1154:I1217" si="245">bd_impression</f>
        <v>0</v>
      </c>
      <c r="J1154">
        <f t="shared" ref="J1154:J1217" si="246">bd_clicks</f>
        <v>0</v>
      </c>
      <c r="K1154" s="4" t="e">
        <f t="shared" si="236"/>
        <v>#N/A</v>
      </c>
      <c r="L1154" t="e">
        <f t="shared" si="237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8"/>
        <v>0</v>
      </c>
      <c r="B1155">
        <f t="shared" si="239"/>
        <v>0</v>
      </c>
      <c r="C1155">
        <f t="shared" si="240"/>
        <v>0</v>
      </c>
      <c r="D1155">
        <f t="shared" si="241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2"/>
        <v>0</v>
      </c>
      <c r="G1155">
        <f t="shared" si="243"/>
        <v>0</v>
      </c>
      <c r="H1155">
        <f t="shared" si="244"/>
        <v>0</v>
      </c>
      <c r="I1155">
        <f t="shared" si="245"/>
        <v>0</v>
      </c>
      <c r="J1155">
        <f t="shared" si="246"/>
        <v>0</v>
      </c>
      <c r="K1155" s="4" t="e">
        <f t="shared" si="236"/>
        <v>#N/A</v>
      </c>
      <c r="L1155" t="e">
        <f t="shared" si="237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8"/>
        <v>0</v>
      </c>
      <c r="B1156">
        <f t="shared" si="239"/>
        <v>0</v>
      </c>
      <c r="C1156">
        <f t="shared" si="240"/>
        <v>0</v>
      </c>
      <c r="D1156">
        <f t="shared" si="241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2"/>
        <v>0</v>
      </c>
      <c r="G1156">
        <f t="shared" si="243"/>
        <v>0</v>
      </c>
      <c r="H1156">
        <f t="shared" si="244"/>
        <v>0</v>
      </c>
      <c r="I1156">
        <f t="shared" si="245"/>
        <v>0</v>
      </c>
      <c r="J1156">
        <f t="shared" si="246"/>
        <v>0</v>
      </c>
      <c r="K1156" s="4" t="e">
        <f t="shared" si="236"/>
        <v>#N/A</v>
      </c>
      <c r="L1156" t="e">
        <f t="shared" si="237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8"/>
        <v>0</v>
      </c>
      <c r="B1157">
        <f t="shared" si="239"/>
        <v>0</v>
      </c>
      <c r="C1157">
        <f t="shared" si="240"/>
        <v>0</v>
      </c>
      <c r="D1157">
        <f t="shared" si="241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2"/>
        <v>0</v>
      </c>
      <c r="G1157">
        <f t="shared" si="243"/>
        <v>0</v>
      </c>
      <c r="H1157">
        <f t="shared" si="244"/>
        <v>0</v>
      </c>
      <c r="I1157">
        <f t="shared" si="245"/>
        <v>0</v>
      </c>
      <c r="J1157">
        <f t="shared" si="246"/>
        <v>0</v>
      </c>
      <c r="K1157" s="4" t="e">
        <f t="shared" si="236"/>
        <v>#N/A</v>
      </c>
      <c r="L1157" t="e">
        <f t="shared" si="237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8"/>
        <v>0</v>
      </c>
      <c r="B1158">
        <f t="shared" si="239"/>
        <v>0</v>
      </c>
      <c r="C1158">
        <f t="shared" si="240"/>
        <v>0</v>
      </c>
      <c r="D1158">
        <f t="shared" si="241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2"/>
        <v>0</v>
      </c>
      <c r="G1158">
        <f t="shared" si="243"/>
        <v>0</v>
      </c>
      <c r="H1158">
        <f t="shared" si="244"/>
        <v>0</v>
      </c>
      <c r="I1158">
        <f t="shared" si="245"/>
        <v>0</v>
      </c>
      <c r="J1158">
        <f t="shared" si="246"/>
        <v>0</v>
      </c>
      <c r="K1158" s="4" t="e">
        <f t="shared" si="236"/>
        <v>#N/A</v>
      </c>
      <c r="L1158" t="e">
        <f t="shared" si="237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8"/>
        <v>0</v>
      </c>
      <c r="B1159">
        <f t="shared" si="239"/>
        <v>0</v>
      </c>
      <c r="C1159">
        <f t="shared" si="240"/>
        <v>0</v>
      </c>
      <c r="D1159">
        <f t="shared" si="241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2"/>
        <v>0</v>
      </c>
      <c r="G1159">
        <f t="shared" si="243"/>
        <v>0</v>
      </c>
      <c r="H1159">
        <f t="shared" si="244"/>
        <v>0</v>
      </c>
      <c r="I1159">
        <f t="shared" si="245"/>
        <v>0</v>
      </c>
      <c r="J1159">
        <f t="shared" si="246"/>
        <v>0</v>
      </c>
      <c r="K1159" s="4" t="e">
        <f t="shared" si="236"/>
        <v>#N/A</v>
      </c>
      <c r="L1159" t="e">
        <f t="shared" si="237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8"/>
        <v>0</v>
      </c>
      <c r="B1160">
        <f t="shared" si="239"/>
        <v>0</v>
      </c>
      <c r="C1160">
        <f t="shared" si="240"/>
        <v>0</v>
      </c>
      <c r="D1160">
        <f t="shared" si="241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2"/>
        <v>0</v>
      </c>
      <c r="G1160">
        <f t="shared" si="243"/>
        <v>0</v>
      </c>
      <c r="H1160">
        <f t="shared" si="244"/>
        <v>0</v>
      </c>
      <c r="I1160">
        <f t="shared" si="245"/>
        <v>0</v>
      </c>
      <c r="J1160">
        <f t="shared" si="246"/>
        <v>0</v>
      </c>
      <c r="K1160" s="4" t="e">
        <f t="shared" si="236"/>
        <v>#N/A</v>
      </c>
      <c r="L1160" t="e">
        <f t="shared" si="237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8"/>
        <v>0</v>
      </c>
      <c r="B1161">
        <f t="shared" si="239"/>
        <v>0</v>
      </c>
      <c r="C1161">
        <f t="shared" si="240"/>
        <v>0</v>
      </c>
      <c r="D1161">
        <f t="shared" si="241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2"/>
        <v>0</v>
      </c>
      <c r="G1161">
        <f t="shared" si="243"/>
        <v>0</v>
      </c>
      <c r="H1161">
        <f t="shared" si="244"/>
        <v>0</v>
      </c>
      <c r="I1161">
        <f t="shared" si="245"/>
        <v>0</v>
      </c>
      <c r="J1161">
        <f t="shared" si="246"/>
        <v>0</v>
      </c>
      <c r="K1161" s="4" t="e">
        <f t="shared" si="236"/>
        <v>#N/A</v>
      </c>
      <c r="L1161" t="e">
        <f t="shared" si="237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8"/>
        <v>0</v>
      </c>
      <c r="B1162">
        <f t="shared" si="239"/>
        <v>0</v>
      </c>
      <c r="C1162">
        <f t="shared" si="240"/>
        <v>0</v>
      </c>
      <c r="D1162">
        <f t="shared" si="241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2"/>
        <v>0</v>
      </c>
      <c r="G1162">
        <f t="shared" si="243"/>
        <v>0</v>
      </c>
      <c r="H1162">
        <f t="shared" si="244"/>
        <v>0</v>
      </c>
      <c r="I1162">
        <f t="shared" si="245"/>
        <v>0</v>
      </c>
      <c r="J1162">
        <f t="shared" si="246"/>
        <v>0</v>
      </c>
      <c r="K1162" s="4" t="e">
        <f t="shared" si="236"/>
        <v>#N/A</v>
      </c>
      <c r="L1162" t="e">
        <f t="shared" si="237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8"/>
        <v>0</v>
      </c>
      <c r="B1163">
        <f t="shared" si="239"/>
        <v>0</v>
      </c>
      <c r="C1163">
        <f t="shared" si="240"/>
        <v>0</v>
      </c>
      <c r="D1163">
        <f t="shared" si="241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2"/>
        <v>0</v>
      </c>
      <c r="G1163">
        <f t="shared" si="243"/>
        <v>0</v>
      </c>
      <c r="H1163">
        <f t="shared" si="244"/>
        <v>0</v>
      </c>
      <c r="I1163">
        <f t="shared" si="245"/>
        <v>0</v>
      </c>
      <c r="J1163">
        <f t="shared" si="246"/>
        <v>0</v>
      </c>
      <c r="K1163" s="4" t="e">
        <f t="shared" si="236"/>
        <v>#N/A</v>
      </c>
      <c r="L1163" t="e">
        <f t="shared" si="237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8"/>
        <v>0</v>
      </c>
      <c r="B1164">
        <f t="shared" si="239"/>
        <v>0</v>
      </c>
      <c r="C1164">
        <f t="shared" si="240"/>
        <v>0</v>
      </c>
      <c r="D1164">
        <f t="shared" si="241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2"/>
        <v>0</v>
      </c>
      <c r="G1164">
        <f t="shared" si="243"/>
        <v>0</v>
      </c>
      <c r="H1164">
        <f t="shared" si="244"/>
        <v>0</v>
      </c>
      <c r="I1164">
        <f t="shared" si="245"/>
        <v>0</v>
      </c>
      <c r="J1164">
        <f t="shared" si="246"/>
        <v>0</v>
      </c>
      <c r="K1164" s="4" t="e">
        <f t="shared" si="236"/>
        <v>#N/A</v>
      </c>
      <c r="L1164" t="e">
        <f t="shared" si="237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8"/>
        <v>0</v>
      </c>
      <c r="B1165">
        <f t="shared" si="239"/>
        <v>0</v>
      </c>
      <c r="C1165">
        <f t="shared" si="240"/>
        <v>0</v>
      </c>
      <c r="D1165">
        <f t="shared" si="241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2"/>
        <v>0</v>
      </c>
      <c r="G1165">
        <f t="shared" si="243"/>
        <v>0</v>
      </c>
      <c r="H1165">
        <f t="shared" si="244"/>
        <v>0</v>
      </c>
      <c r="I1165">
        <f t="shared" si="245"/>
        <v>0</v>
      </c>
      <c r="J1165">
        <f t="shared" si="246"/>
        <v>0</v>
      </c>
      <c r="K1165" s="4" t="e">
        <f t="shared" si="236"/>
        <v>#N/A</v>
      </c>
      <c r="L1165" t="e">
        <f t="shared" si="237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8"/>
        <v>0</v>
      </c>
      <c r="B1166">
        <f t="shared" si="239"/>
        <v>0</v>
      </c>
      <c r="C1166">
        <f t="shared" si="240"/>
        <v>0</v>
      </c>
      <c r="D1166">
        <f t="shared" si="241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2"/>
        <v>0</v>
      </c>
      <c r="G1166">
        <f t="shared" si="243"/>
        <v>0</v>
      </c>
      <c r="H1166">
        <f t="shared" si="244"/>
        <v>0</v>
      </c>
      <c r="I1166">
        <f t="shared" si="245"/>
        <v>0</v>
      </c>
      <c r="J1166">
        <f t="shared" si="246"/>
        <v>0</v>
      </c>
      <c r="K1166" s="4" t="e">
        <f t="shared" si="236"/>
        <v>#N/A</v>
      </c>
      <c r="L1166" t="e">
        <f t="shared" si="237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8"/>
        <v>0</v>
      </c>
      <c r="B1167">
        <f t="shared" si="239"/>
        <v>0</v>
      </c>
      <c r="C1167">
        <f t="shared" si="240"/>
        <v>0</v>
      </c>
      <c r="D1167">
        <f t="shared" si="241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2"/>
        <v>0</v>
      </c>
      <c r="G1167">
        <f t="shared" si="243"/>
        <v>0</v>
      </c>
      <c r="H1167">
        <f t="shared" si="244"/>
        <v>0</v>
      </c>
      <c r="I1167">
        <f t="shared" si="245"/>
        <v>0</v>
      </c>
      <c r="J1167">
        <f t="shared" si="246"/>
        <v>0</v>
      </c>
      <c r="K1167" s="4" t="e">
        <f t="shared" si="236"/>
        <v>#N/A</v>
      </c>
      <c r="L1167" t="e">
        <f t="shared" si="237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8"/>
        <v>0</v>
      </c>
      <c r="B1168">
        <f t="shared" si="239"/>
        <v>0</v>
      </c>
      <c r="C1168">
        <f t="shared" si="240"/>
        <v>0</v>
      </c>
      <c r="D1168">
        <f t="shared" si="241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2"/>
        <v>0</v>
      </c>
      <c r="G1168">
        <f t="shared" si="243"/>
        <v>0</v>
      </c>
      <c r="H1168">
        <f t="shared" si="244"/>
        <v>0</v>
      </c>
      <c r="I1168">
        <f t="shared" si="245"/>
        <v>0</v>
      </c>
      <c r="J1168">
        <f t="shared" si="246"/>
        <v>0</v>
      </c>
      <c r="K1168" s="4" t="e">
        <f t="shared" si="236"/>
        <v>#N/A</v>
      </c>
      <c r="L1168" t="e">
        <f t="shared" si="237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8"/>
        <v>0</v>
      </c>
      <c r="B1169">
        <f t="shared" si="239"/>
        <v>0</v>
      </c>
      <c r="C1169">
        <f t="shared" si="240"/>
        <v>0</v>
      </c>
      <c r="D1169">
        <f t="shared" si="241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2"/>
        <v>0</v>
      </c>
      <c r="G1169">
        <f t="shared" si="243"/>
        <v>0</v>
      </c>
      <c r="H1169">
        <f t="shared" si="244"/>
        <v>0</v>
      </c>
      <c r="I1169">
        <f t="shared" si="245"/>
        <v>0</v>
      </c>
      <c r="J1169">
        <f t="shared" si="246"/>
        <v>0</v>
      </c>
      <c r="K1169" s="4" t="e">
        <f t="shared" si="236"/>
        <v>#N/A</v>
      </c>
      <c r="L1169" t="e">
        <f t="shared" si="237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8"/>
        <v>0</v>
      </c>
      <c r="B1170">
        <f t="shared" si="239"/>
        <v>0</v>
      </c>
      <c r="C1170">
        <f t="shared" si="240"/>
        <v>0</v>
      </c>
      <c r="D1170">
        <f t="shared" si="241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2"/>
        <v>0</v>
      </c>
      <c r="G1170">
        <f t="shared" si="243"/>
        <v>0</v>
      </c>
      <c r="H1170">
        <f t="shared" si="244"/>
        <v>0</v>
      </c>
      <c r="I1170">
        <f t="shared" si="245"/>
        <v>0</v>
      </c>
      <c r="J1170">
        <f t="shared" si="246"/>
        <v>0</v>
      </c>
      <c r="K1170" s="4" t="e">
        <f t="shared" si="236"/>
        <v>#N/A</v>
      </c>
      <c r="L1170" t="e">
        <f t="shared" si="237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8"/>
        <v>0</v>
      </c>
      <c r="B1171">
        <f t="shared" si="239"/>
        <v>0</v>
      </c>
      <c r="C1171">
        <f t="shared" si="240"/>
        <v>0</v>
      </c>
      <c r="D1171">
        <f t="shared" si="241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2"/>
        <v>0</v>
      </c>
      <c r="G1171">
        <f t="shared" si="243"/>
        <v>0</v>
      </c>
      <c r="H1171">
        <f t="shared" si="244"/>
        <v>0</v>
      </c>
      <c r="I1171">
        <f t="shared" si="245"/>
        <v>0</v>
      </c>
      <c r="J1171">
        <f t="shared" si="246"/>
        <v>0</v>
      </c>
      <c r="K1171" s="4" t="e">
        <f t="shared" si="236"/>
        <v>#N/A</v>
      </c>
      <c r="L1171" t="e">
        <f t="shared" si="237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8"/>
        <v>0</v>
      </c>
      <c r="B1172">
        <f t="shared" si="239"/>
        <v>0</v>
      </c>
      <c r="C1172">
        <f t="shared" si="240"/>
        <v>0</v>
      </c>
      <c r="D1172">
        <f t="shared" si="241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2"/>
        <v>0</v>
      </c>
      <c r="G1172">
        <f t="shared" si="243"/>
        <v>0</v>
      </c>
      <c r="H1172">
        <f t="shared" si="244"/>
        <v>0</v>
      </c>
      <c r="I1172">
        <f t="shared" si="245"/>
        <v>0</v>
      </c>
      <c r="J1172">
        <f t="shared" si="246"/>
        <v>0</v>
      </c>
      <c r="K1172" s="4" t="e">
        <f t="shared" si="236"/>
        <v>#N/A</v>
      </c>
      <c r="L1172" t="e">
        <f t="shared" si="237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8"/>
        <v>0</v>
      </c>
      <c r="B1173">
        <f t="shared" si="239"/>
        <v>0</v>
      </c>
      <c r="C1173">
        <f t="shared" si="240"/>
        <v>0</v>
      </c>
      <c r="D1173">
        <f t="shared" si="241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2"/>
        <v>0</v>
      </c>
      <c r="G1173">
        <f t="shared" si="243"/>
        <v>0</v>
      </c>
      <c r="H1173">
        <f t="shared" si="244"/>
        <v>0</v>
      </c>
      <c r="I1173">
        <f t="shared" si="245"/>
        <v>0</v>
      </c>
      <c r="J1173">
        <f t="shared" si="246"/>
        <v>0</v>
      </c>
      <c r="K1173" s="4" t="e">
        <f t="shared" si="236"/>
        <v>#N/A</v>
      </c>
      <c r="L1173" t="e">
        <f t="shared" si="237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8"/>
        <v>0</v>
      </c>
      <c r="B1174">
        <f t="shared" si="239"/>
        <v>0</v>
      </c>
      <c r="C1174">
        <f t="shared" si="240"/>
        <v>0</v>
      </c>
      <c r="D1174">
        <f t="shared" si="241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2"/>
        <v>0</v>
      </c>
      <c r="G1174">
        <f t="shared" si="243"/>
        <v>0</v>
      </c>
      <c r="H1174">
        <f t="shared" si="244"/>
        <v>0</v>
      </c>
      <c r="I1174">
        <f t="shared" si="245"/>
        <v>0</v>
      </c>
      <c r="J1174">
        <f t="shared" si="246"/>
        <v>0</v>
      </c>
      <c r="K1174" s="4" t="e">
        <f t="shared" si="236"/>
        <v>#N/A</v>
      </c>
      <c r="L1174" t="e">
        <f t="shared" si="237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8"/>
        <v>0</v>
      </c>
      <c r="B1175">
        <f t="shared" si="239"/>
        <v>0</v>
      </c>
      <c r="C1175">
        <f t="shared" si="240"/>
        <v>0</v>
      </c>
      <c r="D1175">
        <f t="shared" si="241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2"/>
        <v>0</v>
      </c>
      <c r="G1175">
        <f t="shared" si="243"/>
        <v>0</v>
      </c>
      <c r="H1175">
        <f t="shared" si="244"/>
        <v>0</v>
      </c>
      <c r="I1175">
        <f t="shared" si="245"/>
        <v>0</v>
      </c>
      <c r="J1175">
        <f t="shared" si="246"/>
        <v>0</v>
      </c>
      <c r="K1175" s="4" t="e">
        <f t="shared" si="236"/>
        <v>#N/A</v>
      </c>
      <c r="L1175" t="e">
        <f t="shared" si="237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8"/>
        <v>0</v>
      </c>
      <c r="B1176">
        <f t="shared" si="239"/>
        <v>0</v>
      </c>
      <c r="C1176">
        <f t="shared" si="240"/>
        <v>0</v>
      </c>
      <c r="D1176">
        <f t="shared" si="241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2"/>
        <v>0</v>
      </c>
      <c r="G1176">
        <f t="shared" si="243"/>
        <v>0</v>
      </c>
      <c r="H1176">
        <f t="shared" si="244"/>
        <v>0</v>
      </c>
      <c r="I1176">
        <f t="shared" si="245"/>
        <v>0</v>
      </c>
      <c r="J1176">
        <f t="shared" si="246"/>
        <v>0</v>
      </c>
      <c r="K1176" s="4" t="e">
        <f t="shared" si="236"/>
        <v>#N/A</v>
      </c>
      <c r="L1176" t="e">
        <f t="shared" si="237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8"/>
        <v>0</v>
      </c>
      <c r="B1177">
        <f t="shared" si="239"/>
        <v>0</v>
      </c>
      <c r="C1177">
        <f t="shared" si="240"/>
        <v>0</v>
      </c>
      <c r="D1177">
        <f t="shared" si="241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2"/>
        <v>0</v>
      </c>
      <c r="G1177">
        <f t="shared" si="243"/>
        <v>0</v>
      </c>
      <c r="H1177">
        <f t="shared" si="244"/>
        <v>0</v>
      </c>
      <c r="I1177">
        <f t="shared" si="245"/>
        <v>0</v>
      </c>
      <c r="J1177">
        <f t="shared" si="246"/>
        <v>0</v>
      </c>
      <c r="K1177" s="4" t="e">
        <f t="shared" si="236"/>
        <v>#N/A</v>
      </c>
      <c r="L1177" t="e">
        <f t="shared" si="237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8"/>
        <v>0</v>
      </c>
      <c r="B1178">
        <f t="shared" si="239"/>
        <v>0</v>
      </c>
      <c r="C1178">
        <f t="shared" si="240"/>
        <v>0</v>
      </c>
      <c r="D1178">
        <f t="shared" si="241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2"/>
        <v>0</v>
      </c>
      <c r="G1178">
        <f t="shared" si="243"/>
        <v>0</v>
      </c>
      <c r="H1178">
        <f t="shared" si="244"/>
        <v>0</v>
      </c>
      <c r="I1178">
        <f t="shared" si="245"/>
        <v>0</v>
      </c>
      <c r="J1178">
        <f t="shared" si="246"/>
        <v>0</v>
      </c>
      <c r="K1178" s="4" t="e">
        <f t="shared" si="236"/>
        <v>#N/A</v>
      </c>
      <c r="L1178" t="e">
        <f t="shared" si="237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8"/>
        <v>0</v>
      </c>
      <c r="B1179">
        <f t="shared" si="239"/>
        <v>0</v>
      </c>
      <c r="C1179">
        <f t="shared" si="240"/>
        <v>0</v>
      </c>
      <c r="D1179">
        <f t="shared" si="241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2"/>
        <v>0</v>
      </c>
      <c r="G1179">
        <f t="shared" si="243"/>
        <v>0</v>
      </c>
      <c r="H1179">
        <f t="shared" si="244"/>
        <v>0</v>
      </c>
      <c r="I1179">
        <f t="shared" si="245"/>
        <v>0</v>
      </c>
      <c r="J1179">
        <f t="shared" si="246"/>
        <v>0</v>
      </c>
      <c r="K1179" s="4" t="e">
        <f t="shared" si="236"/>
        <v>#N/A</v>
      </c>
      <c r="L1179" t="e">
        <f t="shared" si="237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8"/>
        <v>0</v>
      </c>
      <c r="B1180">
        <f t="shared" si="239"/>
        <v>0</v>
      </c>
      <c r="C1180">
        <f t="shared" si="240"/>
        <v>0</v>
      </c>
      <c r="D1180">
        <f t="shared" si="241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2"/>
        <v>0</v>
      </c>
      <c r="G1180">
        <f t="shared" si="243"/>
        <v>0</v>
      </c>
      <c r="H1180">
        <f t="shared" si="244"/>
        <v>0</v>
      </c>
      <c r="I1180">
        <f t="shared" si="245"/>
        <v>0</v>
      </c>
      <c r="J1180">
        <f t="shared" si="246"/>
        <v>0</v>
      </c>
      <c r="K1180" s="4" t="e">
        <f t="shared" si="236"/>
        <v>#N/A</v>
      </c>
      <c r="L1180" t="e">
        <f t="shared" si="237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8"/>
        <v>0</v>
      </c>
      <c r="B1181">
        <f t="shared" si="239"/>
        <v>0</v>
      </c>
      <c r="C1181">
        <f t="shared" si="240"/>
        <v>0</v>
      </c>
      <c r="D1181">
        <f t="shared" si="241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2"/>
        <v>0</v>
      </c>
      <c r="G1181">
        <f t="shared" si="243"/>
        <v>0</v>
      </c>
      <c r="H1181">
        <f t="shared" si="244"/>
        <v>0</v>
      </c>
      <c r="I1181">
        <f t="shared" si="245"/>
        <v>0</v>
      </c>
      <c r="J1181">
        <f t="shared" si="246"/>
        <v>0</v>
      </c>
      <c r="K1181" s="4" t="e">
        <f t="shared" si="236"/>
        <v>#N/A</v>
      </c>
      <c r="L1181" t="e">
        <f t="shared" si="237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8"/>
        <v>0</v>
      </c>
      <c r="B1182">
        <f t="shared" si="239"/>
        <v>0</v>
      </c>
      <c r="C1182">
        <f t="shared" si="240"/>
        <v>0</v>
      </c>
      <c r="D1182">
        <f t="shared" si="241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2"/>
        <v>0</v>
      </c>
      <c r="G1182">
        <f t="shared" si="243"/>
        <v>0</v>
      </c>
      <c r="H1182">
        <f t="shared" si="244"/>
        <v>0</v>
      </c>
      <c r="I1182">
        <f t="shared" si="245"/>
        <v>0</v>
      </c>
      <c r="J1182">
        <f t="shared" si="246"/>
        <v>0</v>
      </c>
      <c r="K1182" s="4" t="e">
        <f t="shared" si="236"/>
        <v>#N/A</v>
      </c>
      <c r="L1182" t="e">
        <f t="shared" si="237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8"/>
        <v>0</v>
      </c>
      <c r="B1183">
        <f t="shared" si="239"/>
        <v>0</v>
      </c>
      <c r="C1183">
        <f t="shared" si="240"/>
        <v>0</v>
      </c>
      <c r="D1183">
        <f t="shared" si="241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2"/>
        <v>0</v>
      </c>
      <c r="G1183">
        <f t="shared" si="243"/>
        <v>0</v>
      </c>
      <c r="H1183">
        <f t="shared" si="244"/>
        <v>0</v>
      </c>
      <c r="I1183">
        <f t="shared" si="245"/>
        <v>0</v>
      </c>
      <c r="J1183">
        <f t="shared" si="246"/>
        <v>0</v>
      </c>
      <c r="K1183" s="4" t="e">
        <f t="shared" si="236"/>
        <v>#N/A</v>
      </c>
      <c r="L1183" t="e">
        <f t="shared" si="237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8"/>
        <v>0</v>
      </c>
      <c r="B1184">
        <f t="shared" si="239"/>
        <v>0</v>
      </c>
      <c r="C1184">
        <f t="shared" si="240"/>
        <v>0</v>
      </c>
      <c r="D1184">
        <f t="shared" si="241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2"/>
        <v>0</v>
      </c>
      <c r="G1184">
        <f t="shared" si="243"/>
        <v>0</v>
      </c>
      <c r="H1184">
        <f t="shared" si="244"/>
        <v>0</v>
      </c>
      <c r="I1184">
        <f t="shared" si="245"/>
        <v>0</v>
      </c>
      <c r="J1184">
        <f t="shared" si="246"/>
        <v>0</v>
      </c>
      <c r="K1184" s="4" t="e">
        <f t="shared" si="236"/>
        <v>#N/A</v>
      </c>
      <c r="L1184" t="e">
        <f t="shared" si="237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8"/>
        <v>0</v>
      </c>
      <c r="B1185">
        <f t="shared" si="239"/>
        <v>0</v>
      </c>
      <c r="C1185">
        <f t="shared" si="240"/>
        <v>0</v>
      </c>
      <c r="D1185">
        <f t="shared" si="241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2"/>
        <v>0</v>
      </c>
      <c r="G1185">
        <f t="shared" si="243"/>
        <v>0</v>
      </c>
      <c r="H1185">
        <f t="shared" si="244"/>
        <v>0</v>
      </c>
      <c r="I1185">
        <f t="shared" si="245"/>
        <v>0</v>
      </c>
      <c r="J1185">
        <f t="shared" si="246"/>
        <v>0</v>
      </c>
      <c r="K1185" s="4" t="e">
        <f t="shared" si="236"/>
        <v>#N/A</v>
      </c>
      <c r="L1185" t="e">
        <f t="shared" si="237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8"/>
        <v>0</v>
      </c>
      <c r="B1186">
        <f t="shared" si="239"/>
        <v>0</v>
      </c>
      <c r="C1186">
        <f t="shared" si="240"/>
        <v>0</v>
      </c>
      <c r="D1186">
        <f t="shared" si="241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2"/>
        <v>0</v>
      </c>
      <c r="G1186">
        <f t="shared" si="243"/>
        <v>0</v>
      </c>
      <c r="H1186">
        <f t="shared" si="244"/>
        <v>0</v>
      </c>
      <c r="I1186">
        <f t="shared" si="245"/>
        <v>0</v>
      </c>
      <c r="J1186">
        <f t="shared" si="246"/>
        <v>0</v>
      </c>
      <c r="K1186" s="4" t="e">
        <f t="shared" si="236"/>
        <v>#N/A</v>
      </c>
      <c r="L1186" t="e">
        <f t="shared" si="237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8"/>
        <v>0</v>
      </c>
      <c r="B1187">
        <f t="shared" si="239"/>
        <v>0</v>
      </c>
      <c r="C1187">
        <f t="shared" si="240"/>
        <v>0</v>
      </c>
      <c r="D1187">
        <f t="shared" si="241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2"/>
        <v>0</v>
      </c>
      <c r="G1187">
        <f t="shared" si="243"/>
        <v>0</v>
      </c>
      <c r="H1187">
        <f t="shared" si="244"/>
        <v>0</v>
      </c>
      <c r="I1187">
        <f t="shared" si="245"/>
        <v>0</v>
      </c>
      <c r="J1187">
        <f t="shared" si="246"/>
        <v>0</v>
      </c>
      <c r="K1187" s="4" t="e">
        <f t="shared" si="236"/>
        <v>#N/A</v>
      </c>
      <c r="L1187" t="e">
        <f t="shared" si="237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8"/>
        <v>0</v>
      </c>
      <c r="B1188">
        <f t="shared" si="239"/>
        <v>0</v>
      </c>
      <c r="C1188">
        <f t="shared" si="240"/>
        <v>0</v>
      </c>
      <c r="D1188">
        <f t="shared" si="241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2"/>
        <v>0</v>
      </c>
      <c r="G1188">
        <f t="shared" si="243"/>
        <v>0</v>
      </c>
      <c r="H1188">
        <f t="shared" si="244"/>
        <v>0</v>
      </c>
      <c r="I1188">
        <f t="shared" si="245"/>
        <v>0</v>
      </c>
      <c r="J1188">
        <f t="shared" si="246"/>
        <v>0</v>
      </c>
      <c r="K1188" s="4" t="e">
        <f t="shared" si="236"/>
        <v>#N/A</v>
      </c>
      <c r="L1188" t="e">
        <f t="shared" si="237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8"/>
        <v>0</v>
      </c>
      <c r="B1189">
        <f t="shared" si="239"/>
        <v>0</v>
      </c>
      <c r="C1189">
        <f t="shared" si="240"/>
        <v>0</v>
      </c>
      <c r="D1189">
        <f t="shared" si="241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2"/>
        <v>0</v>
      </c>
      <c r="G1189">
        <f t="shared" si="243"/>
        <v>0</v>
      </c>
      <c r="H1189">
        <f t="shared" si="244"/>
        <v>0</v>
      </c>
      <c r="I1189">
        <f t="shared" si="245"/>
        <v>0</v>
      </c>
      <c r="J1189">
        <f t="shared" si="246"/>
        <v>0</v>
      </c>
      <c r="K1189" s="4" t="e">
        <f t="shared" si="236"/>
        <v>#N/A</v>
      </c>
      <c r="L1189" t="e">
        <f t="shared" si="237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8"/>
        <v>0</v>
      </c>
      <c r="B1190">
        <f t="shared" si="239"/>
        <v>0</v>
      </c>
      <c r="C1190">
        <f t="shared" si="240"/>
        <v>0</v>
      </c>
      <c r="D1190">
        <f t="shared" si="241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2"/>
        <v>0</v>
      </c>
      <c r="G1190">
        <f t="shared" si="243"/>
        <v>0</v>
      </c>
      <c r="H1190">
        <f t="shared" si="244"/>
        <v>0</v>
      </c>
      <c r="I1190">
        <f t="shared" si="245"/>
        <v>0</v>
      </c>
      <c r="J1190">
        <f t="shared" si="246"/>
        <v>0</v>
      </c>
      <c r="K1190" s="4" t="e">
        <f t="shared" si="236"/>
        <v>#N/A</v>
      </c>
      <c r="L1190" t="e">
        <f t="shared" si="237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8"/>
        <v>0</v>
      </c>
      <c r="B1191">
        <f t="shared" si="239"/>
        <v>0</v>
      </c>
      <c r="C1191">
        <f t="shared" si="240"/>
        <v>0</v>
      </c>
      <c r="D1191">
        <f t="shared" si="241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2"/>
        <v>0</v>
      </c>
      <c r="G1191">
        <f t="shared" si="243"/>
        <v>0</v>
      </c>
      <c r="H1191">
        <f t="shared" si="244"/>
        <v>0</v>
      </c>
      <c r="I1191">
        <f t="shared" si="245"/>
        <v>0</v>
      </c>
      <c r="J1191">
        <f t="shared" si="246"/>
        <v>0</v>
      </c>
      <c r="K1191" s="4" t="e">
        <f t="shared" si="236"/>
        <v>#N/A</v>
      </c>
      <c r="L1191" t="e">
        <f t="shared" si="237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8"/>
        <v>0</v>
      </c>
      <c r="B1192">
        <f t="shared" si="239"/>
        <v>0</v>
      </c>
      <c r="C1192">
        <f t="shared" si="240"/>
        <v>0</v>
      </c>
      <c r="D1192">
        <f t="shared" si="241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2"/>
        <v>0</v>
      </c>
      <c r="G1192">
        <f t="shared" si="243"/>
        <v>0</v>
      </c>
      <c r="H1192">
        <f t="shared" si="244"/>
        <v>0</v>
      </c>
      <c r="I1192">
        <f t="shared" si="245"/>
        <v>0</v>
      </c>
      <c r="J1192">
        <f t="shared" si="246"/>
        <v>0</v>
      </c>
      <c r="K1192" s="4" t="e">
        <f t="shared" si="236"/>
        <v>#N/A</v>
      </c>
      <c r="L1192" t="e">
        <f t="shared" si="237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8"/>
        <v>0</v>
      </c>
      <c r="B1193">
        <f t="shared" si="239"/>
        <v>0</v>
      </c>
      <c r="C1193">
        <f t="shared" si="240"/>
        <v>0</v>
      </c>
      <c r="D1193">
        <f t="shared" si="241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2"/>
        <v>0</v>
      </c>
      <c r="G1193">
        <f t="shared" si="243"/>
        <v>0</v>
      </c>
      <c r="H1193">
        <f t="shared" si="244"/>
        <v>0</v>
      </c>
      <c r="I1193">
        <f t="shared" si="245"/>
        <v>0</v>
      </c>
      <c r="J1193">
        <f t="shared" si="246"/>
        <v>0</v>
      </c>
      <c r="K1193" s="4" t="e">
        <f t="shared" si="236"/>
        <v>#N/A</v>
      </c>
      <c r="L1193" t="e">
        <f t="shared" si="237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8"/>
        <v>0</v>
      </c>
      <c r="B1194">
        <f t="shared" si="239"/>
        <v>0</v>
      </c>
      <c r="C1194">
        <f t="shared" si="240"/>
        <v>0</v>
      </c>
      <c r="D1194">
        <f t="shared" si="241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2"/>
        <v>0</v>
      </c>
      <c r="G1194">
        <f t="shared" si="243"/>
        <v>0</v>
      </c>
      <c r="H1194">
        <f t="shared" si="244"/>
        <v>0</v>
      </c>
      <c r="I1194">
        <f t="shared" si="245"/>
        <v>0</v>
      </c>
      <c r="J1194">
        <f t="shared" si="246"/>
        <v>0</v>
      </c>
      <c r="K1194" s="4" t="e">
        <f t="shared" si="236"/>
        <v>#N/A</v>
      </c>
      <c r="L1194" t="e">
        <f t="shared" si="237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8"/>
        <v>0</v>
      </c>
      <c r="B1195">
        <f t="shared" si="239"/>
        <v>0</v>
      </c>
      <c r="C1195">
        <f t="shared" si="240"/>
        <v>0</v>
      </c>
      <c r="D1195">
        <f t="shared" si="241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2"/>
        <v>0</v>
      </c>
      <c r="G1195">
        <f t="shared" si="243"/>
        <v>0</v>
      </c>
      <c r="H1195">
        <f t="shared" si="244"/>
        <v>0</v>
      </c>
      <c r="I1195">
        <f t="shared" si="245"/>
        <v>0</v>
      </c>
      <c r="J1195">
        <f t="shared" si="246"/>
        <v>0</v>
      </c>
      <c r="K1195" s="4" t="e">
        <f t="shared" si="236"/>
        <v>#N/A</v>
      </c>
      <c r="L1195" t="e">
        <f t="shared" si="237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8"/>
        <v>0</v>
      </c>
      <c r="B1196">
        <f t="shared" si="239"/>
        <v>0</v>
      </c>
      <c r="C1196">
        <f t="shared" si="240"/>
        <v>0</v>
      </c>
      <c r="D1196">
        <f t="shared" si="241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2"/>
        <v>0</v>
      </c>
      <c r="G1196">
        <f t="shared" si="243"/>
        <v>0</v>
      </c>
      <c r="H1196">
        <f t="shared" si="244"/>
        <v>0</v>
      </c>
      <c r="I1196">
        <f t="shared" si="245"/>
        <v>0</v>
      </c>
      <c r="J1196">
        <f t="shared" si="246"/>
        <v>0</v>
      </c>
      <c r="K1196" s="4" t="e">
        <f t="shared" ref="K1196:K1259" si="249">IF(LEFT(B1196,3)="DBM",0,VLOOKUP(E1196,tabela,2,FALSE))</f>
        <v>#N/A</v>
      </c>
      <c r="L1196" t="e">
        <f t="shared" ref="L1196:L1259" si="250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8"/>
        <v>0</v>
      </c>
      <c r="B1197">
        <f t="shared" si="239"/>
        <v>0</v>
      </c>
      <c r="C1197">
        <f t="shared" si="240"/>
        <v>0</v>
      </c>
      <c r="D1197">
        <f t="shared" si="241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2"/>
        <v>0</v>
      </c>
      <c r="G1197">
        <f t="shared" si="243"/>
        <v>0</v>
      </c>
      <c r="H1197">
        <f t="shared" si="244"/>
        <v>0</v>
      </c>
      <c r="I1197">
        <f t="shared" si="245"/>
        <v>0</v>
      </c>
      <c r="J1197">
        <f t="shared" si="246"/>
        <v>0</v>
      </c>
      <c r="K1197" s="4" t="e">
        <f t="shared" si="249"/>
        <v>#N/A</v>
      </c>
      <c r="L1197" t="e">
        <f t="shared" si="250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8"/>
        <v>0</v>
      </c>
      <c r="B1198">
        <f t="shared" si="239"/>
        <v>0</v>
      </c>
      <c r="C1198">
        <f t="shared" si="240"/>
        <v>0</v>
      </c>
      <c r="D1198">
        <f t="shared" si="241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2"/>
        <v>0</v>
      </c>
      <c r="G1198">
        <f t="shared" si="243"/>
        <v>0</v>
      </c>
      <c r="H1198">
        <f t="shared" si="244"/>
        <v>0</v>
      </c>
      <c r="I1198">
        <f t="shared" si="245"/>
        <v>0</v>
      </c>
      <c r="J1198">
        <f t="shared" si="246"/>
        <v>0</v>
      </c>
      <c r="K1198" s="4" t="e">
        <f t="shared" si="249"/>
        <v>#N/A</v>
      </c>
      <c r="L1198" t="e">
        <f t="shared" si="250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8"/>
        <v>0</v>
      </c>
      <c r="B1199">
        <f t="shared" si="239"/>
        <v>0</v>
      </c>
      <c r="C1199">
        <f t="shared" si="240"/>
        <v>0</v>
      </c>
      <c r="D1199">
        <f t="shared" si="241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2"/>
        <v>0</v>
      </c>
      <c r="G1199">
        <f t="shared" si="243"/>
        <v>0</v>
      </c>
      <c r="H1199">
        <f t="shared" si="244"/>
        <v>0</v>
      </c>
      <c r="I1199">
        <f t="shared" si="245"/>
        <v>0</v>
      </c>
      <c r="J1199">
        <f t="shared" si="246"/>
        <v>0</v>
      </c>
      <c r="K1199" s="4" t="e">
        <f t="shared" si="249"/>
        <v>#N/A</v>
      </c>
      <c r="L1199" t="e">
        <f t="shared" si="250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8"/>
        <v>0</v>
      </c>
      <c r="B1200">
        <f t="shared" si="239"/>
        <v>0</v>
      </c>
      <c r="C1200">
        <f t="shared" si="240"/>
        <v>0</v>
      </c>
      <c r="D1200">
        <f t="shared" si="241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2"/>
        <v>0</v>
      </c>
      <c r="G1200">
        <f t="shared" si="243"/>
        <v>0</v>
      </c>
      <c r="H1200">
        <f t="shared" si="244"/>
        <v>0</v>
      </c>
      <c r="I1200">
        <f t="shared" si="245"/>
        <v>0</v>
      </c>
      <c r="J1200">
        <f t="shared" si="246"/>
        <v>0</v>
      </c>
      <c r="K1200" s="4" t="e">
        <f t="shared" si="249"/>
        <v>#N/A</v>
      </c>
      <c r="L1200" t="e">
        <f t="shared" si="250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8"/>
        <v>0</v>
      </c>
      <c r="B1201">
        <f t="shared" si="239"/>
        <v>0</v>
      </c>
      <c r="C1201">
        <f t="shared" si="240"/>
        <v>0</v>
      </c>
      <c r="D1201">
        <f t="shared" si="241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2"/>
        <v>0</v>
      </c>
      <c r="G1201">
        <f t="shared" si="243"/>
        <v>0</v>
      </c>
      <c r="H1201">
        <f t="shared" si="244"/>
        <v>0</v>
      </c>
      <c r="I1201">
        <f t="shared" si="245"/>
        <v>0</v>
      </c>
      <c r="J1201">
        <f t="shared" si="246"/>
        <v>0</v>
      </c>
      <c r="K1201" s="4" t="e">
        <f t="shared" si="249"/>
        <v>#N/A</v>
      </c>
      <c r="L1201" t="e">
        <f t="shared" si="250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8"/>
        <v>0</v>
      </c>
      <c r="B1202">
        <f t="shared" si="239"/>
        <v>0</v>
      </c>
      <c r="C1202">
        <f t="shared" si="240"/>
        <v>0</v>
      </c>
      <c r="D1202">
        <f t="shared" si="241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2"/>
        <v>0</v>
      </c>
      <c r="G1202">
        <f t="shared" si="243"/>
        <v>0</v>
      </c>
      <c r="H1202">
        <f t="shared" si="244"/>
        <v>0</v>
      </c>
      <c r="I1202">
        <f t="shared" si="245"/>
        <v>0</v>
      </c>
      <c r="J1202">
        <f t="shared" si="246"/>
        <v>0</v>
      </c>
      <c r="K1202" s="4" t="e">
        <f t="shared" si="249"/>
        <v>#N/A</v>
      </c>
      <c r="L1202" t="e">
        <f t="shared" si="250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8"/>
        <v>0</v>
      </c>
      <c r="B1203">
        <f t="shared" si="239"/>
        <v>0</v>
      </c>
      <c r="C1203">
        <f t="shared" si="240"/>
        <v>0</v>
      </c>
      <c r="D1203">
        <f t="shared" si="241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2"/>
        <v>0</v>
      </c>
      <c r="G1203">
        <f t="shared" si="243"/>
        <v>0</v>
      </c>
      <c r="H1203">
        <f t="shared" si="244"/>
        <v>0</v>
      </c>
      <c r="I1203">
        <f t="shared" si="245"/>
        <v>0</v>
      </c>
      <c r="J1203">
        <f t="shared" si="246"/>
        <v>0</v>
      </c>
      <c r="K1203" s="4" t="e">
        <f t="shared" si="249"/>
        <v>#N/A</v>
      </c>
      <c r="L1203" t="e">
        <f t="shared" si="250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8"/>
        <v>0</v>
      </c>
      <c r="B1204">
        <f t="shared" si="239"/>
        <v>0</v>
      </c>
      <c r="C1204">
        <f t="shared" si="240"/>
        <v>0</v>
      </c>
      <c r="D1204">
        <f t="shared" si="241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2"/>
        <v>0</v>
      </c>
      <c r="G1204">
        <f t="shared" si="243"/>
        <v>0</v>
      </c>
      <c r="H1204">
        <f t="shared" si="244"/>
        <v>0</v>
      </c>
      <c r="I1204">
        <f t="shared" si="245"/>
        <v>0</v>
      </c>
      <c r="J1204">
        <f t="shared" si="246"/>
        <v>0</v>
      </c>
      <c r="K1204" s="4" t="e">
        <f t="shared" si="249"/>
        <v>#N/A</v>
      </c>
      <c r="L1204" t="e">
        <f t="shared" si="250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8"/>
        <v>0</v>
      </c>
      <c r="B1205">
        <f t="shared" si="239"/>
        <v>0</v>
      </c>
      <c r="C1205">
        <f t="shared" si="240"/>
        <v>0</v>
      </c>
      <c r="D1205">
        <f t="shared" si="241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2"/>
        <v>0</v>
      </c>
      <c r="G1205">
        <f t="shared" si="243"/>
        <v>0</v>
      </c>
      <c r="H1205">
        <f t="shared" si="244"/>
        <v>0</v>
      </c>
      <c r="I1205">
        <f t="shared" si="245"/>
        <v>0</v>
      </c>
      <c r="J1205">
        <f t="shared" si="246"/>
        <v>0</v>
      </c>
      <c r="K1205" s="4" t="e">
        <f t="shared" si="249"/>
        <v>#N/A</v>
      </c>
      <c r="L1205" t="e">
        <f t="shared" si="250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8"/>
        <v>0</v>
      </c>
      <c r="B1206">
        <f t="shared" si="239"/>
        <v>0</v>
      </c>
      <c r="C1206">
        <f t="shared" si="240"/>
        <v>0</v>
      </c>
      <c r="D1206">
        <f t="shared" si="241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2"/>
        <v>0</v>
      </c>
      <c r="G1206">
        <f t="shared" si="243"/>
        <v>0</v>
      </c>
      <c r="H1206">
        <f t="shared" si="244"/>
        <v>0</v>
      </c>
      <c r="I1206">
        <f t="shared" si="245"/>
        <v>0</v>
      </c>
      <c r="J1206">
        <f t="shared" si="246"/>
        <v>0</v>
      </c>
      <c r="K1206" s="4" t="e">
        <f t="shared" si="249"/>
        <v>#N/A</v>
      </c>
      <c r="L1206" t="e">
        <f t="shared" si="250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8"/>
        <v>0</v>
      </c>
      <c r="B1207">
        <f t="shared" si="239"/>
        <v>0</v>
      </c>
      <c r="C1207">
        <f t="shared" si="240"/>
        <v>0</v>
      </c>
      <c r="D1207">
        <f t="shared" si="241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2"/>
        <v>0</v>
      </c>
      <c r="G1207">
        <f t="shared" si="243"/>
        <v>0</v>
      </c>
      <c r="H1207">
        <f t="shared" si="244"/>
        <v>0</v>
      </c>
      <c r="I1207">
        <f t="shared" si="245"/>
        <v>0</v>
      </c>
      <c r="J1207">
        <f t="shared" si="246"/>
        <v>0</v>
      </c>
      <c r="K1207" s="4" t="e">
        <f t="shared" si="249"/>
        <v>#N/A</v>
      </c>
      <c r="L1207" t="e">
        <f t="shared" si="250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8"/>
        <v>0</v>
      </c>
      <c r="B1208">
        <f t="shared" si="239"/>
        <v>0</v>
      </c>
      <c r="C1208">
        <f t="shared" si="240"/>
        <v>0</v>
      </c>
      <c r="D1208">
        <f t="shared" si="241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2"/>
        <v>0</v>
      </c>
      <c r="G1208">
        <f t="shared" si="243"/>
        <v>0</v>
      </c>
      <c r="H1208">
        <f t="shared" si="244"/>
        <v>0</v>
      </c>
      <c r="I1208">
        <f t="shared" si="245"/>
        <v>0</v>
      </c>
      <c r="J1208">
        <f t="shared" si="246"/>
        <v>0</v>
      </c>
      <c r="K1208" s="4" t="e">
        <f t="shared" si="249"/>
        <v>#N/A</v>
      </c>
      <c r="L1208" t="e">
        <f t="shared" si="250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8"/>
        <v>0</v>
      </c>
      <c r="B1209">
        <f t="shared" si="239"/>
        <v>0</v>
      </c>
      <c r="C1209">
        <f t="shared" si="240"/>
        <v>0</v>
      </c>
      <c r="D1209">
        <f t="shared" si="241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2"/>
        <v>0</v>
      </c>
      <c r="G1209">
        <f t="shared" si="243"/>
        <v>0</v>
      </c>
      <c r="H1209">
        <f t="shared" si="244"/>
        <v>0</v>
      </c>
      <c r="I1209">
        <f t="shared" si="245"/>
        <v>0</v>
      </c>
      <c r="J1209">
        <f t="shared" si="246"/>
        <v>0</v>
      </c>
      <c r="K1209" s="4" t="e">
        <f t="shared" si="249"/>
        <v>#N/A</v>
      </c>
      <c r="L1209" t="e">
        <f t="shared" si="250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8"/>
        <v>0</v>
      </c>
      <c r="B1210">
        <f t="shared" si="239"/>
        <v>0</v>
      </c>
      <c r="C1210">
        <f t="shared" si="240"/>
        <v>0</v>
      </c>
      <c r="D1210">
        <f t="shared" si="241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2"/>
        <v>0</v>
      </c>
      <c r="G1210">
        <f t="shared" si="243"/>
        <v>0</v>
      </c>
      <c r="H1210">
        <f t="shared" si="244"/>
        <v>0</v>
      </c>
      <c r="I1210">
        <f t="shared" si="245"/>
        <v>0</v>
      </c>
      <c r="J1210">
        <f t="shared" si="246"/>
        <v>0</v>
      </c>
      <c r="K1210" s="4" t="e">
        <f t="shared" si="249"/>
        <v>#N/A</v>
      </c>
      <c r="L1210" t="e">
        <f t="shared" si="250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8"/>
        <v>0</v>
      </c>
      <c r="B1211">
        <f t="shared" si="239"/>
        <v>0</v>
      </c>
      <c r="C1211">
        <f t="shared" si="240"/>
        <v>0</v>
      </c>
      <c r="D1211">
        <f t="shared" si="241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2"/>
        <v>0</v>
      </c>
      <c r="G1211">
        <f t="shared" si="243"/>
        <v>0</v>
      </c>
      <c r="H1211">
        <f t="shared" si="244"/>
        <v>0</v>
      </c>
      <c r="I1211">
        <f t="shared" si="245"/>
        <v>0</v>
      </c>
      <c r="J1211">
        <f t="shared" si="246"/>
        <v>0</v>
      </c>
      <c r="K1211" s="4" t="e">
        <f t="shared" si="249"/>
        <v>#N/A</v>
      </c>
      <c r="L1211" t="e">
        <f t="shared" si="250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8"/>
        <v>0</v>
      </c>
      <c r="B1212">
        <f t="shared" si="239"/>
        <v>0</v>
      </c>
      <c r="C1212">
        <f t="shared" si="240"/>
        <v>0</v>
      </c>
      <c r="D1212">
        <f t="shared" si="241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2"/>
        <v>0</v>
      </c>
      <c r="G1212">
        <f t="shared" si="243"/>
        <v>0</v>
      </c>
      <c r="H1212">
        <f t="shared" si="244"/>
        <v>0</v>
      </c>
      <c r="I1212">
        <f t="shared" si="245"/>
        <v>0</v>
      </c>
      <c r="J1212">
        <f t="shared" si="246"/>
        <v>0</v>
      </c>
      <c r="K1212" s="4" t="e">
        <f t="shared" si="249"/>
        <v>#N/A</v>
      </c>
      <c r="L1212" t="e">
        <f t="shared" si="250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8"/>
        <v>0</v>
      </c>
      <c r="B1213">
        <f t="shared" si="239"/>
        <v>0</v>
      </c>
      <c r="C1213">
        <f t="shared" si="240"/>
        <v>0</v>
      </c>
      <c r="D1213">
        <f t="shared" si="241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2"/>
        <v>0</v>
      </c>
      <c r="G1213">
        <f t="shared" si="243"/>
        <v>0</v>
      </c>
      <c r="H1213">
        <f t="shared" si="244"/>
        <v>0</v>
      </c>
      <c r="I1213">
        <f t="shared" si="245"/>
        <v>0</v>
      </c>
      <c r="J1213">
        <f t="shared" si="246"/>
        <v>0</v>
      </c>
      <c r="K1213" s="4" t="e">
        <f t="shared" si="249"/>
        <v>#N/A</v>
      </c>
      <c r="L1213" t="e">
        <f t="shared" si="250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8"/>
        <v>0</v>
      </c>
      <c r="B1214">
        <f t="shared" si="239"/>
        <v>0</v>
      </c>
      <c r="C1214">
        <f t="shared" si="240"/>
        <v>0</v>
      </c>
      <c r="D1214">
        <f t="shared" si="241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2"/>
        <v>0</v>
      </c>
      <c r="G1214">
        <f t="shared" si="243"/>
        <v>0</v>
      </c>
      <c r="H1214">
        <f t="shared" si="244"/>
        <v>0</v>
      </c>
      <c r="I1214">
        <f t="shared" si="245"/>
        <v>0</v>
      </c>
      <c r="J1214">
        <f t="shared" si="246"/>
        <v>0</v>
      </c>
      <c r="K1214" s="4" t="e">
        <f t="shared" si="249"/>
        <v>#N/A</v>
      </c>
      <c r="L1214" t="e">
        <f t="shared" si="250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8"/>
        <v>0</v>
      </c>
      <c r="B1215">
        <f t="shared" si="239"/>
        <v>0</v>
      </c>
      <c r="C1215">
        <f t="shared" si="240"/>
        <v>0</v>
      </c>
      <c r="D1215">
        <f t="shared" si="241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2"/>
        <v>0</v>
      </c>
      <c r="G1215">
        <f t="shared" si="243"/>
        <v>0</v>
      </c>
      <c r="H1215">
        <f t="shared" si="244"/>
        <v>0</v>
      </c>
      <c r="I1215">
        <f t="shared" si="245"/>
        <v>0</v>
      </c>
      <c r="J1215">
        <f t="shared" si="246"/>
        <v>0</v>
      </c>
      <c r="K1215" s="4" t="e">
        <f t="shared" si="249"/>
        <v>#N/A</v>
      </c>
      <c r="L1215" t="e">
        <f t="shared" si="250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8"/>
        <v>0</v>
      </c>
      <c r="B1216">
        <f t="shared" si="239"/>
        <v>0</v>
      </c>
      <c r="C1216">
        <f t="shared" si="240"/>
        <v>0</v>
      </c>
      <c r="D1216">
        <f t="shared" si="241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2"/>
        <v>0</v>
      </c>
      <c r="G1216">
        <f t="shared" si="243"/>
        <v>0</v>
      </c>
      <c r="H1216">
        <f t="shared" si="244"/>
        <v>0</v>
      </c>
      <c r="I1216">
        <f t="shared" si="245"/>
        <v>0</v>
      </c>
      <c r="J1216">
        <f t="shared" si="246"/>
        <v>0</v>
      </c>
      <c r="K1216" s="4" t="e">
        <f t="shared" si="249"/>
        <v>#N/A</v>
      </c>
      <c r="L1216" t="e">
        <f t="shared" si="250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8"/>
        <v>0</v>
      </c>
      <c r="B1217">
        <f t="shared" si="239"/>
        <v>0</v>
      </c>
      <c r="C1217">
        <f t="shared" si="240"/>
        <v>0</v>
      </c>
      <c r="D1217">
        <f t="shared" si="241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2"/>
        <v>0</v>
      </c>
      <c r="G1217">
        <f t="shared" si="243"/>
        <v>0</v>
      </c>
      <c r="H1217">
        <f t="shared" si="244"/>
        <v>0</v>
      </c>
      <c r="I1217">
        <f t="shared" si="245"/>
        <v>0</v>
      </c>
      <c r="J1217">
        <f t="shared" si="246"/>
        <v>0</v>
      </c>
      <c r="K1217" s="4" t="e">
        <f t="shared" si="249"/>
        <v>#N/A</v>
      </c>
      <c r="L1217" t="e">
        <f t="shared" si="250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1">bd_campaign</f>
        <v>0</v>
      </c>
      <c r="B1218">
        <f t="shared" ref="B1218:B1281" si="252">bd_site</f>
        <v>0</v>
      </c>
      <c r="C1218">
        <f t="shared" ref="C1218:C1281" si="253">bd_placement</f>
        <v>0</v>
      </c>
      <c r="D1218">
        <f t="shared" ref="D1218:D1281" si="254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5">bd_ad</f>
        <v>0</v>
      </c>
      <c r="G1218">
        <f t="shared" ref="G1218:G1281" si="256">bd_adid</f>
        <v>0</v>
      </c>
      <c r="H1218">
        <f t="shared" ref="H1218:H1281" si="257">bd_creativetype</f>
        <v>0</v>
      </c>
      <c r="I1218">
        <f t="shared" ref="I1218:I1281" si="258">bd_impression</f>
        <v>0</v>
      </c>
      <c r="J1218">
        <f t="shared" ref="J1218:J1281" si="259">bd_clicks</f>
        <v>0</v>
      </c>
      <c r="K1218" s="4" t="e">
        <f t="shared" si="249"/>
        <v>#N/A</v>
      </c>
      <c r="L1218" t="e">
        <f t="shared" si="250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1"/>
        <v>0</v>
      </c>
      <c r="B1219">
        <f t="shared" si="252"/>
        <v>0</v>
      </c>
      <c r="C1219">
        <f t="shared" si="253"/>
        <v>0</v>
      </c>
      <c r="D1219">
        <f t="shared" si="254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5"/>
        <v>0</v>
      </c>
      <c r="G1219">
        <f t="shared" si="256"/>
        <v>0</v>
      </c>
      <c r="H1219">
        <f t="shared" si="257"/>
        <v>0</v>
      </c>
      <c r="I1219">
        <f t="shared" si="258"/>
        <v>0</v>
      </c>
      <c r="J1219">
        <f t="shared" si="259"/>
        <v>0</v>
      </c>
      <c r="K1219" s="4" t="e">
        <f t="shared" si="249"/>
        <v>#N/A</v>
      </c>
      <c r="L1219" t="e">
        <f t="shared" si="250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1"/>
        <v>0</v>
      </c>
      <c r="B1220">
        <f t="shared" si="252"/>
        <v>0</v>
      </c>
      <c r="C1220">
        <f t="shared" si="253"/>
        <v>0</v>
      </c>
      <c r="D1220">
        <f t="shared" si="254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5"/>
        <v>0</v>
      </c>
      <c r="G1220">
        <f t="shared" si="256"/>
        <v>0</v>
      </c>
      <c r="H1220">
        <f t="shared" si="257"/>
        <v>0</v>
      </c>
      <c r="I1220">
        <f t="shared" si="258"/>
        <v>0</v>
      </c>
      <c r="J1220">
        <f t="shared" si="259"/>
        <v>0</v>
      </c>
      <c r="K1220" s="4" t="e">
        <f t="shared" si="249"/>
        <v>#N/A</v>
      </c>
      <c r="L1220" t="e">
        <f t="shared" si="250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1"/>
        <v>0</v>
      </c>
      <c r="B1221">
        <f t="shared" si="252"/>
        <v>0</v>
      </c>
      <c r="C1221">
        <f t="shared" si="253"/>
        <v>0</v>
      </c>
      <c r="D1221">
        <f t="shared" si="254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5"/>
        <v>0</v>
      </c>
      <c r="G1221">
        <f t="shared" si="256"/>
        <v>0</v>
      </c>
      <c r="H1221">
        <f t="shared" si="257"/>
        <v>0</v>
      </c>
      <c r="I1221">
        <f t="shared" si="258"/>
        <v>0</v>
      </c>
      <c r="J1221">
        <f t="shared" si="259"/>
        <v>0</v>
      </c>
      <c r="K1221" s="4" t="e">
        <f t="shared" si="249"/>
        <v>#N/A</v>
      </c>
      <c r="L1221" t="e">
        <f t="shared" si="250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1"/>
        <v>0</v>
      </c>
      <c r="B1222">
        <f t="shared" si="252"/>
        <v>0</v>
      </c>
      <c r="C1222">
        <f t="shared" si="253"/>
        <v>0</v>
      </c>
      <c r="D1222">
        <f t="shared" si="254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5"/>
        <v>0</v>
      </c>
      <c r="G1222">
        <f t="shared" si="256"/>
        <v>0</v>
      </c>
      <c r="H1222">
        <f t="shared" si="257"/>
        <v>0</v>
      </c>
      <c r="I1222">
        <f t="shared" si="258"/>
        <v>0</v>
      </c>
      <c r="J1222">
        <f t="shared" si="259"/>
        <v>0</v>
      </c>
      <c r="K1222" s="4" t="e">
        <f t="shared" si="249"/>
        <v>#N/A</v>
      </c>
      <c r="L1222" t="e">
        <f t="shared" si="250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1"/>
        <v>0</v>
      </c>
      <c r="B1223">
        <f t="shared" si="252"/>
        <v>0</v>
      </c>
      <c r="C1223">
        <f t="shared" si="253"/>
        <v>0</v>
      </c>
      <c r="D1223">
        <f t="shared" si="254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5"/>
        <v>0</v>
      </c>
      <c r="G1223">
        <f t="shared" si="256"/>
        <v>0</v>
      </c>
      <c r="H1223">
        <f t="shared" si="257"/>
        <v>0</v>
      </c>
      <c r="I1223">
        <f t="shared" si="258"/>
        <v>0</v>
      </c>
      <c r="J1223">
        <f t="shared" si="259"/>
        <v>0</v>
      </c>
      <c r="K1223" s="4" t="e">
        <f t="shared" si="249"/>
        <v>#N/A</v>
      </c>
      <c r="L1223" t="e">
        <f t="shared" si="250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1"/>
        <v>0</v>
      </c>
      <c r="B1224">
        <f t="shared" si="252"/>
        <v>0</v>
      </c>
      <c r="C1224">
        <f t="shared" si="253"/>
        <v>0</v>
      </c>
      <c r="D1224">
        <f t="shared" si="254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5"/>
        <v>0</v>
      </c>
      <c r="G1224">
        <f t="shared" si="256"/>
        <v>0</v>
      </c>
      <c r="H1224">
        <f t="shared" si="257"/>
        <v>0</v>
      </c>
      <c r="I1224">
        <f t="shared" si="258"/>
        <v>0</v>
      </c>
      <c r="J1224">
        <f t="shared" si="259"/>
        <v>0</v>
      </c>
      <c r="K1224" s="4" t="e">
        <f t="shared" si="249"/>
        <v>#N/A</v>
      </c>
      <c r="L1224" t="e">
        <f t="shared" si="250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1"/>
        <v>0</v>
      </c>
      <c r="B1225">
        <f t="shared" si="252"/>
        <v>0</v>
      </c>
      <c r="C1225">
        <f t="shared" si="253"/>
        <v>0</v>
      </c>
      <c r="D1225">
        <f t="shared" si="254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5"/>
        <v>0</v>
      </c>
      <c r="G1225">
        <f t="shared" si="256"/>
        <v>0</v>
      </c>
      <c r="H1225">
        <f t="shared" si="257"/>
        <v>0</v>
      </c>
      <c r="I1225">
        <f t="shared" si="258"/>
        <v>0</v>
      </c>
      <c r="J1225">
        <f t="shared" si="259"/>
        <v>0</v>
      </c>
      <c r="K1225" s="4" t="e">
        <f t="shared" si="249"/>
        <v>#N/A</v>
      </c>
      <c r="L1225" t="e">
        <f t="shared" si="250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1"/>
        <v>0</v>
      </c>
      <c r="B1226">
        <f t="shared" si="252"/>
        <v>0</v>
      </c>
      <c r="C1226">
        <f t="shared" si="253"/>
        <v>0</v>
      </c>
      <c r="D1226">
        <f t="shared" si="254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5"/>
        <v>0</v>
      </c>
      <c r="G1226">
        <f t="shared" si="256"/>
        <v>0</v>
      </c>
      <c r="H1226">
        <f t="shared" si="257"/>
        <v>0</v>
      </c>
      <c r="I1226">
        <f t="shared" si="258"/>
        <v>0</v>
      </c>
      <c r="J1226">
        <f t="shared" si="259"/>
        <v>0</v>
      </c>
      <c r="K1226" s="4" t="e">
        <f t="shared" si="249"/>
        <v>#N/A</v>
      </c>
      <c r="L1226" t="e">
        <f t="shared" si="250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1"/>
        <v>0</v>
      </c>
      <c r="B1227">
        <f t="shared" si="252"/>
        <v>0</v>
      </c>
      <c r="C1227">
        <f t="shared" si="253"/>
        <v>0</v>
      </c>
      <c r="D1227">
        <f t="shared" si="254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5"/>
        <v>0</v>
      </c>
      <c r="G1227">
        <f t="shared" si="256"/>
        <v>0</v>
      </c>
      <c r="H1227">
        <f t="shared" si="257"/>
        <v>0</v>
      </c>
      <c r="I1227">
        <f t="shared" si="258"/>
        <v>0</v>
      </c>
      <c r="J1227">
        <f t="shared" si="259"/>
        <v>0</v>
      </c>
      <c r="K1227" s="4" t="e">
        <f t="shared" si="249"/>
        <v>#N/A</v>
      </c>
      <c r="L1227" t="e">
        <f t="shared" si="250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1"/>
        <v>0</v>
      </c>
      <c r="B1228">
        <f t="shared" si="252"/>
        <v>0</v>
      </c>
      <c r="C1228">
        <f t="shared" si="253"/>
        <v>0</v>
      </c>
      <c r="D1228">
        <f t="shared" si="254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5"/>
        <v>0</v>
      </c>
      <c r="G1228">
        <f t="shared" si="256"/>
        <v>0</v>
      </c>
      <c r="H1228">
        <f t="shared" si="257"/>
        <v>0</v>
      </c>
      <c r="I1228">
        <f t="shared" si="258"/>
        <v>0</v>
      </c>
      <c r="J1228">
        <f t="shared" si="259"/>
        <v>0</v>
      </c>
      <c r="K1228" s="4" t="e">
        <f t="shared" si="249"/>
        <v>#N/A</v>
      </c>
      <c r="L1228" t="e">
        <f t="shared" si="250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1"/>
        <v>0</v>
      </c>
      <c r="B1229">
        <f t="shared" si="252"/>
        <v>0</v>
      </c>
      <c r="C1229">
        <f t="shared" si="253"/>
        <v>0</v>
      </c>
      <c r="D1229">
        <f t="shared" si="254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5"/>
        <v>0</v>
      </c>
      <c r="G1229">
        <f t="shared" si="256"/>
        <v>0</v>
      </c>
      <c r="H1229">
        <f t="shared" si="257"/>
        <v>0</v>
      </c>
      <c r="I1229">
        <f t="shared" si="258"/>
        <v>0</v>
      </c>
      <c r="J1229">
        <f t="shared" si="259"/>
        <v>0</v>
      </c>
      <c r="K1229" s="4" t="e">
        <f t="shared" si="249"/>
        <v>#N/A</v>
      </c>
      <c r="L1229" t="e">
        <f t="shared" si="250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1"/>
        <v>0</v>
      </c>
      <c r="B1230">
        <f t="shared" si="252"/>
        <v>0</v>
      </c>
      <c r="C1230">
        <f t="shared" si="253"/>
        <v>0</v>
      </c>
      <c r="D1230">
        <f t="shared" si="254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5"/>
        <v>0</v>
      </c>
      <c r="G1230">
        <f t="shared" si="256"/>
        <v>0</v>
      </c>
      <c r="H1230">
        <f t="shared" si="257"/>
        <v>0</v>
      </c>
      <c r="I1230">
        <f t="shared" si="258"/>
        <v>0</v>
      </c>
      <c r="J1230">
        <f t="shared" si="259"/>
        <v>0</v>
      </c>
      <c r="K1230" s="4" t="e">
        <f t="shared" si="249"/>
        <v>#N/A</v>
      </c>
      <c r="L1230" t="e">
        <f t="shared" si="250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1"/>
        <v>0</v>
      </c>
      <c r="B1231">
        <f t="shared" si="252"/>
        <v>0</v>
      </c>
      <c r="C1231">
        <f t="shared" si="253"/>
        <v>0</v>
      </c>
      <c r="D1231">
        <f t="shared" si="254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5"/>
        <v>0</v>
      </c>
      <c r="G1231">
        <f t="shared" si="256"/>
        <v>0</v>
      </c>
      <c r="H1231">
        <f t="shared" si="257"/>
        <v>0</v>
      </c>
      <c r="I1231">
        <f t="shared" si="258"/>
        <v>0</v>
      </c>
      <c r="J1231">
        <f t="shared" si="259"/>
        <v>0</v>
      </c>
      <c r="K1231" s="4" t="e">
        <f t="shared" si="249"/>
        <v>#N/A</v>
      </c>
      <c r="L1231" t="e">
        <f t="shared" si="250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1"/>
        <v>0</v>
      </c>
      <c r="B1232">
        <f t="shared" si="252"/>
        <v>0</v>
      </c>
      <c r="C1232">
        <f t="shared" si="253"/>
        <v>0</v>
      </c>
      <c r="D1232">
        <f t="shared" si="254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5"/>
        <v>0</v>
      </c>
      <c r="G1232">
        <f t="shared" si="256"/>
        <v>0</v>
      </c>
      <c r="H1232">
        <f t="shared" si="257"/>
        <v>0</v>
      </c>
      <c r="I1232">
        <f t="shared" si="258"/>
        <v>0</v>
      </c>
      <c r="J1232">
        <f t="shared" si="259"/>
        <v>0</v>
      </c>
      <c r="K1232" s="4" t="e">
        <f t="shared" si="249"/>
        <v>#N/A</v>
      </c>
      <c r="L1232" t="e">
        <f t="shared" si="250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1"/>
        <v>0</v>
      </c>
      <c r="B1233">
        <f t="shared" si="252"/>
        <v>0</v>
      </c>
      <c r="C1233">
        <f t="shared" si="253"/>
        <v>0</v>
      </c>
      <c r="D1233">
        <f t="shared" si="254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5"/>
        <v>0</v>
      </c>
      <c r="G1233">
        <f t="shared" si="256"/>
        <v>0</v>
      </c>
      <c r="H1233">
        <f t="shared" si="257"/>
        <v>0</v>
      </c>
      <c r="I1233">
        <f t="shared" si="258"/>
        <v>0</v>
      </c>
      <c r="J1233">
        <f t="shared" si="259"/>
        <v>0</v>
      </c>
      <c r="K1233" s="4" t="e">
        <f t="shared" si="249"/>
        <v>#N/A</v>
      </c>
      <c r="L1233" t="e">
        <f t="shared" si="250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1"/>
        <v>0</v>
      </c>
      <c r="B1234">
        <f t="shared" si="252"/>
        <v>0</v>
      </c>
      <c r="C1234">
        <f t="shared" si="253"/>
        <v>0</v>
      </c>
      <c r="D1234">
        <f t="shared" si="254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5"/>
        <v>0</v>
      </c>
      <c r="G1234">
        <f t="shared" si="256"/>
        <v>0</v>
      </c>
      <c r="H1234">
        <f t="shared" si="257"/>
        <v>0</v>
      </c>
      <c r="I1234">
        <f t="shared" si="258"/>
        <v>0</v>
      </c>
      <c r="J1234">
        <f t="shared" si="259"/>
        <v>0</v>
      </c>
      <c r="K1234" s="4" t="e">
        <f t="shared" si="249"/>
        <v>#N/A</v>
      </c>
      <c r="L1234" t="e">
        <f t="shared" si="250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1"/>
        <v>0</v>
      </c>
      <c r="B1235">
        <f t="shared" si="252"/>
        <v>0</v>
      </c>
      <c r="C1235">
        <f t="shared" si="253"/>
        <v>0</v>
      </c>
      <c r="D1235">
        <f t="shared" si="254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5"/>
        <v>0</v>
      </c>
      <c r="G1235">
        <f t="shared" si="256"/>
        <v>0</v>
      </c>
      <c r="H1235">
        <f t="shared" si="257"/>
        <v>0</v>
      </c>
      <c r="I1235">
        <f t="shared" si="258"/>
        <v>0</v>
      </c>
      <c r="J1235">
        <f t="shared" si="259"/>
        <v>0</v>
      </c>
      <c r="K1235" s="4" t="e">
        <f t="shared" si="249"/>
        <v>#N/A</v>
      </c>
      <c r="L1235" t="e">
        <f t="shared" si="250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1"/>
        <v>0</v>
      </c>
      <c r="B1236">
        <f t="shared" si="252"/>
        <v>0</v>
      </c>
      <c r="C1236">
        <f t="shared" si="253"/>
        <v>0</v>
      </c>
      <c r="D1236">
        <f t="shared" si="254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5"/>
        <v>0</v>
      </c>
      <c r="G1236">
        <f t="shared" si="256"/>
        <v>0</v>
      </c>
      <c r="H1236">
        <f t="shared" si="257"/>
        <v>0</v>
      </c>
      <c r="I1236">
        <f t="shared" si="258"/>
        <v>0</v>
      </c>
      <c r="J1236">
        <f t="shared" si="259"/>
        <v>0</v>
      </c>
      <c r="K1236" s="4" t="e">
        <f t="shared" si="249"/>
        <v>#N/A</v>
      </c>
      <c r="L1236" t="e">
        <f t="shared" si="250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1"/>
        <v>0</v>
      </c>
      <c r="B1237">
        <f t="shared" si="252"/>
        <v>0</v>
      </c>
      <c r="C1237">
        <f t="shared" si="253"/>
        <v>0</v>
      </c>
      <c r="D1237">
        <f t="shared" si="254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5"/>
        <v>0</v>
      </c>
      <c r="G1237">
        <f t="shared" si="256"/>
        <v>0</v>
      </c>
      <c r="H1237">
        <f t="shared" si="257"/>
        <v>0</v>
      </c>
      <c r="I1237">
        <f t="shared" si="258"/>
        <v>0</v>
      </c>
      <c r="J1237">
        <f t="shared" si="259"/>
        <v>0</v>
      </c>
      <c r="K1237" s="4" t="e">
        <f t="shared" si="249"/>
        <v>#N/A</v>
      </c>
      <c r="L1237" t="e">
        <f t="shared" si="250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1"/>
        <v>0</v>
      </c>
      <c r="B1238">
        <f t="shared" si="252"/>
        <v>0</v>
      </c>
      <c r="C1238">
        <f t="shared" si="253"/>
        <v>0</v>
      </c>
      <c r="D1238">
        <f t="shared" si="254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5"/>
        <v>0</v>
      </c>
      <c r="G1238">
        <f t="shared" si="256"/>
        <v>0</v>
      </c>
      <c r="H1238">
        <f t="shared" si="257"/>
        <v>0</v>
      </c>
      <c r="I1238">
        <f t="shared" si="258"/>
        <v>0</v>
      </c>
      <c r="J1238">
        <f t="shared" si="259"/>
        <v>0</v>
      </c>
      <c r="K1238" s="4" t="e">
        <f t="shared" si="249"/>
        <v>#N/A</v>
      </c>
      <c r="L1238" t="e">
        <f t="shared" si="250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1"/>
        <v>0</v>
      </c>
      <c r="B1239">
        <f t="shared" si="252"/>
        <v>0</v>
      </c>
      <c r="C1239">
        <f t="shared" si="253"/>
        <v>0</v>
      </c>
      <c r="D1239">
        <f t="shared" si="254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5"/>
        <v>0</v>
      </c>
      <c r="G1239">
        <f t="shared" si="256"/>
        <v>0</v>
      </c>
      <c r="H1239">
        <f t="shared" si="257"/>
        <v>0</v>
      </c>
      <c r="I1239">
        <f t="shared" si="258"/>
        <v>0</v>
      </c>
      <c r="J1239">
        <f t="shared" si="259"/>
        <v>0</v>
      </c>
      <c r="K1239" s="4" t="e">
        <f t="shared" si="249"/>
        <v>#N/A</v>
      </c>
      <c r="L1239" t="e">
        <f t="shared" si="250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1"/>
        <v>0</v>
      </c>
      <c r="B1240">
        <f t="shared" si="252"/>
        <v>0</v>
      </c>
      <c r="C1240">
        <f t="shared" si="253"/>
        <v>0</v>
      </c>
      <c r="D1240">
        <f t="shared" si="254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5"/>
        <v>0</v>
      </c>
      <c r="G1240">
        <f t="shared" si="256"/>
        <v>0</v>
      </c>
      <c r="H1240">
        <f t="shared" si="257"/>
        <v>0</v>
      </c>
      <c r="I1240">
        <f t="shared" si="258"/>
        <v>0</v>
      </c>
      <c r="J1240">
        <f t="shared" si="259"/>
        <v>0</v>
      </c>
      <c r="K1240" s="4" t="e">
        <f t="shared" si="249"/>
        <v>#N/A</v>
      </c>
      <c r="L1240" t="e">
        <f t="shared" si="250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1"/>
        <v>0</v>
      </c>
      <c r="B1241">
        <f t="shared" si="252"/>
        <v>0</v>
      </c>
      <c r="C1241">
        <f t="shared" si="253"/>
        <v>0</v>
      </c>
      <c r="D1241">
        <f t="shared" si="254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5"/>
        <v>0</v>
      </c>
      <c r="G1241">
        <f t="shared" si="256"/>
        <v>0</v>
      </c>
      <c r="H1241">
        <f t="shared" si="257"/>
        <v>0</v>
      </c>
      <c r="I1241">
        <f t="shared" si="258"/>
        <v>0</v>
      </c>
      <c r="J1241">
        <f t="shared" si="259"/>
        <v>0</v>
      </c>
      <c r="K1241" s="4" t="e">
        <f t="shared" si="249"/>
        <v>#N/A</v>
      </c>
      <c r="L1241" t="e">
        <f t="shared" si="250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1"/>
        <v>0</v>
      </c>
      <c r="B1242">
        <f t="shared" si="252"/>
        <v>0</v>
      </c>
      <c r="C1242">
        <f t="shared" si="253"/>
        <v>0</v>
      </c>
      <c r="D1242">
        <f t="shared" si="254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5"/>
        <v>0</v>
      </c>
      <c r="G1242">
        <f t="shared" si="256"/>
        <v>0</v>
      </c>
      <c r="H1242">
        <f t="shared" si="257"/>
        <v>0</v>
      </c>
      <c r="I1242">
        <f t="shared" si="258"/>
        <v>0</v>
      </c>
      <c r="J1242">
        <f t="shared" si="259"/>
        <v>0</v>
      </c>
      <c r="K1242" s="4" t="e">
        <f t="shared" si="249"/>
        <v>#N/A</v>
      </c>
      <c r="L1242" t="e">
        <f t="shared" si="250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1"/>
        <v>0</v>
      </c>
      <c r="B1243">
        <f t="shared" si="252"/>
        <v>0</v>
      </c>
      <c r="C1243">
        <f t="shared" si="253"/>
        <v>0</v>
      </c>
      <c r="D1243">
        <f t="shared" si="254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5"/>
        <v>0</v>
      </c>
      <c r="G1243">
        <f t="shared" si="256"/>
        <v>0</v>
      </c>
      <c r="H1243">
        <f t="shared" si="257"/>
        <v>0</v>
      </c>
      <c r="I1243">
        <f t="shared" si="258"/>
        <v>0</v>
      </c>
      <c r="J1243">
        <f t="shared" si="259"/>
        <v>0</v>
      </c>
      <c r="K1243" s="4" t="e">
        <f t="shared" si="249"/>
        <v>#N/A</v>
      </c>
      <c r="L1243" t="e">
        <f t="shared" si="250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1"/>
        <v>0</v>
      </c>
      <c r="B1244">
        <f t="shared" si="252"/>
        <v>0</v>
      </c>
      <c r="C1244">
        <f t="shared" si="253"/>
        <v>0</v>
      </c>
      <c r="D1244">
        <f t="shared" si="254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5"/>
        <v>0</v>
      </c>
      <c r="G1244">
        <f t="shared" si="256"/>
        <v>0</v>
      </c>
      <c r="H1244">
        <f t="shared" si="257"/>
        <v>0</v>
      </c>
      <c r="I1244">
        <f t="shared" si="258"/>
        <v>0</v>
      </c>
      <c r="J1244">
        <f t="shared" si="259"/>
        <v>0</v>
      </c>
      <c r="K1244" s="4" t="e">
        <f t="shared" si="249"/>
        <v>#N/A</v>
      </c>
      <c r="L1244" t="e">
        <f t="shared" si="250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1"/>
        <v>0</v>
      </c>
      <c r="B1245">
        <f t="shared" si="252"/>
        <v>0</v>
      </c>
      <c r="C1245">
        <f t="shared" si="253"/>
        <v>0</v>
      </c>
      <c r="D1245">
        <f t="shared" si="254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5"/>
        <v>0</v>
      </c>
      <c r="G1245">
        <f t="shared" si="256"/>
        <v>0</v>
      </c>
      <c r="H1245">
        <f t="shared" si="257"/>
        <v>0</v>
      </c>
      <c r="I1245">
        <f t="shared" si="258"/>
        <v>0</v>
      </c>
      <c r="J1245">
        <f t="shared" si="259"/>
        <v>0</v>
      </c>
      <c r="K1245" s="4" t="e">
        <f t="shared" si="249"/>
        <v>#N/A</v>
      </c>
      <c r="L1245" t="e">
        <f t="shared" si="250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1"/>
        <v>0</v>
      </c>
      <c r="B1246">
        <f t="shared" si="252"/>
        <v>0</v>
      </c>
      <c r="C1246">
        <f t="shared" si="253"/>
        <v>0</v>
      </c>
      <c r="D1246">
        <f t="shared" si="254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5"/>
        <v>0</v>
      </c>
      <c r="G1246">
        <f t="shared" si="256"/>
        <v>0</v>
      </c>
      <c r="H1246">
        <f t="shared" si="257"/>
        <v>0</v>
      </c>
      <c r="I1246">
        <f t="shared" si="258"/>
        <v>0</v>
      </c>
      <c r="J1246">
        <f t="shared" si="259"/>
        <v>0</v>
      </c>
      <c r="K1246" s="4" t="e">
        <f t="shared" si="249"/>
        <v>#N/A</v>
      </c>
      <c r="L1246" t="e">
        <f t="shared" si="250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1"/>
        <v>0</v>
      </c>
      <c r="B1247">
        <f t="shared" si="252"/>
        <v>0</v>
      </c>
      <c r="C1247">
        <f t="shared" si="253"/>
        <v>0</v>
      </c>
      <c r="D1247">
        <f t="shared" si="254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5"/>
        <v>0</v>
      </c>
      <c r="G1247">
        <f t="shared" si="256"/>
        <v>0</v>
      </c>
      <c r="H1247">
        <f t="shared" si="257"/>
        <v>0</v>
      </c>
      <c r="I1247">
        <f t="shared" si="258"/>
        <v>0</v>
      </c>
      <c r="J1247">
        <f t="shared" si="259"/>
        <v>0</v>
      </c>
      <c r="K1247" s="4" t="e">
        <f t="shared" si="249"/>
        <v>#N/A</v>
      </c>
      <c r="L1247" t="e">
        <f t="shared" si="250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1"/>
        <v>0</v>
      </c>
      <c r="B1248">
        <f t="shared" si="252"/>
        <v>0</v>
      </c>
      <c r="C1248">
        <f t="shared" si="253"/>
        <v>0</v>
      </c>
      <c r="D1248">
        <f t="shared" si="254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5"/>
        <v>0</v>
      </c>
      <c r="G1248">
        <f t="shared" si="256"/>
        <v>0</v>
      </c>
      <c r="H1248">
        <f t="shared" si="257"/>
        <v>0</v>
      </c>
      <c r="I1248">
        <f t="shared" si="258"/>
        <v>0</v>
      </c>
      <c r="J1248">
        <f t="shared" si="259"/>
        <v>0</v>
      </c>
      <c r="K1248" s="4" t="e">
        <f t="shared" si="249"/>
        <v>#N/A</v>
      </c>
      <c r="L1248" t="e">
        <f t="shared" si="250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1"/>
        <v>0</v>
      </c>
      <c r="B1249">
        <f t="shared" si="252"/>
        <v>0</v>
      </c>
      <c r="C1249">
        <f t="shared" si="253"/>
        <v>0</v>
      </c>
      <c r="D1249">
        <f t="shared" si="254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5"/>
        <v>0</v>
      </c>
      <c r="G1249">
        <f t="shared" si="256"/>
        <v>0</v>
      </c>
      <c r="H1249">
        <f t="shared" si="257"/>
        <v>0</v>
      </c>
      <c r="I1249">
        <f t="shared" si="258"/>
        <v>0</v>
      </c>
      <c r="J1249">
        <f t="shared" si="259"/>
        <v>0</v>
      </c>
      <c r="K1249" s="4" t="e">
        <f t="shared" si="249"/>
        <v>#N/A</v>
      </c>
      <c r="L1249" t="e">
        <f t="shared" si="250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1"/>
        <v>0</v>
      </c>
      <c r="B1250">
        <f t="shared" si="252"/>
        <v>0</v>
      </c>
      <c r="C1250">
        <f t="shared" si="253"/>
        <v>0</v>
      </c>
      <c r="D1250">
        <f t="shared" si="254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5"/>
        <v>0</v>
      </c>
      <c r="G1250">
        <f t="shared" si="256"/>
        <v>0</v>
      </c>
      <c r="H1250">
        <f t="shared" si="257"/>
        <v>0</v>
      </c>
      <c r="I1250">
        <f t="shared" si="258"/>
        <v>0</v>
      </c>
      <c r="J1250">
        <f t="shared" si="259"/>
        <v>0</v>
      </c>
      <c r="K1250" s="4" t="e">
        <f t="shared" si="249"/>
        <v>#N/A</v>
      </c>
      <c r="L1250" t="e">
        <f t="shared" si="250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1"/>
        <v>0</v>
      </c>
      <c r="B1251">
        <f t="shared" si="252"/>
        <v>0</v>
      </c>
      <c r="C1251">
        <f t="shared" si="253"/>
        <v>0</v>
      </c>
      <c r="D1251">
        <f t="shared" si="254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5"/>
        <v>0</v>
      </c>
      <c r="G1251">
        <f t="shared" si="256"/>
        <v>0</v>
      </c>
      <c r="H1251">
        <f t="shared" si="257"/>
        <v>0</v>
      </c>
      <c r="I1251">
        <f t="shared" si="258"/>
        <v>0</v>
      </c>
      <c r="J1251">
        <f t="shared" si="259"/>
        <v>0</v>
      </c>
      <c r="K1251" s="4" t="e">
        <f t="shared" si="249"/>
        <v>#N/A</v>
      </c>
      <c r="L1251" t="e">
        <f t="shared" si="250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1"/>
        <v>0</v>
      </c>
      <c r="B1252">
        <f t="shared" si="252"/>
        <v>0</v>
      </c>
      <c r="C1252">
        <f t="shared" si="253"/>
        <v>0</v>
      </c>
      <c r="D1252">
        <f t="shared" si="254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5"/>
        <v>0</v>
      </c>
      <c r="G1252">
        <f t="shared" si="256"/>
        <v>0</v>
      </c>
      <c r="H1252">
        <f t="shared" si="257"/>
        <v>0</v>
      </c>
      <c r="I1252">
        <f t="shared" si="258"/>
        <v>0</v>
      </c>
      <c r="J1252">
        <f t="shared" si="259"/>
        <v>0</v>
      </c>
      <c r="K1252" s="4" t="e">
        <f t="shared" si="249"/>
        <v>#N/A</v>
      </c>
      <c r="L1252" t="e">
        <f t="shared" si="250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1"/>
        <v>0</v>
      </c>
      <c r="B1253">
        <f t="shared" si="252"/>
        <v>0</v>
      </c>
      <c r="C1253">
        <f t="shared" si="253"/>
        <v>0</v>
      </c>
      <c r="D1253">
        <f t="shared" si="254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5"/>
        <v>0</v>
      </c>
      <c r="G1253">
        <f t="shared" si="256"/>
        <v>0</v>
      </c>
      <c r="H1253">
        <f t="shared" si="257"/>
        <v>0</v>
      </c>
      <c r="I1253">
        <f t="shared" si="258"/>
        <v>0</v>
      </c>
      <c r="J1253">
        <f t="shared" si="259"/>
        <v>0</v>
      </c>
      <c r="K1253" s="4" t="e">
        <f t="shared" si="249"/>
        <v>#N/A</v>
      </c>
      <c r="L1253" t="e">
        <f t="shared" si="250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1"/>
        <v>0</v>
      </c>
      <c r="B1254">
        <f t="shared" si="252"/>
        <v>0</v>
      </c>
      <c r="C1254">
        <f t="shared" si="253"/>
        <v>0</v>
      </c>
      <c r="D1254">
        <f t="shared" si="254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5"/>
        <v>0</v>
      </c>
      <c r="G1254">
        <f t="shared" si="256"/>
        <v>0</v>
      </c>
      <c r="H1254">
        <f t="shared" si="257"/>
        <v>0</v>
      </c>
      <c r="I1254">
        <f t="shared" si="258"/>
        <v>0</v>
      </c>
      <c r="J1254">
        <f t="shared" si="259"/>
        <v>0</v>
      </c>
      <c r="K1254" s="4" t="e">
        <f t="shared" si="249"/>
        <v>#N/A</v>
      </c>
      <c r="L1254" t="e">
        <f t="shared" si="250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1"/>
        <v>0</v>
      </c>
      <c r="B1255">
        <f t="shared" si="252"/>
        <v>0</v>
      </c>
      <c r="C1255">
        <f t="shared" si="253"/>
        <v>0</v>
      </c>
      <c r="D1255">
        <f t="shared" si="254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5"/>
        <v>0</v>
      </c>
      <c r="G1255">
        <f t="shared" si="256"/>
        <v>0</v>
      </c>
      <c r="H1255">
        <f t="shared" si="257"/>
        <v>0</v>
      </c>
      <c r="I1255">
        <f t="shared" si="258"/>
        <v>0</v>
      </c>
      <c r="J1255">
        <f t="shared" si="259"/>
        <v>0</v>
      </c>
      <c r="K1255" s="4" t="e">
        <f t="shared" si="249"/>
        <v>#N/A</v>
      </c>
      <c r="L1255" t="e">
        <f t="shared" si="250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1"/>
        <v>0</v>
      </c>
      <c r="B1256">
        <f t="shared" si="252"/>
        <v>0</v>
      </c>
      <c r="C1256">
        <f t="shared" si="253"/>
        <v>0</v>
      </c>
      <c r="D1256">
        <f t="shared" si="254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5"/>
        <v>0</v>
      </c>
      <c r="G1256">
        <f t="shared" si="256"/>
        <v>0</v>
      </c>
      <c r="H1256">
        <f t="shared" si="257"/>
        <v>0</v>
      </c>
      <c r="I1256">
        <f t="shared" si="258"/>
        <v>0</v>
      </c>
      <c r="J1256">
        <f t="shared" si="259"/>
        <v>0</v>
      </c>
      <c r="K1256" s="4" t="e">
        <f t="shared" si="249"/>
        <v>#N/A</v>
      </c>
      <c r="L1256" t="e">
        <f t="shared" si="250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1"/>
        <v>0</v>
      </c>
      <c r="B1257">
        <f t="shared" si="252"/>
        <v>0</v>
      </c>
      <c r="C1257">
        <f t="shared" si="253"/>
        <v>0</v>
      </c>
      <c r="D1257">
        <f t="shared" si="254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5"/>
        <v>0</v>
      </c>
      <c r="G1257">
        <f t="shared" si="256"/>
        <v>0</v>
      </c>
      <c r="H1257">
        <f t="shared" si="257"/>
        <v>0</v>
      </c>
      <c r="I1257">
        <f t="shared" si="258"/>
        <v>0</v>
      </c>
      <c r="J1257">
        <f t="shared" si="259"/>
        <v>0</v>
      </c>
      <c r="K1257" s="4" t="e">
        <f t="shared" si="249"/>
        <v>#N/A</v>
      </c>
      <c r="L1257" t="e">
        <f t="shared" si="250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1"/>
        <v>0</v>
      </c>
      <c r="B1258">
        <f t="shared" si="252"/>
        <v>0</v>
      </c>
      <c r="C1258">
        <f t="shared" si="253"/>
        <v>0</v>
      </c>
      <c r="D1258">
        <f t="shared" si="254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5"/>
        <v>0</v>
      </c>
      <c r="G1258">
        <f t="shared" si="256"/>
        <v>0</v>
      </c>
      <c r="H1258">
        <f t="shared" si="257"/>
        <v>0</v>
      </c>
      <c r="I1258">
        <f t="shared" si="258"/>
        <v>0</v>
      </c>
      <c r="J1258">
        <f t="shared" si="259"/>
        <v>0</v>
      </c>
      <c r="K1258" s="4" t="e">
        <f t="shared" si="249"/>
        <v>#N/A</v>
      </c>
      <c r="L1258" t="e">
        <f t="shared" si="250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1"/>
        <v>0</v>
      </c>
      <c r="B1259">
        <f t="shared" si="252"/>
        <v>0</v>
      </c>
      <c r="C1259">
        <f t="shared" si="253"/>
        <v>0</v>
      </c>
      <c r="D1259">
        <f t="shared" si="254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5"/>
        <v>0</v>
      </c>
      <c r="G1259">
        <f t="shared" si="256"/>
        <v>0</v>
      </c>
      <c r="H1259">
        <f t="shared" si="257"/>
        <v>0</v>
      </c>
      <c r="I1259">
        <f t="shared" si="258"/>
        <v>0</v>
      </c>
      <c r="J1259">
        <f t="shared" si="259"/>
        <v>0</v>
      </c>
      <c r="K1259" s="4" t="e">
        <f t="shared" si="249"/>
        <v>#N/A</v>
      </c>
      <c r="L1259" t="e">
        <f t="shared" si="250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1"/>
        <v>0</v>
      </c>
      <c r="B1260">
        <f t="shared" si="252"/>
        <v>0</v>
      </c>
      <c r="C1260">
        <f t="shared" si="253"/>
        <v>0</v>
      </c>
      <c r="D1260">
        <f t="shared" si="254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5"/>
        <v>0</v>
      </c>
      <c r="G1260">
        <f t="shared" si="256"/>
        <v>0</v>
      </c>
      <c r="H1260">
        <f t="shared" si="257"/>
        <v>0</v>
      </c>
      <c r="I1260">
        <f t="shared" si="258"/>
        <v>0</v>
      </c>
      <c r="J1260">
        <f t="shared" si="259"/>
        <v>0</v>
      </c>
      <c r="K1260" s="4" t="e">
        <f t="shared" ref="K1260:K1323" si="262">IF(LEFT(B1260,3)="DBM",0,VLOOKUP(E1260,tabela,2,FALSE))</f>
        <v>#N/A</v>
      </c>
      <c r="L1260" t="e">
        <f t="shared" ref="L1260:L1323" si="263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1"/>
        <v>0</v>
      </c>
      <c r="B1261">
        <f t="shared" si="252"/>
        <v>0</v>
      </c>
      <c r="C1261">
        <f t="shared" si="253"/>
        <v>0</v>
      </c>
      <c r="D1261">
        <f t="shared" si="254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5"/>
        <v>0</v>
      </c>
      <c r="G1261">
        <f t="shared" si="256"/>
        <v>0</v>
      </c>
      <c r="H1261">
        <f t="shared" si="257"/>
        <v>0</v>
      </c>
      <c r="I1261">
        <f t="shared" si="258"/>
        <v>0</v>
      </c>
      <c r="J1261">
        <f t="shared" si="259"/>
        <v>0</v>
      </c>
      <c r="K1261" s="4" t="e">
        <f t="shared" si="262"/>
        <v>#N/A</v>
      </c>
      <c r="L1261" t="e">
        <f t="shared" si="263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1"/>
        <v>0</v>
      </c>
      <c r="B1262">
        <f t="shared" si="252"/>
        <v>0</v>
      </c>
      <c r="C1262">
        <f t="shared" si="253"/>
        <v>0</v>
      </c>
      <c r="D1262">
        <f t="shared" si="254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5"/>
        <v>0</v>
      </c>
      <c r="G1262">
        <f t="shared" si="256"/>
        <v>0</v>
      </c>
      <c r="H1262">
        <f t="shared" si="257"/>
        <v>0</v>
      </c>
      <c r="I1262">
        <f t="shared" si="258"/>
        <v>0</v>
      </c>
      <c r="J1262">
        <f t="shared" si="259"/>
        <v>0</v>
      </c>
      <c r="K1262" s="4" t="e">
        <f t="shared" si="262"/>
        <v>#N/A</v>
      </c>
      <c r="L1262" t="e">
        <f t="shared" si="263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1"/>
        <v>0</v>
      </c>
      <c r="B1263">
        <f t="shared" si="252"/>
        <v>0</v>
      </c>
      <c r="C1263">
        <f t="shared" si="253"/>
        <v>0</v>
      </c>
      <c r="D1263">
        <f t="shared" si="254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5"/>
        <v>0</v>
      </c>
      <c r="G1263">
        <f t="shared" si="256"/>
        <v>0</v>
      </c>
      <c r="H1263">
        <f t="shared" si="257"/>
        <v>0</v>
      </c>
      <c r="I1263">
        <f t="shared" si="258"/>
        <v>0</v>
      </c>
      <c r="J1263">
        <f t="shared" si="259"/>
        <v>0</v>
      </c>
      <c r="K1263" s="4" t="e">
        <f t="shared" si="262"/>
        <v>#N/A</v>
      </c>
      <c r="L1263" t="e">
        <f t="shared" si="263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1"/>
        <v>0</v>
      </c>
      <c r="B1264">
        <f t="shared" si="252"/>
        <v>0</v>
      </c>
      <c r="C1264">
        <f t="shared" si="253"/>
        <v>0</v>
      </c>
      <c r="D1264">
        <f t="shared" si="254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5"/>
        <v>0</v>
      </c>
      <c r="G1264">
        <f t="shared" si="256"/>
        <v>0</v>
      </c>
      <c r="H1264">
        <f t="shared" si="257"/>
        <v>0</v>
      </c>
      <c r="I1264">
        <f t="shared" si="258"/>
        <v>0</v>
      </c>
      <c r="J1264">
        <f t="shared" si="259"/>
        <v>0</v>
      </c>
      <c r="K1264" s="4" t="e">
        <f t="shared" si="262"/>
        <v>#N/A</v>
      </c>
      <c r="L1264" t="e">
        <f t="shared" si="263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1"/>
        <v>0</v>
      </c>
      <c r="B1265">
        <f t="shared" si="252"/>
        <v>0</v>
      </c>
      <c r="C1265">
        <f t="shared" si="253"/>
        <v>0</v>
      </c>
      <c r="D1265">
        <f t="shared" si="254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5"/>
        <v>0</v>
      </c>
      <c r="G1265">
        <f t="shared" si="256"/>
        <v>0</v>
      </c>
      <c r="H1265">
        <f t="shared" si="257"/>
        <v>0</v>
      </c>
      <c r="I1265">
        <f t="shared" si="258"/>
        <v>0</v>
      </c>
      <c r="J1265">
        <f t="shared" si="259"/>
        <v>0</v>
      </c>
      <c r="K1265" s="4" t="e">
        <f t="shared" si="262"/>
        <v>#N/A</v>
      </c>
      <c r="L1265" t="e">
        <f t="shared" si="263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1"/>
        <v>0</v>
      </c>
      <c r="B1266">
        <f t="shared" si="252"/>
        <v>0</v>
      </c>
      <c r="C1266">
        <f t="shared" si="253"/>
        <v>0</v>
      </c>
      <c r="D1266">
        <f t="shared" si="254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5"/>
        <v>0</v>
      </c>
      <c r="G1266">
        <f t="shared" si="256"/>
        <v>0</v>
      </c>
      <c r="H1266">
        <f t="shared" si="257"/>
        <v>0</v>
      </c>
      <c r="I1266">
        <f t="shared" si="258"/>
        <v>0</v>
      </c>
      <c r="J1266">
        <f t="shared" si="259"/>
        <v>0</v>
      </c>
      <c r="K1266" s="4" t="e">
        <f t="shared" si="262"/>
        <v>#N/A</v>
      </c>
      <c r="L1266" t="e">
        <f t="shared" si="263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1"/>
        <v>0</v>
      </c>
      <c r="B1267">
        <f t="shared" si="252"/>
        <v>0</v>
      </c>
      <c r="C1267">
        <f t="shared" si="253"/>
        <v>0</v>
      </c>
      <c r="D1267">
        <f t="shared" si="254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5"/>
        <v>0</v>
      </c>
      <c r="G1267">
        <f t="shared" si="256"/>
        <v>0</v>
      </c>
      <c r="H1267">
        <f t="shared" si="257"/>
        <v>0</v>
      </c>
      <c r="I1267">
        <f t="shared" si="258"/>
        <v>0</v>
      </c>
      <c r="J1267">
        <f t="shared" si="259"/>
        <v>0</v>
      </c>
      <c r="K1267" s="4" t="e">
        <f t="shared" si="262"/>
        <v>#N/A</v>
      </c>
      <c r="L1267" t="e">
        <f t="shared" si="263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1"/>
        <v>0</v>
      </c>
      <c r="B1268">
        <f t="shared" si="252"/>
        <v>0</v>
      </c>
      <c r="C1268">
        <f t="shared" si="253"/>
        <v>0</v>
      </c>
      <c r="D1268">
        <f t="shared" si="254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5"/>
        <v>0</v>
      </c>
      <c r="G1268">
        <f t="shared" si="256"/>
        <v>0</v>
      </c>
      <c r="H1268">
        <f t="shared" si="257"/>
        <v>0</v>
      </c>
      <c r="I1268">
        <f t="shared" si="258"/>
        <v>0</v>
      </c>
      <c r="J1268">
        <f t="shared" si="259"/>
        <v>0</v>
      </c>
      <c r="K1268" s="4" t="e">
        <f t="shared" si="262"/>
        <v>#N/A</v>
      </c>
      <c r="L1268" t="e">
        <f t="shared" si="263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1"/>
        <v>0</v>
      </c>
      <c r="B1269">
        <f t="shared" si="252"/>
        <v>0</v>
      </c>
      <c r="C1269">
        <f t="shared" si="253"/>
        <v>0</v>
      </c>
      <c r="D1269">
        <f t="shared" si="254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5"/>
        <v>0</v>
      </c>
      <c r="G1269">
        <f t="shared" si="256"/>
        <v>0</v>
      </c>
      <c r="H1269">
        <f t="shared" si="257"/>
        <v>0</v>
      </c>
      <c r="I1269">
        <f t="shared" si="258"/>
        <v>0</v>
      </c>
      <c r="J1269">
        <f t="shared" si="259"/>
        <v>0</v>
      </c>
      <c r="K1269" s="4" t="e">
        <f t="shared" si="262"/>
        <v>#N/A</v>
      </c>
      <c r="L1269" t="e">
        <f t="shared" si="263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1"/>
        <v>0</v>
      </c>
      <c r="B1270">
        <f t="shared" si="252"/>
        <v>0</v>
      </c>
      <c r="C1270">
        <f t="shared" si="253"/>
        <v>0</v>
      </c>
      <c r="D1270">
        <f t="shared" si="254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5"/>
        <v>0</v>
      </c>
      <c r="G1270">
        <f t="shared" si="256"/>
        <v>0</v>
      </c>
      <c r="H1270">
        <f t="shared" si="257"/>
        <v>0</v>
      </c>
      <c r="I1270">
        <f t="shared" si="258"/>
        <v>0</v>
      </c>
      <c r="J1270">
        <f t="shared" si="259"/>
        <v>0</v>
      </c>
      <c r="K1270" s="4" t="e">
        <f t="shared" si="262"/>
        <v>#N/A</v>
      </c>
      <c r="L1270" t="e">
        <f t="shared" si="263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1"/>
        <v>0</v>
      </c>
      <c r="B1271">
        <f t="shared" si="252"/>
        <v>0</v>
      </c>
      <c r="C1271">
        <f t="shared" si="253"/>
        <v>0</v>
      </c>
      <c r="D1271">
        <f t="shared" si="254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5"/>
        <v>0</v>
      </c>
      <c r="G1271">
        <f t="shared" si="256"/>
        <v>0</v>
      </c>
      <c r="H1271">
        <f t="shared" si="257"/>
        <v>0</v>
      </c>
      <c r="I1271">
        <f t="shared" si="258"/>
        <v>0</v>
      </c>
      <c r="J1271">
        <f t="shared" si="259"/>
        <v>0</v>
      </c>
      <c r="K1271" s="4" t="e">
        <f t="shared" si="262"/>
        <v>#N/A</v>
      </c>
      <c r="L1271" t="e">
        <f t="shared" si="263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1"/>
        <v>0</v>
      </c>
      <c r="B1272">
        <f t="shared" si="252"/>
        <v>0</v>
      </c>
      <c r="C1272">
        <f t="shared" si="253"/>
        <v>0</v>
      </c>
      <c r="D1272">
        <f t="shared" si="254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5"/>
        <v>0</v>
      </c>
      <c r="G1272">
        <f t="shared" si="256"/>
        <v>0</v>
      </c>
      <c r="H1272">
        <f t="shared" si="257"/>
        <v>0</v>
      </c>
      <c r="I1272">
        <f t="shared" si="258"/>
        <v>0</v>
      </c>
      <c r="J1272">
        <f t="shared" si="259"/>
        <v>0</v>
      </c>
      <c r="K1272" s="4" t="e">
        <f t="shared" si="262"/>
        <v>#N/A</v>
      </c>
      <c r="L1272" t="e">
        <f t="shared" si="263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1"/>
        <v>0</v>
      </c>
      <c r="B1273">
        <f t="shared" si="252"/>
        <v>0</v>
      </c>
      <c r="C1273">
        <f t="shared" si="253"/>
        <v>0</v>
      </c>
      <c r="D1273">
        <f t="shared" si="254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5"/>
        <v>0</v>
      </c>
      <c r="G1273">
        <f t="shared" si="256"/>
        <v>0</v>
      </c>
      <c r="H1273">
        <f t="shared" si="257"/>
        <v>0</v>
      </c>
      <c r="I1273">
        <f t="shared" si="258"/>
        <v>0</v>
      </c>
      <c r="J1273">
        <f t="shared" si="259"/>
        <v>0</v>
      </c>
      <c r="K1273" s="4" t="e">
        <f t="shared" si="262"/>
        <v>#N/A</v>
      </c>
      <c r="L1273" t="e">
        <f t="shared" si="263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1"/>
        <v>0</v>
      </c>
      <c r="B1274">
        <f t="shared" si="252"/>
        <v>0</v>
      </c>
      <c r="C1274">
        <f t="shared" si="253"/>
        <v>0</v>
      </c>
      <c r="D1274">
        <f t="shared" si="254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5"/>
        <v>0</v>
      </c>
      <c r="G1274">
        <f t="shared" si="256"/>
        <v>0</v>
      </c>
      <c r="H1274">
        <f t="shared" si="257"/>
        <v>0</v>
      </c>
      <c r="I1274">
        <f t="shared" si="258"/>
        <v>0</v>
      </c>
      <c r="J1274">
        <f t="shared" si="259"/>
        <v>0</v>
      </c>
      <c r="K1274" s="4" t="e">
        <f t="shared" si="262"/>
        <v>#N/A</v>
      </c>
      <c r="L1274" t="e">
        <f t="shared" si="263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1"/>
        <v>0</v>
      </c>
      <c r="B1275">
        <f t="shared" si="252"/>
        <v>0</v>
      </c>
      <c r="C1275">
        <f t="shared" si="253"/>
        <v>0</v>
      </c>
      <c r="D1275">
        <f t="shared" si="254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5"/>
        <v>0</v>
      </c>
      <c r="G1275">
        <f t="shared" si="256"/>
        <v>0</v>
      </c>
      <c r="H1275">
        <f t="shared" si="257"/>
        <v>0</v>
      </c>
      <c r="I1275">
        <f t="shared" si="258"/>
        <v>0</v>
      </c>
      <c r="J1275">
        <f t="shared" si="259"/>
        <v>0</v>
      </c>
      <c r="K1275" s="4" t="e">
        <f t="shared" si="262"/>
        <v>#N/A</v>
      </c>
      <c r="L1275" t="e">
        <f t="shared" si="263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1"/>
        <v>0</v>
      </c>
      <c r="B1276">
        <f t="shared" si="252"/>
        <v>0</v>
      </c>
      <c r="C1276">
        <f t="shared" si="253"/>
        <v>0</v>
      </c>
      <c r="D1276">
        <f t="shared" si="254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5"/>
        <v>0</v>
      </c>
      <c r="G1276">
        <f t="shared" si="256"/>
        <v>0</v>
      </c>
      <c r="H1276">
        <f t="shared" si="257"/>
        <v>0</v>
      </c>
      <c r="I1276">
        <f t="shared" si="258"/>
        <v>0</v>
      </c>
      <c r="J1276">
        <f t="shared" si="259"/>
        <v>0</v>
      </c>
      <c r="K1276" s="4" t="e">
        <f t="shared" si="262"/>
        <v>#N/A</v>
      </c>
      <c r="L1276" t="e">
        <f t="shared" si="263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1"/>
        <v>0</v>
      </c>
      <c r="B1277">
        <f t="shared" si="252"/>
        <v>0</v>
      </c>
      <c r="C1277">
        <f t="shared" si="253"/>
        <v>0</v>
      </c>
      <c r="D1277">
        <f t="shared" si="254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5"/>
        <v>0</v>
      </c>
      <c r="G1277">
        <f t="shared" si="256"/>
        <v>0</v>
      </c>
      <c r="H1277">
        <f t="shared" si="257"/>
        <v>0</v>
      </c>
      <c r="I1277">
        <f t="shared" si="258"/>
        <v>0</v>
      </c>
      <c r="J1277">
        <f t="shared" si="259"/>
        <v>0</v>
      </c>
      <c r="K1277" s="4" t="e">
        <f t="shared" si="262"/>
        <v>#N/A</v>
      </c>
      <c r="L1277" t="e">
        <f t="shared" si="263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1"/>
        <v>0</v>
      </c>
      <c r="B1278">
        <f t="shared" si="252"/>
        <v>0</v>
      </c>
      <c r="C1278">
        <f t="shared" si="253"/>
        <v>0</v>
      </c>
      <c r="D1278">
        <f t="shared" si="254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5"/>
        <v>0</v>
      </c>
      <c r="G1278">
        <f t="shared" si="256"/>
        <v>0</v>
      </c>
      <c r="H1278">
        <f t="shared" si="257"/>
        <v>0</v>
      </c>
      <c r="I1278">
        <f t="shared" si="258"/>
        <v>0</v>
      </c>
      <c r="J1278">
        <f t="shared" si="259"/>
        <v>0</v>
      </c>
      <c r="K1278" s="4" t="e">
        <f t="shared" si="262"/>
        <v>#N/A</v>
      </c>
      <c r="L1278" t="e">
        <f t="shared" si="263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1"/>
        <v>0</v>
      </c>
      <c r="B1279">
        <f t="shared" si="252"/>
        <v>0</v>
      </c>
      <c r="C1279">
        <f t="shared" si="253"/>
        <v>0</v>
      </c>
      <c r="D1279">
        <f t="shared" si="254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5"/>
        <v>0</v>
      </c>
      <c r="G1279">
        <f t="shared" si="256"/>
        <v>0</v>
      </c>
      <c r="H1279">
        <f t="shared" si="257"/>
        <v>0</v>
      </c>
      <c r="I1279">
        <f t="shared" si="258"/>
        <v>0</v>
      </c>
      <c r="J1279">
        <f t="shared" si="259"/>
        <v>0</v>
      </c>
      <c r="K1279" s="4" t="e">
        <f t="shared" si="262"/>
        <v>#N/A</v>
      </c>
      <c r="L1279" t="e">
        <f t="shared" si="263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1"/>
        <v>0</v>
      </c>
      <c r="B1280">
        <f t="shared" si="252"/>
        <v>0</v>
      </c>
      <c r="C1280">
        <f t="shared" si="253"/>
        <v>0</v>
      </c>
      <c r="D1280">
        <f t="shared" si="254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5"/>
        <v>0</v>
      </c>
      <c r="G1280">
        <f t="shared" si="256"/>
        <v>0</v>
      </c>
      <c r="H1280">
        <f t="shared" si="257"/>
        <v>0</v>
      </c>
      <c r="I1280">
        <f t="shared" si="258"/>
        <v>0</v>
      </c>
      <c r="J1280">
        <f t="shared" si="259"/>
        <v>0</v>
      </c>
      <c r="K1280" s="4" t="e">
        <f t="shared" si="262"/>
        <v>#N/A</v>
      </c>
      <c r="L1280" t="e">
        <f t="shared" si="263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1"/>
        <v>0</v>
      </c>
      <c r="B1281">
        <f t="shared" si="252"/>
        <v>0</v>
      </c>
      <c r="C1281">
        <f t="shared" si="253"/>
        <v>0</v>
      </c>
      <c r="D1281">
        <f t="shared" si="254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5"/>
        <v>0</v>
      </c>
      <c r="G1281">
        <f t="shared" si="256"/>
        <v>0</v>
      </c>
      <c r="H1281">
        <f t="shared" si="257"/>
        <v>0</v>
      </c>
      <c r="I1281">
        <f t="shared" si="258"/>
        <v>0</v>
      </c>
      <c r="J1281">
        <f t="shared" si="259"/>
        <v>0</v>
      </c>
      <c r="K1281" s="4" t="e">
        <f t="shared" si="262"/>
        <v>#N/A</v>
      </c>
      <c r="L1281" t="e">
        <f t="shared" si="263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4">bd_campaign</f>
        <v>0</v>
      </c>
      <c r="B1282">
        <f t="shared" ref="B1282:B1345" si="265">bd_site</f>
        <v>0</v>
      </c>
      <c r="C1282">
        <f t="shared" ref="C1282:C1345" si="266">bd_placement</f>
        <v>0</v>
      </c>
      <c r="D1282">
        <f t="shared" ref="D1282:D1345" si="267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8">bd_ad</f>
        <v>0</v>
      </c>
      <c r="G1282">
        <f t="shared" ref="G1282:G1345" si="269">bd_adid</f>
        <v>0</v>
      </c>
      <c r="H1282">
        <f t="shared" ref="H1282:H1345" si="270">bd_creativetype</f>
        <v>0</v>
      </c>
      <c r="I1282">
        <f t="shared" ref="I1282:I1345" si="271">bd_impression</f>
        <v>0</v>
      </c>
      <c r="J1282">
        <f t="shared" ref="J1282:J1345" si="272">bd_clicks</f>
        <v>0</v>
      </c>
      <c r="K1282" s="4" t="e">
        <f t="shared" si="262"/>
        <v>#N/A</v>
      </c>
      <c r="L1282" t="e">
        <f t="shared" si="263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4"/>
        <v>0</v>
      </c>
      <c r="B1283">
        <f t="shared" si="265"/>
        <v>0</v>
      </c>
      <c r="C1283">
        <f t="shared" si="266"/>
        <v>0</v>
      </c>
      <c r="D1283">
        <f t="shared" si="267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8"/>
        <v>0</v>
      </c>
      <c r="G1283">
        <f t="shared" si="269"/>
        <v>0</v>
      </c>
      <c r="H1283">
        <f t="shared" si="270"/>
        <v>0</v>
      </c>
      <c r="I1283">
        <f t="shared" si="271"/>
        <v>0</v>
      </c>
      <c r="J1283">
        <f t="shared" si="272"/>
        <v>0</v>
      </c>
      <c r="K1283" s="4" t="e">
        <f t="shared" si="262"/>
        <v>#N/A</v>
      </c>
      <c r="L1283" t="e">
        <f t="shared" si="263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4"/>
        <v>0</v>
      </c>
      <c r="B1284">
        <f t="shared" si="265"/>
        <v>0</v>
      </c>
      <c r="C1284">
        <f t="shared" si="266"/>
        <v>0</v>
      </c>
      <c r="D1284">
        <f t="shared" si="267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8"/>
        <v>0</v>
      </c>
      <c r="G1284">
        <f t="shared" si="269"/>
        <v>0</v>
      </c>
      <c r="H1284">
        <f t="shared" si="270"/>
        <v>0</v>
      </c>
      <c r="I1284">
        <f t="shared" si="271"/>
        <v>0</v>
      </c>
      <c r="J1284">
        <f t="shared" si="272"/>
        <v>0</v>
      </c>
      <c r="K1284" s="4" t="e">
        <f t="shared" si="262"/>
        <v>#N/A</v>
      </c>
      <c r="L1284" t="e">
        <f t="shared" si="263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4"/>
        <v>0</v>
      </c>
      <c r="B1285">
        <f t="shared" si="265"/>
        <v>0</v>
      </c>
      <c r="C1285">
        <f t="shared" si="266"/>
        <v>0</v>
      </c>
      <c r="D1285">
        <f t="shared" si="267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8"/>
        <v>0</v>
      </c>
      <c r="G1285">
        <f t="shared" si="269"/>
        <v>0</v>
      </c>
      <c r="H1285">
        <f t="shared" si="270"/>
        <v>0</v>
      </c>
      <c r="I1285">
        <f t="shared" si="271"/>
        <v>0</v>
      </c>
      <c r="J1285">
        <f t="shared" si="272"/>
        <v>0</v>
      </c>
      <c r="K1285" s="4" t="e">
        <f t="shared" si="262"/>
        <v>#N/A</v>
      </c>
      <c r="L1285" t="e">
        <f t="shared" si="263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4"/>
        <v>0</v>
      </c>
      <c r="B1286">
        <f t="shared" si="265"/>
        <v>0</v>
      </c>
      <c r="C1286">
        <f t="shared" si="266"/>
        <v>0</v>
      </c>
      <c r="D1286">
        <f t="shared" si="267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8"/>
        <v>0</v>
      </c>
      <c r="G1286">
        <f t="shared" si="269"/>
        <v>0</v>
      </c>
      <c r="H1286">
        <f t="shared" si="270"/>
        <v>0</v>
      </c>
      <c r="I1286">
        <f t="shared" si="271"/>
        <v>0</v>
      </c>
      <c r="J1286">
        <f t="shared" si="272"/>
        <v>0</v>
      </c>
      <c r="K1286" s="4" t="e">
        <f t="shared" si="262"/>
        <v>#N/A</v>
      </c>
      <c r="L1286" t="e">
        <f t="shared" si="263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4"/>
        <v>0</v>
      </c>
      <c r="B1287">
        <f t="shared" si="265"/>
        <v>0</v>
      </c>
      <c r="C1287">
        <f t="shared" si="266"/>
        <v>0</v>
      </c>
      <c r="D1287">
        <f t="shared" si="267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8"/>
        <v>0</v>
      </c>
      <c r="G1287">
        <f t="shared" si="269"/>
        <v>0</v>
      </c>
      <c r="H1287">
        <f t="shared" si="270"/>
        <v>0</v>
      </c>
      <c r="I1287">
        <f t="shared" si="271"/>
        <v>0</v>
      </c>
      <c r="J1287">
        <f t="shared" si="272"/>
        <v>0</v>
      </c>
      <c r="K1287" s="4" t="e">
        <f t="shared" si="262"/>
        <v>#N/A</v>
      </c>
      <c r="L1287" t="e">
        <f t="shared" si="263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4"/>
        <v>0</v>
      </c>
      <c r="B1288">
        <f t="shared" si="265"/>
        <v>0</v>
      </c>
      <c r="C1288">
        <f t="shared" si="266"/>
        <v>0</v>
      </c>
      <c r="D1288">
        <f t="shared" si="267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8"/>
        <v>0</v>
      </c>
      <c r="G1288">
        <f t="shared" si="269"/>
        <v>0</v>
      </c>
      <c r="H1288">
        <f t="shared" si="270"/>
        <v>0</v>
      </c>
      <c r="I1288">
        <f t="shared" si="271"/>
        <v>0</v>
      </c>
      <c r="J1288">
        <f t="shared" si="272"/>
        <v>0</v>
      </c>
      <c r="K1288" s="4" t="e">
        <f t="shared" si="262"/>
        <v>#N/A</v>
      </c>
      <c r="L1288" t="e">
        <f t="shared" si="263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4"/>
        <v>0</v>
      </c>
      <c r="B1289">
        <f t="shared" si="265"/>
        <v>0</v>
      </c>
      <c r="C1289">
        <f t="shared" si="266"/>
        <v>0</v>
      </c>
      <c r="D1289">
        <f t="shared" si="267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8"/>
        <v>0</v>
      </c>
      <c r="G1289">
        <f t="shared" si="269"/>
        <v>0</v>
      </c>
      <c r="H1289">
        <f t="shared" si="270"/>
        <v>0</v>
      </c>
      <c r="I1289">
        <f t="shared" si="271"/>
        <v>0</v>
      </c>
      <c r="J1289">
        <f t="shared" si="272"/>
        <v>0</v>
      </c>
      <c r="K1289" s="4" t="e">
        <f t="shared" si="262"/>
        <v>#N/A</v>
      </c>
      <c r="L1289" t="e">
        <f t="shared" si="263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4"/>
        <v>0</v>
      </c>
      <c r="B1290">
        <f t="shared" si="265"/>
        <v>0</v>
      </c>
      <c r="C1290">
        <f t="shared" si="266"/>
        <v>0</v>
      </c>
      <c r="D1290">
        <f t="shared" si="267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8"/>
        <v>0</v>
      </c>
      <c r="G1290">
        <f t="shared" si="269"/>
        <v>0</v>
      </c>
      <c r="H1290">
        <f t="shared" si="270"/>
        <v>0</v>
      </c>
      <c r="I1290">
        <f t="shared" si="271"/>
        <v>0</v>
      </c>
      <c r="J1290">
        <f t="shared" si="272"/>
        <v>0</v>
      </c>
      <c r="K1290" s="4" t="e">
        <f t="shared" si="262"/>
        <v>#N/A</v>
      </c>
      <c r="L1290" t="e">
        <f t="shared" si="263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4"/>
        <v>0</v>
      </c>
      <c r="B1291">
        <f t="shared" si="265"/>
        <v>0</v>
      </c>
      <c r="C1291">
        <f t="shared" si="266"/>
        <v>0</v>
      </c>
      <c r="D1291">
        <f t="shared" si="267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8"/>
        <v>0</v>
      </c>
      <c r="G1291">
        <f t="shared" si="269"/>
        <v>0</v>
      </c>
      <c r="H1291">
        <f t="shared" si="270"/>
        <v>0</v>
      </c>
      <c r="I1291">
        <f t="shared" si="271"/>
        <v>0</v>
      </c>
      <c r="J1291">
        <f t="shared" si="272"/>
        <v>0</v>
      </c>
      <c r="K1291" s="4" t="e">
        <f t="shared" si="262"/>
        <v>#N/A</v>
      </c>
      <c r="L1291" t="e">
        <f t="shared" si="263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4"/>
        <v>0</v>
      </c>
      <c r="B1292">
        <f t="shared" si="265"/>
        <v>0</v>
      </c>
      <c r="C1292">
        <f t="shared" si="266"/>
        <v>0</v>
      </c>
      <c r="D1292">
        <f t="shared" si="267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8"/>
        <v>0</v>
      </c>
      <c r="G1292">
        <f t="shared" si="269"/>
        <v>0</v>
      </c>
      <c r="H1292">
        <f t="shared" si="270"/>
        <v>0</v>
      </c>
      <c r="I1292">
        <f t="shared" si="271"/>
        <v>0</v>
      </c>
      <c r="J1292">
        <f t="shared" si="272"/>
        <v>0</v>
      </c>
      <c r="K1292" s="4" t="e">
        <f t="shared" si="262"/>
        <v>#N/A</v>
      </c>
      <c r="L1292" t="e">
        <f t="shared" si="263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4"/>
        <v>0</v>
      </c>
      <c r="B1293">
        <f t="shared" si="265"/>
        <v>0</v>
      </c>
      <c r="C1293">
        <f t="shared" si="266"/>
        <v>0</v>
      </c>
      <c r="D1293">
        <f t="shared" si="267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8"/>
        <v>0</v>
      </c>
      <c r="G1293">
        <f t="shared" si="269"/>
        <v>0</v>
      </c>
      <c r="H1293">
        <f t="shared" si="270"/>
        <v>0</v>
      </c>
      <c r="I1293">
        <f t="shared" si="271"/>
        <v>0</v>
      </c>
      <c r="J1293">
        <f t="shared" si="272"/>
        <v>0</v>
      </c>
      <c r="K1293" s="4" t="e">
        <f t="shared" si="262"/>
        <v>#N/A</v>
      </c>
      <c r="L1293" t="e">
        <f t="shared" si="263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4"/>
        <v>0</v>
      </c>
      <c r="B1294">
        <f t="shared" si="265"/>
        <v>0</v>
      </c>
      <c r="C1294">
        <f t="shared" si="266"/>
        <v>0</v>
      </c>
      <c r="D1294">
        <f t="shared" si="267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8"/>
        <v>0</v>
      </c>
      <c r="G1294">
        <f t="shared" si="269"/>
        <v>0</v>
      </c>
      <c r="H1294">
        <f t="shared" si="270"/>
        <v>0</v>
      </c>
      <c r="I1294">
        <f t="shared" si="271"/>
        <v>0</v>
      </c>
      <c r="J1294">
        <f t="shared" si="272"/>
        <v>0</v>
      </c>
      <c r="K1294" s="4" t="e">
        <f t="shared" si="262"/>
        <v>#N/A</v>
      </c>
      <c r="L1294" t="e">
        <f t="shared" si="263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4"/>
        <v>0</v>
      </c>
      <c r="B1295">
        <f t="shared" si="265"/>
        <v>0</v>
      </c>
      <c r="C1295">
        <f t="shared" si="266"/>
        <v>0</v>
      </c>
      <c r="D1295">
        <f t="shared" si="267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8"/>
        <v>0</v>
      </c>
      <c r="G1295">
        <f t="shared" si="269"/>
        <v>0</v>
      </c>
      <c r="H1295">
        <f t="shared" si="270"/>
        <v>0</v>
      </c>
      <c r="I1295">
        <f t="shared" si="271"/>
        <v>0</v>
      </c>
      <c r="J1295">
        <f t="shared" si="272"/>
        <v>0</v>
      </c>
      <c r="K1295" s="4" t="e">
        <f t="shared" si="262"/>
        <v>#N/A</v>
      </c>
      <c r="L1295" t="e">
        <f t="shared" si="263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4"/>
        <v>0</v>
      </c>
      <c r="B1296">
        <f t="shared" si="265"/>
        <v>0</v>
      </c>
      <c r="C1296">
        <f t="shared" si="266"/>
        <v>0</v>
      </c>
      <c r="D1296">
        <f t="shared" si="267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8"/>
        <v>0</v>
      </c>
      <c r="G1296">
        <f t="shared" si="269"/>
        <v>0</v>
      </c>
      <c r="H1296">
        <f t="shared" si="270"/>
        <v>0</v>
      </c>
      <c r="I1296">
        <f t="shared" si="271"/>
        <v>0</v>
      </c>
      <c r="J1296">
        <f t="shared" si="272"/>
        <v>0</v>
      </c>
      <c r="K1296" s="4" t="e">
        <f t="shared" si="262"/>
        <v>#N/A</v>
      </c>
      <c r="L1296" t="e">
        <f t="shared" si="263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4"/>
        <v>0</v>
      </c>
      <c r="B1297">
        <f t="shared" si="265"/>
        <v>0</v>
      </c>
      <c r="C1297">
        <f t="shared" si="266"/>
        <v>0</v>
      </c>
      <c r="D1297">
        <f t="shared" si="267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8"/>
        <v>0</v>
      </c>
      <c r="G1297">
        <f t="shared" si="269"/>
        <v>0</v>
      </c>
      <c r="H1297">
        <f t="shared" si="270"/>
        <v>0</v>
      </c>
      <c r="I1297">
        <f t="shared" si="271"/>
        <v>0</v>
      </c>
      <c r="J1297">
        <f t="shared" si="272"/>
        <v>0</v>
      </c>
      <c r="K1297" s="4" t="e">
        <f t="shared" si="262"/>
        <v>#N/A</v>
      </c>
      <c r="L1297" t="e">
        <f t="shared" si="263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4"/>
        <v>0</v>
      </c>
      <c r="B1298">
        <f t="shared" si="265"/>
        <v>0</v>
      </c>
      <c r="C1298">
        <f t="shared" si="266"/>
        <v>0</v>
      </c>
      <c r="D1298">
        <f t="shared" si="267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8"/>
        <v>0</v>
      </c>
      <c r="G1298">
        <f t="shared" si="269"/>
        <v>0</v>
      </c>
      <c r="H1298">
        <f t="shared" si="270"/>
        <v>0</v>
      </c>
      <c r="I1298">
        <f t="shared" si="271"/>
        <v>0</v>
      </c>
      <c r="J1298">
        <f t="shared" si="272"/>
        <v>0</v>
      </c>
      <c r="K1298" s="4" t="e">
        <f t="shared" si="262"/>
        <v>#N/A</v>
      </c>
      <c r="L1298" t="e">
        <f t="shared" si="263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4"/>
        <v>0</v>
      </c>
      <c r="B1299">
        <f t="shared" si="265"/>
        <v>0</v>
      </c>
      <c r="C1299">
        <f t="shared" si="266"/>
        <v>0</v>
      </c>
      <c r="D1299">
        <f t="shared" si="267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8"/>
        <v>0</v>
      </c>
      <c r="G1299">
        <f t="shared" si="269"/>
        <v>0</v>
      </c>
      <c r="H1299">
        <f t="shared" si="270"/>
        <v>0</v>
      </c>
      <c r="I1299">
        <f t="shared" si="271"/>
        <v>0</v>
      </c>
      <c r="J1299">
        <f t="shared" si="272"/>
        <v>0</v>
      </c>
      <c r="K1299" s="4" t="e">
        <f t="shared" si="262"/>
        <v>#N/A</v>
      </c>
      <c r="L1299" t="e">
        <f t="shared" si="263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4"/>
        <v>0</v>
      </c>
      <c r="B1300">
        <f t="shared" si="265"/>
        <v>0</v>
      </c>
      <c r="C1300">
        <f t="shared" si="266"/>
        <v>0</v>
      </c>
      <c r="D1300">
        <f t="shared" si="267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8"/>
        <v>0</v>
      </c>
      <c r="G1300">
        <f t="shared" si="269"/>
        <v>0</v>
      </c>
      <c r="H1300">
        <f t="shared" si="270"/>
        <v>0</v>
      </c>
      <c r="I1300">
        <f t="shared" si="271"/>
        <v>0</v>
      </c>
      <c r="J1300">
        <f t="shared" si="272"/>
        <v>0</v>
      </c>
      <c r="K1300" s="4" t="e">
        <f t="shared" si="262"/>
        <v>#N/A</v>
      </c>
      <c r="L1300" t="e">
        <f t="shared" si="263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4"/>
        <v>0</v>
      </c>
      <c r="B1301">
        <f t="shared" si="265"/>
        <v>0</v>
      </c>
      <c r="C1301">
        <f t="shared" si="266"/>
        <v>0</v>
      </c>
      <c r="D1301">
        <f t="shared" si="267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8"/>
        <v>0</v>
      </c>
      <c r="G1301">
        <f t="shared" si="269"/>
        <v>0</v>
      </c>
      <c r="H1301">
        <f t="shared" si="270"/>
        <v>0</v>
      </c>
      <c r="I1301">
        <f t="shared" si="271"/>
        <v>0</v>
      </c>
      <c r="J1301">
        <f t="shared" si="272"/>
        <v>0</v>
      </c>
      <c r="K1301" s="4" t="e">
        <f t="shared" si="262"/>
        <v>#N/A</v>
      </c>
      <c r="L1301" t="e">
        <f t="shared" si="263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4"/>
        <v>0</v>
      </c>
      <c r="B1302">
        <f t="shared" si="265"/>
        <v>0</v>
      </c>
      <c r="C1302">
        <f t="shared" si="266"/>
        <v>0</v>
      </c>
      <c r="D1302">
        <f t="shared" si="267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8"/>
        <v>0</v>
      </c>
      <c r="G1302">
        <f t="shared" si="269"/>
        <v>0</v>
      </c>
      <c r="H1302">
        <f t="shared" si="270"/>
        <v>0</v>
      </c>
      <c r="I1302">
        <f t="shared" si="271"/>
        <v>0</v>
      </c>
      <c r="J1302">
        <f t="shared" si="272"/>
        <v>0</v>
      </c>
      <c r="K1302" s="4" t="e">
        <f t="shared" si="262"/>
        <v>#N/A</v>
      </c>
      <c r="L1302" t="e">
        <f t="shared" si="263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4"/>
        <v>0</v>
      </c>
      <c r="B1303">
        <f t="shared" si="265"/>
        <v>0</v>
      </c>
      <c r="C1303">
        <f t="shared" si="266"/>
        <v>0</v>
      </c>
      <c r="D1303">
        <f t="shared" si="267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8"/>
        <v>0</v>
      </c>
      <c r="G1303">
        <f t="shared" si="269"/>
        <v>0</v>
      </c>
      <c r="H1303">
        <f t="shared" si="270"/>
        <v>0</v>
      </c>
      <c r="I1303">
        <f t="shared" si="271"/>
        <v>0</v>
      </c>
      <c r="J1303">
        <f t="shared" si="272"/>
        <v>0</v>
      </c>
      <c r="K1303" s="4" t="e">
        <f t="shared" si="262"/>
        <v>#N/A</v>
      </c>
      <c r="L1303" t="e">
        <f t="shared" si="263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4"/>
        <v>0</v>
      </c>
      <c r="B1304">
        <f t="shared" si="265"/>
        <v>0</v>
      </c>
      <c r="C1304">
        <f t="shared" si="266"/>
        <v>0</v>
      </c>
      <c r="D1304">
        <f t="shared" si="267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8"/>
        <v>0</v>
      </c>
      <c r="G1304">
        <f t="shared" si="269"/>
        <v>0</v>
      </c>
      <c r="H1304">
        <f t="shared" si="270"/>
        <v>0</v>
      </c>
      <c r="I1304">
        <f t="shared" si="271"/>
        <v>0</v>
      </c>
      <c r="J1304">
        <f t="shared" si="272"/>
        <v>0</v>
      </c>
      <c r="K1304" s="4" t="e">
        <f t="shared" si="262"/>
        <v>#N/A</v>
      </c>
      <c r="L1304" t="e">
        <f t="shared" si="263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4"/>
        <v>0</v>
      </c>
      <c r="B1305">
        <f t="shared" si="265"/>
        <v>0</v>
      </c>
      <c r="C1305">
        <f t="shared" si="266"/>
        <v>0</v>
      </c>
      <c r="D1305">
        <f t="shared" si="267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8"/>
        <v>0</v>
      </c>
      <c r="G1305">
        <f t="shared" si="269"/>
        <v>0</v>
      </c>
      <c r="H1305">
        <f t="shared" si="270"/>
        <v>0</v>
      </c>
      <c r="I1305">
        <f t="shared" si="271"/>
        <v>0</v>
      </c>
      <c r="J1305">
        <f t="shared" si="272"/>
        <v>0</v>
      </c>
      <c r="K1305" s="4" t="e">
        <f t="shared" si="262"/>
        <v>#N/A</v>
      </c>
      <c r="L1305" t="e">
        <f t="shared" si="263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4"/>
        <v>0</v>
      </c>
      <c r="B1306">
        <f t="shared" si="265"/>
        <v>0</v>
      </c>
      <c r="C1306">
        <f t="shared" si="266"/>
        <v>0</v>
      </c>
      <c r="D1306">
        <f t="shared" si="267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8"/>
        <v>0</v>
      </c>
      <c r="G1306">
        <f t="shared" si="269"/>
        <v>0</v>
      </c>
      <c r="H1306">
        <f t="shared" si="270"/>
        <v>0</v>
      </c>
      <c r="I1306">
        <f t="shared" si="271"/>
        <v>0</v>
      </c>
      <c r="J1306">
        <f t="shared" si="272"/>
        <v>0</v>
      </c>
      <c r="K1306" s="4" t="e">
        <f t="shared" si="262"/>
        <v>#N/A</v>
      </c>
      <c r="L1306" t="e">
        <f t="shared" si="263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4"/>
        <v>0</v>
      </c>
      <c r="B1307">
        <f t="shared" si="265"/>
        <v>0</v>
      </c>
      <c r="C1307">
        <f t="shared" si="266"/>
        <v>0</v>
      </c>
      <c r="D1307">
        <f t="shared" si="267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8"/>
        <v>0</v>
      </c>
      <c r="G1307">
        <f t="shared" si="269"/>
        <v>0</v>
      </c>
      <c r="H1307">
        <f t="shared" si="270"/>
        <v>0</v>
      </c>
      <c r="I1307">
        <f t="shared" si="271"/>
        <v>0</v>
      </c>
      <c r="J1307">
        <f t="shared" si="272"/>
        <v>0</v>
      </c>
      <c r="K1307" s="4" t="e">
        <f t="shared" si="262"/>
        <v>#N/A</v>
      </c>
      <c r="L1307" t="e">
        <f t="shared" si="263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4"/>
        <v>0</v>
      </c>
      <c r="B1308">
        <f t="shared" si="265"/>
        <v>0</v>
      </c>
      <c r="C1308">
        <f t="shared" si="266"/>
        <v>0</v>
      </c>
      <c r="D1308">
        <f t="shared" si="267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8"/>
        <v>0</v>
      </c>
      <c r="G1308">
        <f t="shared" si="269"/>
        <v>0</v>
      </c>
      <c r="H1308">
        <f t="shared" si="270"/>
        <v>0</v>
      </c>
      <c r="I1308">
        <f t="shared" si="271"/>
        <v>0</v>
      </c>
      <c r="J1308">
        <f t="shared" si="272"/>
        <v>0</v>
      </c>
      <c r="K1308" s="4" t="e">
        <f t="shared" si="262"/>
        <v>#N/A</v>
      </c>
      <c r="L1308" t="e">
        <f t="shared" si="263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4"/>
        <v>0</v>
      </c>
      <c r="B1309">
        <f t="shared" si="265"/>
        <v>0</v>
      </c>
      <c r="C1309">
        <f t="shared" si="266"/>
        <v>0</v>
      </c>
      <c r="D1309">
        <f t="shared" si="267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8"/>
        <v>0</v>
      </c>
      <c r="G1309">
        <f t="shared" si="269"/>
        <v>0</v>
      </c>
      <c r="H1309">
        <f t="shared" si="270"/>
        <v>0</v>
      </c>
      <c r="I1309">
        <f t="shared" si="271"/>
        <v>0</v>
      </c>
      <c r="J1309">
        <f t="shared" si="272"/>
        <v>0</v>
      </c>
      <c r="K1309" s="4" t="e">
        <f t="shared" si="262"/>
        <v>#N/A</v>
      </c>
      <c r="L1309" t="e">
        <f t="shared" si="263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4"/>
        <v>0</v>
      </c>
      <c r="B1310">
        <f t="shared" si="265"/>
        <v>0</v>
      </c>
      <c r="C1310">
        <f t="shared" si="266"/>
        <v>0</v>
      </c>
      <c r="D1310">
        <f t="shared" si="267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8"/>
        <v>0</v>
      </c>
      <c r="G1310">
        <f t="shared" si="269"/>
        <v>0</v>
      </c>
      <c r="H1310">
        <f t="shared" si="270"/>
        <v>0</v>
      </c>
      <c r="I1310">
        <f t="shared" si="271"/>
        <v>0</v>
      </c>
      <c r="J1310">
        <f t="shared" si="272"/>
        <v>0</v>
      </c>
      <c r="K1310" s="4" t="e">
        <f t="shared" si="262"/>
        <v>#N/A</v>
      </c>
      <c r="L1310" t="e">
        <f t="shared" si="263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4"/>
        <v>0</v>
      </c>
      <c r="B1311">
        <f t="shared" si="265"/>
        <v>0</v>
      </c>
      <c r="C1311">
        <f t="shared" si="266"/>
        <v>0</v>
      </c>
      <c r="D1311">
        <f t="shared" si="267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8"/>
        <v>0</v>
      </c>
      <c r="G1311">
        <f t="shared" si="269"/>
        <v>0</v>
      </c>
      <c r="H1311">
        <f t="shared" si="270"/>
        <v>0</v>
      </c>
      <c r="I1311">
        <f t="shared" si="271"/>
        <v>0</v>
      </c>
      <c r="J1311">
        <f t="shared" si="272"/>
        <v>0</v>
      </c>
      <c r="K1311" s="4" t="e">
        <f t="shared" si="262"/>
        <v>#N/A</v>
      </c>
      <c r="L1311" t="e">
        <f t="shared" si="263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4"/>
        <v>0</v>
      </c>
      <c r="B1312">
        <f t="shared" si="265"/>
        <v>0</v>
      </c>
      <c r="C1312">
        <f t="shared" si="266"/>
        <v>0</v>
      </c>
      <c r="D1312">
        <f t="shared" si="267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8"/>
        <v>0</v>
      </c>
      <c r="G1312">
        <f t="shared" si="269"/>
        <v>0</v>
      </c>
      <c r="H1312">
        <f t="shared" si="270"/>
        <v>0</v>
      </c>
      <c r="I1312">
        <f t="shared" si="271"/>
        <v>0</v>
      </c>
      <c r="J1312">
        <f t="shared" si="272"/>
        <v>0</v>
      </c>
      <c r="K1312" s="4" t="e">
        <f t="shared" si="262"/>
        <v>#N/A</v>
      </c>
      <c r="L1312" t="e">
        <f t="shared" si="263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4"/>
        <v>0</v>
      </c>
      <c r="B1313">
        <f t="shared" si="265"/>
        <v>0</v>
      </c>
      <c r="C1313">
        <f t="shared" si="266"/>
        <v>0</v>
      </c>
      <c r="D1313">
        <f t="shared" si="267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8"/>
        <v>0</v>
      </c>
      <c r="G1313">
        <f t="shared" si="269"/>
        <v>0</v>
      </c>
      <c r="H1313">
        <f t="shared" si="270"/>
        <v>0</v>
      </c>
      <c r="I1313">
        <f t="shared" si="271"/>
        <v>0</v>
      </c>
      <c r="J1313">
        <f t="shared" si="272"/>
        <v>0</v>
      </c>
      <c r="K1313" s="4" t="e">
        <f t="shared" si="262"/>
        <v>#N/A</v>
      </c>
      <c r="L1313" t="e">
        <f t="shared" si="263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4"/>
        <v>0</v>
      </c>
      <c r="B1314">
        <f t="shared" si="265"/>
        <v>0</v>
      </c>
      <c r="C1314">
        <f t="shared" si="266"/>
        <v>0</v>
      </c>
      <c r="D1314">
        <f t="shared" si="267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8"/>
        <v>0</v>
      </c>
      <c r="G1314">
        <f t="shared" si="269"/>
        <v>0</v>
      </c>
      <c r="H1314">
        <f t="shared" si="270"/>
        <v>0</v>
      </c>
      <c r="I1314">
        <f t="shared" si="271"/>
        <v>0</v>
      </c>
      <c r="J1314">
        <f t="shared" si="272"/>
        <v>0</v>
      </c>
      <c r="K1314" s="4" t="e">
        <f t="shared" si="262"/>
        <v>#N/A</v>
      </c>
      <c r="L1314" t="e">
        <f t="shared" si="263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4"/>
        <v>0</v>
      </c>
      <c r="B1315">
        <f t="shared" si="265"/>
        <v>0</v>
      </c>
      <c r="C1315">
        <f t="shared" si="266"/>
        <v>0</v>
      </c>
      <c r="D1315">
        <f t="shared" si="267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8"/>
        <v>0</v>
      </c>
      <c r="G1315">
        <f t="shared" si="269"/>
        <v>0</v>
      </c>
      <c r="H1315">
        <f t="shared" si="270"/>
        <v>0</v>
      </c>
      <c r="I1315">
        <f t="shared" si="271"/>
        <v>0</v>
      </c>
      <c r="J1315">
        <f t="shared" si="272"/>
        <v>0</v>
      </c>
      <c r="K1315" s="4" t="e">
        <f t="shared" si="262"/>
        <v>#N/A</v>
      </c>
      <c r="L1315" t="e">
        <f t="shared" si="263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4"/>
        <v>0</v>
      </c>
      <c r="B1316">
        <f t="shared" si="265"/>
        <v>0</v>
      </c>
      <c r="C1316">
        <f t="shared" si="266"/>
        <v>0</v>
      </c>
      <c r="D1316">
        <f t="shared" si="267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8"/>
        <v>0</v>
      </c>
      <c r="G1316">
        <f t="shared" si="269"/>
        <v>0</v>
      </c>
      <c r="H1316">
        <f t="shared" si="270"/>
        <v>0</v>
      </c>
      <c r="I1316">
        <f t="shared" si="271"/>
        <v>0</v>
      </c>
      <c r="J1316">
        <f t="shared" si="272"/>
        <v>0</v>
      </c>
      <c r="K1316" s="4" t="e">
        <f t="shared" si="262"/>
        <v>#N/A</v>
      </c>
      <c r="L1316" t="e">
        <f t="shared" si="263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4"/>
        <v>0</v>
      </c>
      <c r="B1317">
        <f t="shared" si="265"/>
        <v>0</v>
      </c>
      <c r="C1317">
        <f t="shared" si="266"/>
        <v>0</v>
      </c>
      <c r="D1317">
        <f t="shared" si="267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8"/>
        <v>0</v>
      </c>
      <c r="G1317">
        <f t="shared" si="269"/>
        <v>0</v>
      </c>
      <c r="H1317">
        <f t="shared" si="270"/>
        <v>0</v>
      </c>
      <c r="I1317">
        <f t="shared" si="271"/>
        <v>0</v>
      </c>
      <c r="J1317">
        <f t="shared" si="272"/>
        <v>0</v>
      </c>
      <c r="K1317" s="4" t="e">
        <f t="shared" si="262"/>
        <v>#N/A</v>
      </c>
      <c r="L1317" t="e">
        <f t="shared" si="263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4"/>
        <v>0</v>
      </c>
      <c r="B1318">
        <f t="shared" si="265"/>
        <v>0</v>
      </c>
      <c r="C1318">
        <f t="shared" si="266"/>
        <v>0</v>
      </c>
      <c r="D1318">
        <f t="shared" si="267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8"/>
        <v>0</v>
      </c>
      <c r="G1318">
        <f t="shared" si="269"/>
        <v>0</v>
      </c>
      <c r="H1318">
        <f t="shared" si="270"/>
        <v>0</v>
      </c>
      <c r="I1318">
        <f t="shared" si="271"/>
        <v>0</v>
      </c>
      <c r="J1318">
        <f t="shared" si="272"/>
        <v>0</v>
      </c>
      <c r="K1318" s="4" t="e">
        <f t="shared" si="262"/>
        <v>#N/A</v>
      </c>
      <c r="L1318" t="e">
        <f t="shared" si="263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4"/>
        <v>0</v>
      </c>
      <c r="B1319">
        <f t="shared" si="265"/>
        <v>0</v>
      </c>
      <c r="C1319">
        <f t="shared" si="266"/>
        <v>0</v>
      </c>
      <c r="D1319">
        <f t="shared" si="267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8"/>
        <v>0</v>
      </c>
      <c r="G1319">
        <f t="shared" si="269"/>
        <v>0</v>
      </c>
      <c r="H1319">
        <f t="shared" si="270"/>
        <v>0</v>
      </c>
      <c r="I1319">
        <f t="shared" si="271"/>
        <v>0</v>
      </c>
      <c r="J1319">
        <f t="shared" si="272"/>
        <v>0</v>
      </c>
      <c r="K1319" s="4" t="e">
        <f t="shared" si="262"/>
        <v>#N/A</v>
      </c>
      <c r="L1319" t="e">
        <f t="shared" si="263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4"/>
        <v>0</v>
      </c>
      <c r="B1320">
        <f t="shared" si="265"/>
        <v>0</v>
      </c>
      <c r="C1320">
        <f t="shared" si="266"/>
        <v>0</v>
      </c>
      <c r="D1320">
        <f t="shared" si="267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8"/>
        <v>0</v>
      </c>
      <c r="G1320">
        <f t="shared" si="269"/>
        <v>0</v>
      </c>
      <c r="H1320">
        <f t="shared" si="270"/>
        <v>0</v>
      </c>
      <c r="I1320">
        <f t="shared" si="271"/>
        <v>0</v>
      </c>
      <c r="J1320">
        <f t="shared" si="272"/>
        <v>0</v>
      </c>
      <c r="K1320" s="4" t="e">
        <f t="shared" si="262"/>
        <v>#N/A</v>
      </c>
      <c r="L1320" t="e">
        <f t="shared" si="263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4"/>
        <v>0</v>
      </c>
      <c r="B1321">
        <f t="shared" si="265"/>
        <v>0</v>
      </c>
      <c r="C1321">
        <f t="shared" si="266"/>
        <v>0</v>
      </c>
      <c r="D1321">
        <f t="shared" si="267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8"/>
        <v>0</v>
      </c>
      <c r="G1321">
        <f t="shared" si="269"/>
        <v>0</v>
      </c>
      <c r="H1321">
        <f t="shared" si="270"/>
        <v>0</v>
      </c>
      <c r="I1321">
        <f t="shared" si="271"/>
        <v>0</v>
      </c>
      <c r="J1321">
        <f t="shared" si="272"/>
        <v>0</v>
      </c>
      <c r="K1321" s="4" t="e">
        <f t="shared" si="262"/>
        <v>#N/A</v>
      </c>
      <c r="L1321" t="e">
        <f t="shared" si="263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4"/>
        <v>0</v>
      </c>
      <c r="B1322">
        <f t="shared" si="265"/>
        <v>0</v>
      </c>
      <c r="C1322">
        <f t="shared" si="266"/>
        <v>0</v>
      </c>
      <c r="D1322">
        <f t="shared" si="267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8"/>
        <v>0</v>
      </c>
      <c r="G1322">
        <f t="shared" si="269"/>
        <v>0</v>
      </c>
      <c r="H1322">
        <f t="shared" si="270"/>
        <v>0</v>
      </c>
      <c r="I1322">
        <f t="shared" si="271"/>
        <v>0</v>
      </c>
      <c r="J1322">
        <f t="shared" si="272"/>
        <v>0</v>
      </c>
      <c r="K1322" s="4" t="e">
        <f t="shared" si="262"/>
        <v>#N/A</v>
      </c>
      <c r="L1322" t="e">
        <f t="shared" si="263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4"/>
        <v>0</v>
      </c>
      <c r="B1323">
        <f t="shared" si="265"/>
        <v>0</v>
      </c>
      <c r="C1323">
        <f t="shared" si="266"/>
        <v>0</v>
      </c>
      <c r="D1323">
        <f t="shared" si="267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8"/>
        <v>0</v>
      </c>
      <c r="G1323">
        <f t="shared" si="269"/>
        <v>0</v>
      </c>
      <c r="H1323">
        <f t="shared" si="270"/>
        <v>0</v>
      </c>
      <c r="I1323">
        <f t="shared" si="271"/>
        <v>0</v>
      </c>
      <c r="J1323">
        <f t="shared" si="272"/>
        <v>0</v>
      </c>
      <c r="K1323" s="4" t="e">
        <f t="shared" si="262"/>
        <v>#N/A</v>
      </c>
      <c r="L1323" t="e">
        <f t="shared" si="263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4"/>
        <v>0</v>
      </c>
      <c r="B1324">
        <f t="shared" si="265"/>
        <v>0</v>
      </c>
      <c r="C1324">
        <f t="shared" si="266"/>
        <v>0</v>
      </c>
      <c r="D1324">
        <f t="shared" si="267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8"/>
        <v>0</v>
      </c>
      <c r="G1324">
        <f t="shared" si="269"/>
        <v>0</v>
      </c>
      <c r="H1324">
        <f t="shared" si="270"/>
        <v>0</v>
      </c>
      <c r="I1324">
        <f t="shared" si="271"/>
        <v>0</v>
      </c>
      <c r="J1324">
        <f t="shared" si="272"/>
        <v>0</v>
      </c>
      <c r="K1324" s="4" t="e">
        <f t="shared" ref="K1324:K1387" si="275">IF(LEFT(B1324,3)="DBM",0,VLOOKUP(E1324,tabela,2,FALSE))</f>
        <v>#N/A</v>
      </c>
      <c r="L1324" t="e">
        <f t="shared" ref="L1324:L1387" si="276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4"/>
        <v>0</v>
      </c>
      <c r="B1325">
        <f t="shared" si="265"/>
        <v>0</v>
      </c>
      <c r="C1325">
        <f t="shared" si="266"/>
        <v>0</v>
      </c>
      <c r="D1325">
        <f t="shared" si="267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8"/>
        <v>0</v>
      </c>
      <c r="G1325">
        <f t="shared" si="269"/>
        <v>0</v>
      </c>
      <c r="H1325">
        <f t="shared" si="270"/>
        <v>0</v>
      </c>
      <c r="I1325">
        <f t="shared" si="271"/>
        <v>0</v>
      </c>
      <c r="J1325">
        <f t="shared" si="272"/>
        <v>0</v>
      </c>
      <c r="K1325" s="4" t="e">
        <f t="shared" si="275"/>
        <v>#N/A</v>
      </c>
      <c r="L1325" t="e">
        <f t="shared" si="276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4"/>
        <v>0</v>
      </c>
      <c r="B1326">
        <f t="shared" si="265"/>
        <v>0</v>
      </c>
      <c r="C1326">
        <f t="shared" si="266"/>
        <v>0</v>
      </c>
      <c r="D1326">
        <f t="shared" si="267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8"/>
        <v>0</v>
      </c>
      <c r="G1326">
        <f t="shared" si="269"/>
        <v>0</v>
      </c>
      <c r="H1326">
        <f t="shared" si="270"/>
        <v>0</v>
      </c>
      <c r="I1326">
        <f t="shared" si="271"/>
        <v>0</v>
      </c>
      <c r="J1326">
        <f t="shared" si="272"/>
        <v>0</v>
      </c>
      <c r="K1326" s="4" t="e">
        <f t="shared" si="275"/>
        <v>#N/A</v>
      </c>
      <c r="L1326" t="e">
        <f t="shared" si="276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4"/>
        <v>0</v>
      </c>
      <c r="B1327">
        <f t="shared" si="265"/>
        <v>0</v>
      </c>
      <c r="C1327">
        <f t="shared" si="266"/>
        <v>0</v>
      </c>
      <c r="D1327">
        <f t="shared" si="267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8"/>
        <v>0</v>
      </c>
      <c r="G1327">
        <f t="shared" si="269"/>
        <v>0</v>
      </c>
      <c r="H1327">
        <f t="shared" si="270"/>
        <v>0</v>
      </c>
      <c r="I1327">
        <f t="shared" si="271"/>
        <v>0</v>
      </c>
      <c r="J1327">
        <f t="shared" si="272"/>
        <v>0</v>
      </c>
      <c r="K1327" s="4" t="e">
        <f t="shared" si="275"/>
        <v>#N/A</v>
      </c>
      <c r="L1327" t="e">
        <f t="shared" si="276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4"/>
        <v>0</v>
      </c>
      <c r="B1328">
        <f t="shared" si="265"/>
        <v>0</v>
      </c>
      <c r="C1328">
        <f t="shared" si="266"/>
        <v>0</v>
      </c>
      <c r="D1328">
        <f t="shared" si="267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8"/>
        <v>0</v>
      </c>
      <c r="G1328">
        <f t="shared" si="269"/>
        <v>0</v>
      </c>
      <c r="H1328">
        <f t="shared" si="270"/>
        <v>0</v>
      </c>
      <c r="I1328">
        <f t="shared" si="271"/>
        <v>0</v>
      </c>
      <c r="J1328">
        <f t="shared" si="272"/>
        <v>0</v>
      </c>
      <c r="K1328" s="4" t="e">
        <f t="shared" si="275"/>
        <v>#N/A</v>
      </c>
      <c r="L1328" t="e">
        <f t="shared" si="276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4"/>
        <v>0</v>
      </c>
      <c r="B1329">
        <f t="shared" si="265"/>
        <v>0</v>
      </c>
      <c r="C1329">
        <f t="shared" si="266"/>
        <v>0</v>
      </c>
      <c r="D1329">
        <f t="shared" si="267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8"/>
        <v>0</v>
      </c>
      <c r="G1329">
        <f t="shared" si="269"/>
        <v>0</v>
      </c>
      <c r="H1329">
        <f t="shared" si="270"/>
        <v>0</v>
      </c>
      <c r="I1329">
        <f t="shared" si="271"/>
        <v>0</v>
      </c>
      <c r="J1329">
        <f t="shared" si="272"/>
        <v>0</v>
      </c>
      <c r="K1329" s="4" t="e">
        <f t="shared" si="275"/>
        <v>#N/A</v>
      </c>
      <c r="L1329" t="e">
        <f t="shared" si="276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4"/>
        <v>0</v>
      </c>
      <c r="B1330">
        <f t="shared" si="265"/>
        <v>0</v>
      </c>
      <c r="C1330">
        <f t="shared" si="266"/>
        <v>0</v>
      </c>
      <c r="D1330">
        <f t="shared" si="267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8"/>
        <v>0</v>
      </c>
      <c r="G1330">
        <f t="shared" si="269"/>
        <v>0</v>
      </c>
      <c r="H1330">
        <f t="shared" si="270"/>
        <v>0</v>
      </c>
      <c r="I1330">
        <f t="shared" si="271"/>
        <v>0</v>
      </c>
      <c r="J1330">
        <f t="shared" si="272"/>
        <v>0</v>
      </c>
      <c r="K1330" s="4" t="e">
        <f t="shared" si="275"/>
        <v>#N/A</v>
      </c>
      <c r="L1330" t="e">
        <f t="shared" si="276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4"/>
        <v>0</v>
      </c>
      <c r="B1331">
        <f t="shared" si="265"/>
        <v>0</v>
      </c>
      <c r="C1331">
        <f t="shared" si="266"/>
        <v>0</v>
      </c>
      <c r="D1331">
        <f t="shared" si="267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8"/>
        <v>0</v>
      </c>
      <c r="G1331">
        <f t="shared" si="269"/>
        <v>0</v>
      </c>
      <c r="H1331">
        <f t="shared" si="270"/>
        <v>0</v>
      </c>
      <c r="I1331">
        <f t="shared" si="271"/>
        <v>0</v>
      </c>
      <c r="J1331">
        <f t="shared" si="272"/>
        <v>0</v>
      </c>
      <c r="K1331" s="4" t="e">
        <f t="shared" si="275"/>
        <v>#N/A</v>
      </c>
      <c r="L1331" t="e">
        <f t="shared" si="276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4"/>
        <v>0</v>
      </c>
      <c r="B1332">
        <f t="shared" si="265"/>
        <v>0</v>
      </c>
      <c r="C1332">
        <f t="shared" si="266"/>
        <v>0</v>
      </c>
      <c r="D1332">
        <f t="shared" si="267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8"/>
        <v>0</v>
      </c>
      <c r="G1332">
        <f t="shared" si="269"/>
        <v>0</v>
      </c>
      <c r="H1332">
        <f t="shared" si="270"/>
        <v>0</v>
      </c>
      <c r="I1332">
        <f t="shared" si="271"/>
        <v>0</v>
      </c>
      <c r="J1332">
        <f t="shared" si="272"/>
        <v>0</v>
      </c>
      <c r="K1332" s="4" t="e">
        <f t="shared" si="275"/>
        <v>#N/A</v>
      </c>
      <c r="L1332" t="e">
        <f t="shared" si="276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4"/>
        <v>0</v>
      </c>
      <c r="B1333">
        <f t="shared" si="265"/>
        <v>0</v>
      </c>
      <c r="C1333">
        <f t="shared" si="266"/>
        <v>0</v>
      </c>
      <c r="D1333">
        <f t="shared" si="267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8"/>
        <v>0</v>
      </c>
      <c r="G1333">
        <f t="shared" si="269"/>
        <v>0</v>
      </c>
      <c r="H1333">
        <f t="shared" si="270"/>
        <v>0</v>
      </c>
      <c r="I1333">
        <f t="shared" si="271"/>
        <v>0</v>
      </c>
      <c r="J1333">
        <f t="shared" si="272"/>
        <v>0</v>
      </c>
      <c r="K1333" s="4" t="e">
        <f t="shared" si="275"/>
        <v>#N/A</v>
      </c>
      <c r="L1333" t="e">
        <f t="shared" si="276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4"/>
        <v>0</v>
      </c>
      <c r="B1334">
        <f t="shared" si="265"/>
        <v>0</v>
      </c>
      <c r="C1334">
        <f t="shared" si="266"/>
        <v>0</v>
      </c>
      <c r="D1334">
        <f t="shared" si="267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8"/>
        <v>0</v>
      </c>
      <c r="G1334">
        <f t="shared" si="269"/>
        <v>0</v>
      </c>
      <c r="H1334">
        <f t="shared" si="270"/>
        <v>0</v>
      </c>
      <c r="I1334">
        <f t="shared" si="271"/>
        <v>0</v>
      </c>
      <c r="J1334">
        <f t="shared" si="272"/>
        <v>0</v>
      </c>
      <c r="K1334" s="4" t="e">
        <f t="shared" si="275"/>
        <v>#N/A</v>
      </c>
      <c r="L1334" t="e">
        <f t="shared" si="276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4"/>
        <v>0</v>
      </c>
      <c r="B1335">
        <f t="shared" si="265"/>
        <v>0</v>
      </c>
      <c r="C1335">
        <f t="shared" si="266"/>
        <v>0</v>
      </c>
      <c r="D1335">
        <f t="shared" si="267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8"/>
        <v>0</v>
      </c>
      <c r="G1335">
        <f t="shared" si="269"/>
        <v>0</v>
      </c>
      <c r="H1335">
        <f t="shared" si="270"/>
        <v>0</v>
      </c>
      <c r="I1335">
        <f t="shared" si="271"/>
        <v>0</v>
      </c>
      <c r="J1335">
        <f t="shared" si="272"/>
        <v>0</v>
      </c>
      <c r="K1335" s="4" t="e">
        <f t="shared" si="275"/>
        <v>#N/A</v>
      </c>
      <c r="L1335" t="e">
        <f t="shared" si="276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4"/>
        <v>0</v>
      </c>
      <c r="B1336">
        <f t="shared" si="265"/>
        <v>0</v>
      </c>
      <c r="C1336">
        <f t="shared" si="266"/>
        <v>0</v>
      </c>
      <c r="D1336">
        <f t="shared" si="267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8"/>
        <v>0</v>
      </c>
      <c r="G1336">
        <f t="shared" si="269"/>
        <v>0</v>
      </c>
      <c r="H1336">
        <f t="shared" si="270"/>
        <v>0</v>
      </c>
      <c r="I1336">
        <f t="shared" si="271"/>
        <v>0</v>
      </c>
      <c r="J1336">
        <f t="shared" si="272"/>
        <v>0</v>
      </c>
      <c r="K1336" s="4" t="e">
        <f t="shared" si="275"/>
        <v>#N/A</v>
      </c>
      <c r="L1336" t="e">
        <f t="shared" si="276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4"/>
        <v>0</v>
      </c>
      <c r="B1337">
        <f t="shared" si="265"/>
        <v>0</v>
      </c>
      <c r="C1337">
        <f t="shared" si="266"/>
        <v>0</v>
      </c>
      <c r="D1337">
        <f t="shared" si="267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8"/>
        <v>0</v>
      </c>
      <c r="G1337">
        <f t="shared" si="269"/>
        <v>0</v>
      </c>
      <c r="H1337">
        <f t="shared" si="270"/>
        <v>0</v>
      </c>
      <c r="I1337">
        <f t="shared" si="271"/>
        <v>0</v>
      </c>
      <c r="J1337">
        <f t="shared" si="272"/>
        <v>0</v>
      </c>
      <c r="K1337" s="4" t="e">
        <f t="shared" si="275"/>
        <v>#N/A</v>
      </c>
      <c r="L1337" t="e">
        <f t="shared" si="276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4"/>
        <v>0</v>
      </c>
      <c r="B1338">
        <f t="shared" si="265"/>
        <v>0</v>
      </c>
      <c r="C1338">
        <f t="shared" si="266"/>
        <v>0</v>
      </c>
      <c r="D1338">
        <f t="shared" si="267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8"/>
        <v>0</v>
      </c>
      <c r="G1338">
        <f t="shared" si="269"/>
        <v>0</v>
      </c>
      <c r="H1338">
        <f t="shared" si="270"/>
        <v>0</v>
      </c>
      <c r="I1338">
        <f t="shared" si="271"/>
        <v>0</v>
      </c>
      <c r="J1338">
        <f t="shared" si="272"/>
        <v>0</v>
      </c>
      <c r="K1338" s="4" t="e">
        <f t="shared" si="275"/>
        <v>#N/A</v>
      </c>
      <c r="L1338" t="e">
        <f t="shared" si="276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4"/>
        <v>0</v>
      </c>
      <c r="B1339">
        <f t="shared" si="265"/>
        <v>0</v>
      </c>
      <c r="C1339">
        <f t="shared" si="266"/>
        <v>0</v>
      </c>
      <c r="D1339">
        <f t="shared" si="267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8"/>
        <v>0</v>
      </c>
      <c r="G1339">
        <f t="shared" si="269"/>
        <v>0</v>
      </c>
      <c r="H1339">
        <f t="shared" si="270"/>
        <v>0</v>
      </c>
      <c r="I1339">
        <f t="shared" si="271"/>
        <v>0</v>
      </c>
      <c r="J1339">
        <f t="shared" si="272"/>
        <v>0</v>
      </c>
      <c r="K1339" s="4" t="e">
        <f t="shared" si="275"/>
        <v>#N/A</v>
      </c>
      <c r="L1339" t="e">
        <f t="shared" si="276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4"/>
        <v>0</v>
      </c>
      <c r="B1340">
        <f t="shared" si="265"/>
        <v>0</v>
      </c>
      <c r="C1340">
        <f t="shared" si="266"/>
        <v>0</v>
      </c>
      <c r="D1340">
        <f t="shared" si="267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8"/>
        <v>0</v>
      </c>
      <c r="G1340">
        <f t="shared" si="269"/>
        <v>0</v>
      </c>
      <c r="H1340">
        <f t="shared" si="270"/>
        <v>0</v>
      </c>
      <c r="I1340">
        <f t="shared" si="271"/>
        <v>0</v>
      </c>
      <c r="J1340">
        <f t="shared" si="272"/>
        <v>0</v>
      </c>
      <c r="K1340" s="4" t="e">
        <f t="shared" si="275"/>
        <v>#N/A</v>
      </c>
      <c r="L1340" t="e">
        <f t="shared" si="276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4"/>
        <v>0</v>
      </c>
      <c r="B1341">
        <f t="shared" si="265"/>
        <v>0</v>
      </c>
      <c r="C1341">
        <f t="shared" si="266"/>
        <v>0</v>
      </c>
      <c r="D1341">
        <f t="shared" si="267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8"/>
        <v>0</v>
      </c>
      <c r="G1341">
        <f t="shared" si="269"/>
        <v>0</v>
      </c>
      <c r="H1341">
        <f t="shared" si="270"/>
        <v>0</v>
      </c>
      <c r="I1341">
        <f t="shared" si="271"/>
        <v>0</v>
      </c>
      <c r="J1341">
        <f t="shared" si="272"/>
        <v>0</v>
      </c>
      <c r="K1341" s="4" t="e">
        <f t="shared" si="275"/>
        <v>#N/A</v>
      </c>
      <c r="L1341" t="e">
        <f t="shared" si="276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4"/>
        <v>0</v>
      </c>
      <c r="B1342">
        <f t="shared" si="265"/>
        <v>0</v>
      </c>
      <c r="C1342">
        <f t="shared" si="266"/>
        <v>0</v>
      </c>
      <c r="D1342">
        <f t="shared" si="267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8"/>
        <v>0</v>
      </c>
      <c r="G1342">
        <f t="shared" si="269"/>
        <v>0</v>
      </c>
      <c r="H1342">
        <f t="shared" si="270"/>
        <v>0</v>
      </c>
      <c r="I1342">
        <f t="shared" si="271"/>
        <v>0</v>
      </c>
      <c r="J1342">
        <f t="shared" si="272"/>
        <v>0</v>
      </c>
      <c r="K1342" s="4" t="e">
        <f t="shared" si="275"/>
        <v>#N/A</v>
      </c>
      <c r="L1342" t="e">
        <f t="shared" si="276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4"/>
        <v>0</v>
      </c>
      <c r="B1343">
        <f t="shared" si="265"/>
        <v>0</v>
      </c>
      <c r="C1343">
        <f t="shared" si="266"/>
        <v>0</v>
      </c>
      <c r="D1343">
        <f t="shared" si="267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8"/>
        <v>0</v>
      </c>
      <c r="G1343">
        <f t="shared" si="269"/>
        <v>0</v>
      </c>
      <c r="H1343">
        <f t="shared" si="270"/>
        <v>0</v>
      </c>
      <c r="I1343">
        <f t="shared" si="271"/>
        <v>0</v>
      </c>
      <c r="J1343">
        <f t="shared" si="272"/>
        <v>0</v>
      </c>
      <c r="K1343" s="4" t="e">
        <f t="shared" si="275"/>
        <v>#N/A</v>
      </c>
      <c r="L1343" t="e">
        <f t="shared" si="276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4"/>
        <v>0</v>
      </c>
      <c r="B1344">
        <f t="shared" si="265"/>
        <v>0</v>
      </c>
      <c r="C1344">
        <f t="shared" si="266"/>
        <v>0</v>
      </c>
      <c r="D1344">
        <f t="shared" si="267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8"/>
        <v>0</v>
      </c>
      <c r="G1344">
        <f t="shared" si="269"/>
        <v>0</v>
      </c>
      <c r="H1344">
        <f t="shared" si="270"/>
        <v>0</v>
      </c>
      <c r="I1344">
        <f t="shared" si="271"/>
        <v>0</v>
      </c>
      <c r="J1344">
        <f t="shared" si="272"/>
        <v>0</v>
      </c>
      <c r="K1344" s="4" t="e">
        <f t="shared" si="275"/>
        <v>#N/A</v>
      </c>
      <c r="L1344" t="e">
        <f t="shared" si="276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4"/>
        <v>0</v>
      </c>
      <c r="B1345">
        <f t="shared" si="265"/>
        <v>0</v>
      </c>
      <c r="C1345">
        <f t="shared" si="266"/>
        <v>0</v>
      </c>
      <c r="D1345">
        <f t="shared" si="267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8"/>
        <v>0</v>
      </c>
      <c r="G1345">
        <f t="shared" si="269"/>
        <v>0</v>
      </c>
      <c r="H1345">
        <f t="shared" si="270"/>
        <v>0</v>
      </c>
      <c r="I1345">
        <f t="shared" si="271"/>
        <v>0</v>
      </c>
      <c r="J1345">
        <f t="shared" si="272"/>
        <v>0</v>
      </c>
      <c r="K1345" s="4" t="e">
        <f t="shared" si="275"/>
        <v>#N/A</v>
      </c>
      <c r="L1345" t="e">
        <f t="shared" si="276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7">bd_campaign</f>
        <v>0</v>
      </c>
      <c r="B1346">
        <f t="shared" ref="B1346:B1409" si="278">bd_site</f>
        <v>0</v>
      </c>
      <c r="C1346">
        <f t="shared" ref="C1346:C1409" si="279">bd_placement</f>
        <v>0</v>
      </c>
      <c r="D1346">
        <f t="shared" ref="D1346:D1409" si="280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1">bd_ad</f>
        <v>0</v>
      </c>
      <c r="G1346">
        <f t="shared" ref="G1346:G1409" si="282">bd_adid</f>
        <v>0</v>
      </c>
      <c r="H1346">
        <f t="shared" ref="H1346:H1409" si="283">bd_creativetype</f>
        <v>0</v>
      </c>
      <c r="I1346">
        <f t="shared" ref="I1346:I1409" si="284">bd_impression</f>
        <v>0</v>
      </c>
      <c r="J1346">
        <f t="shared" ref="J1346:J1409" si="285">bd_clicks</f>
        <v>0</v>
      </c>
      <c r="K1346" s="4" t="e">
        <f t="shared" si="275"/>
        <v>#N/A</v>
      </c>
      <c r="L1346" t="e">
        <f t="shared" si="276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7"/>
        <v>0</v>
      </c>
      <c r="B1347">
        <f t="shared" si="278"/>
        <v>0</v>
      </c>
      <c r="C1347">
        <f t="shared" si="279"/>
        <v>0</v>
      </c>
      <c r="D1347">
        <f t="shared" si="280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1"/>
        <v>0</v>
      </c>
      <c r="G1347">
        <f t="shared" si="282"/>
        <v>0</v>
      </c>
      <c r="H1347">
        <f t="shared" si="283"/>
        <v>0</v>
      </c>
      <c r="I1347">
        <f t="shared" si="284"/>
        <v>0</v>
      </c>
      <c r="J1347">
        <f t="shared" si="285"/>
        <v>0</v>
      </c>
      <c r="K1347" s="4" t="e">
        <f t="shared" si="275"/>
        <v>#N/A</v>
      </c>
      <c r="L1347" t="e">
        <f t="shared" si="276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7"/>
        <v>0</v>
      </c>
      <c r="B1348">
        <f t="shared" si="278"/>
        <v>0</v>
      </c>
      <c r="C1348">
        <f t="shared" si="279"/>
        <v>0</v>
      </c>
      <c r="D1348">
        <f t="shared" si="280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1"/>
        <v>0</v>
      </c>
      <c r="G1348">
        <f t="shared" si="282"/>
        <v>0</v>
      </c>
      <c r="H1348">
        <f t="shared" si="283"/>
        <v>0</v>
      </c>
      <c r="I1348">
        <f t="shared" si="284"/>
        <v>0</v>
      </c>
      <c r="J1348">
        <f t="shared" si="285"/>
        <v>0</v>
      </c>
      <c r="K1348" s="4" t="e">
        <f t="shared" si="275"/>
        <v>#N/A</v>
      </c>
      <c r="L1348" t="e">
        <f t="shared" si="276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7"/>
        <v>0</v>
      </c>
      <c r="B1349">
        <f t="shared" si="278"/>
        <v>0</v>
      </c>
      <c r="C1349">
        <f t="shared" si="279"/>
        <v>0</v>
      </c>
      <c r="D1349">
        <f t="shared" si="280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1"/>
        <v>0</v>
      </c>
      <c r="G1349">
        <f t="shared" si="282"/>
        <v>0</v>
      </c>
      <c r="H1349">
        <f t="shared" si="283"/>
        <v>0</v>
      </c>
      <c r="I1349">
        <f t="shared" si="284"/>
        <v>0</v>
      </c>
      <c r="J1349">
        <f t="shared" si="285"/>
        <v>0</v>
      </c>
      <c r="K1349" s="4" t="e">
        <f t="shared" si="275"/>
        <v>#N/A</v>
      </c>
      <c r="L1349" t="e">
        <f t="shared" si="276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7"/>
        <v>0</v>
      </c>
      <c r="B1350">
        <f t="shared" si="278"/>
        <v>0</v>
      </c>
      <c r="C1350">
        <f t="shared" si="279"/>
        <v>0</v>
      </c>
      <c r="D1350">
        <f t="shared" si="280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1"/>
        <v>0</v>
      </c>
      <c r="G1350">
        <f t="shared" si="282"/>
        <v>0</v>
      </c>
      <c r="H1350">
        <f t="shared" si="283"/>
        <v>0</v>
      </c>
      <c r="I1350">
        <f t="shared" si="284"/>
        <v>0</v>
      </c>
      <c r="J1350">
        <f t="shared" si="285"/>
        <v>0</v>
      </c>
      <c r="K1350" s="4" t="e">
        <f t="shared" si="275"/>
        <v>#N/A</v>
      </c>
      <c r="L1350" t="e">
        <f t="shared" si="276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7"/>
        <v>0</v>
      </c>
      <c r="B1351">
        <f t="shared" si="278"/>
        <v>0</v>
      </c>
      <c r="C1351">
        <f t="shared" si="279"/>
        <v>0</v>
      </c>
      <c r="D1351">
        <f t="shared" si="280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1"/>
        <v>0</v>
      </c>
      <c r="G1351">
        <f t="shared" si="282"/>
        <v>0</v>
      </c>
      <c r="H1351">
        <f t="shared" si="283"/>
        <v>0</v>
      </c>
      <c r="I1351">
        <f t="shared" si="284"/>
        <v>0</v>
      </c>
      <c r="J1351">
        <f t="shared" si="285"/>
        <v>0</v>
      </c>
      <c r="K1351" s="4" t="e">
        <f t="shared" si="275"/>
        <v>#N/A</v>
      </c>
      <c r="L1351" t="e">
        <f t="shared" si="276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7"/>
        <v>0</v>
      </c>
      <c r="B1352">
        <f t="shared" si="278"/>
        <v>0</v>
      </c>
      <c r="C1352">
        <f t="shared" si="279"/>
        <v>0</v>
      </c>
      <c r="D1352">
        <f t="shared" si="280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1"/>
        <v>0</v>
      </c>
      <c r="G1352">
        <f t="shared" si="282"/>
        <v>0</v>
      </c>
      <c r="H1352">
        <f t="shared" si="283"/>
        <v>0</v>
      </c>
      <c r="I1352">
        <f t="shared" si="284"/>
        <v>0</v>
      </c>
      <c r="J1352">
        <f t="shared" si="285"/>
        <v>0</v>
      </c>
      <c r="K1352" s="4" t="e">
        <f t="shared" si="275"/>
        <v>#N/A</v>
      </c>
      <c r="L1352" t="e">
        <f t="shared" si="276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7"/>
        <v>0</v>
      </c>
      <c r="B1353">
        <f t="shared" si="278"/>
        <v>0</v>
      </c>
      <c r="C1353">
        <f t="shared" si="279"/>
        <v>0</v>
      </c>
      <c r="D1353">
        <f t="shared" si="280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1"/>
        <v>0</v>
      </c>
      <c r="G1353">
        <f t="shared" si="282"/>
        <v>0</v>
      </c>
      <c r="H1353">
        <f t="shared" si="283"/>
        <v>0</v>
      </c>
      <c r="I1353">
        <f t="shared" si="284"/>
        <v>0</v>
      </c>
      <c r="J1353">
        <f t="shared" si="285"/>
        <v>0</v>
      </c>
      <c r="K1353" s="4" t="e">
        <f t="shared" si="275"/>
        <v>#N/A</v>
      </c>
      <c r="L1353" t="e">
        <f t="shared" si="276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7"/>
        <v>0</v>
      </c>
      <c r="B1354">
        <f t="shared" si="278"/>
        <v>0</v>
      </c>
      <c r="C1354">
        <f t="shared" si="279"/>
        <v>0</v>
      </c>
      <c r="D1354">
        <f t="shared" si="280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1"/>
        <v>0</v>
      </c>
      <c r="G1354">
        <f t="shared" si="282"/>
        <v>0</v>
      </c>
      <c r="H1354">
        <f t="shared" si="283"/>
        <v>0</v>
      </c>
      <c r="I1354">
        <f t="shared" si="284"/>
        <v>0</v>
      </c>
      <c r="J1354">
        <f t="shared" si="285"/>
        <v>0</v>
      </c>
      <c r="K1354" s="4" t="e">
        <f t="shared" si="275"/>
        <v>#N/A</v>
      </c>
      <c r="L1354" t="e">
        <f t="shared" si="276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7"/>
        <v>0</v>
      </c>
      <c r="B1355">
        <f t="shared" si="278"/>
        <v>0</v>
      </c>
      <c r="C1355">
        <f t="shared" si="279"/>
        <v>0</v>
      </c>
      <c r="D1355">
        <f t="shared" si="280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1"/>
        <v>0</v>
      </c>
      <c r="G1355">
        <f t="shared" si="282"/>
        <v>0</v>
      </c>
      <c r="H1355">
        <f t="shared" si="283"/>
        <v>0</v>
      </c>
      <c r="I1355">
        <f t="shared" si="284"/>
        <v>0</v>
      </c>
      <c r="J1355">
        <f t="shared" si="285"/>
        <v>0</v>
      </c>
      <c r="K1355" s="4" t="e">
        <f t="shared" si="275"/>
        <v>#N/A</v>
      </c>
      <c r="L1355" t="e">
        <f t="shared" si="276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7"/>
        <v>0</v>
      </c>
      <c r="B1356">
        <f t="shared" si="278"/>
        <v>0</v>
      </c>
      <c r="C1356">
        <f t="shared" si="279"/>
        <v>0</v>
      </c>
      <c r="D1356">
        <f t="shared" si="280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1"/>
        <v>0</v>
      </c>
      <c r="G1356">
        <f t="shared" si="282"/>
        <v>0</v>
      </c>
      <c r="H1356">
        <f t="shared" si="283"/>
        <v>0</v>
      </c>
      <c r="I1356">
        <f t="shared" si="284"/>
        <v>0</v>
      </c>
      <c r="J1356">
        <f t="shared" si="285"/>
        <v>0</v>
      </c>
      <c r="K1356" s="4" t="e">
        <f t="shared" si="275"/>
        <v>#N/A</v>
      </c>
      <c r="L1356" t="e">
        <f t="shared" si="276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7"/>
        <v>0</v>
      </c>
      <c r="B1357">
        <f t="shared" si="278"/>
        <v>0</v>
      </c>
      <c r="C1357">
        <f t="shared" si="279"/>
        <v>0</v>
      </c>
      <c r="D1357">
        <f t="shared" si="280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1"/>
        <v>0</v>
      </c>
      <c r="G1357">
        <f t="shared" si="282"/>
        <v>0</v>
      </c>
      <c r="H1357">
        <f t="shared" si="283"/>
        <v>0</v>
      </c>
      <c r="I1357">
        <f t="shared" si="284"/>
        <v>0</v>
      </c>
      <c r="J1357">
        <f t="shared" si="285"/>
        <v>0</v>
      </c>
      <c r="K1357" s="4" t="e">
        <f t="shared" si="275"/>
        <v>#N/A</v>
      </c>
      <c r="L1357" t="e">
        <f t="shared" si="276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7"/>
        <v>0</v>
      </c>
      <c r="B1358">
        <f t="shared" si="278"/>
        <v>0</v>
      </c>
      <c r="C1358">
        <f t="shared" si="279"/>
        <v>0</v>
      </c>
      <c r="D1358">
        <f t="shared" si="280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1"/>
        <v>0</v>
      </c>
      <c r="G1358">
        <f t="shared" si="282"/>
        <v>0</v>
      </c>
      <c r="H1358">
        <f t="shared" si="283"/>
        <v>0</v>
      </c>
      <c r="I1358">
        <f t="shared" si="284"/>
        <v>0</v>
      </c>
      <c r="J1358">
        <f t="shared" si="285"/>
        <v>0</v>
      </c>
      <c r="K1358" s="4" t="e">
        <f t="shared" si="275"/>
        <v>#N/A</v>
      </c>
      <c r="L1358" t="e">
        <f t="shared" si="276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7"/>
        <v>0</v>
      </c>
      <c r="B1359">
        <f t="shared" si="278"/>
        <v>0</v>
      </c>
      <c r="C1359">
        <f t="shared" si="279"/>
        <v>0</v>
      </c>
      <c r="D1359">
        <f t="shared" si="280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1"/>
        <v>0</v>
      </c>
      <c r="G1359">
        <f t="shared" si="282"/>
        <v>0</v>
      </c>
      <c r="H1359">
        <f t="shared" si="283"/>
        <v>0</v>
      </c>
      <c r="I1359">
        <f t="shared" si="284"/>
        <v>0</v>
      </c>
      <c r="J1359">
        <f t="shared" si="285"/>
        <v>0</v>
      </c>
      <c r="K1359" s="4" t="e">
        <f t="shared" si="275"/>
        <v>#N/A</v>
      </c>
      <c r="L1359" t="e">
        <f t="shared" si="276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7"/>
        <v>0</v>
      </c>
      <c r="B1360">
        <f t="shared" si="278"/>
        <v>0</v>
      </c>
      <c r="C1360">
        <f t="shared" si="279"/>
        <v>0</v>
      </c>
      <c r="D1360">
        <f t="shared" si="280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1"/>
        <v>0</v>
      </c>
      <c r="G1360">
        <f t="shared" si="282"/>
        <v>0</v>
      </c>
      <c r="H1360">
        <f t="shared" si="283"/>
        <v>0</v>
      </c>
      <c r="I1360">
        <f t="shared" si="284"/>
        <v>0</v>
      </c>
      <c r="J1360">
        <f t="shared" si="285"/>
        <v>0</v>
      </c>
      <c r="K1360" s="4" t="e">
        <f t="shared" si="275"/>
        <v>#N/A</v>
      </c>
      <c r="L1360" t="e">
        <f t="shared" si="276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7"/>
        <v>0</v>
      </c>
      <c r="B1361">
        <f t="shared" si="278"/>
        <v>0</v>
      </c>
      <c r="C1361">
        <f t="shared" si="279"/>
        <v>0</v>
      </c>
      <c r="D1361">
        <f t="shared" si="280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1"/>
        <v>0</v>
      </c>
      <c r="G1361">
        <f t="shared" si="282"/>
        <v>0</v>
      </c>
      <c r="H1361">
        <f t="shared" si="283"/>
        <v>0</v>
      </c>
      <c r="I1361">
        <f t="shared" si="284"/>
        <v>0</v>
      </c>
      <c r="J1361">
        <f t="shared" si="285"/>
        <v>0</v>
      </c>
      <c r="K1361" s="4" t="e">
        <f t="shared" si="275"/>
        <v>#N/A</v>
      </c>
      <c r="L1361" t="e">
        <f t="shared" si="276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7"/>
        <v>0</v>
      </c>
      <c r="B1362">
        <f t="shared" si="278"/>
        <v>0</v>
      </c>
      <c r="C1362">
        <f t="shared" si="279"/>
        <v>0</v>
      </c>
      <c r="D1362">
        <f t="shared" si="280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1"/>
        <v>0</v>
      </c>
      <c r="G1362">
        <f t="shared" si="282"/>
        <v>0</v>
      </c>
      <c r="H1362">
        <f t="shared" si="283"/>
        <v>0</v>
      </c>
      <c r="I1362">
        <f t="shared" si="284"/>
        <v>0</v>
      </c>
      <c r="J1362">
        <f t="shared" si="285"/>
        <v>0</v>
      </c>
      <c r="K1362" s="4" t="e">
        <f t="shared" si="275"/>
        <v>#N/A</v>
      </c>
      <c r="L1362" t="e">
        <f t="shared" si="276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7"/>
        <v>0</v>
      </c>
      <c r="B1363">
        <f t="shared" si="278"/>
        <v>0</v>
      </c>
      <c r="C1363">
        <f t="shared" si="279"/>
        <v>0</v>
      </c>
      <c r="D1363">
        <f t="shared" si="280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1"/>
        <v>0</v>
      </c>
      <c r="G1363">
        <f t="shared" si="282"/>
        <v>0</v>
      </c>
      <c r="H1363">
        <f t="shared" si="283"/>
        <v>0</v>
      </c>
      <c r="I1363">
        <f t="shared" si="284"/>
        <v>0</v>
      </c>
      <c r="J1363">
        <f t="shared" si="285"/>
        <v>0</v>
      </c>
      <c r="K1363" s="4" t="e">
        <f t="shared" si="275"/>
        <v>#N/A</v>
      </c>
      <c r="L1363" t="e">
        <f t="shared" si="276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7"/>
        <v>0</v>
      </c>
      <c r="B1364">
        <f t="shared" si="278"/>
        <v>0</v>
      </c>
      <c r="C1364">
        <f t="shared" si="279"/>
        <v>0</v>
      </c>
      <c r="D1364">
        <f t="shared" si="280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1"/>
        <v>0</v>
      </c>
      <c r="G1364">
        <f t="shared" si="282"/>
        <v>0</v>
      </c>
      <c r="H1364">
        <f t="shared" si="283"/>
        <v>0</v>
      </c>
      <c r="I1364">
        <f t="shared" si="284"/>
        <v>0</v>
      </c>
      <c r="J1364">
        <f t="shared" si="285"/>
        <v>0</v>
      </c>
      <c r="K1364" s="4" t="e">
        <f t="shared" si="275"/>
        <v>#N/A</v>
      </c>
      <c r="L1364" t="e">
        <f t="shared" si="276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7"/>
        <v>0</v>
      </c>
      <c r="B1365">
        <f t="shared" si="278"/>
        <v>0</v>
      </c>
      <c r="C1365">
        <f t="shared" si="279"/>
        <v>0</v>
      </c>
      <c r="D1365">
        <f t="shared" si="280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1"/>
        <v>0</v>
      </c>
      <c r="G1365">
        <f t="shared" si="282"/>
        <v>0</v>
      </c>
      <c r="H1365">
        <f t="shared" si="283"/>
        <v>0</v>
      </c>
      <c r="I1365">
        <f t="shared" si="284"/>
        <v>0</v>
      </c>
      <c r="J1365">
        <f t="shared" si="285"/>
        <v>0</v>
      </c>
      <c r="K1365" s="4" t="e">
        <f t="shared" si="275"/>
        <v>#N/A</v>
      </c>
      <c r="L1365" t="e">
        <f t="shared" si="276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7"/>
        <v>0</v>
      </c>
      <c r="B1366">
        <f t="shared" si="278"/>
        <v>0</v>
      </c>
      <c r="C1366">
        <f t="shared" si="279"/>
        <v>0</v>
      </c>
      <c r="D1366">
        <f t="shared" si="280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1"/>
        <v>0</v>
      </c>
      <c r="G1366">
        <f t="shared" si="282"/>
        <v>0</v>
      </c>
      <c r="H1366">
        <f t="shared" si="283"/>
        <v>0</v>
      </c>
      <c r="I1366">
        <f t="shared" si="284"/>
        <v>0</v>
      </c>
      <c r="J1366">
        <f t="shared" si="285"/>
        <v>0</v>
      </c>
      <c r="K1366" s="4" t="e">
        <f t="shared" si="275"/>
        <v>#N/A</v>
      </c>
      <c r="L1366" t="e">
        <f t="shared" si="276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7"/>
        <v>0</v>
      </c>
      <c r="B1367">
        <f t="shared" si="278"/>
        <v>0</v>
      </c>
      <c r="C1367">
        <f t="shared" si="279"/>
        <v>0</v>
      </c>
      <c r="D1367">
        <f t="shared" si="280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1"/>
        <v>0</v>
      </c>
      <c r="G1367">
        <f t="shared" si="282"/>
        <v>0</v>
      </c>
      <c r="H1367">
        <f t="shared" si="283"/>
        <v>0</v>
      </c>
      <c r="I1367">
        <f t="shared" si="284"/>
        <v>0</v>
      </c>
      <c r="J1367">
        <f t="shared" si="285"/>
        <v>0</v>
      </c>
      <c r="K1367" s="4" t="e">
        <f t="shared" si="275"/>
        <v>#N/A</v>
      </c>
      <c r="L1367" t="e">
        <f t="shared" si="276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7"/>
        <v>0</v>
      </c>
      <c r="B1368">
        <f t="shared" si="278"/>
        <v>0</v>
      </c>
      <c r="C1368">
        <f t="shared" si="279"/>
        <v>0</v>
      </c>
      <c r="D1368">
        <f t="shared" si="280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1"/>
        <v>0</v>
      </c>
      <c r="G1368">
        <f t="shared" si="282"/>
        <v>0</v>
      </c>
      <c r="H1368">
        <f t="shared" si="283"/>
        <v>0</v>
      </c>
      <c r="I1368">
        <f t="shared" si="284"/>
        <v>0</v>
      </c>
      <c r="J1368">
        <f t="shared" si="285"/>
        <v>0</v>
      </c>
      <c r="K1368" s="4" t="e">
        <f t="shared" si="275"/>
        <v>#N/A</v>
      </c>
      <c r="L1368" t="e">
        <f t="shared" si="276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7"/>
        <v>0</v>
      </c>
      <c r="B1369">
        <f t="shared" si="278"/>
        <v>0</v>
      </c>
      <c r="C1369">
        <f t="shared" si="279"/>
        <v>0</v>
      </c>
      <c r="D1369">
        <f t="shared" si="280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1"/>
        <v>0</v>
      </c>
      <c r="G1369">
        <f t="shared" si="282"/>
        <v>0</v>
      </c>
      <c r="H1369">
        <f t="shared" si="283"/>
        <v>0</v>
      </c>
      <c r="I1369">
        <f t="shared" si="284"/>
        <v>0</v>
      </c>
      <c r="J1369">
        <f t="shared" si="285"/>
        <v>0</v>
      </c>
      <c r="K1369" s="4" t="e">
        <f t="shared" si="275"/>
        <v>#N/A</v>
      </c>
      <c r="L1369" t="e">
        <f t="shared" si="276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7"/>
        <v>0</v>
      </c>
      <c r="B1370">
        <f t="shared" si="278"/>
        <v>0</v>
      </c>
      <c r="C1370">
        <f t="shared" si="279"/>
        <v>0</v>
      </c>
      <c r="D1370">
        <f t="shared" si="280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1"/>
        <v>0</v>
      </c>
      <c r="G1370">
        <f t="shared" si="282"/>
        <v>0</v>
      </c>
      <c r="H1370">
        <f t="shared" si="283"/>
        <v>0</v>
      </c>
      <c r="I1370">
        <f t="shared" si="284"/>
        <v>0</v>
      </c>
      <c r="J1370">
        <f t="shared" si="285"/>
        <v>0</v>
      </c>
      <c r="K1370" s="4" t="e">
        <f t="shared" si="275"/>
        <v>#N/A</v>
      </c>
      <c r="L1370" t="e">
        <f t="shared" si="276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7"/>
        <v>0</v>
      </c>
      <c r="B1371">
        <f t="shared" si="278"/>
        <v>0</v>
      </c>
      <c r="C1371">
        <f t="shared" si="279"/>
        <v>0</v>
      </c>
      <c r="D1371">
        <f t="shared" si="280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1"/>
        <v>0</v>
      </c>
      <c r="G1371">
        <f t="shared" si="282"/>
        <v>0</v>
      </c>
      <c r="H1371">
        <f t="shared" si="283"/>
        <v>0</v>
      </c>
      <c r="I1371">
        <f t="shared" si="284"/>
        <v>0</v>
      </c>
      <c r="J1371">
        <f t="shared" si="285"/>
        <v>0</v>
      </c>
      <c r="K1371" s="4" t="e">
        <f t="shared" si="275"/>
        <v>#N/A</v>
      </c>
      <c r="L1371" t="e">
        <f t="shared" si="276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7"/>
        <v>0</v>
      </c>
      <c r="B1372">
        <f t="shared" si="278"/>
        <v>0</v>
      </c>
      <c r="C1372">
        <f t="shared" si="279"/>
        <v>0</v>
      </c>
      <c r="D1372">
        <f t="shared" si="280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1"/>
        <v>0</v>
      </c>
      <c r="G1372">
        <f t="shared" si="282"/>
        <v>0</v>
      </c>
      <c r="H1372">
        <f t="shared" si="283"/>
        <v>0</v>
      </c>
      <c r="I1372">
        <f t="shared" si="284"/>
        <v>0</v>
      </c>
      <c r="J1372">
        <f t="shared" si="285"/>
        <v>0</v>
      </c>
      <c r="K1372" s="4" t="e">
        <f t="shared" si="275"/>
        <v>#N/A</v>
      </c>
      <c r="L1372" t="e">
        <f t="shared" si="276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7"/>
        <v>0</v>
      </c>
      <c r="B1373">
        <f t="shared" si="278"/>
        <v>0</v>
      </c>
      <c r="C1373">
        <f t="shared" si="279"/>
        <v>0</v>
      </c>
      <c r="D1373">
        <f t="shared" si="280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1"/>
        <v>0</v>
      </c>
      <c r="G1373">
        <f t="shared" si="282"/>
        <v>0</v>
      </c>
      <c r="H1373">
        <f t="shared" si="283"/>
        <v>0</v>
      </c>
      <c r="I1373">
        <f t="shared" si="284"/>
        <v>0</v>
      </c>
      <c r="J1373">
        <f t="shared" si="285"/>
        <v>0</v>
      </c>
      <c r="K1373" s="4" t="e">
        <f t="shared" si="275"/>
        <v>#N/A</v>
      </c>
      <c r="L1373" t="e">
        <f t="shared" si="276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7"/>
        <v>0</v>
      </c>
      <c r="B1374">
        <f t="shared" si="278"/>
        <v>0</v>
      </c>
      <c r="C1374">
        <f t="shared" si="279"/>
        <v>0</v>
      </c>
      <c r="D1374">
        <f t="shared" si="280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1"/>
        <v>0</v>
      </c>
      <c r="G1374">
        <f t="shared" si="282"/>
        <v>0</v>
      </c>
      <c r="H1374">
        <f t="shared" si="283"/>
        <v>0</v>
      </c>
      <c r="I1374">
        <f t="shared" si="284"/>
        <v>0</v>
      </c>
      <c r="J1374">
        <f t="shared" si="285"/>
        <v>0</v>
      </c>
      <c r="K1374" s="4" t="e">
        <f t="shared" si="275"/>
        <v>#N/A</v>
      </c>
      <c r="L1374" t="e">
        <f t="shared" si="276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7"/>
        <v>0</v>
      </c>
      <c r="B1375">
        <f t="shared" si="278"/>
        <v>0</v>
      </c>
      <c r="C1375">
        <f t="shared" si="279"/>
        <v>0</v>
      </c>
      <c r="D1375">
        <f t="shared" si="280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1"/>
        <v>0</v>
      </c>
      <c r="G1375">
        <f t="shared" si="282"/>
        <v>0</v>
      </c>
      <c r="H1375">
        <f t="shared" si="283"/>
        <v>0</v>
      </c>
      <c r="I1375">
        <f t="shared" si="284"/>
        <v>0</v>
      </c>
      <c r="J1375">
        <f t="shared" si="285"/>
        <v>0</v>
      </c>
      <c r="K1375" s="4" t="e">
        <f t="shared" si="275"/>
        <v>#N/A</v>
      </c>
      <c r="L1375" t="e">
        <f t="shared" si="276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7"/>
        <v>0</v>
      </c>
      <c r="B1376">
        <f t="shared" si="278"/>
        <v>0</v>
      </c>
      <c r="C1376">
        <f t="shared" si="279"/>
        <v>0</v>
      </c>
      <c r="D1376">
        <f t="shared" si="280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1"/>
        <v>0</v>
      </c>
      <c r="G1376">
        <f t="shared" si="282"/>
        <v>0</v>
      </c>
      <c r="H1376">
        <f t="shared" si="283"/>
        <v>0</v>
      </c>
      <c r="I1376">
        <f t="shared" si="284"/>
        <v>0</v>
      </c>
      <c r="J1376">
        <f t="shared" si="285"/>
        <v>0</v>
      </c>
      <c r="K1376" s="4" t="e">
        <f t="shared" si="275"/>
        <v>#N/A</v>
      </c>
      <c r="L1376" t="e">
        <f t="shared" si="276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7"/>
        <v>0</v>
      </c>
      <c r="B1377">
        <f t="shared" si="278"/>
        <v>0</v>
      </c>
      <c r="C1377">
        <f t="shared" si="279"/>
        <v>0</v>
      </c>
      <c r="D1377">
        <f t="shared" si="280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1"/>
        <v>0</v>
      </c>
      <c r="G1377">
        <f t="shared" si="282"/>
        <v>0</v>
      </c>
      <c r="H1377">
        <f t="shared" si="283"/>
        <v>0</v>
      </c>
      <c r="I1377">
        <f t="shared" si="284"/>
        <v>0</v>
      </c>
      <c r="J1377">
        <f t="shared" si="285"/>
        <v>0</v>
      </c>
      <c r="K1377" s="4" t="e">
        <f t="shared" si="275"/>
        <v>#N/A</v>
      </c>
      <c r="L1377" t="e">
        <f t="shared" si="276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7"/>
        <v>0</v>
      </c>
      <c r="B1378">
        <f t="shared" si="278"/>
        <v>0</v>
      </c>
      <c r="C1378">
        <f t="shared" si="279"/>
        <v>0</v>
      </c>
      <c r="D1378">
        <f t="shared" si="280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1"/>
        <v>0</v>
      </c>
      <c r="G1378">
        <f t="shared" si="282"/>
        <v>0</v>
      </c>
      <c r="H1378">
        <f t="shared" si="283"/>
        <v>0</v>
      </c>
      <c r="I1378">
        <f t="shared" si="284"/>
        <v>0</v>
      </c>
      <c r="J1378">
        <f t="shared" si="285"/>
        <v>0</v>
      </c>
      <c r="K1378" s="4" t="e">
        <f t="shared" si="275"/>
        <v>#N/A</v>
      </c>
      <c r="L1378" t="e">
        <f t="shared" si="276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7"/>
        <v>0</v>
      </c>
      <c r="B1379">
        <f t="shared" si="278"/>
        <v>0</v>
      </c>
      <c r="C1379">
        <f t="shared" si="279"/>
        <v>0</v>
      </c>
      <c r="D1379">
        <f t="shared" si="280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1"/>
        <v>0</v>
      </c>
      <c r="G1379">
        <f t="shared" si="282"/>
        <v>0</v>
      </c>
      <c r="H1379">
        <f t="shared" si="283"/>
        <v>0</v>
      </c>
      <c r="I1379">
        <f t="shared" si="284"/>
        <v>0</v>
      </c>
      <c r="J1379">
        <f t="shared" si="285"/>
        <v>0</v>
      </c>
      <c r="K1379" s="4" t="e">
        <f t="shared" si="275"/>
        <v>#N/A</v>
      </c>
      <c r="L1379" t="e">
        <f t="shared" si="276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7"/>
        <v>0</v>
      </c>
      <c r="B1380">
        <f t="shared" si="278"/>
        <v>0</v>
      </c>
      <c r="C1380">
        <f t="shared" si="279"/>
        <v>0</v>
      </c>
      <c r="D1380">
        <f t="shared" si="280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1"/>
        <v>0</v>
      </c>
      <c r="G1380">
        <f t="shared" si="282"/>
        <v>0</v>
      </c>
      <c r="H1380">
        <f t="shared" si="283"/>
        <v>0</v>
      </c>
      <c r="I1380">
        <f t="shared" si="284"/>
        <v>0</v>
      </c>
      <c r="J1380">
        <f t="shared" si="285"/>
        <v>0</v>
      </c>
      <c r="K1380" s="4" t="e">
        <f t="shared" si="275"/>
        <v>#N/A</v>
      </c>
      <c r="L1380" t="e">
        <f t="shared" si="276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7"/>
        <v>0</v>
      </c>
      <c r="B1381">
        <f t="shared" si="278"/>
        <v>0</v>
      </c>
      <c r="C1381">
        <f t="shared" si="279"/>
        <v>0</v>
      </c>
      <c r="D1381">
        <f t="shared" si="280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1"/>
        <v>0</v>
      </c>
      <c r="G1381">
        <f t="shared" si="282"/>
        <v>0</v>
      </c>
      <c r="H1381">
        <f t="shared" si="283"/>
        <v>0</v>
      </c>
      <c r="I1381">
        <f t="shared" si="284"/>
        <v>0</v>
      </c>
      <c r="J1381">
        <f t="shared" si="285"/>
        <v>0</v>
      </c>
      <c r="K1381" s="4" t="e">
        <f t="shared" si="275"/>
        <v>#N/A</v>
      </c>
      <c r="L1381" t="e">
        <f t="shared" si="276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7"/>
        <v>0</v>
      </c>
      <c r="B1382">
        <f t="shared" si="278"/>
        <v>0</v>
      </c>
      <c r="C1382">
        <f t="shared" si="279"/>
        <v>0</v>
      </c>
      <c r="D1382">
        <f t="shared" si="280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1"/>
        <v>0</v>
      </c>
      <c r="G1382">
        <f t="shared" si="282"/>
        <v>0</v>
      </c>
      <c r="H1382">
        <f t="shared" si="283"/>
        <v>0</v>
      </c>
      <c r="I1382">
        <f t="shared" si="284"/>
        <v>0</v>
      </c>
      <c r="J1382">
        <f t="shared" si="285"/>
        <v>0</v>
      </c>
      <c r="K1382" s="4" t="e">
        <f t="shared" si="275"/>
        <v>#N/A</v>
      </c>
      <c r="L1382" t="e">
        <f t="shared" si="276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7"/>
        <v>0</v>
      </c>
      <c r="B1383">
        <f t="shared" si="278"/>
        <v>0</v>
      </c>
      <c r="C1383">
        <f t="shared" si="279"/>
        <v>0</v>
      </c>
      <c r="D1383">
        <f t="shared" si="280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1"/>
        <v>0</v>
      </c>
      <c r="G1383">
        <f t="shared" si="282"/>
        <v>0</v>
      </c>
      <c r="H1383">
        <f t="shared" si="283"/>
        <v>0</v>
      </c>
      <c r="I1383">
        <f t="shared" si="284"/>
        <v>0</v>
      </c>
      <c r="J1383">
        <f t="shared" si="285"/>
        <v>0</v>
      </c>
      <c r="K1383" s="4" t="e">
        <f t="shared" si="275"/>
        <v>#N/A</v>
      </c>
      <c r="L1383" t="e">
        <f t="shared" si="276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7"/>
        <v>0</v>
      </c>
      <c r="B1384">
        <f t="shared" si="278"/>
        <v>0</v>
      </c>
      <c r="C1384">
        <f t="shared" si="279"/>
        <v>0</v>
      </c>
      <c r="D1384">
        <f t="shared" si="280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1"/>
        <v>0</v>
      </c>
      <c r="G1384">
        <f t="shared" si="282"/>
        <v>0</v>
      </c>
      <c r="H1384">
        <f t="shared" si="283"/>
        <v>0</v>
      </c>
      <c r="I1384">
        <f t="shared" si="284"/>
        <v>0</v>
      </c>
      <c r="J1384">
        <f t="shared" si="285"/>
        <v>0</v>
      </c>
      <c r="K1384" s="4" t="e">
        <f t="shared" si="275"/>
        <v>#N/A</v>
      </c>
      <c r="L1384" t="e">
        <f t="shared" si="276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7"/>
        <v>0</v>
      </c>
      <c r="B1385">
        <f t="shared" si="278"/>
        <v>0</v>
      </c>
      <c r="C1385">
        <f t="shared" si="279"/>
        <v>0</v>
      </c>
      <c r="D1385">
        <f t="shared" si="280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1"/>
        <v>0</v>
      </c>
      <c r="G1385">
        <f t="shared" si="282"/>
        <v>0</v>
      </c>
      <c r="H1385">
        <f t="shared" si="283"/>
        <v>0</v>
      </c>
      <c r="I1385">
        <f t="shared" si="284"/>
        <v>0</v>
      </c>
      <c r="J1385">
        <f t="shared" si="285"/>
        <v>0</v>
      </c>
      <c r="K1385" s="4" t="e">
        <f t="shared" si="275"/>
        <v>#N/A</v>
      </c>
      <c r="L1385" t="e">
        <f t="shared" si="276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7"/>
        <v>0</v>
      </c>
      <c r="B1386">
        <f t="shared" si="278"/>
        <v>0</v>
      </c>
      <c r="C1386">
        <f t="shared" si="279"/>
        <v>0</v>
      </c>
      <c r="D1386">
        <f t="shared" si="280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1"/>
        <v>0</v>
      </c>
      <c r="G1386">
        <f t="shared" si="282"/>
        <v>0</v>
      </c>
      <c r="H1386">
        <f t="shared" si="283"/>
        <v>0</v>
      </c>
      <c r="I1386">
        <f t="shared" si="284"/>
        <v>0</v>
      </c>
      <c r="J1386">
        <f t="shared" si="285"/>
        <v>0</v>
      </c>
      <c r="K1386" s="4" t="e">
        <f t="shared" si="275"/>
        <v>#N/A</v>
      </c>
      <c r="L1386" t="e">
        <f t="shared" si="276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7"/>
        <v>0</v>
      </c>
      <c r="B1387">
        <f t="shared" si="278"/>
        <v>0</v>
      </c>
      <c r="C1387">
        <f t="shared" si="279"/>
        <v>0</v>
      </c>
      <c r="D1387">
        <f t="shared" si="280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1"/>
        <v>0</v>
      </c>
      <c r="G1387">
        <f t="shared" si="282"/>
        <v>0</v>
      </c>
      <c r="H1387">
        <f t="shared" si="283"/>
        <v>0</v>
      </c>
      <c r="I1387">
        <f t="shared" si="284"/>
        <v>0</v>
      </c>
      <c r="J1387">
        <f t="shared" si="285"/>
        <v>0</v>
      </c>
      <c r="K1387" s="4" t="e">
        <f t="shared" si="275"/>
        <v>#N/A</v>
      </c>
      <c r="L1387" t="e">
        <f t="shared" si="276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7"/>
        <v>0</v>
      </c>
      <c r="B1388">
        <f t="shared" si="278"/>
        <v>0</v>
      </c>
      <c r="C1388">
        <f t="shared" si="279"/>
        <v>0</v>
      </c>
      <c r="D1388">
        <f t="shared" si="280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1"/>
        <v>0</v>
      </c>
      <c r="G1388">
        <f t="shared" si="282"/>
        <v>0</v>
      </c>
      <c r="H1388">
        <f t="shared" si="283"/>
        <v>0</v>
      </c>
      <c r="I1388">
        <f t="shared" si="284"/>
        <v>0</v>
      </c>
      <c r="J1388">
        <f t="shared" si="285"/>
        <v>0</v>
      </c>
      <c r="K1388" s="4" t="e">
        <f t="shared" ref="K1388:K1451" si="288">IF(LEFT(B1388,3)="DBM",0,VLOOKUP(E1388,tabela,2,FALSE))</f>
        <v>#N/A</v>
      </c>
      <c r="L1388" t="e">
        <f t="shared" ref="L1388:L1451" si="289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7"/>
        <v>0</v>
      </c>
      <c r="B1389">
        <f t="shared" si="278"/>
        <v>0</v>
      </c>
      <c r="C1389">
        <f t="shared" si="279"/>
        <v>0</v>
      </c>
      <c r="D1389">
        <f t="shared" si="280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1"/>
        <v>0</v>
      </c>
      <c r="G1389">
        <f t="shared" si="282"/>
        <v>0</v>
      </c>
      <c r="H1389">
        <f t="shared" si="283"/>
        <v>0</v>
      </c>
      <c r="I1389">
        <f t="shared" si="284"/>
        <v>0</v>
      </c>
      <c r="J1389">
        <f t="shared" si="285"/>
        <v>0</v>
      </c>
      <c r="K1389" s="4" t="e">
        <f t="shared" si="288"/>
        <v>#N/A</v>
      </c>
      <c r="L1389" t="e">
        <f t="shared" si="289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7"/>
        <v>0</v>
      </c>
      <c r="B1390">
        <f t="shared" si="278"/>
        <v>0</v>
      </c>
      <c r="C1390">
        <f t="shared" si="279"/>
        <v>0</v>
      </c>
      <c r="D1390">
        <f t="shared" si="280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1"/>
        <v>0</v>
      </c>
      <c r="G1390">
        <f t="shared" si="282"/>
        <v>0</v>
      </c>
      <c r="H1390">
        <f t="shared" si="283"/>
        <v>0</v>
      </c>
      <c r="I1390">
        <f t="shared" si="284"/>
        <v>0</v>
      </c>
      <c r="J1390">
        <f t="shared" si="285"/>
        <v>0</v>
      </c>
      <c r="K1390" s="4" t="e">
        <f t="shared" si="288"/>
        <v>#N/A</v>
      </c>
      <c r="L1390" t="e">
        <f t="shared" si="289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7"/>
        <v>0</v>
      </c>
      <c r="B1391">
        <f t="shared" si="278"/>
        <v>0</v>
      </c>
      <c r="C1391">
        <f t="shared" si="279"/>
        <v>0</v>
      </c>
      <c r="D1391">
        <f t="shared" si="280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1"/>
        <v>0</v>
      </c>
      <c r="G1391">
        <f t="shared" si="282"/>
        <v>0</v>
      </c>
      <c r="H1391">
        <f t="shared" si="283"/>
        <v>0</v>
      </c>
      <c r="I1391">
        <f t="shared" si="284"/>
        <v>0</v>
      </c>
      <c r="J1391">
        <f t="shared" si="285"/>
        <v>0</v>
      </c>
      <c r="K1391" s="4" t="e">
        <f t="shared" si="288"/>
        <v>#N/A</v>
      </c>
      <c r="L1391" t="e">
        <f t="shared" si="289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7"/>
        <v>0</v>
      </c>
      <c r="B1392">
        <f t="shared" si="278"/>
        <v>0</v>
      </c>
      <c r="C1392">
        <f t="shared" si="279"/>
        <v>0</v>
      </c>
      <c r="D1392">
        <f t="shared" si="280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1"/>
        <v>0</v>
      </c>
      <c r="G1392">
        <f t="shared" si="282"/>
        <v>0</v>
      </c>
      <c r="H1392">
        <f t="shared" si="283"/>
        <v>0</v>
      </c>
      <c r="I1392">
        <f t="shared" si="284"/>
        <v>0</v>
      </c>
      <c r="J1392">
        <f t="shared" si="285"/>
        <v>0</v>
      </c>
      <c r="K1392" s="4" t="e">
        <f t="shared" si="288"/>
        <v>#N/A</v>
      </c>
      <c r="L1392" t="e">
        <f t="shared" si="289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7"/>
        <v>0</v>
      </c>
      <c r="B1393">
        <f t="shared" si="278"/>
        <v>0</v>
      </c>
      <c r="C1393">
        <f t="shared" si="279"/>
        <v>0</v>
      </c>
      <c r="D1393">
        <f t="shared" si="280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1"/>
        <v>0</v>
      </c>
      <c r="G1393">
        <f t="shared" si="282"/>
        <v>0</v>
      </c>
      <c r="H1393">
        <f t="shared" si="283"/>
        <v>0</v>
      </c>
      <c r="I1393">
        <f t="shared" si="284"/>
        <v>0</v>
      </c>
      <c r="J1393">
        <f t="shared" si="285"/>
        <v>0</v>
      </c>
      <c r="K1393" s="4" t="e">
        <f t="shared" si="288"/>
        <v>#N/A</v>
      </c>
      <c r="L1393" t="e">
        <f t="shared" si="289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7"/>
        <v>0</v>
      </c>
      <c r="B1394">
        <f t="shared" si="278"/>
        <v>0</v>
      </c>
      <c r="C1394">
        <f t="shared" si="279"/>
        <v>0</v>
      </c>
      <c r="D1394">
        <f t="shared" si="280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1"/>
        <v>0</v>
      </c>
      <c r="G1394">
        <f t="shared" si="282"/>
        <v>0</v>
      </c>
      <c r="H1394">
        <f t="shared" si="283"/>
        <v>0</v>
      </c>
      <c r="I1394">
        <f t="shared" si="284"/>
        <v>0</v>
      </c>
      <c r="J1394">
        <f t="shared" si="285"/>
        <v>0</v>
      </c>
      <c r="K1394" s="4" t="e">
        <f t="shared" si="288"/>
        <v>#N/A</v>
      </c>
      <c r="L1394" t="e">
        <f t="shared" si="289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7"/>
        <v>0</v>
      </c>
      <c r="B1395">
        <f t="shared" si="278"/>
        <v>0</v>
      </c>
      <c r="C1395">
        <f t="shared" si="279"/>
        <v>0</v>
      </c>
      <c r="D1395">
        <f t="shared" si="280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1"/>
        <v>0</v>
      </c>
      <c r="G1395">
        <f t="shared" si="282"/>
        <v>0</v>
      </c>
      <c r="H1395">
        <f t="shared" si="283"/>
        <v>0</v>
      </c>
      <c r="I1395">
        <f t="shared" si="284"/>
        <v>0</v>
      </c>
      <c r="J1395">
        <f t="shared" si="285"/>
        <v>0</v>
      </c>
      <c r="K1395" s="4" t="e">
        <f t="shared" si="288"/>
        <v>#N/A</v>
      </c>
      <c r="L1395" t="e">
        <f t="shared" si="289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7"/>
        <v>0</v>
      </c>
      <c r="B1396">
        <f t="shared" si="278"/>
        <v>0</v>
      </c>
      <c r="C1396">
        <f t="shared" si="279"/>
        <v>0</v>
      </c>
      <c r="D1396">
        <f t="shared" si="280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1"/>
        <v>0</v>
      </c>
      <c r="G1396">
        <f t="shared" si="282"/>
        <v>0</v>
      </c>
      <c r="H1396">
        <f t="shared" si="283"/>
        <v>0</v>
      </c>
      <c r="I1396">
        <f t="shared" si="284"/>
        <v>0</v>
      </c>
      <c r="J1396">
        <f t="shared" si="285"/>
        <v>0</v>
      </c>
      <c r="K1396" s="4" t="e">
        <f t="shared" si="288"/>
        <v>#N/A</v>
      </c>
      <c r="L1396" t="e">
        <f t="shared" si="289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7"/>
        <v>0</v>
      </c>
      <c r="B1397">
        <f t="shared" si="278"/>
        <v>0</v>
      </c>
      <c r="C1397">
        <f t="shared" si="279"/>
        <v>0</v>
      </c>
      <c r="D1397">
        <f t="shared" si="280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1"/>
        <v>0</v>
      </c>
      <c r="G1397">
        <f t="shared" si="282"/>
        <v>0</v>
      </c>
      <c r="H1397">
        <f t="shared" si="283"/>
        <v>0</v>
      </c>
      <c r="I1397">
        <f t="shared" si="284"/>
        <v>0</v>
      </c>
      <c r="J1397">
        <f t="shared" si="285"/>
        <v>0</v>
      </c>
      <c r="K1397" s="4" t="e">
        <f t="shared" si="288"/>
        <v>#N/A</v>
      </c>
      <c r="L1397" t="e">
        <f t="shared" si="289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7"/>
        <v>0</v>
      </c>
      <c r="B1398">
        <f t="shared" si="278"/>
        <v>0</v>
      </c>
      <c r="C1398">
        <f t="shared" si="279"/>
        <v>0</v>
      </c>
      <c r="D1398">
        <f t="shared" si="280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1"/>
        <v>0</v>
      </c>
      <c r="G1398">
        <f t="shared" si="282"/>
        <v>0</v>
      </c>
      <c r="H1398">
        <f t="shared" si="283"/>
        <v>0</v>
      </c>
      <c r="I1398">
        <f t="shared" si="284"/>
        <v>0</v>
      </c>
      <c r="J1398">
        <f t="shared" si="285"/>
        <v>0</v>
      </c>
      <c r="K1398" s="4" t="e">
        <f t="shared" si="288"/>
        <v>#N/A</v>
      </c>
      <c r="L1398" t="e">
        <f t="shared" si="289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7"/>
        <v>0</v>
      </c>
      <c r="B1399">
        <f t="shared" si="278"/>
        <v>0</v>
      </c>
      <c r="C1399">
        <f t="shared" si="279"/>
        <v>0</v>
      </c>
      <c r="D1399">
        <f t="shared" si="280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1"/>
        <v>0</v>
      </c>
      <c r="G1399">
        <f t="shared" si="282"/>
        <v>0</v>
      </c>
      <c r="H1399">
        <f t="shared" si="283"/>
        <v>0</v>
      </c>
      <c r="I1399">
        <f t="shared" si="284"/>
        <v>0</v>
      </c>
      <c r="J1399">
        <f t="shared" si="285"/>
        <v>0</v>
      </c>
      <c r="K1399" s="4" t="e">
        <f t="shared" si="288"/>
        <v>#N/A</v>
      </c>
      <c r="L1399" t="e">
        <f t="shared" si="289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7"/>
        <v>0</v>
      </c>
      <c r="B1400">
        <f t="shared" si="278"/>
        <v>0</v>
      </c>
      <c r="C1400">
        <f t="shared" si="279"/>
        <v>0</v>
      </c>
      <c r="D1400">
        <f t="shared" si="280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1"/>
        <v>0</v>
      </c>
      <c r="G1400">
        <f t="shared" si="282"/>
        <v>0</v>
      </c>
      <c r="H1400">
        <f t="shared" si="283"/>
        <v>0</v>
      </c>
      <c r="I1400">
        <f t="shared" si="284"/>
        <v>0</v>
      </c>
      <c r="J1400">
        <f t="shared" si="285"/>
        <v>0</v>
      </c>
      <c r="K1400" s="4" t="e">
        <f t="shared" si="288"/>
        <v>#N/A</v>
      </c>
      <c r="L1400" t="e">
        <f t="shared" si="289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7"/>
        <v>0</v>
      </c>
      <c r="B1401">
        <f t="shared" si="278"/>
        <v>0</v>
      </c>
      <c r="C1401">
        <f t="shared" si="279"/>
        <v>0</v>
      </c>
      <c r="D1401">
        <f t="shared" si="280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1"/>
        <v>0</v>
      </c>
      <c r="G1401">
        <f t="shared" si="282"/>
        <v>0</v>
      </c>
      <c r="H1401">
        <f t="shared" si="283"/>
        <v>0</v>
      </c>
      <c r="I1401">
        <f t="shared" si="284"/>
        <v>0</v>
      </c>
      <c r="J1401">
        <f t="shared" si="285"/>
        <v>0</v>
      </c>
      <c r="K1401" s="4" t="e">
        <f t="shared" si="288"/>
        <v>#N/A</v>
      </c>
      <c r="L1401" t="e">
        <f t="shared" si="289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7"/>
        <v>0</v>
      </c>
      <c r="B1402">
        <f t="shared" si="278"/>
        <v>0</v>
      </c>
      <c r="C1402">
        <f t="shared" si="279"/>
        <v>0</v>
      </c>
      <c r="D1402">
        <f t="shared" si="280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1"/>
        <v>0</v>
      </c>
      <c r="G1402">
        <f t="shared" si="282"/>
        <v>0</v>
      </c>
      <c r="H1402">
        <f t="shared" si="283"/>
        <v>0</v>
      </c>
      <c r="I1402">
        <f t="shared" si="284"/>
        <v>0</v>
      </c>
      <c r="J1402">
        <f t="shared" si="285"/>
        <v>0</v>
      </c>
      <c r="K1402" s="4" t="e">
        <f t="shared" si="288"/>
        <v>#N/A</v>
      </c>
      <c r="L1402" t="e">
        <f t="shared" si="289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7"/>
        <v>0</v>
      </c>
      <c r="B1403">
        <f t="shared" si="278"/>
        <v>0</v>
      </c>
      <c r="C1403">
        <f t="shared" si="279"/>
        <v>0</v>
      </c>
      <c r="D1403">
        <f t="shared" si="280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1"/>
        <v>0</v>
      </c>
      <c r="G1403">
        <f t="shared" si="282"/>
        <v>0</v>
      </c>
      <c r="H1403">
        <f t="shared" si="283"/>
        <v>0</v>
      </c>
      <c r="I1403">
        <f t="shared" si="284"/>
        <v>0</v>
      </c>
      <c r="J1403">
        <f t="shared" si="285"/>
        <v>0</v>
      </c>
      <c r="K1403" s="4" t="e">
        <f t="shared" si="288"/>
        <v>#N/A</v>
      </c>
      <c r="L1403" t="e">
        <f t="shared" si="289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7"/>
        <v>0</v>
      </c>
      <c r="B1404">
        <f t="shared" si="278"/>
        <v>0</v>
      </c>
      <c r="C1404">
        <f t="shared" si="279"/>
        <v>0</v>
      </c>
      <c r="D1404">
        <f t="shared" si="280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1"/>
        <v>0</v>
      </c>
      <c r="G1404">
        <f t="shared" si="282"/>
        <v>0</v>
      </c>
      <c r="H1404">
        <f t="shared" si="283"/>
        <v>0</v>
      </c>
      <c r="I1404">
        <f t="shared" si="284"/>
        <v>0</v>
      </c>
      <c r="J1404">
        <f t="shared" si="285"/>
        <v>0</v>
      </c>
      <c r="K1404" s="4" t="e">
        <f t="shared" si="288"/>
        <v>#N/A</v>
      </c>
      <c r="L1404" t="e">
        <f t="shared" si="289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7"/>
        <v>0</v>
      </c>
      <c r="B1405">
        <f t="shared" si="278"/>
        <v>0</v>
      </c>
      <c r="C1405">
        <f t="shared" si="279"/>
        <v>0</v>
      </c>
      <c r="D1405">
        <f t="shared" si="280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1"/>
        <v>0</v>
      </c>
      <c r="G1405">
        <f t="shared" si="282"/>
        <v>0</v>
      </c>
      <c r="H1405">
        <f t="shared" si="283"/>
        <v>0</v>
      </c>
      <c r="I1405">
        <f t="shared" si="284"/>
        <v>0</v>
      </c>
      <c r="J1405">
        <f t="shared" si="285"/>
        <v>0</v>
      </c>
      <c r="K1405" s="4" t="e">
        <f t="shared" si="288"/>
        <v>#N/A</v>
      </c>
      <c r="L1405" t="e">
        <f t="shared" si="289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7"/>
        <v>0</v>
      </c>
      <c r="B1406">
        <f t="shared" si="278"/>
        <v>0</v>
      </c>
      <c r="C1406">
        <f t="shared" si="279"/>
        <v>0</v>
      </c>
      <c r="D1406">
        <f t="shared" si="280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1"/>
        <v>0</v>
      </c>
      <c r="G1406">
        <f t="shared" si="282"/>
        <v>0</v>
      </c>
      <c r="H1406">
        <f t="shared" si="283"/>
        <v>0</v>
      </c>
      <c r="I1406">
        <f t="shared" si="284"/>
        <v>0</v>
      </c>
      <c r="J1406">
        <f t="shared" si="285"/>
        <v>0</v>
      </c>
      <c r="K1406" s="4" t="e">
        <f t="shared" si="288"/>
        <v>#N/A</v>
      </c>
      <c r="L1406" t="e">
        <f t="shared" si="289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7"/>
        <v>0</v>
      </c>
      <c r="B1407">
        <f t="shared" si="278"/>
        <v>0</v>
      </c>
      <c r="C1407">
        <f t="shared" si="279"/>
        <v>0</v>
      </c>
      <c r="D1407">
        <f t="shared" si="280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1"/>
        <v>0</v>
      </c>
      <c r="G1407">
        <f t="shared" si="282"/>
        <v>0</v>
      </c>
      <c r="H1407">
        <f t="shared" si="283"/>
        <v>0</v>
      </c>
      <c r="I1407">
        <f t="shared" si="284"/>
        <v>0</v>
      </c>
      <c r="J1407">
        <f t="shared" si="285"/>
        <v>0</v>
      </c>
      <c r="K1407" s="4" t="e">
        <f t="shared" si="288"/>
        <v>#N/A</v>
      </c>
      <c r="L1407" t="e">
        <f t="shared" si="289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7"/>
        <v>0</v>
      </c>
      <c r="B1408">
        <f t="shared" si="278"/>
        <v>0</v>
      </c>
      <c r="C1408">
        <f t="shared" si="279"/>
        <v>0</v>
      </c>
      <c r="D1408">
        <f t="shared" si="280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1"/>
        <v>0</v>
      </c>
      <c r="G1408">
        <f t="shared" si="282"/>
        <v>0</v>
      </c>
      <c r="H1408">
        <f t="shared" si="283"/>
        <v>0</v>
      </c>
      <c r="I1408">
        <f t="shared" si="284"/>
        <v>0</v>
      </c>
      <c r="J1408">
        <f t="shared" si="285"/>
        <v>0</v>
      </c>
      <c r="K1408" s="4" t="e">
        <f t="shared" si="288"/>
        <v>#N/A</v>
      </c>
      <c r="L1408" t="e">
        <f t="shared" si="289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7"/>
        <v>0</v>
      </c>
      <c r="B1409">
        <f t="shared" si="278"/>
        <v>0</v>
      </c>
      <c r="C1409">
        <f t="shared" si="279"/>
        <v>0</v>
      </c>
      <c r="D1409">
        <f t="shared" si="280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1"/>
        <v>0</v>
      </c>
      <c r="G1409">
        <f t="shared" si="282"/>
        <v>0</v>
      </c>
      <c r="H1409">
        <f t="shared" si="283"/>
        <v>0</v>
      </c>
      <c r="I1409">
        <f t="shared" si="284"/>
        <v>0</v>
      </c>
      <c r="J1409">
        <f t="shared" si="285"/>
        <v>0</v>
      </c>
      <c r="K1409" s="4" t="e">
        <f t="shared" si="288"/>
        <v>#N/A</v>
      </c>
      <c r="L1409" t="e">
        <f t="shared" si="289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90">bd_campaign</f>
        <v>0</v>
      </c>
      <c r="B1410">
        <f t="shared" ref="B1410:B1473" si="291">bd_site</f>
        <v>0</v>
      </c>
      <c r="C1410">
        <f t="shared" ref="C1410:C1473" si="292">bd_placement</f>
        <v>0</v>
      </c>
      <c r="D1410">
        <f t="shared" ref="D1410:D1473" si="293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4">bd_ad</f>
        <v>0</v>
      </c>
      <c r="G1410">
        <f t="shared" ref="G1410:G1473" si="295">bd_adid</f>
        <v>0</v>
      </c>
      <c r="H1410">
        <f t="shared" ref="H1410:H1473" si="296">bd_creativetype</f>
        <v>0</v>
      </c>
      <c r="I1410">
        <f t="shared" ref="I1410:I1473" si="297">bd_impression</f>
        <v>0</v>
      </c>
      <c r="J1410">
        <f t="shared" ref="J1410:J1473" si="298">bd_clicks</f>
        <v>0</v>
      </c>
      <c r="K1410" s="4" t="e">
        <f t="shared" si="288"/>
        <v>#N/A</v>
      </c>
      <c r="L1410" t="e">
        <f t="shared" si="289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90"/>
        <v>0</v>
      </c>
      <c r="B1411">
        <f t="shared" si="291"/>
        <v>0</v>
      </c>
      <c r="C1411">
        <f t="shared" si="292"/>
        <v>0</v>
      </c>
      <c r="D1411">
        <f t="shared" si="293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4"/>
        <v>0</v>
      </c>
      <c r="G1411">
        <f t="shared" si="295"/>
        <v>0</v>
      </c>
      <c r="H1411">
        <f t="shared" si="296"/>
        <v>0</v>
      </c>
      <c r="I1411">
        <f t="shared" si="297"/>
        <v>0</v>
      </c>
      <c r="J1411">
        <f t="shared" si="298"/>
        <v>0</v>
      </c>
      <c r="K1411" s="4" t="e">
        <f t="shared" si="288"/>
        <v>#N/A</v>
      </c>
      <c r="L1411" t="e">
        <f t="shared" si="289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90"/>
        <v>0</v>
      </c>
      <c r="B1412">
        <f t="shared" si="291"/>
        <v>0</v>
      </c>
      <c r="C1412">
        <f t="shared" si="292"/>
        <v>0</v>
      </c>
      <c r="D1412">
        <f t="shared" si="293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4"/>
        <v>0</v>
      </c>
      <c r="G1412">
        <f t="shared" si="295"/>
        <v>0</v>
      </c>
      <c r="H1412">
        <f t="shared" si="296"/>
        <v>0</v>
      </c>
      <c r="I1412">
        <f t="shared" si="297"/>
        <v>0</v>
      </c>
      <c r="J1412">
        <f t="shared" si="298"/>
        <v>0</v>
      </c>
      <c r="K1412" s="4" t="e">
        <f t="shared" si="288"/>
        <v>#N/A</v>
      </c>
      <c r="L1412" t="e">
        <f t="shared" si="289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90"/>
        <v>0</v>
      </c>
      <c r="B1413">
        <f t="shared" si="291"/>
        <v>0</v>
      </c>
      <c r="C1413">
        <f t="shared" si="292"/>
        <v>0</v>
      </c>
      <c r="D1413">
        <f t="shared" si="293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4"/>
        <v>0</v>
      </c>
      <c r="G1413">
        <f t="shared" si="295"/>
        <v>0</v>
      </c>
      <c r="H1413">
        <f t="shared" si="296"/>
        <v>0</v>
      </c>
      <c r="I1413">
        <f t="shared" si="297"/>
        <v>0</v>
      </c>
      <c r="J1413">
        <f t="shared" si="298"/>
        <v>0</v>
      </c>
      <c r="K1413" s="4" t="e">
        <f t="shared" si="288"/>
        <v>#N/A</v>
      </c>
      <c r="L1413" t="e">
        <f t="shared" si="289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90"/>
        <v>0</v>
      </c>
      <c r="B1414">
        <f t="shared" si="291"/>
        <v>0</v>
      </c>
      <c r="C1414">
        <f t="shared" si="292"/>
        <v>0</v>
      </c>
      <c r="D1414">
        <f t="shared" si="293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4"/>
        <v>0</v>
      </c>
      <c r="G1414">
        <f t="shared" si="295"/>
        <v>0</v>
      </c>
      <c r="H1414">
        <f t="shared" si="296"/>
        <v>0</v>
      </c>
      <c r="I1414">
        <f t="shared" si="297"/>
        <v>0</v>
      </c>
      <c r="J1414">
        <f t="shared" si="298"/>
        <v>0</v>
      </c>
      <c r="K1414" s="4" t="e">
        <f t="shared" si="288"/>
        <v>#N/A</v>
      </c>
      <c r="L1414" t="e">
        <f t="shared" si="289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90"/>
        <v>0</v>
      </c>
      <c r="B1415">
        <f t="shared" si="291"/>
        <v>0</v>
      </c>
      <c r="C1415">
        <f t="shared" si="292"/>
        <v>0</v>
      </c>
      <c r="D1415">
        <f t="shared" si="293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4"/>
        <v>0</v>
      </c>
      <c r="G1415">
        <f t="shared" si="295"/>
        <v>0</v>
      </c>
      <c r="H1415">
        <f t="shared" si="296"/>
        <v>0</v>
      </c>
      <c r="I1415">
        <f t="shared" si="297"/>
        <v>0</v>
      </c>
      <c r="J1415">
        <f t="shared" si="298"/>
        <v>0</v>
      </c>
      <c r="K1415" s="4" t="e">
        <f t="shared" si="288"/>
        <v>#N/A</v>
      </c>
      <c r="L1415" t="e">
        <f t="shared" si="289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90"/>
        <v>0</v>
      </c>
      <c r="B1416">
        <f t="shared" si="291"/>
        <v>0</v>
      </c>
      <c r="C1416">
        <f t="shared" si="292"/>
        <v>0</v>
      </c>
      <c r="D1416">
        <f t="shared" si="293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4"/>
        <v>0</v>
      </c>
      <c r="G1416">
        <f t="shared" si="295"/>
        <v>0</v>
      </c>
      <c r="H1416">
        <f t="shared" si="296"/>
        <v>0</v>
      </c>
      <c r="I1416">
        <f t="shared" si="297"/>
        <v>0</v>
      </c>
      <c r="J1416">
        <f t="shared" si="298"/>
        <v>0</v>
      </c>
      <c r="K1416" s="4" t="e">
        <f t="shared" si="288"/>
        <v>#N/A</v>
      </c>
      <c r="L1416" t="e">
        <f t="shared" si="289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90"/>
        <v>0</v>
      </c>
      <c r="B1417">
        <f t="shared" si="291"/>
        <v>0</v>
      </c>
      <c r="C1417">
        <f t="shared" si="292"/>
        <v>0</v>
      </c>
      <c r="D1417">
        <f t="shared" si="293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4"/>
        <v>0</v>
      </c>
      <c r="G1417">
        <f t="shared" si="295"/>
        <v>0</v>
      </c>
      <c r="H1417">
        <f t="shared" si="296"/>
        <v>0</v>
      </c>
      <c r="I1417">
        <f t="shared" si="297"/>
        <v>0</v>
      </c>
      <c r="J1417">
        <f t="shared" si="298"/>
        <v>0</v>
      </c>
      <c r="K1417" s="4" t="e">
        <f t="shared" si="288"/>
        <v>#N/A</v>
      </c>
      <c r="L1417" t="e">
        <f t="shared" si="289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90"/>
        <v>0</v>
      </c>
      <c r="B1418">
        <f t="shared" si="291"/>
        <v>0</v>
      </c>
      <c r="C1418">
        <f t="shared" si="292"/>
        <v>0</v>
      </c>
      <c r="D1418">
        <f t="shared" si="293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4"/>
        <v>0</v>
      </c>
      <c r="G1418">
        <f t="shared" si="295"/>
        <v>0</v>
      </c>
      <c r="H1418">
        <f t="shared" si="296"/>
        <v>0</v>
      </c>
      <c r="I1418">
        <f t="shared" si="297"/>
        <v>0</v>
      </c>
      <c r="J1418">
        <f t="shared" si="298"/>
        <v>0</v>
      </c>
      <c r="K1418" s="4" t="e">
        <f t="shared" si="288"/>
        <v>#N/A</v>
      </c>
      <c r="L1418" t="e">
        <f t="shared" si="289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90"/>
        <v>0</v>
      </c>
      <c r="B1419">
        <f t="shared" si="291"/>
        <v>0</v>
      </c>
      <c r="C1419">
        <f t="shared" si="292"/>
        <v>0</v>
      </c>
      <c r="D1419">
        <f t="shared" si="293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4"/>
        <v>0</v>
      </c>
      <c r="G1419">
        <f t="shared" si="295"/>
        <v>0</v>
      </c>
      <c r="H1419">
        <f t="shared" si="296"/>
        <v>0</v>
      </c>
      <c r="I1419">
        <f t="shared" si="297"/>
        <v>0</v>
      </c>
      <c r="J1419">
        <f t="shared" si="298"/>
        <v>0</v>
      </c>
      <c r="K1419" s="4" t="e">
        <f t="shared" si="288"/>
        <v>#N/A</v>
      </c>
      <c r="L1419" t="e">
        <f t="shared" si="289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90"/>
        <v>0</v>
      </c>
      <c r="B1420">
        <f t="shared" si="291"/>
        <v>0</v>
      </c>
      <c r="C1420">
        <f t="shared" si="292"/>
        <v>0</v>
      </c>
      <c r="D1420">
        <f t="shared" si="293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4"/>
        <v>0</v>
      </c>
      <c r="G1420">
        <f t="shared" si="295"/>
        <v>0</v>
      </c>
      <c r="H1420">
        <f t="shared" si="296"/>
        <v>0</v>
      </c>
      <c r="I1420">
        <f t="shared" si="297"/>
        <v>0</v>
      </c>
      <c r="J1420">
        <f t="shared" si="298"/>
        <v>0</v>
      </c>
      <c r="K1420" s="4" t="e">
        <f t="shared" si="288"/>
        <v>#N/A</v>
      </c>
      <c r="L1420" t="e">
        <f t="shared" si="289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90"/>
        <v>0</v>
      </c>
      <c r="B1421">
        <f t="shared" si="291"/>
        <v>0</v>
      </c>
      <c r="C1421">
        <f t="shared" si="292"/>
        <v>0</v>
      </c>
      <c r="D1421">
        <f t="shared" si="293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4"/>
        <v>0</v>
      </c>
      <c r="G1421">
        <f t="shared" si="295"/>
        <v>0</v>
      </c>
      <c r="H1421">
        <f t="shared" si="296"/>
        <v>0</v>
      </c>
      <c r="I1421">
        <f t="shared" si="297"/>
        <v>0</v>
      </c>
      <c r="J1421">
        <f t="shared" si="298"/>
        <v>0</v>
      </c>
      <c r="K1421" s="4" t="e">
        <f t="shared" si="288"/>
        <v>#N/A</v>
      </c>
      <c r="L1421" t="e">
        <f t="shared" si="289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90"/>
        <v>0</v>
      </c>
      <c r="B1422">
        <f t="shared" si="291"/>
        <v>0</v>
      </c>
      <c r="C1422">
        <f t="shared" si="292"/>
        <v>0</v>
      </c>
      <c r="D1422">
        <f t="shared" si="293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4"/>
        <v>0</v>
      </c>
      <c r="G1422">
        <f t="shared" si="295"/>
        <v>0</v>
      </c>
      <c r="H1422">
        <f t="shared" si="296"/>
        <v>0</v>
      </c>
      <c r="I1422">
        <f t="shared" si="297"/>
        <v>0</v>
      </c>
      <c r="J1422">
        <f t="shared" si="298"/>
        <v>0</v>
      </c>
      <c r="K1422" s="4" t="e">
        <f t="shared" si="288"/>
        <v>#N/A</v>
      </c>
      <c r="L1422" t="e">
        <f t="shared" si="289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90"/>
        <v>0</v>
      </c>
      <c r="B1423">
        <f t="shared" si="291"/>
        <v>0</v>
      </c>
      <c r="C1423">
        <f t="shared" si="292"/>
        <v>0</v>
      </c>
      <c r="D1423">
        <f t="shared" si="293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4"/>
        <v>0</v>
      </c>
      <c r="G1423">
        <f t="shared" si="295"/>
        <v>0</v>
      </c>
      <c r="H1423">
        <f t="shared" si="296"/>
        <v>0</v>
      </c>
      <c r="I1423">
        <f t="shared" si="297"/>
        <v>0</v>
      </c>
      <c r="J1423">
        <f t="shared" si="298"/>
        <v>0</v>
      </c>
      <c r="K1423" s="4" t="e">
        <f t="shared" si="288"/>
        <v>#N/A</v>
      </c>
      <c r="L1423" t="e">
        <f t="shared" si="289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90"/>
        <v>0</v>
      </c>
      <c r="B1424">
        <f t="shared" si="291"/>
        <v>0</v>
      </c>
      <c r="C1424">
        <f t="shared" si="292"/>
        <v>0</v>
      </c>
      <c r="D1424">
        <f t="shared" si="293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4"/>
        <v>0</v>
      </c>
      <c r="G1424">
        <f t="shared" si="295"/>
        <v>0</v>
      </c>
      <c r="H1424">
        <f t="shared" si="296"/>
        <v>0</v>
      </c>
      <c r="I1424">
        <f t="shared" si="297"/>
        <v>0</v>
      </c>
      <c r="J1424">
        <f t="shared" si="298"/>
        <v>0</v>
      </c>
      <c r="K1424" s="4" t="e">
        <f t="shared" si="288"/>
        <v>#N/A</v>
      </c>
      <c r="L1424" t="e">
        <f t="shared" si="289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90"/>
        <v>0</v>
      </c>
      <c r="B1425">
        <f t="shared" si="291"/>
        <v>0</v>
      </c>
      <c r="C1425">
        <f t="shared" si="292"/>
        <v>0</v>
      </c>
      <c r="D1425">
        <f t="shared" si="293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4"/>
        <v>0</v>
      </c>
      <c r="G1425">
        <f t="shared" si="295"/>
        <v>0</v>
      </c>
      <c r="H1425">
        <f t="shared" si="296"/>
        <v>0</v>
      </c>
      <c r="I1425">
        <f t="shared" si="297"/>
        <v>0</v>
      </c>
      <c r="J1425">
        <f t="shared" si="298"/>
        <v>0</v>
      </c>
      <c r="K1425" s="4" t="e">
        <f t="shared" si="288"/>
        <v>#N/A</v>
      </c>
      <c r="L1425" t="e">
        <f t="shared" si="289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90"/>
        <v>0</v>
      </c>
      <c r="B1426">
        <f t="shared" si="291"/>
        <v>0</v>
      </c>
      <c r="C1426">
        <f t="shared" si="292"/>
        <v>0</v>
      </c>
      <c r="D1426">
        <f t="shared" si="293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4"/>
        <v>0</v>
      </c>
      <c r="G1426">
        <f t="shared" si="295"/>
        <v>0</v>
      </c>
      <c r="H1426">
        <f t="shared" si="296"/>
        <v>0</v>
      </c>
      <c r="I1426">
        <f t="shared" si="297"/>
        <v>0</v>
      </c>
      <c r="J1426">
        <f t="shared" si="298"/>
        <v>0</v>
      </c>
      <c r="K1426" s="4" t="e">
        <f t="shared" si="288"/>
        <v>#N/A</v>
      </c>
      <c r="L1426" t="e">
        <f t="shared" si="289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90"/>
        <v>0</v>
      </c>
      <c r="B1427">
        <f t="shared" si="291"/>
        <v>0</v>
      </c>
      <c r="C1427">
        <f t="shared" si="292"/>
        <v>0</v>
      </c>
      <c r="D1427">
        <f t="shared" si="293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4"/>
        <v>0</v>
      </c>
      <c r="G1427">
        <f t="shared" si="295"/>
        <v>0</v>
      </c>
      <c r="H1427">
        <f t="shared" si="296"/>
        <v>0</v>
      </c>
      <c r="I1427">
        <f t="shared" si="297"/>
        <v>0</v>
      </c>
      <c r="J1427">
        <f t="shared" si="298"/>
        <v>0</v>
      </c>
      <c r="K1427" s="4" t="e">
        <f t="shared" si="288"/>
        <v>#N/A</v>
      </c>
      <c r="L1427" t="e">
        <f t="shared" si="289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90"/>
        <v>0</v>
      </c>
      <c r="B1428">
        <f t="shared" si="291"/>
        <v>0</v>
      </c>
      <c r="C1428">
        <f t="shared" si="292"/>
        <v>0</v>
      </c>
      <c r="D1428">
        <f t="shared" si="293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4"/>
        <v>0</v>
      </c>
      <c r="G1428">
        <f t="shared" si="295"/>
        <v>0</v>
      </c>
      <c r="H1428">
        <f t="shared" si="296"/>
        <v>0</v>
      </c>
      <c r="I1428">
        <f t="shared" si="297"/>
        <v>0</v>
      </c>
      <c r="J1428">
        <f t="shared" si="298"/>
        <v>0</v>
      </c>
      <c r="K1428" s="4" t="e">
        <f t="shared" si="288"/>
        <v>#N/A</v>
      </c>
      <c r="L1428" t="e">
        <f t="shared" si="289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90"/>
        <v>0</v>
      </c>
      <c r="B1429">
        <f t="shared" si="291"/>
        <v>0</v>
      </c>
      <c r="C1429">
        <f t="shared" si="292"/>
        <v>0</v>
      </c>
      <c r="D1429">
        <f t="shared" si="293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4"/>
        <v>0</v>
      </c>
      <c r="G1429">
        <f t="shared" si="295"/>
        <v>0</v>
      </c>
      <c r="H1429">
        <f t="shared" si="296"/>
        <v>0</v>
      </c>
      <c r="I1429">
        <f t="shared" si="297"/>
        <v>0</v>
      </c>
      <c r="J1429">
        <f t="shared" si="298"/>
        <v>0</v>
      </c>
      <c r="K1429" s="4" t="e">
        <f t="shared" si="288"/>
        <v>#N/A</v>
      </c>
      <c r="L1429" t="e">
        <f t="shared" si="289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90"/>
        <v>0</v>
      </c>
      <c r="B1430">
        <f t="shared" si="291"/>
        <v>0</v>
      </c>
      <c r="C1430">
        <f t="shared" si="292"/>
        <v>0</v>
      </c>
      <c r="D1430">
        <f t="shared" si="293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4"/>
        <v>0</v>
      </c>
      <c r="G1430">
        <f t="shared" si="295"/>
        <v>0</v>
      </c>
      <c r="H1430">
        <f t="shared" si="296"/>
        <v>0</v>
      </c>
      <c r="I1430">
        <f t="shared" si="297"/>
        <v>0</v>
      </c>
      <c r="J1430">
        <f t="shared" si="298"/>
        <v>0</v>
      </c>
      <c r="K1430" s="4" t="e">
        <f t="shared" si="288"/>
        <v>#N/A</v>
      </c>
      <c r="L1430" t="e">
        <f t="shared" si="289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90"/>
        <v>0</v>
      </c>
      <c r="B1431">
        <f t="shared" si="291"/>
        <v>0</v>
      </c>
      <c r="C1431">
        <f t="shared" si="292"/>
        <v>0</v>
      </c>
      <c r="D1431">
        <f t="shared" si="293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4"/>
        <v>0</v>
      </c>
      <c r="G1431">
        <f t="shared" si="295"/>
        <v>0</v>
      </c>
      <c r="H1431">
        <f t="shared" si="296"/>
        <v>0</v>
      </c>
      <c r="I1431">
        <f t="shared" si="297"/>
        <v>0</v>
      </c>
      <c r="J1431">
        <f t="shared" si="298"/>
        <v>0</v>
      </c>
      <c r="K1431" s="4" t="e">
        <f t="shared" si="288"/>
        <v>#N/A</v>
      </c>
      <c r="L1431" t="e">
        <f t="shared" si="289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90"/>
        <v>0</v>
      </c>
      <c r="B1432">
        <f t="shared" si="291"/>
        <v>0</v>
      </c>
      <c r="C1432">
        <f t="shared" si="292"/>
        <v>0</v>
      </c>
      <c r="D1432">
        <f t="shared" si="293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4"/>
        <v>0</v>
      </c>
      <c r="G1432">
        <f t="shared" si="295"/>
        <v>0</v>
      </c>
      <c r="H1432">
        <f t="shared" si="296"/>
        <v>0</v>
      </c>
      <c r="I1432">
        <f t="shared" si="297"/>
        <v>0</v>
      </c>
      <c r="J1432">
        <f t="shared" si="298"/>
        <v>0</v>
      </c>
      <c r="K1432" s="4" t="e">
        <f t="shared" si="288"/>
        <v>#N/A</v>
      </c>
      <c r="L1432" t="e">
        <f t="shared" si="289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90"/>
        <v>0</v>
      </c>
      <c r="B1433">
        <f t="shared" si="291"/>
        <v>0</v>
      </c>
      <c r="C1433">
        <f t="shared" si="292"/>
        <v>0</v>
      </c>
      <c r="D1433">
        <f t="shared" si="293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4"/>
        <v>0</v>
      </c>
      <c r="G1433">
        <f t="shared" si="295"/>
        <v>0</v>
      </c>
      <c r="H1433">
        <f t="shared" si="296"/>
        <v>0</v>
      </c>
      <c r="I1433">
        <f t="shared" si="297"/>
        <v>0</v>
      </c>
      <c r="J1433">
        <f t="shared" si="298"/>
        <v>0</v>
      </c>
      <c r="K1433" s="4" t="e">
        <f t="shared" si="288"/>
        <v>#N/A</v>
      </c>
      <c r="L1433" t="e">
        <f t="shared" si="289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90"/>
        <v>0</v>
      </c>
      <c r="B1434">
        <f t="shared" si="291"/>
        <v>0</v>
      </c>
      <c r="C1434">
        <f t="shared" si="292"/>
        <v>0</v>
      </c>
      <c r="D1434">
        <f t="shared" si="293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4"/>
        <v>0</v>
      </c>
      <c r="G1434">
        <f t="shared" si="295"/>
        <v>0</v>
      </c>
      <c r="H1434">
        <f t="shared" si="296"/>
        <v>0</v>
      </c>
      <c r="I1434">
        <f t="shared" si="297"/>
        <v>0</v>
      </c>
      <c r="J1434">
        <f t="shared" si="298"/>
        <v>0</v>
      </c>
      <c r="K1434" s="4" t="e">
        <f t="shared" si="288"/>
        <v>#N/A</v>
      </c>
      <c r="L1434" t="e">
        <f t="shared" si="289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90"/>
        <v>0</v>
      </c>
      <c r="B1435">
        <f t="shared" si="291"/>
        <v>0</v>
      </c>
      <c r="C1435">
        <f t="shared" si="292"/>
        <v>0</v>
      </c>
      <c r="D1435">
        <f t="shared" si="293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4"/>
        <v>0</v>
      </c>
      <c r="G1435">
        <f t="shared" si="295"/>
        <v>0</v>
      </c>
      <c r="H1435">
        <f t="shared" si="296"/>
        <v>0</v>
      </c>
      <c r="I1435">
        <f t="shared" si="297"/>
        <v>0</v>
      </c>
      <c r="J1435">
        <f t="shared" si="298"/>
        <v>0</v>
      </c>
      <c r="K1435" s="4" t="e">
        <f t="shared" si="288"/>
        <v>#N/A</v>
      </c>
      <c r="L1435" t="e">
        <f t="shared" si="289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90"/>
        <v>0</v>
      </c>
      <c r="B1436">
        <f t="shared" si="291"/>
        <v>0</v>
      </c>
      <c r="C1436">
        <f t="shared" si="292"/>
        <v>0</v>
      </c>
      <c r="D1436">
        <f t="shared" si="293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4"/>
        <v>0</v>
      </c>
      <c r="G1436">
        <f t="shared" si="295"/>
        <v>0</v>
      </c>
      <c r="H1436">
        <f t="shared" si="296"/>
        <v>0</v>
      </c>
      <c r="I1436">
        <f t="shared" si="297"/>
        <v>0</v>
      </c>
      <c r="J1436">
        <f t="shared" si="298"/>
        <v>0</v>
      </c>
      <c r="K1436" s="4" t="e">
        <f t="shared" si="288"/>
        <v>#N/A</v>
      </c>
      <c r="L1436" t="e">
        <f t="shared" si="289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90"/>
        <v>0</v>
      </c>
      <c r="B1437">
        <f t="shared" si="291"/>
        <v>0</v>
      </c>
      <c r="C1437">
        <f t="shared" si="292"/>
        <v>0</v>
      </c>
      <c r="D1437">
        <f t="shared" si="293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4"/>
        <v>0</v>
      </c>
      <c r="G1437">
        <f t="shared" si="295"/>
        <v>0</v>
      </c>
      <c r="H1437">
        <f t="shared" si="296"/>
        <v>0</v>
      </c>
      <c r="I1437">
        <f t="shared" si="297"/>
        <v>0</v>
      </c>
      <c r="J1437">
        <f t="shared" si="298"/>
        <v>0</v>
      </c>
      <c r="K1437" s="4" t="e">
        <f t="shared" si="288"/>
        <v>#N/A</v>
      </c>
      <c r="L1437" t="e">
        <f t="shared" si="289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90"/>
        <v>0</v>
      </c>
      <c r="B1438">
        <f t="shared" si="291"/>
        <v>0</v>
      </c>
      <c r="C1438">
        <f t="shared" si="292"/>
        <v>0</v>
      </c>
      <c r="D1438">
        <f t="shared" si="293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4"/>
        <v>0</v>
      </c>
      <c r="G1438">
        <f t="shared" si="295"/>
        <v>0</v>
      </c>
      <c r="H1438">
        <f t="shared" si="296"/>
        <v>0</v>
      </c>
      <c r="I1438">
        <f t="shared" si="297"/>
        <v>0</v>
      </c>
      <c r="J1438">
        <f t="shared" si="298"/>
        <v>0</v>
      </c>
      <c r="K1438" s="4" t="e">
        <f t="shared" si="288"/>
        <v>#N/A</v>
      </c>
      <c r="L1438" t="e">
        <f t="shared" si="289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90"/>
        <v>0</v>
      </c>
      <c r="B1439">
        <f t="shared" si="291"/>
        <v>0</v>
      </c>
      <c r="C1439">
        <f t="shared" si="292"/>
        <v>0</v>
      </c>
      <c r="D1439">
        <f t="shared" si="293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4"/>
        <v>0</v>
      </c>
      <c r="G1439">
        <f t="shared" si="295"/>
        <v>0</v>
      </c>
      <c r="H1439">
        <f t="shared" si="296"/>
        <v>0</v>
      </c>
      <c r="I1439">
        <f t="shared" si="297"/>
        <v>0</v>
      </c>
      <c r="J1439">
        <f t="shared" si="298"/>
        <v>0</v>
      </c>
      <c r="K1439" s="4" t="e">
        <f t="shared" si="288"/>
        <v>#N/A</v>
      </c>
      <c r="L1439" t="e">
        <f t="shared" si="289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90"/>
        <v>0</v>
      </c>
      <c r="B1440">
        <f t="shared" si="291"/>
        <v>0</v>
      </c>
      <c r="C1440">
        <f t="shared" si="292"/>
        <v>0</v>
      </c>
      <c r="D1440">
        <f t="shared" si="293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4"/>
        <v>0</v>
      </c>
      <c r="G1440">
        <f t="shared" si="295"/>
        <v>0</v>
      </c>
      <c r="H1440">
        <f t="shared" si="296"/>
        <v>0</v>
      </c>
      <c r="I1440">
        <f t="shared" si="297"/>
        <v>0</v>
      </c>
      <c r="J1440">
        <f t="shared" si="298"/>
        <v>0</v>
      </c>
      <c r="K1440" s="4" t="e">
        <f t="shared" si="288"/>
        <v>#N/A</v>
      </c>
      <c r="L1440" t="e">
        <f t="shared" si="289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90"/>
        <v>0</v>
      </c>
      <c r="B1441">
        <f t="shared" si="291"/>
        <v>0</v>
      </c>
      <c r="C1441">
        <f t="shared" si="292"/>
        <v>0</v>
      </c>
      <c r="D1441">
        <f t="shared" si="293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4"/>
        <v>0</v>
      </c>
      <c r="G1441">
        <f t="shared" si="295"/>
        <v>0</v>
      </c>
      <c r="H1441">
        <f t="shared" si="296"/>
        <v>0</v>
      </c>
      <c r="I1441">
        <f t="shared" si="297"/>
        <v>0</v>
      </c>
      <c r="J1441">
        <f t="shared" si="298"/>
        <v>0</v>
      </c>
      <c r="K1441" s="4" t="e">
        <f t="shared" si="288"/>
        <v>#N/A</v>
      </c>
      <c r="L1441" t="e">
        <f t="shared" si="289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90"/>
        <v>0</v>
      </c>
      <c r="B1442">
        <f t="shared" si="291"/>
        <v>0</v>
      </c>
      <c r="C1442">
        <f t="shared" si="292"/>
        <v>0</v>
      </c>
      <c r="D1442">
        <f t="shared" si="293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4"/>
        <v>0</v>
      </c>
      <c r="G1442">
        <f t="shared" si="295"/>
        <v>0</v>
      </c>
      <c r="H1442">
        <f t="shared" si="296"/>
        <v>0</v>
      </c>
      <c r="I1442">
        <f t="shared" si="297"/>
        <v>0</v>
      </c>
      <c r="J1442">
        <f t="shared" si="298"/>
        <v>0</v>
      </c>
      <c r="K1442" s="4" t="e">
        <f t="shared" si="288"/>
        <v>#N/A</v>
      </c>
      <c r="L1442" t="e">
        <f t="shared" si="289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90"/>
        <v>0</v>
      </c>
      <c r="B1443">
        <f t="shared" si="291"/>
        <v>0</v>
      </c>
      <c r="C1443">
        <f t="shared" si="292"/>
        <v>0</v>
      </c>
      <c r="D1443">
        <f t="shared" si="293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4"/>
        <v>0</v>
      </c>
      <c r="G1443">
        <f t="shared" si="295"/>
        <v>0</v>
      </c>
      <c r="H1443">
        <f t="shared" si="296"/>
        <v>0</v>
      </c>
      <c r="I1443">
        <f t="shared" si="297"/>
        <v>0</v>
      </c>
      <c r="J1443">
        <f t="shared" si="298"/>
        <v>0</v>
      </c>
      <c r="K1443" s="4" t="e">
        <f t="shared" si="288"/>
        <v>#N/A</v>
      </c>
      <c r="L1443" t="e">
        <f t="shared" si="289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90"/>
        <v>0</v>
      </c>
      <c r="B1444">
        <f t="shared" si="291"/>
        <v>0</v>
      </c>
      <c r="C1444">
        <f t="shared" si="292"/>
        <v>0</v>
      </c>
      <c r="D1444">
        <f t="shared" si="293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4"/>
        <v>0</v>
      </c>
      <c r="G1444">
        <f t="shared" si="295"/>
        <v>0</v>
      </c>
      <c r="H1444">
        <f t="shared" si="296"/>
        <v>0</v>
      </c>
      <c r="I1444">
        <f t="shared" si="297"/>
        <v>0</v>
      </c>
      <c r="J1444">
        <f t="shared" si="298"/>
        <v>0</v>
      </c>
      <c r="K1444" s="4" t="e">
        <f t="shared" si="288"/>
        <v>#N/A</v>
      </c>
      <c r="L1444" t="e">
        <f t="shared" si="289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90"/>
        <v>0</v>
      </c>
      <c r="B1445">
        <f t="shared" si="291"/>
        <v>0</v>
      </c>
      <c r="C1445">
        <f t="shared" si="292"/>
        <v>0</v>
      </c>
      <c r="D1445">
        <f t="shared" si="293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4"/>
        <v>0</v>
      </c>
      <c r="G1445">
        <f t="shared" si="295"/>
        <v>0</v>
      </c>
      <c r="H1445">
        <f t="shared" si="296"/>
        <v>0</v>
      </c>
      <c r="I1445">
        <f t="shared" si="297"/>
        <v>0</v>
      </c>
      <c r="J1445">
        <f t="shared" si="298"/>
        <v>0</v>
      </c>
      <c r="K1445" s="4" t="e">
        <f t="shared" si="288"/>
        <v>#N/A</v>
      </c>
      <c r="L1445" t="e">
        <f t="shared" si="289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90"/>
        <v>0</v>
      </c>
      <c r="B1446">
        <f t="shared" si="291"/>
        <v>0</v>
      </c>
      <c r="C1446">
        <f t="shared" si="292"/>
        <v>0</v>
      </c>
      <c r="D1446">
        <f t="shared" si="293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4"/>
        <v>0</v>
      </c>
      <c r="G1446">
        <f t="shared" si="295"/>
        <v>0</v>
      </c>
      <c r="H1446">
        <f t="shared" si="296"/>
        <v>0</v>
      </c>
      <c r="I1446">
        <f t="shared" si="297"/>
        <v>0</v>
      </c>
      <c r="J1446">
        <f t="shared" si="298"/>
        <v>0</v>
      </c>
      <c r="K1446" s="4" t="e">
        <f t="shared" si="288"/>
        <v>#N/A</v>
      </c>
      <c r="L1446" t="e">
        <f t="shared" si="289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90"/>
        <v>0</v>
      </c>
      <c r="B1447">
        <f t="shared" si="291"/>
        <v>0</v>
      </c>
      <c r="C1447">
        <f t="shared" si="292"/>
        <v>0</v>
      </c>
      <c r="D1447">
        <f t="shared" si="293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4"/>
        <v>0</v>
      </c>
      <c r="G1447">
        <f t="shared" si="295"/>
        <v>0</v>
      </c>
      <c r="H1447">
        <f t="shared" si="296"/>
        <v>0</v>
      </c>
      <c r="I1447">
        <f t="shared" si="297"/>
        <v>0</v>
      </c>
      <c r="J1447">
        <f t="shared" si="298"/>
        <v>0</v>
      </c>
      <c r="K1447" s="4" t="e">
        <f t="shared" si="288"/>
        <v>#N/A</v>
      </c>
      <c r="L1447" t="e">
        <f t="shared" si="289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90"/>
        <v>0</v>
      </c>
      <c r="B1448">
        <f t="shared" si="291"/>
        <v>0</v>
      </c>
      <c r="C1448">
        <f t="shared" si="292"/>
        <v>0</v>
      </c>
      <c r="D1448">
        <f t="shared" si="293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4"/>
        <v>0</v>
      </c>
      <c r="G1448">
        <f t="shared" si="295"/>
        <v>0</v>
      </c>
      <c r="H1448">
        <f t="shared" si="296"/>
        <v>0</v>
      </c>
      <c r="I1448">
        <f t="shared" si="297"/>
        <v>0</v>
      </c>
      <c r="J1448">
        <f t="shared" si="298"/>
        <v>0</v>
      </c>
      <c r="K1448" s="4" t="e">
        <f t="shared" si="288"/>
        <v>#N/A</v>
      </c>
      <c r="L1448" t="e">
        <f t="shared" si="289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90"/>
        <v>0</v>
      </c>
      <c r="B1449">
        <f t="shared" si="291"/>
        <v>0</v>
      </c>
      <c r="C1449">
        <f t="shared" si="292"/>
        <v>0</v>
      </c>
      <c r="D1449">
        <f t="shared" si="293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4"/>
        <v>0</v>
      </c>
      <c r="G1449">
        <f t="shared" si="295"/>
        <v>0</v>
      </c>
      <c r="H1449">
        <f t="shared" si="296"/>
        <v>0</v>
      </c>
      <c r="I1449">
        <f t="shared" si="297"/>
        <v>0</v>
      </c>
      <c r="J1449">
        <f t="shared" si="298"/>
        <v>0</v>
      </c>
      <c r="K1449" s="4" t="e">
        <f t="shared" si="288"/>
        <v>#N/A</v>
      </c>
      <c r="L1449" t="e">
        <f t="shared" si="289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90"/>
        <v>0</v>
      </c>
      <c r="B1450">
        <f t="shared" si="291"/>
        <v>0</v>
      </c>
      <c r="C1450">
        <f t="shared" si="292"/>
        <v>0</v>
      </c>
      <c r="D1450">
        <f t="shared" si="293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4"/>
        <v>0</v>
      </c>
      <c r="G1450">
        <f t="shared" si="295"/>
        <v>0</v>
      </c>
      <c r="H1450">
        <f t="shared" si="296"/>
        <v>0</v>
      </c>
      <c r="I1450">
        <f t="shared" si="297"/>
        <v>0</v>
      </c>
      <c r="J1450">
        <f t="shared" si="298"/>
        <v>0</v>
      </c>
      <c r="K1450" s="4" t="e">
        <f t="shared" si="288"/>
        <v>#N/A</v>
      </c>
      <c r="L1450" t="e">
        <f t="shared" si="289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90"/>
        <v>0</v>
      </c>
      <c r="B1451">
        <f t="shared" si="291"/>
        <v>0</v>
      </c>
      <c r="C1451">
        <f t="shared" si="292"/>
        <v>0</v>
      </c>
      <c r="D1451">
        <f t="shared" si="293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4"/>
        <v>0</v>
      </c>
      <c r="G1451">
        <f t="shared" si="295"/>
        <v>0</v>
      </c>
      <c r="H1451">
        <f t="shared" si="296"/>
        <v>0</v>
      </c>
      <c r="I1451">
        <f t="shared" si="297"/>
        <v>0</v>
      </c>
      <c r="J1451">
        <f t="shared" si="298"/>
        <v>0</v>
      </c>
      <c r="K1451" s="4" t="e">
        <f t="shared" si="288"/>
        <v>#N/A</v>
      </c>
      <c r="L1451" t="e">
        <f t="shared" si="289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90"/>
        <v>0</v>
      </c>
      <c r="B1452">
        <f t="shared" si="291"/>
        <v>0</v>
      </c>
      <c r="C1452">
        <f t="shared" si="292"/>
        <v>0</v>
      </c>
      <c r="D1452">
        <f t="shared" si="293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4"/>
        <v>0</v>
      </c>
      <c r="G1452">
        <f t="shared" si="295"/>
        <v>0</v>
      </c>
      <c r="H1452">
        <f t="shared" si="296"/>
        <v>0</v>
      </c>
      <c r="I1452">
        <f t="shared" si="297"/>
        <v>0</v>
      </c>
      <c r="J1452">
        <f t="shared" si="298"/>
        <v>0</v>
      </c>
      <c r="K1452" s="4" t="e">
        <f t="shared" ref="K1452:K1515" si="301">IF(LEFT(B1452,3)="DBM",0,VLOOKUP(E1452,tabela,2,FALSE))</f>
        <v>#N/A</v>
      </c>
      <c r="L1452" t="e">
        <f t="shared" ref="L1452:L1515" si="302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90"/>
        <v>0</v>
      </c>
      <c r="B1453">
        <f t="shared" si="291"/>
        <v>0</v>
      </c>
      <c r="C1453">
        <f t="shared" si="292"/>
        <v>0</v>
      </c>
      <c r="D1453">
        <f t="shared" si="293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4"/>
        <v>0</v>
      </c>
      <c r="G1453">
        <f t="shared" si="295"/>
        <v>0</v>
      </c>
      <c r="H1453">
        <f t="shared" si="296"/>
        <v>0</v>
      </c>
      <c r="I1453">
        <f t="shared" si="297"/>
        <v>0</v>
      </c>
      <c r="J1453">
        <f t="shared" si="298"/>
        <v>0</v>
      </c>
      <c r="K1453" s="4" t="e">
        <f t="shared" si="301"/>
        <v>#N/A</v>
      </c>
      <c r="L1453" t="e">
        <f t="shared" si="302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90"/>
        <v>0</v>
      </c>
      <c r="B1454">
        <f t="shared" si="291"/>
        <v>0</v>
      </c>
      <c r="C1454">
        <f t="shared" si="292"/>
        <v>0</v>
      </c>
      <c r="D1454">
        <f t="shared" si="293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4"/>
        <v>0</v>
      </c>
      <c r="G1454">
        <f t="shared" si="295"/>
        <v>0</v>
      </c>
      <c r="H1454">
        <f t="shared" si="296"/>
        <v>0</v>
      </c>
      <c r="I1454">
        <f t="shared" si="297"/>
        <v>0</v>
      </c>
      <c r="J1454">
        <f t="shared" si="298"/>
        <v>0</v>
      </c>
      <c r="K1454" s="4" t="e">
        <f t="shared" si="301"/>
        <v>#N/A</v>
      </c>
      <c r="L1454" t="e">
        <f t="shared" si="302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90"/>
        <v>0</v>
      </c>
      <c r="B1455">
        <f t="shared" si="291"/>
        <v>0</v>
      </c>
      <c r="C1455">
        <f t="shared" si="292"/>
        <v>0</v>
      </c>
      <c r="D1455">
        <f t="shared" si="293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4"/>
        <v>0</v>
      </c>
      <c r="G1455">
        <f t="shared" si="295"/>
        <v>0</v>
      </c>
      <c r="H1455">
        <f t="shared" si="296"/>
        <v>0</v>
      </c>
      <c r="I1455">
        <f t="shared" si="297"/>
        <v>0</v>
      </c>
      <c r="J1455">
        <f t="shared" si="298"/>
        <v>0</v>
      </c>
      <c r="K1455" s="4" t="e">
        <f t="shared" si="301"/>
        <v>#N/A</v>
      </c>
      <c r="L1455" t="e">
        <f t="shared" si="302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90"/>
        <v>0</v>
      </c>
      <c r="B1456">
        <f t="shared" si="291"/>
        <v>0</v>
      </c>
      <c r="C1456">
        <f t="shared" si="292"/>
        <v>0</v>
      </c>
      <c r="D1456">
        <f t="shared" si="293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4"/>
        <v>0</v>
      </c>
      <c r="G1456">
        <f t="shared" si="295"/>
        <v>0</v>
      </c>
      <c r="H1456">
        <f t="shared" si="296"/>
        <v>0</v>
      </c>
      <c r="I1456">
        <f t="shared" si="297"/>
        <v>0</v>
      </c>
      <c r="J1456">
        <f t="shared" si="298"/>
        <v>0</v>
      </c>
      <c r="K1456" s="4" t="e">
        <f t="shared" si="301"/>
        <v>#N/A</v>
      </c>
      <c r="L1456" t="e">
        <f t="shared" si="302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90"/>
        <v>0</v>
      </c>
      <c r="B1457">
        <f t="shared" si="291"/>
        <v>0</v>
      </c>
      <c r="C1457">
        <f t="shared" si="292"/>
        <v>0</v>
      </c>
      <c r="D1457">
        <f t="shared" si="293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4"/>
        <v>0</v>
      </c>
      <c r="G1457">
        <f t="shared" si="295"/>
        <v>0</v>
      </c>
      <c r="H1457">
        <f t="shared" si="296"/>
        <v>0</v>
      </c>
      <c r="I1457">
        <f t="shared" si="297"/>
        <v>0</v>
      </c>
      <c r="J1457">
        <f t="shared" si="298"/>
        <v>0</v>
      </c>
      <c r="K1457" s="4" t="e">
        <f t="shared" si="301"/>
        <v>#N/A</v>
      </c>
      <c r="L1457" t="e">
        <f t="shared" si="302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90"/>
        <v>0</v>
      </c>
      <c r="B1458">
        <f t="shared" si="291"/>
        <v>0</v>
      </c>
      <c r="C1458">
        <f t="shared" si="292"/>
        <v>0</v>
      </c>
      <c r="D1458">
        <f t="shared" si="293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4"/>
        <v>0</v>
      </c>
      <c r="G1458">
        <f t="shared" si="295"/>
        <v>0</v>
      </c>
      <c r="H1458">
        <f t="shared" si="296"/>
        <v>0</v>
      </c>
      <c r="I1458">
        <f t="shared" si="297"/>
        <v>0</v>
      </c>
      <c r="J1458">
        <f t="shared" si="298"/>
        <v>0</v>
      </c>
      <c r="K1458" s="4" t="e">
        <f t="shared" si="301"/>
        <v>#N/A</v>
      </c>
      <c r="L1458" t="e">
        <f t="shared" si="302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90"/>
        <v>0</v>
      </c>
      <c r="B1459">
        <f t="shared" si="291"/>
        <v>0</v>
      </c>
      <c r="C1459">
        <f t="shared" si="292"/>
        <v>0</v>
      </c>
      <c r="D1459">
        <f t="shared" si="293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4"/>
        <v>0</v>
      </c>
      <c r="G1459">
        <f t="shared" si="295"/>
        <v>0</v>
      </c>
      <c r="H1459">
        <f t="shared" si="296"/>
        <v>0</v>
      </c>
      <c r="I1459">
        <f t="shared" si="297"/>
        <v>0</v>
      </c>
      <c r="J1459">
        <f t="shared" si="298"/>
        <v>0</v>
      </c>
      <c r="K1459" s="4" t="e">
        <f t="shared" si="301"/>
        <v>#N/A</v>
      </c>
      <c r="L1459" t="e">
        <f t="shared" si="302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90"/>
        <v>0</v>
      </c>
      <c r="B1460">
        <f t="shared" si="291"/>
        <v>0</v>
      </c>
      <c r="C1460">
        <f t="shared" si="292"/>
        <v>0</v>
      </c>
      <c r="D1460">
        <f t="shared" si="293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4"/>
        <v>0</v>
      </c>
      <c r="G1460">
        <f t="shared" si="295"/>
        <v>0</v>
      </c>
      <c r="H1460">
        <f t="shared" si="296"/>
        <v>0</v>
      </c>
      <c r="I1460">
        <f t="shared" si="297"/>
        <v>0</v>
      </c>
      <c r="J1460">
        <f t="shared" si="298"/>
        <v>0</v>
      </c>
      <c r="K1460" s="4" t="e">
        <f t="shared" si="301"/>
        <v>#N/A</v>
      </c>
      <c r="L1460" t="e">
        <f t="shared" si="302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90"/>
        <v>0</v>
      </c>
      <c r="B1461">
        <f t="shared" si="291"/>
        <v>0</v>
      </c>
      <c r="C1461">
        <f t="shared" si="292"/>
        <v>0</v>
      </c>
      <c r="D1461">
        <f t="shared" si="293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4"/>
        <v>0</v>
      </c>
      <c r="G1461">
        <f t="shared" si="295"/>
        <v>0</v>
      </c>
      <c r="H1461">
        <f t="shared" si="296"/>
        <v>0</v>
      </c>
      <c r="I1461">
        <f t="shared" si="297"/>
        <v>0</v>
      </c>
      <c r="J1461">
        <f t="shared" si="298"/>
        <v>0</v>
      </c>
      <c r="K1461" s="4" t="e">
        <f t="shared" si="301"/>
        <v>#N/A</v>
      </c>
      <c r="L1461" t="e">
        <f t="shared" si="302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90"/>
        <v>0</v>
      </c>
      <c r="B1462">
        <f t="shared" si="291"/>
        <v>0</v>
      </c>
      <c r="C1462">
        <f t="shared" si="292"/>
        <v>0</v>
      </c>
      <c r="D1462">
        <f t="shared" si="293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4"/>
        <v>0</v>
      </c>
      <c r="G1462">
        <f t="shared" si="295"/>
        <v>0</v>
      </c>
      <c r="H1462">
        <f t="shared" si="296"/>
        <v>0</v>
      </c>
      <c r="I1462">
        <f t="shared" si="297"/>
        <v>0</v>
      </c>
      <c r="J1462">
        <f t="shared" si="298"/>
        <v>0</v>
      </c>
      <c r="K1462" s="4" t="e">
        <f t="shared" si="301"/>
        <v>#N/A</v>
      </c>
      <c r="L1462" t="e">
        <f t="shared" si="302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90"/>
        <v>0</v>
      </c>
      <c r="B1463">
        <f t="shared" si="291"/>
        <v>0</v>
      </c>
      <c r="C1463">
        <f t="shared" si="292"/>
        <v>0</v>
      </c>
      <c r="D1463">
        <f t="shared" si="293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4"/>
        <v>0</v>
      </c>
      <c r="G1463">
        <f t="shared" si="295"/>
        <v>0</v>
      </c>
      <c r="H1463">
        <f t="shared" si="296"/>
        <v>0</v>
      </c>
      <c r="I1463">
        <f t="shared" si="297"/>
        <v>0</v>
      </c>
      <c r="J1463">
        <f t="shared" si="298"/>
        <v>0</v>
      </c>
      <c r="K1463" s="4" t="e">
        <f t="shared" si="301"/>
        <v>#N/A</v>
      </c>
      <c r="L1463" t="e">
        <f t="shared" si="302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90"/>
        <v>0</v>
      </c>
      <c r="B1464">
        <f t="shared" si="291"/>
        <v>0</v>
      </c>
      <c r="C1464">
        <f t="shared" si="292"/>
        <v>0</v>
      </c>
      <c r="D1464">
        <f t="shared" si="293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4"/>
        <v>0</v>
      </c>
      <c r="G1464">
        <f t="shared" si="295"/>
        <v>0</v>
      </c>
      <c r="H1464">
        <f t="shared" si="296"/>
        <v>0</v>
      </c>
      <c r="I1464">
        <f t="shared" si="297"/>
        <v>0</v>
      </c>
      <c r="J1464">
        <f t="shared" si="298"/>
        <v>0</v>
      </c>
      <c r="K1464" s="4" t="e">
        <f t="shared" si="301"/>
        <v>#N/A</v>
      </c>
      <c r="L1464" t="e">
        <f t="shared" si="302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90"/>
        <v>0</v>
      </c>
      <c r="B1465">
        <f t="shared" si="291"/>
        <v>0</v>
      </c>
      <c r="C1465">
        <f t="shared" si="292"/>
        <v>0</v>
      </c>
      <c r="D1465">
        <f t="shared" si="293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4"/>
        <v>0</v>
      </c>
      <c r="G1465">
        <f t="shared" si="295"/>
        <v>0</v>
      </c>
      <c r="H1465">
        <f t="shared" si="296"/>
        <v>0</v>
      </c>
      <c r="I1465">
        <f t="shared" si="297"/>
        <v>0</v>
      </c>
      <c r="J1465">
        <f t="shared" si="298"/>
        <v>0</v>
      </c>
      <c r="K1465" s="4" t="e">
        <f t="shared" si="301"/>
        <v>#N/A</v>
      </c>
      <c r="L1465" t="e">
        <f t="shared" si="302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90"/>
        <v>0</v>
      </c>
      <c r="B1466">
        <f t="shared" si="291"/>
        <v>0</v>
      </c>
      <c r="C1466">
        <f t="shared" si="292"/>
        <v>0</v>
      </c>
      <c r="D1466">
        <f t="shared" si="293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4"/>
        <v>0</v>
      </c>
      <c r="G1466">
        <f t="shared" si="295"/>
        <v>0</v>
      </c>
      <c r="H1466">
        <f t="shared" si="296"/>
        <v>0</v>
      </c>
      <c r="I1466">
        <f t="shared" si="297"/>
        <v>0</v>
      </c>
      <c r="J1466">
        <f t="shared" si="298"/>
        <v>0</v>
      </c>
      <c r="K1466" s="4" t="e">
        <f t="shared" si="301"/>
        <v>#N/A</v>
      </c>
      <c r="L1466" t="e">
        <f t="shared" si="302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90"/>
        <v>0</v>
      </c>
      <c r="B1467">
        <f t="shared" si="291"/>
        <v>0</v>
      </c>
      <c r="C1467">
        <f t="shared" si="292"/>
        <v>0</v>
      </c>
      <c r="D1467">
        <f t="shared" si="293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4"/>
        <v>0</v>
      </c>
      <c r="G1467">
        <f t="shared" si="295"/>
        <v>0</v>
      </c>
      <c r="H1467">
        <f t="shared" si="296"/>
        <v>0</v>
      </c>
      <c r="I1467">
        <f t="shared" si="297"/>
        <v>0</v>
      </c>
      <c r="J1467">
        <f t="shared" si="298"/>
        <v>0</v>
      </c>
      <c r="K1467" s="4" t="e">
        <f t="shared" si="301"/>
        <v>#N/A</v>
      </c>
      <c r="L1467" t="e">
        <f t="shared" si="302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90"/>
        <v>0</v>
      </c>
      <c r="B1468">
        <f t="shared" si="291"/>
        <v>0</v>
      </c>
      <c r="C1468">
        <f t="shared" si="292"/>
        <v>0</v>
      </c>
      <c r="D1468">
        <f t="shared" si="293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4"/>
        <v>0</v>
      </c>
      <c r="G1468">
        <f t="shared" si="295"/>
        <v>0</v>
      </c>
      <c r="H1468">
        <f t="shared" si="296"/>
        <v>0</v>
      </c>
      <c r="I1468">
        <f t="shared" si="297"/>
        <v>0</v>
      </c>
      <c r="J1468">
        <f t="shared" si="298"/>
        <v>0</v>
      </c>
      <c r="K1468" s="4" t="e">
        <f t="shared" si="301"/>
        <v>#N/A</v>
      </c>
      <c r="L1468" t="e">
        <f t="shared" si="302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90"/>
        <v>0</v>
      </c>
      <c r="B1469">
        <f t="shared" si="291"/>
        <v>0</v>
      </c>
      <c r="C1469">
        <f t="shared" si="292"/>
        <v>0</v>
      </c>
      <c r="D1469">
        <f t="shared" si="293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4"/>
        <v>0</v>
      </c>
      <c r="G1469">
        <f t="shared" si="295"/>
        <v>0</v>
      </c>
      <c r="H1469">
        <f t="shared" si="296"/>
        <v>0</v>
      </c>
      <c r="I1469">
        <f t="shared" si="297"/>
        <v>0</v>
      </c>
      <c r="J1469">
        <f t="shared" si="298"/>
        <v>0</v>
      </c>
      <c r="K1469" s="4" t="e">
        <f t="shared" si="301"/>
        <v>#N/A</v>
      </c>
      <c r="L1469" t="e">
        <f t="shared" si="302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90"/>
        <v>0</v>
      </c>
      <c r="B1470">
        <f t="shared" si="291"/>
        <v>0</v>
      </c>
      <c r="C1470">
        <f t="shared" si="292"/>
        <v>0</v>
      </c>
      <c r="D1470">
        <f t="shared" si="293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4"/>
        <v>0</v>
      </c>
      <c r="G1470">
        <f t="shared" si="295"/>
        <v>0</v>
      </c>
      <c r="H1470">
        <f t="shared" si="296"/>
        <v>0</v>
      </c>
      <c r="I1470">
        <f t="shared" si="297"/>
        <v>0</v>
      </c>
      <c r="J1470">
        <f t="shared" si="298"/>
        <v>0</v>
      </c>
      <c r="K1470" s="4" t="e">
        <f t="shared" si="301"/>
        <v>#N/A</v>
      </c>
      <c r="L1470" t="e">
        <f t="shared" si="302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90"/>
        <v>0</v>
      </c>
      <c r="B1471">
        <f t="shared" si="291"/>
        <v>0</v>
      </c>
      <c r="C1471">
        <f t="shared" si="292"/>
        <v>0</v>
      </c>
      <c r="D1471">
        <f t="shared" si="293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4"/>
        <v>0</v>
      </c>
      <c r="G1471">
        <f t="shared" si="295"/>
        <v>0</v>
      </c>
      <c r="H1471">
        <f t="shared" si="296"/>
        <v>0</v>
      </c>
      <c r="I1471">
        <f t="shared" si="297"/>
        <v>0</v>
      </c>
      <c r="J1471">
        <f t="shared" si="298"/>
        <v>0</v>
      </c>
      <c r="K1471" s="4" t="e">
        <f t="shared" si="301"/>
        <v>#N/A</v>
      </c>
      <c r="L1471" t="e">
        <f t="shared" si="302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90"/>
        <v>0</v>
      </c>
      <c r="B1472">
        <f t="shared" si="291"/>
        <v>0</v>
      </c>
      <c r="C1472">
        <f t="shared" si="292"/>
        <v>0</v>
      </c>
      <c r="D1472">
        <f t="shared" si="293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4"/>
        <v>0</v>
      </c>
      <c r="G1472">
        <f t="shared" si="295"/>
        <v>0</v>
      </c>
      <c r="H1472">
        <f t="shared" si="296"/>
        <v>0</v>
      </c>
      <c r="I1472">
        <f t="shared" si="297"/>
        <v>0</v>
      </c>
      <c r="J1472">
        <f t="shared" si="298"/>
        <v>0</v>
      </c>
      <c r="K1472" s="4" t="e">
        <f t="shared" si="301"/>
        <v>#N/A</v>
      </c>
      <c r="L1472" t="e">
        <f t="shared" si="302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90"/>
        <v>0</v>
      </c>
      <c r="B1473">
        <f t="shared" si="291"/>
        <v>0</v>
      </c>
      <c r="C1473">
        <f t="shared" si="292"/>
        <v>0</v>
      </c>
      <c r="D1473">
        <f t="shared" si="293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4"/>
        <v>0</v>
      </c>
      <c r="G1473">
        <f t="shared" si="295"/>
        <v>0</v>
      </c>
      <c r="H1473">
        <f t="shared" si="296"/>
        <v>0</v>
      </c>
      <c r="I1473">
        <f t="shared" si="297"/>
        <v>0</v>
      </c>
      <c r="J1473">
        <f t="shared" si="298"/>
        <v>0</v>
      </c>
      <c r="K1473" s="4" t="e">
        <f t="shared" si="301"/>
        <v>#N/A</v>
      </c>
      <c r="L1473" t="e">
        <f t="shared" si="302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3">bd_campaign</f>
        <v>0</v>
      </c>
      <c r="B1474">
        <f t="shared" ref="B1474:B1537" si="304">bd_site</f>
        <v>0</v>
      </c>
      <c r="C1474">
        <f t="shared" ref="C1474:C1537" si="305">bd_placement</f>
        <v>0</v>
      </c>
      <c r="D1474">
        <f t="shared" ref="D1474:D1537" si="306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7">bd_ad</f>
        <v>0</v>
      </c>
      <c r="G1474">
        <f t="shared" ref="G1474:G1537" si="308">bd_adid</f>
        <v>0</v>
      </c>
      <c r="H1474">
        <f t="shared" ref="H1474:H1537" si="309">bd_creativetype</f>
        <v>0</v>
      </c>
      <c r="I1474">
        <f t="shared" ref="I1474:I1537" si="310">bd_impression</f>
        <v>0</v>
      </c>
      <c r="J1474">
        <f t="shared" ref="J1474:J1537" si="311">bd_clicks</f>
        <v>0</v>
      </c>
      <c r="K1474" s="4" t="e">
        <f t="shared" si="301"/>
        <v>#N/A</v>
      </c>
      <c r="L1474" t="e">
        <f t="shared" si="302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3"/>
        <v>0</v>
      </c>
      <c r="B1475">
        <f t="shared" si="304"/>
        <v>0</v>
      </c>
      <c r="C1475">
        <f t="shared" si="305"/>
        <v>0</v>
      </c>
      <c r="D1475">
        <f t="shared" si="306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7"/>
        <v>0</v>
      </c>
      <c r="G1475">
        <f t="shared" si="308"/>
        <v>0</v>
      </c>
      <c r="H1475">
        <f t="shared" si="309"/>
        <v>0</v>
      </c>
      <c r="I1475">
        <f t="shared" si="310"/>
        <v>0</v>
      </c>
      <c r="J1475">
        <f t="shared" si="311"/>
        <v>0</v>
      </c>
      <c r="K1475" s="4" t="e">
        <f t="shared" si="301"/>
        <v>#N/A</v>
      </c>
      <c r="L1475" t="e">
        <f t="shared" si="302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3"/>
        <v>0</v>
      </c>
      <c r="B1476">
        <f t="shared" si="304"/>
        <v>0</v>
      </c>
      <c r="C1476">
        <f t="shared" si="305"/>
        <v>0</v>
      </c>
      <c r="D1476">
        <f t="shared" si="306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7"/>
        <v>0</v>
      </c>
      <c r="G1476">
        <f t="shared" si="308"/>
        <v>0</v>
      </c>
      <c r="H1476">
        <f t="shared" si="309"/>
        <v>0</v>
      </c>
      <c r="I1476">
        <f t="shared" si="310"/>
        <v>0</v>
      </c>
      <c r="J1476">
        <f t="shared" si="311"/>
        <v>0</v>
      </c>
      <c r="K1476" s="4" t="e">
        <f t="shared" si="301"/>
        <v>#N/A</v>
      </c>
      <c r="L1476" t="e">
        <f t="shared" si="302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3"/>
        <v>0</v>
      </c>
      <c r="B1477">
        <f t="shared" si="304"/>
        <v>0</v>
      </c>
      <c r="C1477">
        <f t="shared" si="305"/>
        <v>0</v>
      </c>
      <c r="D1477">
        <f t="shared" si="306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7"/>
        <v>0</v>
      </c>
      <c r="G1477">
        <f t="shared" si="308"/>
        <v>0</v>
      </c>
      <c r="H1477">
        <f t="shared" si="309"/>
        <v>0</v>
      </c>
      <c r="I1477">
        <f t="shared" si="310"/>
        <v>0</v>
      </c>
      <c r="J1477">
        <f t="shared" si="311"/>
        <v>0</v>
      </c>
      <c r="K1477" s="4" t="e">
        <f t="shared" si="301"/>
        <v>#N/A</v>
      </c>
      <c r="L1477" t="e">
        <f t="shared" si="302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3"/>
        <v>0</v>
      </c>
      <c r="B1478">
        <f t="shared" si="304"/>
        <v>0</v>
      </c>
      <c r="C1478">
        <f t="shared" si="305"/>
        <v>0</v>
      </c>
      <c r="D1478">
        <f t="shared" si="306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7"/>
        <v>0</v>
      </c>
      <c r="G1478">
        <f t="shared" si="308"/>
        <v>0</v>
      </c>
      <c r="H1478">
        <f t="shared" si="309"/>
        <v>0</v>
      </c>
      <c r="I1478">
        <f t="shared" si="310"/>
        <v>0</v>
      </c>
      <c r="J1478">
        <f t="shared" si="311"/>
        <v>0</v>
      </c>
      <c r="K1478" s="4" t="e">
        <f t="shared" si="301"/>
        <v>#N/A</v>
      </c>
      <c r="L1478" t="e">
        <f t="shared" si="302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3"/>
        <v>0</v>
      </c>
      <c r="B1479">
        <f t="shared" si="304"/>
        <v>0</v>
      </c>
      <c r="C1479">
        <f t="shared" si="305"/>
        <v>0</v>
      </c>
      <c r="D1479">
        <f t="shared" si="306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7"/>
        <v>0</v>
      </c>
      <c r="G1479">
        <f t="shared" si="308"/>
        <v>0</v>
      </c>
      <c r="H1479">
        <f t="shared" si="309"/>
        <v>0</v>
      </c>
      <c r="I1479">
        <f t="shared" si="310"/>
        <v>0</v>
      </c>
      <c r="J1479">
        <f t="shared" si="311"/>
        <v>0</v>
      </c>
      <c r="K1479" s="4" t="e">
        <f t="shared" si="301"/>
        <v>#N/A</v>
      </c>
      <c r="L1479" t="e">
        <f t="shared" si="302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3"/>
        <v>0</v>
      </c>
      <c r="B1480">
        <f t="shared" si="304"/>
        <v>0</v>
      </c>
      <c r="C1480">
        <f t="shared" si="305"/>
        <v>0</v>
      </c>
      <c r="D1480">
        <f t="shared" si="306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7"/>
        <v>0</v>
      </c>
      <c r="G1480">
        <f t="shared" si="308"/>
        <v>0</v>
      </c>
      <c r="H1480">
        <f t="shared" si="309"/>
        <v>0</v>
      </c>
      <c r="I1480">
        <f t="shared" si="310"/>
        <v>0</v>
      </c>
      <c r="J1480">
        <f t="shared" si="311"/>
        <v>0</v>
      </c>
      <c r="K1480" s="4" t="e">
        <f t="shared" si="301"/>
        <v>#N/A</v>
      </c>
      <c r="L1480" t="e">
        <f t="shared" si="302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3"/>
        <v>0</v>
      </c>
      <c r="B1481">
        <f t="shared" si="304"/>
        <v>0</v>
      </c>
      <c r="C1481">
        <f t="shared" si="305"/>
        <v>0</v>
      </c>
      <c r="D1481">
        <f t="shared" si="306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7"/>
        <v>0</v>
      </c>
      <c r="G1481">
        <f t="shared" si="308"/>
        <v>0</v>
      </c>
      <c r="H1481">
        <f t="shared" si="309"/>
        <v>0</v>
      </c>
      <c r="I1481">
        <f t="shared" si="310"/>
        <v>0</v>
      </c>
      <c r="J1481">
        <f t="shared" si="311"/>
        <v>0</v>
      </c>
      <c r="K1481" s="4" t="e">
        <f t="shared" si="301"/>
        <v>#N/A</v>
      </c>
      <c r="L1481" t="e">
        <f t="shared" si="302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3"/>
        <v>0</v>
      </c>
      <c r="B1482">
        <f t="shared" si="304"/>
        <v>0</v>
      </c>
      <c r="C1482">
        <f t="shared" si="305"/>
        <v>0</v>
      </c>
      <c r="D1482">
        <f t="shared" si="306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7"/>
        <v>0</v>
      </c>
      <c r="G1482">
        <f t="shared" si="308"/>
        <v>0</v>
      </c>
      <c r="H1482">
        <f t="shared" si="309"/>
        <v>0</v>
      </c>
      <c r="I1482">
        <f t="shared" si="310"/>
        <v>0</v>
      </c>
      <c r="J1482">
        <f t="shared" si="311"/>
        <v>0</v>
      </c>
      <c r="K1482" s="4" t="e">
        <f t="shared" si="301"/>
        <v>#N/A</v>
      </c>
      <c r="L1482" t="e">
        <f t="shared" si="302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3"/>
        <v>0</v>
      </c>
      <c r="B1483">
        <f t="shared" si="304"/>
        <v>0</v>
      </c>
      <c r="C1483">
        <f t="shared" si="305"/>
        <v>0</v>
      </c>
      <c r="D1483">
        <f t="shared" si="306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7"/>
        <v>0</v>
      </c>
      <c r="G1483">
        <f t="shared" si="308"/>
        <v>0</v>
      </c>
      <c r="H1483">
        <f t="shared" si="309"/>
        <v>0</v>
      </c>
      <c r="I1483">
        <f t="shared" si="310"/>
        <v>0</v>
      </c>
      <c r="J1483">
        <f t="shared" si="311"/>
        <v>0</v>
      </c>
      <c r="K1483" s="4" t="e">
        <f t="shared" si="301"/>
        <v>#N/A</v>
      </c>
      <c r="L1483" t="e">
        <f t="shared" si="302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3"/>
        <v>0</v>
      </c>
      <c r="B1484">
        <f t="shared" si="304"/>
        <v>0</v>
      </c>
      <c r="C1484">
        <f t="shared" si="305"/>
        <v>0</v>
      </c>
      <c r="D1484">
        <f t="shared" si="306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7"/>
        <v>0</v>
      </c>
      <c r="G1484">
        <f t="shared" si="308"/>
        <v>0</v>
      </c>
      <c r="H1484">
        <f t="shared" si="309"/>
        <v>0</v>
      </c>
      <c r="I1484">
        <f t="shared" si="310"/>
        <v>0</v>
      </c>
      <c r="J1484">
        <f t="shared" si="311"/>
        <v>0</v>
      </c>
      <c r="K1484" s="4" t="e">
        <f t="shared" si="301"/>
        <v>#N/A</v>
      </c>
      <c r="L1484" t="e">
        <f t="shared" si="302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3"/>
        <v>0</v>
      </c>
      <c r="B1485">
        <f t="shared" si="304"/>
        <v>0</v>
      </c>
      <c r="C1485">
        <f t="shared" si="305"/>
        <v>0</v>
      </c>
      <c r="D1485">
        <f t="shared" si="306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7"/>
        <v>0</v>
      </c>
      <c r="G1485">
        <f t="shared" si="308"/>
        <v>0</v>
      </c>
      <c r="H1485">
        <f t="shared" si="309"/>
        <v>0</v>
      </c>
      <c r="I1485">
        <f t="shared" si="310"/>
        <v>0</v>
      </c>
      <c r="J1485">
        <f t="shared" si="311"/>
        <v>0</v>
      </c>
      <c r="K1485" s="4" t="e">
        <f t="shared" si="301"/>
        <v>#N/A</v>
      </c>
      <c r="L1485" t="e">
        <f t="shared" si="302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3"/>
        <v>0</v>
      </c>
      <c r="B1486">
        <f t="shared" si="304"/>
        <v>0</v>
      </c>
      <c r="C1486">
        <f t="shared" si="305"/>
        <v>0</v>
      </c>
      <c r="D1486">
        <f t="shared" si="306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7"/>
        <v>0</v>
      </c>
      <c r="G1486">
        <f t="shared" si="308"/>
        <v>0</v>
      </c>
      <c r="H1486">
        <f t="shared" si="309"/>
        <v>0</v>
      </c>
      <c r="I1486">
        <f t="shared" si="310"/>
        <v>0</v>
      </c>
      <c r="J1486">
        <f t="shared" si="311"/>
        <v>0</v>
      </c>
      <c r="K1486" s="4" t="e">
        <f t="shared" si="301"/>
        <v>#N/A</v>
      </c>
      <c r="L1486" t="e">
        <f t="shared" si="302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3"/>
        <v>0</v>
      </c>
      <c r="B1487">
        <f t="shared" si="304"/>
        <v>0</v>
      </c>
      <c r="C1487">
        <f t="shared" si="305"/>
        <v>0</v>
      </c>
      <c r="D1487">
        <f t="shared" si="306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7"/>
        <v>0</v>
      </c>
      <c r="G1487">
        <f t="shared" si="308"/>
        <v>0</v>
      </c>
      <c r="H1487">
        <f t="shared" si="309"/>
        <v>0</v>
      </c>
      <c r="I1487">
        <f t="shared" si="310"/>
        <v>0</v>
      </c>
      <c r="J1487">
        <f t="shared" si="311"/>
        <v>0</v>
      </c>
      <c r="K1487" s="4" t="e">
        <f t="shared" si="301"/>
        <v>#N/A</v>
      </c>
      <c r="L1487" t="e">
        <f t="shared" si="302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3"/>
        <v>0</v>
      </c>
      <c r="B1488">
        <f t="shared" si="304"/>
        <v>0</v>
      </c>
      <c r="C1488">
        <f t="shared" si="305"/>
        <v>0</v>
      </c>
      <c r="D1488">
        <f t="shared" si="306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7"/>
        <v>0</v>
      </c>
      <c r="G1488">
        <f t="shared" si="308"/>
        <v>0</v>
      </c>
      <c r="H1488">
        <f t="shared" si="309"/>
        <v>0</v>
      </c>
      <c r="I1488">
        <f t="shared" si="310"/>
        <v>0</v>
      </c>
      <c r="J1488">
        <f t="shared" si="311"/>
        <v>0</v>
      </c>
      <c r="K1488" s="4" t="e">
        <f t="shared" si="301"/>
        <v>#N/A</v>
      </c>
      <c r="L1488" t="e">
        <f t="shared" si="302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3"/>
        <v>0</v>
      </c>
      <c r="B1489">
        <f t="shared" si="304"/>
        <v>0</v>
      </c>
      <c r="C1489">
        <f t="shared" si="305"/>
        <v>0</v>
      </c>
      <c r="D1489">
        <f t="shared" si="306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7"/>
        <v>0</v>
      </c>
      <c r="G1489">
        <f t="shared" si="308"/>
        <v>0</v>
      </c>
      <c r="H1489">
        <f t="shared" si="309"/>
        <v>0</v>
      </c>
      <c r="I1489">
        <f t="shared" si="310"/>
        <v>0</v>
      </c>
      <c r="J1489">
        <f t="shared" si="311"/>
        <v>0</v>
      </c>
      <c r="K1489" s="4" t="e">
        <f t="shared" si="301"/>
        <v>#N/A</v>
      </c>
      <c r="L1489" t="e">
        <f t="shared" si="302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3"/>
        <v>0</v>
      </c>
      <c r="B1490">
        <f t="shared" si="304"/>
        <v>0</v>
      </c>
      <c r="C1490">
        <f t="shared" si="305"/>
        <v>0</v>
      </c>
      <c r="D1490">
        <f t="shared" si="306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7"/>
        <v>0</v>
      </c>
      <c r="G1490">
        <f t="shared" si="308"/>
        <v>0</v>
      </c>
      <c r="H1490">
        <f t="shared" si="309"/>
        <v>0</v>
      </c>
      <c r="I1490">
        <f t="shared" si="310"/>
        <v>0</v>
      </c>
      <c r="J1490">
        <f t="shared" si="311"/>
        <v>0</v>
      </c>
      <c r="K1490" s="4" t="e">
        <f t="shared" si="301"/>
        <v>#N/A</v>
      </c>
      <c r="L1490" t="e">
        <f t="shared" si="302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3"/>
        <v>0</v>
      </c>
      <c r="B1491">
        <f t="shared" si="304"/>
        <v>0</v>
      </c>
      <c r="C1491">
        <f t="shared" si="305"/>
        <v>0</v>
      </c>
      <c r="D1491">
        <f t="shared" si="306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7"/>
        <v>0</v>
      </c>
      <c r="G1491">
        <f t="shared" si="308"/>
        <v>0</v>
      </c>
      <c r="H1491">
        <f t="shared" si="309"/>
        <v>0</v>
      </c>
      <c r="I1491">
        <f t="shared" si="310"/>
        <v>0</v>
      </c>
      <c r="J1491">
        <f t="shared" si="311"/>
        <v>0</v>
      </c>
      <c r="K1491" s="4" t="e">
        <f t="shared" si="301"/>
        <v>#N/A</v>
      </c>
      <c r="L1491" t="e">
        <f t="shared" si="302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3"/>
        <v>0</v>
      </c>
      <c r="B1492">
        <f t="shared" si="304"/>
        <v>0</v>
      </c>
      <c r="C1492">
        <f t="shared" si="305"/>
        <v>0</v>
      </c>
      <c r="D1492">
        <f t="shared" si="306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7"/>
        <v>0</v>
      </c>
      <c r="G1492">
        <f t="shared" si="308"/>
        <v>0</v>
      </c>
      <c r="H1492">
        <f t="shared" si="309"/>
        <v>0</v>
      </c>
      <c r="I1492">
        <f t="shared" si="310"/>
        <v>0</v>
      </c>
      <c r="J1492">
        <f t="shared" si="311"/>
        <v>0</v>
      </c>
      <c r="K1492" s="4" t="e">
        <f t="shared" si="301"/>
        <v>#N/A</v>
      </c>
      <c r="L1492" t="e">
        <f t="shared" si="302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3"/>
        <v>0</v>
      </c>
      <c r="B1493">
        <f t="shared" si="304"/>
        <v>0</v>
      </c>
      <c r="C1493">
        <f t="shared" si="305"/>
        <v>0</v>
      </c>
      <c r="D1493">
        <f t="shared" si="306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7"/>
        <v>0</v>
      </c>
      <c r="G1493">
        <f t="shared" si="308"/>
        <v>0</v>
      </c>
      <c r="H1493">
        <f t="shared" si="309"/>
        <v>0</v>
      </c>
      <c r="I1493">
        <f t="shared" si="310"/>
        <v>0</v>
      </c>
      <c r="J1493">
        <f t="shared" si="311"/>
        <v>0</v>
      </c>
      <c r="K1493" s="4" t="e">
        <f t="shared" si="301"/>
        <v>#N/A</v>
      </c>
      <c r="L1493" t="e">
        <f t="shared" si="302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3"/>
        <v>0</v>
      </c>
      <c r="B1494">
        <f t="shared" si="304"/>
        <v>0</v>
      </c>
      <c r="C1494">
        <f t="shared" si="305"/>
        <v>0</v>
      </c>
      <c r="D1494">
        <f t="shared" si="306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7"/>
        <v>0</v>
      </c>
      <c r="G1494">
        <f t="shared" si="308"/>
        <v>0</v>
      </c>
      <c r="H1494">
        <f t="shared" si="309"/>
        <v>0</v>
      </c>
      <c r="I1494">
        <f t="shared" si="310"/>
        <v>0</v>
      </c>
      <c r="J1494">
        <f t="shared" si="311"/>
        <v>0</v>
      </c>
      <c r="K1494" s="4" t="e">
        <f t="shared" si="301"/>
        <v>#N/A</v>
      </c>
      <c r="L1494" t="e">
        <f t="shared" si="302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3"/>
        <v>0</v>
      </c>
      <c r="B1495">
        <f t="shared" si="304"/>
        <v>0</v>
      </c>
      <c r="C1495">
        <f t="shared" si="305"/>
        <v>0</v>
      </c>
      <c r="D1495">
        <f t="shared" si="306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7"/>
        <v>0</v>
      </c>
      <c r="G1495">
        <f t="shared" si="308"/>
        <v>0</v>
      </c>
      <c r="H1495">
        <f t="shared" si="309"/>
        <v>0</v>
      </c>
      <c r="I1495">
        <f t="shared" si="310"/>
        <v>0</v>
      </c>
      <c r="J1495">
        <f t="shared" si="311"/>
        <v>0</v>
      </c>
      <c r="K1495" s="4" t="e">
        <f t="shared" si="301"/>
        <v>#N/A</v>
      </c>
      <c r="L1495" t="e">
        <f t="shared" si="302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3"/>
        <v>0</v>
      </c>
      <c r="B1496">
        <f t="shared" si="304"/>
        <v>0</v>
      </c>
      <c r="C1496">
        <f t="shared" si="305"/>
        <v>0</v>
      </c>
      <c r="D1496">
        <f t="shared" si="306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7"/>
        <v>0</v>
      </c>
      <c r="G1496">
        <f t="shared" si="308"/>
        <v>0</v>
      </c>
      <c r="H1496">
        <f t="shared" si="309"/>
        <v>0</v>
      </c>
      <c r="I1496">
        <f t="shared" si="310"/>
        <v>0</v>
      </c>
      <c r="J1496">
        <f t="shared" si="311"/>
        <v>0</v>
      </c>
      <c r="K1496" s="4" t="e">
        <f t="shared" si="301"/>
        <v>#N/A</v>
      </c>
      <c r="L1496" t="e">
        <f t="shared" si="302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3"/>
        <v>0</v>
      </c>
      <c r="B1497">
        <f t="shared" si="304"/>
        <v>0</v>
      </c>
      <c r="C1497">
        <f t="shared" si="305"/>
        <v>0</v>
      </c>
      <c r="D1497">
        <f t="shared" si="306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7"/>
        <v>0</v>
      </c>
      <c r="G1497">
        <f t="shared" si="308"/>
        <v>0</v>
      </c>
      <c r="H1497">
        <f t="shared" si="309"/>
        <v>0</v>
      </c>
      <c r="I1497">
        <f t="shared" si="310"/>
        <v>0</v>
      </c>
      <c r="J1497">
        <f t="shared" si="311"/>
        <v>0</v>
      </c>
      <c r="K1497" s="4" t="e">
        <f t="shared" si="301"/>
        <v>#N/A</v>
      </c>
      <c r="L1497" t="e">
        <f t="shared" si="302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3"/>
        <v>0</v>
      </c>
      <c r="B1498">
        <f t="shared" si="304"/>
        <v>0</v>
      </c>
      <c r="C1498">
        <f t="shared" si="305"/>
        <v>0</v>
      </c>
      <c r="D1498">
        <f t="shared" si="306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7"/>
        <v>0</v>
      </c>
      <c r="G1498">
        <f t="shared" si="308"/>
        <v>0</v>
      </c>
      <c r="H1498">
        <f t="shared" si="309"/>
        <v>0</v>
      </c>
      <c r="I1498">
        <f t="shared" si="310"/>
        <v>0</v>
      </c>
      <c r="J1498">
        <f t="shared" si="311"/>
        <v>0</v>
      </c>
      <c r="K1498" s="4" t="e">
        <f t="shared" si="301"/>
        <v>#N/A</v>
      </c>
      <c r="L1498" t="e">
        <f t="shared" si="302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3"/>
        <v>0</v>
      </c>
      <c r="B1499">
        <f t="shared" si="304"/>
        <v>0</v>
      </c>
      <c r="C1499">
        <f t="shared" si="305"/>
        <v>0</v>
      </c>
      <c r="D1499">
        <f t="shared" si="306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7"/>
        <v>0</v>
      </c>
      <c r="G1499">
        <f t="shared" si="308"/>
        <v>0</v>
      </c>
      <c r="H1499">
        <f t="shared" si="309"/>
        <v>0</v>
      </c>
      <c r="I1499">
        <f t="shared" si="310"/>
        <v>0</v>
      </c>
      <c r="J1499">
        <f t="shared" si="311"/>
        <v>0</v>
      </c>
      <c r="K1499" s="4" t="e">
        <f t="shared" si="301"/>
        <v>#N/A</v>
      </c>
      <c r="L1499" t="e">
        <f t="shared" si="302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3"/>
        <v>0</v>
      </c>
      <c r="B1500">
        <f t="shared" si="304"/>
        <v>0</v>
      </c>
      <c r="C1500">
        <f t="shared" si="305"/>
        <v>0</v>
      </c>
      <c r="D1500">
        <f t="shared" si="306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7"/>
        <v>0</v>
      </c>
      <c r="G1500">
        <f t="shared" si="308"/>
        <v>0</v>
      </c>
      <c r="H1500">
        <f t="shared" si="309"/>
        <v>0</v>
      </c>
      <c r="I1500">
        <f t="shared" si="310"/>
        <v>0</v>
      </c>
      <c r="J1500">
        <f t="shared" si="311"/>
        <v>0</v>
      </c>
      <c r="K1500" s="4" t="e">
        <f t="shared" si="301"/>
        <v>#N/A</v>
      </c>
      <c r="L1500" t="e">
        <f t="shared" si="302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3"/>
        <v>0</v>
      </c>
      <c r="B1501">
        <f t="shared" si="304"/>
        <v>0</v>
      </c>
      <c r="C1501">
        <f t="shared" si="305"/>
        <v>0</v>
      </c>
      <c r="D1501">
        <f t="shared" si="306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7"/>
        <v>0</v>
      </c>
      <c r="G1501">
        <f t="shared" si="308"/>
        <v>0</v>
      </c>
      <c r="H1501">
        <f t="shared" si="309"/>
        <v>0</v>
      </c>
      <c r="I1501">
        <f t="shared" si="310"/>
        <v>0</v>
      </c>
      <c r="J1501">
        <f t="shared" si="311"/>
        <v>0</v>
      </c>
      <c r="K1501" s="4" t="e">
        <f t="shared" si="301"/>
        <v>#N/A</v>
      </c>
      <c r="L1501" t="e">
        <f t="shared" si="302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3"/>
        <v>0</v>
      </c>
      <c r="B1502">
        <f t="shared" si="304"/>
        <v>0</v>
      </c>
      <c r="C1502">
        <f t="shared" si="305"/>
        <v>0</v>
      </c>
      <c r="D1502">
        <f t="shared" si="306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7"/>
        <v>0</v>
      </c>
      <c r="G1502">
        <f t="shared" si="308"/>
        <v>0</v>
      </c>
      <c r="H1502">
        <f t="shared" si="309"/>
        <v>0</v>
      </c>
      <c r="I1502">
        <f t="shared" si="310"/>
        <v>0</v>
      </c>
      <c r="J1502">
        <f t="shared" si="311"/>
        <v>0</v>
      </c>
      <c r="K1502" s="4" t="e">
        <f t="shared" si="301"/>
        <v>#N/A</v>
      </c>
      <c r="L1502" t="e">
        <f t="shared" si="302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3"/>
        <v>0</v>
      </c>
      <c r="B1503">
        <f t="shared" si="304"/>
        <v>0</v>
      </c>
      <c r="C1503">
        <f t="shared" si="305"/>
        <v>0</v>
      </c>
      <c r="D1503">
        <f t="shared" si="306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7"/>
        <v>0</v>
      </c>
      <c r="G1503">
        <f t="shared" si="308"/>
        <v>0</v>
      </c>
      <c r="H1503">
        <f t="shared" si="309"/>
        <v>0</v>
      </c>
      <c r="I1503">
        <f t="shared" si="310"/>
        <v>0</v>
      </c>
      <c r="J1503">
        <f t="shared" si="311"/>
        <v>0</v>
      </c>
      <c r="K1503" s="4" t="e">
        <f t="shared" si="301"/>
        <v>#N/A</v>
      </c>
      <c r="L1503" t="e">
        <f t="shared" si="302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3"/>
        <v>0</v>
      </c>
      <c r="B1504">
        <f t="shared" si="304"/>
        <v>0</v>
      </c>
      <c r="C1504">
        <f t="shared" si="305"/>
        <v>0</v>
      </c>
      <c r="D1504">
        <f t="shared" si="306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7"/>
        <v>0</v>
      </c>
      <c r="G1504">
        <f t="shared" si="308"/>
        <v>0</v>
      </c>
      <c r="H1504">
        <f t="shared" si="309"/>
        <v>0</v>
      </c>
      <c r="I1504">
        <f t="shared" si="310"/>
        <v>0</v>
      </c>
      <c r="J1504">
        <f t="shared" si="311"/>
        <v>0</v>
      </c>
      <c r="K1504" s="4" t="e">
        <f t="shared" si="301"/>
        <v>#N/A</v>
      </c>
      <c r="L1504" t="e">
        <f t="shared" si="302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3"/>
        <v>0</v>
      </c>
      <c r="B1505">
        <f t="shared" si="304"/>
        <v>0</v>
      </c>
      <c r="C1505">
        <f t="shared" si="305"/>
        <v>0</v>
      </c>
      <c r="D1505">
        <f t="shared" si="306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7"/>
        <v>0</v>
      </c>
      <c r="G1505">
        <f t="shared" si="308"/>
        <v>0</v>
      </c>
      <c r="H1505">
        <f t="shared" si="309"/>
        <v>0</v>
      </c>
      <c r="I1505">
        <f t="shared" si="310"/>
        <v>0</v>
      </c>
      <c r="J1505">
        <f t="shared" si="311"/>
        <v>0</v>
      </c>
      <c r="K1505" s="4" t="e">
        <f t="shared" si="301"/>
        <v>#N/A</v>
      </c>
      <c r="L1505" t="e">
        <f t="shared" si="302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3"/>
        <v>0</v>
      </c>
      <c r="B1506">
        <f t="shared" si="304"/>
        <v>0</v>
      </c>
      <c r="C1506">
        <f t="shared" si="305"/>
        <v>0</v>
      </c>
      <c r="D1506">
        <f t="shared" si="306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7"/>
        <v>0</v>
      </c>
      <c r="G1506">
        <f t="shared" si="308"/>
        <v>0</v>
      </c>
      <c r="H1506">
        <f t="shared" si="309"/>
        <v>0</v>
      </c>
      <c r="I1506">
        <f t="shared" si="310"/>
        <v>0</v>
      </c>
      <c r="J1506">
        <f t="shared" si="311"/>
        <v>0</v>
      </c>
      <c r="K1506" s="4" t="e">
        <f t="shared" si="301"/>
        <v>#N/A</v>
      </c>
      <c r="L1506" t="e">
        <f t="shared" si="302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3"/>
        <v>0</v>
      </c>
      <c r="B1507">
        <f t="shared" si="304"/>
        <v>0</v>
      </c>
      <c r="C1507">
        <f t="shared" si="305"/>
        <v>0</v>
      </c>
      <c r="D1507">
        <f t="shared" si="306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7"/>
        <v>0</v>
      </c>
      <c r="G1507">
        <f t="shared" si="308"/>
        <v>0</v>
      </c>
      <c r="H1507">
        <f t="shared" si="309"/>
        <v>0</v>
      </c>
      <c r="I1507">
        <f t="shared" si="310"/>
        <v>0</v>
      </c>
      <c r="J1507">
        <f t="shared" si="311"/>
        <v>0</v>
      </c>
      <c r="K1507" s="4" t="e">
        <f t="shared" si="301"/>
        <v>#N/A</v>
      </c>
      <c r="L1507" t="e">
        <f t="shared" si="302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3"/>
        <v>0</v>
      </c>
      <c r="B1508">
        <f t="shared" si="304"/>
        <v>0</v>
      </c>
      <c r="C1508">
        <f t="shared" si="305"/>
        <v>0</v>
      </c>
      <c r="D1508">
        <f t="shared" si="306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7"/>
        <v>0</v>
      </c>
      <c r="G1508">
        <f t="shared" si="308"/>
        <v>0</v>
      </c>
      <c r="H1508">
        <f t="shared" si="309"/>
        <v>0</v>
      </c>
      <c r="I1508">
        <f t="shared" si="310"/>
        <v>0</v>
      </c>
      <c r="J1508">
        <f t="shared" si="311"/>
        <v>0</v>
      </c>
      <c r="K1508" s="4" t="e">
        <f t="shared" si="301"/>
        <v>#N/A</v>
      </c>
      <c r="L1508" t="e">
        <f t="shared" si="302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3"/>
        <v>0</v>
      </c>
      <c r="B1509">
        <f t="shared" si="304"/>
        <v>0</v>
      </c>
      <c r="C1509">
        <f t="shared" si="305"/>
        <v>0</v>
      </c>
      <c r="D1509">
        <f t="shared" si="306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7"/>
        <v>0</v>
      </c>
      <c r="G1509">
        <f t="shared" si="308"/>
        <v>0</v>
      </c>
      <c r="H1509">
        <f t="shared" si="309"/>
        <v>0</v>
      </c>
      <c r="I1509">
        <f t="shared" si="310"/>
        <v>0</v>
      </c>
      <c r="J1509">
        <f t="shared" si="311"/>
        <v>0</v>
      </c>
      <c r="K1509" s="4" t="e">
        <f t="shared" si="301"/>
        <v>#N/A</v>
      </c>
      <c r="L1509" t="e">
        <f t="shared" si="302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3"/>
        <v>0</v>
      </c>
      <c r="B1510">
        <f t="shared" si="304"/>
        <v>0</v>
      </c>
      <c r="C1510">
        <f t="shared" si="305"/>
        <v>0</v>
      </c>
      <c r="D1510">
        <f t="shared" si="306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7"/>
        <v>0</v>
      </c>
      <c r="G1510">
        <f t="shared" si="308"/>
        <v>0</v>
      </c>
      <c r="H1510">
        <f t="shared" si="309"/>
        <v>0</v>
      </c>
      <c r="I1510">
        <f t="shared" si="310"/>
        <v>0</v>
      </c>
      <c r="J1510">
        <f t="shared" si="311"/>
        <v>0</v>
      </c>
      <c r="K1510" s="4" t="e">
        <f t="shared" si="301"/>
        <v>#N/A</v>
      </c>
      <c r="L1510" t="e">
        <f t="shared" si="302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3"/>
        <v>0</v>
      </c>
      <c r="B1511">
        <f t="shared" si="304"/>
        <v>0</v>
      </c>
      <c r="C1511">
        <f t="shared" si="305"/>
        <v>0</v>
      </c>
      <c r="D1511">
        <f t="shared" si="306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7"/>
        <v>0</v>
      </c>
      <c r="G1511">
        <f t="shared" si="308"/>
        <v>0</v>
      </c>
      <c r="H1511">
        <f t="shared" si="309"/>
        <v>0</v>
      </c>
      <c r="I1511">
        <f t="shared" si="310"/>
        <v>0</v>
      </c>
      <c r="J1511">
        <f t="shared" si="311"/>
        <v>0</v>
      </c>
      <c r="K1511" s="4" t="e">
        <f t="shared" si="301"/>
        <v>#N/A</v>
      </c>
      <c r="L1511" t="e">
        <f t="shared" si="302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3"/>
        <v>0</v>
      </c>
      <c r="B1512">
        <f t="shared" si="304"/>
        <v>0</v>
      </c>
      <c r="C1512">
        <f t="shared" si="305"/>
        <v>0</v>
      </c>
      <c r="D1512">
        <f t="shared" si="306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7"/>
        <v>0</v>
      </c>
      <c r="G1512">
        <f t="shared" si="308"/>
        <v>0</v>
      </c>
      <c r="H1512">
        <f t="shared" si="309"/>
        <v>0</v>
      </c>
      <c r="I1512">
        <f t="shared" si="310"/>
        <v>0</v>
      </c>
      <c r="J1512">
        <f t="shared" si="311"/>
        <v>0</v>
      </c>
      <c r="K1512" s="4" t="e">
        <f t="shared" si="301"/>
        <v>#N/A</v>
      </c>
      <c r="L1512" t="e">
        <f t="shared" si="302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3"/>
        <v>0</v>
      </c>
      <c r="B1513">
        <f t="shared" si="304"/>
        <v>0</v>
      </c>
      <c r="C1513">
        <f t="shared" si="305"/>
        <v>0</v>
      </c>
      <c r="D1513">
        <f t="shared" si="306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7"/>
        <v>0</v>
      </c>
      <c r="G1513">
        <f t="shared" si="308"/>
        <v>0</v>
      </c>
      <c r="H1513">
        <f t="shared" si="309"/>
        <v>0</v>
      </c>
      <c r="I1513">
        <f t="shared" si="310"/>
        <v>0</v>
      </c>
      <c r="J1513">
        <f t="shared" si="311"/>
        <v>0</v>
      </c>
      <c r="K1513" s="4" t="e">
        <f t="shared" si="301"/>
        <v>#N/A</v>
      </c>
      <c r="L1513" t="e">
        <f t="shared" si="302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3"/>
        <v>0</v>
      </c>
      <c r="B1514">
        <f t="shared" si="304"/>
        <v>0</v>
      </c>
      <c r="C1514">
        <f t="shared" si="305"/>
        <v>0</v>
      </c>
      <c r="D1514">
        <f t="shared" si="306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7"/>
        <v>0</v>
      </c>
      <c r="G1514">
        <f t="shared" si="308"/>
        <v>0</v>
      </c>
      <c r="H1514">
        <f t="shared" si="309"/>
        <v>0</v>
      </c>
      <c r="I1514">
        <f t="shared" si="310"/>
        <v>0</v>
      </c>
      <c r="J1514">
        <f t="shared" si="311"/>
        <v>0</v>
      </c>
      <c r="K1514" s="4" t="e">
        <f t="shared" si="301"/>
        <v>#N/A</v>
      </c>
      <c r="L1514" t="e">
        <f t="shared" si="302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3"/>
        <v>0</v>
      </c>
      <c r="B1515">
        <f t="shared" si="304"/>
        <v>0</v>
      </c>
      <c r="C1515">
        <f t="shared" si="305"/>
        <v>0</v>
      </c>
      <c r="D1515">
        <f t="shared" si="306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7"/>
        <v>0</v>
      </c>
      <c r="G1515">
        <f t="shared" si="308"/>
        <v>0</v>
      </c>
      <c r="H1515">
        <f t="shared" si="309"/>
        <v>0</v>
      </c>
      <c r="I1515">
        <f t="shared" si="310"/>
        <v>0</v>
      </c>
      <c r="J1515">
        <f t="shared" si="311"/>
        <v>0</v>
      </c>
      <c r="K1515" s="4" t="e">
        <f t="shared" si="301"/>
        <v>#N/A</v>
      </c>
      <c r="L1515" t="e">
        <f t="shared" si="302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3"/>
        <v>0</v>
      </c>
      <c r="B1516">
        <f t="shared" si="304"/>
        <v>0</v>
      </c>
      <c r="C1516">
        <f t="shared" si="305"/>
        <v>0</v>
      </c>
      <c r="D1516">
        <f t="shared" si="306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7"/>
        <v>0</v>
      </c>
      <c r="G1516">
        <f t="shared" si="308"/>
        <v>0</v>
      </c>
      <c r="H1516">
        <f t="shared" si="309"/>
        <v>0</v>
      </c>
      <c r="I1516">
        <f t="shared" si="310"/>
        <v>0</v>
      </c>
      <c r="J1516">
        <f t="shared" si="311"/>
        <v>0</v>
      </c>
      <c r="K1516" s="4" t="e">
        <f t="shared" ref="K1516:K1579" si="314">IF(LEFT(B1516,3)="DBM",0,VLOOKUP(E1516,tabela,2,FALSE))</f>
        <v>#N/A</v>
      </c>
      <c r="L1516" t="e">
        <f t="shared" ref="L1516:L1579" si="315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3"/>
        <v>0</v>
      </c>
      <c r="B1517">
        <f t="shared" si="304"/>
        <v>0</v>
      </c>
      <c r="C1517">
        <f t="shared" si="305"/>
        <v>0</v>
      </c>
      <c r="D1517">
        <f t="shared" si="306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7"/>
        <v>0</v>
      </c>
      <c r="G1517">
        <f t="shared" si="308"/>
        <v>0</v>
      </c>
      <c r="H1517">
        <f t="shared" si="309"/>
        <v>0</v>
      </c>
      <c r="I1517">
        <f t="shared" si="310"/>
        <v>0</v>
      </c>
      <c r="J1517">
        <f t="shared" si="311"/>
        <v>0</v>
      </c>
      <c r="K1517" s="4" t="e">
        <f t="shared" si="314"/>
        <v>#N/A</v>
      </c>
      <c r="L1517" t="e">
        <f t="shared" si="315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3"/>
        <v>0</v>
      </c>
      <c r="B1518">
        <f t="shared" si="304"/>
        <v>0</v>
      </c>
      <c r="C1518">
        <f t="shared" si="305"/>
        <v>0</v>
      </c>
      <c r="D1518">
        <f t="shared" si="306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7"/>
        <v>0</v>
      </c>
      <c r="G1518">
        <f t="shared" si="308"/>
        <v>0</v>
      </c>
      <c r="H1518">
        <f t="shared" si="309"/>
        <v>0</v>
      </c>
      <c r="I1518">
        <f t="shared" si="310"/>
        <v>0</v>
      </c>
      <c r="J1518">
        <f t="shared" si="311"/>
        <v>0</v>
      </c>
      <c r="K1518" s="4" t="e">
        <f t="shared" si="314"/>
        <v>#N/A</v>
      </c>
      <c r="L1518" t="e">
        <f t="shared" si="315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3"/>
        <v>0</v>
      </c>
      <c r="B1519">
        <f t="shared" si="304"/>
        <v>0</v>
      </c>
      <c r="C1519">
        <f t="shared" si="305"/>
        <v>0</v>
      </c>
      <c r="D1519">
        <f t="shared" si="306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7"/>
        <v>0</v>
      </c>
      <c r="G1519">
        <f t="shared" si="308"/>
        <v>0</v>
      </c>
      <c r="H1519">
        <f t="shared" si="309"/>
        <v>0</v>
      </c>
      <c r="I1519">
        <f t="shared" si="310"/>
        <v>0</v>
      </c>
      <c r="J1519">
        <f t="shared" si="311"/>
        <v>0</v>
      </c>
      <c r="K1519" s="4" t="e">
        <f t="shared" si="314"/>
        <v>#N/A</v>
      </c>
      <c r="L1519" t="e">
        <f t="shared" si="315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3"/>
        <v>0</v>
      </c>
      <c r="B1520">
        <f t="shared" si="304"/>
        <v>0</v>
      </c>
      <c r="C1520">
        <f t="shared" si="305"/>
        <v>0</v>
      </c>
      <c r="D1520">
        <f t="shared" si="306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7"/>
        <v>0</v>
      </c>
      <c r="G1520">
        <f t="shared" si="308"/>
        <v>0</v>
      </c>
      <c r="H1520">
        <f t="shared" si="309"/>
        <v>0</v>
      </c>
      <c r="I1520">
        <f t="shared" si="310"/>
        <v>0</v>
      </c>
      <c r="J1520">
        <f t="shared" si="311"/>
        <v>0</v>
      </c>
      <c r="K1520" s="4" t="e">
        <f t="shared" si="314"/>
        <v>#N/A</v>
      </c>
      <c r="L1520" t="e">
        <f t="shared" si="315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3"/>
        <v>0</v>
      </c>
      <c r="B1521">
        <f t="shared" si="304"/>
        <v>0</v>
      </c>
      <c r="C1521">
        <f t="shared" si="305"/>
        <v>0</v>
      </c>
      <c r="D1521">
        <f t="shared" si="306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7"/>
        <v>0</v>
      </c>
      <c r="G1521">
        <f t="shared" si="308"/>
        <v>0</v>
      </c>
      <c r="H1521">
        <f t="shared" si="309"/>
        <v>0</v>
      </c>
      <c r="I1521">
        <f t="shared" si="310"/>
        <v>0</v>
      </c>
      <c r="J1521">
        <f t="shared" si="311"/>
        <v>0</v>
      </c>
      <c r="K1521" s="4" t="e">
        <f t="shared" si="314"/>
        <v>#N/A</v>
      </c>
      <c r="L1521" t="e">
        <f t="shared" si="315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3"/>
        <v>0</v>
      </c>
      <c r="B1522">
        <f t="shared" si="304"/>
        <v>0</v>
      </c>
      <c r="C1522">
        <f t="shared" si="305"/>
        <v>0</v>
      </c>
      <c r="D1522">
        <f t="shared" si="306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7"/>
        <v>0</v>
      </c>
      <c r="G1522">
        <f t="shared" si="308"/>
        <v>0</v>
      </c>
      <c r="H1522">
        <f t="shared" si="309"/>
        <v>0</v>
      </c>
      <c r="I1522">
        <f t="shared" si="310"/>
        <v>0</v>
      </c>
      <c r="J1522">
        <f t="shared" si="311"/>
        <v>0</v>
      </c>
      <c r="K1522" s="4" t="e">
        <f t="shared" si="314"/>
        <v>#N/A</v>
      </c>
      <c r="L1522" t="e">
        <f t="shared" si="315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3"/>
        <v>0</v>
      </c>
      <c r="B1523">
        <f t="shared" si="304"/>
        <v>0</v>
      </c>
      <c r="C1523">
        <f t="shared" si="305"/>
        <v>0</v>
      </c>
      <c r="D1523">
        <f t="shared" si="306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7"/>
        <v>0</v>
      </c>
      <c r="G1523">
        <f t="shared" si="308"/>
        <v>0</v>
      </c>
      <c r="H1523">
        <f t="shared" si="309"/>
        <v>0</v>
      </c>
      <c r="I1523">
        <f t="shared" si="310"/>
        <v>0</v>
      </c>
      <c r="J1523">
        <f t="shared" si="311"/>
        <v>0</v>
      </c>
      <c r="K1523" s="4" t="e">
        <f t="shared" si="314"/>
        <v>#N/A</v>
      </c>
      <c r="L1523" t="e">
        <f t="shared" si="315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3"/>
        <v>0</v>
      </c>
      <c r="B1524">
        <f t="shared" si="304"/>
        <v>0</v>
      </c>
      <c r="C1524">
        <f t="shared" si="305"/>
        <v>0</v>
      </c>
      <c r="D1524">
        <f t="shared" si="306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7"/>
        <v>0</v>
      </c>
      <c r="G1524">
        <f t="shared" si="308"/>
        <v>0</v>
      </c>
      <c r="H1524">
        <f t="shared" si="309"/>
        <v>0</v>
      </c>
      <c r="I1524">
        <f t="shared" si="310"/>
        <v>0</v>
      </c>
      <c r="J1524">
        <f t="shared" si="311"/>
        <v>0</v>
      </c>
      <c r="K1524" s="4" t="e">
        <f t="shared" si="314"/>
        <v>#N/A</v>
      </c>
      <c r="L1524" t="e">
        <f t="shared" si="315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3"/>
        <v>0</v>
      </c>
      <c r="B1525">
        <f t="shared" si="304"/>
        <v>0</v>
      </c>
      <c r="C1525">
        <f t="shared" si="305"/>
        <v>0</v>
      </c>
      <c r="D1525">
        <f t="shared" si="306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7"/>
        <v>0</v>
      </c>
      <c r="G1525">
        <f t="shared" si="308"/>
        <v>0</v>
      </c>
      <c r="H1525">
        <f t="shared" si="309"/>
        <v>0</v>
      </c>
      <c r="I1525">
        <f t="shared" si="310"/>
        <v>0</v>
      </c>
      <c r="J1525">
        <f t="shared" si="311"/>
        <v>0</v>
      </c>
      <c r="K1525" s="4" t="e">
        <f t="shared" si="314"/>
        <v>#N/A</v>
      </c>
      <c r="L1525" t="e">
        <f t="shared" si="315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3"/>
        <v>0</v>
      </c>
      <c r="B1526">
        <f t="shared" si="304"/>
        <v>0</v>
      </c>
      <c r="C1526">
        <f t="shared" si="305"/>
        <v>0</v>
      </c>
      <c r="D1526">
        <f t="shared" si="306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7"/>
        <v>0</v>
      </c>
      <c r="G1526">
        <f t="shared" si="308"/>
        <v>0</v>
      </c>
      <c r="H1526">
        <f t="shared" si="309"/>
        <v>0</v>
      </c>
      <c r="I1526">
        <f t="shared" si="310"/>
        <v>0</v>
      </c>
      <c r="J1526">
        <f t="shared" si="311"/>
        <v>0</v>
      </c>
      <c r="K1526" s="4" t="e">
        <f t="shared" si="314"/>
        <v>#N/A</v>
      </c>
      <c r="L1526" t="e">
        <f t="shared" si="315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3"/>
        <v>0</v>
      </c>
      <c r="B1527">
        <f t="shared" si="304"/>
        <v>0</v>
      </c>
      <c r="C1527">
        <f t="shared" si="305"/>
        <v>0</v>
      </c>
      <c r="D1527">
        <f t="shared" si="306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7"/>
        <v>0</v>
      </c>
      <c r="G1527">
        <f t="shared" si="308"/>
        <v>0</v>
      </c>
      <c r="H1527">
        <f t="shared" si="309"/>
        <v>0</v>
      </c>
      <c r="I1527">
        <f t="shared" si="310"/>
        <v>0</v>
      </c>
      <c r="J1527">
        <f t="shared" si="311"/>
        <v>0</v>
      </c>
      <c r="K1527" s="4" t="e">
        <f t="shared" si="314"/>
        <v>#N/A</v>
      </c>
      <c r="L1527" t="e">
        <f t="shared" si="315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3"/>
        <v>0</v>
      </c>
      <c r="B1528">
        <f t="shared" si="304"/>
        <v>0</v>
      </c>
      <c r="C1528">
        <f t="shared" si="305"/>
        <v>0</v>
      </c>
      <c r="D1528">
        <f t="shared" si="306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7"/>
        <v>0</v>
      </c>
      <c r="G1528">
        <f t="shared" si="308"/>
        <v>0</v>
      </c>
      <c r="H1528">
        <f t="shared" si="309"/>
        <v>0</v>
      </c>
      <c r="I1528">
        <f t="shared" si="310"/>
        <v>0</v>
      </c>
      <c r="J1528">
        <f t="shared" si="311"/>
        <v>0</v>
      </c>
      <c r="K1528" s="4" t="e">
        <f t="shared" si="314"/>
        <v>#N/A</v>
      </c>
      <c r="L1528" t="e">
        <f t="shared" si="315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3"/>
        <v>0</v>
      </c>
      <c r="B1529">
        <f t="shared" si="304"/>
        <v>0</v>
      </c>
      <c r="C1529">
        <f t="shared" si="305"/>
        <v>0</v>
      </c>
      <c r="D1529">
        <f t="shared" si="306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7"/>
        <v>0</v>
      </c>
      <c r="G1529">
        <f t="shared" si="308"/>
        <v>0</v>
      </c>
      <c r="H1529">
        <f t="shared" si="309"/>
        <v>0</v>
      </c>
      <c r="I1529">
        <f t="shared" si="310"/>
        <v>0</v>
      </c>
      <c r="J1529">
        <f t="shared" si="311"/>
        <v>0</v>
      </c>
      <c r="K1529" s="4" t="e">
        <f t="shared" si="314"/>
        <v>#N/A</v>
      </c>
      <c r="L1529" t="e">
        <f t="shared" si="315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3"/>
        <v>0</v>
      </c>
      <c r="B1530">
        <f t="shared" si="304"/>
        <v>0</v>
      </c>
      <c r="C1530">
        <f t="shared" si="305"/>
        <v>0</v>
      </c>
      <c r="D1530">
        <f t="shared" si="306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7"/>
        <v>0</v>
      </c>
      <c r="G1530">
        <f t="shared" si="308"/>
        <v>0</v>
      </c>
      <c r="H1530">
        <f t="shared" si="309"/>
        <v>0</v>
      </c>
      <c r="I1530">
        <f t="shared" si="310"/>
        <v>0</v>
      </c>
      <c r="J1530">
        <f t="shared" si="311"/>
        <v>0</v>
      </c>
      <c r="K1530" s="4" t="e">
        <f t="shared" si="314"/>
        <v>#N/A</v>
      </c>
      <c r="L1530" t="e">
        <f t="shared" si="315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3"/>
        <v>0</v>
      </c>
      <c r="B1531">
        <f t="shared" si="304"/>
        <v>0</v>
      </c>
      <c r="C1531">
        <f t="shared" si="305"/>
        <v>0</v>
      </c>
      <c r="D1531">
        <f t="shared" si="306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7"/>
        <v>0</v>
      </c>
      <c r="G1531">
        <f t="shared" si="308"/>
        <v>0</v>
      </c>
      <c r="H1531">
        <f t="shared" si="309"/>
        <v>0</v>
      </c>
      <c r="I1531">
        <f t="shared" si="310"/>
        <v>0</v>
      </c>
      <c r="J1531">
        <f t="shared" si="311"/>
        <v>0</v>
      </c>
      <c r="K1531" s="4" t="e">
        <f t="shared" si="314"/>
        <v>#N/A</v>
      </c>
      <c r="L1531" t="e">
        <f t="shared" si="315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3"/>
        <v>0</v>
      </c>
      <c r="B1532">
        <f t="shared" si="304"/>
        <v>0</v>
      </c>
      <c r="C1532">
        <f t="shared" si="305"/>
        <v>0</v>
      </c>
      <c r="D1532">
        <f t="shared" si="306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7"/>
        <v>0</v>
      </c>
      <c r="G1532">
        <f t="shared" si="308"/>
        <v>0</v>
      </c>
      <c r="H1532">
        <f t="shared" si="309"/>
        <v>0</v>
      </c>
      <c r="I1532">
        <f t="shared" si="310"/>
        <v>0</v>
      </c>
      <c r="J1532">
        <f t="shared" si="311"/>
        <v>0</v>
      </c>
      <c r="K1532" s="4" t="e">
        <f t="shared" si="314"/>
        <v>#N/A</v>
      </c>
      <c r="L1532" t="e">
        <f t="shared" si="315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3"/>
        <v>0</v>
      </c>
      <c r="B1533">
        <f t="shared" si="304"/>
        <v>0</v>
      </c>
      <c r="C1533">
        <f t="shared" si="305"/>
        <v>0</v>
      </c>
      <c r="D1533">
        <f t="shared" si="306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7"/>
        <v>0</v>
      </c>
      <c r="G1533">
        <f t="shared" si="308"/>
        <v>0</v>
      </c>
      <c r="H1533">
        <f t="shared" si="309"/>
        <v>0</v>
      </c>
      <c r="I1533">
        <f t="shared" si="310"/>
        <v>0</v>
      </c>
      <c r="J1533">
        <f t="shared" si="311"/>
        <v>0</v>
      </c>
      <c r="K1533" s="4" t="e">
        <f t="shared" si="314"/>
        <v>#N/A</v>
      </c>
      <c r="L1533" t="e">
        <f t="shared" si="315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3"/>
        <v>0</v>
      </c>
      <c r="B1534">
        <f t="shared" si="304"/>
        <v>0</v>
      </c>
      <c r="C1534">
        <f t="shared" si="305"/>
        <v>0</v>
      </c>
      <c r="D1534">
        <f t="shared" si="306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7"/>
        <v>0</v>
      </c>
      <c r="G1534">
        <f t="shared" si="308"/>
        <v>0</v>
      </c>
      <c r="H1534">
        <f t="shared" si="309"/>
        <v>0</v>
      </c>
      <c r="I1534">
        <f t="shared" si="310"/>
        <v>0</v>
      </c>
      <c r="J1534">
        <f t="shared" si="311"/>
        <v>0</v>
      </c>
      <c r="K1534" s="4" t="e">
        <f t="shared" si="314"/>
        <v>#N/A</v>
      </c>
      <c r="L1534" t="e">
        <f t="shared" si="315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3"/>
        <v>0</v>
      </c>
      <c r="B1535">
        <f t="shared" si="304"/>
        <v>0</v>
      </c>
      <c r="C1535">
        <f t="shared" si="305"/>
        <v>0</v>
      </c>
      <c r="D1535">
        <f t="shared" si="306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7"/>
        <v>0</v>
      </c>
      <c r="G1535">
        <f t="shared" si="308"/>
        <v>0</v>
      </c>
      <c r="H1535">
        <f t="shared" si="309"/>
        <v>0</v>
      </c>
      <c r="I1535">
        <f t="shared" si="310"/>
        <v>0</v>
      </c>
      <c r="J1535">
        <f t="shared" si="311"/>
        <v>0</v>
      </c>
      <c r="K1535" s="4" t="e">
        <f t="shared" si="314"/>
        <v>#N/A</v>
      </c>
      <c r="L1535" t="e">
        <f t="shared" si="315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3"/>
        <v>0</v>
      </c>
      <c r="B1536">
        <f t="shared" si="304"/>
        <v>0</v>
      </c>
      <c r="C1536">
        <f t="shared" si="305"/>
        <v>0</v>
      </c>
      <c r="D1536">
        <f t="shared" si="306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7"/>
        <v>0</v>
      </c>
      <c r="G1536">
        <f t="shared" si="308"/>
        <v>0</v>
      </c>
      <c r="H1536">
        <f t="shared" si="309"/>
        <v>0</v>
      </c>
      <c r="I1536">
        <f t="shared" si="310"/>
        <v>0</v>
      </c>
      <c r="J1536">
        <f t="shared" si="311"/>
        <v>0</v>
      </c>
      <c r="K1536" s="4" t="e">
        <f t="shared" si="314"/>
        <v>#N/A</v>
      </c>
      <c r="L1536" t="e">
        <f t="shared" si="315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3"/>
        <v>0</v>
      </c>
      <c r="B1537">
        <f t="shared" si="304"/>
        <v>0</v>
      </c>
      <c r="C1537">
        <f t="shared" si="305"/>
        <v>0</v>
      </c>
      <c r="D1537">
        <f t="shared" si="306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7"/>
        <v>0</v>
      </c>
      <c r="G1537">
        <f t="shared" si="308"/>
        <v>0</v>
      </c>
      <c r="H1537">
        <f t="shared" si="309"/>
        <v>0</v>
      </c>
      <c r="I1537">
        <f t="shared" si="310"/>
        <v>0</v>
      </c>
      <c r="J1537">
        <f t="shared" si="311"/>
        <v>0</v>
      </c>
      <c r="K1537" s="4" t="e">
        <f t="shared" si="314"/>
        <v>#N/A</v>
      </c>
      <c r="L1537" t="e">
        <f t="shared" si="315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6">bd_campaign</f>
        <v>0</v>
      </c>
      <c r="B1538">
        <f t="shared" ref="B1538:B1601" si="317">bd_site</f>
        <v>0</v>
      </c>
      <c r="C1538">
        <f t="shared" ref="C1538:C1601" si="318">bd_placement</f>
        <v>0</v>
      </c>
      <c r="D1538">
        <f t="shared" ref="D1538:D1601" si="319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20">bd_ad</f>
        <v>0</v>
      </c>
      <c r="G1538">
        <f t="shared" ref="G1538:G1601" si="321">bd_adid</f>
        <v>0</v>
      </c>
      <c r="H1538">
        <f t="shared" ref="H1538:H1601" si="322">bd_creativetype</f>
        <v>0</v>
      </c>
      <c r="I1538">
        <f t="shared" ref="I1538:I1601" si="323">bd_impression</f>
        <v>0</v>
      </c>
      <c r="J1538">
        <f t="shared" ref="J1538:J1601" si="324">bd_clicks</f>
        <v>0</v>
      </c>
      <c r="K1538" s="4" t="e">
        <f t="shared" si="314"/>
        <v>#N/A</v>
      </c>
      <c r="L1538" t="e">
        <f t="shared" si="315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6"/>
        <v>0</v>
      </c>
      <c r="B1539">
        <f t="shared" si="317"/>
        <v>0</v>
      </c>
      <c r="C1539">
        <f t="shared" si="318"/>
        <v>0</v>
      </c>
      <c r="D1539">
        <f t="shared" si="319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20"/>
        <v>0</v>
      </c>
      <c r="G1539">
        <f t="shared" si="321"/>
        <v>0</v>
      </c>
      <c r="H1539">
        <f t="shared" si="322"/>
        <v>0</v>
      </c>
      <c r="I1539">
        <f t="shared" si="323"/>
        <v>0</v>
      </c>
      <c r="J1539">
        <f t="shared" si="324"/>
        <v>0</v>
      </c>
      <c r="K1539" s="4" t="e">
        <f t="shared" si="314"/>
        <v>#N/A</v>
      </c>
      <c r="L1539" t="e">
        <f t="shared" si="315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6"/>
        <v>0</v>
      </c>
      <c r="B1540">
        <f t="shared" si="317"/>
        <v>0</v>
      </c>
      <c r="C1540">
        <f t="shared" si="318"/>
        <v>0</v>
      </c>
      <c r="D1540">
        <f t="shared" si="319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20"/>
        <v>0</v>
      </c>
      <c r="G1540">
        <f t="shared" si="321"/>
        <v>0</v>
      </c>
      <c r="H1540">
        <f t="shared" si="322"/>
        <v>0</v>
      </c>
      <c r="I1540">
        <f t="shared" si="323"/>
        <v>0</v>
      </c>
      <c r="J1540">
        <f t="shared" si="324"/>
        <v>0</v>
      </c>
      <c r="K1540" s="4" t="e">
        <f t="shared" si="314"/>
        <v>#N/A</v>
      </c>
      <c r="L1540" t="e">
        <f t="shared" si="315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6"/>
        <v>0</v>
      </c>
      <c r="B1541">
        <f t="shared" si="317"/>
        <v>0</v>
      </c>
      <c r="C1541">
        <f t="shared" si="318"/>
        <v>0</v>
      </c>
      <c r="D1541">
        <f t="shared" si="319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20"/>
        <v>0</v>
      </c>
      <c r="G1541">
        <f t="shared" si="321"/>
        <v>0</v>
      </c>
      <c r="H1541">
        <f t="shared" si="322"/>
        <v>0</v>
      </c>
      <c r="I1541">
        <f t="shared" si="323"/>
        <v>0</v>
      </c>
      <c r="J1541">
        <f t="shared" si="324"/>
        <v>0</v>
      </c>
      <c r="K1541" s="4" t="e">
        <f t="shared" si="314"/>
        <v>#N/A</v>
      </c>
      <c r="L1541" t="e">
        <f t="shared" si="315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6"/>
        <v>0</v>
      </c>
      <c r="B1542">
        <f t="shared" si="317"/>
        <v>0</v>
      </c>
      <c r="C1542">
        <f t="shared" si="318"/>
        <v>0</v>
      </c>
      <c r="D1542">
        <f t="shared" si="319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20"/>
        <v>0</v>
      </c>
      <c r="G1542">
        <f t="shared" si="321"/>
        <v>0</v>
      </c>
      <c r="H1542">
        <f t="shared" si="322"/>
        <v>0</v>
      </c>
      <c r="I1542">
        <f t="shared" si="323"/>
        <v>0</v>
      </c>
      <c r="J1542">
        <f t="shared" si="324"/>
        <v>0</v>
      </c>
      <c r="K1542" s="4" t="e">
        <f t="shared" si="314"/>
        <v>#N/A</v>
      </c>
      <c r="L1542" t="e">
        <f t="shared" si="315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6"/>
        <v>0</v>
      </c>
      <c r="B1543">
        <f t="shared" si="317"/>
        <v>0</v>
      </c>
      <c r="C1543">
        <f t="shared" si="318"/>
        <v>0</v>
      </c>
      <c r="D1543">
        <f t="shared" si="319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20"/>
        <v>0</v>
      </c>
      <c r="G1543">
        <f t="shared" si="321"/>
        <v>0</v>
      </c>
      <c r="H1543">
        <f t="shared" si="322"/>
        <v>0</v>
      </c>
      <c r="I1543">
        <f t="shared" si="323"/>
        <v>0</v>
      </c>
      <c r="J1543">
        <f t="shared" si="324"/>
        <v>0</v>
      </c>
      <c r="K1543" s="4" t="e">
        <f t="shared" si="314"/>
        <v>#N/A</v>
      </c>
      <c r="L1543" t="e">
        <f t="shared" si="315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6"/>
        <v>0</v>
      </c>
      <c r="B1544">
        <f t="shared" si="317"/>
        <v>0</v>
      </c>
      <c r="C1544">
        <f t="shared" si="318"/>
        <v>0</v>
      </c>
      <c r="D1544">
        <f t="shared" si="319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20"/>
        <v>0</v>
      </c>
      <c r="G1544">
        <f t="shared" si="321"/>
        <v>0</v>
      </c>
      <c r="H1544">
        <f t="shared" si="322"/>
        <v>0</v>
      </c>
      <c r="I1544">
        <f t="shared" si="323"/>
        <v>0</v>
      </c>
      <c r="J1544">
        <f t="shared" si="324"/>
        <v>0</v>
      </c>
      <c r="K1544" s="4" t="e">
        <f t="shared" si="314"/>
        <v>#N/A</v>
      </c>
      <c r="L1544" t="e">
        <f t="shared" si="315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6"/>
        <v>0</v>
      </c>
      <c r="B1545">
        <f t="shared" si="317"/>
        <v>0</v>
      </c>
      <c r="C1545">
        <f t="shared" si="318"/>
        <v>0</v>
      </c>
      <c r="D1545">
        <f t="shared" si="319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20"/>
        <v>0</v>
      </c>
      <c r="G1545">
        <f t="shared" si="321"/>
        <v>0</v>
      </c>
      <c r="H1545">
        <f t="shared" si="322"/>
        <v>0</v>
      </c>
      <c r="I1545">
        <f t="shared" si="323"/>
        <v>0</v>
      </c>
      <c r="J1545">
        <f t="shared" si="324"/>
        <v>0</v>
      </c>
      <c r="K1545" s="4" t="e">
        <f t="shared" si="314"/>
        <v>#N/A</v>
      </c>
      <c r="L1545" t="e">
        <f t="shared" si="315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6"/>
        <v>0</v>
      </c>
      <c r="B1546">
        <f t="shared" si="317"/>
        <v>0</v>
      </c>
      <c r="C1546">
        <f t="shared" si="318"/>
        <v>0</v>
      </c>
      <c r="D1546">
        <f t="shared" si="319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20"/>
        <v>0</v>
      </c>
      <c r="G1546">
        <f t="shared" si="321"/>
        <v>0</v>
      </c>
      <c r="H1546">
        <f t="shared" si="322"/>
        <v>0</v>
      </c>
      <c r="I1546">
        <f t="shared" si="323"/>
        <v>0</v>
      </c>
      <c r="J1546">
        <f t="shared" si="324"/>
        <v>0</v>
      </c>
      <c r="K1546" s="4" t="e">
        <f t="shared" si="314"/>
        <v>#N/A</v>
      </c>
      <c r="L1546" t="e">
        <f t="shared" si="315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6"/>
        <v>0</v>
      </c>
      <c r="B1547">
        <f t="shared" si="317"/>
        <v>0</v>
      </c>
      <c r="C1547">
        <f t="shared" si="318"/>
        <v>0</v>
      </c>
      <c r="D1547">
        <f t="shared" si="319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20"/>
        <v>0</v>
      </c>
      <c r="G1547">
        <f t="shared" si="321"/>
        <v>0</v>
      </c>
      <c r="H1547">
        <f t="shared" si="322"/>
        <v>0</v>
      </c>
      <c r="I1547">
        <f t="shared" si="323"/>
        <v>0</v>
      </c>
      <c r="J1547">
        <f t="shared" si="324"/>
        <v>0</v>
      </c>
      <c r="K1547" s="4" t="e">
        <f t="shared" si="314"/>
        <v>#N/A</v>
      </c>
      <c r="L1547" t="e">
        <f t="shared" si="315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6"/>
        <v>0</v>
      </c>
      <c r="B1548">
        <f t="shared" si="317"/>
        <v>0</v>
      </c>
      <c r="C1548">
        <f t="shared" si="318"/>
        <v>0</v>
      </c>
      <c r="D1548">
        <f t="shared" si="319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20"/>
        <v>0</v>
      </c>
      <c r="G1548">
        <f t="shared" si="321"/>
        <v>0</v>
      </c>
      <c r="H1548">
        <f t="shared" si="322"/>
        <v>0</v>
      </c>
      <c r="I1548">
        <f t="shared" si="323"/>
        <v>0</v>
      </c>
      <c r="J1548">
        <f t="shared" si="324"/>
        <v>0</v>
      </c>
      <c r="K1548" s="4" t="e">
        <f t="shared" si="314"/>
        <v>#N/A</v>
      </c>
      <c r="L1548" t="e">
        <f t="shared" si="315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6"/>
        <v>0</v>
      </c>
      <c r="B1549">
        <f t="shared" si="317"/>
        <v>0</v>
      </c>
      <c r="C1549">
        <f t="shared" si="318"/>
        <v>0</v>
      </c>
      <c r="D1549">
        <f t="shared" si="319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20"/>
        <v>0</v>
      </c>
      <c r="G1549">
        <f t="shared" si="321"/>
        <v>0</v>
      </c>
      <c r="H1549">
        <f t="shared" si="322"/>
        <v>0</v>
      </c>
      <c r="I1549">
        <f t="shared" si="323"/>
        <v>0</v>
      </c>
      <c r="J1549">
        <f t="shared" si="324"/>
        <v>0</v>
      </c>
      <c r="K1549" s="4" t="e">
        <f t="shared" si="314"/>
        <v>#N/A</v>
      </c>
      <c r="L1549" t="e">
        <f t="shared" si="315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6"/>
        <v>0</v>
      </c>
      <c r="B1550">
        <f t="shared" si="317"/>
        <v>0</v>
      </c>
      <c r="C1550">
        <f t="shared" si="318"/>
        <v>0</v>
      </c>
      <c r="D1550">
        <f t="shared" si="319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20"/>
        <v>0</v>
      </c>
      <c r="G1550">
        <f t="shared" si="321"/>
        <v>0</v>
      </c>
      <c r="H1550">
        <f t="shared" si="322"/>
        <v>0</v>
      </c>
      <c r="I1550">
        <f t="shared" si="323"/>
        <v>0</v>
      </c>
      <c r="J1550">
        <f t="shared" si="324"/>
        <v>0</v>
      </c>
      <c r="K1550" s="4" t="e">
        <f t="shared" si="314"/>
        <v>#N/A</v>
      </c>
      <c r="L1550" t="e">
        <f t="shared" si="315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6"/>
        <v>0</v>
      </c>
      <c r="B1551">
        <f t="shared" si="317"/>
        <v>0</v>
      </c>
      <c r="C1551">
        <f t="shared" si="318"/>
        <v>0</v>
      </c>
      <c r="D1551">
        <f t="shared" si="319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20"/>
        <v>0</v>
      </c>
      <c r="G1551">
        <f t="shared" si="321"/>
        <v>0</v>
      </c>
      <c r="H1551">
        <f t="shared" si="322"/>
        <v>0</v>
      </c>
      <c r="I1551">
        <f t="shared" si="323"/>
        <v>0</v>
      </c>
      <c r="J1551">
        <f t="shared" si="324"/>
        <v>0</v>
      </c>
      <c r="K1551" s="4" t="e">
        <f t="shared" si="314"/>
        <v>#N/A</v>
      </c>
      <c r="L1551" t="e">
        <f t="shared" si="315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6"/>
        <v>0</v>
      </c>
      <c r="B1552">
        <f t="shared" si="317"/>
        <v>0</v>
      </c>
      <c r="C1552">
        <f t="shared" si="318"/>
        <v>0</v>
      </c>
      <c r="D1552">
        <f t="shared" si="319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20"/>
        <v>0</v>
      </c>
      <c r="G1552">
        <f t="shared" si="321"/>
        <v>0</v>
      </c>
      <c r="H1552">
        <f t="shared" si="322"/>
        <v>0</v>
      </c>
      <c r="I1552">
        <f t="shared" si="323"/>
        <v>0</v>
      </c>
      <c r="J1552">
        <f t="shared" si="324"/>
        <v>0</v>
      </c>
      <c r="K1552" s="4" t="e">
        <f t="shared" si="314"/>
        <v>#N/A</v>
      </c>
      <c r="L1552" t="e">
        <f t="shared" si="315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6"/>
        <v>0</v>
      </c>
      <c r="B1553">
        <f t="shared" si="317"/>
        <v>0</v>
      </c>
      <c r="C1553">
        <f t="shared" si="318"/>
        <v>0</v>
      </c>
      <c r="D1553">
        <f t="shared" si="319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20"/>
        <v>0</v>
      </c>
      <c r="G1553">
        <f t="shared" si="321"/>
        <v>0</v>
      </c>
      <c r="H1553">
        <f t="shared" si="322"/>
        <v>0</v>
      </c>
      <c r="I1553">
        <f t="shared" si="323"/>
        <v>0</v>
      </c>
      <c r="J1553">
        <f t="shared" si="324"/>
        <v>0</v>
      </c>
      <c r="K1553" s="4" t="e">
        <f t="shared" si="314"/>
        <v>#N/A</v>
      </c>
      <c r="L1553" t="e">
        <f t="shared" si="315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6"/>
        <v>0</v>
      </c>
      <c r="B1554">
        <f t="shared" si="317"/>
        <v>0</v>
      </c>
      <c r="C1554">
        <f t="shared" si="318"/>
        <v>0</v>
      </c>
      <c r="D1554">
        <f t="shared" si="319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20"/>
        <v>0</v>
      </c>
      <c r="G1554">
        <f t="shared" si="321"/>
        <v>0</v>
      </c>
      <c r="H1554">
        <f t="shared" si="322"/>
        <v>0</v>
      </c>
      <c r="I1554">
        <f t="shared" si="323"/>
        <v>0</v>
      </c>
      <c r="J1554">
        <f t="shared" si="324"/>
        <v>0</v>
      </c>
      <c r="K1554" s="4" t="e">
        <f t="shared" si="314"/>
        <v>#N/A</v>
      </c>
      <c r="L1554" t="e">
        <f t="shared" si="315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6"/>
        <v>0</v>
      </c>
      <c r="B1555">
        <f t="shared" si="317"/>
        <v>0</v>
      </c>
      <c r="C1555">
        <f t="shared" si="318"/>
        <v>0</v>
      </c>
      <c r="D1555">
        <f t="shared" si="319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20"/>
        <v>0</v>
      </c>
      <c r="G1555">
        <f t="shared" si="321"/>
        <v>0</v>
      </c>
      <c r="H1555">
        <f t="shared" si="322"/>
        <v>0</v>
      </c>
      <c r="I1555">
        <f t="shared" si="323"/>
        <v>0</v>
      </c>
      <c r="J1555">
        <f t="shared" si="324"/>
        <v>0</v>
      </c>
      <c r="K1555" s="4" t="e">
        <f t="shared" si="314"/>
        <v>#N/A</v>
      </c>
      <c r="L1555" t="e">
        <f t="shared" si="315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6"/>
        <v>0</v>
      </c>
      <c r="B1556">
        <f t="shared" si="317"/>
        <v>0</v>
      </c>
      <c r="C1556">
        <f t="shared" si="318"/>
        <v>0</v>
      </c>
      <c r="D1556">
        <f t="shared" si="319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20"/>
        <v>0</v>
      </c>
      <c r="G1556">
        <f t="shared" si="321"/>
        <v>0</v>
      </c>
      <c r="H1556">
        <f t="shared" si="322"/>
        <v>0</v>
      </c>
      <c r="I1556">
        <f t="shared" si="323"/>
        <v>0</v>
      </c>
      <c r="J1556">
        <f t="shared" si="324"/>
        <v>0</v>
      </c>
      <c r="K1556" s="4" t="e">
        <f t="shared" si="314"/>
        <v>#N/A</v>
      </c>
      <c r="L1556" t="e">
        <f t="shared" si="315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6"/>
        <v>0</v>
      </c>
      <c r="B1557">
        <f t="shared" si="317"/>
        <v>0</v>
      </c>
      <c r="C1557">
        <f t="shared" si="318"/>
        <v>0</v>
      </c>
      <c r="D1557">
        <f t="shared" si="319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20"/>
        <v>0</v>
      </c>
      <c r="G1557">
        <f t="shared" si="321"/>
        <v>0</v>
      </c>
      <c r="H1557">
        <f t="shared" si="322"/>
        <v>0</v>
      </c>
      <c r="I1557">
        <f t="shared" si="323"/>
        <v>0</v>
      </c>
      <c r="J1557">
        <f t="shared" si="324"/>
        <v>0</v>
      </c>
      <c r="K1557" s="4" t="e">
        <f t="shared" si="314"/>
        <v>#N/A</v>
      </c>
      <c r="L1557" t="e">
        <f t="shared" si="315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6"/>
        <v>0</v>
      </c>
      <c r="B1558">
        <f t="shared" si="317"/>
        <v>0</v>
      </c>
      <c r="C1558">
        <f t="shared" si="318"/>
        <v>0</v>
      </c>
      <c r="D1558">
        <f t="shared" si="319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20"/>
        <v>0</v>
      </c>
      <c r="G1558">
        <f t="shared" si="321"/>
        <v>0</v>
      </c>
      <c r="H1558">
        <f t="shared" si="322"/>
        <v>0</v>
      </c>
      <c r="I1558">
        <f t="shared" si="323"/>
        <v>0</v>
      </c>
      <c r="J1558">
        <f t="shared" si="324"/>
        <v>0</v>
      </c>
      <c r="K1558" s="4" t="e">
        <f t="shared" si="314"/>
        <v>#N/A</v>
      </c>
      <c r="L1558" t="e">
        <f t="shared" si="315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6"/>
        <v>0</v>
      </c>
      <c r="B1559">
        <f t="shared" si="317"/>
        <v>0</v>
      </c>
      <c r="C1559">
        <f t="shared" si="318"/>
        <v>0</v>
      </c>
      <c r="D1559">
        <f t="shared" si="319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20"/>
        <v>0</v>
      </c>
      <c r="G1559">
        <f t="shared" si="321"/>
        <v>0</v>
      </c>
      <c r="H1559">
        <f t="shared" si="322"/>
        <v>0</v>
      </c>
      <c r="I1559">
        <f t="shared" si="323"/>
        <v>0</v>
      </c>
      <c r="J1559">
        <f t="shared" si="324"/>
        <v>0</v>
      </c>
      <c r="K1559" s="4" t="e">
        <f t="shared" si="314"/>
        <v>#N/A</v>
      </c>
      <c r="L1559" t="e">
        <f t="shared" si="315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6"/>
        <v>0</v>
      </c>
      <c r="B1560">
        <f t="shared" si="317"/>
        <v>0</v>
      </c>
      <c r="C1560">
        <f t="shared" si="318"/>
        <v>0</v>
      </c>
      <c r="D1560">
        <f t="shared" si="319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20"/>
        <v>0</v>
      </c>
      <c r="G1560">
        <f t="shared" si="321"/>
        <v>0</v>
      </c>
      <c r="H1560">
        <f t="shared" si="322"/>
        <v>0</v>
      </c>
      <c r="I1560">
        <f t="shared" si="323"/>
        <v>0</v>
      </c>
      <c r="J1560">
        <f t="shared" si="324"/>
        <v>0</v>
      </c>
      <c r="K1560" s="4" t="e">
        <f t="shared" si="314"/>
        <v>#N/A</v>
      </c>
      <c r="L1560" t="e">
        <f t="shared" si="315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6"/>
        <v>0</v>
      </c>
      <c r="B1561">
        <f t="shared" si="317"/>
        <v>0</v>
      </c>
      <c r="C1561">
        <f t="shared" si="318"/>
        <v>0</v>
      </c>
      <c r="D1561">
        <f t="shared" si="319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20"/>
        <v>0</v>
      </c>
      <c r="G1561">
        <f t="shared" si="321"/>
        <v>0</v>
      </c>
      <c r="H1561">
        <f t="shared" si="322"/>
        <v>0</v>
      </c>
      <c r="I1561">
        <f t="shared" si="323"/>
        <v>0</v>
      </c>
      <c r="J1561">
        <f t="shared" si="324"/>
        <v>0</v>
      </c>
      <c r="K1561" s="4" t="e">
        <f t="shared" si="314"/>
        <v>#N/A</v>
      </c>
      <c r="L1561" t="e">
        <f t="shared" si="315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6"/>
        <v>0</v>
      </c>
      <c r="B1562">
        <f t="shared" si="317"/>
        <v>0</v>
      </c>
      <c r="C1562">
        <f t="shared" si="318"/>
        <v>0</v>
      </c>
      <c r="D1562">
        <f t="shared" si="319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20"/>
        <v>0</v>
      </c>
      <c r="G1562">
        <f t="shared" si="321"/>
        <v>0</v>
      </c>
      <c r="H1562">
        <f t="shared" si="322"/>
        <v>0</v>
      </c>
      <c r="I1562">
        <f t="shared" si="323"/>
        <v>0</v>
      </c>
      <c r="J1562">
        <f t="shared" si="324"/>
        <v>0</v>
      </c>
      <c r="K1562" s="4" t="e">
        <f t="shared" si="314"/>
        <v>#N/A</v>
      </c>
      <c r="L1562" t="e">
        <f t="shared" si="315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6"/>
        <v>0</v>
      </c>
      <c r="B1563">
        <f t="shared" si="317"/>
        <v>0</v>
      </c>
      <c r="C1563">
        <f t="shared" si="318"/>
        <v>0</v>
      </c>
      <c r="D1563">
        <f t="shared" si="319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20"/>
        <v>0</v>
      </c>
      <c r="G1563">
        <f t="shared" si="321"/>
        <v>0</v>
      </c>
      <c r="H1563">
        <f t="shared" si="322"/>
        <v>0</v>
      </c>
      <c r="I1563">
        <f t="shared" si="323"/>
        <v>0</v>
      </c>
      <c r="J1563">
        <f t="shared" si="324"/>
        <v>0</v>
      </c>
      <c r="K1563" s="4" t="e">
        <f t="shared" si="314"/>
        <v>#N/A</v>
      </c>
      <c r="L1563" t="e">
        <f t="shared" si="315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6"/>
        <v>0</v>
      </c>
      <c r="B1564">
        <f t="shared" si="317"/>
        <v>0</v>
      </c>
      <c r="C1564">
        <f t="shared" si="318"/>
        <v>0</v>
      </c>
      <c r="D1564">
        <f t="shared" si="319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20"/>
        <v>0</v>
      </c>
      <c r="G1564">
        <f t="shared" si="321"/>
        <v>0</v>
      </c>
      <c r="H1564">
        <f t="shared" si="322"/>
        <v>0</v>
      </c>
      <c r="I1564">
        <f t="shared" si="323"/>
        <v>0</v>
      </c>
      <c r="J1564">
        <f t="shared" si="324"/>
        <v>0</v>
      </c>
      <c r="K1564" s="4" t="e">
        <f t="shared" si="314"/>
        <v>#N/A</v>
      </c>
      <c r="L1564" t="e">
        <f t="shared" si="315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6"/>
        <v>0</v>
      </c>
      <c r="B1565">
        <f t="shared" si="317"/>
        <v>0</v>
      </c>
      <c r="C1565">
        <f t="shared" si="318"/>
        <v>0</v>
      </c>
      <c r="D1565">
        <f t="shared" si="319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20"/>
        <v>0</v>
      </c>
      <c r="G1565">
        <f t="shared" si="321"/>
        <v>0</v>
      </c>
      <c r="H1565">
        <f t="shared" si="322"/>
        <v>0</v>
      </c>
      <c r="I1565">
        <f t="shared" si="323"/>
        <v>0</v>
      </c>
      <c r="J1565">
        <f t="shared" si="324"/>
        <v>0</v>
      </c>
      <c r="K1565" s="4" t="e">
        <f t="shared" si="314"/>
        <v>#N/A</v>
      </c>
      <c r="L1565" t="e">
        <f t="shared" si="315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6"/>
        <v>0</v>
      </c>
      <c r="B1566">
        <f t="shared" si="317"/>
        <v>0</v>
      </c>
      <c r="C1566">
        <f t="shared" si="318"/>
        <v>0</v>
      </c>
      <c r="D1566">
        <f t="shared" si="319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20"/>
        <v>0</v>
      </c>
      <c r="G1566">
        <f t="shared" si="321"/>
        <v>0</v>
      </c>
      <c r="H1566">
        <f t="shared" si="322"/>
        <v>0</v>
      </c>
      <c r="I1566">
        <f t="shared" si="323"/>
        <v>0</v>
      </c>
      <c r="J1566">
        <f t="shared" si="324"/>
        <v>0</v>
      </c>
      <c r="K1566" s="4" t="e">
        <f t="shared" si="314"/>
        <v>#N/A</v>
      </c>
      <c r="L1566" t="e">
        <f t="shared" si="315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6"/>
        <v>0</v>
      </c>
      <c r="B1567">
        <f t="shared" si="317"/>
        <v>0</v>
      </c>
      <c r="C1567">
        <f t="shared" si="318"/>
        <v>0</v>
      </c>
      <c r="D1567">
        <f t="shared" si="319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20"/>
        <v>0</v>
      </c>
      <c r="G1567">
        <f t="shared" si="321"/>
        <v>0</v>
      </c>
      <c r="H1567">
        <f t="shared" si="322"/>
        <v>0</v>
      </c>
      <c r="I1567">
        <f t="shared" si="323"/>
        <v>0</v>
      </c>
      <c r="J1567">
        <f t="shared" si="324"/>
        <v>0</v>
      </c>
      <c r="K1567" s="4" t="e">
        <f t="shared" si="314"/>
        <v>#N/A</v>
      </c>
      <c r="L1567" t="e">
        <f t="shared" si="315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6"/>
        <v>0</v>
      </c>
      <c r="B1568">
        <f t="shared" si="317"/>
        <v>0</v>
      </c>
      <c r="C1568">
        <f t="shared" si="318"/>
        <v>0</v>
      </c>
      <c r="D1568">
        <f t="shared" si="319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20"/>
        <v>0</v>
      </c>
      <c r="G1568">
        <f t="shared" si="321"/>
        <v>0</v>
      </c>
      <c r="H1568">
        <f t="shared" si="322"/>
        <v>0</v>
      </c>
      <c r="I1568">
        <f t="shared" si="323"/>
        <v>0</v>
      </c>
      <c r="J1568">
        <f t="shared" si="324"/>
        <v>0</v>
      </c>
      <c r="K1568" s="4" t="e">
        <f t="shared" si="314"/>
        <v>#N/A</v>
      </c>
      <c r="L1568" t="e">
        <f t="shared" si="315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6"/>
        <v>0</v>
      </c>
      <c r="B1569">
        <f t="shared" si="317"/>
        <v>0</v>
      </c>
      <c r="C1569">
        <f t="shared" si="318"/>
        <v>0</v>
      </c>
      <c r="D1569">
        <f t="shared" si="319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20"/>
        <v>0</v>
      </c>
      <c r="G1569">
        <f t="shared" si="321"/>
        <v>0</v>
      </c>
      <c r="H1569">
        <f t="shared" si="322"/>
        <v>0</v>
      </c>
      <c r="I1569">
        <f t="shared" si="323"/>
        <v>0</v>
      </c>
      <c r="J1569">
        <f t="shared" si="324"/>
        <v>0</v>
      </c>
      <c r="K1569" s="4" t="e">
        <f t="shared" si="314"/>
        <v>#N/A</v>
      </c>
      <c r="L1569" t="e">
        <f t="shared" si="315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6"/>
        <v>0</v>
      </c>
      <c r="B1570">
        <f t="shared" si="317"/>
        <v>0</v>
      </c>
      <c r="C1570">
        <f t="shared" si="318"/>
        <v>0</v>
      </c>
      <c r="D1570">
        <f t="shared" si="319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20"/>
        <v>0</v>
      </c>
      <c r="G1570">
        <f t="shared" si="321"/>
        <v>0</v>
      </c>
      <c r="H1570">
        <f t="shared" si="322"/>
        <v>0</v>
      </c>
      <c r="I1570">
        <f t="shared" si="323"/>
        <v>0</v>
      </c>
      <c r="J1570">
        <f t="shared" si="324"/>
        <v>0</v>
      </c>
      <c r="K1570" s="4" t="e">
        <f t="shared" si="314"/>
        <v>#N/A</v>
      </c>
      <c r="L1570" t="e">
        <f t="shared" si="315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6"/>
        <v>0</v>
      </c>
      <c r="B1571">
        <f t="shared" si="317"/>
        <v>0</v>
      </c>
      <c r="C1571">
        <f t="shared" si="318"/>
        <v>0</v>
      </c>
      <c r="D1571">
        <f t="shared" si="319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20"/>
        <v>0</v>
      </c>
      <c r="G1571">
        <f t="shared" si="321"/>
        <v>0</v>
      </c>
      <c r="H1571">
        <f t="shared" si="322"/>
        <v>0</v>
      </c>
      <c r="I1571">
        <f t="shared" si="323"/>
        <v>0</v>
      </c>
      <c r="J1571">
        <f t="shared" si="324"/>
        <v>0</v>
      </c>
      <c r="K1571" s="4" t="e">
        <f t="shared" si="314"/>
        <v>#N/A</v>
      </c>
      <c r="L1571" t="e">
        <f t="shared" si="315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6"/>
        <v>0</v>
      </c>
      <c r="B1572">
        <f t="shared" si="317"/>
        <v>0</v>
      </c>
      <c r="C1572">
        <f t="shared" si="318"/>
        <v>0</v>
      </c>
      <c r="D1572">
        <f t="shared" si="319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20"/>
        <v>0</v>
      </c>
      <c r="G1572">
        <f t="shared" si="321"/>
        <v>0</v>
      </c>
      <c r="H1572">
        <f t="shared" si="322"/>
        <v>0</v>
      </c>
      <c r="I1572">
        <f t="shared" si="323"/>
        <v>0</v>
      </c>
      <c r="J1572">
        <f t="shared" si="324"/>
        <v>0</v>
      </c>
      <c r="K1572" s="4" t="e">
        <f t="shared" si="314"/>
        <v>#N/A</v>
      </c>
      <c r="L1572" t="e">
        <f t="shared" si="315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6"/>
        <v>0</v>
      </c>
      <c r="B1573">
        <f t="shared" si="317"/>
        <v>0</v>
      </c>
      <c r="C1573">
        <f t="shared" si="318"/>
        <v>0</v>
      </c>
      <c r="D1573">
        <f t="shared" si="319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20"/>
        <v>0</v>
      </c>
      <c r="G1573">
        <f t="shared" si="321"/>
        <v>0</v>
      </c>
      <c r="H1573">
        <f t="shared" si="322"/>
        <v>0</v>
      </c>
      <c r="I1573">
        <f t="shared" si="323"/>
        <v>0</v>
      </c>
      <c r="J1573">
        <f t="shared" si="324"/>
        <v>0</v>
      </c>
      <c r="K1573" s="4" t="e">
        <f t="shared" si="314"/>
        <v>#N/A</v>
      </c>
      <c r="L1573" t="e">
        <f t="shared" si="315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6"/>
        <v>0</v>
      </c>
      <c r="B1574">
        <f t="shared" si="317"/>
        <v>0</v>
      </c>
      <c r="C1574">
        <f t="shared" si="318"/>
        <v>0</v>
      </c>
      <c r="D1574">
        <f t="shared" si="319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20"/>
        <v>0</v>
      </c>
      <c r="G1574">
        <f t="shared" si="321"/>
        <v>0</v>
      </c>
      <c r="H1574">
        <f t="shared" si="322"/>
        <v>0</v>
      </c>
      <c r="I1574">
        <f t="shared" si="323"/>
        <v>0</v>
      </c>
      <c r="J1574">
        <f t="shared" si="324"/>
        <v>0</v>
      </c>
      <c r="K1574" s="4" t="e">
        <f t="shared" si="314"/>
        <v>#N/A</v>
      </c>
      <c r="L1574" t="e">
        <f t="shared" si="315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6"/>
        <v>0</v>
      </c>
      <c r="B1575">
        <f t="shared" si="317"/>
        <v>0</v>
      </c>
      <c r="C1575">
        <f t="shared" si="318"/>
        <v>0</v>
      </c>
      <c r="D1575">
        <f t="shared" si="319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20"/>
        <v>0</v>
      </c>
      <c r="G1575">
        <f t="shared" si="321"/>
        <v>0</v>
      </c>
      <c r="H1575">
        <f t="shared" si="322"/>
        <v>0</v>
      </c>
      <c r="I1575">
        <f t="shared" si="323"/>
        <v>0</v>
      </c>
      <c r="J1575">
        <f t="shared" si="324"/>
        <v>0</v>
      </c>
      <c r="K1575" s="4" t="e">
        <f t="shared" si="314"/>
        <v>#N/A</v>
      </c>
      <c r="L1575" t="e">
        <f t="shared" si="315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6"/>
        <v>0</v>
      </c>
      <c r="B1576">
        <f t="shared" si="317"/>
        <v>0</v>
      </c>
      <c r="C1576">
        <f t="shared" si="318"/>
        <v>0</v>
      </c>
      <c r="D1576">
        <f t="shared" si="319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20"/>
        <v>0</v>
      </c>
      <c r="G1576">
        <f t="shared" si="321"/>
        <v>0</v>
      </c>
      <c r="H1576">
        <f t="shared" si="322"/>
        <v>0</v>
      </c>
      <c r="I1576">
        <f t="shared" si="323"/>
        <v>0</v>
      </c>
      <c r="J1576">
        <f t="shared" si="324"/>
        <v>0</v>
      </c>
      <c r="K1576" s="4" t="e">
        <f t="shared" si="314"/>
        <v>#N/A</v>
      </c>
      <c r="L1576" t="e">
        <f t="shared" si="315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6"/>
        <v>0</v>
      </c>
      <c r="B1577">
        <f t="shared" si="317"/>
        <v>0</v>
      </c>
      <c r="C1577">
        <f t="shared" si="318"/>
        <v>0</v>
      </c>
      <c r="D1577">
        <f t="shared" si="319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20"/>
        <v>0</v>
      </c>
      <c r="G1577">
        <f t="shared" si="321"/>
        <v>0</v>
      </c>
      <c r="H1577">
        <f t="shared" si="322"/>
        <v>0</v>
      </c>
      <c r="I1577">
        <f t="shared" si="323"/>
        <v>0</v>
      </c>
      <c r="J1577">
        <f t="shared" si="324"/>
        <v>0</v>
      </c>
      <c r="K1577" s="4" t="e">
        <f t="shared" si="314"/>
        <v>#N/A</v>
      </c>
      <c r="L1577" t="e">
        <f t="shared" si="315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6"/>
        <v>0</v>
      </c>
      <c r="B1578">
        <f t="shared" si="317"/>
        <v>0</v>
      </c>
      <c r="C1578">
        <f t="shared" si="318"/>
        <v>0</v>
      </c>
      <c r="D1578">
        <f t="shared" si="319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20"/>
        <v>0</v>
      </c>
      <c r="G1578">
        <f t="shared" si="321"/>
        <v>0</v>
      </c>
      <c r="H1578">
        <f t="shared" si="322"/>
        <v>0</v>
      </c>
      <c r="I1578">
        <f t="shared" si="323"/>
        <v>0</v>
      </c>
      <c r="J1578">
        <f t="shared" si="324"/>
        <v>0</v>
      </c>
      <c r="K1578" s="4" t="e">
        <f t="shared" si="314"/>
        <v>#N/A</v>
      </c>
      <c r="L1578" t="e">
        <f t="shared" si="315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6"/>
        <v>0</v>
      </c>
      <c r="B1579">
        <f t="shared" si="317"/>
        <v>0</v>
      </c>
      <c r="C1579">
        <f t="shared" si="318"/>
        <v>0</v>
      </c>
      <c r="D1579">
        <f t="shared" si="319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20"/>
        <v>0</v>
      </c>
      <c r="G1579">
        <f t="shared" si="321"/>
        <v>0</v>
      </c>
      <c r="H1579">
        <f t="shared" si="322"/>
        <v>0</v>
      </c>
      <c r="I1579">
        <f t="shared" si="323"/>
        <v>0</v>
      </c>
      <c r="J1579">
        <f t="shared" si="324"/>
        <v>0</v>
      </c>
      <c r="K1579" s="4" t="e">
        <f t="shared" si="314"/>
        <v>#N/A</v>
      </c>
      <c r="L1579" t="e">
        <f t="shared" si="315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6"/>
        <v>0</v>
      </c>
      <c r="B1580">
        <f t="shared" si="317"/>
        <v>0</v>
      </c>
      <c r="C1580">
        <f t="shared" si="318"/>
        <v>0</v>
      </c>
      <c r="D1580">
        <f t="shared" si="319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20"/>
        <v>0</v>
      </c>
      <c r="G1580">
        <f t="shared" si="321"/>
        <v>0</v>
      </c>
      <c r="H1580">
        <f t="shared" si="322"/>
        <v>0</v>
      </c>
      <c r="I1580">
        <f t="shared" si="323"/>
        <v>0</v>
      </c>
      <c r="J1580">
        <f t="shared" si="324"/>
        <v>0</v>
      </c>
      <c r="K1580" s="4" t="e">
        <f t="shared" ref="K1580:K1643" si="327">IF(LEFT(B1580,3)="DBM",0,VLOOKUP(E1580,tabela,2,FALSE))</f>
        <v>#N/A</v>
      </c>
      <c r="L1580" t="e">
        <f t="shared" ref="L1580:L1643" si="328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6"/>
        <v>0</v>
      </c>
      <c r="B1581">
        <f t="shared" si="317"/>
        <v>0</v>
      </c>
      <c r="C1581">
        <f t="shared" si="318"/>
        <v>0</v>
      </c>
      <c r="D1581">
        <f t="shared" si="319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20"/>
        <v>0</v>
      </c>
      <c r="G1581">
        <f t="shared" si="321"/>
        <v>0</v>
      </c>
      <c r="H1581">
        <f t="shared" si="322"/>
        <v>0</v>
      </c>
      <c r="I1581">
        <f t="shared" si="323"/>
        <v>0</v>
      </c>
      <c r="J1581">
        <f t="shared" si="324"/>
        <v>0</v>
      </c>
      <c r="K1581" s="4" t="e">
        <f t="shared" si="327"/>
        <v>#N/A</v>
      </c>
      <c r="L1581" t="e">
        <f t="shared" si="328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6"/>
        <v>0</v>
      </c>
      <c r="B1582">
        <f t="shared" si="317"/>
        <v>0</v>
      </c>
      <c r="C1582">
        <f t="shared" si="318"/>
        <v>0</v>
      </c>
      <c r="D1582">
        <f t="shared" si="319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20"/>
        <v>0</v>
      </c>
      <c r="G1582">
        <f t="shared" si="321"/>
        <v>0</v>
      </c>
      <c r="H1582">
        <f t="shared" si="322"/>
        <v>0</v>
      </c>
      <c r="I1582">
        <f t="shared" si="323"/>
        <v>0</v>
      </c>
      <c r="J1582">
        <f t="shared" si="324"/>
        <v>0</v>
      </c>
      <c r="K1582" s="4" t="e">
        <f t="shared" si="327"/>
        <v>#N/A</v>
      </c>
      <c r="L1582" t="e">
        <f t="shared" si="328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6"/>
        <v>0</v>
      </c>
      <c r="B1583">
        <f t="shared" si="317"/>
        <v>0</v>
      </c>
      <c r="C1583">
        <f t="shared" si="318"/>
        <v>0</v>
      </c>
      <c r="D1583">
        <f t="shared" si="319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20"/>
        <v>0</v>
      </c>
      <c r="G1583">
        <f t="shared" si="321"/>
        <v>0</v>
      </c>
      <c r="H1583">
        <f t="shared" si="322"/>
        <v>0</v>
      </c>
      <c r="I1583">
        <f t="shared" si="323"/>
        <v>0</v>
      </c>
      <c r="J1583">
        <f t="shared" si="324"/>
        <v>0</v>
      </c>
      <c r="K1583" s="4" t="e">
        <f t="shared" si="327"/>
        <v>#N/A</v>
      </c>
      <c r="L1583" t="e">
        <f t="shared" si="328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6"/>
        <v>0</v>
      </c>
      <c r="B1584">
        <f t="shared" si="317"/>
        <v>0</v>
      </c>
      <c r="C1584">
        <f t="shared" si="318"/>
        <v>0</v>
      </c>
      <c r="D1584">
        <f t="shared" si="319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20"/>
        <v>0</v>
      </c>
      <c r="G1584">
        <f t="shared" si="321"/>
        <v>0</v>
      </c>
      <c r="H1584">
        <f t="shared" si="322"/>
        <v>0</v>
      </c>
      <c r="I1584">
        <f t="shared" si="323"/>
        <v>0</v>
      </c>
      <c r="J1584">
        <f t="shared" si="324"/>
        <v>0</v>
      </c>
      <c r="K1584" s="4" t="e">
        <f t="shared" si="327"/>
        <v>#N/A</v>
      </c>
      <c r="L1584" t="e">
        <f t="shared" si="328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6"/>
        <v>0</v>
      </c>
      <c r="B1585">
        <f t="shared" si="317"/>
        <v>0</v>
      </c>
      <c r="C1585">
        <f t="shared" si="318"/>
        <v>0</v>
      </c>
      <c r="D1585">
        <f t="shared" si="319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20"/>
        <v>0</v>
      </c>
      <c r="G1585">
        <f t="shared" si="321"/>
        <v>0</v>
      </c>
      <c r="H1585">
        <f t="shared" si="322"/>
        <v>0</v>
      </c>
      <c r="I1585">
        <f t="shared" si="323"/>
        <v>0</v>
      </c>
      <c r="J1585">
        <f t="shared" si="324"/>
        <v>0</v>
      </c>
      <c r="K1585" s="4" t="e">
        <f t="shared" si="327"/>
        <v>#N/A</v>
      </c>
      <c r="L1585" t="e">
        <f t="shared" si="328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6"/>
        <v>0</v>
      </c>
      <c r="B1586">
        <f t="shared" si="317"/>
        <v>0</v>
      </c>
      <c r="C1586">
        <f t="shared" si="318"/>
        <v>0</v>
      </c>
      <c r="D1586">
        <f t="shared" si="319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20"/>
        <v>0</v>
      </c>
      <c r="G1586">
        <f t="shared" si="321"/>
        <v>0</v>
      </c>
      <c r="H1586">
        <f t="shared" si="322"/>
        <v>0</v>
      </c>
      <c r="I1586">
        <f t="shared" si="323"/>
        <v>0</v>
      </c>
      <c r="J1586">
        <f t="shared" si="324"/>
        <v>0</v>
      </c>
      <c r="K1586" s="4" t="e">
        <f t="shared" si="327"/>
        <v>#N/A</v>
      </c>
      <c r="L1586" t="e">
        <f t="shared" si="328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6"/>
        <v>0</v>
      </c>
      <c r="B1587">
        <f t="shared" si="317"/>
        <v>0</v>
      </c>
      <c r="C1587">
        <f t="shared" si="318"/>
        <v>0</v>
      </c>
      <c r="D1587">
        <f t="shared" si="319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20"/>
        <v>0</v>
      </c>
      <c r="G1587">
        <f t="shared" si="321"/>
        <v>0</v>
      </c>
      <c r="H1587">
        <f t="shared" si="322"/>
        <v>0</v>
      </c>
      <c r="I1587">
        <f t="shared" si="323"/>
        <v>0</v>
      </c>
      <c r="J1587">
        <f t="shared" si="324"/>
        <v>0</v>
      </c>
      <c r="K1587" s="4" t="e">
        <f t="shared" si="327"/>
        <v>#N/A</v>
      </c>
      <c r="L1587" t="e">
        <f t="shared" si="328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6"/>
        <v>0</v>
      </c>
      <c r="B1588">
        <f t="shared" si="317"/>
        <v>0</v>
      </c>
      <c r="C1588">
        <f t="shared" si="318"/>
        <v>0</v>
      </c>
      <c r="D1588">
        <f t="shared" si="319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20"/>
        <v>0</v>
      </c>
      <c r="G1588">
        <f t="shared" si="321"/>
        <v>0</v>
      </c>
      <c r="H1588">
        <f t="shared" si="322"/>
        <v>0</v>
      </c>
      <c r="I1588">
        <f t="shared" si="323"/>
        <v>0</v>
      </c>
      <c r="J1588">
        <f t="shared" si="324"/>
        <v>0</v>
      </c>
      <c r="K1588" s="4" t="e">
        <f t="shared" si="327"/>
        <v>#N/A</v>
      </c>
      <c r="L1588" t="e">
        <f t="shared" si="328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6"/>
        <v>0</v>
      </c>
      <c r="B1589">
        <f t="shared" si="317"/>
        <v>0</v>
      </c>
      <c r="C1589">
        <f t="shared" si="318"/>
        <v>0</v>
      </c>
      <c r="D1589">
        <f t="shared" si="319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20"/>
        <v>0</v>
      </c>
      <c r="G1589">
        <f t="shared" si="321"/>
        <v>0</v>
      </c>
      <c r="H1589">
        <f t="shared" si="322"/>
        <v>0</v>
      </c>
      <c r="I1589">
        <f t="shared" si="323"/>
        <v>0</v>
      </c>
      <c r="J1589">
        <f t="shared" si="324"/>
        <v>0</v>
      </c>
      <c r="K1589" s="4" t="e">
        <f t="shared" si="327"/>
        <v>#N/A</v>
      </c>
      <c r="L1589" t="e">
        <f t="shared" si="328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6"/>
        <v>0</v>
      </c>
      <c r="B1590">
        <f t="shared" si="317"/>
        <v>0</v>
      </c>
      <c r="C1590">
        <f t="shared" si="318"/>
        <v>0</v>
      </c>
      <c r="D1590">
        <f t="shared" si="319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20"/>
        <v>0</v>
      </c>
      <c r="G1590">
        <f t="shared" si="321"/>
        <v>0</v>
      </c>
      <c r="H1590">
        <f t="shared" si="322"/>
        <v>0</v>
      </c>
      <c r="I1590">
        <f t="shared" si="323"/>
        <v>0</v>
      </c>
      <c r="J1590">
        <f t="shared" si="324"/>
        <v>0</v>
      </c>
      <c r="K1590" s="4" t="e">
        <f t="shared" si="327"/>
        <v>#N/A</v>
      </c>
      <c r="L1590" t="e">
        <f t="shared" si="328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6"/>
        <v>0</v>
      </c>
      <c r="B1591">
        <f t="shared" si="317"/>
        <v>0</v>
      </c>
      <c r="C1591">
        <f t="shared" si="318"/>
        <v>0</v>
      </c>
      <c r="D1591">
        <f t="shared" si="319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20"/>
        <v>0</v>
      </c>
      <c r="G1591">
        <f t="shared" si="321"/>
        <v>0</v>
      </c>
      <c r="H1591">
        <f t="shared" si="322"/>
        <v>0</v>
      </c>
      <c r="I1591">
        <f t="shared" si="323"/>
        <v>0</v>
      </c>
      <c r="J1591">
        <f t="shared" si="324"/>
        <v>0</v>
      </c>
      <c r="K1591" s="4" t="e">
        <f t="shared" si="327"/>
        <v>#N/A</v>
      </c>
      <c r="L1591" t="e">
        <f t="shared" si="328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6"/>
        <v>0</v>
      </c>
      <c r="B1592">
        <f t="shared" si="317"/>
        <v>0</v>
      </c>
      <c r="C1592">
        <f t="shared" si="318"/>
        <v>0</v>
      </c>
      <c r="D1592">
        <f t="shared" si="319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20"/>
        <v>0</v>
      </c>
      <c r="G1592">
        <f t="shared" si="321"/>
        <v>0</v>
      </c>
      <c r="H1592">
        <f t="shared" si="322"/>
        <v>0</v>
      </c>
      <c r="I1592">
        <f t="shared" si="323"/>
        <v>0</v>
      </c>
      <c r="J1592">
        <f t="shared" si="324"/>
        <v>0</v>
      </c>
      <c r="K1592" s="4" t="e">
        <f t="shared" si="327"/>
        <v>#N/A</v>
      </c>
      <c r="L1592" t="e">
        <f t="shared" si="328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6"/>
        <v>0</v>
      </c>
      <c r="B1593">
        <f t="shared" si="317"/>
        <v>0</v>
      </c>
      <c r="C1593">
        <f t="shared" si="318"/>
        <v>0</v>
      </c>
      <c r="D1593">
        <f t="shared" si="319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20"/>
        <v>0</v>
      </c>
      <c r="G1593">
        <f t="shared" si="321"/>
        <v>0</v>
      </c>
      <c r="H1593">
        <f t="shared" si="322"/>
        <v>0</v>
      </c>
      <c r="I1593">
        <f t="shared" si="323"/>
        <v>0</v>
      </c>
      <c r="J1593">
        <f t="shared" si="324"/>
        <v>0</v>
      </c>
      <c r="K1593" s="4" t="e">
        <f t="shared" si="327"/>
        <v>#N/A</v>
      </c>
      <c r="L1593" t="e">
        <f t="shared" si="328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6"/>
        <v>0</v>
      </c>
      <c r="B1594">
        <f t="shared" si="317"/>
        <v>0</v>
      </c>
      <c r="C1594">
        <f t="shared" si="318"/>
        <v>0</v>
      </c>
      <c r="D1594">
        <f t="shared" si="319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20"/>
        <v>0</v>
      </c>
      <c r="G1594">
        <f t="shared" si="321"/>
        <v>0</v>
      </c>
      <c r="H1594">
        <f t="shared" si="322"/>
        <v>0</v>
      </c>
      <c r="I1594">
        <f t="shared" si="323"/>
        <v>0</v>
      </c>
      <c r="J1594">
        <f t="shared" si="324"/>
        <v>0</v>
      </c>
      <c r="K1594" s="4" t="e">
        <f t="shared" si="327"/>
        <v>#N/A</v>
      </c>
      <c r="L1594" t="e">
        <f t="shared" si="328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6"/>
        <v>0</v>
      </c>
      <c r="B1595">
        <f t="shared" si="317"/>
        <v>0</v>
      </c>
      <c r="C1595">
        <f t="shared" si="318"/>
        <v>0</v>
      </c>
      <c r="D1595">
        <f t="shared" si="319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20"/>
        <v>0</v>
      </c>
      <c r="G1595">
        <f t="shared" si="321"/>
        <v>0</v>
      </c>
      <c r="H1595">
        <f t="shared" si="322"/>
        <v>0</v>
      </c>
      <c r="I1595">
        <f t="shared" si="323"/>
        <v>0</v>
      </c>
      <c r="J1595">
        <f t="shared" si="324"/>
        <v>0</v>
      </c>
      <c r="K1595" s="4" t="e">
        <f t="shared" si="327"/>
        <v>#N/A</v>
      </c>
      <c r="L1595" t="e">
        <f t="shared" si="328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6"/>
        <v>0</v>
      </c>
      <c r="B1596">
        <f t="shared" si="317"/>
        <v>0</v>
      </c>
      <c r="C1596">
        <f t="shared" si="318"/>
        <v>0</v>
      </c>
      <c r="D1596">
        <f t="shared" si="319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20"/>
        <v>0</v>
      </c>
      <c r="G1596">
        <f t="shared" si="321"/>
        <v>0</v>
      </c>
      <c r="H1596">
        <f t="shared" si="322"/>
        <v>0</v>
      </c>
      <c r="I1596">
        <f t="shared" si="323"/>
        <v>0</v>
      </c>
      <c r="J1596">
        <f t="shared" si="324"/>
        <v>0</v>
      </c>
      <c r="K1596" s="4" t="e">
        <f t="shared" si="327"/>
        <v>#N/A</v>
      </c>
      <c r="L1596" t="e">
        <f t="shared" si="328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6"/>
        <v>0</v>
      </c>
      <c r="B1597">
        <f t="shared" si="317"/>
        <v>0</v>
      </c>
      <c r="C1597">
        <f t="shared" si="318"/>
        <v>0</v>
      </c>
      <c r="D1597">
        <f t="shared" si="319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20"/>
        <v>0</v>
      </c>
      <c r="G1597">
        <f t="shared" si="321"/>
        <v>0</v>
      </c>
      <c r="H1597">
        <f t="shared" si="322"/>
        <v>0</v>
      </c>
      <c r="I1597">
        <f t="shared" si="323"/>
        <v>0</v>
      </c>
      <c r="J1597">
        <f t="shared" si="324"/>
        <v>0</v>
      </c>
      <c r="K1597" s="4" t="e">
        <f t="shared" si="327"/>
        <v>#N/A</v>
      </c>
      <c r="L1597" t="e">
        <f t="shared" si="328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6"/>
        <v>0</v>
      </c>
      <c r="B1598">
        <f t="shared" si="317"/>
        <v>0</v>
      </c>
      <c r="C1598">
        <f t="shared" si="318"/>
        <v>0</v>
      </c>
      <c r="D1598">
        <f t="shared" si="319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20"/>
        <v>0</v>
      </c>
      <c r="G1598">
        <f t="shared" si="321"/>
        <v>0</v>
      </c>
      <c r="H1598">
        <f t="shared" si="322"/>
        <v>0</v>
      </c>
      <c r="I1598">
        <f t="shared" si="323"/>
        <v>0</v>
      </c>
      <c r="J1598">
        <f t="shared" si="324"/>
        <v>0</v>
      </c>
      <c r="K1598" s="4" t="e">
        <f t="shared" si="327"/>
        <v>#N/A</v>
      </c>
      <c r="L1598" t="e">
        <f t="shared" si="328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6"/>
        <v>0</v>
      </c>
      <c r="B1599">
        <f t="shared" si="317"/>
        <v>0</v>
      </c>
      <c r="C1599">
        <f t="shared" si="318"/>
        <v>0</v>
      </c>
      <c r="D1599">
        <f t="shared" si="319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20"/>
        <v>0</v>
      </c>
      <c r="G1599">
        <f t="shared" si="321"/>
        <v>0</v>
      </c>
      <c r="H1599">
        <f t="shared" si="322"/>
        <v>0</v>
      </c>
      <c r="I1599">
        <f t="shared" si="323"/>
        <v>0</v>
      </c>
      <c r="J1599">
        <f t="shared" si="324"/>
        <v>0</v>
      </c>
      <c r="K1599" s="4" t="e">
        <f t="shared" si="327"/>
        <v>#N/A</v>
      </c>
      <c r="L1599" t="e">
        <f t="shared" si="328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6"/>
        <v>0</v>
      </c>
      <c r="B1600">
        <f t="shared" si="317"/>
        <v>0</v>
      </c>
      <c r="C1600">
        <f t="shared" si="318"/>
        <v>0</v>
      </c>
      <c r="D1600">
        <f t="shared" si="319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20"/>
        <v>0</v>
      </c>
      <c r="G1600">
        <f t="shared" si="321"/>
        <v>0</v>
      </c>
      <c r="H1600">
        <f t="shared" si="322"/>
        <v>0</v>
      </c>
      <c r="I1600">
        <f t="shared" si="323"/>
        <v>0</v>
      </c>
      <c r="J1600">
        <f t="shared" si="324"/>
        <v>0</v>
      </c>
      <c r="K1600" s="4" t="e">
        <f t="shared" si="327"/>
        <v>#N/A</v>
      </c>
      <c r="L1600" t="e">
        <f t="shared" si="328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6"/>
        <v>0</v>
      </c>
      <c r="B1601">
        <f t="shared" si="317"/>
        <v>0</v>
      </c>
      <c r="C1601">
        <f t="shared" si="318"/>
        <v>0</v>
      </c>
      <c r="D1601">
        <f t="shared" si="319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20"/>
        <v>0</v>
      </c>
      <c r="G1601">
        <f t="shared" si="321"/>
        <v>0</v>
      </c>
      <c r="H1601">
        <f t="shared" si="322"/>
        <v>0</v>
      </c>
      <c r="I1601">
        <f t="shared" si="323"/>
        <v>0</v>
      </c>
      <c r="J1601">
        <f t="shared" si="324"/>
        <v>0</v>
      </c>
      <c r="K1601" s="4" t="e">
        <f t="shared" si="327"/>
        <v>#N/A</v>
      </c>
      <c r="L1601" t="e">
        <f t="shared" si="328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9">bd_campaign</f>
        <v>0</v>
      </c>
      <c r="B1602">
        <f t="shared" ref="B1602:B1665" si="330">bd_site</f>
        <v>0</v>
      </c>
      <c r="C1602">
        <f t="shared" ref="C1602:C1665" si="331">bd_placement</f>
        <v>0</v>
      </c>
      <c r="D1602">
        <f t="shared" ref="D1602:D1665" si="332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3">bd_ad</f>
        <v>0</v>
      </c>
      <c r="G1602">
        <f t="shared" ref="G1602:G1665" si="334">bd_adid</f>
        <v>0</v>
      </c>
      <c r="H1602">
        <f t="shared" ref="H1602:H1665" si="335">bd_creativetype</f>
        <v>0</v>
      </c>
      <c r="I1602">
        <f t="shared" ref="I1602:I1665" si="336">bd_impression</f>
        <v>0</v>
      </c>
      <c r="J1602">
        <f t="shared" ref="J1602:J1665" si="337">bd_clicks</f>
        <v>0</v>
      </c>
      <c r="K1602" s="4" t="e">
        <f t="shared" si="327"/>
        <v>#N/A</v>
      </c>
      <c r="L1602" t="e">
        <f t="shared" si="328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9"/>
        <v>0</v>
      </c>
      <c r="B1603">
        <f t="shared" si="330"/>
        <v>0</v>
      </c>
      <c r="C1603">
        <f t="shared" si="331"/>
        <v>0</v>
      </c>
      <c r="D1603">
        <f t="shared" si="332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3"/>
        <v>0</v>
      </c>
      <c r="G1603">
        <f t="shared" si="334"/>
        <v>0</v>
      </c>
      <c r="H1603">
        <f t="shared" si="335"/>
        <v>0</v>
      </c>
      <c r="I1603">
        <f t="shared" si="336"/>
        <v>0</v>
      </c>
      <c r="J1603">
        <f t="shared" si="337"/>
        <v>0</v>
      </c>
      <c r="K1603" s="4" t="e">
        <f t="shared" si="327"/>
        <v>#N/A</v>
      </c>
      <c r="L1603" t="e">
        <f t="shared" si="328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9"/>
        <v>0</v>
      </c>
      <c r="B1604">
        <f t="shared" si="330"/>
        <v>0</v>
      </c>
      <c r="C1604">
        <f t="shared" si="331"/>
        <v>0</v>
      </c>
      <c r="D1604">
        <f t="shared" si="332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3"/>
        <v>0</v>
      </c>
      <c r="G1604">
        <f t="shared" si="334"/>
        <v>0</v>
      </c>
      <c r="H1604">
        <f t="shared" si="335"/>
        <v>0</v>
      </c>
      <c r="I1604">
        <f t="shared" si="336"/>
        <v>0</v>
      </c>
      <c r="J1604">
        <f t="shared" si="337"/>
        <v>0</v>
      </c>
      <c r="K1604" s="4" t="e">
        <f t="shared" si="327"/>
        <v>#N/A</v>
      </c>
      <c r="L1604" t="e">
        <f t="shared" si="328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9"/>
        <v>0</v>
      </c>
      <c r="B1605">
        <f t="shared" si="330"/>
        <v>0</v>
      </c>
      <c r="C1605">
        <f t="shared" si="331"/>
        <v>0</v>
      </c>
      <c r="D1605">
        <f t="shared" si="332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3"/>
        <v>0</v>
      </c>
      <c r="G1605">
        <f t="shared" si="334"/>
        <v>0</v>
      </c>
      <c r="H1605">
        <f t="shared" si="335"/>
        <v>0</v>
      </c>
      <c r="I1605">
        <f t="shared" si="336"/>
        <v>0</v>
      </c>
      <c r="J1605">
        <f t="shared" si="337"/>
        <v>0</v>
      </c>
      <c r="K1605" s="4" t="e">
        <f t="shared" si="327"/>
        <v>#N/A</v>
      </c>
      <c r="L1605" t="e">
        <f t="shared" si="328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9"/>
        <v>0</v>
      </c>
      <c r="B1606">
        <f t="shared" si="330"/>
        <v>0</v>
      </c>
      <c r="C1606">
        <f t="shared" si="331"/>
        <v>0</v>
      </c>
      <c r="D1606">
        <f t="shared" si="332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3"/>
        <v>0</v>
      </c>
      <c r="G1606">
        <f t="shared" si="334"/>
        <v>0</v>
      </c>
      <c r="H1606">
        <f t="shared" si="335"/>
        <v>0</v>
      </c>
      <c r="I1606">
        <f t="shared" si="336"/>
        <v>0</v>
      </c>
      <c r="J1606">
        <f t="shared" si="337"/>
        <v>0</v>
      </c>
      <c r="K1606" s="4" t="e">
        <f t="shared" si="327"/>
        <v>#N/A</v>
      </c>
      <c r="L1606" t="e">
        <f t="shared" si="328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9"/>
        <v>0</v>
      </c>
      <c r="B1607">
        <f t="shared" si="330"/>
        <v>0</v>
      </c>
      <c r="C1607">
        <f t="shared" si="331"/>
        <v>0</v>
      </c>
      <c r="D1607">
        <f t="shared" si="332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3"/>
        <v>0</v>
      </c>
      <c r="G1607">
        <f t="shared" si="334"/>
        <v>0</v>
      </c>
      <c r="H1607">
        <f t="shared" si="335"/>
        <v>0</v>
      </c>
      <c r="I1607">
        <f t="shared" si="336"/>
        <v>0</v>
      </c>
      <c r="J1607">
        <f t="shared" si="337"/>
        <v>0</v>
      </c>
      <c r="K1607" s="4" t="e">
        <f t="shared" si="327"/>
        <v>#N/A</v>
      </c>
      <c r="L1607" t="e">
        <f t="shared" si="328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9"/>
        <v>0</v>
      </c>
      <c r="B1608">
        <f t="shared" si="330"/>
        <v>0</v>
      </c>
      <c r="C1608">
        <f t="shared" si="331"/>
        <v>0</v>
      </c>
      <c r="D1608">
        <f t="shared" si="332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3"/>
        <v>0</v>
      </c>
      <c r="G1608">
        <f t="shared" si="334"/>
        <v>0</v>
      </c>
      <c r="H1608">
        <f t="shared" si="335"/>
        <v>0</v>
      </c>
      <c r="I1608">
        <f t="shared" si="336"/>
        <v>0</v>
      </c>
      <c r="J1608">
        <f t="shared" si="337"/>
        <v>0</v>
      </c>
      <c r="K1608" s="4" t="e">
        <f t="shared" si="327"/>
        <v>#N/A</v>
      </c>
      <c r="L1608" t="e">
        <f t="shared" si="328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9"/>
        <v>0</v>
      </c>
      <c r="B1609">
        <f t="shared" si="330"/>
        <v>0</v>
      </c>
      <c r="C1609">
        <f t="shared" si="331"/>
        <v>0</v>
      </c>
      <c r="D1609">
        <f t="shared" si="332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3"/>
        <v>0</v>
      </c>
      <c r="G1609">
        <f t="shared" si="334"/>
        <v>0</v>
      </c>
      <c r="H1609">
        <f t="shared" si="335"/>
        <v>0</v>
      </c>
      <c r="I1609">
        <f t="shared" si="336"/>
        <v>0</v>
      </c>
      <c r="J1609">
        <f t="shared" si="337"/>
        <v>0</v>
      </c>
      <c r="K1609" s="4" t="e">
        <f t="shared" si="327"/>
        <v>#N/A</v>
      </c>
      <c r="L1609" t="e">
        <f t="shared" si="328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9"/>
        <v>0</v>
      </c>
      <c r="B1610">
        <f t="shared" si="330"/>
        <v>0</v>
      </c>
      <c r="C1610">
        <f t="shared" si="331"/>
        <v>0</v>
      </c>
      <c r="D1610">
        <f t="shared" si="332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3"/>
        <v>0</v>
      </c>
      <c r="G1610">
        <f t="shared" si="334"/>
        <v>0</v>
      </c>
      <c r="H1610">
        <f t="shared" si="335"/>
        <v>0</v>
      </c>
      <c r="I1610">
        <f t="shared" si="336"/>
        <v>0</v>
      </c>
      <c r="J1610">
        <f t="shared" si="337"/>
        <v>0</v>
      </c>
      <c r="K1610" s="4" t="e">
        <f t="shared" si="327"/>
        <v>#N/A</v>
      </c>
      <c r="L1610" t="e">
        <f t="shared" si="328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9"/>
        <v>0</v>
      </c>
      <c r="B1611">
        <f t="shared" si="330"/>
        <v>0</v>
      </c>
      <c r="C1611">
        <f t="shared" si="331"/>
        <v>0</v>
      </c>
      <c r="D1611">
        <f t="shared" si="332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3"/>
        <v>0</v>
      </c>
      <c r="G1611">
        <f t="shared" si="334"/>
        <v>0</v>
      </c>
      <c r="H1611">
        <f t="shared" si="335"/>
        <v>0</v>
      </c>
      <c r="I1611">
        <f t="shared" si="336"/>
        <v>0</v>
      </c>
      <c r="J1611">
        <f t="shared" si="337"/>
        <v>0</v>
      </c>
      <c r="K1611" s="4" t="e">
        <f t="shared" si="327"/>
        <v>#N/A</v>
      </c>
      <c r="L1611" t="e">
        <f t="shared" si="328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9"/>
        <v>0</v>
      </c>
      <c r="B1612">
        <f t="shared" si="330"/>
        <v>0</v>
      </c>
      <c r="C1612">
        <f t="shared" si="331"/>
        <v>0</v>
      </c>
      <c r="D1612">
        <f t="shared" si="332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3"/>
        <v>0</v>
      </c>
      <c r="G1612">
        <f t="shared" si="334"/>
        <v>0</v>
      </c>
      <c r="H1612">
        <f t="shared" si="335"/>
        <v>0</v>
      </c>
      <c r="I1612">
        <f t="shared" si="336"/>
        <v>0</v>
      </c>
      <c r="J1612">
        <f t="shared" si="337"/>
        <v>0</v>
      </c>
      <c r="K1612" s="4" t="e">
        <f t="shared" si="327"/>
        <v>#N/A</v>
      </c>
      <c r="L1612" t="e">
        <f t="shared" si="328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9"/>
        <v>0</v>
      </c>
      <c r="B1613">
        <f t="shared" si="330"/>
        <v>0</v>
      </c>
      <c r="C1613">
        <f t="shared" si="331"/>
        <v>0</v>
      </c>
      <c r="D1613">
        <f t="shared" si="332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3"/>
        <v>0</v>
      </c>
      <c r="G1613">
        <f t="shared" si="334"/>
        <v>0</v>
      </c>
      <c r="H1613">
        <f t="shared" si="335"/>
        <v>0</v>
      </c>
      <c r="I1613">
        <f t="shared" si="336"/>
        <v>0</v>
      </c>
      <c r="J1613">
        <f t="shared" si="337"/>
        <v>0</v>
      </c>
      <c r="K1613" s="4" t="e">
        <f t="shared" si="327"/>
        <v>#N/A</v>
      </c>
      <c r="L1613" t="e">
        <f t="shared" si="328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9"/>
        <v>0</v>
      </c>
      <c r="B1614">
        <f t="shared" si="330"/>
        <v>0</v>
      </c>
      <c r="C1614">
        <f t="shared" si="331"/>
        <v>0</v>
      </c>
      <c r="D1614">
        <f t="shared" si="332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3"/>
        <v>0</v>
      </c>
      <c r="G1614">
        <f t="shared" si="334"/>
        <v>0</v>
      </c>
      <c r="H1614">
        <f t="shared" si="335"/>
        <v>0</v>
      </c>
      <c r="I1614">
        <f t="shared" si="336"/>
        <v>0</v>
      </c>
      <c r="J1614">
        <f t="shared" si="337"/>
        <v>0</v>
      </c>
      <c r="K1614" s="4" t="e">
        <f t="shared" si="327"/>
        <v>#N/A</v>
      </c>
      <c r="L1614" t="e">
        <f t="shared" si="328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9"/>
        <v>0</v>
      </c>
      <c r="B1615">
        <f t="shared" si="330"/>
        <v>0</v>
      </c>
      <c r="C1615">
        <f t="shared" si="331"/>
        <v>0</v>
      </c>
      <c r="D1615">
        <f t="shared" si="332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3"/>
        <v>0</v>
      </c>
      <c r="G1615">
        <f t="shared" si="334"/>
        <v>0</v>
      </c>
      <c r="H1615">
        <f t="shared" si="335"/>
        <v>0</v>
      </c>
      <c r="I1615">
        <f t="shared" si="336"/>
        <v>0</v>
      </c>
      <c r="J1615">
        <f t="shared" si="337"/>
        <v>0</v>
      </c>
      <c r="K1615" s="4" t="e">
        <f t="shared" si="327"/>
        <v>#N/A</v>
      </c>
      <c r="L1615" t="e">
        <f t="shared" si="328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9"/>
        <v>0</v>
      </c>
      <c r="B1616">
        <f t="shared" si="330"/>
        <v>0</v>
      </c>
      <c r="C1616">
        <f t="shared" si="331"/>
        <v>0</v>
      </c>
      <c r="D1616">
        <f t="shared" si="332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3"/>
        <v>0</v>
      </c>
      <c r="G1616">
        <f t="shared" si="334"/>
        <v>0</v>
      </c>
      <c r="H1616">
        <f t="shared" si="335"/>
        <v>0</v>
      </c>
      <c r="I1616">
        <f t="shared" si="336"/>
        <v>0</v>
      </c>
      <c r="J1616">
        <f t="shared" si="337"/>
        <v>0</v>
      </c>
      <c r="K1616" s="4" t="e">
        <f t="shared" si="327"/>
        <v>#N/A</v>
      </c>
      <c r="L1616" t="e">
        <f t="shared" si="328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9"/>
        <v>0</v>
      </c>
      <c r="B1617">
        <f t="shared" si="330"/>
        <v>0</v>
      </c>
      <c r="C1617">
        <f t="shared" si="331"/>
        <v>0</v>
      </c>
      <c r="D1617">
        <f t="shared" si="332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3"/>
        <v>0</v>
      </c>
      <c r="G1617">
        <f t="shared" si="334"/>
        <v>0</v>
      </c>
      <c r="H1617">
        <f t="shared" si="335"/>
        <v>0</v>
      </c>
      <c r="I1617">
        <f t="shared" si="336"/>
        <v>0</v>
      </c>
      <c r="J1617">
        <f t="shared" si="337"/>
        <v>0</v>
      </c>
      <c r="K1617" s="4" t="e">
        <f t="shared" si="327"/>
        <v>#N/A</v>
      </c>
      <c r="L1617" t="e">
        <f t="shared" si="328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9"/>
        <v>0</v>
      </c>
      <c r="B1618">
        <f t="shared" si="330"/>
        <v>0</v>
      </c>
      <c r="C1618">
        <f t="shared" si="331"/>
        <v>0</v>
      </c>
      <c r="D1618">
        <f t="shared" si="332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3"/>
        <v>0</v>
      </c>
      <c r="G1618">
        <f t="shared" si="334"/>
        <v>0</v>
      </c>
      <c r="H1618">
        <f t="shared" si="335"/>
        <v>0</v>
      </c>
      <c r="I1618">
        <f t="shared" si="336"/>
        <v>0</v>
      </c>
      <c r="J1618">
        <f t="shared" si="337"/>
        <v>0</v>
      </c>
      <c r="K1618" s="4" t="e">
        <f t="shared" si="327"/>
        <v>#N/A</v>
      </c>
      <c r="L1618" t="e">
        <f t="shared" si="328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9"/>
        <v>0</v>
      </c>
      <c r="B1619">
        <f t="shared" si="330"/>
        <v>0</v>
      </c>
      <c r="C1619">
        <f t="shared" si="331"/>
        <v>0</v>
      </c>
      <c r="D1619">
        <f t="shared" si="332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3"/>
        <v>0</v>
      </c>
      <c r="G1619">
        <f t="shared" si="334"/>
        <v>0</v>
      </c>
      <c r="H1619">
        <f t="shared" si="335"/>
        <v>0</v>
      </c>
      <c r="I1619">
        <f t="shared" si="336"/>
        <v>0</v>
      </c>
      <c r="J1619">
        <f t="shared" si="337"/>
        <v>0</v>
      </c>
      <c r="K1619" s="4" t="e">
        <f t="shared" si="327"/>
        <v>#N/A</v>
      </c>
      <c r="L1619" t="e">
        <f t="shared" si="328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9"/>
        <v>0</v>
      </c>
      <c r="B1620">
        <f t="shared" si="330"/>
        <v>0</v>
      </c>
      <c r="C1620">
        <f t="shared" si="331"/>
        <v>0</v>
      </c>
      <c r="D1620">
        <f t="shared" si="332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3"/>
        <v>0</v>
      </c>
      <c r="G1620">
        <f t="shared" si="334"/>
        <v>0</v>
      </c>
      <c r="H1620">
        <f t="shared" si="335"/>
        <v>0</v>
      </c>
      <c r="I1620">
        <f t="shared" si="336"/>
        <v>0</v>
      </c>
      <c r="J1620">
        <f t="shared" si="337"/>
        <v>0</v>
      </c>
      <c r="K1620" s="4" t="e">
        <f t="shared" si="327"/>
        <v>#N/A</v>
      </c>
      <c r="L1620" t="e">
        <f t="shared" si="328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9"/>
        <v>0</v>
      </c>
      <c r="B1621">
        <f t="shared" si="330"/>
        <v>0</v>
      </c>
      <c r="C1621">
        <f t="shared" si="331"/>
        <v>0</v>
      </c>
      <c r="D1621">
        <f t="shared" si="332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3"/>
        <v>0</v>
      </c>
      <c r="G1621">
        <f t="shared" si="334"/>
        <v>0</v>
      </c>
      <c r="H1621">
        <f t="shared" si="335"/>
        <v>0</v>
      </c>
      <c r="I1621">
        <f t="shared" si="336"/>
        <v>0</v>
      </c>
      <c r="J1621">
        <f t="shared" si="337"/>
        <v>0</v>
      </c>
      <c r="K1621" s="4" t="e">
        <f t="shared" si="327"/>
        <v>#N/A</v>
      </c>
      <c r="L1621" t="e">
        <f t="shared" si="328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9"/>
        <v>0</v>
      </c>
      <c r="B1622">
        <f t="shared" si="330"/>
        <v>0</v>
      </c>
      <c r="C1622">
        <f t="shared" si="331"/>
        <v>0</v>
      </c>
      <c r="D1622">
        <f t="shared" si="332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3"/>
        <v>0</v>
      </c>
      <c r="G1622">
        <f t="shared" si="334"/>
        <v>0</v>
      </c>
      <c r="H1622">
        <f t="shared" si="335"/>
        <v>0</v>
      </c>
      <c r="I1622">
        <f t="shared" si="336"/>
        <v>0</v>
      </c>
      <c r="J1622">
        <f t="shared" si="337"/>
        <v>0</v>
      </c>
      <c r="K1622" s="4" t="e">
        <f t="shared" si="327"/>
        <v>#N/A</v>
      </c>
      <c r="L1622" t="e">
        <f t="shared" si="328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9"/>
        <v>0</v>
      </c>
      <c r="B1623">
        <f t="shared" si="330"/>
        <v>0</v>
      </c>
      <c r="C1623">
        <f t="shared" si="331"/>
        <v>0</v>
      </c>
      <c r="D1623">
        <f t="shared" si="332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3"/>
        <v>0</v>
      </c>
      <c r="G1623">
        <f t="shared" si="334"/>
        <v>0</v>
      </c>
      <c r="H1623">
        <f t="shared" si="335"/>
        <v>0</v>
      </c>
      <c r="I1623">
        <f t="shared" si="336"/>
        <v>0</v>
      </c>
      <c r="J1623">
        <f t="shared" si="337"/>
        <v>0</v>
      </c>
      <c r="K1623" s="4" t="e">
        <f t="shared" si="327"/>
        <v>#N/A</v>
      </c>
      <c r="L1623" t="e">
        <f t="shared" si="328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9"/>
        <v>0</v>
      </c>
      <c r="B1624">
        <f t="shared" si="330"/>
        <v>0</v>
      </c>
      <c r="C1624">
        <f t="shared" si="331"/>
        <v>0</v>
      </c>
      <c r="D1624">
        <f t="shared" si="332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3"/>
        <v>0</v>
      </c>
      <c r="G1624">
        <f t="shared" si="334"/>
        <v>0</v>
      </c>
      <c r="H1624">
        <f t="shared" si="335"/>
        <v>0</v>
      </c>
      <c r="I1624">
        <f t="shared" si="336"/>
        <v>0</v>
      </c>
      <c r="J1624">
        <f t="shared" si="337"/>
        <v>0</v>
      </c>
      <c r="K1624" s="4" t="e">
        <f t="shared" si="327"/>
        <v>#N/A</v>
      </c>
      <c r="L1624" t="e">
        <f t="shared" si="328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9"/>
        <v>0</v>
      </c>
      <c r="B1625">
        <f t="shared" si="330"/>
        <v>0</v>
      </c>
      <c r="C1625">
        <f t="shared" si="331"/>
        <v>0</v>
      </c>
      <c r="D1625">
        <f t="shared" si="332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3"/>
        <v>0</v>
      </c>
      <c r="G1625">
        <f t="shared" si="334"/>
        <v>0</v>
      </c>
      <c r="H1625">
        <f t="shared" si="335"/>
        <v>0</v>
      </c>
      <c r="I1625">
        <f t="shared" si="336"/>
        <v>0</v>
      </c>
      <c r="J1625">
        <f t="shared" si="337"/>
        <v>0</v>
      </c>
      <c r="K1625" s="4" t="e">
        <f t="shared" si="327"/>
        <v>#N/A</v>
      </c>
      <c r="L1625" t="e">
        <f t="shared" si="328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9"/>
        <v>0</v>
      </c>
      <c r="B1626">
        <f t="shared" si="330"/>
        <v>0</v>
      </c>
      <c r="C1626">
        <f t="shared" si="331"/>
        <v>0</v>
      </c>
      <c r="D1626">
        <f t="shared" si="332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3"/>
        <v>0</v>
      </c>
      <c r="G1626">
        <f t="shared" si="334"/>
        <v>0</v>
      </c>
      <c r="H1626">
        <f t="shared" si="335"/>
        <v>0</v>
      </c>
      <c r="I1626">
        <f t="shared" si="336"/>
        <v>0</v>
      </c>
      <c r="J1626">
        <f t="shared" si="337"/>
        <v>0</v>
      </c>
      <c r="K1626" s="4" t="e">
        <f t="shared" si="327"/>
        <v>#N/A</v>
      </c>
      <c r="L1626" t="e">
        <f t="shared" si="328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9"/>
        <v>0</v>
      </c>
      <c r="B1627">
        <f t="shared" si="330"/>
        <v>0</v>
      </c>
      <c r="C1627">
        <f t="shared" si="331"/>
        <v>0</v>
      </c>
      <c r="D1627">
        <f t="shared" si="332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3"/>
        <v>0</v>
      </c>
      <c r="G1627">
        <f t="shared" si="334"/>
        <v>0</v>
      </c>
      <c r="H1627">
        <f t="shared" si="335"/>
        <v>0</v>
      </c>
      <c r="I1627">
        <f t="shared" si="336"/>
        <v>0</v>
      </c>
      <c r="J1627">
        <f t="shared" si="337"/>
        <v>0</v>
      </c>
      <c r="K1627" s="4" t="e">
        <f t="shared" si="327"/>
        <v>#N/A</v>
      </c>
      <c r="L1627" t="e">
        <f t="shared" si="328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9"/>
        <v>0</v>
      </c>
      <c r="B1628">
        <f t="shared" si="330"/>
        <v>0</v>
      </c>
      <c r="C1628">
        <f t="shared" si="331"/>
        <v>0</v>
      </c>
      <c r="D1628">
        <f t="shared" si="332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3"/>
        <v>0</v>
      </c>
      <c r="G1628">
        <f t="shared" si="334"/>
        <v>0</v>
      </c>
      <c r="H1628">
        <f t="shared" si="335"/>
        <v>0</v>
      </c>
      <c r="I1628">
        <f t="shared" si="336"/>
        <v>0</v>
      </c>
      <c r="J1628">
        <f t="shared" si="337"/>
        <v>0</v>
      </c>
      <c r="K1628" s="4" t="e">
        <f t="shared" si="327"/>
        <v>#N/A</v>
      </c>
      <c r="L1628" t="e">
        <f t="shared" si="328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9"/>
        <v>0</v>
      </c>
      <c r="B1629">
        <f t="shared" si="330"/>
        <v>0</v>
      </c>
      <c r="C1629">
        <f t="shared" si="331"/>
        <v>0</v>
      </c>
      <c r="D1629">
        <f t="shared" si="332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3"/>
        <v>0</v>
      </c>
      <c r="G1629">
        <f t="shared" si="334"/>
        <v>0</v>
      </c>
      <c r="H1629">
        <f t="shared" si="335"/>
        <v>0</v>
      </c>
      <c r="I1629">
        <f t="shared" si="336"/>
        <v>0</v>
      </c>
      <c r="J1629">
        <f t="shared" si="337"/>
        <v>0</v>
      </c>
      <c r="K1629" s="4" t="e">
        <f t="shared" si="327"/>
        <v>#N/A</v>
      </c>
      <c r="L1629" t="e">
        <f t="shared" si="328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9"/>
        <v>0</v>
      </c>
      <c r="B1630">
        <f t="shared" si="330"/>
        <v>0</v>
      </c>
      <c r="C1630">
        <f t="shared" si="331"/>
        <v>0</v>
      </c>
      <c r="D1630">
        <f t="shared" si="332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3"/>
        <v>0</v>
      </c>
      <c r="G1630">
        <f t="shared" si="334"/>
        <v>0</v>
      </c>
      <c r="H1630">
        <f t="shared" si="335"/>
        <v>0</v>
      </c>
      <c r="I1630">
        <f t="shared" si="336"/>
        <v>0</v>
      </c>
      <c r="J1630">
        <f t="shared" si="337"/>
        <v>0</v>
      </c>
      <c r="K1630" s="4" t="e">
        <f t="shared" si="327"/>
        <v>#N/A</v>
      </c>
      <c r="L1630" t="e">
        <f t="shared" si="328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9"/>
        <v>0</v>
      </c>
      <c r="B1631">
        <f t="shared" si="330"/>
        <v>0</v>
      </c>
      <c r="C1631">
        <f t="shared" si="331"/>
        <v>0</v>
      </c>
      <c r="D1631">
        <f t="shared" si="332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3"/>
        <v>0</v>
      </c>
      <c r="G1631">
        <f t="shared" si="334"/>
        <v>0</v>
      </c>
      <c r="H1631">
        <f t="shared" si="335"/>
        <v>0</v>
      </c>
      <c r="I1631">
        <f t="shared" si="336"/>
        <v>0</v>
      </c>
      <c r="J1631">
        <f t="shared" si="337"/>
        <v>0</v>
      </c>
      <c r="K1631" s="4" t="e">
        <f t="shared" si="327"/>
        <v>#N/A</v>
      </c>
      <c r="L1631" t="e">
        <f t="shared" si="328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9"/>
        <v>0</v>
      </c>
      <c r="B1632">
        <f t="shared" si="330"/>
        <v>0</v>
      </c>
      <c r="C1632">
        <f t="shared" si="331"/>
        <v>0</v>
      </c>
      <c r="D1632">
        <f t="shared" si="332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3"/>
        <v>0</v>
      </c>
      <c r="G1632">
        <f t="shared" si="334"/>
        <v>0</v>
      </c>
      <c r="H1632">
        <f t="shared" si="335"/>
        <v>0</v>
      </c>
      <c r="I1632">
        <f t="shared" si="336"/>
        <v>0</v>
      </c>
      <c r="J1632">
        <f t="shared" si="337"/>
        <v>0</v>
      </c>
      <c r="K1632" s="4" t="e">
        <f t="shared" si="327"/>
        <v>#N/A</v>
      </c>
      <c r="L1632" t="e">
        <f t="shared" si="328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9"/>
        <v>0</v>
      </c>
      <c r="B1633">
        <f t="shared" si="330"/>
        <v>0</v>
      </c>
      <c r="C1633">
        <f t="shared" si="331"/>
        <v>0</v>
      </c>
      <c r="D1633">
        <f t="shared" si="332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3"/>
        <v>0</v>
      </c>
      <c r="G1633">
        <f t="shared" si="334"/>
        <v>0</v>
      </c>
      <c r="H1633">
        <f t="shared" si="335"/>
        <v>0</v>
      </c>
      <c r="I1633">
        <f t="shared" si="336"/>
        <v>0</v>
      </c>
      <c r="J1633">
        <f t="shared" si="337"/>
        <v>0</v>
      </c>
      <c r="K1633" s="4" t="e">
        <f t="shared" si="327"/>
        <v>#N/A</v>
      </c>
      <c r="L1633" t="e">
        <f t="shared" si="328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9"/>
        <v>0</v>
      </c>
      <c r="B1634">
        <f t="shared" si="330"/>
        <v>0</v>
      </c>
      <c r="C1634">
        <f t="shared" si="331"/>
        <v>0</v>
      </c>
      <c r="D1634">
        <f t="shared" si="332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3"/>
        <v>0</v>
      </c>
      <c r="G1634">
        <f t="shared" si="334"/>
        <v>0</v>
      </c>
      <c r="H1634">
        <f t="shared" si="335"/>
        <v>0</v>
      </c>
      <c r="I1634">
        <f t="shared" si="336"/>
        <v>0</v>
      </c>
      <c r="J1634">
        <f t="shared" si="337"/>
        <v>0</v>
      </c>
      <c r="K1634" s="4" t="e">
        <f t="shared" si="327"/>
        <v>#N/A</v>
      </c>
      <c r="L1634" t="e">
        <f t="shared" si="328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9"/>
        <v>0</v>
      </c>
      <c r="B1635">
        <f t="shared" si="330"/>
        <v>0</v>
      </c>
      <c r="C1635">
        <f t="shared" si="331"/>
        <v>0</v>
      </c>
      <c r="D1635">
        <f t="shared" si="332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3"/>
        <v>0</v>
      </c>
      <c r="G1635">
        <f t="shared" si="334"/>
        <v>0</v>
      </c>
      <c r="H1635">
        <f t="shared" si="335"/>
        <v>0</v>
      </c>
      <c r="I1635">
        <f t="shared" si="336"/>
        <v>0</v>
      </c>
      <c r="J1635">
        <f t="shared" si="337"/>
        <v>0</v>
      </c>
      <c r="K1635" s="4" t="e">
        <f t="shared" si="327"/>
        <v>#N/A</v>
      </c>
      <c r="L1635" t="e">
        <f t="shared" si="328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9"/>
        <v>0</v>
      </c>
      <c r="B1636">
        <f t="shared" si="330"/>
        <v>0</v>
      </c>
      <c r="C1636">
        <f t="shared" si="331"/>
        <v>0</v>
      </c>
      <c r="D1636">
        <f t="shared" si="332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3"/>
        <v>0</v>
      </c>
      <c r="G1636">
        <f t="shared" si="334"/>
        <v>0</v>
      </c>
      <c r="H1636">
        <f t="shared" si="335"/>
        <v>0</v>
      </c>
      <c r="I1636">
        <f t="shared" si="336"/>
        <v>0</v>
      </c>
      <c r="J1636">
        <f t="shared" si="337"/>
        <v>0</v>
      </c>
      <c r="K1636" s="4" t="e">
        <f t="shared" si="327"/>
        <v>#N/A</v>
      </c>
      <c r="L1636" t="e">
        <f t="shared" si="328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9"/>
        <v>0</v>
      </c>
      <c r="B1637">
        <f t="shared" si="330"/>
        <v>0</v>
      </c>
      <c r="C1637">
        <f t="shared" si="331"/>
        <v>0</v>
      </c>
      <c r="D1637">
        <f t="shared" si="332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3"/>
        <v>0</v>
      </c>
      <c r="G1637">
        <f t="shared" si="334"/>
        <v>0</v>
      </c>
      <c r="H1637">
        <f t="shared" si="335"/>
        <v>0</v>
      </c>
      <c r="I1637">
        <f t="shared" si="336"/>
        <v>0</v>
      </c>
      <c r="J1637">
        <f t="shared" si="337"/>
        <v>0</v>
      </c>
      <c r="K1637" s="4" t="e">
        <f t="shared" si="327"/>
        <v>#N/A</v>
      </c>
      <c r="L1637" t="e">
        <f t="shared" si="328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9"/>
        <v>0</v>
      </c>
      <c r="B1638">
        <f t="shared" si="330"/>
        <v>0</v>
      </c>
      <c r="C1638">
        <f t="shared" si="331"/>
        <v>0</v>
      </c>
      <c r="D1638">
        <f t="shared" si="332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3"/>
        <v>0</v>
      </c>
      <c r="G1638">
        <f t="shared" si="334"/>
        <v>0</v>
      </c>
      <c r="H1638">
        <f t="shared" si="335"/>
        <v>0</v>
      </c>
      <c r="I1638">
        <f t="shared" si="336"/>
        <v>0</v>
      </c>
      <c r="J1638">
        <f t="shared" si="337"/>
        <v>0</v>
      </c>
      <c r="K1638" s="4" t="e">
        <f t="shared" si="327"/>
        <v>#N/A</v>
      </c>
      <c r="L1638" t="e">
        <f t="shared" si="328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9"/>
        <v>0</v>
      </c>
      <c r="B1639">
        <f t="shared" si="330"/>
        <v>0</v>
      </c>
      <c r="C1639">
        <f t="shared" si="331"/>
        <v>0</v>
      </c>
      <c r="D1639">
        <f t="shared" si="332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3"/>
        <v>0</v>
      </c>
      <c r="G1639">
        <f t="shared" si="334"/>
        <v>0</v>
      </c>
      <c r="H1639">
        <f t="shared" si="335"/>
        <v>0</v>
      </c>
      <c r="I1639">
        <f t="shared" si="336"/>
        <v>0</v>
      </c>
      <c r="J1639">
        <f t="shared" si="337"/>
        <v>0</v>
      </c>
      <c r="K1639" s="4" t="e">
        <f t="shared" si="327"/>
        <v>#N/A</v>
      </c>
      <c r="L1639" t="e">
        <f t="shared" si="328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9"/>
        <v>0</v>
      </c>
      <c r="B1640">
        <f t="shared" si="330"/>
        <v>0</v>
      </c>
      <c r="C1640">
        <f t="shared" si="331"/>
        <v>0</v>
      </c>
      <c r="D1640">
        <f t="shared" si="332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3"/>
        <v>0</v>
      </c>
      <c r="G1640">
        <f t="shared" si="334"/>
        <v>0</v>
      </c>
      <c r="H1640">
        <f t="shared" si="335"/>
        <v>0</v>
      </c>
      <c r="I1640">
        <f t="shared" si="336"/>
        <v>0</v>
      </c>
      <c r="J1640">
        <f t="shared" si="337"/>
        <v>0</v>
      </c>
      <c r="K1640" s="4" t="e">
        <f t="shared" si="327"/>
        <v>#N/A</v>
      </c>
      <c r="L1640" t="e">
        <f t="shared" si="328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9"/>
        <v>0</v>
      </c>
      <c r="B1641">
        <f t="shared" si="330"/>
        <v>0</v>
      </c>
      <c r="C1641">
        <f t="shared" si="331"/>
        <v>0</v>
      </c>
      <c r="D1641">
        <f t="shared" si="332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3"/>
        <v>0</v>
      </c>
      <c r="G1641">
        <f t="shared" si="334"/>
        <v>0</v>
      </c>
      <c r="H1641">
        <f t="shared" si="335"/>
        <v>0</v>
      </c>
      <c r="I1641">
        <f t="shared" si="336"/>
        <v>0</v>
      </c>
      <c r="J1641">
        <f t="shared" si="337"/>
        <v>0</v>
      </c>
      <c r="K1641" s="4" t="e">
        <f t="shared" si="327"/>
        <v>#N/A</v>
      </c>
      <c r="L1641" t="e">
        <f t="shared" si="328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9"/>
        <v>0</v>
      </c>
      <c r="B1642">
        <f t="shared" si="330"/>
        <v>0</v>
      </c>
      <c r="C1642">
        <f t="shared" si="331"/>
        <v>0</v>
      </c>
      <c r="D1642">
        <f t="shared" si="332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3"/>
        <v>0</v>
      </c>
      <c r="G1642">
        <f t="shared" si="334"/>
        <v>0</v>
      </c>
      <c r="H1642">
        <f t="shared" si="335"/>
        <v>0</v>
      </c>
      <c r="I1642">
        <f t="shared" si="336"/>
        <v>0</v>
      </c>
      <c r="J1642">
        <f t="shared" si="337"/>
        <v>0</v>
      </c>
      <c r="K1642" s="4" t="e">
        <f t="shared" si="327"/>
        <v>#N/A</v>
      </c>
      <c r="L1642" t="e">
        <f t="shared" si="328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9"/>
        <v>0</v>
      </c>
      <c r="B1643">
        <f t="shared" si="330"/>
        <v>0</v>
      </c>
      <c r="C1643">
        <f t="shared" si="331"/>
        <v>0</v>
      </c>
      <c r="D1643">
        <f t="shared" si="332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3"/>
        <v>0</v>
      </c>
      <c r="G1643">
        <f t="shared" si="334"/>
        <v>0</v>
      </c>
      <c r="H1643">
        <f t="shared" si="335"/>
        <v>0</v>
      </c>
      <c r="I1643">
        <f t="shared" si="336"/>
        <v>0</v>
      </c>
      <c r="J1643">
        <f t="shared" si="337"/>
        <v>0</v>
      </c>
      <c r="K1643" s="4" t="e">
        <f t="shared" si="327"/>
        <v>#N/A</v>
      </c>
      <c r="L1643" t="e">
        <f t="shared" si="328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9"/>
        <v>0</v>
      </c>
      <c r="B1644">
        <f t="shared" si="330"/>
        <v>0</v>
      </c>
      <c r="C1644">
        <f t="shared" si="331"/>
        <v>0</v>
      </c>
      <c r="D1644">
        <f t="shared" si="332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3"/>
        <v>0</v>
      </c>
      <c r="G1644">
        <f t="shared" si="334"/>
        <v>0</v>
      </c>
      <c r="H1644">
        <f t="shared" si="335"/>
        <v>0</v>
      </c>
      <c r="I1644">
        <f t="shared" si="336"/>
        <v>0</v>
      </c>
      <c r="J1644">
        <f t="shared" si="337"/>
        <v>0</v>
      </c>
      <c r="K1644" s="4" t="e">
        <f t="shared" ref="K1644:K1707" si="340">IF(LEFT(B1644,3)="DBM",0,VLOOKUP(E1644,tabela,2,FALSE))</f>
        <v>#N/A</v>
      </c>
      <c r="L1644" t="e">
        <f t="shared" ref="L1644:L1707" si="341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9"/>
        <v>0</v>
      </c>
      <c r="B1645">
        <f t="shared" si="330"/>
        <v>0</v>
      </c>
      <c r="C1645">
        <f t="shared" si="331"/>
        <v>0</v>
      </c>
      <c r="D1645">
        <f t="shared" si="332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3"/>
        <v>0</v>
      </c>
      <c r="G1645">
        <f t="shared" si="334"/>
        <v>0</v>
      </c>
      <c r="H1645">
        <f t="shared" si="335"/>
        <v>0</v>
      </c>
      <c r="I1645">
        <f t="shared" si="336"/>
        <v>0</v>
      </c>
      <c r="J1645">
        <f t="shared" si="337"/>
        <v>0</v>
      </c>
      <c r="K1645" s="4" t="e">
        <f t="shared" si="340"/>
        <v>#N/A</v>
      </c>
      <c r="L1645" t="e">
        <f t="shared" si="341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9"/>
        <v>0</v>
      </c>
      <c r="B1646">
        <f t="shared" si="330"/>
        <v>0</v>
      </c>
      <c r="C1646">
        <f t="shared" si="331"/>
        <v>0</v>
      </c>
      <c r="D1646">
        <f t="shared" si="332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3"/>
        <v>0</v>
      </c>
      <c r="G1646">
        <f t="shared" si="334"/>
        <v>0</v>
      </c>
      <c r="H1646">
        <f t="shared" si="335"/>
        <v>0</v>
      </c>
      <c r="I1646">
        <f t="shared" si="336"/>
        <v>0</v>
      </c>
      <c r="J1646">
        <f t="shared" si="337"/>
        <v>0</v>
      </c>
      <c r="K1646" s="4" t="e">
        <f t="shared" si="340"/>
        <v>#N/A</v>
      </c>
      <c r="L1646" t="e">
        <f t="shared" si="341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9"/>
        <v>0</v>
      </c>
      <c r="B1647">
        <f t="shared" si="330"/>
        <v>0</v>
      </c>
      <c r="C1647">
        <f t="shared" si="331"/>
        <v>0</v>
      </c>
      <c r="D1647">
        <f t="shared" si="332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3"/>
        <v>0</v>
      </c>
      <c r="G1647">
        <f t="shared" si="334"/>
        <v>0</v>
      </c>
      <c r="H1647">
        <f t="shared" si="335"/>
        <v>0</v>
      </c>
      <c r="I1647">
        <f t="shared" si="336"/>
        <v>0</v>
      </c>
      <c r="J1647">
        <f t="shared" si="337"/>
        <v>0</v>
      </c>
      <c r="K1647" s="4" t="e">
        <f t="shared" si="340"/>
        <v>#N/A</v>
      </c>
      <c r="L1647" t="e">
        <f t="shared" si="341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9"/>
        <v>0</v>
      </c>
      <c r="B1648">
        <f t="shared" si="330"/>
        <v>0</v>
      </c>
      <c r="C1648">
        <f t="shared" si="331"/>
        <v>0</v>
      </c>
      <c r="D1648">
        <f t="shared" si="332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3"/>
        <v>0</v>
      </c>
      <c r="G1648">
        <f t="shared" si="334"/>
        <v>0</v>
      </c>
      <c r="H1648">
        <f t="shared" si="335"/>
        <v>0</v>
      </c>
      <c r="I1648">
        <f t="shared" si="336"/>
        <v>0</v>
      </c>
      <c r="J1648">
        <f t="shared" si="337"/>
        <v>0</v>
      </c>
      <c r="K1648" s="4" t="e">
        <f t="shared" si="340"/>
        <v>#N/A</v>
      </c>
      <c r="L1648" t="e">
        <f t="shared" si="341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9"/>
        <v>0</v>
      </c>
      <c r="B1649">
        <f t="shared" si="330"/>
        <v>0</v>
      </c>
      <c r="C1649">
        <f t="shared" si="331"/>
        <v>0</v>
      </c>
      <c r="D1649">
        <f t="shared" si="332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3"/>
        <v>0</v>
      </c>
      <c r="G1649">
        <f t="shared" si="334"/>
        <v>0</v>
      </c>
      <c r="H1649">
        <f t="shared" si="335"/>
        <v>0</v>
      </c>
      <c r="I1649">
        <f t="shared" si="336"/>
        <v>0</v>
      </c>
      <c r="J1649">
        <f t="shared" si="337"/>
        <v>0</v>
      </c>
      <c r="K1649" s="4" t="e">
        <f t="shared" si="340"/>
        <v>#N/A</v>
      </c>
      <c r="L1649" t="e">
        <f t="shared" si="341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9"/>
        <v>0</v>
      </c>
      <c r="B1650">
        <f t="shared" si="330"/>
        <v>0</v>
      </c>
      <c r="C1650">
        <f t="shared" si="331"/>
        <v>0</v>
      </c>
      <c r="D1650">
        <f t="shared" si="332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3"/>
        <v>0</v>
      </c>
      <c r="G1650">
        <f t="shared" si="334"/>
        <v>0</v>
      </c>
      <c r="H1650">
        <f t="shared" si="335"/>
        <v>0</v>
      </c>
      <c r="I1650">
        <f t="shared" si="336"/>
        <v>0</v>
      </c>
      <c r="J1650">
        <f t="shared" si="337"/>
        <v>0</v>
      </c>
      <c r="K1650" s="4" t="e">
        <f t="shared" si="340"/>
        <v>#N/A</v>
      </c>
      <c r="L1650" t="e">
        <f t="shared" si="341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9"/>
        <v>0</v>
      </c>
      <c r="B1651">
        <f t="shared" si="330"/>
        <v>0</v>
      </c>
      <c r="C1651">
        <f t="shared" si="331"/>
        <v>0</v>
      </c>
      <c r="D1651">
        <f t="shared" si="332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3"/>
        <v>0</v>
      </c>
      <c r="G1651">
        <f t="shared" si="334"/>
        <v>0</v>
      </c>
      <c r="H1651">
        <f t="shared" si="335"/>
        <v>0</v>
      </c>
      <c r="I1651">
        <f t="shared" si="336"/>
        <v>0</v>
      </c>
      <c r="J1651">
        <f t="shared" si="337"/>
        <v>0</v>
      </c>
      <c r="K1651" s="4" t="e">
        <f t="shared" si="340"/>
        <v>#N/A</v>
      </c>
      <c r="L1651" t="e">
        <f t="shared" si="341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9"/>
        <v>0</v>
      </c>
      <c r="B1652">
        <f t="shared" si="330"/>
        <v>0</v>
      </c>
      <c r="C1652">
        <f t="shared" si="331"/>
        <v>0</v>
      </c>
      <c r="D1652">
        <f t="shared" si="332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3"/>
        <v>0</v>
      </c>
      <c r="G1652">
        <f t="shared" si="334"/>
        <v>0</v>
      </c>
      <c r="H1652">
        <f t="shared" si="335"/>
        <v>0</v>
      </c>
      <c r="I1652">
        <f t="shared" si="336"/>
        <v>0</v>
      </c>
      <c r="J1652">
        <f t="shared" si="337"/>
        <v>0</v>
      </c>
      <c r="K1652" s="4" t="e">
        <f t="shared" si="340"/>
        <v>#N/A</v>
      </c>
      <c r="L1652" t="e">
        <f t="shared" si="341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9"/>
        <v>0</v>
      </c>
      <c r="B1653">
        <f t="shared" si="330"/>
        <v>0</v>
      </c>
      <c r="C1653">
        <f t="shared" si="331"/>
        <v>0</v>
      </c>
      <c r="D1653">
        <f t="shared" si="332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3"/>
        <v>0</v>
      </c>
      <c r="G1653">
        <f t="shared" si="334"/>
        <v>0</v>
      </c>
      <c r="H1653">
        <f t="shared" si="335"/>
        <v>0</v>
      </c>
      <c r="I1653">
        <f t="shared" si="336"/>
        <v>0</v>
      </c>
      <c r="J1653">
        <f t="shared" si="337"/>
        <v>0</v>
      </c>
      <c r="K1653" s="4" t="e">
        <f t="shared" si="340"/>
        <v>#N/A</v>
      </c>
      <c r="L1653" t="e">
        <f t="shared" si="341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9"/>
        <v>0</v>
      </c>
      <c r="B1654">
        <f t="shared" si="330"/>
        <v>0</v>
      </c>
      <c r="C1654">
        <f t="shared" si="331"/>
        <v>0</v>
      </c>
      <c r="D1654">
        <f t="shared" si="332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3"/>
        <v>0</v>
      </c>
      <c r="G1654">
        <f t="shared" si="334"/>
        <v>0</v>
      </c>
      <c r="H1654">
        <f t="shared" si="335"/>
        <v>0</v>
      </c>
      <c r="I1654">
        <f t="shared" si="336"/>
        <v>0</v>
      </c>
      <c r="J1654">
        <f t="shared" si="337"/>
        <v>0</v>
      </c>
      <c r="K1654" s="4" t="e">
        <f t="shared" si="340"/>
        <v>#N/A</v>
      </c>
      <c r="L1654" t="e">
        <f t="shared" si="341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9"/>
        <v>0</v>
      </c>
      <c r="B1655">
        <f t="shared" si="330"/>
        <v>0</v>
      </c>
      <c r="C1655">
        <f t="shared" si="331"/>
        <v>0</v>
      </c>
      <c r="D1655">
        <f t="shared" si="332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3"/>
        <v>0</v>
      </c>
      <c r="G1655">
        <f t="shared" si="334"/>
        <v>0</v>
      </c>
      <c r="H1655">
        <f t="shared" si="335"/>
        <v>0</v>
      </c>
      <c r="I1655">
        <f t="shared" si="336"/>
        <v>0</v>
      </c>
      <c r="J1655">
        <f t="shared" si="337"/>
        <v>0</v>
      </c>
      <c r="K1655" s="4" t="e">
        <f t="shared" si="340"/>
        <v>#N/A</v>
      </c>
      <c r="L1655" t="e">
        <f t="shared" si="341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9"/>
        <v>0</v>
      </c>
      <c r="B1656">
        <f t="shared" si="330"/>
        <v>0</v>
      </c>
      <c r="C1656">
        <f t="shared" si="331"/>
        <v>0</v>
      </c>
      <c r="D1656">
        <f t="shared" si="332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3"/>
        <v>0</v>
      </c>
      <c r="G1656">
        <f t="shared" si="334"/>
        <v>0</v>
      </c>
      <c r="H1656">
        <f t="shared" si="335"/>
        <v>0</v>
      </c>
      <c r="I1656">
        <f t="shared" si="336"/>
        <v>0</v>
      </c>
      <c r="J1656">
        <f t="shared" si="337"/>
        <v>0</v>
      </c>
      <c r="K1656" s="4" t="e">
        <f t="shared" si="340"/>
        <v>#N/A</v>
      </c>
      <c r="L1656" t="e">
        <f t="shared" si="341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9"/>
        <v>0</v>
      </c>
      <c r="B1657">
        <f t="shared" si="330"/>
        <v>0</v>
      </c>
      <c r="C1657">
        <f t="shared" si="331"/>
        <v>0</v>
      </c>
      <c r="D1657">
        <f t="shared" si="332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3"/>
        <v>0</v>
      </c>
      <c r="G1657">
        <f t="shared" si="334"/>
        <v>0</v>
      </c>
      <c r="H1657">
        <f t="shared" si="335"/>
        <v>0</v>
      </c>
      <c r="I1657">
        <f t="shared" si="336"/>
        <v>0</v>
      </c>
      <c r="J1657">
        <f t="shared" si="337"/>
        <v>0</v>
      </c>
      <c r="K1657" s="4" t="e">
        <f t="shared" si="340"/>
        <v>#N/A</v>
      </c>
      <c r="L1657" t="e">
        <f t="shared" si="341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9"/>
        <v>0</v>
      </c>
      <c r="B1658">
        <f t="shared" si="330"/>
        <v>0</v>
      </c>
      <c r="C1658">
        <f t="shared" si="331"/>
        <v>0</v>
      </c>
      <c r="D1658">
        <f t="shared" si="332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3"/>
        <v>0</v>
      </c>
      <c r="G1658">
        <f t="shared" si="334"/>
        <v>0</v>
      </c>
      <c r="H1658">
        <f t="shared" si="335"/>
        <v>0</v>
      </c>
      <c r="I1658">
        <f t="shared" si="336"/>
        <v>0</v>
      </c>
      <c r="J1658">
        <f t="shared" si="337"/>
        <v>0</v>
      </c>
      <c r="K1658" s="4" t="e">
        <f t="shared" si="340"/>
        <v>#N/A</v>
      </c>
      <c r="L1658" t="e">
        <f t="shared" si="341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9"/>
        <v>0</v>
      </c>
      <c r="B1659">
        <f t="shared" si="330"/>
        <v>0</v>
      </c>
      <c r="C1659">
        <f t="shared" si="331"/>
        <v>0</v>
      </c>
      <c r="D1659">
        <f t="shared" si="332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3"/>
        <v>0</v>
      </c>
      <c r="G1659">
        <f t="shared" si="334"/>
        <v>0</v>
      </c>
      <c r="H1659">
        <f t="shared" si="335"/>
        <v>0</v>
      </c>
      <c r="I1659">
        <f t="shared" si="336"/>
        <v>0</v>
      </c>
      <c r="J1659">
        <f t="shared" si="337"/>
        <v>0</v>
      </c>
      <c r="K1659" s="4" t="e">
        <f t="shared" si="340"/>
        <v>#N/A</v>
      </c>
      <c r="L1659" t="e">
        <f t="shared" si="341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9"/>
        <v>0</v>
      </c>
      <c r="B1660">
        <f t="shared" si="330"/>
        <v>0</v>
      </c>
      <c r="C1660">
        <f t="shared" si="331"/>
        <v>0</v>
      </c>
      <c r="D1660">
        <f t="shared" si="332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3"/>
        <v>0</v>
      </c>
      <c r="G1660">
        <f t="shared" si="334"/>
        <v>0</v>
      </c>
      <c r="H1660">
        <f t="shared" si="335"/>
        <v>0</v>
      </c>
      <c r="I1660">
        <f t="shared" si="336"/>
        <v>0</v>
      </c>
      <c r="J1660">
        <f t="shared" si="337"/>
        <v>0</v>
      </c>
      <c r="K1660" s="4" t="e">
        <f t="shared" si="340"/>
        <v>#N/A</v>
      </c>
      <c r="L1660" t="e">
        <f t="shared" si="341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9"/>
        <v>0</v>
      </c>
      <c r="B1661">
        <f t="shared" si="330"/>
        <v>0</v>
      </c>
      <c r="C1661">
        <f t="shared" si="331"/>
        <v>0</v>
      </c>
      <c r="D1661">
        <f t="shared" si="332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3"/>
        <v>0</v>
      </c>
      <c r="G1661">
        <f t="shared" si="334"/>
        <v>0</v>
      </c>
      <c r="H1661">
        <f t="shared" si="335"/>
        <v>0</v>
      </c>
      <c r="I1661">
        <f t="shared" si="336"/>
        <v>0</v>
      </c>
      <c r="J1661">
        <f t="shared" si="337"/>
        <v>0</v>
      </c>
      <c r="K1661" s="4" t="e">
        <f t="shared" si="340"/>
        <v>#N/A</v>
      </c>
      <c r="L1661" t="e">
        <f t="shared" si="341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9"/>
        <v>0</v>
      </c>
      <c r="B1662">
        <f t="shared" si="330"/>
        <v>0</v>
      </c>
      <c r="C1662">
        <f t="shared" si="331"/>
        <v>0</v>
      </c>
      <c r="D1662">
        <f t="shared" si="332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3"/>
        <v>0</v>
      </c>
      <c r="G1662">
        <f t="shared" si="334"/>
        <v>0</v>
      </c>
      <c r="H1662">
        <f t="shared" si="335"/>
        <v>0</v>
      </c>
      <c r="I1662">
        <f t="shared" si="336"/>
        <v>0</v>
      </c>
      <c r="J1662">
        <f t="shared" si="337"/>
        <v>0</v>
      </c>
      <c r="K1662" s="4" t="e">
        <f t="shared" si="340"/>
        <v>#N/A</v>
      </c>
      <c r="L1662" t="e">
        <f t="shared" si="341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9"/>
        <v>0</v>
      </c>
      <c r="B1663">
        <f t="shared" si="330"/>
        <v>0</v>
      </c>
      <c r="C1663">
        <f t="shared" si="331"/>
        <v>0</v>
      </c>
      <c r="D1663">
        <f t="shared" si="332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3"/>
        <v>0</v>
      </c>
      <c r="G1663">
        <f t="shared" si="334"/>
        <v>0</v>
      </c>
      <c r="H1663">
        <f t="shared" si="335"/>
        <v>0</v>
      </c>
      <c r="I1663">
        <f t="shared" si="336"/>
        <v>0</v>
      </c>
      <c r="J1663">
        <f t="shared" si="337"/>
        <v>0</v>
      </c>
      <c r="K1663" s="4" t="e">
        <f t="shared" si="340"/>
        <v>#N/A</v>
      </c>
      <c r="L1663" t="e">
        <f t="shared" si="341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9"/>
        <v>0</v>
      </c>
      <c r="B1664">
        <f t="shared" si="330"/>
        <v>0</v>
      </c>
      <c r="C1664">
        <f t="shared" si="331"/>
        <v>0</v>
      </c>
      <c r="D1664">
        <f t="shared" si="332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3"/>
        <v>0</v>
      </c>
      <c r="G1664">
        <f t="shared" si="334"/>
        <v>0</v>
      </c>
      <c r="H1664">
        <f t="shared" si="335"/>
        <v>0</v>
      </c>
      <c r="I1664">
        <f t="shared" si="336"/>
        <v>0</v>
      </c>
      <c r="J1664">
        <f t="shared" si="337"/>
        <v>0</v>
      </c>
      <c r="K1664" s="4" t="e">
        <f t="shared" si="340"/>
        <v>#N/A</v>
      </c>
      <c r="L1664" t="e">
        <f t="shared" si="341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9"/>
        <v>0</v>
      </c>
      <c r="B1665">
        <f t="shared" si="330"/>
        <v>0</v>
      </c>
      <c r="C1665">
        <f t="shared" si="331"/>
        <v>0</v>
      </c>
      <c r="D1665">
        <f t="shared" si="332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3"/>
        <v>0</v>
      </c>
      <c r="G1665">
        <f t="shared" si="334"/>
        <v>0</v>
      </c>
      <c r="H1665">
        <f t="shared" si="335"/>
        <v>0</v>
      </c>
      <c r="I1665">
        <f t="shared" si="336"/>
        <v>0</v>
      </c>
      <c r="J1665">
        <f t="shared" si="337"/>
        <v>0</v>
      </c>
      <c r="K1665" s="4" t="e">
        <f t="shared" si="340"/>
        <v>#N/A</v>
      </c>
      <c r="L1665" t="e">
        <f t="shared" si="341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2">bd_campaign</f>
        <v>0</v>
      </c>
      <c r="B1666">
        <f t="shared" ref="B1666:B1729" si="343">bd_site</f>
        <v>0</v>
      </c>
      <c r="C1666">
        <f t="shared" ref="C1666:C1729" si="344">bd_placement</f>
        <v>0</v>
      </c>
      <c r="D1666">
        <f t="shared" ref="D1666:D1729" si="345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6">bd_ad</f>
        <v>0</v>
      </c>
      <c r="G1666">
        <f t="shared" ref="G1666:G1729" si="347">bd_adid</f>
        <v>0</v>
      </c>
      <c r="H1666">
        <f t="shared" ref="H1666:H1729" si="348">bd_creativetype</f>
        <v>0</v>
      </c>
      <c r="I1666">
        <f t="shared" ref="I1666:I1729" si="349">bd_impression</f>
        <v>0</v>
      </c>
      <c r="J1666">
        <f t="shared" ref="J1666:J1729" si="350">bd_clicks</f>
        <v>0</v>
      </c>
      <c r="K1666" s="4" t="e">
        <f t="shared" si="340"/>
        <v>#N/A</v>
      </c>
      <c r="L1666" t="e">
        <f t="shared" si="341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2"/>
        <v>0</v>
      </c>
      <c r="B1667">
        <f t="shared" si="343"/>
        <v>0</v>
      </c>
      <c r="C1667">
        <f t="shared" si="344"/>
        <v>0</v>
      </c>
      <c r="D1667">
        <f t="shared" si="345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6"/>
        <v>0</v>
      </c>
      <c r="G1667">
        <f t="shared" si="347"/>
        <v>0</v>
      </c>
      <c r="H1667">
        <f t="shared" si="348"/>
        <v>0</v>
      </c>
      <c r="I1667">
        <f t="shared" si="349"/>
        <v>0</v>
      </c>
      <c r="J1667">
        <f t="shared" si="350"/>
        <v>0</v>
      </c>
      <c r="K1667" s="4" t="e">
        <f t="shared" si="340"/>
        <v>#N/A</v>
      </c>
      <c r="L1667" t="e">
        <f t="shared" si="341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2"/>
        <v>0</v>
      </c>
      <c r="B1668">
        <f t="shared" si="343"/>
        <v>0</v>
      </c>
      <c r="C1668">
        <f t="shared" si="344"/>
        <v>0</v>
      </c>
      <c r="D1668">
        <f t="shared" si="345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6"/>
        <v>0</v>
      </c>
      <c r="G1668">
        <f t="shared" si="347"/>
        <v>0</v>
      </c>
      <c r="H1668">
        <f t="shared" si="348"/>
        <v>0</v>
      </c>
      <c r="I1668">
        <f t="shared" si="349"/>
        <v>0</v>
      </c>
      <c r="J1668">
        <f t="shared" si="350"/>
        <v>0</v>
      </c>
      <c r="K1668" s="4" t="e">
        <f t="shared" si="340"/>
        <v>#N/A</v>
      </c>
      <c r="L1668" t="e">
        <f t="shared" si="341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2"/>
        <v>0</v>
      </c>
      <c r="B1669">
        <f t="shared" si="343"/>
        <v>0</v>
      </c>
      <c r="C1669">
        <f t="shared" si="344"/>
        <v>0</v>
      </c>
      <c r="D1669">
        <f t="shared" si="345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6"/>
        <v>0</v>
      </c>
      <c r="G1669">
        <f t="shared" si="347"/>
        <v>0</v>
      </c>
      <c r="H1669">
        <f t="shared" si="348"/>
        <v>0</v>
      </c>
      <c r="I1669">
        <f t="shared" si="349"/>
        <v>0</v>
      </c>
      <c r="J1669">
        <f t="shared" si="350"/>
        <v>0</v>
      </c>
      <c r="K1669" s="4" t="e">
        <f t="shared" si="340"/>
        <v>#N/A</v>
      </c>
      <c r="L1669" t="e">
        <f t="shared" si="341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2"/>
        <v>0</v>
      </c>
      <c r="B1670">
        <f t="shared" si="343"/>
        <v>0</v>
      </c>
      <c r="C1670">
        <f t="shared" si="344"/>
        <v>0</v>
      </c>
      <c r="D1670">
        <f t="shared" si="345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6"/>
        <v>0</v>
      </c>
      <c r="G1670">
        <f t="shared" si="347"/>
        <v>0</v>
      </c>
      <c r="H1670">
        <f t="shared" si="348"/>
        <v>0</v>
      </c>
      <c r="I1670">
        <f t="shared" si="349"/>
        <v>0</v>
      </c>
      <c r="J1670">
        <f t="shared" si="350"/>
        <v>0</v>
      </c>
      <c r="K1670" s="4" t="e">
        <f t="shared" si="340"/>
        <v>#N/A</v>
      </c>
      <c r="L1670" t="e">
        <f t="shared" si="341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2"/>
        <v>0</v>
      </c>
      <c r="B1671">
        <f t="shared" si="343"/>
        <v>0</v>
      </c>
      <c r="C1671">
        <f t="shared" si="344"/>
        <v>0</v>
      </c>
      <c r="D1671">
        <f t="shared" si="345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6"/>
        <v>0</v>
      </c>
      <c r="G1671">
        <f t="shared" si="347"/>
        <v>0</v>
      </c>
      <c r="H1671">
        <f t="shared" si="348"/>
        <v>0</v>
      </c>
      <c r="I1671">
        <f t="shared" si="349"/>
        <v>0</v>
      </c>
      <c r="J1671">
        <f t="shared" si="350"/>
        <v>0</v>
      </c>
      <c r="K1671" s="4" t="e">
        <f t="shared" si="340"/>
        <v>#N/A</v>
      </c>
      <c r="L1671" t="e">
        <f t="shared" si="341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2"/>
        <v>0</v>
      </c>
      <c r="B1672">
        <f t="shared" si="343"/>
        <v>0</v>
      </c>
      <c r="C1672">
        <f t="shared" si="344"/>
        <v>0</v>
      </c>
      <c r="D1672">
        <f t="shared" si="345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6"/>
        <v>0</v>
      </c>
      <c r="G1672">
        <f t="shared" si="347"/>
        <v>0</v>
      </c>
      <c r="H1672">
        <f t="shared" si="348"/>
        <v>0</v>
      </c>
      <c r="I1672">
        <f t="shared" si="349"/>
        <v>0</v>
      </c>
      <c r="J1672">
        <f t="shared" si="350"/>
        <v>0</v>
      </c>
      <c r="K1672" s="4" t="e">
        <f t="shared" si="340"/>
        <v>#N/A</v>
      </c>
      <c r="L1672" t="e">
        <f t="shared" si="341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2"/>
        <v>0</v>
      </c>
      <c r="B1673">
        <f t="shared" si="343"/>
        <v>0</v>
      </c>
      <c r="C1673">
        <f t="shared" si="344"/>
        <v>0</v>
      </c>
      <c r="D1673">
        <f t="shared" si="345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6"/>
        <v>0</v>
      </c>
      <c r="G1673">
        <f t="shared" si="347"/>
        <v>0</v>
      </c>
      <c r="H1673">
        <f t="shared" si="348"/>
        <v>0</v>
      </c>
      <c r="I1673">
        <f t="shared" si="349"/>
        <v>0</v>
      </c>
      <c r="J1673">
        <f t="shared" si="350"/>
        <v>0</v>
      </c>
      <c r="K1673" s="4" t="e">
        <f t="shared" si="340"/>
        <v>#N/A</v>
      </c>
      <c r="L1673" t="e">
        <f t="shared" si="341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2"/>
        <v>0</v>
      </c>
      <c r="B1674">
        <f t="shared" si="343"/>
        <v>0</v>
      </c>
      <c r="C1674">
        <f t="shared" si="344"/>
        <v>0</v>
      </c>
      <c r="D1674">
        <f t="shared" si="345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6"/>
        <v>0</v>
      </c>
      <c r="G1674">
        <f t="shared" si="347"/>
        <v>0</v>
      </c>
      <c r="H1674">
        <f t="shared" si="348"/>
        <v>0</v>
      </c>
      <c r="I1674">
        <f t="shared" si="349"/>
        <v>0</v>
      </c>
      <c r="J1674">
        <f t="shared" si="350"/>
        <v>0</v>
      </c>
      <c r="K1674" s="4" t="e">
        <f t="shared" si="340"/>
        <v>#N/A</v>
      </c>
      <c r="L1674" t="e">
        <f t="shared" si="341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2"/>
        <v>0</v>
      </c>
      <c r="B1675">
        <f t="shared" si="343"/>
        <v>0</v>
      </c>
      <c r="C1675">
        <f t="shared" si="344"/>
        <v>0</v>
      </c>
      <c r="D1675">
        <f t="shared" si="345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6"/>
        <v>0</v>
      </c>
      <c r="G1675">
        <f t="shared" si="347"/>
        <v>0</v>
      </c>
      <c r="H1675">
        <f t="shared" si="348"/>
        <v>0</v>
      </c>
      <c r="I1675">
        <f t="shared" si="349"/>
        <v>0</v>
      </c>
      <c r="J1675">
        <f t="shared" si="350"/>
        <v>0</v>
      </c>
      <c r="K1675" s="4" t="e">
        <f t="shared" si="340"/>
        <v>#N/A</v>
      </c>
      <c r="L1675" t="e">
        <f t="shared" si="341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2"/>
        <v>0</v>
      </c>
      <c r="B1676">
        <f t="shared" si="343"/>
        <v>0</v>
      </c>
      <c r="C1676">
        <f t="shared" si="344"/>
        <v>0</v>
      </c>
      <c r="D1676">
        <f t="shared" si="345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6"/>
        <v>0</v>
      </c>
      <c r="G1676">
        <f t="shared" si="347"/>
        <v>0</v>
      </c>
      <c r="H1676">
        <f t="shared" si="348"/>
        <v>0</v>
      </c>
      <c r="I1676">
        <f t="shared" si="349"/>
        <v>0</v>
      </c>
      <c r="J1676">
        <f t="shared" si="350"/>
        <v>0</v>
      </c>
      <c r="K1676" s="4" t="e">
        <f t="shared" si="340"/>
        <v>#N/A</v>
      </c>
      <c r="L1676" t="e">
        <f t="shared" si="341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2"/>
        <v>0</v>
      </c>
      <c r="B1677">
        <f t="shared" si="343"/>
        <v>0</v>
      </c>
      <c r="C1677">
        <f t="shared" si="344"/>
        <v>0</v>
      </c>
      <c r="D1677">
        <f t="shared" si="345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6"/>
        <v>0</v>
      </c>
      <c r="G1677">
        <f t="shared" si="347"/>
        <v>0</v>
      </c>
      <c r="H1677">
        <f t="shared" si="348"/>
        <v>0</v>
      </c>
      <c r="I1677">
        <f t="shared" si="349"/>
        <v>0</v>
      </c>
      <c r="J1677">
        <f t="shared" si="350"/>
        <v>0</v>
      </c>
      <c r="K1677" s="4" t="e">
        <f t="shared" si="340"/>
        <v>#N/A</v>
      </c>
      <c r="L1677" t="e">
        <f t="shared" si="341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2"/>
        <v>0</v>
      </c>
      <c r="B1678">
        <f t="shared" si="343"/>
        <v>0</v>
      </c>
      <c r="C1678">
        <f t="shared" si="344"/>
        <v>0</v>
      </c>
      <c r="D1678">
        <f t="shared" si="345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6"/>
        <v>0</v>
      </c>
      <c r="G1678">
        <f t="shared" si="347"/>
        <v>0</v>
      </c>
      <c r="H1678">
        <f t="shared" si="348"/>
        <v>0</v>
      </c>
      <c r="I1678">
        <f t="shared" si="349"/>
        <v>0</v>
      </c>
      <c r="J1678">
        <f t="shared" si="350"/>
        <v>0</v>
      </c>
      <c r="K1678" s="4" t="e">
        <f t="shared" si="340"/>
        <v>#N/A</v>
      </c>
      <c r="L1678" t="e">
        <f t="shared" si="341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2"/>
        <v>0</v>
      </c>
      <c r="B1679">
        <f t="shared" si="343"/>
        <v>0</v>
      </c>
      <c r="C1679">
        <f t="shared" si="344"/>
        <v>0</v>
      </c>
      <c r="D1679">
        <f t="shared" si="345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6"/>
        <v>0</v>
      </c>
      <c r="G1679">
        <f t="shared" si="347"/>
        <v>0</v>
      </c>
      <c r="H1679">
        <f t="shared" si="348"/>
        <v>0</v>
      </c>
      <c r="I1679">
        <f t="shared" si="349"/>
        <v>0</v>
      </c>
      <c r="J1679">
        <f t="shared" si="350"/>
        <v>0</v>
      </c>
      <c r="K1679" s="4" t="e">
        <f t="shared" si="340"/>
        <v>#N/A</v>
      </c>
      <c r="L1679" t="e">
        <f t="shared" si="341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2"/>
        <v>0</v>
      </c>
      <c r="B1680">
        <f t="shared" si="343"/>
        <v>0</v>
      </c>
      <c r="C1680">
        <f t="shared" si="344"/>
        <v>0</v>
      </c>
      <c r="D1680">
        <f t="shared" si="345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6"/>
        <v>0</v>
      </c>
      <c r="G1680">
        <f t="shared" si="347"/>
        <v>0</v>
      </c>
      <c r="H1680">
        <f t="shared" si="348"/>
        <v>0</v>
      </c>
      <c r="I1680">
        <f t="shared" si="349"/>
        <v>0</v>
      </c>
      <c r="J1680">
        <f t="shared" si="350"/>
        <v>0</v>
      </c>
      <c r="K1680" s="4" t="e">
        <f t="shared" si="340"/>
        <v>#N/A</v>
      </c>
      <c r="L1680" t="e">
        <f t="shared" si="341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2"/>
        <v>0</v>
      </c>
      <c r="B1681">
        <f t="shared" si="343"/>
        <v>0</v>
      </c>
      <c r="C1681">
        <f t="shared" si="344"/>
        <v>0</v>
      </c>
      <c r="D1681">
        <f t="shared" si="345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6"/>
        <v>0</v>
      </c>
      <c r="G1681">
        <f t="shared" si="347"/>
        <v>0</v>
      </c>
      <c r="H1681">
        <f t="shared" si="348"/>
        <v>0</v>
      </c>
      <c r="I1681">
        <f t="shared" si="349"/>
        <v>0</v>
      </c>
      <c r="J1681">
        <f t="shared" si="350"/>
        <v>0</v>
      </c>
      <c r="K1681" s="4" t="e">
        <f t="shared" si="340"/>
        <v>#N/A</v>
      </c>
      <c r="L1681" t="e">
        <f t="shared" si="341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2"/>
        <v>0</v>
      </c>
      <c r="B1682">
        <f t="shared" si="343"/>
        <v>0</v>
      </c>
      <c r="C1682">
        <f t="shared" si="344"/>
        <v>0</v>
      </c>
      <c r="D1682">
        <f t="shared" si="345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6"/>
        <v>0</v>
      </c>
      <c r="G1682">
        <f t="shared" si="347"/>
        <v>0</v>
      </c>
      <c r="H1682">
        <f t="shared" si="348"/>
        <v>0</v>
      </c>
      <c r="I1682">
        <f t="shared" si="349"/>
        <v>0</v>
      </c>
      <c r="J1682">
        <f t="shared" si="350"/>
        <v>0</v>
      </c>
      <c r="K1682" s="4" t="e">
        <f t="shared" si="340"/>
        <v>#N/A</v>
      </c>
      <c r="L1682" t="e">
        <f t="shared" si="341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2"/>
        <v>0</v>
      </c>
      <c r="B1683">
        <f t="shared" si="343"/>
        <v>0</v>
      </c>
      <c r="C1683">
        <f t="shared" si="344"/>
        <v>0</v>
      </c>
      <c r="D1683">
        <f t="shared" si="345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6"/>
        <v>0</v>
      </c>
      <c r="G1683">
        <f t="shared" si="347"/>
        <v>0</v>
      </c>
      <c r="H1683">
        <f t="shared" si="348"/>
        <v>0</v>
      </c>
      <c r="I1683">
        <f t="shared" si="349"/>
        <v>0</v>
      </c>
      <c r="J1683">
        <f t="shared" si="350"/>
        <v>0</v>
      </c>
      <c r="K1683" s="4" t="e">
        <f t="shared" si="340"/>
        <v>#N/A</v>
      </c>
      <c r="L1683" t="e">
        <f t="shared" si="341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2"/>
        <v>0</v>
      </c>
      <c r="B1684">
        <f t="shared" si="343"/>
        <v>0</v>
      </c>
      <c r="C1684">
        <f t="shared" si="344"/>
        <v>0</v>
      </c>
      <c r="D1684">
        <f t="shared" si="345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6"/>
        <v>0</v>
      </c>
      <c r="G1684">
        <f t="shared" si="347"/>
        <v>0</v>
      </c>
      <c r="H1684">
        <f t="shared" si="348"/>
        <v>0</v>
      </c>
      <c r="I1684">
        <f t="shared" si="349"/>
        <v>0</v>
      </c>
      <c r="J1684">
        <f t="shared" si="350"/>
        <v>0</v>
      </c>
      <c r="K1684" s="4" t="e">
        <f t="shared" si="340"/>
        <v>#N/A</v>
      </c>
      <c r="L1684" t="e">
        <f t="shared" si="341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2"/>
        <v>0</v>
      </c>
      <c r="B1685">
        <f t="shared" si="343"/>
        <v>0</v>
      </c>
      <c r="C1685">
        <f t="shared" si="344"/>
        <v>0</v>
      </c>
      <c r="D1685">
        <f t="shared" si="345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6"/>
        <v>0</v>
      </c>
      <c r="G1685">
        <f t="shared" si="347"/>
        <v>0</v>
      </c>
      <c r="H1685">
        <f t="shared" si="348"/>
        <v>0</v>
      </c>
      <c r="I1685">
        <f t="shared" si="349"/>
        <v>0</v>
      </c>
      <c r="J1685">
        <f t="shared" si="350"/>
        <v>0</v>
      </c>
      <c r="K1685" s="4" t="e">
        <f t="shared" si="340"/>
        <v>#N/A</v>
      </c>
      <c r="L1685" t="e">
        <f t="shared" si="341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2"/>
        <v>0</v>
      </c>
      <c r="B1686">
        <f t="shared" si="343"/>
        <v>0</v>
      </c>
      <c r="C1686">
        <f t="shared" si="344"/>
        <v>0</v>
      </c>
      <c r="D1686">
        <f t="shared" si="345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6"/>
        <v>0</v>
      </c>
      <c r="G1686">
        <f t="shared" si="347"/>
        <v>0</v>
      </c>
      <c r="H1686">
        <f t="shared" si="348"/>
        <v>0</v>
      </c>
      <c r="I1686">
        <f t="shared" si="349"/>
        <v>0</v>
      </c>
      <c r="J1686">
        <f t="shared" si="350"/>
        <v>0</v>
      </c>
      <c r="K1686" s="4" t="e">
        <f t="shared" si="340"/>
        <v>#N/A</v>
      </c>
      <c r="L1686" t="e">
        <f t="shared" si="341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2"/>
        <v>0</v>
      </c>
      <c r="B1687">
        <f t="shared" si="343"/>
        <v>0</v>
      </c>
      <c r="C1687">
        <f t="shared" si="344"/>
        <v>0</v>
      </c>
      <c r="D1687">
        <f t="shared" si="345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6"/>
        <v>0</v>
      </c>
      <c r="G1687">
        <f t="shared" si="347"/>
        <v>0</v>
      </c>
      <c r="H1687">
        <f t="shared" si="348"/>
        <v>0</v>
      </c>
      <c r="I1687">
        <f t="shared" si="349"/>
        <v>0</v>
      </c>
      <c r="J1687">
        <f t="shared" si="350"/>
        <v>0</v>
      </c>
      <c r="K1687" s="4" t="e">
        <f t="shared" si="340"/>
        <v>#N/A</v>
      </c>
      <c r="L1687" t="e">
        <f t="shared" si="341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2"/>
        <v>0</v>
      </c>
      <c r="B1688">
        <f t="shared" si="343"/>
        <v>0</v>
      </c>
      <c r="C1688">
        <f t="shared" si="344"/>
        <v>0</v>
      </c>
      <c r="D1688">
        <f t="shared" si="345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6"/>
        <v>0</v>
      </c>
      <c r="G1688">
        <f t="shared" si="347"/>
        <v>0</v>
      </c>
      <c r="H1688">
        <f t="shared" si="348"/>
        <v>0</v>
      </c>
      <c r="I1688">
        <f t="shared" si="349"/>
        <v>0</v>
      </c>
      <c r="J1688">
        <f t="shared" si="350"/>
        <v>0</v>
      </c>
      <c r="K1688" s="4" t="e">
        <f t="shared" si="340"/>
        <v>#N/A</v>
      </c>
      <c r="L1688" t="e">
        <f t="shared" si="341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2"/>
        <v>0</v>
      </c>
      <c r="B1689">
        <f t="shared" si="343"/>
        <v>0</v>
      </c>
      <c r="C1689">
        <f t="shared" si="344"/>
        <v>0</v>
      </c>
      <c r="D1689">
        <f t="shared" si="345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6"/>
        <v>0</v>
      </c>
      <c r="G1689">
        <f t="shared" si="347"/>
        <v>0</v>
      </c>
      <c r="H1689">
        <f t="shared" si="348"/>
        <v>0</v>
      </c>
      <c r="I1689">
        <f t="shared" si="349"/>
        <v>0</v>
      </c>
      <c r="J1689">
        <f t="shared" si="350"/>
        <v>0</v>
      </c>
      <c r="K1689" s="4" t="e">
        <f t="shared" si="340"/>
        <v>#N/A</v>
      </c>
      <c r="L1689" t="e">
        <f t="shared" si="341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2"/>
        <v>0</v>
      </c>
      <c r="B1690">
        <f t="shared" si="343"/>
        <v>0</v>
      </c>
      <c r="C1690">
        <f t="shared" si="344"/>
        <v>0</v>
      </c>
      <c r="D1690">
        <f t="shared" si="345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6"/>
        <v>0</v>
      </c>
      <c r="G1690">
        <f t="shared" si="347"/>
        <v>0</v>
      </c>
      <c r="H1690">
        <f t="shared" si="348"/>
        <v>0</v>
      </c>
      <c r="I1690">
        <f t="shared" si="349"/>
        <v>0</v>
      </c>
      <c r="J1690">
        <f t="shared" si="350"/>
        <v>0</v>
      </c>
      <c r="K1690" s="4" t="e">
        <f t="shared" si="340"/>
        <v>#N/A</v>
      </c>
      <c r="L1690" t="e">
        <f t="shared" si="341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2"/>
        <v>0</v>
      </c>
      <c r="B1691">
        <f t="shared" si="343"/>
        <v>0</v>
      </c>
      <c r="C1691">
        <f t="shared" si="344"/>
        <v>0</v>
      </c>
      <c r="D1691">
        <f t="shared" si="345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6"/>
        <v>0</v>
      </c>
      <c r="G1691">
        <f t="shared" si="347"/>
        <v>0</v>
      </c>
      <c r="H1691">
        <f t="shared" si="348"/>
        <v>0</v>
      </c>
      <c r="I1691">
        <f t="shared" si="349"/>
        <v>0</v>
      </c>
      <c r="J1691">
        <f t="shared" si="350"/>
        <v>0</v>
      </c>
      <c r="K1691" s="4" t="e">
        <f t="shared" si="340"/>
        <v>#N/A</v>
      </c>
      <c r="L1691" t="e">
        <f t="shared" si="341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2"/>
        <v>0</v>
      </c>
      <c r="B1692">
        <f t="shared" si="343"/>
        <v>0</v>
      </c>
      <c r="C1692">
        <f t="shared" si="344"/>
        <v>0</v>
      </c>
      <c r="D1692">
        <f t="shared" si="345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6"/>
        <v>0</v>
      </c>
      <c r="G1692">
        <f t="shared" si="347"/>
        <v>0</v>
      </c>
      <c r="H1692">
        <f t="shared" si="348"/>
        <v>0</v>
      </c>
      <c r="I1692">
        <f t="shared" si="349"/>
        <v>0</v>
      </c>
      <c r="J1692">
        <f t="shared" si="350"/>
        <v>0</v>
      </c>
      <c r="K1692" s="4" t="e">
        <f t="shared" si="340"/>
        <v>#N/A</v>
      </c>
      <c r="L1692" t="e">
        <f t="shared" si="341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2"/>
        <v>0</v>
      </c>
      <c r="B1693">
        <f t="shared" si="343"/>
        <v>0</v>
      </c>
      <c r="C1693">
        <f t="shared" si="344"/>
        <v>0</v>
      </c>
      <c r="D1693">
        <f t="shared" si="345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6"/>
        <v>0</v>
      </c>
      <c r="G1693">
        <f t="shared" si="347"/>
        <v>0</v>
      </c>
      <c r="H1693">
        <f t="shared" si="348"/>
        <v>0</v>
      </c>
      <c r="I1693">
        <f t="shared" si="349"/>
        <v>0</v>
      </c>
      <c r="J1693">
        <f t="shared" si="350"/>
        <v>0</v>
      </c>
      <c r="K1693" s="4" t="e">
        <f t="shared" si="340"/>
        <v>#N/A</v>
      </c>
      <c r="L1693" t="e">
        <f t="shared" si="341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2"/>
        <v>0</v>
      </c>
      <c r="B1694">
        <f t="shared" si="343"/>
        <v>0</v>
      </c>
      <c r="C1694">
        <f t="shared" si="344"/>
        <v>0</v>
      </c>
      <c r="D1694">
        <f t="shared" si="345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6"/>
        <v>0</v>
      </c>
      <c r="G1694">
        <f t="shared" si="347"/>
        <v>0</v>
      </c>
      <c r="H1694">
        <f t="shared" si="348"/>
        <v>0</v>
      </c>
      <c r="I1694">
        <f t="shared" si="349"/>
        <v>0</v>
      </c>
      <c r="J1694">
        <f t="shared" si="350"/>
        <v>0</v>
      </c>
      <c r="K1694" s="4" t="e">
        <f t="shared" si="340"/>
        <v>#N/A</v>
      </c>
      <c r="L1694" t="e">
        <f t="shared" si="341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2"/>
        <v>0</v>
      </c>
      <c r="B1695">
        <f t="shared" si="343"/>
        <v>0</v>
      </c>
      <c r="C1695">
        <f t="shared" si="344"/>
        <v>0</v>
      </c>
      <c r="D1695">
        <f t="shared" si="345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6"/>
        <v>0</v>
      </c>
      <c r="G1695">
        <f t="shared" si="347"/>
        <v>0</v>
      </c>
      <c r="H1695">
        <f t="shared" si="348"/>
        <v>0</v>
      </c>
      <c r="I1695">
        <f t="shared" si="349"/>
        <v>0</v>
      </c>
      <c r="J1695">
        <f t="shared" si="350"/>
        <v>0</v>
      </c>
      <c r="K1695" s="4" t="e">
        <f t="shared" si="340"/>
        <v>#N/A</v>
      </c>
      <c r="L1695" t="e">
        <f t="shared" si="341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2"/>
        <v>0</v>
      </c>
      <c r="B1696">
        <f t="shared" si="343"/>
        <v>0</v>
      </c>
      <c r="C1696">
        <f t="shared" si="344"/>
        <v>0</v>
      </c>
      <c r="D1696">
        <f t="shared" si="345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6"/>
        <v>0</v>
      </c>
      <c r="G1696">
        <f t="shared" si="347"/>
        <v>0</v>
      </c>
      <c r="H1696">
        <f t="shared" si="348"/>
        <v>0</v>
      </c>
      <c r="I1696">
        <f t="shared" si="349"/>
        <v>0</v>
      </c>
      <c r="J1696">
        <f t="shared" si="350"/>
        <v>0</v>
      </c>
      <c r="K1696" s="4" t="e">
        <f t="shared" si="340"/>
        <v>#N/A</v>
      </c>
      <c r="L1696" t="e">
        <f t="shared" si="341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2"/>
        <v>0</v>
      </c>
      <c r="B1697">
        <f t="shared" si="343"/>
        <v>0</v>
      </c>
      <c r="C1697">
        <f t="shared" si="344"/>
        <v>0</v>
      </c>
      <c r="D1697">
        <f t="shared" si="345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6"/>
        <v>0</v>
      </c>
      <c r="G1697">
        <f t="shared" si="347"/>
        <v>0</v>
      </c>
      <c r="H1697">
        <f t="shared" si="348"/>
        <v>0</v>
      </c>
      <c r="I1697">
        <f t="shared" si="349"/>
        <v>0</v>
      </c>
      <c r="J1697">
        <f t="shared" si="350"/>
        <v>0</v>
      </c>
      <c r="K1697" s="4" t="e">
        <f t="shared" si="340"/>
        <v>#N/A</v>
      </c>
      <c r="L1697" t="e">
        <f t="shared" si="341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2"/>
        <v>0</v>
      </c>
      <c r="B1698">
        <f t="shared" si="343"/>
        <v>0</v>
      </c>
      <c r="C1698">
        <f t="shared" si="344"/>
        <v>0</v>
      </c>
      <c r="D1698">
        <f t="shared" si="345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6"/>
        <v>0</v>
      </c>
      <c r="G1698">
        <f t="shared" si="347"/>
        <v>0</v>
      </c>
      <c r="H1698">
        <f t="shared" si="348"/>
        <v>0</v>
      </c>
      <c r="I1698">
        <f t="shared" si="349"/>
        <v>0</v>
      </c>
      <c r="J1698">
        <f t="shared" si="350"/>
        <v>0</v>
      </c>
      <c r="K1698" s="4" t="e">
        <f t="shared" si="340"/>
        <v>#N/A</v>
      </c>
      <c r="L1698" t="e">
        <f t="shared" si="341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2"/>
        <v>0</v>
      </c>
      <c r="B1699">
        <f t="shared" si="343"/>
        <v>0</v>
      </c>
      <c r="C1699">
        <f t="shared" si="344"/>
        <v>0</v>
      </c>
      <c r="D1699">
        <f t="shared" si="345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6"/>
        <v>0</v>
      </c>
      <c r="G1699">
        <f t="shared" si="347"/>
        <v>0</v>
      </c>
      <c r="H1699">
        <f t="shared" si="348"/>
        <v>0</v>
      </c>
      <c r="I1699">
        <f t="shared" si="349"/>
        <v>0</v>
      </c>
      <c r="J1699">
        <f t="shared" si="350"/>
        <v>0</v>
      </c>
      <c r="K1699" s="4" t="e">
        <f t="shared" si="340"/>
        <v>#N/A</v>
      </c>
      <c r="L1699" t="e">
        <f t="shared" si="341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2"/>
        <v>0</v>
      </c>
      <c r="B1700">
        <f t="shared" si="343"/>
        <v>0</v>
      </c>
      <c r="C1700">
        <f t="shared" si="344"/>
        <v>0</v>
      </c>
      <c r="D1700">
        <f t="shared" si="345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6"/>
        <v>0</v>
      </c>
      <c r="G1700">
        <f t="shared" si="347"/>
        <v>0</v>
      </c>
      <c r="H1700">
        <f t="shared" si="348"/>
        <v>0</v>
      </c>
      <c r="I1700">
        <f t="shared" si="349"/>
        <v>0</v>
      </c>
      <c r="J1700">
        <f t="shared" si="350"/>
        <v>0</v>
      </c>
      <c r="K1700" s="4" t="e">
        <f t="shared" si="340"/>
        <v>#N/A</v>
      </c>
      <c r="L1700" t="e">
        <f t="shared" si="341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2"/>
        <v>0</v>
      </c>
      <c r="B1701">
        <f t="shared" si="343"/>
        <v>0</v>
      </c>
      <c r="C1701">
        <f t="shared" si="344"/>
        <v>0</v>
      </c>
      <c r="D1701">
        <f t="shared" si="345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6"/>
        <v>0</v>
      </c>
      <c r="G1701">
        <f t="shared" si="347"/>
        <v>0</v>
      </c>
      <c r="H1701">
        <f t="shared" si="348"/>
        <v>0</v>
      </c>
      <c r="I1701">
        <f t="shared" si="349"/>
        <v>0</v>
      </c>
      <c r="J1701">
        <f t="shared" si="350"/>
        <v>0</v>
      </c>
      <c r="K1701" s="4" t="e">
        <f t="shared" si="340"/>
        <v>#N/A</v>
      </c>
      <c r="L1701" t="e">
        <f t="shared" si="341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2"/>
        <v>0</v>
      </c>
      <c r="B1702">
        <f t="shared" si="343"/>
        <v>0</v>
      </c>
      <c r="C1702">
        <f t="shared" si="344"/>
        <v>0</v>
      </c>
      <c r="D1702">
        <f t="shared" si="345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6"/>
        <v>0</v>
      </c>
      <c r="G1702">
        <f t="shared" si="347"/>
        <v>0</v>
      </c>
      <c r="H1702">
        <f t="shared" si="348"/>
        <v>0</v>
      </c>
      <c r="I1702">
        <f t="shared" si="349"/>
        <v>0</v>
      </c>
      <c r="J1702">
        <f t="shared" si="350"/>
        <v>0</v>
      </c>
      <c r="K1702" s="4" t="e">
        <f t="shared" si="340"/>
        <v>#N/A</v>
      </c>
      <c r="L1702" t="e">
        <f t="shared" si="341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2"/>
        <v>0</v>
      </c>
      <c r="B1703">
        <f t="shared" si="343"/>
        <v>0</v>
      </c>
      <c r="C1703">
        <f t="shared" si="344"/>
        <v>0</v>
      </c>
      <c r="D1703">
        <f t="shared" si="345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6"/>
        <v>0</v>
      </c>
      <c r="G1703">
        <f t="shared" si="347"/>
        <v>0</v>
      </c>
      <c r="H1703">
        <f t="shared" si="348"/>
        <v>0</v>
      </c>
      <c r="I1703">
        <f t="shared" si="349"/>
        <v>0</v>
      </c>
      <c r="J1703">
        <f t="shared" si="350"/>
        <v>0</v>
      </c>
      <c r="K1703" s="4" t="e">
        <f t="shared" si="340"/>
        <v>#N/A</v>
      </c>
      <c r="L1703" t="e">
        <f t="shared" si="341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2"/>
        <v>0</v>
      </c>
      <c r="B1704">
        <f t="shared" si="343"/>
        <v>0</v>
      </c>
      <c r="C1704">
        <f t="shared" si="344"/>
        <v>0</v>
      </c>
      <c r="D1704">
        <f t="shared" si="345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6"/>
        <v>0</v>
      </c>
      <c r="G1704">
        <f t="shared" si="347"/>
        <v>0</v>
      </c>
      <c r="H1704">
        <f t="shared" si="348"/>
        <v>0</v>
      </c>
      <c r="I1704">
        <f t="shared" si="349"/>
        <v>0</v>
      </c>
      <c r="J1704">
        <f t="shared" si="350"/>
        <v>0</v>
      </c>
      <c r="K1704" s="4" t="e">
        <f t="shared" si="340"/>
        <v>#N/A</v>
      </c>
      <c r="L1704" t="e">
        <f t="shared" si="341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2"/>
        <v>0</v>
      </c>
      <c r="B1705">
        <f t="shared" si="343"/>
        <v>0</v>
      </c>
      <c r="C1705">
        <f t="shared" si="344"/>
        <v>0</v>
      </c>
      <c r="D1705">
        <f t="shared" si="345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6"/>
        <v>0</v>
      </c>
      <c r="G1705">
        <f t="shared" si="347"/>
        <v>0</v>
      </c>
      <c r="H1705">
        <f t="shared" si="348"/>
        <v>0</v>
      </c>
      <c r="I1705">
        <f t="shared" si="349"/>
        <v>0</v>
      </c>
      <c r="J1705">
        <f t="shared" si="350"/>
        <v>0</v>
      </c>
      <c r="K1705" s="4" t="e">
        <f t="shared" si="340"/>
        <v>#N/A</v>
      </c>
      <c r="L1705" t="e">
        <f t="shared" si="341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2"/>
        <v>0</v>
      </c>
      <c r="B1706">
        <f t="shared" si="343"/>
        <v>0</v>
      </c>
      <c r="C1706">
        <f t="shared" si="344"/>
        <v>0</v>
      </c>
      <c r="D1706">
        <f t="shared" si="345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6"/>
        <v>0</v>
      </c>
      <c r="G1706">
        <f t="shared" si="347"/>
        <v>0</v>
      </c>
      <c r="H1706">
        <f t="shared" si="348"/>
        <v>0</v>
      </c>
      <c r="I1706">
        <f t="shared" si="349"/>
        <v>0</v>
      </c>
      <c r="J1706">
        <f t="shared" si="350"/>
        <v>0</v>
      </c>
      <c r="K1706" s="4" t="e">
        <f t="shared" si="340"/>
        <v>#N/A</v>
      </c>
      <c r="L1706" t="e">
        <f t="shared" si="341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2"/>
        <v>0</v>
      </c>
      <c r="B1707">
        <f t="shared" si="343"/>
        <v>0</v>
      </c>
      <c r="C1707">
        <f t="shared" si="344"/>
        <v>0</v>
      </c>
      <c r="D1707">
        <f t="shared" si="345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6"/>
        <v>0</v>
      </c>
      <c r="G1707">
        <f t="shared" si="347"/>
        <v>0</v>
      </c>
      <c r="H1707">
        <f t="shared" si="348"/>
        <v>0</v>
      </c>
      <c r="I1707">
        <f t="shared" si="349"/>
        <v>0</v>
      </c>
      <c r="J1707">
        <f t="shared" si="350"/>
        <v>0</v>
      </c>
      <c r="K1707" s="4" t="e">
        <f t="shared" si="340"/>
        <v>#N/A</v>
      </c>
      <c r="L1707" t="e">
        <f t="shared" si="341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2"/>
        <v>0</v>
      </c>
      <c r="B1708">
        <f t="shared" si="343"/>
        <v>0</v>
      </c>
      <c r="C1708">
        <f t="shared" si="344"/>
        <v>0</v>
      </c>
      <c r="D1708">
        <f t="shared" si="345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6"/>
        <v>0</v>
      </c>
      <c r="G1708">
        <f t="shared" si="347"/>
        <v>0</v>
      </c>
      <c r="H1708">
        <f t="shared" si="348"/>
        <v>0</v>
      </c>
      <c r="I1708">
        <f t="shared" si="349"/>
        <v>0</v>
      </c>
      <c r="J1708">
        <f t="shared" si="350"/>
        <v>0</v>
      </c>
      <c r="K1708" s="4" t="e">
        <f t="shared" ref="K1708:K1771" si="353">IF(LEFT(B1708,3)="DBM",0,VLOOKUP(E1708,tabela,2,FALSE))</f>
        <v>#N/A</v>
      </c>
      <c r="L1708" t="e">
        <f t="shared" ref="L1708:L1771" si="354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2"/>
        <v>0</v>
      </c>
      <c r="B1709">
        <f t="shared" si="343"/>
        <v>0</v>
      </c>
      <c r="C1709">
        <f t="shared" si="344"/>
        <v>0</v>
      </c>
      <c r="D1709">
        <f t="shared" si="345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6"/>
        <v>0</v>
      </c>
      <c r="G1709">
        <f t="shared" si="347"/>
        <v>0</v>
      </c>
      <c r="H1709">
        <f t="shared" si="348"/>
        <v>0</v>
      </c>
      <c r="I1709">
        <f t="shared" si="349"/>
        <v>0</v>
      </c>
      <c r="J1709">
        <f t="shared" si="350"/>
        <v>0</v>
      </c>
      <c r="K1709" s="4" t="e">
        <f t="shared" si="353"/>
        <v>#N/A</v>
      </c>
      <c r="L1709" t="e">
        <f t="shared" si="354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2"/>
        <v>0</v>
      </c>
      <c r="B1710">
        <f t="shared" si="343"/>
        <v>0</v>
      </c>
      <c r="C1710">
        <f t="shared" si="344"/>
        <v>0</v>
      </c>
      <c r="D1710">
        <f t="shared" si="345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6"/>
        <v>0</v>
      </c>
      <c r="G1710">
        <f t="shared" si="347"/>
        <v>0</v>
      </c>
      <c r="H1710">
        <f t="shared" si="348"/>
        <v>0</v>
      </c>
      <c r="I1710">
        <f t="shared" si="349"/>
        <v>0</v>
      </c>
      <c r="J1710">
        <f t="shared" si="350"/>
        <v>0</v>
      </c>
      <c r="K1710" s="4" t="e">
        <f t="shared" si="353"/>
        <v>#N/A</v>
      </c>
      <c r="L1710" t="e">
        <f t="shared" si="354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2"/>
        <v>0</v>
      </c>
      <c r="B1711">
        <f t="shared" si="343"/>
        <v>0</v>
      </c>
      <c r="C1711">
        <f t="shared" si="344"/>
        <v>0</v>
      </c>
      <c r="D1711">
        <f t="shared" si="345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6"/>
        <v>0</v>
      </c>
      <c r="G1711">
        <f t="shared" si="347"/>
        <v>0</v>
      </c>
      <c r="H1711">
        <f t="shared" si="348"/>
        <v>0</v>
      </c>
      <c r="I1711">
        <f t="shared" si="349"/>
        <v>0</v>
      </c>
      <c r="J1711">
        <f t="shared" si="350"/>
        <v>0</v>
      </c>
      <c r="K1711" s="4" t="e">
        <f t="shared" si="353"/>
        <v>#N/A</v>
      </c>
      <c r="L1711" t="e">
        <f t="shared" si="354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2"/>
        <v>0</v>
      </c>
      <c r="B1712">
        <f t="shared" si="343"/>
        <v>0</v>
      </c>
      <c r="C1712">
        <f t="shared" si="344"/>
        <v>0</v>
      </c>
      <c r="D1712">
        <f t="shared" si="345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6"/>
        <v>0</v>
      </c>
      <c r="G1712">
        <f t="shared" si="347"/>
        <v>0</v>
      </c>
      <c r="H1712">
        <f t="shared" si="348"/>
        <v>0</v>
      </c>
      <c r="I1712">
        <f t="shared" si="349"/>
        <v>0</v>
      </c>
      <c r="J1712">
        <f t="shared" si="350"/>
        <v>0</v>
      </c>
      <c r="K1712" s="4" t="e">
        <f t="shared" si="353"/>
        <v>#N/A</v>
      </c>
      <c r="L1712" t="e">
        <f t="shared" si="354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2"/>
        <v>0</v>
      </c>
      <c r="B1713">
        <f t="shared" si="343"/>
        <v>0</v>
      </c>
      <c r="C1713">
        <f t="shared" si="344"/>
        <v>0</v>
      </c>
      <c r="D1713">
        <f t="shared" si="345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6"/>
        <v>0</v>
      </c>
      <c r="G1713">
        <f t="shared" si="347"/>
        <v>0</v>
      </c>
      <c r="H1713">
        <f t="shared" si="348"/>
        <v>0</v>
      </c>
      <c r="I1713">
        <f t="shared" si="349"/>
        <v>0</v>
      </c>
      <c r="J1713">
        <f t="shared" si="350"/>
        <v>0</v>
      </c>
      <c r="K1713" s="4" t="e">
        <f t="shared" si="353"/>
        <v>#N/A</v>
      </c>
      <c r="L1713" t="e">
        <f t="shared" si="354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2"/>
        <v>0</v>
      </c>
      <c r="B1714">
        <f t="shared" si="343"/>
        <v>0</v>
      </c>
      <c r="C1714">
        <f t="shared" si="344"/>
        <v>0</v>
      </c>
      <c r="D1714">
        <f t="shared" si="345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6"/>
        <v>0</v>
      </c>
      <c r="G1714">
        <f t="shared" si="347"/>
        <v>0</v>
      </c>
      <c r="H1714">
        <f t="shared" si="348"/>
        <v>0</v>
      </c>
      <c r="I1714">
        <f t="shared" si="349"/>
        <v>0</v>
      </c>
      <c r="J1714">
        <f t="shared" si="350"/>
        <v>0</v>
      </c>
      <c r="K1714" s="4" t="e">
        <f t="shared" si="353"/>
        <v>#N/A</v>
      </c>
      <c r="L1714" t="e">
        <f t="shared" si="354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2"/>
        <v>0</v>
      </c>
      <c r="B1715">
        <f t="shared" si="343"/>
        <v>0</v>
      </c>
      <c r="C1715">
        <f t="shared" si="344"/>
        <v>0</v>
      </c>
      <c r="D1715">
        <f t="shared" si="345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6"/>
        <v>0</v>
      </c>
      <c r="G1715">
        <f t="shared" si="347"/>
        <v>0</v>
      </c>
      <c r="H1715">
        <f t="shared" si="348"/>
        <v>0</v>
      </c>
      <c r="I1715">
        <f t="shared" si="349"/>
        <v>0</v>
      </c>
      <c r="J1715">
        <f t="shared" si="350"/>
        <v>0</v>
      </c>
      <c r="K1715" s="4" t="e">
        <f t="shared" si="353"/>
        <v>#N/A</v>
      </c>
      <c r="L1715" t="e">
        <f t="shared" si="354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2"/>
        <v>0</v>
      </c>
      <c r="B1716">
        <f t="shared" si="343"/>
        <v>0</v>
      </c>
      <c r="C1716">
        <f t="shared" si="344"/>
        <v>0</v>
      </c>
      <c r="D1716">
        <f t="shared" si="345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6"/>
        <v>0</v>
      </c>
      <c r="G1716">
        <f t="shared" si="347"/>
        <v>0</v>
      </c>
      <c r="H1716">
        <f t="shared" si="348"/>
        <v>0</v>
      </c>
      <c r="I1716">
        <f t="shared" si="349"/>
        <v>0</v>
      </c>
      <c r="J1716">
        <f t="shared" si="350"/>
        <v>0</v>
      </c>
      <c r="K1716" s="4" t="e">
        <f t="shared" si="353"/>
        <v>#N/A</v>
      </c>
      <c r="L1716" t="e">
        <f t="shared" si="354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2"/>
        <v>0</v>
      </c>
      <c r="B1717">
        <f t="shared" si="343"/>
        <v>0</v>
      </c>
      <c r="C1717">
        <f t="shared" si="344"/>
        <v>0</v>
      </c>
      <c r="D1717">
        <f t="shared" si="345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6"/>
        <v>0</v>
      </c>
      <c r="G1717">
        <f t="shared" si="347"/>
        <v>0</v>
      </c>
      <c r="H1717">
        <f t="shared" si="348"/>
        <v>0</v>
      </c>
      <c r="I1717">
        <f t="shared" si="349"/>
        <v>0</v>
      </c>
      <c r="J1717">
        <f t="shared" si="350"/>
        <v>0</v>
      </c>
      <c r="K1717" s="4" t="e">
        <f t="shared" si="353"/>
        <v>#N/A</v>
      </c>
      <c r="L1717" t="e">
        <f t="shared" si="354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2"/>
        <v>0</v>
      </c>
      <c r="B1718">
        <f t="shared" si="343"/>
        <v>0</v>
      </c>
      <c r="C1718">
        <f t="shared" si="344"/>
        <v>0</v>
      </c>
      <c r="D1718">
        <f t="shared" si="345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6"/>
        <v>0</v>
      </c>
      <c r="G1718">
        <f t="shared" si="347"/>
        <v>0</v>
      </c>
      <c r="H1718">
        <f t="shared" si="348"/>
        <v>0</v>
      </c>
      <c r="I1718">
        <f t="shared" si="349"/>
        <v>0</v>
      </c>
      <c r="J1718">
        <f t="shared" si="350"/>
        <v>0</v>
      </c>
      <c r="K1718" s="4" t="e">
        <f t="shared" si="353"/>
        <v>#N/A</v>
      </c>
      <c r="L1718" t="e">
        <f t="shared" si="354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2"/>
        <v>0</v>
      </c>
      <c r="B1719">
        <f t="shared" si="343"/>
        <v>0</v>
      </c>
      <c r="C1719">
        <f t="shared" si="344"/>
        <v>0</v>
      </c>
      <c r="D1719">
        <f t="shared" si="345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6"/>
        <v>0</v>
      </c>
      <c r="G1719">
        <f t="shared" si="347"/>
        <v>0</v>
      </c>
      <c r="H1719">
        <f t="shared" si="348"/>
        <v>0</v>
      </c>
      <c r="I1719">
        <f t="shared" si="349"/>
        <v>0</v>
      </c>
      <c r="J1719">
        <f t="shared" si="350"/>
        <v>0</v>
      </c>
      <c r="K1719" s="4" t="e">
        <f t="shared" si="353"/>
        <v>#N/A</v>
      </c>
      <c r="L1719" t="e">
        <f t="shared" si="354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2"/>
        <v>0</v>
      </c>
      <c r="B1720">
        <f t="shared" si="343"/>
        <v>0</v>
      </c>
      <c r="C1720">
        <f t="shared" si="344"/>
        <v>0</v>
      </c>
      <c r="D1720">
        <f t="shared" si="345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6"/>
        <v>0</v>
      </c>
      <c r="G1720">
        <f t="shared" si="347"/>
        <v>0</v>
      </c>
      <c r="H1720">
        <f t="shared" si="348"/>
        <v>0</v>
      </c>
      <c r="I1720">
        <f t="shared" si="349"/>
        <v>0</v>
      </c>
      <c r="J1720">
        <f t="shared" si="350"/>
        <v>0</v>
      </c>
      <c r="K1720" s="4" t="e">
        <f t="shared" si="353"/>
        <v>#N/A</v>
      </c>
      <c r="L1720" t="e">
        <f t="shared" si="354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2"/>
        <v>0</v>
      </c>
      <c r="B1721">
        <f t="shared" si="343"/>
        <v>0</v>
      </c>
      <c r="C1721">
        <f t="shared" si="344"/>
        <v>0</v>
      </c>
      <c r="D1721">
        <f t="shared" si="345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6"/>
        <v>0</v>
      </c>
      <c r="G1721">
        <f t="shared" si="347"/>
        <v>0</v>
      </c>
      <c r="H1721">
        <f t="shared" si="348"/>
        <v>0</v>
      </c>
      <c r="I1721">
        <f t="shared" si="349"/>
        <v>0</v>
      </c>
      <c r="J1721">
        <f t="shared" si="350"/>
        <v>0</v>
      </c>
      <c r="K1721" s="4" t="e">
        <f t="shared" si="353"/>
        <v>#N/A</v>
      </c>
      <c r="L1721" t="e">
        <f t="shared" si="354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2"/>
        <v>0</v>
      </c>
      <c r="B1722">
        <f t="shared" si="343"/>
        <v>0</v>
      </c>
      <c r="C1722">
        <f t="shared" si="344"/>
        <v>0</v>
      </c>
      <c r="D1722">
        <f t="shared" si="345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6"/>
        <v>0</v>
      </c>
      <c r="G1722">
        <f t="shared" si="347"/>
        <v>0</v>
      </c>
      <c r="H1722">
        <f t="shared" si="348"/>
        <v>0</v>
      </c>
      <c r="I1722">
        <f t="shared" si="349"/>
        <v>0</v>
      </c>
      <c r="J1722">
        <f t="shared" si="350"/>
        <v>0</v>
      </c>
      <c r="K1722" s="4" t="e">
        <f t="shared" si="353"/>
        <v>#N/A</v>
      </c>
      <c r="L1722" t="e">
        <f t="shared" si="354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2"/>
        <v>0</v>
      </c>
      <c r="B1723">
        <f t="shared" si="343"/>
        <v>0</v>
      </c>
      <c r="C1723">
        <f t="shared" si="344"/>
        <v>0</v>
      </c>
      <c r="D1723">
        <f t="shared" si="345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6"/>
        <v>0</v>
      </c>
      <c r="G1723">
        <f t="shared" si="347"/>
        <v>0</v>
      </c>
      <c r="H1723">
        <f t="shared" si="348"/>
        <v>0</v>
      </c>
      <c r="I1723">
        <f t="shared" si="349"/>
        <v>0</v>
      </c>
      <c r="J1723">
        <f t="shared" si="350"/>
        <v>0</v>
      </c>
      <c r="K1723" s="4" t="e">
        <f t="shared" si="353"/>
        <v>#N/A</v>
      </c>
      <c r="L1723" t="e">
        <f t="shared" si="354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2"/>
        <v>0</v>
      </c>
      <c r="B1724">
        <f t="shared" si="343"/>
        <v>0</v>
      </c>
      <c r="C1724">
        <f t="shared" si="344"/>
        <v>0</v>
      </c>
      <c r="D1724">
        <f t="shared" si="345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6"/>
        <v>0</v>
      </c>
      <c r="G1724">
        <f t="shared" si="347"/>
        <v>0</v>
      </c>
      <c r="H1724">
        <f t="shared" si="348"/>
        <v>0</v>
      </c>
      <c r="I1724">
        <f t="shared" si="349"/>
        <v>0</v>
      </c>
      <c r="J1724">
        <f t="shared" si="350"/>
        <v>0</v>
      </c>
      <c r="K1724" s="4" t="e">
        <f t="shared" si="353"/>
        <v>#N/A</v>
      </c>
      <c r="L1724" t="e">
        <f t="shared" si="354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2"/>
        <v>0</v>
      </c>
      <c r="B1725">
        <f t="shared" si="343"/>
        <v>0</v>
      </c>
      <c r="C1725">
        <f t="shared" si="344"/>
        <v>0</v>
      </c>
      <c r="D1725">
        <f t="shared" si="345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6"/>
        <v>0</v>
      </c>
      <c r="G1725">
        <f t="shared" si="347"/>
        <v>0</v>
      </c>
      <c r="H1725">
        <f t="shared" si="348"/>
        <v>0</v>
      </c>
      <c r="I1725">
        <f t="shared" si="349"/>
        <v>0</v>
      </c>
      <c r="J1725">
        <f t="shared" si="350"/>
        <v>0</v>
      </c>
      <c r="K1725" s="4" t="e">
        <f t="shared" si="353"/>
        <v>#N/A</v>
      </c>
      <c r="L1725" t="e">
        <f t="shared" si="354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2"/>
        <v>0</v>
      </c>
      <c r="B1726">
        <f t="shared" si="343"/>
        <v>0</v>
      </c>
      <c r="C1726">
        <f t="shared" si="344"/>
        <v>0</v>
      </c>
      <c r="D1726">
        <f t="shared" si="345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6"/>
        <v>0</v>
      </c>
      <c r="G1726">
        <f t="shared" si="347"/>
        <v>0</v>
      </c>
      <c r="H1726">
        <f t="shared" si="348"/>
        <v>0</v>
      </c>
      <c r="I1726">
        <f t="shared" si="349"/>
        <v>0</v>
      </c>
      <c r="J1726">
        <f t="shared" si="350"/>
        <v>0</v>
      </c>
      <c r="K1726" s="4" t="e">
        <f t="shared" si="353"/>
        <v>#N/A</v>
      </c>
      <c r="L1726" t="e">
        <f t="shared" si="354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2"/>
        <v>0</v>
      </c>
      <c r="B1727">
        <f t="shared" si="343"/>
        <v>0</v>
      </c>
      <c r="C1727">
        <f t="shared" si="344"/>
        <v>0</v>
      </c>
      <c r="D1727">
        <f t="shared" si="345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6"/>
        <v>0</v>
      </c>
      <c r="G1727">
        <f t="shared" si="347"/>
        <v>0</v>
      </c>
      <c r="H1727">
        <f t="shared" si="348"/>
        <v>0</v>
      </c>
      <c r="I1727">
        <f t="shared" si="349"/>
        <v>0</v>
      </c>
      <c r="J1727">
        <f t="shared" si="350"/>
        <v>0</v>
      </c>
      <c r="K1727" s="4" t="e">
        <f t="shared" si="353"/>
        <v>#N/A</v>
      </c>
      <c r="L1727" t="e">
        <f t="shared" si="354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2"/>
        <v>0</v>
      </c>
      <c r="B1728">
        <f t="shared" si="343"/>
        <v>0</v>
      </c>
      <c r="C1728">
        <f t="shared" si="344"/>
        <v>0</v>
      </c>
      <c r="D1728">
        <f t="shared" si="345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6"/>
        <v>0</v>
      </c>
      <c r="G1728">
        <f t="shared" si="347"/>
        <v>0</v>
      </c>
      <c r="H1728">
        <f t="shared" si="348"/>
        <v>0</v>
      </c>
      <c r="I1728">
        <f t="shared" si="349"/>
        <v>0</v>
      </c>
      <c r="J1728">
        <f t="shared" si="350"/>
        <v>0</v>
      </c>
      <c r="K1728" s="4" t="e">
        <f t="shared" si="353"/>
        <v>#N/A</v>
      </c>
      <c r="L1728" t="e">
        <f t="shared" si="354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2"/>
        <v>0</v>
      </c>
      <c r="B1729">
        <f t="shared" si="343"/>
        <v>0</v>
      </c>
      <c r="C1729">
        <f t="shared" si="344"/>
        <v>0</v>
      </c>
      <c r="D1729">
        <f t="shared" si="345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6"/>
        <v>0</v>
      </c>
      <c r="G1729">
        <f t="shared" si="347"/>
        <v>0</v>
      </c>
      <c r="H1729">
        <f t="shared" si="348"/>
        <v>0</v>
      </c>
      <c r="I1729">
        <f t="shared" si="349"/>
        <v>0</v>
      </c>
      <c r="J1729">
        <f t="shared" si="350"/>
        <v>0</v>
      </c>
      <c r="K1729" s="4" t="e">
        <f t="shared" si="353"/>
        <v>#N/A</v>
      </c>
      <c r="L1729" t="e">
        <f t="shared" si="354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5">bd_campaign</f>
        <v>0</v>
      </c>
      <c r="B1730">
        <f t="shared" ref="B1730:B1793" si="356">bd_site</f>
        <v>0</v>
      </c>
      <c r="C1730">
        <f t="shared" ref="C1730:C1793" si="357">bd_placement</f>
        <v>0</v>
      </c>
      <c r="D1730">
        <f t="shared" ref="D1730:D1793" si="358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9">bd_ad</f>
        <v>0</v>
      </c>
      <c r="G1730">
        <f t="shared" ref="G1730:G1793" si="360">bd_adid</f>
        <v>0</v>
      </c>
      <c r="H1730">
        <f t="shared" ref="H1730:H1793" si="361">bd_creativetype</f>
        <v>0</v>
      </c>
      <c r="I1730">
        <f t="shared" ref="I1730:I1793" si="362">bd_impression</f>
        <v>0</v>
      </c>
      <c r="J1730">
        <f t="shared" ref="J1730:J1793" si="363">bd_clicks</f>
        <v>0</v>
      </c>
      <c r="K1730" s="4" t="e">
        <f t="shared" si="353"/>
        <v>#N/A</v>
      </c>
      <c r="L1730" t="e">
        <f t="shared" si="354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5"/>
        <v>0</v>
      </c>
      <c r="B1731">
        <f t="shared" si="356"/>
        <v>0</v>
      </c>
      <c r="C1731">
        <f t="shared" si="357"/>
        <v>0</v>
      </c>
      <c r="D1731">
        <f t="shared" si="358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9"/>
        <v>0</v>
      </c>
      <c r="G1731">
        <f t="shared" si="360"/>
        <v>0</v>
      </c>
      <c r="H1731">
        <f t="shared" si="361"/>
        <v>0</v>
      </c>
      <c r="I1731">
        <f t="shared" si="362"/>
        <v>0</v>
      </c>
      <c r="J1731">
        <f t="shared" si="363"/>
        <v>0</v>
      </c>
      <c r="K1731" s="4" t="e">
        <f t="shared" si="353"/>
        <v>#N/A</v>
      </c>
      <c r="L1731" t="e">
        <f t="shared" si="354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5"/>
        <v>0</v>
      </c>
      <c r="B1732">
        <f t="shared" si="356"/>
        <v>0</v>
      </c>
      <c r="C1732">
        <f t="shared" si="357"/>
        <v>0</v>
      </c>
      <c r="D1732">
        <f t="shared" si="358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9"/>
        <v>0</v>
      </c>
      <c r="G1732">
        <f t="shared" si="360"/>
        <v>0</v>
      </c>
      <c r="H1732">
        <f t="shared" si="361"/>
        <v>0</v>
      </c>
      <c r="I1732">
        <f t="shared" si="362"/>
        <v>0</v>
      </c>
      <c r="J1732">
        <f t="shared" si="363"/>
        <v>0</v>
      </c>
      <c r="K1732" s="4" t="e">
        <f t="shared" si="353"/>
        <v>#N/A</v>
      </c>
      <c r="L1732" t="e">
        <f t="shared" si="354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5"/>
        <v>0</v>
      </c>
      <c r="B1733">
        <f t="shared" si="356"/>
        <v>0</v>
      </c>
      <c r="C1733">
        <f t="shared" si="357"/>
        <v>0</v>
      </c>
      <c r="D1733">
        <f t="shared" si="358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9"/>
        <v>0</v>
      </c>
      <c r="G1733">
        <f t="shared" si="360"/>
        <v>0</v>
      </c>
      <c r="H1733">
        <f t="shared" si="361"/>
        <v>0</v>
      </c>
      <c r="I1733">
        <f t="shared" si="362"/>
        <v>0</v>
      </c>
      <c r="J1733">
        <f t="shared" si="363"/>
        <v>0</v>
      </c>
      <c r="K1733" s="4" t="e">
        <f t="shared" si="353"/>
        <v>#N/A</v>
      </c>
      <c r="L1733" t="e">
        <f t="shared" si="354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5"/>
        <v>0</v>
      </c>
      <c r="B1734">
        <f t="shared" si="356"/>
        <v>0</v>
      </c>
      <c r="C1734">
        <f t="shared" si="357"/>
        <v>0</v>
      </c>
      <c r="D1734">
        <f t="shared" si="358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9"/>
        <v>0</v>
      </c>
      <c r="G1734">
        <f t="shared" si="360"/>
        <v>0</v>
      </c>
      <c r="H1734">
        <f t="shared" si="361"/>
        <v>0</v>
      </c>
      <c r="I1734">
        <f t="shared" si="362"/>
        <v>0</v>
      </c>
      <c r="J1734">
        <f t="shared" si="363"/>
        <v>0</v>
      </c>
      <c r="K1734" s="4" t="e">
        <f t="shared" si="353"/>
        <v>#N/A</v>
      </c>
      <c r="L1734" t="e">
        <f t="shared" si="354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5"/>
        <v>0</v>
      </c>
      <c r="B1735">
        <f t="shared" si="356"/>
        <v>0</v>
      </c>
      <c r="C1735">
        <f t="shared" si="357"/>
        <v>0</v>
      </c>
      <c r="D1735">
        <f t="shared" si="358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9"/>
        <v>0</v>
      </c>
      <c r="G1735">
        <f t="shared" si="360"/>
        <v>0</v>
      </c>
      <c r="H1735">
        <f t="shared" si="361"/>
        <v>0</v>
      </c>
      <c r="I1735">
        <f t="shared" si="362"/>
        <v>0</v>
      </c>
      <c r="J1735">
        <f t="shared" si="363"/>
        <v>0</v>
      </c>
      <c r="K1735" s="4" t="e">
        <f t="shared" si="353"/>
        <v>#N/A</v>
      </c>
      <c r="L1735" t="e">
        <f t="shared" si="354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5"/>
        <v>0</v>
      </c>
      <c r="B1736">
        <f t="shared" si="356"/>
        <v>0</v>
      </c>
      <c r="C1736">
        <f t="shared" si="357"/>
        <v>0</v>
      </c>
      <c r="D1736">
        <f t="shared" si="358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9"/>
        <v>0</v>
      </c>
      <c r="G1736">
        <f t="shared" si="360"/>
        <v>0</v>
      </c>
      <c r="H1736">
        <f t="shared" si="361"/>
        <v>0</v>
      </c>
      <c r="I1736">
        <f t="shared" si="362"/>
        <v>0</v>
      </c>
      <c r="J1736">
        <f t="shared" si="363"/>
        <v>0</v>
      </c>
      <c r="K1736" s="4" t="e">
        <f t="shared" si="353"/>
        <v>#N/A</v>
      </c>
      <c r="L1736" t="e">
        <f t="shared" si="354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5"/>
        <v>0</v>
      </c>
      <c r="B1737">
        <f t="shared" si="356"/>
        <v>0</v>
      </c>
      <c r="C1737">
        <f t="shared" si="357"/>
        <v>0</v>
      </c>
      <c r="D1737">
        <f t="shared" si="358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9"/>
        <v>0</v>
      </c>
      <c r="G1737">
        <f t="shared" si="360"/>
        <v>0</v>
      </c>
      <c r="H1737">
        <f t="shared" si="361"/>
        <v>0</v>
      </c>
      <c r="I1737">
        <f t="shared" si="362"/>
        <v>0</v>
      </c>
      <c r="J1737">
        <f t="shared" si="363"/>
        <v>0</v>
      </c>
      <c r="K1737" s="4" t="e">
        <f t="shared" si="353"/>
        <v>#N/A</v>
      </c>
      <c r="L1737" t="e">
        <f t="shared" si="354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5"/>
        <v>0</v>
      </c>
      <c r="B1738">
        <f t="shared" si="356"/>
        <v>0</v>
      </c>
      <c r="C1738">
        <f t="shared" si="357"/>
        <v>0</v>
      </c>
      <c r="D1738">
        <f t="shared" si="358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9"/>
        <v>0</v>
      </c>
      <c r="G1738">
        <f t="shared" si="360"/>
        <v>0</v>
      </c>
      <c r="H1738">
        <f t="shared" si="361"/>
        <v>0</v>
      </c>
      <c r="I1738">
        <f t="shared" si="362"/>
        <v>0</v>
      </c>
      <c r="J1738">
        <f t="shared" si="363"/>
        <v>0</v>
      </c>
      <c r="K1738" s="4" t="e">
        <f t="shared" si="353"/>
        <v>#N/A</v>
      </c>
      <c r="L1738" t="e">
        <f t="shared" si="354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5"/>
        <v>0</v>
      </c>
      <c r="B1739">
        <f t="shared" si="356"/>
        <v>0</v>
      </c>
      <c r="C1739">
        <f t="shared" si="357"/>
        <v>0</v>
      </c>
      <c r="D1739">
        <f t="shared" si="358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9"/>
        <v>0</v>
      </c>
      <c r="G1739">
        <f t="shared" si="360"/>
        <v>0</v>
      </c>
      <c r="H1739">
        <f t="shared" si="361"/>
        <v>0</v>
      </c>
      <c r="I1739">
        <f t="shared" si="362"/>
        <v>0</v>
      </c>
      <c r="J1739">
        <f t="shared" si="363"/>
        <v>0</v>
      </c>
      <c r="K1739" s="4" t="e">
        <f t="shared" si="353"/>
        <v>#N/A</v>
      </c>
      <c r="L1739" t="e">
        <f t="shared" si="354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5"/>
        <v>0</v>
      </c>
      <c r="B1740">
        <f t="shared" si="356"/>
        <v>0</v>
      </c>
      <c r="C1740">
        <f t="shared" si="357"/>
        <v>0</v>
      </c>
      <c r="D1740">
        <f t="shared" si="358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9"/>
        <v>0</v>
      </c>
      <c r="G1740">
        <f t="shared" si="360"/>
        <v>0</v>
      </c>
      <c r="H1740">
        <f t="shared" si="361"/>
        <v>0</v>
      </c>
      <c r="I1740">
        <f t="shared" si="362"/>
        <v>0</v>
      </c>
      <c r="J1740">
        <f t="shared" si="363"/>
        <v>0</v>
      </c>
      <c r="K1740" s="4" t="e">
        <f t="shared" si="353"/>
        <v>#N/A</v>
      </c>
      <c r="L1740" t="e">
        <f t="shared" si="354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5"/>
        <v>0</v>
      </c>
      <c r="B1741">
        <f t="shared" si="356"/>
        <v>0</v>
      </c>
      <c r="C1741">
        <f t="shared" si="357"/>
        <v>0</v>
      </c>
      <c r="D1741">
        <f t="shared" si="358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9"/>
        <v>0</v>
      </c>
      <c r="G1741">
        <f t="shared" si="360"/>
        <v>0</v>
      </c>
      <c r="H1741">
        <f t="shared" si="361"/>
        <v>0</v>
      </c>
      <c r="I1741">
        <f t="shared" si="362"/>
        <v>0</v>
      </c>
      <c r="J1741">
        <f t="shared" si="363"/>
        <v>0</v>
      </c>
      <c r="K1741" s="4" t="e">
        <f t="shared" si="353"/>
        <v>#N/A</v>
      </c>
      <c r="L1741" t="e">
        <f t="shared" si="354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5"/>
        <v>0</v>
      </c>
      <c r="B1742">
        <f t="shared" si="356"/>
        <v>0</v>
      </c>
      <c r="C1742">
        <f t="shared" si="357"/>
        <v>0</v>
      </c>
      <c r="D1742">
        <f t="shared" si="358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9"/>
        <v>0</v>
      </c>
      <c r="G1742">
        <f t="shared" si="360"/>
        <v>0</v>
      </c>
      <c r="H1742">
        <f t="shared" si="361"/>
        <v>0</v>
      </c>
      <c r="I1742">
        <f t="shared" si="362"/>
        <v>0</v>
      </c>
      <c r="J1742">
        <f t="shared" si="363"/>
        <v>0</v>
      </c>
      <c r="K1742" s="4" t="e">
        <f t="shared" si="353"/>
        <v>#N/A</v>
      </c>
      <c r="L1742" t="e">
        <f t="shared" si="354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5"/>
        <v>0</v>
      </c>
      <c r="B1743">
        <f t="shared" si="356"/>
        <v>0</v>
      </c>
      <c r="C1743">
        <f t="shared" si="357"/>
        <v>0</v>
      </c>
      <c r="D1743">
        <f t="shared" si="358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9"/>
        <v>0</v>
      </c>
      <c r="G1743">
        <f t="shared" si="360"/>
        <v>0</v>
      </c>
      <c r="H1743">
        <f t="shared" si="361"/>
        <v>0</v>
      </c>
      <c r="I1743">
        <f t="shared" si="362"/>
        <v>0</v>
      </c>
      <c r="J1743">
        <f t="shared" si="363"/>
        <v>0</v>
      </c>
      <c r="K1743" s="4" t="e">
        <f t="shared" si="353"/>
        <v>#N/A</v>
      </c>
      <c r="L1743" t="e">
        <f t="shared" si="354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5"/>
        <v>0</v>
      </c>
      <c r="B1744">
        <f t="shared" si="356"/>
        <v>0</v>
      </c>
      <c r="C1744">
        <f t="shared" si="357"/>
        <v>0</v>
      </c>
      <c r="D1744">
        <f t="shared" si="358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9"/>
        <v>0</v>
      </c>
      <c r="G1744">
        <f t="shared" si="360"/>
        <v>0</v>
      </c>
      <c r="H1744">
        <f t="shared" si="361"/>
        <v>0</v>
      </c>
      <c r="I1744">
        <f t="shared" si="362"/>
        <v>0</v>
      </c>
      <c r="J1744">
        <f t="shared" si="363"/>
        <v>0</v>
      </c>
      <c r="K1744" s="4" t="e">
        <f t="shared" si="353"/>
        <v>#N/A</v>
      </c>
      <c r="L1744" t="e">
        <f t="shared" si="354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5"/>
        <v>0</v>
      </c>
      <c r="B1745">
        <f t="shared" si="356"/>
        <v>0</v>
      </c>
      <c r="C1745">
        <f t="shared" si="357"/>
        <v>0</v>
      </c>
      <c r="D1745">
        <f t="shared" si="358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9"/>
        <v>0</v>
      </c>
      <c r="G1745">
        <f t="shared" si="360"/>
        <v>0</v>
      </c>
      <c r="H1745">
        <f t="shared" si="361"/>
        <v>0</v>
      </c>
      <c r="I1745">
        <f t="shared" si="362"/>
        <v>0</v>
      </c>
      <c r="J1745">
        <f t="shared" si="363"/>
        <v>0</v>
      </c>
      <c r="K1745" s="4" t="e">
        <f t="shared" si="353"/>
        <v>#N/A</v>
      </c>
      <c r="L1745" t="e">
        <f t="shared" si="354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5"/>
        <v>0</v>
      </c>
      <c r="B1746">
        <f t="shared" si="356"/>
        <v>0</v>
      </c>
      <c r="C1746">
        <f t="shared" si="357"/>
        <v>0</v>
      </c>
      <c r="D1746">
        <f t="shared" si="358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9"/>
        <v>0</v>
      </c>
      <c r="G1746">
        <f t="shared" si="360"/>
        <v>0</v>
      </c>
      <c r="H1746">
        <f t="shared" si="361"/>
        <v>0</v>
      </c>
      <c r="I1746">
        <f t="shared" si="362"/>
        <v>0</v>
      </c>
      <c r="J1746">
        <f t="shared" si="363"/>
        <v>0</v>
      </c>
      <c r="K1746" s="4" t="e">
        <f t="shared" si="353"/>
        <v>#N/A</v>
      </c>
      <c r="L1746" t="e">
        <f t="shared" si="354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5"/>
        <v>0</v>
      </c>
      <c r="B1747">
        <f t="shared" si="356"/>
        <v>0</v>
      </c>
      <c r="C1747">
        <f t="shared" si="357"/>
        <v>0</v>
      </c>
      <c r="D1747">
        <f t="shared" si="358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9"/>
        <v>0</v>
      </c>
      <c r="G1747">
        <f t="shared" si="360"/>
        <v>0</v>
      </c>
      <c r="H1747">
        <f t="shared" si="361"/>
        <v>0</v>
      </c>
      <c r="I1747">
        <f t="shared" si="362"/>
        <v>0</v>
      </c>
      <c r="J1747">
        <f t="shared" si="363"/>
        <v>0</v>
      </c>
      <c r="K1747" s="4" t="e">
        <f t="shared" si="353"/>
        <v>#N/A</v>
      </c>
      <c r="L1747" t="e">
        <f t="shared" si="354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5"/>
        <v>0</v>
      </c>
      <c r="B1748">
        <f t="shared" si="356"/>
        <v>0</v>
      </c>
      <c r="C1748">
        <f t="shared" si="357"/>
        <v>0</v>
      </c>
      <c r="D1748">
        <f t="shared" si="358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9"/>
        <v>0</v>
      </c>
      <c r="G1748">
        <f t="shared" si="360"/>
        <v>0</v>
      </c>
      <c r="H1748">
        <f t="shared" si="361"/>
        <v>0</v>
      </c>
      <c r="I1748">
        <f t="shared" si="362"/>
        <v>0</v>
      </c>
      <c r="J1748">
        <f t="shared" si="363"/>
        <v>0</v>
      </c>
      <c r="K1748" s="4" t="e">
        <f t="shared" si="353"/>
        <v>#N/A</v>
      </c>
      <c r="L1748" t="e">
        <f t="shared" si="354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5"/>
        <v>0</v>
      </c>
      <c r="B1749">
        <f t="shared" si="356"/>
        <v>0</v>
      </c>
      <c r="C1749">
        <f t="shared" si="357"/>
        <v>0</v>
      </c>
      <c r="D1749">
        <f t="shared" si="358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9"/>
        <v>0</v>
      </c>
      <c r="G1749">
        <f t="shared" si="360"/>
        <v>0</v>
      </c>
      <c r="H1749">
        <f t="shared" si="361"/>
        <v>0</v>
      </c>
      <c r="I1749">
        <f t="shared" si="362"/>
        <v>0</v>
      </c>
      <c r="J1749">
        <f t="shared" si="363"/>
        <v>0</v>
      </c>
      <c r="K1749" s="4" t="e">
        <f t="shared" si="353"/>
        <v>#N/A</v>
      </c>
      <c r="L1749" t="e">
        <f t="shared" si="354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5"/>
        <v>0</v>
      </c>
      <c r="B1750">
        <f t="shared" si="356"/>
        <v>0</v>
      </c>
      <c r="C1750">
        <f t="shared" si="357"/>
        <v>0</v>
      </c>
      <c r="D1750">
        <f t="shared" si="358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9"/>
        <v>0</v>
      </c>
      <c r="G1750">
        <f t="shared" si="360"/>
        <v>0</v>
      </c>
      <c r="H1750">
        <f t="shared" si="361"/>
        <v>0</v>
      </c>
      <c r="I1750">
        <f t="shared" si="362"/>
        <v>0</v>
      </c>
      <c r="J1750">
        <f t="shared" si="363"/>
        <v>0</v>
      </c>
      <c r="K1750" s="4" t="e">
        <f t="shared" si="353"/>
        <v>#N/A</v>
      </c>
      <c r="L1750" t="e">
        <f t="shared" si="354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5"/>
        <v>0</v>
      </c>
      <c r="B1751">
        <f t="shared" si="356"/>
        <v>0</v>
      </c>
      <c r="C1751">
        <f t="shared" si="357"/>
        <v>0</v>
      </c>
      <c r="D1751">
        <f t="shared" si="358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9"/>
        <v>0</v>
      </c>
      <c r="G1751">
        <f t="shared" si="360"/>
        <v>0</v>
      </c>
      <c r="H1751">
        <f t="shared" si="361"/>
        <v>0</v>
      </c>
      <c r="I1751">
        <f t="shared" si="362"/>
        <v>0</v>
      </c>
      <c r="J1751">
        <f t="shared" si="363"/>
        <v>0</v>
      </c>
      <c r="K1751" s="4" t="e">
        <f t="shared" si="353"/>
        <v>#N/A</v>
      </c>
      <c r="L1751" t="e">
        <f t="shared" si="354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5"/>
        <v>0</v>
      </c>
      <c r="B1752">
        <f t="shared" si="356"/>
        <v>0</v>
      </c>
      <c r="C1752">
        <f t="shared" si="357"/>
        <v>0</v>
      </c>
      <c r="D1752">
        <f t="shared" si="358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9"/>
        <v>0</v>
      </c>
      <c r="G1752">
        <f t="shared" si="360"/>
        <v>0</v>
      </c>
      <c r="H1752">
        <f t="shared" si="361"/>
        <v>0</v>
      </c>
      <c r="I1752">
        <f t="shared" si="362"/>
        <v>0</v>
      </c>
      <c r="J1752">
        <f t="shared" si="363"/>
        <v>0</v>
      </c>
      <c r="K1752" s="4" t="e">
        <f t="shared" si="353"/>
        <v>#N/A</v>
      </c>
      <c r="L1752" t="e">
        <f t="shared" si="354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5"/>
        <v>0</v>
      </c>
      <c r="B1753">
        <f t="shared" si="356"/>
        <v>0</v>
      </c>
      <c r="C1753">
        <f t="shared" si="357"/>
        <v>0</v>
      </c>
      <c r="D1753">
        <f t="shared" si="358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9"/>
        <v>0</v>
      </c>
      <c r="G1753">
        <f t="shared" si="360"/>
        <v>0</v>
      </c>
      <c r="H1753">
        <f t="shared" si="361"/>
        <v>0</v>
      </c>
      <c r="I1753">
        <f t="shared" si="362"/>
        <v>0</v>
      </c>
      <c r="J1753">
        <f t="shared" si="363"/>
        <v>0</v>
      </c>
      <c r="K1753" s="4" t="e">
        <f t="shared" si="353"/>
        <v>#N/A</v>
      </c>
      <c r="L1753" t="e">
        <f t="shared" si="354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5"/>
        <v>0</v>
      </c>
      <c r="B1754">
        <f t="shared" si="356"/>
        <v>0</v>
      </c>
      <c r="C1754">
        <f t="shared" si="357"/>
        <v>0</v>
      </c>
      <c r="D1754">
        <f t="shared" si="358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9"/>
        <v>0</v>
      </c>
      <c r="G1754">
        <f t="shared" si="360"/>
        <v>0</v>
      </c>
      <c r="H1754">
        <f t="shared" si="361"/>
        <v>0</v>
      </c>
      <c r="I1754">
        <f t="shared" si="362"/>
        <v>0</v>
      </c>
      <c r="J1754">
        <f t="shared" si="363"/>
        <v>0</v>
      </c>
      <c r="K1754" s="4" t="e">
        <f t="shared" si="353"/>
        <v>#N/A</v>
      </c>
      <c r="L1754" t="e">
        <f t="shared" si="354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5"/>
        <v>0</v>
      </c>
      <c r="B1755">
        <f t="shared" si="356"/>
        <v>0</v>
      </c>
      <c r="C1755">
        <f t="shared" si="357"/>
        <v>0</v>
      </c>
      <c r="D1755">
        <f t="shared" si="358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9"/>
        <v>0</v>
      </c>
      <c r="G1755">
        <f t="shared" si="360"/>
        <v>0</v>
      </c>
      <c r="H1755">
        <f t="shared" si="361"/>
        <v>0</v>
      </c>
      <c r="I1755">
        <f t="shared" si="362"/>
        <v>0</v>
      </c>
      <c r="J1755">
        <f t="shared" si="363"/>
        <v>0</v>
      </c>
      <c r="K1755" s="4" t="e">
        <f t="shared" si="353"/>
        <v>#N/A</v>
      </c>
      <c r="L1755" t="e">
        <f t="shared" si="354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5"/>
        <v>0</v>
      </c>
      <c r="B1756">
        <f t="shared" si="356"/>
        <v>0</v>
      </c>
      <c r="C1756">
        <f t="shared" si="357"/>
        <v>0</v>
      </c>
      <c r="D1756">
        <f t="shared" si="358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9"/>
        <v>0</v>
      </c>
      <c r="G1756">
        <f t="shared" si="360"/>
        <v>0</v>
      </c>
      <c r="H1756">
        <f t="shared" si="361"/>
        <v>0</v>
      </c>
      <c r="I1756">
        <f t="shared" si="362"/>
        <v>0</v>
      </c>
      <c r="J1756">
        <f t="shared" si="363"/>
        <v>0</v>
      </c>
      <c r="K1756" s="4" t="e">
        <f t="shared" si="353"/>
        <v>#N/A</v>
      </c>
      <c r="L1756" t="e">
        <f t="shared" si="354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5"/>
        <v>0</v>
      </c>
      <c r="B1757">
        <f t="shared" si="356"/>
        <v>0</v>
      </c>
      <c r="C1757">
        <f t="shared" si="357"/>
        <v>0</v>
      </c>
      <c r="D1757">
        <f t="shared" si="358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9"/>
        <v>0</v>
      </c>
      <c r="G1757">
        <f t="shared" si="360"/>
        <v>0</v>
      </c>
      <c r="H1757">
        <f t="shared" si="361"/>
        <v>0</v>
      </c>
      <c r="I1757">
        <f t="shared" si="362"/>
        <v>0</v>
      </c>
      <c r="J1757">
        <f t="shared" si="363"/>
        <v>0</v>
      </c>
      <c r="K1757" s="4" t="e">
        <f t="shared" si="353"/>
        <v>#N/A</v>
      </c>
      <c r="L1757" t="e">
        <f t="shared" si="354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5"/>
        <v>0</v>
      </c>
      <c r="B1758">
        <f t="shared" si="356"/>
        <v>0</v>
      </c>
      <c r="C1758">
        <f t="shared" si="357"/>
        <v>0</v>
      </c>
      <c r="D1758">
        <f t="shared" si="358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9"/>
        <v>0</v>
      </c>
      <c r="G1758">
        <f t="shared" si="360"/>
        <v>0</v>
      </c>
      <c r="H1758">
        <f t="shared" si="361"/>
        <v>0</v>
      </c>
      <c r="I1758">
        <f t="shared" si="362"/>
        <v>0</v>
      </c>
      <c r="J1758">
        <f t="shared" si="363"/>
        <v>0</v>
      </c>
      <c r="K1758" s="4" t="e">
        <f t="shared" si="353"/>
        <v>#N/A</v>
      </c>
      <c r="L1758" t="e">
        <f t="shared" si="354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5"/>
        <v>0</v>
      </c>
      <c r="B1759">
        <f t="shared" si="356"/>
        <v>0</v>
      </c>
      <c r="C1759">
        <f t="shared" si="357"/>
        <v>0</v>
      </c>
      <c r="D1759">
        <f t="shared" si="358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9"/>
        <v>0</v>
      </c>
      <c r="G1759">
        <f t="shared" si="360"/>
        <v>0</v>
      </c>
      <c r="H1759">
        <f t="shared" si="361"/>
        <v>0</v>
      </c>
      <c r="I1759">
        <f t="shared" si="362"/>
        <v>0</v>
      </c>
      <c r="J1759">
        <f t="shared" si="363"/>
        <v>0</v>
      </c>
      <c r="K1759" s="4" t="e">
        <f t="shared" si="353"/>
        <v>#N/A</v>
      </c>
      <c r="L1759" t="e">
        <f t="shared" si="354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5"/>
        <v>0</v>
      </c>
      <c r="B1760">
        <f t="shared" si="356"/>
        <v>0</v>
      </c>
      <c r="C1760">
        <f t="shared" si="357"/>
        <v>0</v>
      </c>
      <c r="D1760">
        <f t="shared" si="358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9"/>
        <v>0</v>
      </c>
      <c r="G1760">
        <f t="shared" si="360"/>
        <v>0</v>
      </c>
      <c r="H1760">
        <f t="shared" si="361"/>
        <v>0</v>
      </c>
      <c r="I1760">
        <f t="shared" si="362"/>
        <v>0</v>
      </c>
      <c r="J1760">
        <f t="shared" si="363"/>
        <v>0</v>
      </c>
      <c r="K1760" s="4" t="e">
        <f t="shared" si="353"/>
        <v>#N/A</v>
      </c>
      <c r="L1760" t="e">
        <f t="shared" si="354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5"/>
        <v>0</v>
      </c>
      <c r="B1761">
        <f t="shared" si="356"/>
        <v>0</v>
      </c>
      <c r="C1761">
        <f t="shared" si="357"/>
        <v>0</v>
      </c>
      <c r="D1761">
        <f t="shared" si="358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9"/>
        <v>0</v>
      </c>
      <c r="G1761">
        <f t="shared" si="360"/>
        <v>0</v>
      </c>
      <c r="H1761">
        <f t="shared" si="361"/>
        <v>0</v>
      </c>
      <c r="I1761">
        <f t="shared" si="362"/>
        <v>0</v>
      </c>
      <c r="J1761">
        <f t="shared" si="363"/>
        <v>0</v>
      </c>
      <c r="K1761" s="4" t="e">
        <f t="shared" si="353"/>
        <v>#N/A</v>
      </c>
      <c r="L1761" t="e">
        <f t="shared" si="354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5"/>
        <v>0</v>
      </c>
      <c r="B1762">
        <f t="shared" si="356"/>
        <v>0</v>
      </c>
      <c r="C1762">
        <f t="shared" si="357"/>
        <v>0</v>
      </c>
      <c r="D1762">
        <f t="shared" si="358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9"/>
        <v>0</v>
      </c>
      <c r="G1762">
        <f t="shared" si="360"/>
        <v>0</v>
      </c>
      <c r="H1762">
        <f t="shared" si="361"/>
        <v>0</v>
      </c>
      <c r="I1762">
        <f t="shared" si="362"/>
        <v>0</v>
      </c>
      <c r="J1762">
        <f t="shared" si="363"/>
        <v>0</v>
      </c>
      <c r="K1762" s="4" t="e">
        <f t="shared" si="353"/>
        <v>#N/A</v>
      </c>
      <c r="L1762" t="e">
        <f t="shared" si="354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5"/>
        <v>0</v>
      </c>
      <c r="B1763">
        <f t="shared" si="356"/>
        <v>0</v>
      </c>
      <c r="C1763">
        <f t="shared" si="357"/>
        <v>0</v>
      </c>
      <c r="D1763">
        <f t="shared" si="358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9"/>
        <v>0</v>
      </c>
      <c r="G1763">
        <f t="shared" si="360"/>
        <v>0</v>
      </c>
      <c r="H1763">
        <f t="shared" si="361"/>
        <v>0</v>
      </c>
      <c r="I1763">
        <f t="shared" si="362"/>
        <v>0</v>
      </c>
      <c r="J1763">
        <f t="shared" si="363"/>
        <v>0</v>
      </c>
      <c r="K1763" s="4" t="e">
        <f t="shared" si="353"/>
        <v>#N/A</v>
      </c>
      <c r="L1763" t="e">
        <f t="shared" si="354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5"/>
        <v>0</v>
      </c>
      <c r="B1764">
        <f t="shared" si="356"/>
        <v>0</v>
      </c>
      <c r="C1764">
        <f t="shared" si="357"/>
        <v>0</v>
      </c>
      <c r="D1764">
        <f t="shared" si="358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9"/>
        <v>0</v>
      </c>
      <c r="G1764">
        <f t="shared" si="360"/>
        <v>0</v>
      </c>
      <c r="H1764">
        <f t="shared" si="361"/>
        <v>0</v>
      </c>
      <c r="I1764">
        <f t="shared" si="362"/>
        <v>0</v>
      </c>
      <c r="J1764">
        <f t="shared" si="363"/>
        <v>0</v>
      </c>
      <c r="K1764" s="4" t="e">
        <f t="shared" si="353"/>
        <v>#N/A</v>
      </c>
      <c r="L1764" t="e">
        <f t="shared" si="354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5"/>
        <v>0</v>
      </c>
      <c r="B1765">
        <f t="shared" si="356"/>
        <v>0</v>
      </c>
      <c r="C1765">
        <f t="shared" si="357"/>
        <v>0</v>
      </c>
      <c r="D1765">
        <f t="shared" si="358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9"/>
        <v>0</v>
      </c>
      <c r="G1765">
        <f t="shared" si="360"/>
        <v>0</v>
      </c>
      <c r="H1765">
        <f t="shared" si="361"/>
        <v>0</v>
      </c>
      <c r="I1765">
        <f t="shared" si="362"/>
        <v>0</v>
      </c>
      <c r="J1765">
        <f t="shared" si="363"/>
        <v>0</v>
      </c>
      <c r="K1765" s="4" t="e">
        <f t="shared" si="353"/>
        <v>#N/A</v>
      </c>
      <c r="L1765" t="e">
        <f t="shared" si="354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5"/>
        <v>0</v>
      </c>
      <c r="B1766">
        <f t="shared" si="356"/>
        <v>0</v>
      </c>
      <c r="C1766">
        <f t="shared" si="357"/>
        <v>0</v>
      </c>
      <c r="D1766">
        <f t="shared" si="358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9"/>
        <v>0</v>
      </c>
      <c r="G1766">
        <f t="shared" si="360"/>
        <v>0</v>
      </c>
      <c r="H1766">
        <f t="shared" si="361"/>
        <v>0</v>
      </c>
      <c r="I1766">
        <f t="shared" si="362"/>
        <v>0</v>
      </c>
      <c r="J1766">
        <f t="shared" si="363"/>
        <v>0</v>
      </c>
      <c r="K1766" s="4" t="e">
        <f t="shared" si="353"/>
        <v>#N/A</v>
      </c>
      <c r="L1766" t="e">
        <f t="shared" si="354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5"/>
        <v>0</v>
      </c>
      <c r="B1767">
        <f t="shared" si="356"/>
        <v>0</v>
      </c>
      <c r="C1767">
        <f t="shared" si="357"/>
        <v>0</v>
      </c>
      <c r="D1767">
        <f t="shared" si="358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9"/>
        <v>0</v>
      </c>
      <c r="G1767">
        <f t="shared" si="360"/>
        <v>0</v>
      </c>
      <c r="H1767">
        <f t="shared" si="361"/>
        <v>0</v>
      </c>
      <c r="I1767">
        <f t="shared" si="362"/>
        <v>0</v>
      </c>
      <c r="J1767">
        <f t="shared" si="363"/>
        <v>0</v>
      </c>
      <c r="K1767" s="4" t="e">
        <f t="shared" si="353"/>
        <v>#N/A</v>
      </c>
      <c r="L1767" t="e">
        <f t="shared" si="354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5"/>
        <v>0</v>
      </c>
      <c r="B1768">
        <f t="shared" si="356"/>
        <v>0</v>
      </c>
      <c r="C1768">
        <f t="shared" si="357"/>
        <v>0</v>
      </c>
      <c r="D1768">
        <f t="shared" si="358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9"/>
        <v>0</v>
      </c>
      <c r="G1768">
        <f t="shared" si="360"/>
        <v>0</v>
      </c>
      <c r="H1768">
        <f t="shared" si="361"/>
        <v>0</v>
      </c>
      <c r="I1768">
        <f t="shared" si="362"/>
        <v>0</v>
      </c>
      <c r="J1768">
        <f t="shared" si="363"/>
        <v>0</v>
      </c>
      <c r="K1768" s="4" t="e">
        <f t="shared" si="353"/>
        <v>#N/A</v>
      </c>
      <c r="L1768" t="e">
        <f t="shared" si="354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5"/>
        <v>0</v>
      </c>
      <c r="B1769">
        <f t="shared" si="356"/>
        <v>0</v>
      </c>
      <c r="C1769">
        <f t="shared" si="357"/>
        <v>0</v>
      </c>
      <c r="D1769">
        <f t="shared" si="358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9"/>
        <v>0</v>
      </c>
      <c r="G1769">
        <f t="shared" si="360"/>
        <v>0</v>
      </c>
      <c r="H1769">
        <f t="shared" si="361"/>
        <v>0</v>
      </c>
      <c r="I1769">
        <f t="shared" si="362"/>
        <v>0</v>
      </c>
      <c r="J1769">
        <f t="shared" si="363"/>
        <v>0</v>
      </c>
      <c r="K1769" s="4" t="e">
        <f t="shared" si="353"/>
        <v>#N/A</v>
      </c>
      <c r="L1769" t="e">
        <f t="shared" si="354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5"/>
        <v>0</v>
      </c>
      <c r="B1770">
        <f t="shared" si="356"/>
        <v>0</v>
      </c>
      <c r="C1770">
        <f t="shared" si="357"/>
        <v>0</v>
      </c>
      <c r="D1770">
        <f t="shared" si="358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9"/>
        <v>0</v>
      </c>
      <c r="G1770">
        <f t="shared" si="360"/>
        <v>0</v>
      </c>
      <c r="H1770">
        <f t="shared" si="361"/>
        <v>0</v>
      </c>
      <c r="I1770">
        <f t="shared" si="362"/>
        <v>0</v>
      </c>
      <c r="J1770">
        <f t="shared" si="363"/>
        <v>0</v>
      </c>
      <c r="K1770" s="4" t="e">
        <f t="shared" si="353"/>
        <v>#N/A</v>
      </c>
      <c r="L1770" t="e">
        <f t="shared" si="354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5"/>
        <v>0</v>
      </c>
      <c r="B1771">
        <f t="shared" si="356"/>
        <v>0</v>
      </c>
      <c r="C1771">
        <f t="shared" si="357"/>
        <v>0</v>
      </c>
      <c r="D1771">
        <f t="shared" si="358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9"/>
        <v>0</v>
      </c>
      <c r="G1771">
        <f t="shared" si="360"/>
        <v>0</v>
      </c>
      <c r="H1771">
        <f t="shared" si="361"/>
        <v>0</v>
      </c>
      <c r="I1771">
        <f t="shared" si="362"/>
        <v>0</v>
      </c>
      <c r="J1771">
        <f t="shared" si="363"/>
        <v>0</v>
      </c>
      <c r="K1771" s="4" t="e">
        <f t="shared" si="353"/>
        <v>#N/A</v>
      </c>
      <c r="L1771" t="e">
        <f t="shared" si="354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5"/>
        <v>0</v>
      </c>
      <c r="B1772">
        <f t="shared" si="356"/>
        <v>0</v>
      </c>
      <c r="C1772">
        <f t="shared" si="357"/>
        <v>0</v>
      </c>
      <c r="D1772">
        <f t="shared" si="358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9"/>
        <v>0</v>
      </c>
      <c r="G1772">
        <f t="shared" si="360"/>
        <v>0</v>
      </c>
      <c r="H1772">
        <f t="shared" si="361"/>
        <v>0</v>
      </c>
      <c r="I1772">
        <f t="shared" si="362"/>
        <v>0</v>
      </c>
      <c r="J1772">
        <f t="shared" si="363"/>
        <v>0</v>
      </c>
      <c r="K1772" s="4" t="e">
        <f t="shared" ref="K1772:K1835" si="366">IF(LEFT(B1772,3)="DBM",0,VLOOKUP(E1772,tabela,2,FALSE))</f>
        <v>#N/A</v>
      </c>
      <c r="L1772" t="e">
        <f t="shared" ref="L1772:L1835" si="367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5"/>
        <v>0</v>
      </c>
      <c r="B1773">
        <f t="shared" si="356"/>
        <v>0</v>
      </c>
      <c r="C1773">
        <f t="shared" si="357"/>
        <v>0</v>
      </c>
      <c r="D1773">
        <f t="shared" si="358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9"/>
        <v>0</v>
      </c>
      <c r="G1773">
        <f t="shared" si="360"/>
        <v>0</v>
      </c>
      <c r="H1773">
        <f t="shared" si="361"/>
        <v>0</v>
      </c>
      <c r="I1773">
        <f t="shared" si="362"/>
        <v>0</v>
      </c>
      <c r="J1773">
        <f t="shared" si="363"/>
        <v>0</v>
      </c>
      <c r="K1773" s="4" t="e">
        <f t="shared" si="366"/>
        <v>#N/A</v>
      </c>
      <c r="L1773" t="e">
        <f t="shared" si="367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5"/>
        <v>0</v>
      </c>
      <c r="B1774">
        <f t="shared" si="356"/>
        <v>0</v>
      </c>
      <c r="C1774">
        <f t="shared" si="357"/>
        <v>0</v>
      </c>
      <c r="D1774">
        <f t="shared" si="358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9"/>
        <v>0</v>
      </c>
      <c r="G1774">
        <f t="shared" si="360"/>
        <v>0</v>
      </c>
      <c r="H1774">
        <f t="shared" si="361"/>
        <v>0</v>
      </c>
      <c r="I1774">
        <f t="shared" si="362"/>
        <v>0</v>
      </c>
      <c r="J1774">
        <f t="shared" si="363"/>
        <v>0</v>
      </c>
      <c r="K1774" s="4" t="e">
        <f t="shared" si="366"/>
        <v>#N/A</v>
      </c>
      <c r="L1774" t="e">
        <f t="shared" si="367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5"/>
        <v>0</v>
      </c>
      <c r="B1775">
        <f t="shared" si="356"/>
        <v>0</v>
      </c>
      <c r="C1775">
        <f t="shared" si="357"/>
        <v>0</v>
      </c>
      <c r="D1775">
        <f t="shared" si="358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9"/>
        <v>0</v>
      </c>
      <c r="G1775">
        <f t="shared" si="360"/>
        <v>0</v>
      </c>
      <c r="H1775">
        <f t="shared" si="361"/>
        <v>0</v>
      </c>
      <c r="I1775">
        <f t="shared" si="362"/>
        <v>0</v>
      </c>
      <c r="J1775">
        <f t="shared" si="363"/>
        <v>0</v>
      </c>
      <c r="K1775" s="4" t="e">
        <f t="shared" si="366"/>
        <v>#N/A</v>
      </c>
      <c r="L1775" t="e">
        <f t="shared" si="367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5"/>
        <v>0</v>
      </c>
      <c r="B1776">
        <f t="shared" si="356"/>
        <v>0</v>
      </c>
      <c r="C1776">
        <f t="shared" si="357"/>
        <v>0</v>
      </c>
      <c r="D1776">
        <f t="shared" si="358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9"/>
        <v>0</v>
      </c>
      <c r="G1776">
        <f t="shared" si="360"/>
        <v>0</v>
      </c>
      <c r="H1776">
        <f t="shared" si="361"/>
        <v>0</v>
      </c>
      <c r="I1776">
        <f t="shared" si="362"/>
        <v>0</v>
      </c>
      <c r="J1776">
        <f t="shared" si="363"/>
        <v>0</v>
      </c>
      <c r="K1776" s="4" t="e">
        <f t="shared" si="366"/>
        <v>#N/A</v>
      </c>
      <c r="L1776" t="e">
        <f t="shared" si="367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5"/>
        <v>0</v>
      </c>
      <c r="B1777">
        <f t="shared" si="356"/>
        <v>0</v>
      </c>
      <c r="C1777">
        <f t="shared" si="357"/>
        <v>0</v>
      </c>
      <c r="D1777">
        <f t="shared" si="358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9"/>
        <v>0</v>
      </c>
      <c r="G1777">
        <f t="shared" si="360"/>
        <v>0</v>
      </c>
      <c r="H1777">
        <f t="shared" si="361"/>
        <v>0</v>
      </c>
      <c r="I1777">
        <f t="shared" si="362"/>
        <v>0</v>
      </c>
      <c r="J1777">
        <f t="shared" si="363"/>
        <v>0</v>
      </c>
      <c r="K1777" s="4" t="e">
        <f t="shared" si="366"/>
        <v>#N/A</v>
      </c>
      <c r="L1777" t="e">
        <f t="shared" si="367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5"/>
        <v>0</v>
      </c>
      <c r="B1778">
        <f t="shared" si="356"/>
        <v>0</v>
      </c>
      <c r="C1778">
        <f t="shared" si="357"/>
        <v>0</v>
      </c>
      <c r="D1778">
        <f t="shared" si="358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9"/>
        <v>0</v>
      </c>
      <c r="G1778">
        <f t="shared" si="360"/>
        <v>0</v>
      </c>
      <c r="H1778">
        <f t="shared" si="361"/>
        <v>0</v>
      </c>
      <c r="I1778">
        <f t="shared" si="362"/>
        <v>0</v>
      </c>
      <c r="J1778">
        <f t="shared" si="363"/>
        <v>0</v>
      </c>
      <c r="K1778" s="4" t="e">
        <f t="shared" si="366"/>
        <v>#N/A</v>
      </c>
      <c r="L1778" t="e">
        <f t="shared" si="367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5"/>
        <v>0</v>
      </c>
      <c r="B1779">
        <f t="shared" si="356"/>
        <v>0</v>
      </c>
      <c r="C1779">
        <f t="shared" si="357"/>
        <v>0</v>
      </c>
      <c r="D1779">
        <f t="shared" si="358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9"/>
        <v>0</v>
      </c>
      <c r="G1779">
        <f t="shared" si="360"/>
        <v>0</v>
      </c>
      <c r="H1779">
        <f t="shared" si="361"/>
        <v>0</v>
      </c>
      <c r="I1779">
        <f t="shared" si="362"/>
        <v>0</v>
      </c>
      <c r="J1779">
        <f t="shared" si="363"/>
        <v>0</v>
      </c>
      <c r="K1779" s="4" t="e">
        <f t="shared" si="366"/>
        <v>#N/A</v>
      </c>
      <c r="L1779" t="e">
        <f t="shared" si="367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5"/>
        <v>0</v>
      </c>
      <c r="B1780">
        <f t="shared" si="356"/>
        <v>0</v>
      </c>
      <c r="C1780">
        <f t="shared" si="357"/>
        <v>0</v>
      </c>
      <c r="D1780">
        <f t="shared" si="358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9"/>
        <v>0</v>
      </c>
      <c r="G1780">
        <f t="shared" si="360"/>
        <v>0</v>
      </c>
      <c r="H1780">
        <f t="shared" si="361"/>
        <v>0</v>
      </c>
      <c r="I1780">
        <f t="shared" si="362"/>
        <v>0</v>
      </c>
      <c r="J1780">
        <f t="shared" si="363"/>
        <v>0</v>
      </c>
      <c r="K1780" s="4" t="e">
        <f t="shared" si="366"/>
        <v>#N/A</v>
      </c>
      <c r="L1780" t="e">
        <f t="shared" si="367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5"/>
        <v>0</v>
      </c>
      <c r="B1781">
        <f t="shared" si="356"/>
        <v>0</v>
      </c>
      <c r="C1781">
        <f t="shared" si="357"/>
        <v>0</v>
      </c>
      <c r="D1781">
        <f t="shared" si="358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9"/>
        <v>0</v>
      </c>
      <c r="G1781">
        <f t="shared" si="360"/>
        <v>0</v>
      </c>
      <c r="H1781">
        <f t="shared" si="361"/>
        <v>0</v>
      </c>
      <c r="I1781">
        <f t="shared" si="362"/>
        <v>0</v>
      </c>
      <c r="J1781">
        <f t="shared" si="363"/>
        <v>0</v>
      </c>
      <c r="K1781" s="4" t="e">
        <f t="shared" si="366"/>
        <v>#N/A</v>
      </c>
      <c r="L1781" t="e">
        <f t="shared" si="367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5"/>
        <v>0</v>
      </c>
      <c r="B1782">
        <f t="shared" si="356"/>
        <v>0</v>
      </c>
      <c r="C1782">
        <f t="shared" si="357"/>
        <v>0</v>
      </c>
      <c r="D1782">
        <f t="shared" si="358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9"/>
        <v>0</v>
      </c>
      <c r="G1782">
        <f t="shared" si="360"/>
        <v>0</v>
      </c>
      <c r="H1782">
        <f t="shared" si="361"/>
        <v>0</v>
      </c>
      <c r="I1782">
        <f t="shared" si="362"/>
        <v>0</v>
      </c>
      <c r="J1782">
        <f t="shared" si="363"/>
        <v>0</v>
      </c>
      <c r="K1782" s="4" t="e">
        <f t="shared" si="366"/>
        <v>#N/A</v>
      </c>
      <c r="L1782" t="e">
        <f t="shared" si="367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5"/>
        <v>0</v>
      </c>
      <c r="B1783">
        <f t="shared" si="356"/>
        <v>0</v>
      </c>
      <c r="C1783">
        <f t="shared" si="357"/>
        <v>0</v>
      </c>
      <c r="D1783">
        <f t="shared" si="358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9"/>
        <v>0</v>
      </c>
      <c r="G1783">
        <f t="shared" si="360"/>
        <v>0</v>
      </c>
      <c r="H1783">
        <f t="shared" si="361"/>
        <v>0</v>
      </c>
      <c r="I1783">
        <f t="shared" si="362"/>
        <v>0</v>
      </c>
      <c r="J1783">
        <f t="shared" si="363"/>
        <v>0</v>
      </c>
      <c r="K1783" s="4" t="e">
        <f t="shared" si="366"/>
        <v>#N/A</v>
      </c>
      <c r="L1783" t="e">
        <f t="shared" si="367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5"/>
        <v>0</v>
      </c>
      <c r="B1784">
        <f t="shared" si="356"/>
        <v>0</v>
      </c>
      <c r="C1784">
        <f t="shared" si="357"/>
        <v>0</v>
      </c>
      <c r="D1784">
        <f t="shared" si="358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9"/>
        <v>0</v>
      </c>
      <c r="G1784">
        <f t="shared" si="360"/>
        <v>0</v>
      </c>
      <c r="H1784">
        <f t="shared" si="361"/>
        <v>0</v>
      </c>
      <c r="I1784">
        <f t="shared" si="362"/>
        <v>0</v>
      </c>
      <c r="J1784">
        <f t="shared" si="363"/>
        <v>0</v>
      </c>
      <c r="K1784" s="4" t="e">
        <f t="shared" si="366"/>
        <v>#N/A</v>
      </c>
      <c r="L1784" t="e">
        <f t="shared" si="367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5"/>
        <v>0</v>
      </c>
      <c r="B1785">
        <f t="shared" si="356"/>
        <v>0</v>
      </c>
      <c r="C1785">
        <f t="shared" si="357"/>
        <v>0</v>
      </c>
      <c r="D1785">
        <f t="shared" si="358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9"/>
        <v>0</v>
      </c>
      <c r="G1785">
        <f t="shared" si="360"/>
        <v>0</v>
      </c>
      <c r="H1785">
        <f t="shared" si="361"/>
        <v>0</v>
      </c>
      <c r="I1785">
        <f t="shared" si="362"/>
        <v>0</v>
      </c>
      <c r="J1785">
        <f t="shared" si="363"/>
        <v>0</v>
      </c>
      <c r="K1785" s="4" t="e">
        <f t="shared" si="366"/>
        <v>#N/A</v>
      </c>
      <c r="L1785" t="e">
        <f t="shared" si="367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5"/>
        <v>0</v>
      </c>
      <c r="B1786">
        <f t="shared" si="356"/>
        <v>0</v>
      </c>
      <c r="C1786">
        <f t="shared" si="357"/>
        <v>0</v>
      </c>
      <c r="D1786">
        <f t="shared" si="358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9"/>
        <v>0</v>
      </c>
      <c r="G1786">
        <f t="shared" si="360"/>
        <v>0</v>
      </c>
      <c r="H1786">
        <f t="shared" si="361"/>
        <v>0</v>
      </c>
      <c r="I1786">
        <f t="shared" si="362"/>
        <v>0</v>
      </c>
      <c r="J1786">
        <f t="shared" si="363"/>
        <v>0</v>
      </c>
      <c r="K1786" s="4" t="e">
        <f t="shared" si="366"/>
        <v>#N/A</v>
      </c>
      <c r="L1786" t="e">
        <f t="shared" si="367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5"/>
        <v>0</v>
      </c>
      <c r="B1787">
        <f t="shared" si="356"/>
        <v>0</v>
      </c>
      <c r="C1787">
        <f t="shared" si="357"/>
        <v>0</v>
      </c>
      <c r="D1787">
        <f t="shared" si="358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9"/>
        <v>0</v>
      </c>
      <c r="G1787">
        <f t="shared" si="360"/>
        <v>0</v>
      </c>
      <c r="H1787">
        <f t="shared" si="361"/>
        <v>0</v>
      </c>
      <c r="I1787">
        <f t="shared" si="362"/>
        <v>0</v>
      </c>
      <c r="J1787">
        <f t="shared" si="363"/>
        <v>0</v>
      </c>
      <c r="K1787" s="4" t="e">
        <f t="shared" si="366"/>
        <v>#N/A</v>
      </c>
      <c r="L1787" t="e">
        <f t="shared" si="367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5"/>
        <v>0</v>
      </c>
      <c r="B1788">
        <f t="shared" si="356"/>
        <v>0</v>
      </c>
      <c r="C1788">
        <f t="shared" si="357"/>
        <v>0</v>
      </c>
      <c r="D1788">
        <f t="shared" si="358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9"/>
        <v>0</v>
      </c>
      <c r="G1788">
        <f t="shared" si="360"/>
        <v>0</v>
      </c>
      <c r="H1788">
        <f t="shared" si="361"/>
        <v>0</v>
      </c>
      <c r="I1788">
        <f t="shared" si="362"/>
        <v>0</v>
      </c>
      <c r="J1788">
        <f t="shared" si="363"/>
        <v>0</v>
      </c>
      <c r="K1788" s="4" t="e">
        <f t="shared" si="366"/>
        <v>#N/A</v>
      </c>
      <c r="L1788" t="e">
        <f t="shared" si="367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5"/>
        <v>0</v>
      </c>
      <c r="B1789">
        <f t="shared" si="356"/>
        <v>0</v>
      </c>
      <c r="C1789">
        <f t="shared" si="357"/>
        <v>0</v>
      </c>
      <c r="D1789">
        <f t="shared" si="358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9"/>
        <v>0</v>
      </c>
      <c r="G1789">
        <f t="shared" si="360"/>
        <v>0</v>
      </c>
      <c r="H1789">
        <f t="shared" si="361"/>
        <v>0</v>
      </c>
      <c r="I1789">
        <f t="shared" si="362"/>
        <v>0</v>
      </c>
      <c r="J1789">
        <f t="shared" si="363"/>
        <v>0</v>
      </c>
      <c r="K1789" s="4" t="e">
        <f t="shared" si="366"/>
        <v>#N/A</v>
      </c>
      <c r="L1789" t="e">
        <f t="shared" si="367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5"/>
        <v>0</v>
      </c>
      <c r="B1790">
        <f t="shared" si="356"/>
        <v>0</v>
      </c>
      <c r="C1790">
        <f t="shared" si="357"/>
        <v>0</v>
      </c>
      <c r="D1790">
        <f t="shared" si="358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9"/>
        <v>0</v>
      </c>
      <c r="G1790">
        <f t="shared" si="360"/>
        <v>0</v>
      </c>
      <c r="H1790">
        <f t="shared" si="361"/>
        <v>0</v>
      </c>
      <c r="I1790">
        <f t="shared" si="362"/>
        <v>0</v>
      </c>
      <c r="J1790">
        <f t="shared" si="363"/>
        <v>0</v>
      </c>
      <c r="K1790" s="4" t="e">
        <f t="shared" si="366"/>
        <v>#N/A</v>
      </c>
      <c r="L1790" t="e">
        <f t="shared" si="367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5"/>
        <v>0</v>
      </c>
      <c r="B1791">
        <f t="shared" si="356"/>
        <v>0</v>
      </c>
      <c r="C1791">
        <f t="shared" si="357"/>
        <v>0</v>
      </c>
      <c r="D1791">
        <f t="shared" si="358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9"/>
        <v>0</v>
      </c>
      <c r="G1791">
        <f t="shared" si="360"/>
        <v>0</v>
      </c>
      <c r="H1791">
        <f t="shared" si="361"/>
        <v>0</v>
      </c>
      <c r="I1791">
        <f t="shared" si="362"/>
        <v>0</v>
      </c>
      <c r="J1791">
        <f t="shared" si="363"/>
        <v>0</v>
      </c>
      <c r="K1791" s="4" t="e">
        <f t="shared" si="366"/>
        <v>#N/A</v>
      </c>
      <c r="L1791" t="e">
        <f t="shared" si="367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5"/>
        <v>0</v>
      </c>
      <c r="B1792">
        <f t="shared" si="356"/>
        <v>0</v>
      </c>
      <c r="C1792">
        <f t="shared" si="357"/>
        <v>0</v>
      </c>
      <c r="D1792">
        <f t="shared" si="358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9"/>
        <v>0</v>
      </c>
      <c r="G1792">
        <f t="shared" si="360"/>
        <v>0</v>
      </c>
      <c r="H1792">
        <f t="shared" si="361"/>
        <v>0</v>
      </c>
      <c r="I1792">
        <f t="shared" si="362"/>
        <v>0</v>
      </c>
      <c r="J1792">
        <f t="shared" si="363"/>
        <v>0</v>
      </c>
      <c r="K1792" s="4" t="e">
        <f t="shared" si="366"/>
        <v>#N/A</v>
      </c>
      <c r="L1792" t="e">
        <f t="shared" si="367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5"/>
        <v>0</v>
      </c>
      <c r="B1793">
        <f t="shared" si="356"/>
        <v>0</v>
      </c>
      <c r="C1793">
        <f t="shared" si="357"/>
        <v>0</v>
      </c>
      <c r="D1793">
        <f t="shared" si="358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9"/>
        <v>0</v>
      </c>
      <c r="G1793">
        <f t="shared" si="360"/>
        <v>0</v>
      </c>
      <c r="H1793">
        <f t="shared" si="361"/>
        <v>0</v>
      </c>
      <c r="I1793">
        <f t="shared" si="362"/>
        <v>0</v>
      </c>
      <c r="J1793">
        <f t="shared" si="363"/>
        <v>0</v>
      </c>
      <c r="K1793" s="4" t="e">
        <f t="shared" si="366"/>
        <v>#N/A</v>
      </c>
      <c r="L1793" t="e">
        <f t="shared" si="367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8">bd_campaign</f>
        <v>0</v>
      </c>
      <c r="B1794">
        <f t="shared" ref="B1794:B1857" si="369">bd_site</f>
        <v>0</v>
      </c>
      <c r="C1794">
        <f t="shared" ref="C1794:C1857" si="370">bd_placement</f>
        <v>0</v>
      </c>
      <c r="D1794">
        <f t="shared" ref="D1794:D1857" si="371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2">bd_ad</f>
        <v>0</v>
      </c>
      <c r="G1794">
        <f t="shared" ref="G1794:G1857" si="373">bd_adid</f>
        <v>0</v>
      </c>
      <c r="H1794">
        <f t="shared" ref="H1794:H1857" si="374">bd_creativetype</f>
        <v>0</v>
      </c>
      <c r="I1794">
        <f t="shared" ref="I1794:I1857" si="375">bd_impression</f>
        <v>0</v>
      </c>
      <c r="J1794">
        <f t="shared" ref="J1794:J1857" si="376">bd_clicks</f>
        <v>0</v>
      </c>
      <c r="K1794" s="4" t="e">
        <f t="shared" si="366"/>
        <v>#N/A</v>
      </c>
      <c r="L1794" t="e">
        <f t="shared" si="367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8"/>
        <v>0</v>
      </c>
      <c r="B1795">
        <f t="shared" si="369"/>
        <v>0</v>
      </c>
      <c r="C1795">
        <f t="shared" si="370"/>
        <v>0</v>
      </c>
      <c r="D1795">
        <f t="shared" si="371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2"/>
        <v>0</v>
      </c>
      <c r="G1795">
        <f t="shared" si="373"/>
        <v>0</v>
      </c>
      <c r="H1795">
        <f t="shared" si="374"/>
        <v>0</v>
      </c>
      <c r="I1795">
        <f t="shared" si="375"/>
        <v>0</v>
      </c>
      <c r="J1795">
        <f t="shared" si="376"/>
        <v>0</v>
      </c>
      <c r="K1795" s="4" t="e">
        <f t="shared" si="366"/>
        <v>#N/A</v>
      </c>
      <c r="L1795" t="e">
        <f t="shared" si="367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8"/>
        <v>0</v>
      </c>
      <c r="B1796">
        <f t="shared" si="369"/>
        <v>0</v>
      </c>
      <c r="C1796">
        <f t="shared" si="370"/>
        <v>0</v>
      </c>
      <c r="D1796">
        <f t="shared" si="371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2"/>
        <v>0</v>
      </c>
      <c r="G1796">
        <f t="shared" si="373"/>
        <v>0</v>
      </c>
      <c r="H1796">
        <f t="shared" si="374"/>
        <v>0</v>
      </c>
      <c r="I1796">
        <f t="shared" si="375"/>
        <v>0</v>
      </c>
      <c r="J1796">
        <f t="shared" si="376"/>
        <v>0</v>
      </c>
      <c r="K1796" s="4" t="e">
        <f t="shared" si="366"/>
        <v>#N/A</v>
      </c>
      <c r="L1796" t="e">
        <f t="shared" si="367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8"/>
        <v>0</v>
      </c>
      <c r="B1797">
        <f t="shared" si="369"/>
        <v>0</v>
      </c>
      <c r="C1797">
        <f t="shared" si="370"/>
        <v>0</v>
      </c>
      <c r="D1797">
        <f t="shared" si="371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2"/>
        <v>0</v>
      </c>
      <c r="G1797">
        <f t="shared" si="373"/>
        <v>0</v>
      </c>
      <c r="H1797">
        <f t="shared" si="374"/>
        <v>0</v>
      </c>
      <c r="I1797">
        <f t="shared" si="375"/>
        <v>0</v>
      </c>
      <c r="J1797">
        <f t="shared" si="376"/>
        <v>0</v>
      </c>
      <c r="K1797" s="4" t="e">
        <f t="shared" si="366"/>
        <v>#N/A</v>
      </c>
      <c r="L1797" t="e">
        <f t="shared" si="367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8"/>
        <v>0</v>
      </c>
      <c r="B1798">
        <f t="shared" si="369"/>
        <v>0</v>
      </c>
      <c r="C1798">
        <f t="shared" si="370"/>
        <v>0</v>
      </c>
      <c r="D1798">
        <f t="shared" si="371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2"/>
        <v>0</v>
      </c>
      <c r="G1798">
        <f t="shared" si="373"/>
        <v>0</v>
      </c>
      <c r="H1798">
        <f t="shared" si="374"/>
        <v>0</v>
      </c>
      <c r="I1798">
        <f t="shared" si="375"/>
        <v>0</v>
      </c>
      <c r="J1798">
        <f t="shared" si="376"/>
        <v>0</v>
      </c>
      <c r="K1798" s="4" t="e">
        <f t="shared" si="366"/>
        <v>#N/A</v>
      </c>
      <c r="L1798" t="e">
        <f t="shared" si="367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8"/>
        <v>0</v>
      </c>
      <c r="B1799">
        <f t="shared" si="369"/>
        <v>0</v>
      </c>
      <c r="C1799">
        <f t="shared" si="370"/>
        <v>0</v>
      </c>
      <c r="D1799">
        <f t="shared" si="371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2"/>
        <v>0</v>
      </c>
      <c r="G1799">
        <f t="shared" si="373"/>
        <v>0</v>
      </c>
      <c r="H1799">
        <f t="shared" si="374"/>
        <v>0</v>
      </c>
      <c r="I1799">
        <f t="shared" si="375"/>
        <v>0</v>
      </c>
      <c r="J1799">
        <f t="shared" si="376"/>
        <v>0</v>
      </c>
      <c r="K1799" s="4" t="e">
        <f t="shared" si="366"/>
        <v>#N/A</v>
      </c>
      <c r="L1799" t="e">
        <f t="shared" si="367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8"/>
        <v>0</v>
      </c>
      <c r="B1800">
        <f t="shared" si="369"/>
        <v>0</v>
      </c>
      <c r="C1800">
        <f t="shared" si="370"/>
        <v>0</v>
      </c>
      <c r="D1800">
        <f t="shared" si="371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2"/>
        <v>0</v>
      </c>
      <c r="G1800">
        <f t="shared" si="373"/>
        <v>0</v>
      </c>
      <c r="H1800">
        <f t="shared" si="374"/>
        <v>0</v>
      </c>
      <c r="I1800">
        <f t="shared" si="375"/>
        <v>0</v>
      </c>
      <c r="J1800">
        <f t="shared" si="376"/>
        <v>0</v>
      </c>
      <c r="K1800" s="4" t="e">
        <f t="shared" si="366"/>
        <v>#N/A</v>
      </c>
      <c r="L1800" t="e">
        <f t="shared" si="367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8"/>
        <v>0</v>
      </c>
      <c r="B1801">
        <f t="shared" si="369"/>
        <v>0</v>
      </c>
      <c r="C1801">
        <f t="shared" si="370"/>
        <v>0</v>
      </c>
      <c r="D1801">
        <f t="shared" si="371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2"/>
        <v>0</v>
      </c>
      <c r="G1801">
        <f t="shared" si="373"/>
        <v>0</v>
      </c>
      <c r="H1801">
        <f t="shared" si="374"/>
        <v>0</v>
      </c>
      <c r="I1801">
        <f t="shared" si="375"/>
        <v>0</v>
      </c>
      <c r="J1801">
        <f t="shared" si="376"/>
        <v>0</v>
      </c>
      <c r="K1801" s="4" t="e">
        <f t="shared" si="366"/>
        <v>#N/A</v>
      </c>
      <c r="L1801" t="e">
        <f t="shared" si="367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8"/>
        <v>0</v>
      </c>
      <c r="B1802">
        <f t="shared" si="369"/>
        <v>0</v>
      </c>
      <c r="C1802">
        <f t="shared" si="370"/>
        <v>0</v>
      </c>
      <c r="D1802">
        <f t="shared" si="371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2"/>
        <v>0</v>
      </c>
      <c r="G1802">
        <f t="shared" si="373"/>
        <v>0</v>
      </c>
      <c r="H1802">
        <f t="shared" si="374"/>
        <v>0</v>
      </c>
      <c r="I1802">
        <f t="shared" si="375"/>
        <v>0</v>
      </c>
      <c r="J1802">
        <f t="shared" si="376"/>
        <v>0</v>
      </c>
      <c r="K1802" s="4" t="e">
        <f t="shared" si="366"/>
        <v>#N/A</v>
      </c>
      <c r="L1802" t="e">
        <f t="shared" si="367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8"/>
        <v>0</v>
      </c>
      <c r="B1803">
        <f t="shared" si="369"/>
        <v>0</v>
      </c>
      <c r="C1803">
        <f t="shared" si="370"/>
        <v>0</v>
      </c>
      <c r="D1803">
        <f t="shared" si="371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2"/>
        <v>0</v>
      </c>
      <c r="G1803">
        <f t="shared" si="373"/>
        <v>0</v>
      </c>
      <c r="H1803">
        <f t="shared" si="374"/>
        <v>0</v>
      </c>
      <c r="I1803">
        <f t="shared" si="375"/>
        <v>0</v>
      </c>
      <c r="J1803">
        <f t="shared" si="376"/>
        <v>0</v>
      </c>
      <c r="K1803" s="4" t="e">
        <f t="shared" si="366"/>
        <v>#N/A</v>
      </c>
      <c r="L1803" t="e">
        <f t="shared" si="367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8"/>
        <v>0</v>
      </c>
      <c r="B1804">
        <f t="shared" si="369"/>
        <v>0</v>
      </c>
      <c r="C1804">
        <f t="shared" si="370"/>
        <v>0</v>
      </c>
      <c r="D1804">
        <f t="shared" si="371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2"/>
        <v>0</v>
      </c>
      <c r="G1804">
        <f t="shared" si="373"/>
        <v>0</v>
      </c>
      <c r="H1804">
        <f t="shared" si="374"/>
        <v>0</v>
      </c>
      <c r="I1804">
        <f t="shared" si="375"/>
        <v>0</v>
      </c>
      <c r="J1804">
        <f t="shared" si="376"/>
        <v>0</v>
      </c>
      <c r="K1804" s="4" t="e">
        <f t="shared" si="366"/>
        <v>#N/A</v>
      </c>
      <c r="L1804" t="e">
        <f t="shared" si="367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8"/>
        <v>0</v>
      </c>
      <c r="B1805">
        <f t="shared" si="369"/>
        <v>0</v>
      </c>
      <c r="C1805">
        <f t="shared" si="370"/>
        <v>0</v>
      </c>
      <c r="D1805">
        <f t="shared" si="371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2"/>
        <v>0</v>
      </c>
      <c r="G1805">
        <f t="shared" si="373"/>
        <v>0</v>
      </c>
      <c r="H1805">
        <f t="shared" si="374"/>
        <v>0</v>
      </c>
      <c r="I1805">
        <f t="shared" si="375"/>
        <v>0</v>
      </c>
      <c r="J1805">
        <f t="shared" si="376"/>
        <v>0</v>
      </c>
      <c r="K1805" s="4" t="e">
        <f t="shared" si="366"/>
        <v>#N/A</v>
      </c>
      <c r="L1805" t="e">
        <f t="shared" si="367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8"/>
        <v>0</v>
      </c>
      <c r="B1806">
        <f t="shared" si="369"/>
        <v>0</v>
      </c>
      <c r="C1806">
        <f t="shared" si="370"/>
        <v>0</v>
      </c>
      <c r="D1806">
        <f t="shared" si="371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2"/>
        <v>0</v>
      </c>
      <c r="G1806">
        <f t="shared" si="373"/>
        <v>0</v>
      </c>
      <c r="H1806">
        <f t="shared" si="374"/>
        <v>0</v>
      </c>
      <c r="I1806">
        <f t="shared" si="375"/>
        <v>0</v>
      </c>
      <c r="J1806">
        <f t="shared" si="376"/>
        <v>0</v>
      </c>
      <c r="K1806" s="4" t="e">
        <f t="shared" si="366"/>
        <v>#N/A</v>
      </c>
      <c r="L1806" t="e">
        <f t="shared" si="367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8"/>
        <v>0</v>
      </c>
      <c r="B1807">
        <f t="shared" si="369"/>
        <v>0</v>
      </c>
      <c r="C1807">
        <f t="shared" si="370"/>
        <v>0</v>
      </c>
      <c r="D1807">
        <f t="shared" si="371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2"/>
        <v>0</v>
      </c>
      <c r="G1807">
        <f t="shared" si="373"/>
        <v>0</v>
      </c>
      <c r="H1807">
        <f t="shared" si="374"/>
        <v>0</v>
      </c>
      <c r="I1807">
        <f t="shared" si="375"/>
        <v>0</v>
      </c>
      <c r="J1807">
        <f t="shared" si="376"/>
        <v>0</v>
      </c>
      <c r="K1807" s="4" t="e">
        <f t="shared" si="366"/>
        <v>#N/A</v>
      </c>
      <c r="L1807" t="e">
        <f t="shared" si="367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8"/>
        <v>0</v>
      </c>
      <c r="B1808">
        <f t="shared" si="369"/>
        <v>0</v>
      </c>
      <c r="C1808">
        <f t="shared" si="370"/>
        <v>0</v>
      </c>
      <c r="D1808">
        <f t="shared" si="371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2"/>
        <v>0</v>
      </c>
      <c r="G1808">
        <f t="shared" si="373"/>
        <v>0</v>
      </c>
      <c r="H1808">
        <f t="shared" si="374"/>
        <v>0</v>
      </c>
      <c r="I1808">
        <f t="shared" si="375"/>
        <v>0</v>
      </c>
      <c r="J1808">
        <f t="shared" si="376"/>
        <v>0</v>
      </c>
      <c r="K1808" s="4" t="e">
        <f t="shared" si="366"/>
        <v>#N/A</v>
      </c>
      <c r="L1808" t="e">
        <f t="shared" si="367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8"/>
        <v>0</v>
      </c>
      <c r="B1809">
        <f t="shared" si="369"/>
        <v>0</v>
      </c>
      <c r="C1809">
        <f t="shared" si="370"/>
        <v>0</v>
      </c>
      <c r="D1809">
        <f t="shared" si="371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2"/>
        <v>0</v>
      </c>
      <c r="G1809">
        <f t="shared" si="373"/>
        <v>0</v>
      </c>
      <c r="H1809">
        <f t="shared" si="374"/>
        <v>0</v>
      </c>
      <c r="I1809">
        <f t="shared" si="375"/>
        <v>0</v>
      </c>
      <c r="J1809">
        <f t="shared" si="376"/>
        <v>0</v>
      </c>
      <c r="K1809" s="4" t="e">
        <f t="shared" si="366"/>
        <v>#N/A</v>
      </c>
      <c r="L1809" t="e">
        <f t="shared" si="367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8"/>
        <v>0</v>
      </c>
      <c r="B1810">
        <f t="shared" si="369"/>
        <v>0</v>
      </c>
      <c r="C1810">
        <f t="shared" si="370"/>
        <v>0</v>
      </c>
      <c r="D1810">
        <f t="shared" si="371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2"/>
        <v>0</v>
      </c>
      <c r="G1810">
        <f t="shared" si="373"/>
        <v>0</v>
      </c>
      <c r="H1810">
        <f t="shared" si="374"/>
        <v>0</v>
      </c>
      <c r="I1810">
        <f t="shared" si="375"/>
        <v>0</v>
      </c>
      <c r="J1810">
        <f t="shared" si="376"/>
        <v>0</v>
      </c>
      <c r="K1810" s="4" t="e">
        <f t="shared" si="366"/>
        <v>#N/A</v>
      </c>
      <c r="L1810" t="e">
        <f t="shared" si="367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8"/>
        <v>0</v>
      </c>
      <c r="B1811">
        <f t="shared" si="369"/>
        <v>0</v>
      </c>
      <c r="C1811">
        <f t="shared" si="370"/>
        <v>0</v>
      </c>
      <c r="D1811">
        <f t="shared" si="371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2"/>
        <v>0</v>
      </c>
      <c r="G1811">
        <f t="shared" si="373"/>
        <v>0</v>
      </c>
      <c r="H1811">
        <f t="shared" si="374"/>
        <v>0</v>
      </c>
      <c r="I1811">
        <f t="shared" si="375"/>
        <v>0</v>
      </c>
      <c r="J1811">
        <f t="shared" si="376"/>
        <v>0</v>
      </c>
      <c r="K1811" s="4" t="e">
        <f t="shared" si="366"/>
        <v>#N/A</v>
      </c>
      <c r="L1811" t="e">
        <f t="shared" si="367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8"/>
        <v>0</v>
      </c>
      <c r="B1812">
        <f t="shared" si="369"/>
        <v>0</v>
      </c>
      <c r="C1812">
        <f t="shared" si="370"/>
        <v>0</v>
      </c>
      <c r="D1812">
        <f t="shared" si="371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2"/>
        <v>0</v>
      </c>
      <c r="G1812">
        <f t="shared" si="373"/>
        <v>0</v>
      </c>
      <c r="H1812">
        <f t="shared" si="374"/>
        <v>0</v>
      </c>
      <c r="I1812">
        <f t="shared" si="375"/>
        <v>0</v>
      </c>
      <c r="J1812">
        <f t="shared" si="376"/>
        <v>0</v>
      </c>
      <c r="K1812" s="4" t="e">
        <f t="shared" si="366"/>
        <v>#N/A</v>
      </c>
      <c r="L1812" t="e">
        <f t="shared" si="367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8"/>
        <v>0</v>
      </c>
      <c r="B1813">
        <f t="shared" si="369"/>
        <v>0</v>
      </c>
      <c r="C1813">
        <f t="shared" si="370"/>
        <v>0</v>
      </c>
      <c r="D1813">
        <f t="shared" si="371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2"/>
        <v>0</v>
      </c>
      <c r="G1813">
        <f t="shared" si="373"/>
        <v>0</v>
      </c>
      <c r="H1813">
        <f t="shared" si="374"/>
        <v>0</v>
      </c>
      <c r="I1813">
        <f t="shared" si="375"/>
        <v>0</v>
      </c>
      <c r="J1813">
        <f t="shared" si="376"/>
        <v>0</v>
      </c>
      <c r="K1813" s="4" t="e">
        <f t="shared" si="366"/>
        <v>#N/A</v>
      </c>
      <c r="L1813" t="e">
        <f t="shared" si="367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8"/>
        <v>0</v>
      </c>
      <c r="B1814">
        <f t="shared" si="369"/>
        <v>0</v>
      </c>
      <c r="C1814">
        <f t="shared" si="370"/>
        <v>0</v>
      </c>
      <c r="D1814">
        <f t="shared" si="371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2"/>
        <v>0</v>
      </c>
      <c r="G1814">
        <f t="shared" si="373"/>
        <v>0</v>
      </c>
      <c r="H1814">
        <f t="shared" si="374"/>
        <v>0</v>
      </c>
      <c r="I1814">
        <f t="shared" si="375"/>
        <v>0</v>
      </c>
      <c r="J1814">
        <f t="shared" si="376"/>
        <v>0</v>
      </c>
      <c r="K1814" s="4" t="e">
        <f t="shared" si="366"/>
        <v>#N/A</v>
      </c>
      <c r="L1814" t="e">
        <f t="shared" si="367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8"/>
        <v>0</v>
      </c>
      <c r="B1815">
        <f t="shared" si="369"/>
        <v>0</v>
      </c>
      <c r="C1815">
        <f t="shared" si="370"/>
        <v>0</v>
      </c>
      <c r="D1815">
        <f t="shared" si="371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2"/>
        <v>0</v>
      </c>
      <c r="G1815">
        <f t="shared" si="373"/>
        <v>0</v>
      </c>
      <c r="H1815">
        <f t="shared" si="374"/>
        <v>0</v>
      </c>
      <c r="I1815">
        <f t="shared" si="375"/>
        <v>0</v>
      </c>
      <c r="J1815">
        <f t="shared" si="376"/>
        <v>0</v>
      </c>
      <c r="K1815" s="4" t="e">
        <f t="shared" si="366"/>
        <v>#N/A</v>
      </c>
      <c r="L1815" t="e">
        <f t="shared" si="367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8"/>
        <v>0</v>
      </c>
      <c r="B1816">
        <f t="shared" si="369"/>
        <v>0</v>
      </c>
      <c r="C1816">
        <f t="shared" si="370"/>
        <v>0</v>
      </c>
      <c r="D1816">
        <f t="shared" si="371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2"/>
        <v>0</v>
      </c>
      <c r="G1816">
        <f t="shared" si="373"/>
        <v>0</v>
      </c>
      <c r="H1816">
        <f t="shared" si="374"/>
        <v>0</v>
      </c>
      <c r="I1816">
        <f t="shared" si="375"/>
        <v>0</v>
      </c>
      <c r="J1816">
        <f t="shared" si="376"/>
        <v>0</v>
      </c>
      <c r="K1816" s="4" t="e">
        <f t="shared" si="366"/>
        <v>#N/A</v>
      </c>
      <c r="L1816" t="e">
        <f t="shared" si="367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8"/>
        <v>0</v>
      </c>
      <c r="B1817">
        <f t="shared" si="369"/>
        <v>0</v>
      </c>
      <c r="C1817">
        <f t="shared" si="370"/>
        <v>0</v>
      </c>
      <c r="D1817">
        <f t="shared" si="371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2"/>
        <v>0</v>
      </c>
      <c r="G1817">
        <f t="shared" si="373"/>
        <v>0</v>
      </c>
      <c r="H1817">
        <f t="shared" si="374"/>
        <v>0</v>
      </c>
      <c r="I1817">
        <f t="shared" si="375"/>
        <v>0</v>
      </c>
      <c r="J1817">
        <f t="shared" si="376"/>
        <v>0</v>
      </c>
      <c r="K1817" s="4" t="e">
        <f t="shared" si="366"/>
        <v>#N/A</v>
      </c>
      <c r="L1817" t="e">
        <f t="shared" si="367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8"/>
        <v>0</v>
      </c>
      <c r="B1818">
        <f t="shared" si="369"/>
        <v>0</v>
      </c>
      <c r="C1818">
        <f t="shared" si="370"/>
        <v>0</v>
      </c>
      <c r="D1818">
        <f t="shared" si="371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2"/>
        <v>0</v>
      </c>
      <c r="G1818">
        <f t="shared" si="373"/>
        <v>0</v>
      </c>
      <c r="H1818">
        <f t="shared" si="374"/>
        <v>0</v>
      </c>
      <c r="I1818">
        <f t="shared" si="375"/>
        <v>0</v>
      </c>
      <c r="J1818">
        <f t="shared" si="376"/>
        <v>0</v>
      </c>
      <c r="K1818" s="4" t="e">
        <f t="shared" si="366"/>
        <v>#N/A</v>
      </c>
      <c r="L1818" t="e">
        <f t="shared" si="367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8"/>
        <v>0</v>
      </c>
      <c r="B1819">
        <f t="shared" si="369"/>
        <v>0</v>
      </c>
      <c r="C1819">
        <f t="shared" si="370"/>
        <v>0</v>
      </c>
      <c r="D1819">
        <f t="shared" si="371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2"/>
        <v>0</v>
      </c>
      <c r="G1819">
        <f t="shared" si="373"/>
        <v>0</v>
      </c>
      <c r="H1819">
        <f t="shared" si="374"/>
        <v>0</v>
      </c>
      <c r="I1819">
        <f t="shared" si="375"/>
        <v>0</v>
      </c>
      <c r="J1819">
        <f t="shared" si="376"/>
        <v>0</v>
      </c>
      <c r="K1819" s="4" t="e">
        <f t="shared" si="366"/>
        <v>#N/A</v>
      </c>
      <c r="L1819" t="e">
        <f t="shared" si="367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8"/>
        <v>0</v>
      </c>
      <c r="B1820">
        <f t="shared" si="369"/>
        <v>0</v>
      </c>
      <c r="C1820">
        <f t="shared" si="370"/>
        <v>0</v>
      </c>
      <c r="D1820">
        <f t="shared" si="371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2"/>
        <v>0</v>
      </c>
      <c r="G1820">
        <f t="shared" si="373"/>
        <v>0</v>
      </c>
      <c r="H1820">
        <f t="shared" si="374"/>
        <v>0</v>
      </c>
      <c r="I1820">
        <f t="shared" si="375"/>
        <v>0</v>
      </c>
      <c r="J1820">
        <f t="shared" si="376"/>
        <v>0</v>
      </c>
      <c r="K1820" s="4" t="e">
        <f t="shared" si="366"/>
        <v>#N/A</v>
      </c>
      <c r="L1820" t="e">
        <f t="shared" si="367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8"/>
        <v>0</v>
      </c>
      <c r="B1821">
        <f t="shared" si="369"/>
        <v>0</v>
      </c>
      <c r="C1821">
        <f t="shared" si="370"/>
        <v>0</v>
      </c>
      <c r="D1821">
        <f t="shared" si="371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2"/>
        <v>0</v>
      </c>
      <c r="G1821">
        <f t="shared" si="373"/>
        <v>0</v>
      </c>
      <c r="H1821">
        <f t="shared" si="374"/>
        <v>0</v>
      </c>
      <c r="I1821">
        <f t="shared" si="375"/>
        <v>0</v>
      </c>
      <c r="J1821">
        <f t="shared" si="376"/>
        <v>0</v>
      </c>
      <c r="K1821" s="4" t="e">
        <f t="shared" si="366"/>
        <v>#N/A</v>
      </c>
      <c r="L1821" t="e">
        <f t="shared" si="367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8"/>
        <v>0</v>
      </c>
      <c r="B1822">
        <f t="shared" si="369"/>
        <v>0</v>
      </c>
      <c r="C1822">
        <f t="shared" si="370"/>
        <v>0</v>
      </c>
      <c r="D1822">
        <f t="shared" si="371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2"/>
        <v>0</v>
      </c>
      <c r="G1822">
        <f t="shared" si="373"/>
        <v>0</v>
      </c>
      <c r="H1822">
        <f t="shared" si="374"/>
        <v>0</v>
      </c>
      <c r="I1822">
        <f t="shared" si="375"/>
        <v>0</v>
      </c>
      <c r="J1822">
        <f t="shared" si="376"/>
        <v>0</v>
      </c>
      <c r="K1822" s="4" t="e">
        <f t="shared" si="366"/>
        <v>#N/A</v>
      </c>
      <c r="L1822" t="e">
        <f t="shared" si="367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8"/>
        <v>0</v>
      </c>
      <c r="B1823">
        <f t="shared" si="369"/>
        <v>0</v>
      </c>
      <c r="C1823">
        <f t="shared" si="370"/>
        <v>0</v>
      </c>
      <c r="D1823">
        <f t="shared" si="371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2"/>
        <v>0</v>
      </c>
      <c r="G1823">
        <f t="shared" si="373"/>
        <v>0</v>
      </c>
      <c r="H1823">
        <f t="shared" si="374"/>
        <v>0</v>
      </c>
      <c r="I1823">
        <f t="shared" si="375"/>
        <v>0</v>
      </c>
      <c r="J1823">
        <f t="shared" si="376"/>
        <v>0</v>
      </c>
      <c r="K1823" s="4" t="e">
        <f t="shared" si="366"/>
        <v>#N/A</v>
      </c>
      <c r="L1823" t="e">
        <f t="shared" si="367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8"/>
        <v>0</v>
      </c>
      <c r="B1824">
        <f t="shared" si="369"/>
        <v>0</v>
      </c>
      <c r="C1824">
        <f t="shared" si="370"/>
        <v>0</v>
      </c>
      <c r="D1824">
        <f t="shared" si="371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2"/>
        <v>0</v>
      </c>
      <c r="G1824">
        <f t="shared" si="373"/>
        <v>0</v>
      </c>
      <c r="H1824">
        <f t="shared" si="374"/>
        <v>0</v>
      </c>
      <c r="I1824">
        <f t="shared" si="375"/>
        <v>0</v>
      </c>
      <c r="J1824">
        <f t="shared" si="376"/>
        <v>0</v>
      </c>
      <c r="K1824" s="4" t="e">
        <f t="shared" si="366"/>
        <v>#N/A</v>
      </c>
      <c r="L1824" t="e">
        <f t="shared" si="367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8"/>
        <v>0</v>
      </c>
      <c r="B1825">
        <f t="shared" si="369"/>
        <v>0</v>
      </c>
      <c r="C1825">
        <f t="shared" si="370"/>
        <v>0</v>
      </c>
      <c r="D1825">
        <f t="shared" si="371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2"/>
        <v>0</v>
      </c>
      <c r="G1825">
        <f t="shared" si="373"/>
        <v>0</v>
      </c>
      <c r="H1825">
        <f t="shared" si="374"/>
        <v>0</v>
      </c>
      <c r="I1825">
        <f t="shared" si="375"/>
        <v>0</v>
      </c>
      <c r="J1825">
        <f t="shared" si="376"/>
        <v>0</v>
      </c>
      <c r="K1825" s="4" t="e">
        <f t="shared" si="366"/>
        <v>#N/A</v>
      </c>
      <c r="L1825" t="e">
        <f t="shared" si="367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8"/>
        <v>0</v>
      </c>
      <c r="B1826">
        <f t="shared" si="369"/>
        <v>0</v>
      </c>
      <c r="C1826">
        <f t="shared" si="370"/>
        <v>0</v>
      </c>
      <c r="D1826">
        <f t="shared" si="371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2"/>
        <v>0</v>
      </c>
      <c r="G1826">
        <f t="shared" si="373"/>
        <v>0</v>
      </c>
      <c r="H1826">
        <f t="shared" si="374"/>
        <v>0</v>
      </c>
      <c r="I1826">
        <f t="shared" si="375"/>
        <v>0</v>
      </c>
      <c r="J1826">
        <f t="shared" si="376"/>
        <v>0</v>
      </c>
      <c r="K1826" s="4" t="e">
        <f t="shared" si="366"/>
        <v>#N/A</v>
      </c>
      <c r="L1826" t="e">
        <f t="shared" si="367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8"/>
        <v>0</v>
      </c>
      <c r="B1827">
        <f t="shared" si="369"/>
        <v>0</v>
      </c>
      <c r="C1827">
        <f t="shared" si="370"/>
        <v>0</v>
      </c>
      <c r="D1827">
        <f t="shared" si="371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2"/>
        <v>0</v>
      </c>
      <c r="G1827">
        <f t="shared" si="373"/>
        <v>0</v>
      </c>
      <c r="H1827">
        <f t="shared" si="374"/>
        <v>0</v>
      </c>
      <c r="I1827">
        <f t="shared" si="375"/>
        <v>0</v>
      </c>
      <c r="J1827">
        <f t="shared" si="376"/>
        <v>0</v>
      </c>
      <c r="K1827" s="4" t="e">
        <f t="shared" si="366"/>
        <v>#N/A</v>
      </c>
      <c r="L1827" t="e">
        <f t="shared" si="367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8"/>
        <v>0</v>
      </c>
      <c r="B1828">
        <f t="shared" si="369"/>
        <v>0</v>
      </c>
      <c r="C1828">
        <f t="shared" si="370"/>
        <v>0</v>
      </c>
      <c r="D1828">
        <f t="shared" si="371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2"/>
        <v>0</v>
      </c>
      <c r="G1828">
        <f t="shared" si="373"/>
        <v>0</v>
      </c>
      <c r="H1828">
        <f t="shared" si="374"/>
        <v>0</v>
      </c>
      <c r="I1828">
        <f t="shared" si="375"/>
        <v>0</v>
      </c>
      <c r="J1828">
        <f t="shared" si="376"/>
        <v>0</v>
      </c>
      <c r="K1828" s="4" t="e">
        <f t="shared" si="366"/>
        <v>#N/A</v>
      </c>
      <c r="L1828" t="e">
        <f t="shared" si="367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8"/>
        <v>0</v>
      </c>
      <c r="B1829">
        <f t="shared" si="369"/>
        <v>0</v>
      </c>
      <c r="C1829">
        <f t="shared" si="370"/>
        <v>0</v>
      </c>
      <c r="D1829">
        <f t="shared" si="371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2"/>
        <v>0</v>
      </c>
      <c r="G1829">
        <f t="shared" si="373"/>
        <v>0</v>
      </c>
      <c r="H1829">
        <f t="shared" si="374"/>
        <v>0</v>
      </c>
      <c r="I1829">
        <f t="shared" si="375"/>
        <v>0</v>
      </c>
      <c r="J1829">
        <f t="shared" si="376"/>
        <v>0</v>
      </c>
      <c r="K1829" s="4" t="e">
        <f t="shared" si="366"/>
        <v>#N/A</v>
      </c>
      <c r="L1829" t="e">
        <f t="shared" si="367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8"/>
        <v>0</v>
      </c>
      <c r="B1830">
        <f t="shared" si="369"/>
        <v>0</v>
      </c>
      <c r="C1830">
        <f t="shared" si="370"/>
        <v>0</v>
      </c>
      <c r="D1830">
        <f t="shared" si="371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2"/>
        <v>0</v>
      </c>
      <c r="G1830">
        <f t="shared" si="373"/>
        <v>0</v>
      </c>
      <c r="H1830">
        <f t="shared" si="374"/>
        <v>0</v>
      </c>
      <c r="I1830">
        <f t="shared" si="375"/>
        <v>0</v>
      </c>
      <c r="J1830">
        <f t="shared" si="376"/>
        <v>0</v>
      </c>
      <c r="K1830" s="4" t="e">
        <f t="shared" si="366"/>
        <v>#N/A</v>
      </c>
      <c r="L1830" t="e">
        <f t="shared" si="367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8"/>
        <v>0</v>
      </c>
      <c r="B1831">
        <f t="shared" si="369"/>
        <v>0</v>
      </c>
      <c r="C1831">
        <f t="shared" si="370"/>
        <v>0</v>
      </c>
      <c r="D1831">
        <f t="shared" si="371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2"/>
        <v>0</v>
      </c>
      <c r="G1831">
        <f t="shared" si="373"/>
        <v>0</v>
      </c>
      <c r="H1831">
        <f t="shared" si="374"/>
        <v>0</v>
      </c>
      <c r="I1831">
        <f t="shared" si="375"/>
        <v>0</v>
      </c>
      <c r="J1831">
        <f t="shared" si="376"/>
        <v>0</v>
      </c>
      <c r="K1831" s="4" t="e">
        <f t="shared" si="366"/>
        <v>#N/A</v>
      </c>
      <c r="L1831" t="e">
        <f t="shared" si="367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8"/>
        <v>0</v>
      </c>
      <c r="B1832">
        <f t="shared" si="369"/>
        <v>0</v>
      </c>
      <c r="C1832">
        <f t="shared" si="370"/>
        <v>0</v>
      </c>
      <c r="D1832">
        <f t="shared" si="371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2"/>
        <v>0</v>
      </c>
      <c r="G1832">
        <f t="shared" si="373"/>
        <v>0</v>
      </c>
      <c r="H1832">
        <f t="shared" si="374"/>
        <v>0</v>
      </c>
      <c r="I1832">
        <f t="shared" si="375"/>
        <v>0</v>
      </c>
      <c r="J1832">
        <f t="shared" si="376"/>
        <v>0</v>
      </c>
      <c r="K1832" s="4" t="e">
        <f t="shared" si="366"/>
        <v>#N/A</v>
      </c>
      <c r="L1832" t="e">
        <f t="shared" si="367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8"/>
        <v>0</v>
      </c>
      <c r="B1833">
        <f t="shared" si="369"/>
        <v>0</v>
      </c>
      <c r="C1833">
        <f t="shared" si="370"/>
        <v>0</v>
      </c>
      <c r="D1833">
        <f t="shared" si="371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2"/>
        <v>0</v>
      </c>
      <c r="G1833">
        <f t="shared" si="373"/>
        <v>0</v>
      </c>
      <c r="H1833">
        <f t="shared" si="374"/>
        <v>0</v>
      </c>
      <c r="I1833">
        <f t="shared" si="375"/>
        <v>0</v>
      </c>
      <c r="J1833">
        <f t="shared" si="376"/>
        <v>0</v>
      </c>
      <c r="K1833" s="4" t="e">
        <f t="shared" si="366"/>
        <v>#N/A</v>
      </c>
      <c r="L1833" t="e">
        <f t="shared" si="367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8"/>
        <v>0</v>
      </c>
      <c r="B1834">
        <f t="shared" si="369"/>
        <v>0</v>
      </c>
      <c r="C1834">
        <f t="shared" si="370"/>
        <v>0</v>
      </c>
      <c r="D1834">
        <f t="shared" si="371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2"/>
        <v>0</v>
      </c>
      <c r="G1834">
        <f t="shared" si="373"/>
        <v>0</v>
      </c>
      <c r="H1834">
        <f t="shared" si="374"/>
        <v>0</v>
      </c>
      <c r="I1834">
        <f t="shared" si="375"/>
        <v>0</v>
      </c>
      <c r="J1834">
        <f t="shared" si="376"/>
        <v>0</v>
      </c>
      <c r="K1834" s="4" t="e">
        <f t="shared" si="366"/>
        <v>#N/A</v>
      </c>
      <c r="L1834" t="e">
        <f t="shared" si="367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8"/>
        <v>0</v>
      </c>
      <c r="B1835">
        <f t="shared" si="369"/>
        <v>0</v>
      </c>
      <c r="C1835">
        <f t="shared" si="370"/>
        <v>0</v>
      </c>
      <c r="D1835">
        <f t="shared" si="371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2"/>
        <v>0</v>
      </c>
      <c r="G1835">
        <f t="shared" si="373"/>
        <v>0</v>
      </c>
      <c r="H1835">
        <f t="shared" si="374"/>
        <v>0</v>
      </c>
      <c r="I1835">
        <f t="shared" si="375"/>
        <v>0</v>
      </c>
      <c r="J1835">
        <f t="shared" si="376"/>
        <v>0</v>
      </c>
      <c r="K1835" s="4" t="e">
        <f t="shared" si="366"/>
        <v>#N/A</v>
      </c>
      <c r="L1835" t="e">
        <f t="shared" si="367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8"/>
        <v>0</v>
      </c>
      <c r="B1836">
        <f t="shared" si="369"/>
        <v>0</v>
      </c>
      <c r="C1836">
        <f t="shared" si="370"/>
        <v>0</v>
      </c>
      <c r="D1836">
        <f t="shared" si="371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2"/>
        <v>0</v>
      </c>
      <c r="G1836">
        <f t="shared" si="373"/>
        <v>0</v>
      </c>
      <c r="H1836">
        <f t="shared" si="374"/>
        <v>0</v>
      </c>
      <c r="I1836">
        <f t="shared" si="375"/>
        <v>0</v>
      </c>
      <c r="J1836">
        <f t="shared" si="376"/>
        <v>0</v>
      </c>
      <c r="K1836" s="4" t="e">
        <f t="shared" ref="K1836:K1899" si="379">IF(LEFT(B1836,3)="DBM",0,VLOOKUP(E1836,tabela,2,FALSE))</f>
        <v>#N/A</v>
      </c>
      <c r="L1836" t="e">
        <f t="shared" ref="L1836:L1899" si="380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8"/>
        <v>0</v>
      </c>
      <c r="B1837">
        <f t="shared" si="369"/>
        <v>0</v>
      </c>
      <c r="C1837">
        <f t="shared" si="370"/>
        <v>0</v>
      </c>
      <c r="D1837">
        <f t="shared" si="371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2"/>
        <v>0</v>
      </c>
      <c r="G1837">
        <f t="shared" si="373"/>
        <v>0</v>
      </c>
      <c r="H1837">
        <f t="shared" si="374"/>
        <v>0</v>
      </c>
      <c r="I1837">
        <f t="shared" si="375"/>
        <v>0</v>
      </c>
      <c r="J1837">
        <f t="shared" si="376"/>
        <v>0</v>
      </c>
      <c r="K1837" s="4" t="e">
        <f t="shared" si="379"/>
        <v>#N/A</v>
      </c>
      <c r="L1837" t="e">
        <f t="shared" si="380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8"/>
        <v>0</v>
      </c>
      <c r="B1838">
        <f t="shared" si="369"/>
        <v>0</v>
      </c>
      <c r="C1838">
        <f t="shared" si="370"/>
        <v>0</v>
      </c>
      <c r="D1838">
        <f t="shared" si="371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2"/>
        <v>0</v>
      </c>
      <c r="G1838">
        <f t="shared" si="373"/>
        <v>0</v>
      </c>
      <c r="H1838">
        <f t="shared" si="374"/>
        <v>0</v>
      </c>
      <c r="I1838">
        <f t="shared" si="375"/>
        <v>0</v>
      </c>
      <c r="J1838">
        <f t="shared" si="376"/>
        <v>0</v>
      </c>
      <c r="K1838" s="4" t="e">
        <f t="shared" si="379"/>
        <v>#N/A</v>
      </c>
      <c r="L1838" t="e">
        <f t="shared" si="380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8"/>
        <v>0</v>
      </c>
      <c r="B1839">
        <f t="shared" si="369"/>
        <v>0</v>
      </c>
      <c r="C1839">
        <f t="shared" si="370"/>
        <v>0</v>
      </c>
      <c r="D1839">
        <f t="shared" si="371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2"/>
        <v>0</v>
      </c>
      <c r="G1839">
        <f t="shared" si="373"/>
        <v>0</v>
      </c>
      <c r="H1839">
        <f t="shared" si="374"/>
        <v>0</v>
      </c>
      <c r="I1839">
        <f t="shared" si="375"/>
        <v>0</v>
      </c>
      <c r="J1839">
        <f t="shared" si="376"/>
        <v>0</v>
      </c>
      <c r="K1839" s="4" t="e">
        <f t="shared" si="379"/>
        <v>#N/A</v>
      </c>
      <c r="L1839" t="e">
        <f t="shared" si="380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8"/>
        <v>0</v>
      </c>
      <c r="B1840">
        <f t="shared" si="369"/>
        <v>0</v>
      </c>
      <c r="C1840">
        <f t="shared" si="370"/>
        <v>0</v>
      </c>
      <c r="D1840">
        <f t="shared" si="371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2"/>
        <v>0</v>
      </c>
      <c r="G1840">
        <f t="shared" si="373"/>
        <v>0</v>
      </c>
      <c r="H1840">
        <f t="shared" si="374"/>
        <v>0</v>
      </c>
      <c r="I1840">
        <f t="shared" si="375"/>
        <v>0</v>
      </c>
      <c r="J1840">
        <f t="shared" si="376"/>
        <v>0</v>
      </c>
      <c r="K1840" s="4" t="e">
        <f t="shared" si="379"/>
        <v>#N/A</v>
      </c>
      <c r="L1840" t="e">
        <f t="shared" si="380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8"/>
        <v>0</v>
      </c>
      <c r="B1841">
        <f t="shared" si="369"/>
        <v>0</v>
      </c>
      <c r="C1841">
        <f t="shared" si="370"/>
        <v>0</v>
      </c>
      <c r="D1841">
        <f t="shared" si="371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2"/>
        <v>0</v>
      </c>
      <c r="G1841">
        <f t="shared" si="373"/>
        <v>0</v>
      </c>
      <c r="H1841">
        <f t="shared" si="374"/>
        <v>0</v>
      </c>
      <c r="I1841">
        <f t="shared" si="375"/>
        <v>0</v>
      </c>
      <c r="J1841">
        <f t="shared" si="376"/>
        <v>0</v>
      </c>
      <c r="K1841" s="4" t="e">
        <f t="shared" si="379"/>
        <v>#N/A</v>
      </c>
      <c r="L1841" t="e">
        <f t="shared" si="380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8"/>
        <v>0</v>
      </c>
      <c r="B1842">
        <f t="shared" si="369"/>
        <v>0</v>
      </c>
      <c r="C1842">
        <f t="shared" si="370"/>
        <v>0</v>
      </c>
      <c r="D1842">
        <f t="shared" si="371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2"/>
        <v>0</v>
      </c>
      <c r="G1842">
        <f t="shared" si="373"/>
        <v>0</v>
      </c>
      <c r="H1842">
        <f t="shared" si="374"/>
        <v>0</v>
      </c>
      <c r="I1842">
        <f t="shared" si="375"/>
        <v>0</v>
      </c>
      <c r="J1842">
        <f t="shared" si="376"/>
        <v>0</v>
      </c>
      <c r="K1842" s="4" t="e">
        <f t="shared" si="379"/>
        <v>#N/A</v>
      </c>
      <c r="L1842" t="e">
        <f t="shared" si="380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8"/>
        <v>0</v>
      </c>
      <c r="B1843">
        <f t="shared" si="369"/>
        <v>0</v>
      </c>
      <c r="C1843">
        <f t="shared" si="370"/>
        <v>0</v>
      </c>
      <c r="D1843">
        <f t="shared" si="371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2"/>
        <v>0</v>
      </c>
      <c r="G1843">
        <f t="shared" si="373"/>
        <v>0</v>
      </c>
      <c r="H1843">
        <f t="shared" si="374"/>
        <v>0</v>
      </c>
      <c r="I1843">
        <f t="shared" si="375"/>
        <v>0</v>
      </c>
      <c r="J1843">
        <f t="shared" si="376"/>
        <v>0</v>
      </c>
      <c r="K1843" s="4" t="e">
        <f t="shared" si="379"/>
        <v>#N/A</v>
      </c>
      <c r="L1843" t="e">
        <f t="shared" si="380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8"/>
        <v>0</v>
      </c>
      <c r="B1844">
        <f t="shared" si="369"/>
        <v>0</v>
      </c>
      <c r="C1844">
        <f t="shared" si="370"/>
        <v>0</v>
      </c>
      <c r="D1844">
        <f t="shared" si="371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2"/>
        <v>0</v>
      </c>
      <c r="G1844">
        <f t="shared" si="373"/>
        <v>0</v>
      </c>
      <c r="H1844">
        <f t="shared" si="374"/>
        <v>0</v>
      </c>
      <c r="I1844">
        <f t="shared" si="375"/>
        <v>0</v>
      </c>
      <c r="J1844">
        <f t="shared" si="376"/>
        <v>0</v>
      </c>
      <c r="K1844" s="4" t="e">
        <f t="shared" si="379"/>
        <v>#N/A</v>
      </c>
      <c r="L1844" t="e">
        <f t="shared" si="380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8"/>
        <v>0</v>
      </c>
      <c r="B1845">
        <f t="shared" si="369"/>
        <v>0</v>
      </c>
      <c r="C1845">
        <f t="shared" si="370"/>
        <v>0</v>
      </c>
      <c r="D1845">
        <f t="shared" si="371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2"/>
        <v>0</v>
      </c>
      <c r="G1845">
        <f t="shared" si="373"/>
        <v>0</v>
      </c>
      <c r="H1845">
        <f t="shared" si="374"/>
        <v>0</v>
      </c>
      <c r="I1845">
        <f t="shared" si="375"/>
        <v>0</v>
      </c>
      <c r="J1845">
        <f t="shared" si="376"/>
        <v>0</v>
      </c>
      <c r="K1845" s="4" t="e">
        <f t="shared" si="379"/>
        <v>#N/A</v>
      </c>
      <c r="L1845" t="e">
        <f t="shared" si="380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8"/>
        <v>0</v>
      </c>
      <c r="B1846">
        <f t="shared" si="369"/>
        <v>0</v>
      </c>
      <c r="C1846">
        <f t="shared" si="370"/>
        <v>0</v>
      </c>
      <c r="D1846">
        <f t="shared" si="371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2"/>
        <v>0</v>
      </c>
      <c r="G1846">
        <f t="shared" si="373"/>
        <v>0</v>
      </c>
      <c r="H1846">
        <f t="shared" si="374"/>
        <v>0</v>
      </c>
      <c r="I1846">
        <f t="shared" si="375"/>
        <v>0</v>
      </c>
      <c r="J1846">
        <f t="shared" si="376"/>
        <v>0</v>
      </c>
      <c r="K1846" s="4" t="e">
        <f t="shared" si="379"/>
        <v>#N/A</v>
      </c>
      <c r="L1846" t="e">
        <f t="shared" si="380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8"/>
        <v>0</v>
      </c>
      <c r="B1847">
        <f t="shared" si="369"/>
        <v>0</v>
      </c>
      <c r="C1847">
        <f t="shared" si="370"/>
        <v>0</v>
      </c>
      <c r="D1847">
        <f t="shared" si="371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2"/>
        <v>0</v>
      </c>
      <c r="G1847">
        <f t="shared" si="373"/>
        <v>0</v>
      </c>
      <c r="H1847">
        <f t="shared" si="374"/>
        <v>0</v>
      </c>
      <c r="I1847">
        <f t="shared" si="375"/>
        <v>0</v>
      </c>
      <c r="J1847">
        <f t="shared" si="376"/>
        <v>0</v>
      </c>
      <c r="K1847" s="4" t="e">
        <f t="shared" si="379"/>
        <v>#N/A</v>
      </c>
      <c r="L1847" t="e">
        <f t="shared" si="380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8"/>
        <v>0</v>
      </c>
      <c r="B1848">
        <f t="shared" si="369"/>
        <v>0</v>
      </c>
      <c r="C1848">
        <f t="shared" si="370"/>
        <v>0</v>
      </c>
      <c r="D1848">
        <f t="shared" si="371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2"/>
        <v>0</v>
      </c>
      <c r="G1848">
        <f t="shared" si="373"/>
        <v>0</v>
      </c>
      <c r="H1848">
        <f t="shared" si="374"/>
        <v>0</v>
      </c>
      <c r="I1848">
        <f t="shared" si="375"/>
        <v>0</v>
      </c>
      <c r="J1848">
        <f t="shared" si="376"/>
        <v>0</v>
      </c>
      <c r="K1848" s="4" t="e">
        <f t="shared" si="379"/>
        <v>#N/A</v>
      </c>
      <c r="L1848" t="e">
        <f t="shared" si="380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8"/>
        <v>0</v>
      </c>
      <c r="B1849">
        <f t="shared" si="369"/>
        <v>0</v>
      </c>
      <c r="C1849">
        <f t="shared" si="370"/>
        <v>0</v>
      </c>
      <c r="D1849">
        <f t="shared" si="371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2"/>
        <v>0</v>
      </c>
      <c r="G1849">
        <f t="shared" si="373"/>
        <v>0</v>
      </c>
      <c r="H1849">
        <f t="shared" si="374"/>
        <v>0</v>
      </c>
      <c r="I1849">
        <f t="shared" si="375"/>
        <v>0</v>
      </c>
      <c r="J1849">
        <f t="shared" si="376"/>
        <v>0</v>
      </c>
      <c r="K1849" s="4" t="e">
        <f t="shared" si="379"/>
        <v>#N/A</v>
      </c>
      <c r="L1849" t="e">
        <f t="shared" si="380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8"/>
        <v>0</v>
      </c>
      <c r="B1850">
        <f t="shared" si="369"/>
        <v>0</v>
      </c>
      <c r="C1850">
        <f t="shared" si="370"/>
        <v>0</v>
      </c>
      <c r="D1850">
        <f t="shared" si="371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2"/>
        <v>0</v>
      </c>
      <c r="G1850">
        <f t="shared" si="373"/>
        <v>0</v>
      </c>
      <c r="H1850">
        <f t="shared" si="374"/>
        <v>0</v>
      </c>
      <c r="I1850">
        <f t="shared" si="375"/>
        <v>0</v>
      </c>
      <c r="J1850">
        <f t="shared" si="376"/>
        <v>0</v>
      </c>
      <c r="K1850" s="4" t="e">
        <f t="shared" si="379"/>
        <v>#N/A</v>
      </c>
      <c r="L1850" t="e">
        <f t="shared" si="380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8"/>
        <v>0</v>
      </c>
      <c r="B1851">
        <f t="shared" si="369"/>
        <v>0</v>
      </c>
      <c r="C1851">
        <f t="shared" si="370"/>
        <v>0</v>
      </c>
      <c r="D1851">
        <f t="shared" si="371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2"/>
        <v>0</v>
      </c>
      <c r="G1851">
        <f t="shared" si="373"/>
        <v>0</v>
      </c>
      <c r="H1851">
        <f t="shared" si="374"/>
        <v>0</v>
      </c>
      <c r="I1851">
        <f t="shared" si="375"/>
        <v>0</v>
      </c>
      <c r="J1851">
        <f t="shared" si="376"/>
        <v>0</v>
      </c>
      <c r="K1851" s="4" t="e">
        <f t="shared" si="379"/>
        <v>#N/A</v>
      </c>
      <c r="L1851" t="e">
        <f t="shared" si="380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8"/>
        <v>0</v>
      </c>
      <c r="B1852">
        <f t="shared" si="369"/>
        <v>0</v>
      </c>
      <c r="C1852">
        <f t="shared" si="370"/>
        <v>0</v>
      </c>
      <c r="D1852">
        <f t="shared" si="371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2"/>
        <v>0</v>
      </c>
      <c r="G1852">
        <f t="shared" si="373"/>
        <v>0</v>
      </c>
      <c r="H1852">
        <f t="shared" si="374"/>
        <v>0</v>
      </c>
      <c r="I1852">
        <f t="shared" si="375"/>
        <v>0</v>
      </c>
      <c r="J1852">
        <f t="shared" si="376"/>
        <v>0</v>
      </c>
      <c r="K1852" s="4" t="e">
        <f t="shared" si="379"/>
        <v>#N/A</v>
      </c>
      <c r="L1852" t="e">
        <f t="shared" si="380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8"/>
        <v>0</v>
      </c>
      <c r="B1853">
        <f t="shared" si="369"/>
        <v>0</v>
      </c>
      <c r="C1853">
        <f t="shared" si="370"/>
        <v>0</v>
      </c>
      <c r="D1853">
        <f t="shared" si="371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2"/>
        <v>0</v>
      </c>
      <c r="G1853">
        <f t="shared" si="373"/>
        <v>0</v>
      </c>
      <c r="H1853">
        <f t="shared" si="374"/>
        <v>0</v>
      </c>
      <c r="I1853">
        <f t="shared" si="375"/>
        <v>0</v>
      </c>
      <c r="J1853">
        <f t="shared" si="376"/>
        <v>0</v>
      </c>
      <c r="K1853" s="4" t="e">
        <f t="shared" si="379"/>
        <v>#N/A</v>
      </c>
      <c r="L1853" t="e">
        <f t="shared" si="380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8"/>
        <v>0</v>
      </c>
      <c r="B1854">
        <f t="shared" si="369"/>
        <v>0</v>
      </c>
      <c r="C1854">
        <f t="shared" si="370"/>
        <v>0</v>
      </c>
      <c r="D1854">
        <f t="shared" si="371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2"/>
        <v>0</v>
      </c>
      <c r="G1854">
        <f t="shared" si="373"/>
        <v>0</v>
      </c>
      <c r="H1854">
        <f t="shared" si="374"/>
        <v>0</v>
      </c>
      <c r="I1854">
        <f t="shared" si="375"/>
        <v>0</v>
      </c>
      <c r="J1854">
        <f t="shared" si="376"/>
        <v>0</v>
      </c>
      <c r="K1854" s="4" t="e">
        <f t="shared" si="379"/>
        <v>#N/A</v>
      </c>
      <c r="L1854" t="e">
        <f t="shared" si="380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8"/>
        <v>0</v>
      </c>
      <c r="B1855">
        <f t="shared" si="369"/>
        <v>0</v>
      </c>
      <c r="C1855">
        <f t="shared" si="370"/>
        <v>0</v>
      </c>
      <c r="D1855">
        <f t="shared" si="371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2"/>
        <v>0</v>
      </c>
      <c r="G1855">
        <f t="shared" si="373"/>
        <v>0</v>
      </c>
      <c r="H1855">
        <f t="shared" si="374"/>
        <v>0</v>
      </c>
      <c r="I1855">
        <f t="shared" si="375"/>
        <v>0</v>
      </c>
      <c r="J1855">
        <f t="shared" si="376"/>
        <v>0</v>
      </c>
      <c r="K1855" s="4" t="e">
        <f t="shared" si="379"/>
        <v>#N/A</v>
      </c>
      <c r="L1855" t="e">
        <f t="shared" si="380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8"/>
        <v>0</v>
      </c>
      <c r="B1856">
        <f t="shared" si="369"/>
        <v>0</v>
      </c>
      <c r="C1856">
        <f t="shared" si="370"/>
        <v>0</v>
      </c>
      <c r="D1856">
        <f t="shared" si="371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2"/>
        <v>0</v>
      </c>
      <c r="G1856">
        <f t="shared" si="373"/>
        <v>0</v>
      </c>
      <c r="H1856">
        <f t="shared" si="374"/>
        <v>0</v>
      </c>
      <c r="I1856">
        <f t="shared" si="375"/>
        <v>0</v>
      </c>
      <c r="J1856">
        <f t="shared" si="376"/>
        <v>0</v>
      </c>
      <c r="K1856" s="4" t="e">
        <f t="shared" si="379"/>
        <v>#N/A</v>
      </c>
      <c r="L1856" t="e">
        <f t="shared" si="380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8"/>
        <v>0</v>
      </c>
      <c r="B1857">
        <f t="shared" si="369"/>
        <v>0</v>
      </c>
      <c r="C1857">
        <f t="shared" si="370"/>
        <v>0</v>
      </c>
      <c r="D1857">
        <f t="shared" si="371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2"/>
        <v>0</v>
      </c>
      <c r="G1857">
        <f t="shared" si="373"/>
        <v>0</v>
      </c>
      <c r="H1857">
        <f t="shared" si="374"/>
        <v>0</v>
      </c>
      <c r="I1857">
        <f t="shared" si="375"/>
        <v>0</v>
      </c>
      <c r="J1857">
        <f t="shared" si="376"/>
        <v>0</v>
      </c>
      <c r="K1857" s="4" t="e">
        <f t="shared" si="379"/>
        <v>#N/A</v>
      </c>
      <c r="L1857" t="e">
        <f t="shared" si="380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1">bd_campaign</f>
        <v>0</v>
      </c>
      <c r="B1858">
        <f t="shared" ref="B1858:B1921" si="382">bd_site</f>
        <v>0</v>
      </c>
      <c r="C1858">
        <f t="shared" ref="C1858:C1921" si="383">bd_placement</f>
        <v>0</v>
      </c>
      <c r="D1858">
        <f t="shared" ref="D1858:D1921" si="384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5">bd_ad</f>
        <v>0</v>
      </c>
      <c r="G1858">
        <f t="shared" ref="G1858:G1921" si="386">bd_adid</f>
        <v>0</v>
      </c>
      <c r="H1858">
        <f t="shared" ref="H1858:H1921" si="387">bd_creativetype</f>
        <v>0</v>
      </c>
      <c r="I1858">
        <f t="shared" ref="I1858:I1921" si="388">bd_impression</f>
        <v>0</v>
      </c>
      <c r="J1858">
        <f t="shared" ref="J1858:J1921" si="389">bd_clicks</f>
        <v>0</v>
      </c>
      <c r="K1858" s="4" t="e">
        <f t="shared" si="379"/>
        <v>#N/A</v>
      </c>
      <c r="L1858" t="e">
        <f t="shared" si="380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1"/>
        <v>0</v>
      </c>
      <c r="B1859">
        <f t="shared" si="382"/>
        <v>0</v>
      </c>
      <c r="C1859">
        <f t="shared" si="383"/>
        <v>0</v>
      </c>
      <c r="D1859">
        <f t="shared" si="384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5"/>
        <v>0</v>
      </c>
      <c r="G1859">
        <f t="shared" si="386"/>
        <v>0</v>
      </c>
      <c r="H1859">
        <f t="shared" si="387"/>
        <v>0</v>
      </c>
      <c r="I1859">
        <f t="shared" si="388"/>
        <v>0</v>
      </c>
      <c r="J1859">
        <f t="shared" si="389"/>
        <v>0</v>
      </c>
      <c r="K1859" s="4" t="e">
        <f t="shared" si="379"/>
        <v>#N/A</v>
      </c>
      <c r="L1859" t="e">
        <f t="shared" si="380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1"/>
        <v>0</v>
      </c>
      <c r="B1860">
        <f t="shared" si="382"/>
        <v>0</v>
      </c>
      <c r="C1860">
        <f t="shared" si="383"/>
        <v>0</v>
      </c>
      <c r="D1860">
        <f t="shared" si="384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5"/>
        <v>0</v>
      </c>
      <c r="G1860">
        <f t="shared" si="386"/>
        <v>0</v>
      </c>
      <c r="H1860">
        <f t="shared" si="387"/>
        <v>0</v>
      </c>
      <c r="I1860">
        <f t="shared" si="388"/>
        <v>0</v>
      </c>
      <c r="J1860">
        <f t="shared" si="389"/>
        <v>0</v>
      </c>
      <c r="K1860" s="4" t="e">
        <f t="shared" si="379"/>
        <v>#N/A</v>
      </c>
      <c r="L1860" t="e">
        <f t="shared" si="380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1"/>
        <v>0</v>
      </c>
      <c r="B1861">
        <f t="shared" si="382"/>
        <v>0</v>
      </c>
      <c r="C1861">
        <f t="shared" si="383"/>
        <v>0</v>
      </c>
      <c r="D1861">
        <f t="shared" si="384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5"/>
        <v>0</v>
      </c>
      <c r="G1861">
        <f t="shared" si="386"/>
        <v>0</v>
      </c>
      <c r="H1861">
        <f t="shared" si="387"/>
        <v>0</v>
      </c>
      <c r="I1861">
        <f t="shared" si="388"/>
        <v>0</v>
      </c>
      <c r="J1861">
        <f t="shared" si="389"/>
        <v>0</v>
      </c>
      <c r="K1861" s="4" t="e">
        <f t="shared" si="379"/>
        <v>#N/A</v>
      </c>
      <c r="L1861" t="e">
        <f t="shared" si="380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1"/>
        <v>0</v>
      </c>
      <c r="B1862">
        <f t="shared" si="382"/>
        <v>0</v>
      </c>
      <c r="C1862">
        <f t="shared" si="383"/>
        <v>0</v>
      </c>
      <c r="D1862">
        <f t="shared" si="384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5"/>
        <v>0</v>
      </c>
      <c r="G1862">
        <f t="shared" si="386"/>
        <v>0</v>
      </c>
      <c r="H1862">
        <f t="shared" si="387"/>
        <v>0</v>
      </c>
      <c r="I1862">
        <f t="shared" si="388"/>
        <v>0</v>
      </c>
      <c r="J1862">
        <f t="shared" si="389"/>
        <v>0</v>
      </c>
      <c r="K1862" s="4" t="e">
        <f t="shared" si="379"/>
        <v>#N/A</v>
      </c>
      <c r="L1862" t="e">
        <f t="shared" si="380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1"/>
        <v>0</v>
      </c>
      <c r="B1863">
        <f t="shared" si="382"/>
        <v>0</v>
      </c>
      <c r="C1863">
        <f t="shared" si="383"/>
        <v>0</v>
      </c>
      <c r="D1863">
        <f t="shared" si="384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5"/>
        <v>0</v>
      </c>
      <c r="G1863">
        <f t="shared" si="386"/>
        <v>0</v>
      </c>
      <c r="H1863">
        <f t="shared" si="387"/>
        <v>0</v>
      </c>
      <c r="I1863">
        <f t="shared" si="388"/>
        <v>0</v>
      </c>
      <c r="J1863">
        <f t="shared" si="389"/>
        <v>0</v>
      </c>
      <c r="K1863" s="4" t="e">
        <f t="shared" si="379"/>
        <v>#N/A</v>
      </c>
      <c r="L1863" t="e">
        <f t="shared" si="380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1"/>
        <v>0</v>
      </c>
      <c r="B1864">
        <f t="shared" si="382"/>
        <v>0</v>
      </c>
      <c r="C1864">
        <f t="shared" si="383"/>
        <v>0</v>
      </c>
      <c r="D1864">
        <f t="shared" si="384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5"/>
        <v>0</v>
      </c>
      <c r="G1864">
        <f t="shared" si="386"/>
        <v>0</v>
      </c>
      <c r="H1864">
        <f t="shared" si="387"/>
        <v>0</v>
      </c>
      <c r="I1864">
        <f t="shared" si="388"/>
        <v>0</v>
      </c>
      <c r="J1864">
        <f t="shared" si="389"/>
        <v>0</v>
      </c>
      <c r="K1864" s="4" t="e">
        <f t="shared" si="379"/>
        <v>#N/A</v>
      </c>
      <c r="L1864" t="e">
        <f t="shared" si="380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1"/>
        <v>0</v>
      </c>
      <c r="B1865">
        <f t="shared" si="382"/>
        <v>0</v>
      </c>
      <c r="C1865">
        <f t="shared" si="383"/>
        <v>0</v>
      </c>
      <c r="D1865">
        <f t="shared" si="384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5"/>
        <v>0</v>
      </c>
      <c r="G1865">
        <f t="shared" si="386"/>
        <v>0</v>
      </c>
      <c r="H1865">
        <f t="shared" si="387"/>
        <v>0</v>
      </c>
      <c r="I1865">
        <f t="shared" si="388"/>
        <v>0</v>
      </c>
      <c r="J1865">
        <f t="shared" si="389"/>
        <v>0</v>
      </c>
      <c r="K1865" s="4" t="e">
        <f t="shared" si="379"/>
        <v>#N/A</v>
      </c>
      <c r="L1865" t="e">
        <f t="shared" si="380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1"/>
        <v>0</v>
      </c>
      <c r="B1866">
        <f t="shared" si="382"/>
        <v>0</v>
      </c>
      <c r="C1866">
        <f t="shared" si="383"/>
        <v>0</v>
      </c>
      <c r="D1866">
        <f t="shared" si="384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5"/>
        <v>0</v>
      </c>
      <c r="G1866">
        <f t="shared" si="386"/>
        <v>0</v>
      </c>
      <c r="H1866">
        <f t="shared" si="387"/>
        <v>0</v>
      </c>
      <c r="I1866">
        <f t="shared" si="388"/>
        <v>0</v>
      </c>
      <c r="J1866">
        <f t="shared" si="389"/>
        <v>0</v>
      </c>
      <c r="K1866" s="4" t="e">
        <f t="shared" si="379"/>
        <v>#N/A</v>
      </c>
      <c r="L1866" t="e">
        <f t="shared" si="380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1"/>
        <v>0</v>
      </c>
      <c r="B1867">
        <f t="shared" si="382"/>
        <v>0</v>
      </c>
      <c r="C1867">
        <f t="shared" si="383"/>
        <v>0</v>
      </c>
      <c r="D1867">
        <f t="shared" si="384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5"/>
        <v>0</v>
      </c>
      <c r="G1867">
        <f t="shared" si="386"/>
        <v>0</v>
      </c>
      <c r="H1867">
        <f t="shared" si="387"/>
        <v>0</v>
      </c>
      <c r="I1867">
        <f t="shared" si="388"/>
        <v>0</v>
      </c>
      <c r="J1867">
        <f t="shared" si="389"/>
        <v>0</v>
      </c>
      <c r="K1867" s="4" t="e">
        <f t="shared" si="379"/>
        <v>#N/A</v>
      </c>
      <c r="L1867" t="e">
        <f t="shared" si="380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1"/>
        <v>0</v>
      </c>
      <c r="B1868">
        <f t="shared" si="382"/>
        <v>0</v>
      </c>
      <c r="C1868">
        <f t="shared" si="383"/>
        <v>0</v>
      </c>
      <c r="D1868">
        <f t="shared" si="384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5"/>
        <v>0</v>
      </c>
      <c r="G1868">
        <f t="shared" si="386"/>
        <v>0</v>
      </c>
      <c r="H1868">
        <f t="shared" si="387"/>
        <v>0</v>
      </c>
      <c r="I1868">
        <f t="shared" si="388"/>
        <v>0</v>
      </c>
      <c r="J1868">
        <f t="shared" si="389"/>
        <v>0</v>
      </c>
      <c r="K1868" s="4" t="e">
        <f t="shared" si="379"/>
        <v>#N/A</v>
      </c>
      <c r="L1868" t="e">
        <f t="shared" si="380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1"/>
        <v>0</v>
      </c>
      <c r="B1869">
        <f t="shared" si="382"/>
        <v>0</v>
      </c>
      <c r="C1869">
        <f t="shared" si="383"/>
        <v>0</v>
      </c>
      <c r="D1869">
        <f t="shared" si="384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5"/>
        <v>0</v>
      </c>
      <c r="G1869">
        <f t="shared" si="386"/>
        <v>0</v>
      </c>
      <c r="H1869">
        <f t="shared" si="387"/>
        <v>0</v>
      </c>
      <c r="I1869">
        <f t="shared" si="388"/>
        <v>0</v>
      </c>
      <c r="J1869">
        <f t="shared" si="389"/>
        <v>0</v>
      </c>
      <c r="K1869" s="4" t="e">
        <f t="shared" si="379"/>
        <v>#N/A</v>
      </c>
      <c r="L1869" t="e">
        <f t="shared" si="380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1"/>
        <v>0</v>
      </c>
      <c r="B1870">
        <f t="shared" si="382"/>
        <v>0</v>
      </c>
      <c r="C1870">
        <f t="shared" si="383"/>
        <v>0</v>
      </c>
      <c r="D1870">
        <f t="shared" si="384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5"/>
        <v>0</v>
      </c>
      <c r="G1870">
        <f t="shared" si="386"/>
        <v>0</v>
      </c>
      <c r="H1870">
        <f t="shared" si="387"/>
        <v>0</v>
      </c>
      <c r="I1870">
        <f t="shared" si="388"/>
        <v>0</v>
      </c>
      <c r="J1870">
        <f t="shared" si="389"/>
        <v>0</v>
      </c>
      <c r="K1870" s="4" t="e">
        <f t="shared" si="379"/>
        <v>#N/A</v>
      </c>
      <c r="L1870" t="e">
        <f t="shared" si="380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1"/>
        <v>0</v>
      </c>
      <c r="B1871">
        <f t="shared" si="382"/>
        <v>0</v>
      </c>
      <c r="C1871">
        <f t="shared" si="383"/>
        <v>0</v>
      </c>
      <c r="D1871">
        <f t="shared" si="384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5"/>
        <v>0</v>
      </c>
      <c r="G1871">
        <f t="shared" si="386"/>
        <v>0</v>
      </c>
      <c r="H1871">
        <f t="shared" si="387"/>
        <v>0</v>
      </c>
      <c r="I1871">
        <f t="shared" si="388"/>
        <v>0</v>
      </c>
      <c r="J1871">
        <f t="shared" si="389"/>
        <v>0</v>
      </c>
      <c r="K1871" s="4" t="e">
        <f t="shared" si="379"/>
        <v>#N/A</v>
      </c>
      <c r="L1871" t="e">
        <f t="shared" si="380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1"/>
        <v>0</v>
      </c>
      <c r="B1872">
        <f t="shared" si="382"/>
        <v>0</v>
      </c>
      <c r="C1872">
        <f t="shared" si="383"/>
        <v>0</v>
      </c>
      <c r="D1872">
        <f t="shared" si="384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5"/>
        <v>0</v>
      </c>
      <c r="G1872">
        <f t="shared" si="386"/>
        <v>0</v>
      </c>
      <c r="H1872">
        <f t="shared" si="387"/>
        <v>0</v>
      </c>
      <c r="I1872">
        <f t="shared" si="388"/>
        <v>0</v>
      </c>
      <c r="J1872">
        <f t="shared" si="389"/>
        <v>0</v>
      </c>
      <c r="K1872" s="4" t="e">
        <f t="shared" si="379"/>
        <v>#N/A</v>
      </c>
      <c r="L1872" t="e">
        <f t="shared" si="380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1"/>
        <v>0</v>
      </c>
      <c r="B1873">
        <f t="shared" si="382"/>
        <v>0</v>
      </c>
      <c r="C1873">
        <f t="shared" si="383"/>
        <v>0</v>
      </c>
      <c r="D1873">
        <f t="shared" si="384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5"/>
        <v>0</v>
      </c>
      <c r="G1873">
        <f t="shared" si="386"/>
        <v>0</v>
      </c>
      <c r="H1873">
        <f t="shared" si="387"/>
        <v>0</v>
      </c>
      <c r="I1873">
        <f t="shared" si="388"/>
        <v>0</v>
      </c>
      <c r="J1873">
        <f t="shared" si="389"/>
        <v>0</v>
      </c>
      <c r="K1873" s="4" t="e">
        <f t="shared" si="379"/>
        <v>#N/A</v>
      </c>
      <c r="L1873" t="e">
        <f t="shared" si="380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1"/>
        <v>0</v>
      </c>
      <c r="B1874">
        <f t="shared" si="382"/>
        <v>0</v>
      </c>
      <c r="C1874">
        <f t="shared" si="383"/>
        <v>0</v>
      </c>
      <c r="D1874">
        <f t="shared" si="384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5"/>
        <v>0</v>
      </c>
      <c r="G1874">
        <f t="shared" si="386"/>
        <v>0</v>
      </c>
      <c r="H1874">
        <f t="shared" si="387"/>
        <v>0</v>
      </c>
      <c r="I1874">
        <f t="shared" si="388"/>
        <v>0</v>
      </c>
      <c r="J1874">
        <f t="shared" si="389"/>
        <v>0</v>
      </c>
      <c r="K1874" s="4" t="e">
        <f t="shared" si="379"/>
        <v>#N/A</v>
      </c>
      <c r="L1874" t="e">
        <f t="shared" si="380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1"/>
        <v>0</v>
      </c>
      <c r="B1875">
        <f t="shared" si="382"/>
        <v>0</v>
      </c>
      <c r="C1875">
        <f t="shared" si="383"/>
        <v>0</v>
      </c>
      <c r="D1875">
        <f t="shared" si="384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5"/>
        <v>0</v>
      </c>
      <c r="G1875">
        <f t="shared" si="386"/>
        <v>0</v>
      </c>
      <c r="H1875">
        <f t="shared" si="387"/>
        <v>0</v>
      </c>
      <c r="I1875">
        <f t="shared" si="388"/>
        <v>0</v>
      </c>
      <c r="J1875">
        <f t="shared" si="389"/>
        <v>0</v>
      </c>
      <c r="K1875" s="4" t="e">
        <f t="shared" si="379"/>
        <v>#N/A</v>
      </c>
      <c r="L1875" t="e">
        <f t="shared" si="380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1"/>
        <v>0</v>
      </c>
      <c r="B1876">
        <f t="shared" si="382"/>
        <v>0</v>
      </c>
      <c r="C1876">
        <f t="shared" si="383"/>
        <v>0</v>
      </c>
      <c r="D1876">
        <f t="shared" si="384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5"/>
        <v>0</v>
      </c>
      <c r="G1876">
        <f t="shared" si="386"/>
        <v>0</v>
      </c>
      <c r="H1876">
        <f t="shared" si="387"/>
        <v>0</v>
      </c>
      <c r="I1876">
        <f t="shared" si="388"/>
        <v>0</v>
      </c>
      <c r="J1876">
        <f t="shared" si="389"/>
        <v>0</v>
      </c>
      <c r="K1876" s="4" t="e">
        <f t="shared" si="379"/>
        <v>#N/A</v>
      </c>
      <c r="L1876" t="e">
        <f t="shared" si="380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1"/>
        <v>0</v>
      </c>
      <c r="B1877">
        <f t="shared" si="382"/>
        <v>0</v>
      </c>
      <c r="C1877">
        <f t="shared" si="383"/>
        <v>0</v>
      </c>
      <c r="D1877">
        <f t="shared" si="384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5"/>
        <v>0</v>
      </c>
      <c r="G1877">
        <f t="shared" si="386"/>
        <v>0</v>
      </c>
      <c r="H1877">
        <f t="shared" si="387"/>
        <v>0</v>
      </c>
      <c r="I1877">
        <f t="shared" si="388"/>
        <v>0</v>
      </c>
      <c r="J1877">
        <f t="shared" si="389"/>
        <v>0</v>
      </c>
      <c r="K1877" s="4" t="e">
        <f t="shared" si="379"/>
        <v>#N/A</v>
      </c>
      <c r="L1877" t="e">
        <f t="shared" si="380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1"/>
        <v>0</v>
      </c>
      <c r="B1878">
        <f t="shared" si="382"/>
        <v>0</v>
      </c>
      <c r="C1878">
        <f t="shared" si="383"/>
        <v>0</v>
      </c>
      <c r="D1878">
        <f t="shared" si="384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5"/>
        <v>0</v>
      </c>
      <c r="G1878">
        <f t="shared" si="386"/>
        <v>0</v>
      </c>
      <c r="H1878">
        <f t="shared" si="387"/>
        <v>0</v>
      </c>
      <c r="I1878">
        <f t="shared" si="388"/>
        <v>0</v>
      </c>
      <c r="J1878">
        <f t="shared" si="389"/>
        <v>0</v>
      </c>
      <c r="K1878" s="4" t="e">
        <f t="shared" si="379"/>
        <v>#N/A</v>
      </c>
      <c r="L1878" t="e">
        <f t="shared" si="380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1"/>
        <v>0</v>
      </c>
      <c r="B1879">
        <f t="shared" si="382"/>
        <v>0</v>
      </c>
      <c r="C1879">
        <f t="shared" si="383"/>
        <v>0</v>
      </c>
      <c r="D1879">
        <f t="shared" si="384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5"/>
        <v>0</v>
      </c>
      <c r="G1879">
        <f t="shared" si="386"/>
        <v>0</v>
      </c>
      <c r="H1879">
        <f t="shared" si="387"/>
        <v>0</v>
      </c>
      <c r="I1879">
        <f t="shared" si="388"/>
        <v>0</v>
      </c>
      <c r="J1879">
        <f t="shared" si="389"/>
        <v>0</v>
      </c>
      <c r="K1879" s="4" t="e">
        <f t="shared" si="379"/>
        <v>#N/A</v>
      </c>
      <c r="L1879" t="e">
        <f t="shared" si="380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1"/>
        <v>0</v>
      </c>
      <c r="B1880">
        <f t="shared" si="382"/>
        <v>0</v>
      </c>
      <c r="C1880">
        <f t="shared" si="383"/>
        <v>0</v>
      </c>
      <c r="D1880">
        <f t="shared" si="384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5"/>
        <v>0</v>
      </c>
      <c r="G1880">
        <f t="shared" si="386"/>
        <v>0</v>
      </c>
      <c r="H1880">
        <f t="shared" si="387"/>
        <v>0</v>
      </c>
      <c r="I1880">
        <f t="shared" si="388"/>
        <v>0</v>
      </c>
      <c r="J1880">
        <f t="shared" si="389"/>
        <v>0</v>
      </c>
      <c r="K1880" s="4" t="e">
        <f t="shared" si="379"/>
        <v>#N/A</v>
      </c>
      <c r="L1880" t="e">
        <f t="shared" si="380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1"/>
        <v>0</v>
      </c>
      <c r="B1881">
        <f t="shared" si="382"/>
        <v>0</v>
      </c>
      <c r="C1881">
        <f t="shared" si="383"/>
        <v>0</v>
      </c>
      <c r="D1881">
        <f t="shared" si="384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5"/>
        <v>0</v>
      </c>
      <c r="G1881">
        <f t="shared" si="386"/>
        <v>0</v>
      </c>
      <c r="H1881">
        <f t="shared" si="387"/>
        <v>0</v>
      </c>
      <c r="I1881">
        <f t="shared" si="388"/>
        <v>0</v>
      </c>
      <c r="J1881">
        <f t="shared" si="389"/>
        <v>0</v>
      </c>
      <c r="K1881" s="4" t="e">
        <f t="shared" si="379"/>
        <v>#N/A</v>
      </c>
      <c r="L1881" t="e">
        <f t="shared" si="380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1"/>
        <v>0</v>
      </c>
      <c r="B1882">
        <f t="shared" si="382"/>
        <v>0</v>
      </c>
      <c r="C1882">
        <f t="shared" si="383"/>
        <v>0</v>
      </c>
      <c r="D1882">
        <f t="shared" si="384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5"/>
        <v>0</v>
      </c>
      <c r="G1882">
        <f t="shared" si="386"/>
        <v>0</v>
      </c>
      <c r="H1882">
        <f t="shared" si="387"/>
        <v>0</v>
      </c>
      <c r="I1882">
        <f t="shared" si="388"/>
        <v>0</v>
      </c>
      <c r="J1882">
        <f t="shared" si="389"/>
        <v>0</v>
      </c>
      <c r="K1882" s="4" t="e">
        <f t="shared" si="379"/>
        <v>#N/A</v>
      </c>
      <c r="L1882" t="e">
        <f t="shared" si="380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1"/>
        <v>0</v>
      </c>
      <c r="B1883">
        <f t="shared" si="382"/>
        <v>0</v>
      </c>
      <c r="C1883">
        <f t="shared" si="383"/>
        <v>0</v>
      </c>
      <c r="D1883">
        <f t="shared" si="384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5"/>
        <v>0</v>
      </c>
      <c r="G1883">
        <f t="shared" si="386"/>
        <v>0</v>
      </c>
      <c r="H1883">
        <f t="shared" si="387"/>
        <v>0</v>
      </c>
      <c r="I1883">
        <f t="shared" si="388"/>
        <v>0</v>
      </c>
      <c r="J1883">
        <f t="shared" si="389"/>
        <v>0</v>
      </c>
      <c r="K1883" s="4" t="e">
        <f t="shared" si="379"/>
        <v>#N/A</v>
      </c>
      <c r="L1883" t="e">
        <f t="shared" si="380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1"/>
        <v>0</v>
      </c>
      <c r="B1884">
        <f t="shared" si="382"/>
        <v>0</v>
      </c>
      <c r="C1884">
        <f t="shared" si="383"/>
        <v>0</v>
      </c>
      <c r="D1884">
        <f t="shared" si="384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5"/>
        <v>0</v>
      </c>
      <c r="G1884">
        <f t="shared" si="386"/>
        <v>0</v>
      </c>
      <c r="H1884">
        <f t="shared" si="387"/>
        <v>0</v>
      </c>
      <c r="I1884">
        <f t="shared" si="388"/>
        <v>0</v>
      </c>
      <c r="J1884">
        <f t="shared" si="389"/>
        <v>0</v>
      </c>
      <c r="K1884" s="4" t="e">
        <f t="shared" si="379"/>
        <v>#N/A</v>
      </c>
      <c r="L1884" t="e">
        <f t="shared" si="380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1"/>
        <v>0</v>
      </c>
      <c r="B1885">
        <f t="shared" si="382"/>
        <v>0</v>
      </c>
      <c r="C1885">
        <f t="shared" si="383"/>
        <v>0</v>
      </c>
      <c r="D1885">
        <f t="shared" si="384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5"/>
        <v>0</v>
      </c>
      <c r="G1885">
        <f t="shared" si="386"/>
        <v>0</v>
      </c>
      <c r="H1885">
        <f t="shared" si="387"/>
        <v>0</v>
      </c>
      <c r="I1885">
        <f t="shared" si="388"/>
        <v>0</v>
      </c>
      <c r="J1885">
        <f t="shared" si="389"/>
        <v>0</v>
      </c>
      <c r="K1885" s="4" t="e">
        <f t="shared" si="379"/>
        <v>#N/A</v>
      </c>
      <c r="L1885" t="e">
        <f t="shared" si="380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1"/>
        <v>0</v>
      </c>
      <c r="B1886">
        <f t="shared" si="382"/>
        <v>0</v>
      </c>
      <c r="C1886">
        <f t="shared" si="383"/>
        <v>0</v>
      </c>
      <c r="D1886">
        <f t="shared" si="384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5"/>
        <v>0</v>
      </c>
      <c r="G1886">
        <f t="shared" si="386"/>
        <v>0</v>
      </c>
      <c r="H1886">
        <f t="shared" si="387"/>
        <v>0</v>
      </c>
      <c r="I1886">
        <f t="shared" si="388"/>
        <v>0</v>
      </c>
      <c r="J1886">
        <f t="shared" si="389"/>
        <v>0</v>
      </c>
      <c r="K1886" s="4" t="e">
        <f t="shared" si="379"/>
        <v>#N/A</v>
      </c>
      <c r="L1886" t="e">
        <f t="shared" si="380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1"/>
        <v>0</v>
      </c>
      <c r="B1887">
        <f t="shared" si="382"/>
        <v>0</v>
      </c>
      <c r="C1887">
        <f t="shared" si="383"/>
        <v>0</v>
      </c>
      <c r="D1887">
        <f t="shared" si="384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5"/>
        <v>0</v>
      </c>
      <c r="G1887">
        <f t="shared" si="386"/>
        <v>0</v>
      </c>
      <c r="H1887">
        <f t="shared" si="387"/>
        <v>0</v>
      </c>
      <c r="I1887">
        <f t="shared" si="388"/>
        <v>0</v>
      </c>
      <c r="J1887">
        <f t="shared" si="389"/>
        <v>0</v>
      </c>
      <c r="K1887" s="4" t="e">
        <f t="shared" si="379"/>
        <v>#N/A</v>
      </c>
      <c r="L1887" t="e">
        <f t="shared" si="380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1"/>
        <v>0</v>
      </c>
      <c r="B1888">
        <f t="shared" si="382"/>
        <v>0</v>
      </c>
      <c r="C1888">
        <f t="shared" si="383"/>
        <v>0</v>
      </c>
      <c r="D1888">
        <f t="shared" si="384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5"/>
        <v>0</v>
      </c>
      <c r="G1888">
        <f t="shared" si="386"/>
        <v>0</v>
      </c>
      <c r="H1888">
        <f t="shared" si="387"/>
        <v>0</v>
      </c>
      <c r="I1888">
        <f t="shared" si="388"/>
        <v>0</v>
      </c>
      <c r="J1888">
        <f t="shared" si="389"/>
        <v>0</v>
      </c>
      <c r="K1888" s="4" t="e">
        <f t="shared" si="379"/>
        <v>#N/A</v>
      </c>
      <c r="L1888" t="e">
        <f t="shared" si="380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1"/>
        <v>0</v>
      </c>
      <c r="B1889">
        <f t="shared" si="382"/>
        <v>0</v>
      </c>
      <c r="C1889">
        <f t="shared" si="383"/>
        <v>0</v>
      </c>
      <c r="D1889">
        <f t="shared" si="384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5"/>
        <v>0</v>
      </c>
      <c r="G1889">
        <f t="shared" si="386"/>
        <v>0</v>
      </c>
      <c r="H1889">
        <f t="shared" si="387"/>
        <v>0</v>
      </c>
      <c r="I1889">
        <f t="shared" si="388"/>
        <v>0</v>
      </c>
      <c r="J1889">
        <f t="shared" si="389"/>
        <v>0</v>
      </c>
      <c r="K1889" s="4" t="e">
        <f t="shared" si="379"/>
        <v>#N/A</v>
      </c>
      <c r="L1889" t="e">
        <f t="shared" si="380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1"/>
        <v>0</v>
      </c>
      <c r="B1890">
        <f t="shared" si="382"/>
        <v>0</v>
      </c>
      <c r="C1890">
        <f t="shared" si="383"/>
        <v>0</v>
      </c>
      <c r="D1890">
        <f t="shared" si="384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5"/>
        <v>0</v>
      </c>
      <c r="G1890">
        <f t="shared" si="386"/>
        <v>0</v>
      </c>
      <c r="H1890">
        <f t="shared" si="387"/>
        <v>0</v>
      </c>
      <c r="I1890">
        <f t="shared" si="388"/>
        <v>0</v>
      </c>
      <c r="J1890">
        <f t="shared" si="389"/>
        <v>0</v>
      </c>
      <c r="K1890" s="4" t="e">
        <f t="shared" si="379"/>
        <v>#N/A</v>
      </c>
      <c r="L1890" t="e">
        <f t="shared" si="380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1"/>
        <v>0</v>
      </c>
      <c r="B1891">
        <f t="shared" si="382"/>
        <v>0</v>
      </c>
      <c r="C1891">
        <f t="shared" si="383"/>
        <v>0</v>
      </c>
      <c r="D1891">
        <f t="shared" si="384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5"/>
        <v>0</v>
      </c>
      <c r="G1891">
        <f t="shared" si="386"/>
        <v>0</v>
      </c>
      <c r="H1891">
        <f t="shared" si="387"/>
        <v>0</v>
      </c>
      <c r="I1891">
        <f t="shared" si="388"/>
        <v>0</v>
      </c>
      <c r="J1891">
        <f t="shared" si="389"/>
        <v>0</v>
      </c>
      <c r="K1891" s="4" t="e">
        <f t="shared" si="379"/>
        <v>#N/A</v>
      </c>
      <c r="L1891" t="e">
        <f t="shared" si="380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1"/>
        <v>0</v>
      </c>
      <c r="B1892">
        <f t="shared" si="382"/>
        <v>0</v>
      </c>
      <c r="C1892">
        <f t="shared" si="383"/>
        <v>0</v>
      </c>
      <c r="D1892">
        <f t="shared" si="384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5"/>
        <v>0</v>
      </c>
      <c r="G1892">
        <f t="shared" si="386"/>
        <v>0</v>
      </c>
      <c r="H1892">
        <f t="shared" si="387"/>
        <v>0</v>
      </c>
      <c r="I1892">
        <f t="shared" si="388"/>
        <v>0</v>
      </c>
      <c r="J1892">
        <f t="shared" si="389"/>
        <v>0</v>
      </c>
      <c r="K1892" s="4" t="e">
        <f t="shared" si="379"/>
        <v>#N/A</v>
      </c>
      <c r="L1892" t="e">
        <f t="shared" si="380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1"/>
        <v>0</v>
      </c>
      <c r="B1893">
        <f t="shared" si="382"/>
        <v>0</v>
      </c>
      <c r="C1893">
        <f t="shared" si="383"/>
        <v>0</v>
      </c>
      <c r="D1893">
        <f t="shared" si="384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5"/>
        <v>0</v>
      </c>
      <c r="G1893">
        <f t="shared" si="386"/>
        <v>0</v>
      </c>
      <c r="H1893">
        <f t="shared" si="387"/>
        <v>0</v>
      </c>
      <c r="I1893">
        <f t="shared" si="388"/>
        <v>0</v>
      </c>
      <c r="J1893">
        <f t="shared" si="389"/>
        <v>0</v>
      </c>
      <c r="K1893" s="4" t="e">
        <f t="shared" si="379"/>
        <v>#N/A</v>
      </c>
      <c r="L1893" t="e">
        <f t="shared" si="380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1"/>
        <v>0</v>
      </c>
      <c r="B1894">
        <f t="shared" si="382"/>
        <v>0</v>
      </c>
      <c r="C1894">
        <f t="shared" si="383"/>
        <v>0</v>
      </c>
      <c r="D1894">
        <f t="shared" si="384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5"/>
        <v>0</v>
      </c>
      <c r="G1894">
        <f t="shared" si="386"/>
        <v>0</v>
      </c>
      <c r="H1894">
        <f t="shared" si="387"/>
        <v>0</v>
      </c>
      <c r="I1894">
        <f t="shared" si="388"/>
        <v>0</v>
      </c>
      <c r="J1894">
        <f t="shared" si="389"/>
        <v>0</v>
      </c>
      <c r="K1894" s="4" t="e">
        <f t="shared" si="379"/>
        <v>#N/A</v>
      </c>
      <c r="L1894" t="e">
        <f t="shared" si="380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1"/>
        <v>0</v>
      </c>
      <c r="B1895">
        <f t="shared" si="382"/>
        <v>0</v>
      </c>
      <c r="C1895">
        <f t="shared" si="383"/>
        <v>0</v>
      </c>
      <c r="D1895">
        <f t="shared" si="384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5"/>
        <v>0</v>
      </c>
      <c r="G1895">
        <f t="shared" si="386"/>
        <v>0</v>
      </c>
      <c r="H1895">
        <f t="shared" si="387"/>
        <v>0</v>
      </c>
      <c r="I1895">
        <f t="shared" si="388"/>
        <v>0</v>
      </c>
      <c r="J1895">
        <f t="shared" si="389"/>
        <v>0</v>
      </c>
      <c r="K1895" s="4" t="e">
        <f t="shared" si="379"/>
        <v>#N/A</v>
      </c>
      <c r="L1895" t="e">
        <f t="shared" si="380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1"/>
        <v>0</v>
      </c>
      <c r="B1896">
        <f t="shared" si="382"/>
        <v>0</v>
      </c>
      <c r="C1896">
        <f t="shared" si="383"/>
        <v>0</v>
      </c>
      <c r="D1896">
        <f t="shared" si="384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5"/>
        <v>0</v>
      </c>
      <c r="G1896">
        <f t="shared" si="386"/>
        <v>0</v>
      </c>
      <c r="H1896">
        <f t="shared" si="387"/>
        <v>0</v>
      </c>
      <c r="I1896">
        <f t="shared" si="388"/>
        <v>0</v>
      </c>
      <c r="J1896">
        <f t="shared" si="389"/>
        <v>0</v>
      </c>
      <c r="K1896" s="4" t="e">
        <f t="shared" si="379"/>
        <v>#N/A</v>
      </c>
      <c r="L1896" t="e">
        <f t="shared" si="380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1"/>
        <v>0</v>
      </c>
      <c r="B1897">
        <f t="shared" si="382"/>
        <v>0</v>
      </c>
      <c r="C1897">
        <f t="shared" si="383"/>
        <v>0</v>
      </c>
      <c r="D1897">
        <f t="shared" si="384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5"/>
        <v>0</v>
      </c>
      <c r="G1897">
        <f t="shared" si="386"/>
        <v>0</v>
      </c>
      <c r="H1897">
        <f t="shared" si="387"/>
        <v>0</v>
      </c>
      <c r="I1897">
        <f t="shared" si="388"/>
        <v>0</v>
      </c>
      <c r="J1897">
        <f t="shared" si="389"/>
        <v>0</v>
      </c>
      <c r="K1897" s="4" t="e">
        <f t="shared" si="379"/>
        <v>#N/A</v>
      </c>
      <c r="L1897" t="e">
        <f t="shared" si="380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1"/>
        <v>0</v>
      </c>
      <c r="B1898">
        <f t="shared" si="382"/>
        <v>0</v>
      </c>
      <c r="C1898">
        <f t="shared" si="383"/>
        <v>0</v>
      </c>
      <c r="D1898">
        <f t="shared" si="384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5"/>
        <v>0</v>
      </c>
      <c r="G1898">
        <f t="shared" si="386"/>
        <v>0</v>
      </c>
      <c r="H1898">
        <f t="shared" si="387"/>
        <v>0</v>
      </c>
      <c r="I1898">
        <f t="shared" si="388"/>
        <v>0</v>
      </c>
      <c r="J1898">
        <f t="shared" si="389"/>
        <v>0</v>
      </c>
      <c r="K1898" s="4" t="e">
        <f t="shared" si="379"/>
        <v>#N/A</v>
      </c>
      <c r="L1898" t="e">
        <f t="shared" si="380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1"/>
        <v>0</v>
      </c>
      <c r="B1899">
        <f t="shared" si="382"/>
        <v>0</v>
      </c>
      <c r="C1899">
        <f t="shared" si="383"/>
        <v>0</v>
      </c>
      <c r="D1899">
        <f t="shared" si="384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5"/>
        <v>0</v>
      </c>
      <c r="G1899">
        <f t="shared" si="386"/>
        <v>0</v>
      </c>
      <c r="H1899">
        <f t="shared" si="387"/>
        <v>0</v>
      </c>
      <c r="I1899">
        <f t="shared" si="388"/>
        <v>0</v>
      </c>
      <c r="J1899">
        <f t="shared" si="389"/>
        <v>0</v>
      </c>
      <c r="K1899" s="4" t="e">
        <f t="shared" si="379"/>
        <v>#N/A</v>
      </c>
      <c r="L1899" t="e">
        <f t="shared" si="380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1"/>
        <v>0</v>
      </c>
      <c r="B1900">
        <f t="shared" si="382"/>
        <v>0</v>
      </c>
      <c r="C1900">
        <f t="shared" si="383"/>
        <v>0</v>
      </c>
      <c r="D1900">
        <f t="shared" si="384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5"/>
        <v>0</v>
      </c>
      <c r="G1900">
        <f t="shared" si="386"/>
        <v>0</v>
      </c>
      <c r="H1900">
        <f t="shared" si="387"/>
        <v>0</v>
      </c>
      <c r="I1900">
        <f t="shared" si="388"/>
        <v>0</v>
      </c>
      <c r="J1900">
        <f t="shared" si="389"/>
        <v>0</v>
      </c>
      <c r="K1900" s="4" t="e">
        <f t="shared" ref="K1900:K1963" si="392">IF(LEFT(B1900,3)="DBM",0,VLOOKUP(E1900,tabela,2,FALSE))</f>
        <v>#N/A</v>
      </c>
      <c r="L1900" t="e">
        <f t="shared" ref="L1900:L1963" si="393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1"/>
        <v>0</v>
      </c>
      <c r="B1901">
        <f t="shared" si="382"/>
        <v>0</v>
      </c>
      <c r="C1901">
        <f t="shared" si="383"/>
        <v>0</v>
      </c>
      <c r="D1901">
        <f t="shared" si="384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5"/>
        <v>0</v>
      </c>
      <c r="G1901">
        <f t="shared" si="386"/>
        <v>0</v>
      </c>
      <c r="H1901">
        <f t="shared" si="387"/>
        <v>0</v>
      </c>
      <c r="I1901">
        <f t="shared" si="388"/>
        <v>0</v>
      </c>
      <c r="J1901">
        <f t="shared" si="389"/>
        <v>0</v>
      </c>
      <c r="K1901" s="4" t="e">
        <f t="shared" si="392"/>
        <v>#N/A</v>
      </c>
      <c r="L1901" t="e">
        <f t="shared" si="393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1"/>
        <v>0</v>
      </c>
      <c r="B1902">
        <f t="shared" si="382"/>
        <v>0</v>
      </c>
      <c r="C1902">
        <f t="shared" si="383"/>
        <v>0</v>
      </c>
      <c r="D1902">
        <f t="shared" si="384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5"/>
        <v>0</v>
      </c>
      <c r="G1902">
        <f t="shared" si="386"/>
        <v>0</v>
      </c>
      <c r="H1902">
        <f t="shared" si="387"/>
        <v>0</v>
      </c>
      <c r="I1902">
        <f t="shared" si="388"/>
        <v>0</v>
      </c>
      <c r="J1902">
        <f t="shared" si="389"/>
        <v>0</v>
      </c>
      <c r="K1902" s="4" t="e">
        <f t="shared" si="392"/>
        <v>#N/A</v>
      </c>
      <c r="L1902" t="e">
        <f t="shared" si="393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1"/>
        <v>0</v>
      </c>
      <c r="B1903">
        <f t="shared" si="382"/>
        <v>0</v>
      </c>
      <c r="C1903">
        <f t="shared" si="383"/>
        <v>0</v>
      </c>
      <c r="D1903">
        <f t="shared" si="384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5"/>
        <v>0</v>
      </c>
      <c r="G1903">
        <f t="shared" si="386"/>
        <v>0</v>
      </c>
      <c r="H1903">
        <f t="shared" si="387"/>
        <v>0</v>
      </c>
      <c r="I1903">
        <f t="shared" si="388"/>
        <v>0</v>
      </c>
      <c r="J1903">
        <f t="shared" si="389"/>
        <v>0</v>
      </c>
      <c r="K1903" s="4" t="e">
        <f t="shared" si="392"/>
        <v>#N/A</v>
      </c>
      <c r="L1903" t="e">
        <f t="shared" si="393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1"/>
        <v>0</v>
      </c>
      <c r="B1904">
        <f t="shared" si="382"/>
        <v>0</v>
      </c>
      <c r="C1904">
        <f t="shared" si="383"/>
        <v>0</v>
      </c>
      <c r="D1904">
        <f t="shared" si="384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5"/>
        <v>0</v>
      </c>
      <c r="G1904">
        <f t="shared" si="386"/>
        <v>0</v>
      </c>
      <c r="H1904">
        <f t="shared" si="387"/>
        <v>0</v>
      </c>
      <c r="I1904">
        <f t="shared" si="388"/>
        <v>0</v>
      </c>
      <c r="J1904">
        <f t="shared" si="389"/>
        <v>0</v>
      </c>
      <c r="K1904" s="4" t="e">
        <f t="shared" si="392"/>
        <v>#N/A</v>
      </c>
      <c r="L1904" t="e">
        <f t="shared" si="393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1"/>
        <v>0</v>
      </c>
      <c r="B1905">
        <f t="shared" si="382"/>
        <v>0</v>
      </c>
      <c r="C1905">
        <f t="shared" si="383"/>
        <v>0</v>
      </c>
      <c r="D1905">
        <f t="shared" si="384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5"/>
        <v>0</v>
      </c>
      <c r="G1905">
        <f t="shared" si="386"/>
        <v>0</v>
      </c>
      <c r="H1905">
        <f t="shared" si="387"/>
        <v>0</v>
      </c>
      <c r="I1905">
        <f t="shared" si="388"/>
        <v>0</v>
      </c>
      <c r="J1905">
        <f t="shared" si="389"/>
        <v>0</v>
      </c>
      <c r="K1905" s="4" t="e">
        <f t="shared" si="392"/>
        <v>#N/A</v>
      </c>
      <c r="L1905" t="e">
        <f t="shared" si="393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1"/>
        <v>0</v>
      </c>
      <c r="B1906">
        <f t="shared" si="382"/>
        <v>0</v>
      </c>
      <c r="C1906">
        <f t="shared" si="383"/>
        <v>0</v>
      </c>
      <c r="D1906">
        <f t="shared" si="384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5"/>
        <v>0</v>
      </c>
      <c r="G1906">
        <f t="shared" si="386"/>
        <v>0</v>
      </c>
      <c r="H1906">
        <f t="shared" si="387"/>
        <v>0</v>
      </c>
      <c r="I1906">
        <f t="shared" si="388"/>
        <v>0</v>
      </c>
      <c r="J1906">
        <f t="shared" si="389"/>
        <v>0</v>
      </c>
      <c r="K1906" s="4" t="e">
        <f t="shared" si="392"/>
        <v>#N/A</v>
      </c>
      <c r="L1906" t="e">
        <f t="shared" si="393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1"/>
        <v>0</v>
      </c>
      <c r="B1907">
        <f t="shared" si="382"/>
        <v>0</v>
      </c>
      <c r="C1907">
        <f t="shared" si="383"/>
        <v>0</v>
      </c>
      <c r="D1907">
        <f t="shared" si="384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5"/>
        <v>0</v>
      </c>
      <c r="G1907">
        <f t="shared" si="386"/>
        <v>0</v>
      </c>
      <c r="H1907">
        <f t="shared" si="387"/>
        <v>0</v>
      </c>
      <c r="I1907">
        <f t="shared" si="388"/>
        <v>0</v>
      </c>
      <c r="J1907">
        <f t="shared" si="389"/>
        <v>0</v>
      </c>
      <c r="K1907" s="4" t="e">
        <f t="shared" si="392"/>
        <v>#N/A</v>
      </c>
      <c r="L1907" t="e">
        <f t="shared" si="393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1"/>
        <v>0</v>
      </c>
      <c r="B1908">
        <f t="shared" si="382"/>
        <v>0</v>
      </c>
      <c r="C1908">
        <f t="shared" si="383"/>
        <v>0</v>
      </c>
      <c r="D1908">
        <f t="shared" si="384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5"/>
        <v>0</v>
      </c>
      <c r="G1908">
        <f t="shared" si="386"/>
        <v>0</v>
      </c>
      <c r="H1908">
        <f t="shared" si="387"/>
        <v>0</v>
      </c>
      <c r="I1908">
        <f t="shared" si="388"/>
        <v>0</v>
      </c>
      <c r="J1908">
        <f t="shared" si="389"/>
        <v>0</v>
      </c>
      <c r="K1908" s="4" t="e">
        <f t="shared" si="392"/>
        <v>#N/A</v>
      </c>
      <c r="L1908" t="e">
        <f t="shared" si="393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1"/>
        <v>0</v>
      </c>
      <c r="B1909">
        <f t="shared" si="382"/>
        <v>0</v>
      </c>
      <c r="C1909">
        <f t="shared" si="383"/>
        <v>0</v>
      </c>
      <c r="D1909">
        <f t="shared" si="384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5"/>
        <v>0</v>
      </c>
      <c r="G1909">
        <f t="shared" si="386"/>
        <v>0</v>
      </c>
      <c r="H1909">
        <f t="shared" si="387"/>
        <v>0</v>
      </c>
      <c r="I1909">
        <f t="shared" si="388"/>
        <v>0</v>
      </c>
      <c r="J1909">
        <f t="shared" si="389"/>
        <v>0</v>
      </c>
      <c r="K1909" s="4" t="e">
        <f t="shared" si="392"/>
        <v>#N/A</v>
      </c>
      <c r="L1909" t="e">
        <f t="shared" si="393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1"/>
        <v>0</v>
      </c>
      <c r="B1910">
        <f t="shared" si="382"/>
        <v>0</v>
      </c>
      <c r="C1910">
        <f t="shared" si="383"/>
        <v>0</v>
      </c>
      <c r="D1910">
        <f t="shared" si="384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5"/>
        <v>0</v>
      </c>
      <c r="G1910">
        <f t="shared" si="386"/>
        <v>0</v>
      </c>
      <c r="H1910">
        <f t="shared" si="387"/>
        <v>0</v>
      </c>
      <c r="I1910">
        <f t="shared" si="388"/>
        <v>0</v>
      </c>
      <c r="J1910">
        <f t="shared" si="389"/>
        <v>0</v>
      </c>
      <c r="K1910" s="4" t="e">
        <f t="shared" si="392"/>
        <v>#N/A</v>
      </c>
      <c r="L1910" t="e">
        <f t="shared" si="393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1"/>
        <v>0</v>
      </c>
      <c r="B1911">
        <f t="shared" si="382"/>
        <v>0</v>
      </c>
      <c r="C1911">
        <f t="shared" si="383"/>
        <v>0</v>
      </c>
      <c r="D1911">
        <f t="shared" si="384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5"/>
        <v>0</v>
      </c>
      <c r="G1911">
        <f t="shared" si="386"/>
        <v>0</v>
      </c>
      <c r="H1911">
        <f t="shared" si="387"/>
        <v>0</v>
      </c>
      <c r="I1911">
        <f t="shared" si="388"/>
        <v>0</v>
      </c>
      <c r="J1911">
        <f t="shared" si="389"/>
        <v>0</v>
      </c>
      <c r="K1911" s="4" t="e">
        <f t="shared" si="392"/>
        <v>#N/A</v>
      </c>
      <c r="L1911" t="e">
        <f t="shared" si="393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1"/>
        <v>0</v>
      </c>
      <c r="B1912">
        <f t="shared" si="382"/>
        <v>0</v>
      </c>
      <c r="C1912">
        <f t="shared" si="383"/>
        <v>0</v>
      </c>
      <c r="D1912">
        <f t="shared" si="384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5"/>
        <v>0</v>
      </c>
      <c r="G1912">
        <f t="shared" si="386"/>
        <v>0</v>
      </c>
      <c r="H1912">
        <f t="shared" si="387"/>
        <v>0</v>
      </c>
      <c r="I1912">
        <f t="shared" si="388"/>
        <v>0</v>
      </c>
      <c r="J1912">
        <f t="shared" si="389"/>
        <v>0</v>
      </c>
      <c r="K1912" s="4" t="e">
        <f t="shared" si="392"/>
        <v>#N/A</v>
      </c>
      <c r="L1912" t="e">
        <f t="shared" si="393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1"/>
        <v>0</v>
      </c>
      <c r="B1913">
        <f t="shared" si="382"/>
        <v>0</v>
      </c>
      <c r="C1913">
        <f t="shared" si="383"/>
        <v>0</v>
      </c>
      <c r="D1913">
        <f t="shared" si="384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5"/>
        <v>0</v>
      </c>
      <c r="G1913">
        <f t="shared" si="386"/>
        <v>0</v>
      </c>
      <c r="H1913">
        <f t="shared" si="387"/>
        <v>0</v>
      </c>
      <c r="I1913">
        <f t="shared" si="388"/>
        <v>0</v>
      </c>
      <c r="J1913">
        <f t="shared" si="389"/>
        <v>0</v>
      </c>
      <c r="K1913" s="4" t="e">
        <f t="shared" si="392"/>
        <v>#N/A</v>
      </c>
      <c r="L1913" t="e">
        <f t="shared" si="393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1"/>
        <v>0</v>
      </c>
      <c r="B1914">
        <f t="shared" si="382"/>
        <v>0</v>
      </c>
      <c r="C1914">
        <f t="shared" si="383"/>
        <v>0</v>
      </c>
      <c r="D1914">
        <f t="shared" si="384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5"/>
        <v>0</v>
      </c>
      <c r="G1914">
        <f t="shared" si="386"/>
        <v>0</v>
      </c>
      <c r="H1914">
        <f t="shared" si="387"/>
        <v>0</v>
      </c>
      <c r="I1914">
        <f t="shared" si="388"/>
        <v>0</v>
      </c>
      <c r="J1914">
        <f t="shared" si="389"/>
        <v>0</v>
      </c>
      <c r="K1914" s="4" t="e">
        <f t="shared" si="392"/>
        <v>#N/A</v>
      </c>
      <c r="L1914" t="e">
        <f t="shared" si="393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1"/>
        <v>0</v>
      </c>
      <c r="B1915">
        <f t="shared" si="382"/>
        <v>0</v>
      </c>
      <c r="C1915">
        <f t="shared" si="383"/>
        <v>0</v>
      </c>
      <c r="D1915">
        <f t="shared" si="384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5"/>
        <v>0</v>
      </c>
      <c r="G1915">
        <f t="shared" si="386"/>
        <v>0</v>
      </c>
      <c r="H1915">
        <f t="shared" si="387"/>
        <v>0</v>
      </c>
      <c r="I1915">
        <f t="shared" si="388"/>
        <v>0</v>
      </c>
      <c r="J1915">
        <f t="shared" si="389"/>
        <v>0</v>
      </c>
      <c r="K1915" s="4" t="e">
        <f t="shared" si="392"/>
        <v>#N/A</v>
      </c>
      <c r="L1915" t="e">
        <f t="shared" si="393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1"/>
        <v>0</v>
      </c>
      <c r="B1916">
        <f t="shared" si="382"/>
        <v>0</v>
      </c>
      <c r="C1916">
        <f t="shared" si="383"/>
        <v>0</v>
      </c>
      <c r="D1916">
        <f t="shared" si="384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5"/>
        <v>0</v>
      </c>
      <c r="G1916">
        <f t="shared" si="386"/>
        <v>0</v>
      </c>
      <c r="H1916">
        <f t="shared" si="387"/>
        <v>0</v>
      </c>
      <c r="I1916">
        <f t="shared" si="388"/>
        <v>0</v>
      </c>
      <c r="J1916">
        <f t="shared" si="389"/>
        <v>0</v>
      </c>
      <c r="K1916" s="4" t="e">
        <f t="shared" si="392"/>
        <v>#N/A</v>
      </c>
      <c r="L1916" t="e">
        <f t="shared" si="393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1"/>
        <v>0</v>
      </c>
      <c r="B1917">
        <f t="shared" si="382"/>
        <v>0</v>
      </c>
      <c r="C1917">
        <f t="shared" si="383"/>
        <v>0</v>
      </c>
      <c r="D1917">
        <f t="shared" si="384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5"/>
        <v>0</v>
      </c>
      <c r="G1917">
        <f t="shared" si="386"/>
        <v>0</v>
      </c>
      <c r="H1917">
        <f t="shared" si="387"/>
        <v>0</v>
      </c>
      <c r="I1917">
        <f t="shared" si="388"/>
        <v>0</v>
      </c>
      <c r="J1917">
        <f t="shared" si="389"/>
        <v>0</v>
      </c>
      <c r="K1917" s="4" t="e">
        <f t="shared" si="392"/>
        <v>#N/A</v>
      </c>
      <c r="L1917" t="e">
        <f t="shared" si="393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1"/>
        <v>0</v>
      </c>
      <c r="B1918">
        <f t="shared" si="382"/>
        <v>0</v>
      </c>
      <c r="C1918">
        <f t="shared" si="383"/>
        <v>0</v>
      </c>
      <c r="D1918">
        <f t="shared" si="384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5"/>
        <v>0</v>
      </c>
      <c r="G1918">
        <f t="shared" si="386"/>
        <v>0</v>
      </c>
      <c r="H1918">
        <f t="shared" si="387"/>
        <v>0</v>
      </c>
      <c r="I1918">
        <f t="shared" si="388"/>
        <v>0</v>
      </c>
      <c r="J1918">
        <f t="shared" si="389"/>
        <v>0</v>
      </c>
      <c r="K1918" s="4" t="e">
        <f t="shared" si="392"/>
        <v>#N/A</v>
      </c>
      <c r="L1918" t="e">
        <f t="shared" si="393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1"/>
        <v>0</v>
      </c>
      <c r="B1919">
        <f t="shared" si="382"/>
        <v>0</v>
      </c>
      <c r="C1919">
        <f t="shared" si="383"/>
        <v>0</v>
      </c>
      <c r="D1919">
        <f t="shared" si="384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5"/>
        <v>0</v>
      </c>
      <c r="G1919">
        <f t="shared" si="386"/>
        <v>0</v>
      </c>
      <c r="H1919">
        <f t="shared" si="387"/>
        <v>0</v>
      </c>
      <c r="I1919">
        <f t="shared" si="388"/>
        <v>0</v>
      </c>
      <c r="J1919">
        <f t="shared" si="389"/>
        <v>0</v>
      </c>
      <c r="K1919" s="4" t="e">
        <f t="shared" si="392"/>
        <v>#N/A</v>
      </c>
      <c r="L1919" t="e">
        <f t="shared" si="393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1"/>
        <v>0</v>
      </c>
      <c r="B1920">
        <f t="shared" si="382"/>
        <v>0</v>
      </c>
      <c r="C1920">
        <f t="shared" si="383"/>
        <v>0</v>
      </c>
      <c r="D1920">
        <f t="shared" si="384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5"/>
        <v>0</v>
      </c>
      <c r="G1920">
        <f t="shared" si="386"/>
        <v>0</v>
      </c>
      <c r="H1920">
        <f t="shared" si="387"/>
        <v>0</v>
      </c>
      <c r="I1920">
        <f t="shared" si="388"/>
        <v>0</v>
      </c>
      <c r="J1920">
        <f t="shared" si="389"/>
        <v>0</v>
      </c>
      <c r="K1920" s="4" t="e">
        <f t="shared" si="392"/>
        <v>#N/A</v>
      </c>
      <c r="L1920" t="e">
        <f t="shared" si="393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1"/>
        <v>0</v>
      </c>
      <c r="B1921">
        <f t="shared" si="382"/>
        <v>0</v>
      </c>
      <c r="C1921">
        <f t="shared" si="383"/>
        <v>0</v>
      </c>
      <c r="D1921">
        <f t="shared" si="384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5"/>
        <v>0</v>
      </c>
      <c r="G1921">
        <f t="shared" si="386"/>
        <v>0</v>
      </c>
      <c r="H1921">
        <f t="shared" si="387"/>
        <v>0</v>
      </c>
      <c r="I1921">
        <f t="shared" si="388"/>
        <v>0</v>
      </c>
      <c r="J1921">
        <f t="shared" si="389"/>
        <v>0</v>
      </c>
      <c r="K1921" s="4" t="e">
        <f t="shared" si="392"/>
        <v>#N/A</v>
      </c>
      <c r="L1921" t="e">
        <f t="shared" si="393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4">bd_campaign</f>
        <v>0</v>
      </c>
      <c r="B1922">
        <f t="shared" ref="B1922:B1985" si="395">bd_site</f>
        <v>0</v>
      </c>
      <c r="C1922">
        <f t="shared" ref="C1922:C1985" si="396">bd_placement</f>
        <v>0</v>
      </c>
      <c r="D1922">
        <f t="shared" ref="D1922:D1985" si="397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8">bd_ad</f>
        <v>0</v>
      </c>
      <c r="G1922">
        <f t="shared" ref="G1922:G1985" si="399">bd_adid</f>
        <v>0</v>
      </c>
      <c r="H1922">
        <f t="shared" ref="H1922:H1985" si="400">bd_creativetype</f>
        <v>0</v>
      </c>
      <c r="I1922">
        <f t="shared" ref="I1922:I1985" si="401">bd_impression</f>
        <v>0</v>
      </c>
      <c r="J1922">
        <f t="shared" ref="J1922:J1985" si="402">bd_clicks</f>
        <v>0</v>
      </c>
      <c r="K1922" s="4" t="e">
        <f t="shared" si="392"/>
        <v>#N/A</v>
      </c>
      <c r="L1922" t="e">
        <f t="shared" si="393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4"/>
        <v>0</v>
      </c>
      <c r="B1923">
        <f t="shared" si="395"/>
        <v>0</v>
      </c>
      <c r="C1923">
        <f t="shared" si="396"/>
        <v>0</v>
      </c>
      <c r="D1923">
        <f t="shared" si="397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8"/>
        <v>0</v>
      </c>
      <c r="G1923">
        <f t="shared" si="399"/>
        <v>0</v>
      </c>
      <c r="H1923">
        <f t="shared" si="400"/>
        <v>0</v>
      </c>
      <c r="I1923">
        <f t="shared" si="401"/>
        <v>0</v>
      </c>
      <c r="J1923">
        <f t="shared" si="402"/>
        <v>0</v>
      </c>
      <c r="K1923" s="4" t="e">
        <f t="shared" si="392"/>
        <v>#N/A</v>
      </c>
      <c r="L1923" t="e">
        <f t="shared" si="393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4"/>
        <v>0</v>
      </c>
      <c r="B1924">
        <f t="shared" si="395"/>
        <v>0</v>
      </c>
      <c r="C1924">
        <f t="shared" si="396"/>
        <v>0</v>
      </c>
      <c r="D1924">
        <f t="shared" si="397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8"/>
        <v>0</v>
      </c>
      <c r="G1924">
        <f t="shared" si="399"/>
        <v>0</v>
      </c>
      <c r="H1924">
        <f t="shared" si="400"/>
        <v>0</v>
      </c>
      <c r="I1924">
        <f t="shared" si="401"/>
        <v>0</v>
      </c>
      <c r="J1924">
        <f t="shared" si="402"/>
        <v>0</v>
      </c>
      <c r="K1924" s="4" t="e">
        <f t="shared" si="392"/>
        <v>#N/A</v>
      </c>
      <c r="L1924" t="e">
        <f t="shared" si="393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4"/>
        <v>0</v>
      </c>
      <c r="B1925">
        <f t="shared" si="395"/>
        <v>0</v>
      </c>
      <c r="C1925">
        <f t="shared" si="396"/>
        <v>0</v>
      </c>
      <c r="D1925">
        <f t="shared" si="397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8"/>
        <v>0</v>
      </c>
      <c r="G1925">
        <f t="shared" si="399"/>
        <v>0</v>
      </c>
      <c r="H1925">
        <f t="shared" si="400"/>
        <v>0</v>
      </c>
      <c r="I1925">
        <f t="shared" si="401"/>
        <v>0</v>
      </c>
      <c r="J1925">
        <f t="shared" si="402"/>
        <v>0</v>
      </c>
      <c r="K1925" s="4" t="e">
        <f t="shared" si="392"/>
        <v>#N/A</v>
      </c>
      <c r="L1925" t="e">
        <f t="shared" si="393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4"/>
        <v>0</v>
      </c>
      <c r="B1926">
        <f t="shared" si="395"/>
        <v>0</v>
      </c>
      <c r="C1926">
        <f t="shared" si="396"/>
        <v>0</v>
      </c>
      <c r="D1926">
        <f t="shared" si="397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8"/>
        <v>0</v>
      </c>
      <c r="G1926">
        <f t="shared" si="399"/>
        <v>0</v>
      </c>
      <c r="H1926">
        <f t="shared" si="400"/>
        <v>0</v>
      </c>
      <c r="I1926">
        <f t="shared" si="401"/>
        <v>0</v>
      </c>
      <c r="J1926">
        <f t="shared" si="402"/>
        <v>0</v>
      </c>
      <c r="K1926" s="4" t="e">
        <f t="shared" si="392"/>
        <v>#N/A</v>
      </c>
      <c r="L1926" t="e">
        <f t="shared" si="393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4"/>
        <v>0</v>
      </c>
      <c r="B1927">
        <f t="shared" si="395"/>
        <v>0</v>
      </c>
      <c r="C1927">
        <f t="shared" si="396"/>
        <v>0</v>
      </c>
      <c r="D1927">
        <f t="shared" si="397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8"/>
        <v>0</v>
      </c>
      <c r="G1927">
        <f t="shared" si="399"/>
        <v>0</v>
      </c>
      <c r="H1927">
        <f t="shared" si="400"/>
        <v>0</v>
      </c>
      <c r="I1927">
        <f t="shared" si="401"/>
        <v>0</v>
      </c>
      <c r="J1927">
        <f t="shared" si="402"/>
        <v>0</v>
      </c>
      <c r="K1927" s="4" t="e">
        <f t="shared" si="392"/>
        <v>#N/A</v>
      </c>
      <c r="L1927" t="e">
        <f t="shared" si="393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4"/>
        <v>0</v>
      </c>
      <c r="B1928">
        <f t="shared" si="395"/>
        <v>0</v>
      </c>
      <c r="C1928">
        <f t="shared" si="396"/>
        <v>0</v>
      </c>
      <c r="D1928">
        <f t="shared" si="397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8"/>
        <v>0</v>
      </c>
      <c r="G1928">
        <f t="shared" si="399"/>
        <v>0</v>
      </c>
      <c r="H1928">
        <f t="shared" si="400"/>
        <v>0</v>
      </c>
      <c r="I1928">
        <f t="shared" si="401"/>
        <v>0</v>
      </c>
      <c r="J1928">
        <f t="shared" si="402"/>
        <v>0</v>
      </c>
      <c r="K1928" s="4" t="e">
        <f t="shared" si="392"/>
        <v>#N/A</v>
      </c>
      <c r="L1928" t="e">
        <f t="shared" si="393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4"/>
        <v>0</v>
      </c>
      <c r="B1929">
        <f t="shared" si="395"/>
        <v>0</v>
      </c>
      <c r="C1929">
        <f t="shared" si="396"/>
        <v>0</v>
      </c>
      <c r="D1929">
        <f t="shared" si="397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8"/>
        <v>0</v>
      </c>
      <c r="G1929">
        <f t="shared" si="399"/>
        <v>0</v>
      </c>
      <c r="H1929">
        <f t="shared" si="400"/>
        <v>0</v>
      </c>
      <c r="I1929">
        <f t="shared" si="401"/>
        <v>0</v>
      </c>
      <c r="J1929">
        <f t="shared" si="402"/>
        <v>0</v>
      </c>
      <c r="K1929" s="4" t="e">
        <f t="shared" si="392"/>
        <v>#N/A</v>
      </c>
      <c r="L1929" t="e">
        <f t="shared" si="393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4"/>
        <v>0</v>
      </c>
      <c r="B1930">
        <f t="shared" si="395"/>
        <v>0</v>
      </c>
      <c r="C1930">
        <f t="shared" si="396"/>
        <v>0</v>
      </c>
      <c r="D1930">
        <f t="shared" si="397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8"/>
        <v>0</v>
      </c>
      <c r="G1930">
        <f t="shared" si="399"/>
        <v>0</v>
      </c>
      <c r="H1930">
        <f t="shared" si="400"/>
        <v>0</v>
      </c>
      <c r="I1930">
        <f t="shared" si="401"/>
        <v>0</v>
      </c>
      <c r="J1930">
        <f t="shared" si="402"/>
        <v>0</v>
      </c>
      <c r="K1930" s="4" t="e">
        <f t="shared" si="392"/>
        <v>#N/A</v>
      </c>
      <c r="L1930" t="e">
        <f t="shared" si="393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4"/>
        <v>0</v>
      </c>
      <c r="B1931">
        <f t="shared" si="395"/>
        <v>0</v>
      </c>
      <c r="C1931">
        <f t="shared" si="396"/>
        <v>0</v>
      </c>
      <c r="D1931">
        <f t="shared" si="397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8"/>
        <v>0</v>
      </c>
      <c r="G1931">
        <f t="shared" si="399"/>
        <v>0</v>
      </c>
      <c r="H1931">
        <f t="shared" si="400"/>
        <v>0</v>
      </c>
      <c r="I1931">
        <f t="shared" si="401"/>
        <v>0</v>
      </c>
      <c r="J1931">
        <f t="shared" si="402"/>
        <v>0</v>
      </c>
      <c r="K1931" s="4" t="e">
        <f t="shared" si="392"/>
        <v>#N/A</v>
      </c>
      <c r="L1931" t="e">
        <f t="shared" si="393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4"/>
        <v>0</v>
      </c>
      <c r="B1932">
        <f t="shared" si="395"/>
        <v>0</v>
      </c>
      <c r="C1932">
        <f t="shared" si="396"/>
        <v>0</v>
      </c>
      <c r="D1932">
        <f t="shared" si="397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8"/>
        <v>0</v>
      </c>
      <c r="G1932">
        <f t="shared" si="399"/>
        <v>0</v>
      </c>
      <c r="H1932">
        <f t="shared" si="400"/>
        <v>0</v>
      </c>
      <c r="I1932">
        <f t="shared" si="401"/>
        <v>0</v>
      </c>
      <c r="J1932">
        <f t="shared" si="402"/>
        <v>0</v>
      </c>
      <c r="K1932" s="4" t="e">
        <f t="shared" si="392"/>
        <v>#N/A</v>
      </c>
      <c r="L1932" t="e">
        <f t="shared" si="393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4"/>
        <v>0</v>
      </c>
      <c r="B1933">
        <f t="shared" si="395"/>
        <v>0</v>
      </c>
      <c r="C1933">
        <f t="shared" si="396"/>
        <v>0</v>
      </c>
      <c r="D1933">
        <f t="shared" si="397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8"/>
        <v>0</v>
      </c>
      <c r="G1933">
        <f t="shared" si="399"/>
        <v>0</v>
      </c>
      <c r="H1933">
        <f t="shared" si="400"/>
        <v>0</v>
      </c>
      <c r="I1933">
        <f t="shared" si="401"/>
        <v>0</v>
      </c>
      <c r="J1933">
        <f t="shared" si="402"/>
        <v>0</v>
      </c>
      <c r="K1933" s="4" t="e">
        <f t="shared" si="392"/>
        <v>#N/A</v>
      </c>
      <c r="L1933" t="e">
        <f t="shared" si="393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4"/>
        <v>0</v>
      </c>
      <c r="B1934">
        <f t="shared" si="395"/>
        <v>0</v>
      </c>
      <c r="C1934">
        <f t="shared" si="396"/>
        <v>0</v>
      </c>
      <c r="D1934">
        <f t="shared" si="397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8"/>
        <v>0</v>
      </c>
      <c r="G1934">
        <f t="shared" si="399"/>
        <v>0</v>
      </c>
      <c r="H1934">
        <f t="shared" si="400"/>
        <v>0</v>
      </c>
      <c r="I1934">
        <f t="shared" si="401"/>
        <v>0</v>
      </c>
      <c r="J1934">
        <f t="shared" si="402"/>
        <v>0</v>
      </c>
      <c r="K1934" s="4" t="e">
        <f t="shared" si="392"/>
        <v>#N/A</v>
      </c>
      <c r="L1934" t="e">
        <f t="shared" si="393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4"/>
        <v>0</v>
      </c>
      <c r="B1935">
        <f t="shared" si="395"/>
        <v>0</v>
      </c>
      <c r="C1935">
        <f t="shared" si="396"/>
        <v>0</v>
      </c>
      <c r="D1935">
        <f t="shared" si="397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8"/>
        <v>0</v>
      </c>
      <c r="G1935">
        <f t="shared" si="399"/>
        <v>0</v>
      </c>
      <c r="H1935">
        <f t="shared" si="400"/>
        <v>0</v>
      </c>
      <c r="I1935">
        <f t="shared" si="401"/>
        <v>0</v>
      </c>
      <c r="J1935">
        <f t="shared" si="402"/>
        <v>0</v>
      </c>
      <c r="K1935" s="4" t="e">
        <f t="shared" si="392"/>
        <v>#N/A</v>
      </c>
      <c r="L1935" t="e">
        <f t="shared" si="393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4"/>
        <v>0</v>
      </c>
      <c r="B1936">
        <f t="shared" si="395"/>
        <v>0</v>
      </c>
      <c r="C1936">
        <f t="shared" si="396"/>
        <v>0</v>
      </c>
      <c r="D1936">
        <f t="shared" si="397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8"/>
        <v>0</v>
      </c>
      <c r="G1936">
        <f t="shared" si="399"/>
        <v>0</v>
      </c>
      <c r="H1936">
        <f t="shared" si="400"/>
        <v>0</v>
      </c>
      <c r="I1936">
        <f t="shared" si="401"/>
        <v>0</v>
      </c>
      <c r="J1936">
        <f t="shared" si="402"/>
        <v>0</v>
      </c>
      <c r="K1936" s="4" t="e">
        <f t="shared" si="392"/>
        <v>#N/A</v>
      </c>
      <c r="L1936" t="e">
        <f t="shared" si="393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4"/>
        <v>0</v>
      </c>
      <c r="B1937">
        <f t="shared" si="395"/>
        <v>0</v>
      </c>
      <c r="C1937">
        <f t="shared" si="396"/>
        <v>0</v>
      </c>
      <c r="D1937">
        <f t="shared" si="397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8"/>
        <v>0</v>
      </c>
      <c r="G1937">
        <f t="shared" si="399"/>
        <v>0</v>
      </c>
      <c r="H1937">
        <f t="shared" si="400"/>
        <v>0</v>
      </c>
      <c r="I1937">
        <f t="shared" si="401"/>
        <v>0</v>
      </c>
      <c r="J1937">
        <f t="shared" si="402"/>
        <v>0</v>
      </c>
      <c r="K1937" s="4" t="e">
        <f t="shared" si="392"/>
        <v>#N/A</v>
      </c>
      <c r="L1937" t="e">
        <f t="shared" si="393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4"/>
        <v>0</v>
      </c>
      <c r="B1938">
        <f t="shared" si="395"/>
        <v>0</v>
      </c>
      <c r="C1938">
        <f t="shared" si="396"/>
        <v>0</v>
      </c>
      <c r="D1938">
        <f t="shared" si="397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8"/>
        <v>0</v>
      </c>
      <c r="G1938">
        <f t="shared" si="399"/>
        <v>0</v>
      </c>
      <c r="H1938">
        <f t="shared" si="400"/>
        <v>0</v>
      </c>
      <c r="I1938">
        <f t="shared" si="401"/>
        <v>0</v>
      </c>
      <c r="J1938">
        <f t="shared" si="402"/>
        <v>0</v>
      </c>
      <c r="K1938" s="4" t="e">
        <f t="shared" si="392"/>
        <v>#N/A</v>
      </c>
      <c r="L1938" t="e">
        <f t="shared" si="393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4"/>
        <v>0</v>
      </c>
      <c r="B1939">
        <f t="shared" si="395"/>
        <v>0</v>
      </c>
      <c r="C1939">
        <f t="shared" si="396"/>
        <v>0</v>
      </c>
      <c r="D1939">
        <f t="shared" si="397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8"/>
        <v>0</v>
      </c>
      <c r="G1939">
        <f t="shared" si="399"/>
        <v>0</v>
      </c>
      <c r="H1939">
        <f t="shared" si="400"/>
        <v>0</v>
      </c>
      <c r="I1939">
        <f t="shared" si="401"/>
        <v>0</v>
      </c>
      <c r="J1939">
        <f t="shared" si="402"/>
        <v>0</v>
      </c>
      <c r="K1939" s="4" t="e">
        <f t="shared" si="392"/>
        <v>#N/A</v>
      </c>
      <c r="L1939" t="e">
        <f t="shared" si="393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4"/>
        <v>0</v>
      </c>
      <c r="B1940">
        <f t="shared" si="395"/>
        <v>0</v>
      </c>
      <c r="C1940">
        <f t="shared" si="396"/>
        <v>0</v>
      </c>
      <c r="D1940">
        <f t="shared" si="397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8"/>
        <v>0</v>
      </c>
      <c r="G1940">
        <f t="shared" si="399"/>
        <v>0</v>
      </c>
      <c r="H1940">
        <f t="shared" si="400"/>
        <v>0</v>
      </c>
      <c r="I1940">
        <f t="shared" si="401"/>
        <v>0</v>
      </c>
      <c r="J1940">
        <f t="shared" si="402"/>
        <v>0</v>
      </c>
      <c r="K1940" s="4" t="e">
        <f t="shared" si="392"/>
        <v>#N/A</v>
      </c>
      <c r="L1940" t="e">
        <f t="shared" si="393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4"/>
        <v>0</v>
      </c>
      <c r="B1941">
        <f t="shared" si="395"/>
        <v>0</v>
      </c>
      <c r="C1941">
        <f t="shared" si="396"/>
        <v>0</v>
      </c>
      <c r="D1941">
        <f t="shared" si="397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8"/>
        <v>0</v>
      </c>
      <c r="G1941">
        <f t="shared" si="399"/>
        <v>0</v>
      </c>
      <c r="H1941">
        <f t="shared" si="400"/>
        <v>0</v>
      </c>
      <c r="I1941">
        <f t="shared" si="401"/>
        <v>0</v>
      </c>
      <c r="J1941">
        <f t="shared" si="402"/>
        <v>0</v>
      </c>
      <c r="K1941" s="4" t="e">
        <f t="shared" si="392"/>
        <v>#N/A</v>
      </c>
      <c r="L1941" t="e">
        <f t="shared" si="393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4"/>
        <v>0</v>
      </c>
      <c r="B1942">
        <f t="shared" si="395"/>
        <v>0</v>
      </c>
      <c r="C1942">
        <f t="shared" si="396"/>
        <v>0</v>
      </c>
      <c r="D1942">
        <f t="shared" si="397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8"/>
        <v>0</v>
      </c>
      <c r="G1942">
        <f t="shared" si="399"/>
        <v>0</v>
      </c>
      <c r="H1942">
        <f t="shared" si="400"/>
        <v>0</v>
      </c>
      <c r="I1942">
        <f t="shared" si="401"/>
        <v>0</v>
      </c>
      <c r="J1942">
        <f t="shared" si="402"/>
        <v>0</v>
      </c>
      <c r="K1942" s="4" t="e">
        <f t="shared" si="392"/>
        <v>#N/A</v>
      </c>
      <c r="L1942" t="e">
        <f t="shared" si="393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4"/>
        <v>0</v>
      </c>
      <c r="B1943">
        <f t="shared" si="395"/>
        <v>0</v>
      </c>
      <c r="C1943">
        <f t="shared" si="396"/>
        <v>0</v>
      </c>
      <c r="D1943">
        <f t="shared" si="397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8"/>
        <v>0</v>
      </c>
      <c r="G1943">
        <f t="shared" si="399"/>
        <v>0</v>
      </c>
      <c r="H1943">
        <f t="shared" si="400"/>
        <v>0</v>
      </c>
      <c r="I1943">
        <f t="shared" si="401"/>
        <v>0</v>
      </c>
      <c r="J1943">
        <f t="shared" si="402"/>
        <v>0</v>
      </c>
      <c r="K1943" s="4" t="e">
        <f t="shared" si="392"/>
        <v>#N/A</v>
      </c>
      <c r="L1943" t="e">
        <f t="shared" si="393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4"/>
        <v>0</v>
      </c>
      <c r="B1944">
        <f t="shared" si="395"/>
        <v>0</v>
      </c>
      <c r="C1944">
        <f t="shared" si="396"/>
        <v>0</v>
      </c>
      <c r="D1944">
        <f t="shared" si="397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8"/>
        <v>0</v>
      </c>
      <c r="G1944">
        <f t="shared" si="399"/>
        <v>0</v>
      </c>
      <c r="H1944">
        <f t="shared" si="400"/>
        <v>0</v>
      </c>
      <c r="I1944">
        <f t="shared" si="401"/>
        <v>0</v>
      </c>
      <c r="J1944">
        <f t="shared" si="402"/>
        <v>0</v>
      </c>
      <c r="K1944" s="4" t="e">
        <f t="shared" si="392"/>
        <v>#N/A</v>
      </c>
      <c r="L1944" t="e">
        <f t="shared" si="393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4"/>
        <v>0</v>
      </c>
      <c r="B1945">
        <f t="shared" si="395"/>
        <v>0</v>
      </c>
      <c r="C1945">
        <f t="shared" si="396"/>
        <v>0</v>
      </c>
      <c r="D1945">
        <f t="shared" si="397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8"/>
        <v>0</v>
      </c>
      <c r="G1945">
        <f t="shared" si="399"/>
        <v>0</v>
      </c>
      <c r="H1945">
        <f t="shared" si="400"/>
        <v>0</v>
      </c>
      <c r="I1945">
        <f t="shared" si="401"/>
        <v>0</v>
      </c>
      <c r="J1945">
        <f t="shared" si="402"/>
        <v>0</v>
      </c>
      <c r="K1945" s="4" t="e">
        <f t="shared" si="392"/>
        <v>#N/A</v>
      </c>
      <c r="L1945" t="e">
        <f t="shared" si="393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4"/>
        <v>0</v>
      </c>
      <c r="B1946">
        <f t="shared" si="395"/>
        <v>0</v>
      </c>
      <c r="C1946">
        <f t="shared" si="396"/>
        <v>0</v>
      </c>
      <c r="D1946">
        <f t="shared" si="397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8"/>
        <v>0</v>
      </c>
      <c r="G1946">
        <f t="shared" si="399"/>
        <v>0</v>
      </c>
      <c r="H1946">
        <f t="shared" si="400"/>
        <v>0</v>
      </c>
      <c r="I1946">
        <f t="shared" si="401"/>
        <v>0</v>
      </c>
      <c r="J1946">
        <f t="shared" si="402"/>
        <v>0</v>
      </c>
      <c r="K1946" s="4" t="e">
        <f t="shared" si="392"/>
        <v>#N/A</v>
      </c>
      <c r="L1946" t="e">
        <f t="shared" si="393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4"/>
        <v>0</v>
      </c>
      <c r="B1947">
        <f t="shared" si="395"/>
        <v>0</v>
      </c>
      <c r="C1947">
        <f t="shared" si="396"/>
        <v>0</v>
      </c>
      <c r="D1947">
        <f t="shared" si="397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8"/>
        <v>0</v>
      </c>
      <c r="G1947">
        <f t="shared" si="399"/>
        <v>0</v>
      </c>
      <c r="H1947">
        <f t="shared" si="400"/>
        <v>0</v>
      </c>
      <c r="I1947">
        <f t="shared" si="401"/>
        <v>0</v>
      </c>
      <c r="J1947">
        <f t="shared" si="402"/>
        <v>0</v>
      </c>
      <c r="K1947" s="4" t="e">
        <f t="shared" si="392"/>
        <v>#N/A</v>
      </c>
      <c r="L1947" t="e">
        <f t="shared" si="393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4"/>
        <v>0</v>
      </c>
      <c r="B1948">
        <f t="shared" si="395"/>
        <v>0</v>
      </c>
      <c r="C1948">
        <f t="shared" si="396"/>
        <v>0</v>
      </c>
      <c r="D1948">
        <f t="shared" si="397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8"/>
        <v>0</v>
      </c>
      <c r="G1948">
        <f t="shared" si="399"/>
        <v>0</v>
      </c>
      <c r="H1948">
        <f t="shared" si="400"/>
        <v>0</v>
      </c>
      <c r="I1948">
        <f t="shared" si="401"/>
        <v>0</v>
      </c>
      <c r="J1948">
        <f t="shared" si="402"/>
        <v>0</v>
      </c>
      <c r="K1948" s="4" t="e">
        <f t="shared" si="392"/>
        <v>#N/A</v>
      </c>
      <c r="L1948" t="e">
        <f t="shared" si="393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4"/>
        <v>0</v>
      </c>
      <c r="B1949">
        <f t="shared" si="395"/>
        <v>0</v>
      </c>
      <c r="C1949">
        <f t="shared" si="396"/>
        <v>0</v>
      </c>
      <c r="D1949">
        <f t="shared" si="397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8"/>
        <v>0</v>
      </c>
      <c r="G1949">
        <f t="shared" si="399"/>
        <v>0</v>
      </c>
      <c r="H1949">
        <f t="shared" si="400"/>
        <v>0</v>
      </c>
      <c r="I1949">
        <f t="shared" si="401"/>
        <v>0</v>
      </c>
      <c r="J1949">
        <f t="shared" si="402"/>
        <v>0</v>
      </c>
      <c r="K1949" s="4" t="e">
        <f t="shared" si="392"/>
        <v>#N/A</v>
      </c>
      <c r="L1949" t="e">
        <f t="shared" si="393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4"/>
        <v>0</v>
      </c>
      <c r="B1950">
        <f t="shared" si="395"/>
        <v>0</v>
      </c>
      <c r="C1950">
        <f t="shared" si="396"/>
        <v>0</v>
      </c>
      <c r="D1950">
        <f t="shared" si="397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8"/>
        <v>0</v>
      </c>
      <c r="G1950">
        <f t="shared" si="399"/>
        <v>0</v>
      </c>
      <c r="H1950">
        <f t="shared" si="400"/>
        <v>0</v>
      </c>
      <c r="I1950">
        <f t="shared" si="401"/>
        <v>0</v>
      </c>
      <c r="J1950">
        <f t="shared" si="402"/>
        <v>0</v>
      </c>
      <c r="K1950" s="4" t="e">
        <f t="shared" si="392"/>
        <v>#N/A</v>
      </c>
      <c r="L1950" t="e">
        <f t="shared" si="393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4"/>
        <v>0</v>
      </c>
      <c r="B1951">
        <f t="shared" si="395"/>
        <v>0</v>
      </c>
      <c r="C1951">
        <f t="shared" si="396"/>
        <v>0</v>
      </c>
      <c r="D1951">
        <f t="shared" si="397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8"/>
        <v>0</v>
      </c>
      <c r="G1951">
        <f t="shared" si="399"/>
        <v>0</v>
      </c>
      <c r="H1951">
        <f t="shared" si="400"/>
        <v>0</v>
      </c>
      <c r="I1951">
        <f t="shared" si="401"/>
        <v>0</v>
      </c>
      <c r="J1951">
        <f t="shared" si="402"/>
        <v>0</v>
      </c>
      <c r="K1951" s="4" t="e">
        <f t="shared" si="392"/>
        <v>#N/A</v>
      </c>
      <c r="L1951" t="e">
        <f t="shared" si="393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4"/>
        <v>0</v>
      </c>
      <c r="B1952">
        <f t="shared" si="395"/>
        <v>0</v>
      </c>
      <c r="C1952">
        <f t="shared" si="396"/>
        <v>0</v>
      </c>
      <c r="D1952">
        <f t="shared" si="397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8"/>
        <v>0</v>
      </c>
      <c r="G1952">
        <f t="shared" si="399"/>
        <v>0</v>
      </c>
      <c r="H1952">
        <f t="shared" si="400"/>
        <v>0</v>
      </c>
      <c r="I1952">
        <f t="shared" si="401"/>
        <v>0</v>
      </c>
      <c r="J1952">
        <f t="shared" si="402"/>
        <v>0</v>
      </c>
      <c r="K1952" s="4" t="e">
        <f t="shared" si="392"/>
        <v>#N/A</v>
      </c>
      <c r="L1952" t="e">
        <f t="shared" si="393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4"/>
        <v>0</v>
      </c>
      <c r="B1953">
        <f t="shared" si="395"/>
        <v>0</v>
      </c>
      <c r="C1953">
        <f t="shared" si="396"/>
        <v>0</v>
      </c>
      <c r="D1953">
        <f t="shared" si="397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8"/>
        <v>0</v>
      </c>
      <c r="G1953">
        <f t="shared" si="399"/>
        <v>0</v>
      </c>
      <c r="H1953">
        <f t="shared" si="400"/>
        <v>0</v>
      </c>
      <c r="I1953">
        <f t="shared" si="401"/>
        <v>0</v>
      </c>
      <c r="J1953">
        <f t="shared" si="402"/>
        <v>0</v>
      </c>
      <c r="K1953" s="4" t="e">
        <f t="shared" si="392"/>
        <v>#N/A</v>
      </c>
      <c r="L1953" t="e">
        <f t="shared" si="393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4"/>
        <v>0</v>
      </c>
      <c r="B1954">
        <f t="shared" si="395"/>
        <v>0</v>
      </c>
      <c r="C1954">
        <f t="shared" si="396"/>
        <v>0</v>
      </c>
      <c r="D1954">
        <f t="shared" si="397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8"/>
        <v>0</v>
      </c>
      <c r="G1954">
        <f t="shared" si="399"/>
        <v>0</v>
      </c>
      <c r="H1954">
        <f t="shared" si="400"/>
        <v>0</v>
      </c>
      <c r="I1954">
        <f t="shared" si="401"/>
        <v>0</v>
      </c>
      <c r="J1954">
        <f t="shared" si="402"/>
        <v>0</v>
      </c>
      <c r="K1954" s="4" t="e">
        <f t="shared" si="392"/>
        <v>#N/A</v>
      </c>
      <c r="L1954" t="e">
        <f t="shared" si="393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4"/>
        <v>0</v>
      </c>
      <c r="B1955">
        <f t="shared" si="395"/>
        <v>0</v>
      </c>
      <c r="C1955">
        <f t="shared" si="396"/>
        <v>0</v>
      </c>
      <c r="D1955">
        <f t="shared" si="397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8"/>
        <v>0</v>
      </c>
      <c r="G1955">
        <f t="shared" si="399"/>
        <v>0</v>
      </c>
      <c r="H1955">
        <f t="shared" si="400"/>
        <v>0</v>
      </c>
      <c r="I1955">
        <f t="shared" si="401"/>
        <v>0</v>
      </c>
      <c r="J1955">
        <f t="shared" si="402"/>
        <v>0</v>
      </c>
      <c r="K1955" s="4" t="e">
        <f t="shared" si="392"/>
        <v>#N/A</v>
      </c>
      <c r="L1955" t="e">
        <f t="shared" si="393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4"/>
        <v>0</v>
      </c>
      <c r="B1956">
        <f t="shared" si="395"/>
        <v>0</v>
      </c>
      <c r="C1956">
        <f t="shared" si="396"/>
        <v>0</v>
      </c>
      <c r="D1956">
        <f t="shared" si="397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8"/>
        <v>0</v>
      </c>
      <c r="G1956">
        <f t="shared" si="399"/>
        <v>0</v>
      </c>
      <c r="H1956">
        <f t="shared" si="400"/>
        <v>0</v>
      </c>
      <c r="I1956">
        <f t="shared" si="401"/>
        <v>0</v>
      </c>
      <c r="J1956">
        <f t="shared" si="402"/>
        <v>0</v>
      </c>
      <c r="K1956" s="4" t="e">
        <f t="shared" si="392"/>
        <v>#N/A</v>
      </c>
      <c r="L1956" t="e">
        <f t="shared" si="393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4"/>
        <v>0</v>
      </c>
      <c r="B1957">
        <f t="shared" si="395"/>
        <v>0</v>
      </c>
      <c r="C1957">
        <f t="shared" si="396"/>
        <v>0</v>
      </c>
      <c r="D1957">
        <f t="shared" si="397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8"/>
        <v>0</v>
      </c>
      <c r="G1957">
        <f t="shared" si="399"/>
        <v>0</v>
      </c>
      <c r="H1957">
        <f t="shared" si="400"/>
        <v>0</v>
      </c>
      <c r="I1957">
        <f t="shared" si="401"/>
        <v>0</v>
      </c>
      <c r="J1957">
        <f t="shared" si="402"/>
        <v>0</v>
      </c>
      <c r="K1957" s="4" t="e">
        <f t="shared" si="392"/>
        <v>#N/A</v>
      </c>
      <c r="L1957" t="e">
        <f t="shared" si="393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4"/>
        <v>0</v>
      </c>
      <c r="B1958">
        <f t="shared" si="395"/>
        <v>0</v>
      </c>
      <c r="C1958">
        <f t="shared" si="396"/>
        <v>0</v>
      </c>
      <c r="D1958">
        <f t="shared" si="397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8"/>
        <v>0</v>
      </c>
      <c r="G1958">
        <f t="shared" si="399"/>
        <v>0</v>
      </c>
      <c r="H1958">
        <f t="shared" si="400"/>
        <v>0</v>
      </c>
      <c r="I1958">
        <f t="shared" si="401"/>
        <v>0</v>
      </c>
      <c r="J1958">
        <f t="shared" si="402"/>
        <v>0</v>
      </c>
      <c r="K1958" s="4" t="e">
        <f t="shared" si="392"/>
        <v>#N/A</v>
      </c>
      <c r="L1958" t="e">
        <f t="shared" si="393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4"/>
        <v>0</v>
      </c>
      <c r="B1959">
        <f t="shared" si="395"/>
        <v>0</v>
      </c>
      <c r="C1959">
        <f t="shared" si="396"/>
        <v>0</v>
      </c>
      <c r="D1959">
        <f t="shared" si="397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8"/>
        <v>0</v>
      </c>
      <c r="G1959">
        <f t="shared" si="399"/>
        <v>0</v>
      </c>
      <c r="H1959">
        <f t="shared" si="400"/>
        <v>0</v>
      </c>
      <c r="I1959">
        <f t="shared" si="401"/>
        <v>0</v>
      </c>
      <c r="J1959">
        <f t="shared" si="402"/>
        <v>0</v>
      </c>
      <c r="K1959" s="4" t="e">
        <f t="shared" si="392"/>
        <v>#N/A</v>
      </c>
      <c r="L1959" t="e">
        <f t="shared" si="393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4"/>
        <v>0</v>
      </c>
      <c r="B1960">
        <f t="shared" si="395"/>
        <v>0</v>
      </c>
      <c r="C1960">
        <f t="shared" si="396"/>
        <v>0</v>
      </c>
      <c r="D1960">
        <f t="shared" si="397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8"/>
        <v>0</v>
      </c>
      <c r="G1960">
        <f t="shared" si="399"/>
        <v>0</v>
      </c>
      <c r="H1960">
        <f t="shared" si="400"/>
        <v>0</v>
      </c>
      <c r="I1960">
        <f t="shared" si="401"/>
        <v>0</v>
      </c>
      <c r="J1960">
        <f t="shared" si="402"/>
        <v>0</v>
      </c>
      <c r="K1960" s="4" t="e">
        <f t="shared" si="392"/>
        <v>#N/A</v>
      </c>
      <c r="L1960" t="e">
        <f t="shared" si="393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4"/>
        <v>0</v>
      </c>
      <c r="B1961">
        <f t="shared" si="395"/>
        <v>0</v>
      </c>
      <c r="C1961">
        <f t="shared" si="396"/>
        <v>0</v>
      </c>
      <c r="D1961">
        <f t="shared" si="397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8"/>
        <v>0</v>
      </c>
      <c r="G1961">
        <f t="shared" si="399"/>
        <v>0</v>
      </c>
      <c r="H1961">
        <f t="shared" si="400"/>
        <v>0</v>
      </c>
      <c r="I1961">
        <f t="shared" si="401"/>
        <v>0</v>
      </c>
      <c r="J1961">
        <f t="shared" si="402"/>
        <v>0</v>
      </c>
      <c r="K1961" s="4" t="e">
        <f t="shared" si="392"/>
        <v>#N/A</v>
      </c>
      <c r="L1961" t="e">
        <f t="shared" si="393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4"/>
        <v>0</v>
      </c>
      <c r="B1962">
        <f t="shared" si="395"/>
        <v>0</v>
      </c>
      <c r="C1962">
        <f t="shared" si="396"/>
        <v>0</v>
      </c>
      <c r="D1962">
        <f t="shared" si="397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8"/>
        <v>0</v>
      </c>
      <c r="G1962">
        <f t="shared" si="399"/>
        <v>0</v>
      </c>
      <c r="H1962">
        <f t="shared" si="400"/>
        <v>0</v>
      </c>
      <c r="I1962">
        <f t="shared" si="401"/>
        <v>0</v>
      </c>
      <c r="J1962">
        <f t="shared" si="402"/>
        <v>0</v>
      </c>
      <c r="K1962" s="4" t="e">
        <f t="shared" si="392"/>
        <v>#N/A</v>
      </c>
      <c r="L1962" t="e">
        <f t="shared" si="393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4"/>
        <v>0</v>
      </c>
      <c r="B1963">
        <f t="shared" si="395"/>
        <v>0</v>
      </c>
      <c r="C1963">
        <f t="shared" si="396"/>
        <v>0</v>
      </c>
      <c r="D1963">
        <f t="shared" si="397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8"/>
        <v>0</v>
      </c>
      <c r="G1963">
        <f t="shared" si="399"/>
        <v>0</v>
      </c>
      <c r="H1963">
        <f t="shared" si="400"/>
        <v>0</v>
      </c>
      <c r="I1963">
        <f t="shared" si="401"/>
        <v>0</v>
      </c>
      <c r="J1963">
        <f t="shared" si="402"/>
        <v>0</v>
      </c>
      <c r="K1963" s="4" t="e">
        <f t="shared" si="392"/>
        <v>#N/A</v>
      </c>
      <c r="L1963" t="e">
        <f t="shared" si="393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4"/>
        <v>0</v>
      </c>
      <c r="B1964">
        <f t="shared" si="395"/>
        <v>0</v>
      </c>
      <c r="C1964">
        <f t="shared" si="396"/>
        <v>0</v>
      </c>
      <c r="D1964">
        <f t="shared" si="397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8"/>
        <v>0</v>
      </c>
      <c r="G1964">
        <f t="shared" si="399"/>
        <v>0</v>
      </c>
      <c r="H1964">
        <f t="shared" si="400"/>
        <v>0</v>
      </c>
      <c r="I1964">
        <f t="shared" si="401"/>
        <v>0</v>
      </c>
      <c r="J1964">
        <f t="shared" si="402"/>
        <v>0</v>
      </c>
      <c r="K1964" s="4" t="e">
        <f t="shared" ref="K1964:K2027" si="405">IF(LEFT(B1964,3)="DBM",0,VLOOKUP(E1964,tabela,2,FALSE))</f>
        <v>#N/A</v>
      </c>
      <c r="L1964" t="e">
        <f t="shared" ref="L1964:L2027" si="406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4"/>
        <v>0</v>
      </c>
      <c r="B1965">
        <f t="shared" si="395"/>
        <v>0</v>
      </c>
      <c r="C1965">
        <f t="shared" si="396"/>
        <v>0</v>
      </c>
      <c r="D1965">
        <f t="shared" si="397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8"/>
        <v>0</v>
      </c>
      <c r="G1965">
        <f t="shared" si="399"/>
        <v>0</v>
      </c>
      <c r="H1965">
        <f t="shared" si="400"/>
        <v>0</v>
      </c>
      <c r="I1965">
        <f t="shared" si="401"/>
        <v>0</v>
      </c>
      <c r="J1965">
        <f t="shared" si="402"/>
        <v>0</v>
      </c>
      <c r="K1965" s="4" t="e">
        <f t="shared" si="405"/>
        <v>#N/A</v>
      </c>
      <c r="L1965" t="e">
        <f t="shared" si="406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4"/>
        <v>0</v>
      </c>
      <c r="B1966">
        <f t="shared" si="395"/>
        <v>0</v>
      </c>
      <c r="C1966">
        <f t="shared" si="396"/>
        <v>0</v>
      </c>
      <c r="D1966">
        <f t="shared" si="397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8"/>
        <v>0</v>
      </c>
      <c r="G1966">
        <f t="shared" si="399"/>
        <v>0</v>
      </c>
      <c r="H1966">
        <f t="shared" si="400"/>
        <v>0</v>
      </c>
      <c r="I1966">
        <f t="shared" si="401"/>
        <v>0</v>
      </c>
      <c r="J1966">
        <f t="shared" si="402"/>
        <v>0</v>
      </c>
      <c r="K1966" s="4" t="e">
        <f t="shared" si="405"/>
        <v>#N/A</v>
      </c>
      <c r="L1966" t="e">
        <f t="shared" si="406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4"/>
        <v>0</v>
      </c>
      <c r="B1967">
        <f t="shared" si="395"/>
        <v>0</v>
      </c>
      <c r="C1967">
        <f t="shared" si="396"/>
        <v>0</v>
      </c>
      <c r="D1967">
        <f t="shared" si="397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8"/>
        <v>0</v>
      </c>
      <c r="G1967">
        <f t="shared" si="399"/>
        <v>0</v>
      </c>
      <c r="H1967">
        <f t="shared" si="400"/>
        <v>0</v>
      </c>
      <c r="I1967">
        <f t="shared" si="401"/>
        <v>0</v>
      </c>
      <c r="J1967">
        <f t="shared" si="402"/>
        <v>0</v>
      </c>
      <c r="K1967" s="4" t="e">
        <f t="shared" si="405"/>
        <v>#N/A</v>
      </c>
      <c r="L1967" t="e">
        <f t="shared" si="406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4"/>
        <v>0</v>
      </c>
      <c r="B1968">
        <f t="shared" si="395"/>
        <v>0</v>
      </c>
      <c r="C1968">
        <f t="shared" si="396"/>
        <v>0</v>
      </c>
      <c r="D1968">
        <f t="shared" si="397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8"/>
        <v>0</v>
      </c>
      <c r="G1968">
        <f t="shared" si="399"/>
        <v>0</v>
      </c>
      <c r="H1968">
        <f t="shared" si="400"/>
        <v>0</v>
      </c>
      <c r="I1968">
        <f t="shared" si="401"/>
        <v>0</v>
      </c>
      <c r="J1968">
        <f t="shared" si="402"/>
        <v>0</v>
      </c>
      <c r="K1968" s="4" t="e">
        <f t="shared" si="405"/>
        <v>#N/A</v>
      </c>
      <c r="L1968" t="e">
        <f t="shared" si="406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4"/>
        <v>0</v>
      </c>
      <c r="B1969">
        <f t="shared" si="395"/>
        <v>0</v>
      </c>
      <c r="C1969">
        <f t="shared" si="396"/>
        <v>0</v>
      </c>
      <c r="D1969">
        <f t="shared" si="397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8"/>
        <v>0</v>
      </c>
      <c r="G1969">
        <f t="shared" si="399"/>
        <v>0</v>
      </c>
      <c r="H1969">
        <f t="shared" si="400"/>
        <v>0</v>
      </c>
      <c r="I1969">
        <f t="shared" si="401"/>
        <v>0</v>
      </c>
      <c r="J1969">
        <f t="shared" si="402"/>
        <v>0</v>
      </c>
      <c r="K1969" s="4" t="e">
        <f t="shared" si="405"/>
        <v>#N/A</v>
      </c>
      <c r="L1969" t="e">
        <f t="shared" si="406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4"/>
        <v>0</v>
      </c>
      <c r="B1970">
        <f t="shared" si="395"/>
        <v>0</v>
      </c>
      <c r="C1970">
        <f t="shared" si="396"/>
        <v>0</v>
      </c>
      <c r="D1970">
        <f t="shared" si="397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8"/>
        <v>0</v>
      </c>
      <c r="G1970">
        <f t="shared" si="399"/>
        <v>0</v>
      </c>
      <c r="H1970">
        <f t="shared" si="400"/>
        <v>0</v>
      </c>
      <c r="I1970">
        <f t="shared" si="401"/>
        <v>0</v>
      </c>
      <c r="J1970">
        <f t="shared" si="402"/>
        <v>0</v>
      </c>
      <c r="K1970" s="4" t="e">
        <f t="shared" si="405"/>
        <v>#N/A</v>
      </c>
      <c r="L1970" t="e">
        <f t="shared" si="406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4"/>
        <v>0</v>
      </c>
      <c r="B1971">
        <f t="shared" si="395"/>
        <v>0</v>
      </c>
      <c r="C1971">
        <f t="shared" si="396"/>
        <v>0</v>
      </c>
      <c r="D1971">
        <f t="shared" si="397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8"/>
        <v>0</v>
      </c>
      <c r="G1971">
        <f t="shared" si="399"/>
        <v>0</v>
      </c>
      <c r="H1971">
        <f t="shared" si="400"/>
        <v>0</v>
      </c>
      <c r="I1971">
        <f t="shared" si="401"/>
        <v>0</v>
      </c>
      <c r="J1971">
        <f t="shared" si="402"/>
        <v>0</v>
      </c>
      <c r="K1971" s="4" t="e">
        <f t="shared" si="405"/>
        <v>#N/A</v>
      </c>
      <c r="L1971" t="e">
        <f t="shared" si="406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4"/>
        <v>0</v>
      </c>
      <c r="B1972">
        <f t="shared" si="395"/>
        <v>0</v>
      </c>
      <c r="C1972">
        <f t="shared" si="396"/>
        <v>0</v>
      </c>
      <c r="D1972">
        <f t="shared" si="397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8"/>
        <v>0</v>
      </c>
      <c r="G1972">
        <f t="shared" si="399"/>
        <v>0</v>
      </c>
      <c r="H1972">
        <f t="shared" si="400"/>
        <v>0</v>
      </c>
      <c r="I1972">
        <f t="shared" si="401"/>
        <v>0</v>
      </c>
      <c r="J1972">
        <f t="shared" si="402"/>
        <v>0</v>
      </c>
      <c r="K1972" s="4" t="e">
        <f t="shared" si="405"/>
        <v>#N/A</v>
      </c>
      <c r="L1972" t="e">
        <f t="shared" si="406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4"/>
        <v>0</v>
      </c>
      <c r="B1973">
        <f t="shared" si="395"/>
        <v>0</v>
      </c>
      <c r="C1973">
        <f t="shared" si="396"/>
        <v>0</v>
      </c>
      <c r="D1973">
        <f t="shared" si="397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8"/>
        <v>0</v>
      </c>
      <c r="G1973">
        <f t="shared" si="399"/>
        <v>0</v>
      </c>
      <c r="H1973">
        <f t="shared" si="400"/>
        <v>0</v>
      </c>
      <c r="I1973">
        <f t="shared" si="401"/>
        <v>0</v>
      </c>
      <c r="J1973">
        <f t="shared" si="402"/>
        <v>0</v>
      </c>
      <c r="K1973" s="4" t="e">
        <f t="shared" si="405"/>
        <v>#N/A</v>
      </c>
      <c r="L1973" t="e">
        <f t="shared" si="406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4"/>
        <v>0</v>
      </c>
      <c r="B1974">
        <f t="shared" si="395"/>
        <v>0</v>
      </c>
      <c r="C1974">
        <f t="shared" si="396"/>
        <v>0</v>
      </c>
      <c r="D1974">
        <f t="shared" si="397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8"/>
        <v>0</v>
      </c>
      <c r="G1974">
        <f t="shared" si="399"/>
        <v>0</v>
      </c>
      <c r="H1974">
        <f t="shared" si="400"/>
        <v>0</v>
      </c>
      <c r="I1974">
        <f t="shared" si="401"/>
        <v>0</v>
      </c>
      <c r="J1974">
        <f t="shared" si="402"/>
        <v>0</v>
      </c>
      <c r="K1974" s="4" t="e">
        <f t="shared" si="405"/>
        <v>#N/A</v>
      </c>
      <c r="L1974" t="e">
        <f t="shared" si="406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4"/>
        <v>0</v>
      </c>
      <c r="B1975">
        <f t="shared" si="395"/>
        <v>0</v>
      </c>
      <c r="C1975">
        <f t="shared" si="396"/>
        <v>0</v>
      </c>
      <c r="D1975">
        <f t="shared" si="397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8"/>
        <v>0</v>
      </c>
      <c r="G1975">
        <f t="shared" si="399"/>
        <v>0</v>
      </c>
      <c r="H1975">
        <f t="shared" si="400"/>
        <v>0</v>
      </c>
      <c r="I1975">
        <f t="shared" si="401"/>
        <v>0</v>
      </c>
      <c r="J1975">
        <f t="shared" si="402"/>
        <v>0</v>
      </c>
      <c r="K1975" s="4" t="e">
        <f t="shared" si="405"/>
        <v>#N/A</v>
      </c>
      <c r="L1975" t="e">
        <f t="shared" si="406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4"/>
        <v>0</v>
      </c>
      <c r="B1976">
        <f t="shared" si="395"/>
        <v>0</v>
      </c>
      <c r="C1976">
        <f t="shared" si="396"/>
        <v>0</v>
      </c>
      <c r="D1976">
        <f t="shared" si="397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8"/>
        <v>0</v>
      </c>
      <c r="G1976">
        <f t="shared" si="399"/>
        <v>0</v>
      </c>
      <c r="H1976">
        <f t="shared" si="400"/>
        <v>0</v>
      </c>
      <c r="I1976">
        <f t="shared" si="401"/>
        <v>0</v>
      </c>
      <c r="J1976">
        <f t="shared" si="402"/>
        <v>0</v>
      </c>
      <c r="K1976" s="4" t="e">
        <f t="shared" si="405"/>
        <v>#N/A</v>
      </c>
      <c r="L1976" t="e">
        <f t="shared" si="406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4"/>
        <v>0</v>
      </c>
      <c r="B1977">
        <f t="shared" si="395"/>
        <v>0</v>
      </c>
      <c r="C1977">
        <f t="shared" si="396"/>
        <v>0</v>
      </c>
      <c r="D1977">
        <f t="shared" si="397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8"/>
        <v>0</v>
      </c>
      <c r="G1977">
        <f t="shared" si="399"/>
        <v>0</v>
      </c>
      <c r="H1977">
        <f t="shared" si="400"/>
        <v>0</v>
      </c>
      <c r="I1977">
        <f t="shared" si="401"/>
        <v>0</v>
      </c>
      <c r="J1977">
        <f t="shared" si="402"/>
        <v>0</v>
      </c>
      <c r="K1977" s="4" t="e">
        <f t="shared" si="405"/>
        <v>#N/A</v>
      </c>
      <c r="L1977" t="e">
        <f t="shared" si="406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4"/>
        <v>0</v>
      </c>
      <c r="B1978">
        <f t="shared" si="395"/>
        <v>0</v>
      </c>
      <c r="C1978">
        <f t="shared" si="396"/>
        <v>0</v>
      </c>
      <c r="D1978">
        <f t="shared" si="397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8"/>
        <v>0</v>
      </c>
      <c r="G1978">
        <f t="shared" si="399"/>
        <v>0</v>
      </c>
      <c r="H1978">
        <f t="shared" si="400"/>
        <v>0</v>
      </c>
      <c r="I1978">
        <f t="shared" si="401"/>
        <v>0</v>
      </c>
      <c r="J1978">
        <f t="shared" si="402"/>
        <v>0</v>
      </c>
      <c r="K1978" s="4" t="e">
        <f t="shared" si="405"/>
        <v>#N/A</v>
      </c>
      <c r="L1978" t="e">
        <f t="shared" si="406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4"/>
        <v>0</v>
      </c>
      <c r="B1979">
        <f t="shared" si="395"/>
        <v>0</v>
      </c>
      <c r="C1979">
        <f t="shared" si="396"/>
        <v>0</v>
      </c>
      <c r="D1979">
        <f t="shared" si="397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8"/>
        <v>0</v>
      </c>
      <c r="G1979">
        <f t="shared" si="399"/>
        <v>0</v>
      </c>
      <c r="H1979">
        <f t="shared" si="400"/>
        <v>0</v>
      </c>
      <c r="I1979">
        <f t="shared" si="401"/>
        <v>0</v>
      </c>
      <c r="J1979">
        <f t="shared" si="402"/>
        <v>0</v>
      </c>
      <c r="K1979" s="4" t="e">
        <f t="shared" si="405"/>
        <v>#N/A</v>
      </c>
      <c r="L1979" t="e">
        <f t="shared" si="406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4"/>
        <v>0</v>
      </c>
      <c r="B1980">
        <f t="shared" si="395"/>
        <v>0</v>
      </c>
      <c r="C1980">
        <f t="shared" si="396"/>
        <v>0</v>
      </c>
      <c r="D1980">
        <f t="shared" si="397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8"/>
        <v>0</v>
      </c>
      <c r="G1980">
        <f t="shared" si="399"/>
        <v>0</v>
      </c>
      <c r="H1980">
        <f t="shared" si="400"/>
        <v>0</v>
      </c>
      <c r="I1980">
        <f t="shared" si="401"/>
        <v>0</v>
      </c>
      <c r="J1980">
        <f t="shared" si="402"/>
        <v>0</v>
      </c>
      <c r="K1980" s="4" t="e">
        <f t="shared" si="405"/>
        <v>#N/A</v>
      </c>
      <c r="L1980" t="e">
        <f t="shared" si="406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4"/>
        <v>0</v>
      </c>
      <c r="B1981">
        <f t="shared" si="395"/>
        <v>0</v>
      </c>
      <c r="C1981">
        <f t="shared" si="396"/>
        <v>0</v>
      </c>
      <c r="D1981">
        <f t="shared" si="397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8"/>
        <v>0</v>
      </c>
      <c r="G1981">
        <f t="shared" si="399"/>
        <v>0</v>
      </c>
      <c r="H1981">
        <f t="shared" si="400"/>
        <v>0</v>
      </c>
      <c r="I1981">
        <f t="shared" si="401"/>
        <v>0</v>
      </c>
      <c r="J1981">
        <f t="shared" si="402"/>
        <v>0</v>
      </c>
      <c r="K1981" s="4" t="e">
        <f t="shared" si="405"/>
        <v>#N/A</v>
      </c>
      <c r="L1981" t="e">
        <f t="shared" si="406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4"/>
        <v>0</v>
      </c>
      <c r="B1982">
        <f t="shared" si="395"/>
        <v>0</v>
      </c>
      <c r="C1982">
        <f t="shared" si="396"/>
        <v>0</v>
      </c>
      <c r="D1982">
        <f t="shared" si="397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8"/>
        <v>0</v>
      </c>
      <c r="G1982">
        <f t="shared" si="399"/>
        <v>0</v>
      </c>
      <c r="H1982">
        <f t="shared" si="400"/>
        <v>0</v>
      </c>
      <c r="I1982">
        <f t="shared" si="401"/>
        <v>0</v>
      </c>
      <c r="J1982">
        <f t="shared" si="402"/>
        <v>0</v>
      </c>
      <c r="K1982" s="4" t="e">
        <f t="shared" si="405"/>
        <v>#N/A</v>
      </c>
      <c r="L1982" t="e">
        <f t="shared" si="406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4"/>
        <v>0</v>
      </c>
      <c r="B1983">
        <f t="shared" si="395"/>
        <v>0</v>
      </c>
      <c r="C1983">
        <f t="shared" si="396"/>
        <v>0</v>
      </c>
      <c r="D1983">
        <f t="shared" si="397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8"/>
        <v>0</v>
      </c>
      <c r="G1983">
        <f t="shared" si="399"/>
        <v>0</v>
      </c>
      <c r="H1983">
        <f t="shared" si="400"/>
        <v>0</v>
      </c>
      <c r="I1983">
        <f t="shared" si="401"/>
        <v>0</v>
      </c>
      <c r="J1983">
        <f t="shared" si="402"/>
        <v>0</v>
      </c>
      <c r="K1983" s="4" t="e">
        <f t="shared" si="405"/>
        <v>#N/A</v>
      </c>
      <c r="L1983" t="e">
        <f t="shared" si="406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4"/>
        <v>0</v>
      </c>
      <c r="B1984">
        <f t="shared" si="395"/>
        <v>0</v>
      </c>
      <c r="C1984">
        <f t="shared" si="396"/>
        <v>0</v>
      </c>
      <c r="D1984">
        <f t="shared" si="397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8"/>
        <v>0</v>
      </c>
      <c r="G1984">
        <f t="shared" si="399"/>
        <v>0</v>
      </c>
      <c r="H1984">
        <f t="shared" si="400"/>
        <v>0</v>
      </c>
      <c r="I1984">
        <f t="shared" si="401"/>
        <v>0</v>
      </c>
      <c r="J1984">
        <f t="shared" si="402"/>
        <v>0</v>
      </c>
      <c r="K1984" s="4" t="e">
        <f t="shared" si="405"/>
        <v>#N/A</v>
      </c>
      <c r="L1984" t="e">
        <f t="shared" si="406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4"/>
        <v>0</v>
      </c>
      <c r="B1985">
        <f t="shared" si="395"/>
        <v>0</v>
      </c>
      <c r="C1985">
        <f t="shared" si="396"/>
        <v>0</v>
      </c>
      <c r="D1985">
        <f t="shared" si="397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8"/>
        <v>0</v>
      </c>
      <c r="G1985">
        <f t="shared" si="399"/>
        <v>0</v>
      </c>
      <c r="H1985">
        <f t="shared" si="400"/>
        <v>0</v>
      </c>
      <c r="I1985">
        <f t="shared" si="401"/>
        <v>0</v>
      </c>
      <c r="J1985">
        <f t="shared" si="402"/>
        <v>0</v>
      </c>
      <c r="K1985" s="4" t="e">
        <f t="shared" si="405"/>
        <v>#N/A</v>
      </c>
      <c r="L1985" t="e">
        <f t="shared" si="406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7">bd_campaign</f>
        <v>0</v>
      </c>
      <c r="B1986">
        <f t="shared" ref="B1986:B2049" si="408">bd_site</f>
        <v>0</v>
      </c>
      <c r="C1986">
        <f t="shared" ref="C1986:C2049" si="409">bd_placement</f>
        <v>0</v>
      </c>
      <c r="D1986">
        <f t="shared" ref="D1986:D2049" si="410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1">bd_ad</f>
        <v>0</v>
      </c>
      <c r="G1986">
        <f t="shared" ref="G1986:G2049" si="412">bd_adid</f>
        <v>0</v>
      </c>
      <c r="H1986">
        <f t="shared" ref="H1986:H2049" si="413">bd_creativetype</f>
        <v>0</v>
      </c>
      <c r="I1986">
        <f t="shared" ref="I1986:I2049" si="414">bd_impression</f>
        <v>0</v>
      </c>
      <c r="J1986">
        <f t="shared" ref="J1986:J2049" si="415">bd_clicks</f>
        <v>0</v>
      </c>
      <c r="K1986" s="4" t="e">
        <f t="shared" si="405"/>
        <v>#N/A</v>
      </c>
      <c r="L1986" t="e">
        <f t="shared" si="406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7"/>
        <v>0</v>
      </c>
      <c r="B1987">
        <f t="shared" si="408"/>
        <v>0</v>
      </c>
      <c r="C1987">
        <f t="shared" si="409"/>
        <v>0</v>
      </c>
      <c r="D1987">
        <f t="shared" si="410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1"/>
        <v>0</v>
      </c>
      <c r="G1987">
        <f t="shared" si="412"/>
        <v>0</v>
      </c>
      <c r="H1987">
        <f t="shared" si="413"/>
        <v>0</v>
      </c>
      <c r="I1987">
        <f t="shared" si="414"/>
        <v>0</v>
      </c>
      <c r="J1987">
        <f t="shared" si="415"/>
        <v>0</v>
      </c>
      <c r="K1987" s="4" t="e">
        <f t="shared" si="405"/>
        <v>#N/A</v>
      </c>
      <c r="L1987" t="e">
        <f t="shared" si="406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7"/>
        <v>0</v>
      </c>
      <c r="B1988">
        <f t="shared" si="408"/>
        <v>0</v>
      </c>
      <c r="C1988">
        <f t="shared" si="409"/>
        <v>0</v>
      </c>
      <c r="D1988">
        <f t="shared" si="410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1"/>
        <v>0</v>
      </c>
      <c r="G1988">
        <f t="shared" si="412"/>
        <v>0</v>
      </c>
      <c r="H1988">
        <f t="shared" si="413"/>
        <v>0</v>
      </c>
      <c r="I1988">
        <f t="shared" si="414"/>
        <v>0</v>
      </c>
      <c r="J1988">
        <f t="shared" si="415"/>
        <v>0</v>
      </c>
      <c r="K1988" s="4" t="e">
        <f t="shared" si="405"/>
        <v>#N/A</v>
      </c>
      <c r="L1988" t="e">
        <f t="shared" si="406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7"/>
        <v>0</v>
      </c>
      <c r="B1989">
        <f t="shared" si="408"/>
        <v>0</v>
      </c>
      <c r="C1989">
        <f t="shared" si="409"/>
        <v>0</v>
      </c>
      <c r="D1989">
        <f t="shared" si="410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1"/>
        <v>0</v>
      </c>
      <c r="G1989">
        <f t="shared" si="412"/>
        <v>0</v>
      </c>
      <c r="H1989">
        <f t="shared" si="413"/>
        <v>0</v>
      </c>
      <c r="I1989">
        <f t="shared" si="414"/>
        <v>0</v>
      </c>
      <c r="J1989">
        <f t="shared" si="415"/>
        <v>0</v>
      </c>
      <c r="K1989" s="4" t="e">
        <f t="shared" si="405"/>
        <v>#N/A</v>
      </c>
      <c r="L1989" t="e">
        <f t="shared" si="406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7"/>
        <v>0</v>
      </c>
      <c r="B1990">
        <f t="shared" si="408"/>
        <v>0</v>
      </c>
      <c r="C1990">
        <f t="shared" si="409"/>
        <v>0</v>
      </c>
      <c r="D1990">
        <f t="shared" si="410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1"/>
        <v>0</v>
      </c>
      <c r="G1990">
        <f t="shared" si="412"/>
        <v>0</v>
      </c>
      <c r="H1990">
        <f t="shared" si="413"/>
        <v>0</v>
      </c>
      <c r="I1990">
        <f t="shared" si="414"/>
        <v>0</v>
      </c>
      <c r="J1990">
        <f t="shared" si="415"/>
        <v>0</v>
      </c>
      <c r="K1990" s="4" t="e">
        <f t="shared" si="405"/>
        <v>#N/A</v>
      </c>
      <c r="L1990" t="e">
        <f t="shared" si="406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7"/>
        <v>0</v>
      </c>
      <c r="B1991">
        <f t="shared" si="408"/>
        <v>0</v>
      </c>
      <c r="C1991">
        <f t="shared" si="409"/>
        <v>0</v>
      </c>
      <c r="D1991">
        <f t="shared" si="410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1"/>
        <v>0</v>
      </c>
      <c r="G1991">
        <f t="shared" si="412"/>
        <v>0</v>
      </c>
      <c r="H1991">
        <f t="shared" si="413"/>
        <v>0</v>
      </c>
      <c r="I1991">
        <f t="shared" si="414"/>
        <v>0</v>
      </c>
      <c r="J1991">
        <f t="shared" si="415"/>
        <v>0</v>
      </c>
      <c r="K1991" s="4" t="e">
        <f t="shared" si="405"/>
        <v>#N/A</v>
      </c>
      <c r="L1991" t="e">
        <f t="shared" si="406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7"/>
        <v>0</v>
      </c>
      <c r="B1992">
        <f t="shared" si="408"/>
        <v>0</v>
      </c>
      <c r="C1992">
        <f t="shared" si="409"/>
        <v>0</v>
      </c>
      <c r="D1992">
        <f t="shared" si="410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1"/>
        <v>0</v>
      </c>
      <c r="G1992">
        <f t="shared" si="412"/>
        <v>0</v>
      </c>
      <c r="H1992">
        <f t="shared" si="413"/>
        <v>0</v>
      </c>
      <c r="I1992">
        <f t="shared" si="414"/>
        <v>0</v>
      </c>
      <c r="J1992">
        <f t="shared" si="415"/>
        <v>0</v>
      </c>
      <c r="K1992" s="4" t="e">
        <f t="shared" si="405"/>
        <v>#N/A</v>
      </c>
      <c r="L1992" t="e">
        <f t="shared" si="406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7"/>
        <v>0</v>
      </c>
      <c r="B1993">
        <f t="shared" si="408"/>
        <v>0</v>
      </c>
      <c r="C1993">
        <f t="shared" si="409"/>
        <v>0</v>
      </c>
      <c r="D1993">
        <f t="shared" si="410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1"/>
        <v>0</v>
      </c>
      <c r="G1993">
        <f t="shared" si="412"/>
        <v>0</v>
      </c>
      <c r="H1993">
        <f t="shared" si="413"/>
        <v>0</v>
      </c>
      <c r="I1993">
        <f t="shared" si="414"/>
        <v>0</v>
      </c>
      <c r="J1993">
        <f t="shared" si="415"/>
        <v>0</v>
      </c>
      <c r="K1993" s="4" t="e">
        <f t="shared" si="405"/>
        <v>#N/A</v>
      </c>
      <c r="L1993" t="e">
        <f t="shared" si="406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7"/>
        <v>0</v>
      </c>
      <c r="B1994">
        <f t="shared" si="408"/>
        <v>0</v>
      </c>
      <c r="C1994">
        <f t="shared" si="409"/>
        <v>0</v>
      </c>
      <c r="D1994">
        <f t="shared" si="410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1"/>
        <v>0</v>
      </c>
      <c r="G1994">
        <f t="shared" si="412"/>
        <v>0</v>
      </c>
      <c r="H1994">
        <f t="shared" si="413"/>
        <v>0</v>
      </c>
      <c r="I1994">
        <f t="shared" si="414"/>
        <v>0</v>
      </c>
      <c r="J1994">
        <f t="shared" si="415"/>
        <v>0</v>
      </c>
      <c r="K1994" s="4" t="e">
        <f t="shared" si="405"/>
        <v>#N/A</v>
      </c>
      <c r="L1994" t="e">
        <f t="shared" si="406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7"/>
        <v>0</v>
      </c>
      <c r="B1995">
        <f t="shared" si="408"/>
        <v>0</v>
      </c>
      <c r="C1995">
        <f t="shared" si="409"/>
        <v>0</v>
      </c>
      <c r="D1995">
        <f t="shared" si="410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1"/>
        <v>0</v>
      </c>
      <c r="G1995">
        <f t="shared" si="412"/>
        <v>0</v>
      </c>
      <c r="H1995">
        <f t="shared" si="413"/>
        <v>0</v>
      </c>
      <c r="I1995">
        <f t="shared" si="414"/>
        <v>0</v>
      </c>
      <c r="J1995">
        <f t="shared" si="415"/>
        <v>0</v>
      </c>
      <c r="K1995" s="4" t="e">
        <f t="shared" si="405"/>
        <v>#N/A</v>
      </c>
      <c r="L1995" t="e">
        <f t="shared" si="406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7"/>
        <v>0</v>
      </c>
      <c r="B1996">
        <f t="shared" si="408"/>
        <v>0</v>
      </c>
      <c r="C1996">
        <f t="shared" si="409"/>
        <v>0</v>
      </c>
      <c r="D1996">
        <f t="shared" si="410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1"/>
        <v>0</v>
      </c>
      <c r="G1996">
        <f t="shared" si="412"/>
        <v>0</v>
      </c>
      <c r="H1996">
        <f t="shared" si="413"/>
        <v>0</v>
      </c>
      <c r="I1996">
        <f t="shared" si="414"/>
        <v>0</v>
      </c>
      <c r="J1996">
        <f t="shared" si="415"/>
        <v>0</v>
      </c>
      <c r="K1996" s="4" t="e">
        <f t="shared" si="405"/>
        <v>#N/A</v>
      </c>
      <c r="L1996" t="e">
        <f t="shared" si="406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7"/>
        <v>0</v>
      </c>
      <c r="B1997">
        <f t="shared" si="408"/>
        <v>0</v>
      </c>
      <c r="C1997">
        <f t="shared" si="409"/>
        <v>0</v>
      </c>
      <c r="D1997">
        <f t="shared" si="410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1"/>
        <v>0</v>
      </c>
      <c r="G1997">
        <f t="shared" si="412"/>
        <v>0</v>
      </c>
      <c r="H1997">
        <f t="shared" si="413"/>
        <v>0</v>
      </c>
      <c r="I1997">
        <f t="shared" si="414"/>
        <v>0</v>
      </c>
      <c r="J1997">
        <f t="shared" si="415"/>
        <v>0</v>
      </c>
      <c r="K1997" s="4" t="e">
        <f t="shared" si="405"/>
        <v>#N/A</v>
      </c>
      <c r="L1997" t="e">
        <f t="shared" si="406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7"/>
        <v>0</v>
      </c>
      <c r="B1998">
        <f t="shared" si="408"/>
        <v>0</v>
      </c>
      <c r="C1998">
        <f t="shared" si="409"/>
        <v>0</v>
      </c>
      <c r="D1998">
        <f t="shared" si="410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1"/>
        <v>0</v>
      </c>
      <c r="G1998">
        <f t="shared" si="412"/>
        <v>0</v>
      </c>
      <c r="H1998">
        <f t="shared" si="413"/>
        <v>0</v>
      </c>
      <c r="I1998">
        <f t="shared" si="414"/>
        <v>0</v>
      </c>
      <c r="J1998">
        <f t="shared" si="415"/>
        <v>0</v>
      </c>
      <c r="K1998" s="4" t="e">
        <f t="shared" si="405"/>
        <v>#N/A</v>
      </c>
      <c r="L1998" t="e">
        <f t="shared" si="406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7"/>
        <v>0</v>
      </c>
      <c r="B1999">
        <f t="shared" si="408"/>
        <v>0</v>
      </c>
      <c r="C1999">
        <f t="shared" si="409"/>
        <v>0</v>
      </c>
      <c r="D1999">
        <f t="shared" si="410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1"/>
        <v>0</v>
      </c>
      <c r="G1999">
        <f t="shared" si="412"/>
        <v>0</v>
      </c>
      <c r="H1999">
        <f t="shared" si="413"/>
        <v>0</v>
      </c>
      <c r="I1999">
        <f t="shared" si="414"/>
        <v>0</v>
      </c>
      <c r="J1999">
        <f t="shared" si="415"/>
        <v>0</v>
      </c>
      <c r="K1999" s="4" t="e">
        <f t="shared" si="405"/>
        <v>#N/A</v>
      </c>
      <c r="L1999" t="e">
        <f t="shared" si="406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7"/>
        <v>0</v>
      </c>
      <c r="B2000">
        <f t="shared" si="408"/>
        <v>0</v>
      </c>
      <c r="C2000">
        <f t="shared" si="409"/>
        <v>0</v>
      </c>
      <c r="D2000">
        <f t="shared" si="410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1"/>
        <v>0</v>
      </c>
      <c r="G2000">
        <f t="shared" si="412"/>
        <v>0</v>
      </c>
      <c r="H2000">
        <f t="shared" si="413"/>
        <v>0</v>
      </c>
      <c r="I2000">
        <f t="shared" si="414"/>
        <v>0</v>
      </c>
      <c r="J2000">
        <f t="shared" si="415"/>
        <v>0</v>
      </c>
      <c r="K2000" s="4" t="e">
        <f t="shared" si="405"/>
        <v>#N/A</v>
      </c>
      <c r="L2000" t="e">
        <f t="shared" si="406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7"/>
        <v>0</v>
      </c>
      <c r="B2001">
        <f t="shared" si="408"/>
        <v>0</v>
      </c>
      <c r="C2001">
        <f t="shared" si="409"/>
        <v>0</v>
      </c>
      <c r="D2001">
        <f t="shared" si="410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1"/>
        <v>0</v>
      </c>
      <c r="G2001">
        <f t="shared" si="412"/>
        <v>0</v>
      </c>
      <c r="H2001">
        <f t="shared" si="413"/>
        <v>0</v>
      </c>
      <c r="I2001">
        <f t="shared" si="414"/>
        <v>0</v>
      </c>
      <c r="J2001">
        <f t="shared" si="415"/>
        <v>0</v>
      </c>
      <c r="K2001" s="4" t="e">
        <f t="shared" si="405"/>
        <v>#N/A</v>
      </c>
      <c r="L2001" t="e">
        <f t="shared" si="406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7"/>
        <v>0</v>
      </c>
      <c r="B2002">
        <f t="shared" si="408"/>
        <v>0</v>
      </c>
      <c r="C2002">
        <f t="shared" si="409"/>
        <v>0</v>
      </c>
      <c r="D2002">
        <f t="shared" si="410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1"/>
        <v>0</v>
      </c>
      <c r="G2002">
        <f t="shared" si="412"/>
        <v>0</v>
      </c>
      <c r="H2002">
        <f t="shared" si="413"/>
        <v>0</v>
      </c>
      <c r="I2002">
        <f t="shared" si="414"/>
        <v>0</v>
      </c>
      <c r="J2002">
        <f t="shared" si="415"/>
        <v>0</v>
      </c>
      <c r="K2002" s="4" t="e">
        <f t="shared" si="405"/>
        <v>#N/A</v>
      </c>
      <c r="L2002" t="e">
        <f t="shared" si="406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7"/>
        <v>0</v>
      </c>
      <c r="B2003">
        <f t="shared" si="408"/>
        <v>0</v>
      </c>
      <c r="C2003">
        <f t="shared" si="409"/>
        <v>0</v>
      </c>
      <c r="D2003">
        <f t="shared" si="410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1"/>
        <v>0</v>
      </c>
      <c r="G2003">
        <f t="shared" si="412"/>
        <v>0</v>
      </c>
      <c r="H2003">
        <f t="shared" si="413"/>
        <v>0</v>
      </c>
      <c r="I2003">
        <f t="shared" si="414"/>
        <v>0</v>
      </c>
      <c r="J2003">
        <f t="shared" si="415"/>
        <v>0</v>
      </c>
      <c r="K2003" s="4" t="e">
        <f t="shared" si="405"/>
        <v>#N/A</v>
      </c>
      <c r="L2003" t="e">
        <f t="shared" si="406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7"/>
        <v>0</v>
      </c>
      <c r="B2004">
        <f t="shared" si="408"/>
        <v>0</v>
      </c>
      <c r="C2004">
        <f t="shared" si="409"/>
        <v>0</v>
      </c>
      <c r="D2004">
        <f t="shared" si="410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1"/>
        <v>0</v>
      </c>
      <c r="G2004">
        <f t="shared" si="412"/>
        <v>0</v>
      </c>
      <c r="H2004">
        <f t="shared" si="413"/>
        <v>0</v>
      </c>
      <c r="I2004">
        <f t="shared" si="414"/>
        <v>0</v>
      </c>
      <c r="J2004">
        <f t="shared" si="415"/>
        <v>0</v>
      </c>
      <c r="K2004" s="4" t="e">
        <f t="shared" si="405"/>
        <v>#N/A</v>
      </c>
      <c r="L2004" t="e">
        <f t="shared" si="406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7"/>
        <v>0</v>
      </c>
      <c r="B2005">
        <f t="shared" si="408"/>
        <v>0</v>
      </c>
      <c r="C2005">
        <f t="shared" si="409"/>
        <v>0</v>
      </c>
      <c r="D2005">
        <f t="shared" si="410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1"/>
        <v>0</v>
      </c>
      <c r="G2005">
        <f t="shared" si="412"/>
        <v>0</v>
      </c>
      <c r="H2005">
        <f t="shared" si="413"/>
        <v>0</v>
      </c>
      <c r="I2005">
        <f t="shared" si="414"/>
        <v>0</v>
      </c>
      <c r="J2005">
        <f t="shared" si="415"/>
        <v>0</v>
      </c>
      <c r="K2005" s="4" t="e">
        <f t="shared" si="405"/>
        <v>#N/A</v>
      </c>
      <c r="L2005" t="e">
        <f t="shared" si="406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7"/>
        <v>0</v>
      </c>
      <c r="B2006">
        <f t="shared" si="408"/>
        <v>0</v>
      </c>
      <c r="C2006">
        <f t="shared" si="409"/>
        <v>0</v>
      </c>
      <c r="D2006">
        <f t="shared" si="410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1"/>
        <v>0</v>
      </c>
      <c r="G2006">
        <f t="shared" si="412"/>
        <v>0</v>
      </c>
      <c r="H2006">
        <f t="shared" si="413"/>
        <v>0</v>
      </c>
      <c r="I2006">
        <f t="shared" si="414"/>
        <v>0</v>
      </c>
      <c r="J2006">
        <f t="shared" si="415"/>
        <v>0</v>
      </c>
      <c r="K2006" s="4" t="e">
        <f t="shared" si="405"/>
        <v>#N/A</v>
      </c>
      <c r="L2006" t="e">
        <f t="shared" si="406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7"/>
        <v>0</v>
      </c>
      <c r="B2007">
        <f t="shared" si="408"/>
        <v>0</v>
      </c>
      <c r="C2007">
        <f t="shared" si="409"/>
        <v>0</v>
      </c>
      <c r="D2007">
        <f t="shared" si="410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1"/>
        <v>0</v>
      </c>
      <c r="G2007">
        <f t="shared" si="412"/>
        <v>0</v>
      </c>
      <c r="H2007">
        <f t="shared" si="413"/>
        <v>0</v>
      </c>
      <c r="I2007">
        <f t="shared" si="414"/>
        <v>0</v>
      </c>
      <c r="J2007">
        <f t="shared" si="415"/>
        <v>0</v>
      </c>
      <c r="K2007" s="4" t="e">
        <f t="shared" si="405"/>
        <v>#N/A</v>
      </c>
      <c r="L2007" t="e">
        <f t="shared" si="406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7"/>
        <v>0</v>
      </c>
      <c r="B2008">
        <f t="shared" si="408"/>
        <v>0</v>
      </c>
      <c r="C2008">
        <f t="shared" si="409"/>
        <v>0</v>
      </c>
      <c r="D2008">
        <f t="shared" si="410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1"/>
        <v>0</v>
      </c>
      <c r="G2008">
        <f t="shared" si="412"/>
        <v>0</v>
      </c>
      <c r="H2008">
        <f t="shared" si="413"/>
        <v>0</v>
      </c>
      <c r="I2008">
        <f t="shared" si="414"/>
        <v>0</v>
      </c>
      <c r="J2008">
        <f t="shared" si="415"/>
        <v>0</v>
      </c>
      <c r="K2008" s="4" t="e">
        <f t="shared" si="405"/>
        <v>#N/A</v>
      </c>
      <c r="L2008" t="e">
        <f t="shared" si="406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7"/>
        <v>0</v>
      </c>
      <c r="B2009">
        <f t="shared" si="408"/>
        <v>0</v>
      </c>
      <c r="C2009">
        <f t="shared" si="409"/>
        <v>0</v>
      </c>
      <c r="D2009">
        <f t="shared" si="410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1"/>
        <v>0</v>
      </c>
      <c r="G2009">
        <f t="shared" si="412"/>
        <v>0</v>
      </c>
      <c r="H2009">
        <f t="shared" si="413"/>
        <v>0</v>
      </c>
      <c r="I2009">
        <f t="shared" si="414"/>
        <v>0</v>
      </c>
      <c r="J2009">
        <f t="shared" si="415"/>
        <v>0</v>
      </c>
      <c r="K2009" s="4" t="e">
        <f t="shared" si="405"/>
        <v>#N/A</v>
      </c>
      <c r="L2009" t="e">
        <f t="shared" si="406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7"/>
        <v>0</v>
      </c>
      <c r="B2010">
        <f t="shared" si="408"/>
        <v>0</v>
      </c>
      <c r="C2010">
        <f t="shared" si="409"/>
        <v>0</v>
      </c>
      <c r="D2010">
        <f t="shared" si="410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1"/>
        <v>0</v>
      </c>
      <c r="G2010">
        <f t="shared" si="412"/>
        <v>0</v>
      </c>
      <c r="H2010">
        <f t="shared" si="413"/>
        <v>0</v>
      </c>
      <c r="I2010">
        <f t="shared" si="414"/>
        <v>0</v>
      </c>
      <c r="J2010">
        <f t="shared" si="415"/>
        <v>0</v>
      </c>
      <c r="K2010" s="4" t="e">
        <f t="shared" si="405"/>
        <v>#N/A</v>
      </c>
      <c r="L2010" t="e">
        <f t="shared" si="406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7"/>
        <v>0</v>
      </c>
      <c r="B2011">
        <f t="shared" si="408"/>
        <v>0</v>
      </c>
      <c r="C2011">
        <f t="shared" si="409"/>
        <v>0</v>
      </c>
      <c r="D2011">
        <f t="shared" si="410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1"/>
        <v>0</v>
      </c>
      <c r="G2011">
        <f t="shared" si="412"/>
        <v>0</v>
      </c>
      <c r="H2011">
        <f t="shared" si="413"/>
        <v>0</v>
      </c>
      <c r="I2011">
        <f t="shared" si="414"/>
        <v>0</v>
      </c>
      <c r="J2011">
        <f t="shared" si="415"/>
        <v>0</v>
      </c>
      <c r="K2011" s="4" t="e">
        <f t="shared" si="405"/>
        <v>#N/A</v>
      </c>
      <c r="L2011" t="e">
        <f t="shared" si="406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7"/>
        <v>0</v>
      </c>
      <c r="B2012">
        <f t="shared" si="408"/>
        <v>0</v>
      </c>
      <c r="C2012">
        <f t="shared" si="409"/>
        <v>0</v>
      </c>
      <c r="D2012">
        <f t="shared" si="410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1"/>
        <v>0</v>
      </c>
      <c r="G2012">
        <f t="shared" si="412"/>
        <v>0</v>
      </c>
      <c r="H2012">
        <f t="shared" si="413"/>
        <v>0</v>
      </c>
      <c r="I2012">
        <f t="shared" si="414"/>
        <v>0</v>
      </c>
      <c r="J2012">
        <f t="shared" si="415"/>
        <v>0</v>
      </c>
      <c r="K2012" s="4" t="e">
        <f t="shared" si="405"/>
        <v>#N/A</v>
      </c>
      <c r="L2012" t="e">
        <f t="shared" si="406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7"/>
        <v>0</v>
      </c>
      <c r="B2013">
        <f t="shared" si="408"/>
        <v>0</v>
      </c>
      <c r="C2013">
        <f t="shared" si="409"/>
        <v>0</v>
      </c>
      <c r="D2013">
        <f t="shared" si="410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1"/>
        <v>0</v>
      </c>
      <c r="G2013">
        <f t="shared" si="412"/>
        <v>0</v>
      </c>
      <c r="H2013">
        <f t="shared" si="413"/>
        <v>0</v>
      </c>
      <c r="I2013">
        <f t="shared" si="414"/>
        <v>0</v>
      </c>
      <c r="J2013">
        <f t="shared" si="415"/>
        <v>0</v>
      </c>
      <c r="K2013" s="4" t="e">
        <f t="shared" si="405"/>
        <v>#N/A</v>
      </c>
      <c r="L2013" t="e">
        <f t="shared" si="406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7"/>
        <v>0</v>
      </c>
      <c r="B2014">
        <f t="shared" si="408"/>
        <v>0</v>
      </c>
      <c r="C2014">
        <f t="shared" si="409"/>
        <v>0</v>
      </c>
      <c r="D2014">
        <f t="shared" si="410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1"/>
        <v>0</v>
      </c>
      <c r="G2014">
        <f t="shared" si="412"/>
        <v>0</v>
      </c>
      <c r="H2014">
        <f t="shared" si="413"/>
        <v>0</v>
      </c>
      <c r="I2014">
        <f t="shared" si="414"/>
        <v>0</v>
      </c>
      <c r="J2014">
        <f t="shared" si="415"/>
        <v>0</v>
      </c>
      <c r="K2014" s="4" t="e">
        <f t="shared" si="405"/>
        <v>#N/A</v>
      </c>
      <c r="L2014" t="e">
        <f t="shared" si="406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7"/>
        <v>0</v>
      </c>
      <c r="B2015">
        <f t="shared" si="408"/>
        <v>0</v>
      </c>
      <c r="C2015">
        <f t="shared" si="409"/>
        <v>0</v>
      </c>
      <c r="D2015">
        <f t="shared" si="410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1"/>
        <v>0</v>
      </c>
      <c r="G2015">
        <f t="shared" si="412"/>
        <v>0</v>
      </c>
      <c r="H2015">
        <f t="shared" si="413"/>
        <v>0</v>
      </c>
      <c r="I2015">
        <f t="shared" si="414"/>
        <v>0</v>
      </c>
      <c r="J2015">
        <f t="shared" si="415"/>
        <v>0</v>
      </c>
      <c r="K2015" s="4" t="e">
        <f t="shared" si="405"/>
        <v>#N/A</v>
      </c>
      <c r="L2015" t="e">
        <f t="shared" si="406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7"/>
        <v>0</v>
      </c>
      <c r="B2016">
        <f t="shared" si="408"/>
        <v>0</v>
      </c>
      <c r="C2016">
        <f t="shared" si="409"/>
        <v>0</v>
      </c>
      <c r="D2016">
        <f t="shared" si="410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1"/>
        <v>0</v>
      </c>
      <c r="G2016">
        <f t="shared" si="412"/>
        <v>0</v>
      </c>
      <c r="H2016">
        <f t="shared" si="413"/>
        <v>0</v>
      </c>
      <c r="I2016">
        <f t="shared" si="414"/>
        <v>0</v>
      </c>
      <c r="J2016">
        <f t="shared" si="415"/>
        <v>0</v>
      </c>
      <c r="K2016" s="4" t="e">
        <f t="shared" si="405"/>
        <v>#N/A</v>
      </c>
      <c r="L2016" t="e">
        <f t="shared" si="406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7"/>
        <v>0</v>
      </c>
      <c r="B2017">
        <f t="shared" si="408"/>
        <v>0</v>
      </c>
      <c r="C2017">
        <f t="shared" si="409"/>
        <v>0</v>
      </c>
      <c r="D2017">
        <f t="shared" si="410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1"/>
        <v>0</v>
      </c>
      <c r="G2017">
        <f t="shared" si="412"/>
        <v>0</v>
      </c>
      <c r="H2017">
        <f t="shared" si="413"/>
        <v>0</v>
      </c>
      <c r="I2017">
        <f t="shared" si="414"/>
        <v>0</v>
      </c>
      <c r="J2017">
        <f t="shared" si="415"/>
        <v>0</v>
      </c>
      <c r="K2017" s="4" t="e">
        <f t="shared" si="405"/>
        <v>#N/A</v>
      </c>
      <c r="L2017" t="e">
        <f t="shared" si="406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7"/>
        <v>0</v>
      </c>
      <c r="B2018">
        <f t="shared" si="408"/>
        <v>0</v>
      </c>
      <c r="C2018">
        <f t="shared" si="409"/>
        <v>0</v>
      </c>
      <c r="D2018">
        <f t="shared" si="410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1"/>
        <v>0</v>
      </c>
      <c r="G2018">
        <f t="shared" si="412"/>
        <v>0</v>
      </c>
      <c r="H2018">
        <f t="shared" si="413"/>
        <v>0</v>
      </c>
      <c r="I2018">
        <f t="shared" si="414"/>
        <v>0</v>
      </c>
      <c r="J2018">
        <f t="shared" si="415"/>
        <v>0</v>
      </c>
      <c r="K2018" s="4" t="e">
        <f t="shared" si="405"/>
        <v>#N/A</v>
      </c>
      <c r="L2018" t="e">
        <f t="shared" si="406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7"/>
        <v>0</v>
      </c>
      <c r="B2019">
        <f t="shared" si="408"/>
        <v>0</v>
      </c>
      <c r="C2019">
        <f t="shared" si="409"/>
        <v>0</v>
      </c>
      <c r="D2019">
        <f t="shared" si="410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1"/>
        <v>0</v>
      </c>
      <c r="G2019">
        <f t="shared" si="412"/>
        <v>0</v>
      </c>
      <c r="H2019">
        <f t="shared" si="413"/>
        <v>0</v>
      </c>
      <c r="I2019">
        <f t="shared" si="414"/>
        <v>0</v>
      </c>
      <c r="J2019">
        <f t="shared" si="415"/>
        <v>0</v>
      </c>
      <c r="K2019" s="4" t="e">
        <f t="shared" si="405"/>
        <v>#N/A</v>
      </c>
      <c r="L2019" t="e">
        <f t="shared" si="406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7"/>
        <v>0</v>
      </c>
      <c r="B2020">
        <f t="shared" si="408"/>
        <v>0</v>
      </c>
      <c r="C2020">
        <f t="shared" si="409"/>
        <v>0</v>
      </c>
      <c r="D2020">
        <f t="shared" si="410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1"/>
        <v>0</v>
      </c>
      <c r="G2020">
        <f t="shared" si="412"/>
        <v>0</v>
      </c>
      <c r="H2020">
        <f t="shared" si="413"/>
        <v>0</v>
      </c>
      <c r="I2020">
        <f t="shared" si="414"/>
        <v>0</v>
      </c>
      <c r="J2020">
        <f t="shared" si="415"/>
        <v>0</v>
      </c>
      <c r="K2020" s="4" t="e">
        <f t="shared" si="405"/>
        <v>#N/A</v>
      </c>
      <c r="L2020" t="e">
        <f t="shared" si="406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7"/>
        <v>0</v>
      </c>
      <c r="B2021">
        <f t="shared" si="408"/>
        <v>0</v>
      </c>
      <c r="C2021">
        <f t="shared" si="409"/>
        <v>0</v>
      </c>
      <c r="D2021">
        <f t="shared" si="410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1"/>
        <v>0</v>
      </c>
      <c r="G2021">
        <f t="shared" si="412"/>
        <v>0</v>
      </c>
      <c r="H2021">
        <f t="shared" si="413"/>
        <v>0</v>
      </c>
      <c r="I2021">
        <f t="shared" si="414"/>
        <v>0</v>
      </c>
      <c r="J2021">
        <f t="shared" si="415"/>
        <v>0</v>
      </c>
      <c r="K2021" s="4" t="e">
        <f t="shared" si="405"/>
        <v>#N/A</v>
      </c>
      <c r="L2021" t="e">
        <f t="shared" si="406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7"/>
        <v>0</v>
      </c>
      <c r="B2022">
        <f t="shared" si="408"/>
        <v>0</v>
      </c>
      <c r="C2022">
        <f t="shared" si="409"/>
        <v>0</v>
      </c>
      <c r="D2022">
        <f t="shared" si="410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1"/>
        <v>0</v>
      </c>
      <c r="G2022">
        <f t="shared" si="412"/>
        <v>0</v>
      </c>
      <c r="H2022">
        <f t="shared" si="413"/>
        <v>0</v>
      </c>
      <c r="I2022">
        <f t="shared" si="414"/>
        <v>0</v>
      </c>
      <c r="J2022">
        <f t="shared" si="415"/>
        <v>0</v>
      </c>
      <c r="K2022" s="4" t="e">
        <f t="shared" si="405"/>
        <v>#N/A</v>
      </c>
      <c r="L2022" t="e">
        <f t="shared" si="406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7"/>
        <v>0</v>
      </c>
      <c r="B2023">
        <f t="shared" si="408"/>
        <v>0</v>
      </c>
      <c r="C2023">
        <f t="shared" si="409"/>
        <v>0</v>
      </c>
      <c r="D2023">
        <f t="shared" si="410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1"/>
        <v>0</v>
      </c>
      <c r="G2023">
        <f t="shared" si="412"/>
        <v>0</v>
      </c>
      <c r="H2023">
        <f t="shared" si="413"/>
        <v>0</v>
      </c>
      <c r="I2023">
        <f t="shared" si="414"/>
        <v>0</v>
      </c>
      <c r="J2023">
        <f t="shared" si="415"/>
        <v>0</v>
      </c>
      <c r="K2023" s="4" t="e">
        <f t="shared" si="405"/>
        <v>#N/A</v>
      </c>
      <c r="L2023" t="e">
        <f t="shared" si="406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7"/>
        <v>0</v>
      </c>
      <c r="B2024">
        <f t="shared" si="408"/>
        <v>0</v>
      </c>
      <c r="C2024">
        <f t="shared" si="409"/>
        <v>0</v>
      </c>
      <c r="D2024">
        <f t="shared" si="410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1"/>
        <v>0</v>
      </c>
      <c r="G2024">
        <f t="shared" si="412"/>
        <v>0</v>
      </c>
      <c r="H2024">
        <f t="shared" si="413"/>
        <v>0</v>
      </c>
      <c r="I2024">
        <f t="shared" si="414"/>
        <v>0</v>
      </c>
      <c r="J2024">
        <f t="shared" si="415"/>
        <v>0</v>
      </c>
      <c r="K2024" s="4" t="e">
        <f t="shared" si="405"/>
        <v>#N/A</v>
      </c>
      <c r="L2024" t="e">
        <f t="shared" si="406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7"/>
        <v>0</v>
      </c>
      <c r="B2025">
        <f t="shared" si="408"/>
        <v>0</v>
      </c>
      <c r="C2025">
        <f t="shared" si="409"/>
        <v>0</v>
      </c>
      <c r="D2025">
        <f t="shared" si="410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1"/>
        <v>0</v>
      </c>
      <c r="G2025">
        <f t="shared" si="412"/>
        <v>0</v>
      </c>
      <c r="H2025">
        <f t="shared" si="413"/>
        <v>0</v>
      </c>
      <c r="I2025">
        <f t="shared" si="414"/>
        <v>0</v>
      </c>
      <c r="J2025">
        <f t="shared" si="415"/>
        <v>0</v>
      </c>
      <c r="K2025" s="4" t="e">
        <f t="shared" si="405"/>
        <v>#N/A</v>
      </c>
      <c r="L2025" t="e">
        <f t="shared" si="406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7"/>
        <v>0</v>
      </c>
      <c r="B2026">
        <f t="shared" si="408"/>
        <v>0</v>
      </c>
      <c r="C2026">
        <f t="shared" si="409"/>
        <v>0</v>
      </c>
      <c r="D2026">
        <f t="shared" si="410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1"/>
        <v>0</v>
      </c>
      <c r="G2026">
        <f t="shared" si="412"/>
        <v>0</v>
      </c>
      <c r="H2026">
        <f t="shared" si="413"/>
        <v>0</v>
      </c>
      <c r="I2026">
        <f t="shared" si="414"/>
        <v>0</v>
      </c>
      <c r="J2026">
        <f t="shared" si="415"/>
        <v>0</v>
      </c>
      <c r="K2026" s="4" t="e">
        <f t="shared" si="405"/>
        <v>#N/A</v>
      </c>
      <c r="L2026" t="e">
        <f t="shared" si="406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7"/>
        <v>0</v>
      </c>
      <c r="B2027">
        <f t="shared" si="408"/>
        <v>0</v>
      </c>
      <c r="C2027">
        <f t="shared" si="409"/>
        <v>0</v>
      </c>
      <c r="D2027">
        <f t="shared" si="410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1"/>
        <v>0</v>
      </c>
      <c r="G2027">
        <f t="shared" si="412"/>
        <v>0</v>
      </c>
      <c r="H2027">
        <f t="shared" si="413"/>
        <v>0</v>
      </c>
      <c r="I2027">
        <f t="shared" si="414"/>
        <v>0</v>
      </c>
      <c r="J2027">
        <f t="shared" si="415"/>
        <v>0</v>
      </c>
      <c r="K2027" s="4" t="e">
        <f t="shared" si="405"/>
        <v>#N/A</v>
      </c>
      <c r="L2027" t="e">
        <f t="shared" si="406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7"/>
        <v>0</v>
      </c>
      <c r="B2028">
        <f t="shared" si="408"/>
        <v>0</v>
      </c>
      <c r="C2028">
        <f t="shared" si="409"/>
        <v>0</v>
      </c>
      <c r="D2028">
        <f t="shared" si="410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1"/>
        <v>0</v>
      </c>
      <c r="G2028">
        <f t="shared" si="412"/>
        <v>0</v>
      </c>
      <c r="H2028">
        <f t="shared" si="413"/>
        <v>0</v>
      </c>
      <c r="I2028">
        <f t="shared" si="414"/>
        <v>0</v>
      </c>
      <c r="J2028">
        <f t="shared" si="415"/>
        <v>0</v>
      </c>
      <c r="K2028" s="4" t="e">
        <f t="shared" ref="K2028:K2091" si="418">IF(LEFT(B2028,3)="DBM",0,VLOOKUP(E2028,tabela,2,FALSE))</f>
        <v>#N/A</v>
      </c>
      <c r="L2028" t="e">
        <f t="shared" ref="L2028:L2091" si="419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7"/>
        <v>0</v>
      </c>
      <c r="B2029">
        <f t="shared" si="408"/>
        <v>0</v>
      </c>
      <c r="C2029">
        <f t="shared" si="409"/>
        <v>0</v>
      </c>
      <c r="D2029">
        <f t="shared" si="410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1"/>
        <v>0</v>
      </c>
      <c r="G2029">
        <f t="shared" si="412"/>
        <v>0</v>
      </c>
      <c r="H2029">
        <f t="shared" si="413"/>
        <v>0</v>
      </c>
      <c r="I2029">
        <f t="shared" si="414"/>
        <v>0</v>
      </c>
      <c r="J2029">
        <f t="shared" si="415"/>
        <v>0</v>
      </c>
      <c r="K2029" s="4" t="e">
        <f t="shared" si="418"/>
        <v>#N/A</v>
      </c>
      <c r="L2029" t="e">
        <f t="shared" si="419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7"/>
        <v>0</v>
      </c>
      <c r="B2030">
        <f t="shared" si="408"/>
        <v>0</v>
      </c>
      <c r="C2030">
        <f t="shared" si="409"/>
        <v>0</v>
      </c>
      <c r="D2030">
        <f t="shared" si="410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1"/>
        <v>0</v>
      </c>
      <c r="G2030">
        <f t="shared" si="412"/>
        <v>0</v>
      </c>
      <c r="H2030">
        <f t="shared" si="413"/>
        <v>0</v>
      </c>
      <c r="I2030">
        <f t="shared" si="414"/>
        <v>0</v>
      </c>
      <c r="J2030">
        <f t="shared" si="415"/>
        <v>0</v>
      </c>
      <c r="K2030" s="4" t="e">
        <f t="shared" si="418"/>
        <v>#N/A</v>
      </c>
      <c r="L2030" t="e">
        <f t="shared" si="419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7"/>
        <v>0</v>
      </c>
      <c r="B2031">
        <f t="shared" si="408"/>
        <v>0</v>
      </c>
      <c r="C2031">
        <f t="shared" si="409"/>
        <v>0</v>
      </c>
      <c r="D2031">
        <f t="shared" si="410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1"/>
        <v>0</v>
      </c>
      <c r="G2031">
        <f t="shared" si="412"/>
        <v>0</v>
      </c>
      <c r="H2031">
        <f t="shared" si="413"/>
        <v>0</v>
      </c>
      <c r="I2031">
        <f t="shared" si="414"/>
        <v>0</v>
      </c>
      <c r="J2031">
        <f t="shared" si="415"/>
        <v>0</v>
      </c>
      <c r="K2031" s="4" t="e">
        <f t="shared" si="418"/>
        <v>#N/A</v>
      </c>
      <c r="L2031" t="e">
        <f t="shared" si="419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7"/>
        <v>0</v>
      </c>
      <c r="B2032">
        <f t="shared" si="408"/>
        <v>0</v>
      </c>
      <c r="C2032">
        <f t="shared" si="409"/>
        <v>0</v>
      </c>
      <c r="D2032">
        <f t="shared" si="410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1"/>
        <v>0</v>
      </c>
      <c r="G2032">
        <f t="shared" si="412"/>
        <v>0</v>
      </c>
      <c r="H2032">
        <f t="shared" si="413"/>
        <v>0</v>
      </c>
      <c r="I2032">
        <f t="shared" si="414"/>
        <v>0</v>
      </c>
      <c r="J2032">
        <f t="shared" si="415"/>
        <v>0</v>
      </c>
      <c r="K2032" s="4" t="e">
        <f t="shared" si="418"/>
        <v>#N/A</v>
      </c>
      <c r="L2032" t="e">
        <f t="shared" si="419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7"/>
        <v>0</v>
      </c>
      <c r="B2033">
        <f t="shared" si="408"/>
        <v>0</v>
      </c>
      <c r="C2033">
        <f t="shared" si="409"/>
        <v>0</v>
      </c>
      <c r="D2033">
        <f t="shared" si="410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1"/>
        <v>0</v>
      </c>
      <c r="G2033">
        <f t="shared" si="412"/>
        <v>0</v>
      </c>
      <c r="H2033">
        <f t="shared" si="413"/>
        <v>0</v>
      </c>
      <c r="I2033">
        <f t="shared" si="414"/>
        <v>0</v>
      </c>
      <c r="J2033">
        <f t="shared" si="415"/>
        <v>0</v>
      </c>
      <c r="K2033" s="4" t="e">
        <f t="shared" si="418"/>
        <v>#N/A</v>
      </c>
      <c r="L2033" t="e">
        <f t="shared" si="419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7"/>
        <v>0</v>
      </c>
      <c r="B2034">
        <f t="shared" si="408"/>
        <v>0</v>
      </c>
      <c r="C2034">
        <f t="shared" si="409"/>
        <v>0</v>
      </c>
      <c r="D2034">
        <f t="shared" si="410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1"/>
        <v>0</v>
      </c>
      <c r="G2034">
        <f t="shared" si="412"/>
        <v>0</v>
      </c>
      <c r="H2034">
        <f t="shared" si="413"/>
        <v>0</v>
      </c>
      <c r="I2034">
        <f t="shared" si="414"/>
        <v>0</v>
      </c>
      <c r="J2034">
        <f t="shared" si="415"/>
        <v>0</v>
      </c>
      <c r="K2034" s="4" t="e">
        <f t="shared" si="418"/>
        <v>#N/A</v>
      </c>
      <c r="L2034" t="e">
        <f t="shared" si="419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7"/>
        <v>0</v>
      </c>
      <c r="B2035">
        <f t="shared" si="408"/>
        <v>0</v>
      </c>
      <c r="C2035">
        <f t="shared" si="409"/>
        <v>0</v>
      </c>
      <c r="D2035">
        <f t="shared" si="410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1"/>
        <v>0</v>
      </c>
      <c r="G2035">
        <f t="shared" si="412"/>
        <v>0</v>
      </c>
      <c r="H2035">
        <f t="shared" si="413"/>
        <v>0</v>
      </c>
      <c r="I2035">
        <f t="shared" si="414"/>
        <v>0</v>
      </c>
      <c r="J2035">
        <f t="shared" si="415"/>
        <v>0</v>
      </c>
      <c r="K2035" s="4" t="e">
        <f t="shared" si="418"/>
        <v>#N/A</v>
      </c>
      <c r="L2035" t="e">
        <f t="shared" si="419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7"/>
        <v>0</v>
      </c>
      <c r="B2036">
        <f t="shared" si="408"/>
        <v>0</v>
      </c>
      <c r="C2036">
        <f t="shared" si="409"/>
        <v>0</v>
      </c>
      <c r="D2036">
        <f t="shared" si="410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1"/>
        <v>0</v>
      </c>
      <c r="G2036">
        <f t="shared" si="412"/>
        <v>0</v>
      </c>
      <c r="H2036">
        <f t="shared" si="413"/>
        <v>0</v>
      </c>
      <c r="I2036">
        <f t="shared" si="414"/>
        <v>0</v>
      </c>
      <c r="J2036">
        <f t="shared" si="415"/>
        <v>0</v>
      </c>
      <c r="K2036" s="4" t="e">
        <f t="shared" si="418"/>
        <v>#N/A</v>
      </c>
      <c r="L2036" t="e">
        <f t="shared" si="419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7"/>
        <v>0</v>
      </c>
      <c r="B2037">
        <f t="shared" si="408"/>
        <v>0</v>
      </c>
      <c r="C2037">
        <f t="shared" si="409"/>
        <v>0</v>
      </c>
      <c r="D2037">
        <f t="shared" si="410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1"/>
        <v>0</v>
      </c>
      <c r="G2037">
        <f t="shared" si="412"/>
        <v>0</v>
      </c>
      <c r="H2037">
        <f t="shared" si="413"/>
        <v>0</v>
      </c>
      <c r="I2037">
        <f t="shared" si="414"/>
        <v>0</v>
      </c>
      <c r="J2037">
        <f t="shared" si="415"/>
        <v>0</v>
      </c>
      <c r="K2037" s="4" t="e">
        <f t="shared" si="418"/>
        <v>#N/A</v>
      </c>
      <c r="L2037" t="e">
        <f t="shared" si="419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7"/>
        <v>0</v>
      </c>
      <c r="B2038">
        <f t="shared" si="408"/>
        <v>0</v>
      </c>
      <c r="C2038">
        <f t="shared" si="409"/>
        <v>0</v>
      </c>
      <c r="D2038">
        <f t="shared" si="410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1"/>
        <v>0</v>
      </c>
      <c r="G2038">
        <f t="shared" si="412"/>
        <v>0</v>
      </c>
      <c r="H2038">
        <f t="shared" si="413"/>
        <v>0</v>
      </c>
      <c r="I2038">
        <f t="shared" si="414"/>
        <v>0</v>
      </c>
      <c r="J2038">
        <f t="shared" si="415"/>
        <v>0</v>
      </c>
      <c r="K2038" s="4" t="e">
        <f t="shared" si="418"/>
        <v>#N/A</v>
      </c>
      <c r="L2038" t="e">
        <f t="shared" si="419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7"/>
        <v>0</v>
      </c>
      <c r="B2039">
        <f t="shared" si="408"/>
        <v>0</v>
      </c>
      <c r="C2039">
        <f t="shared" si="409"/>
        <v>0</v>
      </c>
      <c r="D2039">
        <f t="shared" si="410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1"/>
        <v>0</v>
      </c>
      <c r="G2039">
        <f t="shared" si="412"/>
        <v>0</v>
      </c>
      <c r="H2039">
        <f t="shared" si="413"/>
        <v>0</v>
      </c>
      <c r="I2039">
        <f t="shared" si="414"/>
        <v>0</v>
      </c>
      <c r="J2039">
        <f t="shared" si="415"/>
        <v>0</v>
      </c>
      <c r="K2039" s="4" t="e">
        <f t="shared" si="418"/>
        <v>#N/A</v>
      </c>
      <c r="L2039" t="e">
        <f t="shared" si="419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7"/>
        <v>0</v>
      </c>
      <c r="B2040">
        <f t="shared" si="408"/>
        <v>0</v>
      </c>
      <c r="C2040">
        <f t="shared" si="409"/>
        <v>0</v>
      </c>
      <c r="D2040">
        <f t="shared" si="410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1"/>
        <v>0</v>
      </c>
      <c r="G2040">
        <f t="shared" si="412"/>
        <v>0</v>
      </c>
      <c r="H2040">
        <f t="shared" si="413"/>
        <v>0</v>
      </c>
      <c r="I2040">
        <f t="shared" si="414"/>
        <v>0</v>
      </c>
      <c r="J2040">
        <f t="shared" si="415"/>
        <v>0</v>
      </c>
      <c r="K2040" s="4" t="e">
        <f t="shared" si="418"/>
        <v>#N/A</v>
      </c>
      <c r="L2040" t="e">
        <f t="shared" si="419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7"/>
        <v>0</v>
      </c>
      <c r="B2041">
        <f t="shared" si="408"/>
        <v>0</v>
      </c>
      <c r="C2041">
        <f t="shared" si="409"/>
        <v>0</v>
      </c>
      <c r="D2041">
        <f t="shared" si="410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1"/>
        <v>0</v>
      </c>
      <c r="G2041">
        <f t="shared" si="412"/>
        <v>0</v>
      </c>
      <c r="H2041">
        <f t="shared" si="413"/>
        <v>0</v>
      </c>
      <c r="I2041">
        <f t="shared" si="414"/>
        <v>0</v>
      </c>
      <c r="J2041">
        <f t="shared" si="415"/>
        <v>0</v>
      </c>
      <c r="K2041" s="4" t="e">
        <f t="shared" si="418"/>
        <v>#N/A</v>
      </c>
      <c r="L2041" t="e">
        <f t="shared" si="419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7"/>
        <v>0</v>
      </c>
      <c r="B2042">
        <f t="shared" si="408"/>
        <v>0</v>
      </c>
      <c r="C2042">
        <f t="shared" si="409"/>
        <v>0</v>
      </c>
      <c r="D2042">
        <f t="shared" si="410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1"/>
        <v>0</v>
      </c>
      <c r="G2042">
        <f t="shared" si="412"/>
        <v>0</v>
      </c>
      <c r="H2042">
        <f t="shared" si="413"/>
        <v>0</v>
      </c>
      <c r="I2042">
        <f t="shared" si="414"/>
        <v>0</v>
      </c>
      <c r="J2042">
        <f t="shared" si="415"/>
        <v>0</v>
      </c>
      <c r="K2042" s="4" t="e">
        <f t="shared" si="418"/>
        <v>#N/A</v>
      </c>
      <c r="L2042" t="e">
        <f t="shared" si="419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7"/>
        <v>0</v>
      </c>
      <c r="B2043">
        <f t="shared" si="408"/>
        <v>0</v>
      </c>
      <c r="C2043">
        <f t="shared" si="409"/>
        <v>0</v>
      </c>
      <c r="D2043">
        <f t="shared" si="410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1"/>
        <v>0</v>
      </c>
      <c r="G2043">
        <f t="shared" si="412"/>
        <v>0</v>
      </c>
      <c r="H2043">
        <f t="shared" si="413"/>
        <v>0</v>
      </c>
      <c r="I2043">
        <f t="shared" si="414"/>
        <v>0</v>
      </c>
      <c r="J2043">
        <f t="shared" si="415"/>
        <v>0</v>
      </c>
      <c r="K2043" s="4" t="e">
        <f t="shared" si="418"/>
        <v>#N/A</v>
      </c>
      <c r="L2043" t="e">
        <f t="shared" si="419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7"/>
        <v>0</v>
      </c>
      <c r="B2044">
        <f t="shared" si="408"/>
        <v>0</v>
      </c>
      <c r="C2044">
        <f t="shared" si="409"/>
        <v>0</v>
      </c>
      <c r="D2044">
        <f t="shared" si="410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1"/>
        <v>0</v>
      </c>
      <c r="G2044">
        <f t="shared" si="412"/>
        <v>0</v>
      </c>
      <c r="H2044">
        <f t="shared" si="413"/>
        <v>0</v>
      </c>
      <c r="I2044">
        <f t="shared" si="414"/>
        <v>0</v>
      </c>
      <c r="J2044">
        <f t="shared" si="415"/>
        <v>0</v>
      </c>
      <c r="K2044" s="4" t="e">
        <f t="shared" si="418"/>
        <v>#N/A</v>
      </c>
      <c r="L2044" t="e">
        <f t="shared" si="419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7"/>
        <v>0</v>
      </c>
      <c r="B2045">
        <f t="shared" si="408"/>
        <v>0</v>
      </c>
      <c r="C2045">
        <f t="shared" si="409"/>
        <v>0</v>
      </c>
      <c r="D2045">
        <f t="shared" si="410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1"/>
        <v>0</v>
      </c>
      <c r="G2045">
        <f t="shared" si="412"/>
        <v>0</v>
      </c>
      <c r="H2045">
        <f t="shared" si="413"/>
        <v>0</v>
      </c>
      <c r="I2045">
        <f t="shared" si="414"/>
        <v>0</v>
      </c>
      <c r="J2045">
        <f t="shared" si="415"/>
        <v>0</v>
      </c>
      <c r="K2045" s="4" t="e">
        <f t="shared" si="418"/>
        <v>#N/A</v>
      </c>
      <c r="L2045" t="e">
        <f t="shared" si="419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7"/>
        <v>0</v>
      </c>
      <c r="B2046">
        <f t="shared" si="408"/>
        <v>0</v>
      </c>
      <c r="C2046">
        <f t="shared" si="409"/>
        <v>0</v>
      </c>
      <c r="D2046">
        <f t="shared" si="410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1"/>
        <v>0</v>
      </c>
      <c r="G2046">
        <f t="shared" si="412"/>
        <v>0</v>
      </c>
      <c r="H2046">
        <f t="shared" si="413"/>
        <v>0</v>
      </c>
      <c r="I2046">
        <f t="shared" si="414"/>
        <v>0</v>
      </c>
      <c r="J2046">
        <f t="shared" si="415"/>
        <v>0</v>
      </c>
      <c r="K2046" s="4" t="e">
        <f t="shared" si="418"/>
        <v>#N/A</v>
      </c>
      <c r="L2046" t="e">
        <f t="shared" si="419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7"/>
        <v>0</v>
      </c>
      <c r="B2047">
        <f t="shared" si="408"/>
        <v>0</v>
      </c>
      <c r="C2047">
        <f t="shared" si="409"/>
        <v>0</v>
      </c>
      <c r="D2047">
        <f t="shared" si="410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1"/>
        <v>0</v>
      </c>
      <c r="G2047">
        <f t="shared" si="412"/>
        <v>0</v>
      </c>
      <c r="H2047">
        <f t="shared" si="413"/>
        <v>0</v>
      </c>
      <c r="I2047">
        <f t="shared" si="414"/>
        <v>0</v>
      </c>
      <c r="J2047">
        <f t="shared" si="415"/>
        <v>0</v>
      </c>
      <c r="K2047" s="4" t="e">
        <f t="shared" si="418"/>
        <v>#N/A</v>
      </c>
      <c r="L2047" t="e">
        <f t="shared" si="419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7"/>
        <v>0</v>
      </c>
      <c r="B2048">
        <f t="shared" si="408"/>
        <v>0</v>
      </c>
      <c r="C2048">
        <f t="shared" si="409"/>
        <v>0</v>
      </c>
      <c r="D2048">
        <f t="shared" si="410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1"/>
        <v>0</v>
      </c>
      <c r="G2048">
        <f t="shared" si="412"/>
        <v>0</v>
      </c>
      <c r="H2048">
        <f t="shared" si="413"/>
        <v>0</v>
      </c>
      <c r="I2048">
        <f t="shared" si="414"/>
        <v>0</v>
      </c>
      <c r="J2048">
        <f t="shared" si="415"/>
        <v>0</v>
      </c>
      <c r="K2048" s="4" t="e">
        <f t="shared" si="418"/>
        <v>#N/A</v>
      </c>
      <c r="L2048" t="e">
        <f t="shared" si="419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7"/>
        <v>0</v>
      </c>
      <c r="B2049">
        <f t="shared" si="408"/>
        <v>0</v>
      </c>
      <c r="C2049">
        <f t="shared" si="409"/>
        <v>0</v>
      </c>
      <c r="D2049">
        <f t="shared" si="410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1"/>
        <v>0</v>
      </c>
      <c r="G2049">
        <f t="shared" si="412"/>
        <v>0</v>
      </c>
      <c r="H2049">
        <f t="shared" si="413"/>
        <v>0</v>
      </c>
      <c r="I2049">
        <f t="shared" si="414"/>
        <v>0</v>
      </c>
      <c r="J2049">
        <f t="shared" si="415"/>
        <v>0</v>
      </c>
      <c r="K2049" s="4" t="e">
        <f t="shared" si="418"/>
        <v>#N/A</v>
      </c>
      <c r="L2049" t="e">
        <f t="shared" si="419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20">bd_campaign</f>
        <v>0</v>
      </c>
      <c r="B2050">
        <f t="shared" ref="B2050:B2113" si="421">bd_site</f>
        <v>0</v>
      </c>
      <c r="C2050">
        <f t="shared" ref="C2050:C2113" si="422">bd_placement</f>
        <v>0</v>
      </c>
      <c r="D2050">
        <f t="shared" ref="D2050:D2113" si="423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4">bd_ad</f>
        <v>0</v>
      </c>
      <c r="G2050">
        <f t="shared" ref="G2050:G2113" si="425">bd_adid</f>
        <v>0</v>
      </c>
      <c r="H2050">
        <f t="shared" ref="H2050:H2113" si="426">bd_creativetype</f>
        <v>0</v>
      </c>
      <c r="I2050">
        <f t="shared" ref="I2050:I2113" si="427">bd_impression</f>
        <v>0</v>
      </c>
      <c r="J2050">
        <f t="shared" ref="J2050:J2113" si="428">bd_clicks</f>
        <v>0</v>
      </c>
      <c r="K2050" s="4" t="e">
        <f t="shared" si="418"/>
        <v>#N/A</v>
      </c>
      <c r="L2050" t="e">
        <f t="shared" si="419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20"/>
        <v>0</v>
      </c>
      <c r="B2051">
        <f t="shared" si="421"/>
        <v>0</v>
      </c>
      <c r="C2051">
        <f t="shared" si="422"/>
        <v>0</v>
      </c>
      <c r="D2051">
        <f t="shared" si="423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4"/>
        <v>0</v>
      </c>
      <c r="G2051">
        <f t="shared" si="425"/>
        <v>0</v>
      </c>
      <c r="H2051">
        <f t="shared" si="426"/>
        <v>0</v>
      </c>
      <c r="I2051">
        <f t="shared" si="427"/>
        <v>0</v>
      </c>
      <c r="J2051">
        <f t="shared" si="428"/>
        <v>0</v>
      </c>
      <c r="K2051" s="4" t="e">
        <f t="shared" si="418"/>
        <v>#N/A</v>
      </c>
      <c r="L2051" t="e">
        <f t="shared" si="419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20"/>
        <v>0</v>
      </c>
      <c r="B2052">
        <f t="shared" si="421"/>
        <v>0</v>
      </c>
      <c r="C2052">
        <f t="shared" si="422"/>
        <v>0</v>
      </c>
      <c r="D2052">
        <f t="shared" si="423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4"/>
        <v>0</v>
      </c>
      <c r="G2052">
        <f t="shared" si="425"/>
        <v>0</v>
      </c>
      <c r="H2052">
        <f t="shared" si="426"/>
        <v>0</v>
      </c>
      <c r="I2052">
        <f t="shared" si="427"/>
        <v>0</v>
      </c>
      <c r="J2052">
        <f t="shared" si="428"/>
        <v>0</v>
      </c>
      <c r="K2052" s="4" t="e">
        <f t="shared" si="418"/>
        <v>#N/A</v>
      </c>
      <c r="L2052" t="e">
        <f t="shared" si="419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20"/>
        <v>0</v>
      </c>
      <c r="B2053">
        <f t="shared" si="421"/>
        <v>0</v>
      </c>
      <c r="C2053">
        <f t="shared" si="422"/>
        <v>0</v>
      </c>
      <c r="D2053">
        <f t="shared" si="423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4"/>
        <v>0</v>
      </c>
      <c r="G2053">
        <f t="shared" si="425"/>
        <v>0</v>
      </c>
      <c r="H2053">
        <f t="shared" si="426"/>
        <v>0</v>
      </c>
      <c r="I2053">
        <f t="shared" si="427"/>
        <v>0</v>
      </c>
      <c r="J2053">
        <f t="shared" si="428"/>
        <v>0</v>
      </c>
      <c r="K2053" s="4" t="e">
        <f t="shared" si="418"/>
        <v>#N/A</v>
      </c>
      <c r="L2053" t="e">
        <f t="shared" si="419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20"/>
        <v>0</v>
      </c>
      <c r="B2054">
        <f t="shared" si="421"/>
        <v>0</v>
      </c>
      <c r="C2054">
        <f t="shared" si="422"/>
        <v>0</v>
      </c>
      <c r="D2054">
        <f t="shared" si="423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4"/>
        <v>0</v>
      </c>
      <c r="G2054">
        <f t="shared" si="425"/>
        <v>0</v>
      </c>
      <c r="H2054">
        <f t="shared" si="426"/>
        <v>0</v>
      </c>
      <c r="I2054">
        <f t="shared" si="427"/>
        <v>0</v>
      </c>
      <c r="J2054">
        <f t="shared" si="428"/>
        <v>0</v>
      </c>
      <c r="K2054" s="4" t="e">
        <f t="shared" si="418"/>
        <v>#N/A</v>
      </c>
      <c r="L2054" t="e">
        <f t="shared" si="419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20"/>
        <v>0</v>
      </c>
      <c r="B2055">
        <f t="shared" si="421"/>
        <v>0</v>
      </c>
      <c r="C2055">
        <f t="shared" si="422"/>
        <v>0</v>
      </c>
      <c r="D2055">
        <f t="shared" si="423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4"/>
        <v>0</v>
      </c>
      <c r="G2055">
        <f t="shared" si="425"/>
        <v>0</v>
      </c>
      <c r="H2055">
        <f t="shared" si="426"/>
        <v>0</v>
      </c>
      <c r="I2055">
        <f t="shared" si="427"/>
        <v>0</v>
      </c>
      <c r="J2055">
        <f t="shared" si="428"/>
        <v>0</v>
      </c>
      <c r="K2055" s="4" t="e">
        <f t="shared" si="418"/>
        <v>#N/A</v>
      </c>
      <c r="L2055" t="e">
        <f t="shared" si="419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20"/>
        <v>0</v>
      </c>
      <c r="B2056">
        <f t="shared" si="421"/>
        <v>0</v>
      </c>
      <c r="C2056">
        <f t="shared" si="422"/>
        <v>0</v>
      </c>
      <c r="D2056">
        <f t="shared" si="423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4"/>
        <v>0</v>
      </c>
      <c r="G2056">
        <f t="shared" si="425"/>
        <v>0</v>
      </c>
      <c r="H2056">
        <f t="shared" si="426"/>
        <v>0</v>
      </c>
      <c r="I2056">
        <f t="shared" si="427"/>
        <v>0</v>
      </c>
      <c r="J2056">
        <f t="shared" si="428"/>
        <v>0</v>
      </c>
      <c r="K2056" s="4" t="e">
        <f t="shared" si="418"/>
        <v>#N/A</v>
      </c>
      <c r="L2056" t="e">
        <f t="shared" si="419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20"/>
        <v>0</v>
      </c>
      <c r="B2057">
        <f t="shared" si="421"/>
        <v>0</v>
      </c>
      <c r="C2057">
        <f t="shared" si="422"/>
        <v>0</v>
      </c>
      <c r="D2057">
        <f t="shared" si="423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4"/>
        <v>0</v>
      </c>
      <c r="G2057">
        <f t="shared" si="425"/>
        <v>0</v>
      </c>
      <c r="H2057">
        <f t="shared" si="426"/>
        <v>0</v>
      </c>
      <c r="I2057">
        <f t="shared" si="427"/>
        <v>0</v>
      </c>
      <c r="J2057">
        <f t="shared" si="428"/>
        <v>0</v>
      </c>
      <c r="K2057" s="4" t="e">
        <f t="shared" si="418"/>
        <v>#N/A</v>
      </c>
      <c r="L2057" t="e">
        <f t="shared" si="419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20"/>
        <v>0</v>
      </c>
      <c r="B2058">
        <f t="shared" si="421"/>
        <v>0</v>
      </c>
      <c r="C2058">
        <f t="shared" si="422"/>
        <v>0</v>
      </c>
      <c r="D2058">
        <f t="shared" si="423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4"/>
        <v>0</v>
      </c>
      <c r="G2058">
        <f t="shared" si="425"/>
        <v>0</v>
      </c>
      <c r="H2058">
        <f t="shared" si="426"/>
        <v>0</v>
      </c>
      <c r="I2058">
        <f t="shared" si="427"/>
        <v>0</v>
      </c>
      <c r="J2058">
        <f t="shared" si="428"/>
        <v>0</v>
      </c>
      <c r="K2058" s="4" t="e">
        <f t="shared" si="418"/>
        <v>#N/A</v>
      </c>
      <c r="L2058" t="e">
        <f t="shared" si="419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20"/>
        <v>0</v>
      </c>
      <c r="B2059">
        <f t="shared" si="421"/>
        <v>0</v>
      </c>
      <c r="C2059">
        <f t="shared" si="422"/>
        <v>0</v>
      </c>
      <c r="D2059">
        <f t="shared" si="423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4"/>
        <v>0</v>
      </c>
      <c r="G2059">
        <f t="shared" si="425"/>
        <v>0</v>
      </c>
      <c r="H2059">
        <f t="shared" si="426"/>
        <v>0</v>
      </c>
      <c r="I2059">
        <f t="shared" si="427"/>
        <v>0</v>
      </c>
      <c r="J2059">
        <f t="shared" si="428"/>
        <v>0</v>
      </c>
      <c r="K2059" s="4" t="e">
        <f t="shared" si="418"/>
        <v>#N/A</v>
      </c>
      <c r="L2059" t="e">
        <f t="shared" si="419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20"/>
        <v>0</v>
      </c>
      <c r="B2060">
        <f t="shared" si="421"/>
        <v>0</v>
      </c>
      <c r="C2060">
        <f t="shared" si="422"/>
        <v>0</v>
      </c>
      <c r="D2060">
        <f t="shared" si="423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4"/>
        <v>0</v>
      </c>
      <c r="G2060">
        <f t="shared" si="425"/>
        <v>0</v>
      </c>
      <c r="H2060">
        <f t="shared" si="426"/>
        <v>0</v>
      </c>
      <c r="I2060">
        <f t="shared" si="427"/>
        <v>0</v>
      </c>
      <c r="J2060">
        <f t="shared" si="428"/>
        <v>0</v>
      </c>
      <c r="K2060" s="4" t="e">
        <f t="shared" si="418"/>
        <v>#N/A</v>
      </c>
      <c r="L2060" t="e">
        <f t="shared" si="419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20"/>
        <v>0</v>
      </c>
      <c r="B2061">
        <f t="shared" si="421"/>
        <v>0</v>
      </c>
      <c r="C2061">
        <f t="shared" si="422"/>
        <v>0</v>
      </c>
      <c r="D2061">
        <f t="shared" si="423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4"/>
        <v>0</v>
      </c>
      <c r="G2061">
        <f t="shared" si="425"/>
        <v>0</v>
      </c>
      <c r="H2061">
        <f t="shared" si="426"/>
        <v>0</v>
      </c>
      <c r="I2061">
        <f t="shared" si="427"/>
        <v>0</v>
      </c>
      <c r="J2061">
        <f t="shared" si="428"/>
        <v>0</v>
      </c>
      <c r="K2061" s="4" t="e">
        <f t="shared" si="418"/>
        <v>#N/A</v>
      </c>
      <c r="L2061" t="e">
        <f t="shared" si="419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20"/>
        <v>0</v>
      </c>
      <c r="B2062">
        <f t="shared" si="421"/>
        <v>0</v>
      </c>
      <c r="C2062">
        <f t="shared" si="422"/>
        <v>0</v>
      </c>
      <c r="D2062">
        <f t="shared" si="423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4"/>
        <v>0</v>
      </c>
      <c r="G2062">
        <f t="shared" si="425"/>
        <v>0</v>
      </c>
      <c r="H2062">
        <f t="shared" si="426"/>
        <v>0</v>
      </c>
      <c r="I2062">
        <f t="shared" si="427"/>
        <v>0</v>
      </c>
      <c r="J2062">
        <f t="shared" si="428"/>
        <v>0</v>
      </c>
      <c r="K2062" s="4" t="e">
        <f t="shared" si="418"/>
        <v>#N/A</v>
      </c>
      <c r="L2062" t="e">
        <f t="shared" si="419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20"/>
        <v>0</v>
      </c>
      <c r="B2063">
        <f t="shared" si="421"/>
        <v>0</v>
      </c>
      <c r="C2063">
        <f t="shared" si="422"/>
        <v>0</v>
      </c>
      <c r="D2063">
        <f t="shared" si="423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4"/>
        <v>0</v>
      </c>
      <c r="G2063">
        <f t="shared" si="425"/>
        <v>0</v>
      </c>
      <c r="H2063">
        <f t="shared" si="426"/>
        <v>0</v>
      </c>
      <c r="I2063">
        <f t="shared" si="427"/>
        <v>0</v>
      </c>
      <c r="J2063">
        <f t="shared" si="428"/>
        <v>0</v>
      </c>
      <c r="K2063" s="4" t="e">
        <f t="shared" si="418"/>
        <v>#N/A</v>
      </c>
      <c r="L2063" t="e">
        <f t="shared" si="419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20"/>
        <v>0</v>
      </c>
      <c r="B2064">
        <f t="shared" si="421"/>
        <v>0</v>
      </c>
      <c r="C2064">
        <f t="shared" si="422"/>
        <v>0</v>
      </c>
      <c r="D2064">
        <f t="shared" si="423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4"/>
        <v>0</v>
      </c>
      <c r="G2064">
        <f t="shared" si="425"/>
        <v>0</v>
      </c>
      <c r="H2064">
        <f t="shared" si="426"/>
        <v>0</v>
      </c>
      <c r="I2064">
        <f t="shared" si="427"/>
        <v>0</v>
      </c>
      <c r="J2064">
        <f t="shared" si="428"/>
        <v>0</v>
      </c>
      <c r="K2064" s="4" t="e">
        <f t="shared" si="418"/>
        <v>#N/A</v>
      </c>
      <c r="L2064" t="e">
        <f t="shared" si="419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20"/>
        <v>0</v>
      </c>
      <c r="B2065">
        <f t="shared" si="421"/>
        <v>0</v>
      </c>
      <c r="C2065">
        <f t="shared" si="422"/>
        <v>0</v>
      </c>
      <c r="D2065">
        <f t="shared" si="423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4"/>
        <v>0</v>
      </c>
      <c r="G2065">
        <f t="shared" si="425"/>
        <v>0</v>
      </c>
      <c r="H2065">
        <f t="shared" si="426"/>
        <v>0</v>
      </c>
      <c r="I2065">
        <f t="shared" si="427"/>
        <v>0</v>
      </c>
      <c r="J2065">
        <f t="shared" si="428"/>
        <v>0</v>
      </c>
      <c r="K2065" s="4" t="e">
        <f t="shared" si="418"/>
        <v>#N/A</v>
      </c>
      <c r="L2065" t="e">
        <f t="shared" si="419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20"/>
        <v>0</v>
      </c>
      <c r="B2066">
        <f t="shared" si="421"/>
        <v>0</v>
      </c>
      <c r="C2066">
        <f t="shared" si="422"/>
        <v>0</v>
      </c>
      <c r="D2066">
        <f t="shared" si="423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4"/>
        <v>0</v>
      </c>
      <c r="G2066">
        <f t="shared" si="425"/>
        <v>0</v>
      </c>
      <c r="H2066">
        <f t="shared" si="426"/>
        <v>0</v>
      </c>
      <c r="I2066">
        <f t="shared" si="427"/>
        <v>0</v>
      </c>
      <c r="J2066">
        <f t="shared" si="428"/>
        <v>0</v>
      </c>
      <c r="K2066" s="4" t="e">
        <f t="shared" si="418"/>
        <v>#N/A</v>
      </c>
      <c r="L2066" t="e">
        <f t="shared" si="419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20"/>
        <v>0</v>
      </c>
      <c r="B2067">
        <f t="shared" si="421"/>
        <v>0</v>
      </c>
      <c r="C2067">
        <f t="shared" si="422"/>
        <v>0</v>
      </c>
      <c r="D2067">
        <f t="shared" si="423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4"/>
        <v>0</v>
      </c>
      <c r="G2067">
        <f t="shared" si="425"/>
        <v>0</v>
      </c>
      <c r="H2067">
        <f t="shared" si="426"/>
        <v>0</v>
      </c>
      <c r="I2067">
        <f t="shared" si="427"/>
        <v>0</v>
      </c>
      <c r="J2067">
        <f t="shared" si="428"/>
        <v>0</v>
      </c>
      <c r="K2067" s="4" t="e">
        <f t="shared" si="418"/>
        <v>#N/A</v>
      </c>
      <c r="L2067" t="e">
        <f t="shared" si="419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20"/>
        <v>0</v>
      </c>
      <c r="B2068">
        <f t="shared" si="421"/>
        <v>0</v>
      </c>
      <c r="C2068">
        <f t="shared" si="422"/>
        <v>0</v>
      </c>
      <c r="D2068">
        <f t="shared" si="423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4"/>
        <v>0</v>
      </c>
      <c r="G2068">
        <f t="shared" si="425"/>
        <v>0</v>
      </c>
      <c r="H2068">
        <f t="shared" si="426"/>
        <v>0</v>
      </c>
      <c r="I2068">
        <f t="shared" si="427"/>
        <v>0</v>
      </c>
      <c r="J2068">
        <f t="shared" si="428"/>
        <v>0</v>
      </c>
      <c r="K2068" s="4" t="e">
        <f t="shared" si="418"/>
        <v>#N/A</v>
      </c>
      <c r="L2068" t="e">
        <f t="shared" si="419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20"/>
        <v>0</v>
      </c>
      <c r="B2069">
        <f t="shared" si="421"/>
        <v>0</v>
      </c>
      <c r="C2069">
        <f t="shared" si="422"/>
        <v>0</v>
      </c>
      <c r="D2069">
        <f t="shared" si="423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4"/>
        <v>0</v>
      </c>
      <c r="G2069">
        <f t="shared" si="425"/>
        <v>0</v>
      </c>
      <c r="H2069">
        <f t="shared" si="426"/>
        <v>0</v>
      </c>
      <c r="I2069">
        <f t="shared" si="427"/>
        <v>0</v>
      </c>
      <c r="J2069">
        <f t="shared" si="428"/>
        <v>0</v>
      </c>
      <c r="K2069" s="4" t="e">
        <f t="shared" si="418"/>
        <v>#N/A</v>
      </c>
      <c r="L2069" t="e">
        <f t="shared" si="419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20"/>
        <v>0</v>
      </c>
      <c r="B2070">
        <f t="shared" si="421"/>
        <v>0</v>
      </c>
      <c r="C2070">
        <f t="shared" si="422"/>
        <v>0</v>
      </c>
      <c r="D2070">
        <f t="shared" si="423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4"/>
        <v>0</v>
      </c>
      <c r="G2070">
        <f t="shared" si="425"/>
        <v>0</v>
      </c>
      <c r="H2070">
        <f t="shared" si="426"/>
        <v>0</v>
      </c>
      <c r="I2070">
        <f t="shared" si="427"/>
        <v>0</v>
      </c>
      <c r="J2070">
        <f t="shared" si="428"/>
        <v>0</v>
      </c>
      <c r="K2070" s="4" t="e">
        <f t="shared" si="418"/>
        <v>#N/A</v>
      </c>
      <c r="L2070" t="e">
        <f t="shared" si="419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20"/>
        <v>0</v>
      </c>
      <c r="B2071">
        <f t="shared" si="421"/>
        <v>0</v>
      </c>
      <c r="C2071">
        <f t="shared" si="422"/>
        <v>0</v>
      </c>
      <c r="D2071">
        <f t="shared" si="423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4"/>
        <v>0</v>
      </c>
      <c r="G2071">
        <f t="shared" si="425"/>
        <v>0</v>
      </c>
      <c r="H2071">
        <f t="shared" si="426"/>
        <v>0</v>
      </c>
      <c r="I2071">
        <f t="shared" si="427"/>
        <v>0</v>
      </c>
      <c r="J2071">
        <f t="shared" si="428"/>
        <v>0</v>
      </c>
      <c r="K2071" s="4" t="e">
        <f t="shared" si="418"/>
        <v>#N/A</v>
      </c>
      <c r="L2071" t="e">
        <f t="shared" si="419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20"/>
        <v>0</v>
      </c>
      <c r="B2072">
        <f t="shared" si="421"/>
        <v>0</v>
      </c>
      <c r="C2072">
        <f t="shared" si="422"/>
        <v>0</v>
      </c>
      <c r="D2072">
        <f t="shared" si="423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4"/>
        <v>0</v>
      </c>
      <c r="G2072">
        <f t="shared" si="425"/>
        <v>0</v>
      </c>
      <c r="H2072">
        <f t="shared" si="426"/>
        <v>0</v>
      </c>
      <c r="I2072">
        <f t="shared" si="427"/>
        <v>0</v>
      </c>
      <c r="J2072">
        <f t="shared" si="428"/>
        <v>0</v>
      </c>
      <c r="K2072" s="4" t="e">
        <f t="shared" si="418"/>
        <v>#N/A</v>
      </c>
      <c r="L2072" t="e">
        <f t="shared" si="419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20"/>
        <v>0</v>
      </c>
      <c r="B2073">
        <f t="shared" si="421"/>
        <v>0</v>
      </c>
      <c r="C2073">
        <f t="shared" si="422"/>
        <v>0</v>
      </c>
      <c r="D2073">
        <f t="shared" si="423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4"/>
        <v>0</v>
      </c>
      <c r="G2073">
        <f t="shared" si="425"/>
        <v>0</v>
      </c>
      <c r="H2073">
        <f t="shared" si="426"/>
        <v>0</v>
      </c>
      <c r="I2073">
        <f t="shared" si="427"/>
        <v>0</v>
      </c>
      <c r="J2073">
        <f t="shared" si="428"/>
        <v>0</v>
      </c>
      <c r="K2073" s="4" t="e">
        <f t="shared" si="418"/>
        <v>#N/A</v>
      </c>
      <c r="L2073" t="e">
        <f t="shared" si="419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20"/>
        <v>0</v>
      </c>
      <c r="B2074">
        <f t="shared" si="421"/>
        <v>0</v>
      </c>
      <c r="C2074">
        <f t="shared" si="422"/>
        <v>0</v>
      </c>
      <c r="D2074">
        <f t="shared" si="423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4"/>
        <v>0</v>
      </c>
      <c r="G2074">
        <f t="shared" si="425"/>
        <v>0</v>
      </c>
      <c r="H2074">
        <f t="shared" si="426"/>
        <v>0</v>
      </c>
      <c r="I2074">
        <f t="shared" si="427"/>
        <v>0</v>
      </c>
      <c r="J2074">
        <f t="shared" si="428"/>
        <v>0</v>
      </c>
      <c r="K2074" s="4" t="e">
        <f t="shared" si="418"/>
        <v>#N/A</v>
      </c>
      <c r="L2074" t="e">
        <f t="shared" si="419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20"/>
        <v>0</v>
      </c>
      <c r="B2075">
        <f t="shared" si="421"/>
        <v>0</v>
      </c>
      <c r="C2075">
        <f t="shared" si="422"/>
        <v>0</v>
      </c>
      <c r="D2075">
        <f t="shared" si="423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4"/>
        <v>0</v>
      </c>
      <c r="G2075">
        <f t="shared" si="425"/>
        <v>0</v>
      </c>
      <c r="H2075">
        <f t="shared" si="426"/>
        <v>0</v>
      </c>
      <c r="I2075">
        <f t="shared" si="427"/>
        <v>0</v>
      </c>
      <c r="J2075">
        <f t="shared" si="428"/>
        <v>0</v>
      </c>
      <c r="K2075" s="4" t="e">
        <f t="shared" si="418"/>
        <v>#N/A</v>
      </c>
      <c r="L2075" t="e">
        <f t="shared" si="419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20"/>
        <v>0</v>
      </c>
      <c r="B2076">
        <f t="shared" si="421"/>
        <v>0</v>
      </c>
      <c r="C2076">
        <f t="shared" si="422"/>
        <v>0</v>
      </c>
      <c r="D2076">
        <f t="shared" si="423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4"/>
        <v>0</v>
      </c>
      <c r="G2076">
        <f t="shared" si="425"/>
        <v>0</v>
      </c>
      <c r="H2076">
        <f t="shared" si="426"/>
        <v>0</v>
      </c>
      <c r="I2076">
        <f t="shared" si="427"/>
        <v>0</v>
      </c>
      <c r="J2076">
        <f t="shared" si="428"/>
        <v>0</v>
      </c>
      <c r="K2076" s="4" t="e">
        <f t="shared" si="418"/>
        <v>#N/A</v>
      </c>
      <c r="L2076" t="e">
        <f t="shared" si="419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20"/>
        <v>0</v>
      </c>
      <c r="B2077">
        <f t="shared" si="421"/>
        <v>0</v>
      </c>
      <c r="C2077">
        <f t="shared" si="422"/>
        <v>0</v>
      </c>
      <c r="D2077">
        <f t="shared" si="423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4"/>
        <v>0</v>
      </c>
      <c r="G2077">
        <f t="shared" si="425"/>
        <v>0</v>
      </c>
      <c r="H2077">
        <f t="shared" si="426"/>
        <v>0</v>
      </c>
      <c r="I2077">
        <f t="shared" si="427"/>
        <v>0</v>
      </c>
      <c r="J2077">
        <f t="shared" si="428"/>
        <v>0</v>
      </c>
      <c r="K2077" s="4" t="e">
        <f t="shared" si="418"/>
        <v>#N/A</v>
      </c>
      <c r="L2077" t="e">
        <f t="shared" si="419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20"/>
        <v>0</v>
      </c>
      <c r="B2078">
        <f t="shared" si="421"/>
        <v>0</v>
      </c>
      <c r="C2078">
        <f t="shared" si="422"/>
        <v>0</v>
      </c>
      <c r="D2078">
        <f t="shared" si="423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4"/>
        <v>0</v>
      </c>
      <c r="G2078">
        <f t="shared" si="425"/>
        <v>0</v>
      </c>
      <c r="H2078">
        <f t="shared" si="426"/>
        <v>0</v>
      </c>
      <c r="I2078">
        <f t="shared" si="427"/>
        <v>0</v>
      </c>
      <c r="J2078">
        <f t="shared" si="428"/>
        <v>0</v>
      </c>
      <c r="K2078" s="4" t="e">
        <f t="shared" si="418"/>
        <v>#N/A</v>
      </c>
      <c r="L2078" t="e">
        <f t="shared" si="419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20"/>
        <v>0</v>
      </c>
      <c r="B2079">
        <f t="shared" si="421"/>
        <v>0</v>
      </c>
      <c r="C2079">
        <f t="shared" si="422"/>
        <v>0</v>
      </c>
      <c r="D2079">
        <f t="shared" si="423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4"/>
        <v>0</v>
      </c>
      <c r="G2079">
        <f t="shared" si="425"/>
        <v>0</v>
      </c>
      <c r="H2079">
        <f t="shared" si="426"/>
        <v>0</v>
      </c>
      <c r="I2079">
        <f t="shared" si="427"/>
        <v>0</v>
      </c>
      <c r="J2079">
        <f t="shared" si="428"/>
        <v>0</v>
      </c>
      <c r="K2079" s="4" t="e">
        <f t="shared" si="418"/>
        <v>#N/A</v>
      </c>
      <c r="L2079" t="e">
        <f t="shared" si="419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20"/>
        <v>0</v>
      </c>
      <c r="B2080">
        <f t="shared" si="421"/>
        <v>0</v>
      </c>
      <c r="C2080">
        <f t="shared" si="422"/>
        <v>0</v>
      </c>
      <c r="D2080">
        <f t="shared" si="423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4"/>
        <v>0</v>
      </c>
      <c r="G2080">
        <f t="shared" si="425"/>
        <v>0</v>
      </c>
      <c r="H2080">
        <f t="shared" si="426"/>
        <v>0</v>
      </c>
      <c r="I2080">
        <f t="shared" si="427"/>
        <v>0</v>
      </c>
      <c r="J2080">
        <f t="shared" si="428"/>
        <v>0</v>
      </c>
      <c r="K2080" s="4" t="e">
        <f t="shared" si="418"/>
        <v>#N/A</v>
      </c>
      <c r="L2080" t="e">
        <f t="shared" si="419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20"/>
        <v>0</v>
      </c>
      <c r="B2081">
        <f t="shared" si="421"/>
        <v>0</v>
      </c>
      <c r="C2081">
        <f t="shared" si="422"/>
        <v>0</v>
      </c>
      <c r="D2081">
        <f t="shared" si="423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4"/>
        <v>0</v>
      </c>
      <c r="G2081">
        <f t="shared" si="425"/>
        <v>0</v>
      </c>
      <c r="H2081">
        <f t="shared" si="426"/>
        <v>0</v>
      </c>
      <c r="I2081">
        <f t="shared" si="427"/>
        <v>0</v>
      </c>
      <c r="J2081">
        <f t="shared" si="428"/>
        <v>0</v>
      </c>
      <c r="K2081" s="4" t="e">
        <f t="shared" si="418"/>
        <v>#N/A</v>
      </c>
      <c r="L2081" t="e">
        <f t="shared" si="419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20"/>
        <v>0</v>
      </c>
      <c r="B2082">
        <f t="shared" si="421"/>
        <v>0</v>
      </c>
      <c r="C2082">
        <f t="shared" si="422"/>
        <v>0</v>
      </c>
      <c r="D2082">
        <f t="shared" si="423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4"/>
        <v>0</v>
      </c>
      <c r="G2082">
        <f t="shared" si="425"/>
        <v>0</v>
      </c>
      <c r="H2082">
        <f t="shared" si="426"/>
        <v>0</v>
      </c>
      <c r="I2082">
        <f t="shared" si="427"/>
        <v>0</v>
      </c>
      <c r="J2082">
        <f t="shared" si="428"/>
        <v>0</v>
      </c>
      <c r="K2082" s="4" t="e">
        <f t="shared" si="418"/>
        <v>#N/A</v>
      </c>
      <c r="L2082" t="e">
        <f t="shared" si="419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20"/>
        <v>0</v>
      </c>
      <c r="B2083">
        <f t="shared" si="421"/>
        <v>0</v>
      </c>
      <c r="C2083">
        <f t="shared" si="422"/>
        <v>0</v>
      </c>
      <c r="D2083">
        <f t="shared" si="423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4"/>
        <v>0</v>
      </c>
      <c r="G2083">
        <f t="shared" si="425"/>
        <v>0</v>
      </c>
      <c r="H2083">
        <f t="shared" si="426"/>
        <v>0</v>
      </c>
      <c r="I2083">
        <f t="shared" si="427"/>
        <v>0</v>
      </c>
      <c r="J2083">
        <f t="shared" si="428"/>
        <v>0</v>
      </c>
      <c r="K2083" s="4" t="e">
        <f t="shared" si="418"/>
        <v>#N/A</v>
      </c>
      <c r="L2083" t="e">
        <f t="shared" si="419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20"/>
        <v>0</v>
      </c>
      <c r="B2084">
        <f t="shared" si="421"/>
        <v>0</v>
      </c>
      <c r="C2084">
        <f t="shared" si="422"/>
        <v>0</v>
      </c>
      <c r="D2084">
        <f t="shared" si="423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4"/>
        <v>0</v>
      </c>
      <c r="G2084">
        <f t="shared" si="425"/>
        <v>0</v>
      </c>
      <c r="H2084">
        <f t="shared" si="426"/>
        <v>0</v>
      </c>
      <c r="I2084">
        <f t="shared" si="427"/>
        <v>0</v>
      </c>
      <c r="J2084">
        <f t="shared" si="428"/>
        <v>0</v>
      </c>
      <c r="K2084" s="4" t="e">
        <f t="shared" si="418"/>
        <v>#N/A</v>
      </c>
      <c r="L2084" t="e">
        <f t="shared" si="419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20"/>
        <v>0</v>
      </c>
      <c r="B2085">
        <f t="shared" si="421"/>
        <v>0</v>
      </c>
      <c r="C2085">
        <f t="shared" si="422"/>
        <v>0</v>
      </c>
      <c r="D2085">
        <f t="shared" si="423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4"/>
        <v>0</v>
      </c>
      <c r="G2085">
        <f t="shared" si="425"/>
        <v>0</v>
      </c>
      <c r="H2085">
        <f t="shared" si="426"/>
        <v>0</v>
      </c>
      <c r="I2085">
        <f t="shared" si="427"/>
        <v>0</v>
      </c>
      <c r="J2085">
        <f t="shared" si="428"/>
        <v>0</v>
      </c>
      <c r="K2085" s="4" t="e">
        <f t="shared" si="418"/>
        <v>#N/A</v>
      </c>
      <c r="L2085" t="e">
        <f t="shared" si="419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20"/>
        <v>0</v>
      </c>
      <c r="B2086">
        <f t="shared" si="421"/>
        <v>0</v>
      </c>
      <c r="C2086">
        <f t="shared" si="422"/>
        <v>0</v>
      </c>
      <c r="D2086">
        <f t="shared" si="423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4"/>
        <v>0</v>
      </c>
      <c r="G2086">
        <f t="shared" si="425"/>
        <v>0</v>
      </c>
      <c r="H2086">
        <f t="shared" si="426"/>
        <v>0</v>
      </c>
      <c r="I2086">
        <f t="shared" si="427"/>
        <v>0</v>
      </c>
      <c r="J2086">
        <f t="shared" si="428"/>
        <v>0</v>
      </c>
      <c r="K2086" s="4" t="e">
        <f t="shared" si="418"/>
        <v>#N/A</v>
      </c>
      <c r="L2086" t="e">
        <f t="shared" si="419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20"/>
        <v>0</v>
      </c>
      <c r="B2087">
        <f t="shared" si="421"/>
        <v>0</v>
      </c>
      <c r="C2087">
        <f t="shared" si="422"/>
        <v>0</v>
      </c>
      <c r="D2087">
        <f t="shared" si="423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4"/>
        <v>0</v>
      </c>
      <c r="G2087">
        <f t="shared" si="425"/>
        <v>0</v>
      </c>
      <c r="H2087">
        <f t="shared" si="426"/>
        <v>0</v>
      </c>
      <c r="I2087">
        <f t="shared" si="427"/>
        <v>0</v>
      </c>
      <c r="J2087">
        <f t="shared" si="428"/>
        <v>0</v>
      </c>
      <c r="K2087" s="4" t="e">
        <f t="shared" si="418"/>
        <v>#N/A</v>
      </c>
      <c r="L2087" t="e">
        <f t="shared" si="419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20"/>
        <v>0</v>
      </c>
      <c r="B2088">
        <f t="shared" si="421"/>
        <v>0</v>
      </c>
      <c r="C2088">
        <f t="shared" si="422"/>
        <v>0</v>
      </c>
      <c r="D2088">
        <f t="shared" si="423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4"/>
        <v>0</v>
      </c>
      <c r="G2088">
        <f t="shared" si="425"/>
        <v>0</v>
      </c>
      <c r="H2088">
        <f t="shared" si="426"/>
        <v>0</v>
      </c>
      <c r="I2088">
        <f t="shared" si="427"/>
        <v>0</v>
      </c>
      <c r="J2088">
        <f t="shared" si="428"/>
        <v>0</v>
      </c>
      <c r="K2088" s="4" t="e">
        <f t="shared" si="418"/>
        <v>#N/A</v>
      </c>
      <c r="L2088" t="e">
        <f t="shared" si="419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20"/>
        <v>0</v>
      </c>
      <c r="B2089">
        <f t="shared" si="421"/>
        <v>0</v>
      </c>
      <c r="C2089">
        <f t="shared" si="422"/>
        <v>0</v>
      </c>
      <c r="D2089">
        <f t="shared" si="423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4"/>
        <v>0</v>
      </c>
      <c r="G2089">
        <f t="shared" si="425"/>
        <v>0</v>
      </c>
      <c r="H2089">
        <f t="shared" si="426"/>
        <v>0</v>
      </c>
      <c r="I2089">
        <f t="shared" si="427"/>
        <v>0</v>
      </c>
      <c r="J2089">
        <f t="shared" si="428"/>
        <v>0</v>
      </c>
      <c r="K2089" s="4" t="e">
        <f t="shared" si="418"/>
        <v>#N/A</v>
      </c>
      <c r="L2089" t="e">
        <f t="shared" si="419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20"/>
        <v>0</v>
      </c>
      <c r="B2090">
        <f t="shared" si="421"/>
        <v>0</v>
      </c>
      <c r="C2090">
        <f t="shared" si="422"/>
        <v>0</v>
      </c>
      <c r="D2090">
        <f t="shared" si="423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4"/>
        <v>0</v>
      </c>
      <c r="G2090">
        <f t="shared" si="425"/>
        <v>0</v>
      </c>
      <c r="H2090">
        <f t="shared" si="426"/>
        <v>0</v>
      </c>
      <c r="I2090">
        <f t="shared" si="427"/>
        <v>0</v>
      </c>
      <c r="J2090">
        <f t="shared" si="428"/>
        <v>0</v>
      </c>
      <c r="K2090" s="4" t="e">
        <f t="shared" si="418"/>
        <v>#N/A</v>
      </c>
      <c r="L2090" t="e">
        <f t="shared" si="419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20"/>
        <v>0</v>
      </c>
      <c r="B2091">
        <f t="shared" si="421"/>
        <v>0</v>
      </c>
      <c r="C2091">
        <f t="shared" si="422"/>
        <v>0</v>
      </c>
      <c r="D2091">
        <f t="shared" si="423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4"/>
        <v>0</v>
      </c>
      <c r="G2091">
        <f t="shared" si="425"/>
        <v>0</v>
      </c>
      <c r="H2091">
        <f t="shared" si="426"/>
        <v>0</v>
      </c>
      <c r="I2091">
        <f t="shared" si="427"/>
        <v>0</v>
      </c>
      <c r="J2091">
        <f t="shared" si="428"/>
        <v>0</v>
      </c>
      <c r="K2091" s="4" t="e">
        <f t="shared" si="418"/>
        <v>#N/A</v>
      </c>
      <c r="L2091" t="e">
        <f t="shared" si="419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20"/>
        <v>0</v>
      </c>
      <c r="B2092">
        <f t="shared" si="421"/>
        <v>0</v>
      </c>
      <c r="C2092">
        <f t="shared" si="422"/>
        <v>0</v>
      </c>
      <c r="D2092">
        <f t="shared" si="423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4"/>
        <v>0</v>
      </c>
      <c r="G2092">
        <f t="shared" si="425"/>
        <v>0</v>
      </c>
      <c r="H2092">
        <f t="shared" si="426"/>
        <v>0</v>
      </c>
      <c r="I2092">
        <f t="shared" si="427"/>
        <v>0</v>
      </c>
      <c r="J2092">
        <f t="shared" si="428"/>
        <v>0</v>
      </c>
      <c r="K2092" s="4" t="e">
        <f t="shared" ref="K2092:K2155" si="431">IF(LEFT(B2092,3)="DBM",0,VLOOKUP(E2092,tabela,2,FALSE))</f>
        <v>#N/A</v>
      </c>
      <c r="L2092" t="e">
        <f t="shared" ref="L2092:L2155" si="432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20"/>
        <v>0</v>
      </c>
      <c r="B2093">
        <f t="shared" si="421"/>
        <v>0</v>
      </c>
      <c r="C2093">
        <f t="shared" si="422"/>
        <v>0</v>
      </c>
      <c r="D2093">
        <f t="shared" si="423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4"/>
        <v>0</v>
      </c>
      <c r="G2093">
        <f t="shared" si="425"/>
        <v>0</v>
      </c>
      <c r="H2093">
        <f t="shared" si="426"/>
        <v>0</v>
      </c>
      <c r="I2093">
        <f t="shared" si="427"/>
        <v>0</v>
      </c>
      <c r="J2093">
        <f t="shared" si="428"/>
        <v>0</v>
      </c>
      <c r="K2093" s="4" t="e">
        <f t="shared" si="431"/>
        <v>#N/A</v>
      </c>
      <c r="L2093" t="e">
        <f t="shared" si="432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20"/>
        <v>0</v>
      </c>
      <c r="B2094">
        <f t="shared" si="421"/>
        <v>0</v>
      </c>
      <c r="C2094">
        <f t="shared" si="422"/>
        <v>0</v>
      </c>
      <c r="D2094">
        <f t="shared" si="423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4"/>
        <v>0</v>
      </c>
      <c r="G2094">
        <f t="shared" si="425"/>
        <v>0</v>
      </c>
      <c r="H2094">
        <f t="shared" si="426"/>
        <v>0</v>
      </c>
      <c r="I2094">
        <f t="shared" si="427"/>
        <v>0</v>
      </c>
      <c r="J2094">
        <f t="shared" si="428"/>
        <v>0</v>
      </c>
      <c r="K2094" s="4" t="e">
        <f t="shared" si="431"/>
        <v>#N/A</v>
      </c>
      <c r="L2094" t="e">
        <f t="shared" si="432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20"/>
        <v>0</v>
      </c>
      <c r="B2095">
        <f t="shared" si="421"/>
        <v>0</v>
      </c>
      <c r="C2095">
        <f t="shared" si="422"/>
        <v>0</v>
      </c>
      <c r="D2095">
        <f t="shared" si="423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4"/>
        <v>0</v>
      </c>
      <c r="G2095">
        <f t="shared" si="425"/>
        <v>0</v>
      </c>
      <c r="H2095">
        <f t="shared" si="426"/>
        <v>0</v>
      </c>
      <c r="I2095">
        <f t="shared" si="427"/>
        <v>0</v>
      </c>
      <c r="J2095">
        <f t="shared" si="428"/>
        <v>0</v>
      </c>
      <c r="K2095" s="4" t="e">
        <f t="shared" si="431"/>
        <v>#N/A</v>
      </c>
      <c r="L2095" t="e">
        <f t="shared" si="432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20"/>
        <v>0</v>
      </c>
      <c r="B2096">
        <f t="shared" si="421"/>
        <v>0</v>
      </c>
      <c r="C2096">
        <f t="shared" si="422"/>
        <v>0</v>
      </c>
      <c r="D2096">
        <f t="shared" si="423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4"/>
        <v>0</v>
      </c>
      <c r="G2096">
        <f t="shared" si="425"/>
        <v>0</v>
      </c>
      <c r="H2096">
        <f t="shared" si="426"/>
        <v>0</v>
      </c>
      <c r="I2096">
        <f t="shared" si="427"/>
        <v>0</v>
      </c>
      <c r="J2096">
        <f t="shared" si="428"/>
        <v>0</v>
      </c>
      <c r="K2096" s="4" t="e">
        <f t="shared" si="431"/>
        <v>#N/A</v>
      </c>
      <c r="L2096" t="e">
        <f t="shared" si="432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20"/>
        <v>0</v>
      </c>
      <c r="B2097">
        <f t="shared" si="421"/>
        <v>0</v>
      </c>
      <c r="C2097">
        <f t="shared" si="422"/>
        <v>0</v>
      </c>
      <c r="D2097">
        <f t="shared" si="423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4"/>
        <v>0</v>
      </c>
      <c r="G2097">
        <f t="shared" si="425"/>
        <v>0</v>
      </c>
      <c r="H2097">
        <f t="shared" si="426"/>
        <v>0</v>
      </c>
      <c r="I2097">
        <f t="shared" si="427"/>
        <v>0</v>
      </c>
      <c r="J2097">
        <f t="shared" si="428"/>
        <v>0</v>
      </c>
      <c r="K2097" s="4" t="e">
        <f t="shared" si="431"/>
        <v>#N/A</v>
      </c>
      <c r="L2097" t="e">
        <f t="shared" si="432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20"/>
        <v>0</v>
      </c>
      <c r="B2098">
        <f t="shared" si="421"/>
        <v>0</v>
      </c>
      <c r="C2098">
        <f t="shared" si="422"/>
        <v>0</v>
      </c>
      <c r="D2098">
        <f t="shared" si="423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4"/>
        <v>0</v>
      </c>
      <c r="G2098">
        <f t="shared" si="425"/>
        <v>0</v>
      </c>
      <c r="H2098">
        <f t="shared" si="426"/>
        <v>0</v>
      </c>
      <c r="I2098">
        <f t="shared" si="427"/>
        <v>0</v>
      </c>
      <c r="J2098">
        <f t="shared" si="428"/>
        <v>0</v>
      </c>
      <c r="K2098" s="4" t="e">
        <f t="shared" si="431"/>
        <v>#N/A</v>
      </c>
      <c r="L2098" t="e">
        <f t="shared" si="432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20"/>
        <v>0</v>
      </c>
      <c r="B2099">
        <f t="shared" si="421"/>
        <v>0</v>
      </c>
      <c r="C2099">
        <f t="shared" si="422"/>
        <v>0</v>
      </c>
      <c r="D2099">
        <f t="shared" si="423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4"/>
        <v>0</v>
      </c>
      <c r="G2099">
        <f t="shared" si="425"/>
        <v>0</v>
      </c>
      <c r="H2099">
        <f t="shared" si="426"/>
        <v>0</v>
      </c>
      <c r="I2099">
        <f t="shared" si="427"/>
        <v>0</v>
      </c>
      <c r="J2099">
        <f t="shared" si="428"/>
        <v>0</v>
      </c>
      <c r="K2099" s="4" t="e">
        <f t="shared" si="431"/>
        <v>#N/A</v>
      </c>
      <c r="L2099" t="e">
        <f t="shared" si="432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20"/>
        <v>0</v>
      </c>
      <c r="B2100">
        <f t="shared" si="421"/>
        <v>0</v>
      </c>
      <c r="C2100">
        <f t="shared" si="422"/>
        <v>0</v>
      </c>
      <c r="D2100">
        <f t="shared" si="423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4"/>
        <v>0</v>
      </c>
      <c r="G2100">
        <f t="shared" si="425"/>
        <v>0</v>
      </c>
      <c r="H2100">
        <f t="shared" si="426"/>
        <v>0</v>
      </c>
      <c r="I2100">
        <f t="shared" si="427"/>
        <v>0</v>
      </c>
      <c r="J2100">
        <f t="shared" si="428"/>
        <v>0</v>
      </c>
      <c r="K2100" s="4" t="e">
        <f t="shared" si="431"/>
        <v>#N/A</v>
      </c>
      <c r="L2100" t="e">
        <f t="shared" si="432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20"/>
        <v>0</v>
      </c>
      <c r="B2101">
        <f t="shared" si="421"/>
        <v>0</v>
      </c>
      <c r="C2101">
        <f t="shared" si="422"/>
        <v>0</v>
      </c>
      <c r="D2101">
        <f t="shared" si="423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4"/>
        <v>0</v>
      </c>
      <c r="G2101">
        <f t="shared" si="425"/>
        <v>0</v>
      </c>
      <c r="H2101">
        <f t="shared" si="426"/>
        <v>0</v>
      </c>
      <c r="I2101">
        <f t="shared" si="427"/>
        <v>0</v>
      </c>
      <c r="J2101">
        <f t="shared" si="428"/>
        <v>0</v>
      </c>
      <c r="K2101" s="4" t="e">
        <f t="shared" si="431"/>
        <v>#N/A</v>
      </c>
      <c r="L2101" t="e">
        <f t="shared" si="432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20"/>
        <v>0</v>
      </c>
      <c r="B2102">
        <f t="shared" si="421"/>
        <v>0</v>
      </c>
      <c r="C2102">
        <f t="shared" si="422"/>
        <v>0</v>
      </c>
      <c r="D2102">
        <f t="shared" si="423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4"/>
        <v>0</v>
      </c>
      <c r="G2102">
        <f t="shared" si="425"/>
        <v>0</v>
      </c>
      <c r="H2102">
        <f t="shared" si="426"/>
        <v>0</v>
      </c>
      <c r="I2102">
        <f t="shared" si="427"/>
        <v>0</v>
      </c>
      <c r="J2102">
        <f t="shared" si="428"/>
        <v>0</v>
      </c>
      <c r="K2102" s="4" t="e">
        <f t="shared" si="431"/>
        <v>#N/A</v>
      </c>
      <c r="L2102" t="e">
        <f t="shared" si="432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20"/>
        <v>0</v>
      </c>
      <c r="B2103">
        <f t="shared" si="421"/>
        <v>0</v>
      </c>
      <c r="C2103">
        <f t="shared" si="422"/>
        <v>0</v>
      </c>
      <c r="D2103">
        <f t="shared" si="423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4"/>
        <v>0</v>
      </c>
      <c r="G2103">
        <f t="shared" si="425"/>
        <v>0</v>
      </c>
      <c r="H2103">
        <f t="shared" si="426"/>
        <v>0</v>
      </c>
      <c r="I2103">
        <f t="shared" si="427"/>
        <v>0</v>
      </c>
      <c r="J2103">
        <f t="shared" si="428"/>
        <v>0</v>
      </c>
      <c r="K2103" s="4" t="e">
        <f t="shared" si="431"/>
        <v>#N/A</v>
      </c>
      <c r="L2103" t="e">
        <f t="shared" si="432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20"/>
        <v>0</v>
      </c>
      <c r="B2104">
        <f t="shared" si="421"/>
        <v>0</v>
      </c>
      <c r="C2104">
        <f t="shared" si="422"/>
        <v>0</v>
      </c>
      <c r="D2104">
        <f t="shared" si="423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4"/>
        <v>0</v>
      </c>
      <c r="G2104">
        <f t="shared" si="425"/>
        <v>0</v>
      </c>
      <c r="H2104">
        <f t="shared" si="426"/>
        <v>0</v>
      </c>
      <c r="I2104">
        <f t="shared" si="427"/>
        <v>0</v>
      </c>
      <c r="J2104">
        <f t="shared" si="428"/>
        <v>0</v>
      </c>
      <c r="K2104" s="4" t="e">
        <f t="shared" si="431"/>
        <v>#N/A</v>
      </c>
      <c r="L2104" t="e">
        <f t="shared" si="432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20"/>
        <v>0</v>
      </c>
      <c r="B2105">
        <f t="shared" si="421"/>
        <v>0</v>
      </c>
      <c r="C2105">
        <f t="shared" si="422"/>
        <v>0</v>
      </c>
      <c r="D2105">
        <f t="shared" si="423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4"/>
        <v>0</v>
      </c>
      <c r="G2105">
        <f t="shared" si="425"/>
        <v>0</v>
      </c>
      <c r="H2105">
        <f t="shared" si="426"/>
        <v>0</v>
      </c>
      <c r="I2105">
        <f t="shared" si="427"/>
        <v>0</v>
      </c>
      <c r="J2105">
        <f t="shared" si="428"/>
        <v>0</v>
      </c>
      <c r="K2105" s="4" t="e">
        <f t="shared" si="431"/>
        <v>#N/A</v>
      </c>
      <c r="L2105" t="e">
        <f t="shared" si="432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20"/>
        <v>0</v>
      </c>
      <c r="B2106">
        <f t="shared" si="421"/>
        <v>0</v>
      </c>
      <c r="C2106">
        <f t="shared" si="422"/>
        <v>0</v>
      </c>
      <c r="D2106">
        <f t="shared" si="423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4"/>
        <v>0</v>
      </c>
      <c r="G2106">
        <f t="shared" si="425"/>
        <v>0</v>
      </c>
      <c r="H2106">
        <f t="shared" si="426"/>
        <v>0</v>
      </c>
      <c r="I2106">
        <f t="shared" si="427"/>
        <v>0</v>
      </c>
      <c r="J2106">
        <f t="shared" si="428"/>
        <v>0</v>
      </c>
      <c r="K2106" s="4" t="e">
        <f t="shared" si="431"/>
        <v>#N/A</v>
      </c>
      <c r="L2106" t="e">
        <f t="shared" si="432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20"/>
        <v>0</v>
      </c>
      <c r="B2107">
        <f t="shared" si="421"/>
        <v>0</v>
      </c>
      <c r="C2107">
        <f t="shared" si="422"/>
        <v>0</v>
      </c>
      <c r="D2107">
        <f t="shared" si="423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4"/>
        <v>0</v>
      </c>
      <c r="G2107">
        <f t="shared" si="425"/>
        <v>0</v>
      </c>
      <c r="H2107">
        <f t="shared" si="426"/>
        <v>0</v>
      </c>
      <c r="I2107">
        <f t="shared" si="427"/>
        <v>0</v>
      </c>
      <c r="J2107">
        <f t="shared" si="428"/>
        <v>0</v>
      </c>
      <c r="K2107" s="4" t="e">
        <f t="shared" si="431"/>
        <v>#N/A</v>
      </c>
      <c r="L2107" t="e">
        <f t="shared" si="432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20"/>
        <v>0</v>
      </c>
      <c r="B2108">
        <f t="shared" si="421"/>
        <v>0</v>
      </c>
      <c r="C2108">
        <f t="shared" si="422"/>
        <v>0</v>
      </c>
      <c r="D2108">
        <f t="shared" si="423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4"/>
        <v>0</v>
      </c>
      <c r="G2108">
        <f t="shared" si="425"/>
        <v>0</v>
      </c>
      <c r="H2108">
        <f t="shared" si="426"/>
        <v>0</v>
      </c>
      <c r="I2108">
        <f t="shared" si="427"/>
        <v>0</v>
      </c>
      <c r="J2108">
        <f t="shared" si="428"/>
        <v>0</v>
      </c>
      <c r="K2108" s="4" t="e">
        <f t="shared" si="431"/>
        <v>#N/A</v>
      </c>
      <c r="L2108" t="e">
        <f t="shared" si="432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20"/>
        <v>0</v>
      </c>
      <c r="B2109">
        <f t="shared" si="421"/>
        <v>0</v>
      </c>
      <c r="C2109">
        <f t="shared" si="422"/>
        <v>0</v>
      </c>
      <c r="D2109">
        <f t="shared" si="423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4"/>
        <v>0</v>
      </c>
      <c r="G2109">
        <f t="shared" si="425"/>
        <v>0</v>
      </c>
      <c r="H2109">
        <f t="shared" si="426"/>
        <v>0</v>
      </c>
      <c r="I2109">
        <f t="shared" si="427"/>
        <v>0</v>
      </c>
      <c r="J2109">
        <f t="shared" si="428"/>
        <v>0</v>
      </c>
      <c r="K2109" s="4" t="e">
        <f t="shared" si="431"/>
        <v>#N/A</v>
      </c>
      <c r="L2109" t="e">
        <f t="shared" si="432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20"/>
        <v>0</v>
      </c>
      <c r="B2110">
        <f t="shared" si="421"/>
        <v>0</v>
      </c>
      <c r="C2110">
        <f t="shared" si="422"/>
        <v>0</v>
      </c>
      <c r="D2110">
        <f t="shared" si="423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4"/>
        <v>0</v>
      </c>
      <c r="G2110">
        <f t="shared" si="425"/>
        <v>0</v>
      </c>
      <c r="H2110">
        <f t="shared" si="426"/>
        <v>0</v>
      </c>
      <c r="I2110">
        <f t="shared" si="427"/>
        <v>0</v>
      </c>
      <c r="J2110">
        <f t="shared" si="428"/>
        <v>0</v>
      </c>
      <c r="K2110" s="4" t="e">
        <f t="shared" si="431"/>
        <v>#N/A</v>
      </c>
      <c r="L2110" t="e">
        <f t="shared" si="432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20"/>
        <v>0</v>
      </c>
      <c r="B2111">
        <f t="shared" si="421"/>
        <v>0</v>
      </c>
      <c r="C2111">
        <f t="shared" si="422"/>
        <v>0</v>
      </c>
      <c r="D2111">
        <f t="shared" si="423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4"/>
        <v>0</v>
      </c>
      <c r="G2111">
        <f t="shared" si="425"/>
        <v>0</v>
      </c>
      <c r="H2111">
        <f t="shared" si="426"/>
        <v>0</v>
      </c>
      <c r="I2111">
        <f t="shared" si="427"/>
        <v>0</v>
      </c>
      <c r="J2111">
        <f t="shared" si="428"/>
        <v>0</v>
      </c>
      <c r="K2111" s="4" t="e">
        <f t="shared" si="431"/>
        <v>#N/A</v>
      </c>
      <c r="L2111" t="e">
        <f t="shared" si="432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20"/>
        <v>0</v>
      </c>
      <c r="B2112">
        <f t="shared" si="421"/>
        <v>0</v>
      </c>
      <c r="C2112">
        <f t="shared" si="422"/>
        <v>0</v>
      </c>
      <c r="D2112">
        <f t="shared" si="423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4"/>
        <v>0</v>
      </c>
      <c r="G2112">
        <f t="shared" si="425"/>
        <v>0</v>
      </c>
      <c r="H2112">
        <f t="shared" si="426"/>
        <v>0</v>
      </c>
      <c r="I2112">
        <f t="shared" si="427"/>
        <v>0</v>
      </c>
      <c r="J2112">
        <f t="shared" si="428"/>
        <v>0</v>
      </c>
      <c r="K2112" s="4" t="e">
        <f t="shared" si="431"/>
        <v>#N/A</v>
      </c>
      <c r="L2112" t="e">
        <f t="shared" si="432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20"/>
        <v>0</v>
      </c>
      <c r="B2113">
        <f t="shared" si="421"/>
        <v>0</v>
      </c>
      <c r="C2113">
        <f t="shared" si="422"/>
        <v>0</v>
      </c>
      <c r="D2113">
        <f t="shared" si="423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4"/>
        <v>0</v>
      </c>
      <c r="G2113">
        <f t="shared" si="425"/>
        <v>0</v>
      </c>
      <c r="H2113">
        <f t="shared" si="426"/>
        <v>0</v>
      </c>
      <c r="I2113">
        <f t="shared" si="427"/>
        <v>0</v>
      </c>
      <c r="J2113">
        <f t="shared" si="428"/>
        <v>0</v>
      </c>
      <c r="K2113" s="4" t="e">
        <f t="shared" si="431"/>
        <v>#N/A</v>
      </c>
      <c r="L2113" t="e">
        <f t="shared" si="432"/>
        <v>#N/A</v>
      </c>
      <c r="M2113" s="4" t="e">
        <f t="shared" ref="M2113:M2170" si="433">IF(E2113="Dynamic Click",J2113*K2113,K2113*$I2113/1000)</f>
        <v>#N/A</v>
      </c>
      <c r="N2113" s="4" t="e">
        <f t="shared" ref="N2113:N2170" si="434">IF(E2113="Dynamic Click",J2113*L2113,L2113*$I2113/1000)</f>
        <v>#N/A</v>
      </c>
    </row>
    <row r="2114" spans="1:14">
      <c r="A2114">
        <f t="shared" ref="A2114:A2177" si="435">bd_campaign</f>
        <v>0</v>
      </c>
      <c r="B2114">
        <f t="shared" ref="B2114:B2177" si="436">bd_site</f>
        <v>0</v>
      </c>
      <c r="C2114">
        <f t="shared" ref="C2114:C2177" si="437">bd_placement</f>
        <v>0</v>
      </c>
      <c r="D2114">
        <f t="shared" ref="D2114:D2177" si="438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9">bd_ad</f>
        <v>0</v>
      </c>
      <c r="G2114">
        <f t="shared" ref="G2114:G2177" si="440">bd_adid</f>
        <v>0</v>
      </c>
      <c r="H2114">
        <f t="shared" ref="H2114:H2177" si="441">bd_creativetype</f>
        <v>0</v>
      </c>
      <c r="I2114">
        <f t="shared" ref="I2114:I2177" si="442">bd_impression</f>
        <v>0</v>
      </c>
      <c r="J2114">
        <f t="shared" ref="J2114:J2177" si="443">bd_clicks</f>
        <v>0</v>
      </c>
      <c r="K2114" s="4" t="e">
        <f t="shared" si="431"/>
        <v>#N/A</v>
      </c>
      <c r="L2114" t="e">
        <f t="shared" si="432"/>
        <v>#N/A</v>
      </c>
      <c r="M2114" s="4" t="e">
        <f t="shared" si="433"/>
        <v>#N/A</v>
      </c>
      <c r="N2114" s="4" t="e">
        <f t="shared" si="434"/>
        <v>#N/A</v>
      </c>
    </row>
    <row r="2115" spans="1:14">
      <c r="A2115">
        <f t="shared" si="435"/>
        <v>0</v>
      </c>
      <c r="B2115">
        <f t="shared" si="436"/>
        <v>0</v>
      </c>
      <c r="C2115">
        <f t="shared" si="437"/>
        <v>0</v>
      </c>
      <c r="D2115">
        <f t="shared" si="438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9"/>
        <v>0</v>
      </c>
      <c r="G2115">
        <f t="shared" si="440"/>
        <v>0</v>
      </c>
      <c r="H2115">
        <f t="shared" si="441"/>
        <v>0</v>
      </c>
      <c r="I2115">
        <f t="shared" si="442"/>
        <v>0</v>
      </c>
      <c r="J2115">
        <f t="shared" si="443"/>
        <v>0</v>
      </c>
      <c r="K2115" s="4" t="e">
        <f t="shared" si="431"/>
        <v>#N/A</v>
      </c>
      <c r="L2115" t="e">
        <f t="shared" si="432"/>
        <v>#N/A</v>
      </c>
      <c r="M2115" s="4" t="e">
        <f t="shared" si="433"/>
        <v>#N/A</v>
      </c>
      <c r="N2115" s="4" t="e">
        <f t="shared" si="434"/>
        <v>#N/A</v>
      </c>
    </row>
    <row r="2116" spans="1:14">
      <c r="A2116">
        <f t="shared" si="435"/>
        <v>0</v>
      </c>
      <c r="B2116">
        <f t="shared" si="436"/>
        <v>0</v>
      </c>
      <c r="C2116">
        <f t="shared" si="437"/>
        <v>0</v>
      </c>
      <c r="D2116">
        <f t="shared" si="438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9"/>
        <v>0</v>
      </c>
      <c r="G2116">
        <f t="shared" si="440"/>
        <v>0</v>
      </c>
      <c r="H2116">
        <f t="shared" si="441"/>
        <v>0</v>
      </c>
      <c r="I2116">
        <f t="shared" si="442"/>
        <v>0</v>
      </c>
      <c r="J2116">
        <f t="shared" si="443"/>
        <v>0</v>
      </c>
      <c r="K2116" s="4" t="e">
        <f t="shared" si="431"/>
        <v>#N/A</v>
      </c>
      <c r="L2116" t="e">
        <f t="shared" si="432"/>
        <v>#N/A</v>
      </c>
      <c r="M2116" s="4" t="e">
        <f t="shared" si="433"/>
        <v>#N/A</v>
      </c>
      <c r="N2116" s="4" t="e">
        <f t="shared" si="434"/>
        <v>#N/A</v>
      </c>
    </row>
    <row r="2117" spans="1:14">
      <c r="A2117">
        <f t="shared" si="435"/>
        <v>0</v>
      </c>
      <c r="B2117">
        <f t="shared" si="436"/>
        <v>0</v>
      </c>
      <c r="C2117">
        <f t="shared" si="437"/>
        <v>0</v>
      </c>
      <c r="D2117">
        <f t="shared" si="438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9"/>
        <v>0</v>
      </c>
      <c r="G2117">
        <f t="shared" si="440"/>
        <v>0</v>
      </c>
      <c r="H2117">
        <f t="shared" si="441"/>
        <v>0</v>
      </c>
      <c r="I2117">
        <f t="shared" si="442"/>
        <v>0</v>
      </c>
      <c r="J2117">
        <f t="shared" si="443"/>
        <v>0</v>
      </c>
      <c r="K2117" s="4" t="e">
        <f t="shared" si="431"/>
        <v>#N/A</v>
      </c>
      <c r="L2117" t="e">
        <f t="shared" si="432"/>
        <v>#N/A</v>
      </c>
      <c r="M2117" s="4" t="e">
        <f t="shared" si="433"/>
        <v>#N/A</v>
      </c>
      <c r="N2117" s="4" t="e">
        <f t="shared" si="434"/>
        <v>#N/A</v>
      </c>
    </row>
    <row r="2118" spans="1:14">
      <c r="A2118">
        <f t="shared" si="435"/>
        <v>0</v>
      </c>
      <c r="B2118">
        <f t="shared" si="436"/>
        <v>0</v>
      </c>
      <c r="C2118">
        <f t="shared" si="437"/>
        <v>0</v>
      </c>
      <c r="D2118">
        <f t="shared" si="438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9"/>
        <v>0</v>
      </c>
      <c r="G2118">
        <f t="shared" si="440"/>
        <v>0</v>
      </c>
      <c r="H2118">
        <f t="shared" si="441"/>
        <v>0</v>
      </c>
      <c r="I2118">
        <f t="shared" si="442"/>
        <v>0</v>
      </c>
      <c r="J2118">
        <f t="shared" si="443"/>
        <v>0</v>
      </c>
      <c r="K2118" s="4" t="e">
        <f t="shared" si="431"/>
        <v>#N/A</v>
      </c>
      <c r="L2118" t="e">
        <f t="shared" si="432"/>
        <v>#N/A</v>
      </c>
      <c r="M2118" s="4" t="e">
        <f t="shared" si="433"/>
        <v>#N/A</v>
      </c>
      <c r="N2118" s="4" t="e">
        <f t="shared" si="434"/>
        <v>#N/A</v>
      </c>
    </row>
    <row r="2119" spans="1:14">
      <c r="A2119">
        <f t="shared" si="435"/>
        <v>0</v>
      </c>
      <c r="B2119">
        <f t="shared" si="436"/>
        <v>0</v>
      </c>
      <c r="C2119">
        <f t="shared" si="437"/>
        <v>0</v>
      </c>
      <c r="D2119">
        <f t="shared" si="438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9"/>
        <v>0</v>
      </c>
      <c r="G2119">
        <f t="shared" si="440"/>
        <v>0</v>
      </c>
      <c r="H2119">
        <f t="shared" si="441"/>
        <v>0</v>
      </c>
      <c r="I2119">
        <f t="shared" si="442"/>
        <v>0</v>
      </c>
      <c r="J2119">
        <f t="shared" si="443"/>
        <v>0</v>
      </c>
      <c r="K2119" s="4" t="e">
        <f t="shared" si="431"/>
        <v>#N/A</v>
      </c>
      <c r="L2119" t="e">
        <f t="shared" si="432"/>
        <v>#N/A</v>
      </c>
      <c r="M2119" s="4" t="e">
        <f t="shared" si="433"/>
        <v>#N/A</v>
      </c>
      <c r="N2119" s="4" t="e">
        <f t="shared" si="434"/>
        <v>#N/A</v>
      </c>
    </row>
    <row r="2120" spans="1:14">
      <c r="A2120">
        <f t="shared" si="435"/>
        <v>0</v>
      </c>
      <c r="B2120">
        <f t="shared" si="436"/>
        <v>0</v>
      </c>
      <c r="C2120">
        <f t="shared" si="437"/>
        <v>0</v>
      </c>
      <c r="D2120">
        <f t="shared" si="438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9"/>
        <v>0</v>
      </c>
      <c r="G2120">
        <f t="shared" si="440"/>
        <v>0</v>
      </c>
      <c r="H2120">
        <f t="shared" si="441"/>
        <v>0</v>
      </c>
      <c r="I2120">
        <f t="shared" si="442"/>
        <v>0</v>
      </c>
      <c r="J2120">
        <f t="shared" si="443"/>
        <v>0</v>
      </c>
      <c r="K2120" s="4" t="e">
        <f t="shared" si="431"/>
        <v>#N/A</v>
      </c>
      <c r="L2120" t="e">
        <f t="shared" si="432"/>
        <v>#N/A</v>
      </c>
      <c r="M2120" s="4" t="e">
        <f t="shared" si="433"/>
        <v>#N/A</v>
      </c>
      <c r="N2120" s="4" t="e">
        <f t="shared" si="434"/>
        <v>#N/A</v>
      </c>
    </row>
    <row r="2121" spans="1:14">
      <c r="A2121">
        <f t="shared" si="435"/>
        <v>0</v>
      </c>
      <c r="B2121">
        <f t="shared" si="436"/>
        <v>0</v>
      </c>
      <c r="C2121">
        <f t="shared" si="437"/>
        <v>0</v>
      </c>
      <c r="D2121">
        <f t="shared" si="438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9"/>
        <v>0</v>
      </c>
      <c r="G2121">
        <f t="shared" si="440"/>
        <v>0</v>
      </c>
      <c r="H2121">
        <f t="shared" si="441"/>
        <v>0</v>
      </c>
      <c r="I2121">
        <f t="shared" si="442"/>
        <v>0</v>
      </c>
      <c r="J2121">
        <f t="shared" si="443"/>
        <v>0</v>
      </c>
      <c r="K2121" s="4" t="e">
        <f t="shared" si="431"/>
        <v>#N/A</v>
      </c>
      <c r="L2121" t="e">
        <f t="shared" si="432"/>
        <v>#N/A</v>
      </c>
      <c r="M2121" s="4" t="e">
        <f t="shared" si="433"/>
        <v>#N/A</v>
      </c>
      <c r="N2121" s="4" t="e">
        <f t="shared" si="434"/>
        <v>#N/A</v>
      </c>
    </row>
    <row r="2122" spans="1:14">
      <c r="A2122">
        <f t="shared" si="435"/>
        <v>0</v>
      </c>
      <c r="B2122">
        <f t="shared" si="436"/>
        <v>0</v>
      </c>
      <c r="C2122">
        <f t="shared" si="437"/>
        <v>0</v>
      </c>
      <c r="D2122">
        <f t="shared" si="438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9"/>
        <v>0</v>
      </c>
      <c r="G2122">
        <f t="shared" si="440"/>
        <v>0</v>
      </c>
      <c r="H2122">
        <f t="shared" si="441"/>
        <v>0</v>
      </c>
      <c r="I2122">
        <f t="shared" si="442"/>
        <v>0</v>
      </c>
      <c r="J2122">
        <f t="shared" si="443"/>
        <v>0</v>
      </c>
      <c r="K2122" s="4" t="e">
        <f t="shared" si="431"/>
        <v>#N/A</v>
      </c>
      <c r="L2122" t="e">
        <f t="shared" si="432"/>
        <v>#N/A</v>
      </c>
      <c r="M2122" s="4" t="e">
        <f t="shared" si="433"/>
        <v>#N/A</v>
      </c>
      <c r="N2122" s="4" t="e">
        <f t="shared" si="434"/>
        <v>#N/A</v>
      </c>
    </row>
    <row r="2123" spans="1:14">
      <c r="A2123">
        <f t="shared" si="435"/>
        <v>0</v>
      </c>
      <c r="B2123">
        <f t="shared" si="436"/>
        <v>0</v>
      </c>
      <c r="C2123">
        <f t="shared" si="437"/>
        <v>0</v>
      </c>
      <c r="D2123">
        <f t="shared" si="438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9"/>
        <v>0</v>
      </c>
      <c r="G2123">
        <f t="shared" si="440"/>
        <v>0</v>
      </c>
      <c r="H2123">
        <f t="shared" si="441"/>
        <v>0</v>
      </c>
      <c r="I2123">
        <f t="shared" si="442"/>
        <v>0</v>
      </c>
      <c r="J2123">
        <f t="shared" si="443"/>
        <v>0</v>
      </c>
      <c r="K2123" s="4" t="e">
        <f t="shared" si="431"/>
        <v>#N/A</v>
      </c>
      <c r="L2123" t="e">
        <f t="shared" si="432"/>
        <v>#N/A</v>
      </c>
      <c r="M2123" s="4" t="e">
        <f t="shared" si="433"/>
        <v>#N/A</v>
      </c>
      <c r="N2123" s="4" t="e">
        <f t="shared" si="434"/>
        <v>#N/A</v>
      </c>
    </row>
    <row r="2124" spans="1:14">
      <c r="A2124">
        <f t="shared" si="435"/>
        <v>0</v>
      </c>
      <c r="B2124">
        <f t="shared" si="436"/>
        <v>0</v>
      </c>
      <c r="C2124">
        <f t="shared" si="437"/>
        <v>0</v>
      </c>
      <c r="D2124">
        <f t="shared" si="438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9"/>
        <v>0</v>
      </c>
      <c r="G2124">
        <f t="shared" si="440"/>
        <v>0</v>
      </c>
      <c r="H2124">
        <f t="shared" si="441"/>
        <v>0</v>
      </c>
      <c r="I2124">
        <f t="shared" si="442"/>
        <v>0</v>
      </c>
      <c r="J2124">
        <f t="shared" si="443"/>
        <v>0</v>
      </c>
      <c r="K2124" s="4" t="e">
        <f t="shared" si="431"/>
        <v>#N/A</v>
      </c>
      <c r="L2124" t="e">
        <f t="shared" si="432"/>
        <v>#N/A</v>
      </c>
      <c r="M2124" s="4" t="e">
        <f t="shared" si="433"/>
        <v>#N/A</v>
      </c>
      <c r="N2124" s="4" t="e">
        <f t="shared" si="434"/>
        <v>#N/A</v>
      </c>
    </row>
    <row r="2125" spans="1:14">
      <c r="A2125">
        <f t="shared" si="435"/>
        <v>0</v>
      </c>
      <c r="B2125">
        <f t="shared" si="436"/>
        <v>0</v>
      </c>
      <c r="C2125">
        <f t="shared" si="437"/>
        <v>0</v>
      </c>
      <c r="D2125">
        <f t="shared" si="438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9"/>
        <v>0</v>
      </c>
      <c r="G2125">
        <f t="shared" si="440"/>
        <v>0</v>
      </c>
      <c r="H2125">
        <f t="shared" si="441"/>
        <v>0</v>
      </c>
      <c r="I2125">
        <f t="shared" si="442"/>
        <v>0</v>
      </c>
      <c r="J2125">
        <f t="shared" si="443"/>
        <v>0</v>
      </c>
      <c r="K2125" s="4" t="e">
        <f t="shared" si="431"/>
        <v>#N/A</v>
      </c>
      <c r="L2125" t="e">
        <f t="shared" si="432"/>
        <v>#N/A</v>
      </c>
      <c r="M2125" s="4" t="e">
        <f t="shared" si="433"/>
        <v>#N/A</v>
      </c>
      <c r="N2125" s="4" t="e">
        <f t="shared" si="434"/>
        <v>#N/A</v>
      </c>
    </row>
    <row r="2126" spans="1:14">
      <c r="A2126">
        <f t="shared" si="435"/>
        <v>0</v>
      </c>
      <c r="B2126">
        <f t="shared" si="436"/>
        <v>0</v>
      </c>
      <c r="C2126">
        <f t="shared" si="437"/>
        <v>0</v>
      </c>
      <c r="D2126">
        <f t="shared" si="438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9"/>
        <v>0</v>
      </c>
      <c r="G2126">
        <f t="shared" si="440"/>
        <v>0</v>
      </c>
      <c r="H2126">
        <f t="shared" si="441"/>
        <v>0</v>
      </c>
      <c r="I2126">
        <f t="shared" si="442"/>
        <v>0</v>
      </c>
      <c r="J2126">
        <f t="shared" si="443"/>
        <v>0</v>
      </c>
      <c r="K2126" s="4" t="e">
        <f t="shared" si="431"/>
        <v>#N/A</v>
      </c>
      <c r="L2126" t="e">
        <f t="shared" si="432"/>
        <v>#N/A</v>
      </c>
      <c r="M2126" s="4" t="e">
        <f t="shared" si="433"/>
        <v>#N/A</v>
      </c>
      <c r="N2126" s="4" t="e">
        <f t="shared" si="434"/>
        <v>#N/A</v>
      </c>
    </row>
    <row r="2127" spans="1:14">
      <c r="A2127">
        <f t="shared" si="435"/>
        <v>0</v>
      </c>
      <c r="B2127">
        <f t="shared" si="436"/>
        <v>0</v>
      </c>
      <c r="C2127">
        <f t="shared" si="437"/>
        <v>0</v>
      </c>
      <c r="D2127">
        <f t="shared" si="438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9"/>
        <v>0</v>
      </c>
      <c r="G2127">
        <f t="shared" si="440"/>
        <v>0</v>
      </c>
      <c r="H2127">
        <f t="shared" si="441"/>
        <v>0</v>
      </c>
      <c r="I2127">
        <f t="shared" si="442"/>
        <v>0</v>
      </c>
      <c r="J2127">
        <f t="shared" si="443"/>
        <v>0</v>
      </c>
      <c r="K2127" s="4" t="e">
        <f t="shared" si="431"/>
        <v>#N/A</v>
      </c>
      <c r="L2127" t="e">
        <f t="shared" si="432"/>
        <v>#N/A</v>
      </c>
      <c r="M2127" s="4" t="e">
        <f t="shared" si="433"/>
        <v>#N/A</v>
      </c>
      <c r="N2127" s="4" t="e">
        <f t="shared" si="434"/>
        <v>#N/A</v>
      </c>
    </row>
    <row r="2128" spans="1:14">
      <c r="A2128">
        <f t="shared" si="435"/>
        <v>0</v>
      </c>
      <c r="B2128">
        <f t="shared" si="436"/>
        <v>0</v>
      </c>
      <c r="C2128">
        <f t="shared" si="437"/>
        <v>0</v>
      </c>
      <c r="D2128">
        <f t="shared" si="438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9"/>
        <v>0</v>
      </c>
      <c r="G2128">
        <f t="shared" si="440"/>
        <v>0</v>
      </c>
      <c r="H2128">
        <f t="shared" si="441"/>
        <v>0</v>
      </c>
      <c r="I2128">
        <f t="shared" si="442"/>
        <v>0</v>
      </c>
      <c r="J2128">
        <f t="shared" si="443"/>
        <v>0</v>
      </c>
      <c r="K2128" s="4" t="e">
        <f t="shared" si="431"/>
        <v>#N/A</v>
      </c>
      <c r="L2128" t="e">
        <f t="shared" si="432"/>
        <v>#N/A</v>
      </c>
      <c r="M2128" s="4" t="e">
        <f t="shared" si="433"/>
        <v>#N/A</v>
      </c>
      <c r="N2128" s="4" t="e">
        <f t="shared" si="434"/>
        <v>#N/A</v>
      </c>
    </row>
    <row r="2129" spans="1:14">
      <c r="A2129">
        <f t="shared" si="435"/>
        <v>0</v>
      </c>
      <c r="B2129">
        <f t="shared" si="436"/>
        <v>0</v>
      </c>
      <c r="C2129">
        <f t="shared" si="437"/>
        <v>0</v>
      </c>
      <c r="D2129">
        <f t="shared" si="438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9"/>
        <v>0</v>
      </c>
      <c r="G2129">
        <f t="shared" si="440"/>
        <v>0</v>
      </c>
      <c r="H2129">
        <f t="shared" si="441"/>
        <v>0</v>
      </c>
      <c r="I2129">
        <f t="shared" si="442"/>
        <v>0</v>
      </c>
      <c r="J2129">
        <f t="shared" si="443"/>
        <v>0</v>
      </c>
      <c r="K2129" s="4" t="e">
        <f t="shared" si="431"/>
        <v>#N/A</v>
      </c>
      <c r="L2129" t="e">
        <f t="shared" si="432"/>
        <v>#N/A</v>
      </c>
      <c r="M2129" s="4" t="e">
        <f t="shared" si="433"/>
        <v>#N/A</v>
      </c>
      <c r="N2129" s="4" t="e">
        <f t="shared" si="434"/>
        <v>#N/A</v>
      </c>
    </row>
    <row r="2130" spans="1:14">
      <c r="A2130">
        <f t="shared" si="435"/>
        <v>0</v>
      </c>
      <c r="B2130">
        <f t="shared" si="436"/>
        <v>0</v>
      </c>
      <c r="C2130">
        <f t="shared" si="437"/>
        <v>0</v>
      </c>
      <c r="D2130">
        <f t="shared" si="438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9"/>
        <v>0</v>
      </c>
      <c r="G2130">
        <f t="shared" si="440"/>
        <v>0</v>
      </c>
      <c r="H2130">
        <f t="shared" si="441"/>
        <v>0</v>
      </c>
      <c r="I2130">
        <f t="shared" si="442"/>
        <v>0</v>
      </c>
      <c r="J2130">
        <f t="shared" si="443"/>
        <v>0</v>
      </c>
      <c r="K2130" s="4" t="e">
        <f t="shared" si="431"/>
        <v>#N/A</v>
      </c>
      <c r="L2130" t="e">
        <f t="shared" si="432"/>
        <v>#N/A</v>
      </c>
      <c r="M2130" s="4" t="e">
        <f t="shared" si="433"/>
        <v>#N/A</v>
      </c>
      <c r="N2130" s="4" t="e">
        <f t="shared" si="434"/>
        <v>#N/A</v>
      </c>
    </row>
    <row r="2131" spans="1:14">
      <c r="A2131">
        <f t="shared" si="435"/>
        <v>0</v>
      </c>
      <c r="B2131">
        <f t="shared" si="436"/>
        <v>0</v>
      </c>
      <c r="C2131">
        <f t="shared" si="437"/>
        <v>0</v>
      </c>
      <c r="D2131">
        <f t="shared" si="438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9"/>
        <v>0</v>
      </c>
      <c r="G2131">
        <f t="shared" si="440"/>
        <v>0</v>
      </c>
      <c r="H2131">
        <f t="shared" si="441"/>
        <v>0</v>
      </c>
      <c r="I2131">
        <f t="shared" si="442"/>
        <v>0</v>
      </c>
      <c r="J2131">
        <f t="shared" si="443"/>
        <v>0</v>
      </c>
      <c r="K2131" s="4" t="e">
        <f t="shared" si="431"/>
        <v>#N/A</v>
      </c>
      <c r="L2131" t="e">
        <f t="shared" si="432"/>
        <v>#N/A</v>
      </c>
      <c r="M2131" s="4" t="e">
        <f t="shared" si="433"/>
        <v>#N/A</v>
      </c>
      <c r="N2131" s="4" t="e">
        <f t="shared" si="434"/>
        <v>#N/A</v>
      </c>
    </row>
    <row r="2132" spans="1:14">
      <c r="A2132">
        <f t="shared" si="435"/>
        <v>0</v>
      </c>
      <c r="B2132">
        <f t="shared" si="436"/>
        <v>0</v>
      </c>
      <c r="C2132">
        <f t="shared" si="437"/>
        <v>0</v>
      </c>
      <c r="D2132">
        <f t="shared" si="438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9"/>
        <v>0</v>
      </c>
      <c r="G2132">
        <f t="shared" si="440"/>
        <v>0</v>
      </c>
      <c r="H2132">
        <f t="shared" si="441"/>
        <v>0</v>
      </c>
      <c r="I2132">
        <f t="shared" si="442"/>
        <v>0</v>
      </c>
      <c r="J2132">
        <f t="shared" si="443"/>
        <v>0</v>
      </c>
      <c r="K2132" s="4" t="e">
        <f t="shared" si="431"/>
        <v>#N/A</v>
      </c>
      <c r="L2132" t="e">
        <f t="shared" si="432"/>
        <v>#N/A</v>
      </c>
      <c r="M2132" s="4" t="e">
        <f t="shared" si="433"/>
        <v>#N/A</v>
      </c>
      <c r="N2132" s="4" t="e">
        <f t="shared" si="434"/>
        <v>#N/A</v>
      </c>
    </row>
    <row r="2133" spans="1:14">
      <c r="A2133">
        <f t="shared" si="435"/>
        <v>0</v>
      </c>
      <c r="B2133">
        <f t="shared" si="436"/>
        <v>0</v>
      </c>
      <c r="C2133">
        <f t="shared" si="437"/>
        <v>0</v>
      </c>
      <c r="D2133">
        <f t="shared" si="438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9"/>
        <v>0</v>
      </c>
      <c r="G2133">
        <f t="shared" si="440"/>
        <v>0</v>
      </c>
      <c r="H2133">
        <f t="shared" si="441"/>
        <v>0</v>
      </c>
      <c r="I2133">
        <f t="shared" si="442"/>
        <v>0</v>
      </c>
      <c r="J2133">
        <f t="shared" si="443"/>
        <v>0</v>
      </c>
      <c r="K2133" s="4" t="e">
        <f t="shared" si="431"/>
        <v>#N/A</v>
      </c>
      <c r="L2133" t="e">
        <f t="shared" si="432"/>
        <v>#N/A</v>
      </c>
      <c r="M2133" s="4" t="e">
        <f t="shared" si="433"/>
        <v>#N/A</v>
      </c>
      <c r="N2133" s="4" t="e">
        <f t="shared" si="434"/>
        <v>#N/A</v>
      </c>
    </row>
    <row r="2134" spans="1:14">
      <c r="A2134">
        <f t="shared" si="435"/>
        <v>0</v>
      </c>
      <c r="B2134">
        <f t="shared" si="436"/>
        <v>0</v>
      </c>
      <c r="C2134">
        <f t="shared" si="437"/>
        <v>0</v>
      </c>
      <c r="D2134">
        <f t="shared" si="438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9"/>
        <v>0</v>
      </c>
      <c r="G2134">
        <f t="shared" si="440"/>
        <v>0</v>
      </c>
      <c r="H2134">
        <f t="shared" si="441"/>
        <v>0</v>
      </c>
      <c r="I2134">
        <f t="shared" si="442"/>
        <v>0</v>
      </c>
      <c r="J2134">
        <f t="shared" si="443"/>
        <v>0</v>
      </c>
      <c r="K2134" s="4" t="e">
        <f t="shared" si="431"/>
        <v>#N/A</v>
      </c>
      <c r="L2134" t="e">
        <f t="shared" si="432"/>
        <v>#N/A</v>
      </c>
      <c r="M2134" s="4" t="e">
        <f t="shared" si="433"/>
        <v>#N/A</v>
      </c>
      <c r="N2134" s="4" t="e">
        <f t="shared" si="434"/>
        <v>#N/A</v>
      </c>
    </row>
    <row r="2135" spans="1:14">
      <c r="A2135">
        <f t="shared" si="435"/>
        <v>0</v>
      </c>
      <c r="B2135">
        <f t="shared" si="436"/>
        <v>0</v>
      </c>
      <c r="C2135">
        <f t="shared" si="437"/>
        <v>0</v>
      </c>
      <c r="D2135">
        <f t="shared" si="438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9"/>
        <v>0</v>
      </c>
      <c r="G2135">
        <f t="shared" si="440"/>
        <v>0</v>
      </c>
      <c r="H2135">
        <f t="shared" si="441"/>
        <v>0</v>
      </c>
      <c r="I2135">
        <f t="shared" si="442"/>
        <v>0</v>
      </c>
      <c r="J2135">
        <f t="shared" si="443"/>
        <v>0</v>
      </c>
      <c r="K2135" s="4" t="e">
        <f t="shared" si="431"/>
        <v>#N/A</v>
      </c>
      <c r="L2135" t="e">
        <f t="shared" si="432"/>
        <v>#N/A</v>
      </c>
      <c r="M2135" s="4" t="e">
        <f t="shared" si="433"/>
        <v>#N/A</v>
      </c>
      <c r="N2135" s="4" t="e">
        <f t="shared" si="434"/>
        <v>#N/A</v>
      </c>
    </row>
    <row r="2136" spans="1:14">
      <c r="A2136">
        <f t="shared" si="435"/>
        <v>0</v>
      </c>
      <c r="B2136">
        <f t="shared" si="436"/>
        <v>0</v>
      </c>
      <c r="C2136">
        <f t="shared" si="437"/>
        <v>0</v>
      </c>
      <c r="D2136">
        <f t="shared" si="438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9"/>
        <v>0</v>
      </c>
      <c r="G2136">
        <f t="shared" si="440"/>
        <v>0</v>
      </c>
      <c r="H2136">
        <f t="shared" si="441"/>
        <v>0</v>
      </c>
      <c r="I2136">
        <f t="shared" si="442"/>
        <v>0</v>
      </c>
      <c r="J2136">
        <f t="shared" si="443"/>
        <v>0</v>
      </c>
      <c r="K2136" s="4" t="e">
        <f t="shared" si="431"/>
        <v>#N/A</v>
      </c>
      <c r="L2136" t="e">
        <f t="shared" si="432"/>
        <v>#N/A</v>
      </c>
      <c r="M2136" s="4" t="e">
        <f t="shared" si="433"/>
        <v>#N/A</v>
      </c>
      <c r="N2136" s="4" t="e">
        <f t="shared" si="434"/>
        <v>#N/A</v>
      </c>
    </row>
    <row r="2137" spans="1:14">
      <c r="A2137">
        <f t="shared" si="435"/>
        <v>0</v>
      </c>
      <c r="B2137">
        <f t="shared" si="436"/>
        <v>0</v>
      </c>
      <c r="C2137">
        <f t="shared" si="437"/>
        <v>0</v>
      </c>
      <c r="D2137">
        <f t="shared" si="438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9"/>
        <v>0</v>
      </c>
      <c r="G2137">
        <f t="shared" si="440"/>
        <v>0</v>
      </c>
      <c r="H2137">
        <f t="shared" si="441"/>
        <v>0</v>
      </c>
      <c r="I2137">
        <f t="shared" si="442"/>
        <v>0</v>
      </c>
      <c r="J2137">
        <f t="shared" si="443"/>
        <v>0</v>
      </c>
      <c r="K2137" s="4" t="e">
        <f t="shared" si="431"/>
        <v>#N/A</v>
      </c>
      <c r="L2137" t="e">
        <f t="shared" si="432"/>
        <v>#N/A</v>
      </c>
      <c r="M2137" s="4" t="e">
        <f t="shared" si="433"/>
        <v>#N/A</v>
      </c>
      <c r="N2137" s="4" t="e">
        <f t="shared" si="434"/>
        <v>#N/A</v>
      </c>
    </row>
    <row r="2138" spans="1:14">
      <c r="A2138">
        <f t="shared" si="435"/>
        <v>0</v>
      </c>
      <c r="B2138">
        <f t="shared" si="436"/>
        <v>0</v>
      </c>
      <c r="C2138">
        <f t="shared" si="437"/>
        <v>0</v>
      </c>
      <c r="D2138">
        <f t="shared" si="438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9"/>
        <v>0</v>
      </c>
      <c r="G2138">
        <f t="shared" si="440"/>
        <v>0</v>
      </c>
      <c r="H2138">
        <f t="shared" si="441"/>
        <v>0</v>
      </c>
      <c r="I2138">
        <f t="shared" si="442"/>
        <v>0</v>
      </c>
      <c r="J2138">
        <f t="shared" si="443"/>
        <v>0</v>
      </c>
      <c r="K2138" s="4" t="e">
        <f t="shared" si="431"/>
        <v>#N/A</v>
      </c>
      <c r="L2138" t="e">
        <f t="shared" si="432"/>
        <v>#N/A</v>
      </c>
      <c r="M2138" s="4" t="e">
        <f t="shared" si="433"/>
        <v>#N/A</v>
      </c>
      <c r="N2138" s="4" t="e">
        <f t="shared" si="434"/>
        <v>#N/A</v>
      </c>
    </row>
    <row r="2139" spans="1:14">
      <c r="A2139">
        <f t="shared" si="435"/>
        <v>0</v>
      </c>
      <c r="B2139">
        <f t="shared" si="436"/>
        <v>0</v>
      </c>
      <c r="C2139">
        <f t="shared" si="437"/>
        <v>0</v>
      </c>
      <c r="D2139">
        <f t="shared" si="438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9"/>
        <v>0</v>
      </c>
      <c r="G2139">
        <f t="shared" si="440"/>
        <v>0</v>
      </c>
      <c r="H2139">
        <f t="shared" si="441"/>
        <v>0</v>
      </c>
      <c r="I2139">
        <f t="shared" si="442"/>
        <v>0</v>
      </c>
      <c r="J2139">
        <f t="shared" si="443"/>
        <v>0</v>
      </c>
      <c r="K2139" s="4" t="e">
        <f t="shared" si="431"/>
        <v>#N/A</v>
      </c>
      <c r="L2139" t="e">
        <f t="shared" si="432"/>
        <v>#N/A</v>
      </c>
      <c r="M2139" s="4" t="e">
        <f t="shared" si="433"/>
        <v>#N/A</v>
      </c>
      <c r="N2139" s="4" t="e">
        <f t="shared" si="434"/>
        <v>#N/A</v>
      </c>
    </row>
    <row r="2140" spans="1:14">
      <c r="A2140">
        <f t="shared" si="435"/>
        <v>0</v>
      </c>
      <c r="B2140">
        <f t="shared" si="436"/>
        <v>0</v>
      </c>
      <c r="C2140">
        <f t="shared" si="437"/>
        <v>0</v>
      </c>
      <c r="D2140">
        <f t="shared" si="438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9"/>
        <v>0</v>
      </c>
      <c r="G2140">
        <f t="shared" si="440"/>
        <v>0</v>
      </c>
      <c r="H2140">
        <f t="shared" si="441"/>
        <v>0</v>
      </c>
      <c r="I2140">
        <f t="shared" si="442"/>
        <v>0</v>
      </c>
      <c r="J2140">
        <f t="shared" si="443"/>
        <v>0</v>
      </c>
      <c r="K2140" s="4" t="e">
        <f t="shared" si="431"/>
        <v>#N/A</v>
      </c>
      <c r="L2140" t="e">
        <f t="shared" si="432"/>
        <v>#N/A</v>
      </c>
      <c r="M2140" s="4" t="e">
        <f t="shared" si="433"/>
        <v>#N/A</v>
      </c>
      <c r="N2140" s="4" t="e">
        <f t="shared" si="434"/>
        <v>#N/A</v>
      </c>
    </row>
    <row r="2141" spans="1:14">
      <c r="A2141">
        <f t="shared" si="435"/>
        <v>0</v>
      </c>
      <c r="B2141">
        <f t="shared" si="436"/>
        <v>0</v>
      </c>
      <c r="C2141">
        <f t="shared" si="437"/>
        <v>0</v>
      </c>
      <c r="D2141">
        <f t="shared" si="438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9"/>
        <v>0</v>
      </c>
      <c r="G2141">
        <f t="shared" si="440"/>
        <v>0</v>
      </c>
      <c r="H2141">
        <f t="shared" si="441"/>
        <v>0</v>
      </c>
      <c r="I2141">
        <f t="shared" si="442"/>
        <v>0</v>
      </c>
      <c r="J2141">
        <f t="shared" si="443"/>
        <v>0</v>
      </c>
      <c r="K2141" s="4" t="e">
        <f t="shared" si="431"/>
        <v>#N/A</v>
      </c>
      <c r="L2141" t="e">
        <f t="shared" si="432"/>
        <v>#N/A</v>
      </c>
      <c r="M2141" s="4" t="e">
        <f t="shared" si="433"/>
        <v>#N/A</v>
      </c>
      <c r="N2141" s="4" t="e">
        <f t="shared" si="434"/>
        <v>#N/A</v>
      </c>
    </row>
    <row r="2142" spans="1:14">
      <c r="A2142">
        <f t="shared" si="435"/>
        <v>0</v>
      </c>
      <c r="B2142">
        <f t="shared" si="436"/>
        <v>0</v>
      </c>
      <c r="C2142">
        <f t="shared" si="437"/>
        <v>0</v>
      </c>
      <c r="D2142">
        <f t="shared" si="438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9"/>
        <v>0</v>
      </c>
      <c r="G2142">
        <f t="shared" si="440"/>
        <v>0</v>
      </c>
      <c r="H2142">
        <f t="shared" si="441"/>
        <v>0</v>
      </c>
      <c r="I2142">
        <f t="shared" si="442"/>
        <v>0</v>
      </c>
      <c r="J2142">
        <f t="shared" si="443"/>
        <v>0</v>
      </c>
      <c r="K2142" s="4" t="e">
        <f t="shared" si="431"/>
        <v>#N/A</v>
      </c>
      <c r="L2142" t="e">
        <f t="shared" si="432"/>
        <v>#N/A</v>
      </c>
      <c r="M2142" s="4" t="e">
        <f t="shared" si="433"/>
        <v>#N/A</v>
      </c>
      <c r="N2142" s="4" t="e">
        <f t="shared" si="434"/>
        <v>#N/A</v>
      </c>
    </row>
    <row r="2143" spans="1:14">
      <c r="A2143">
        <f t="shared" si="435"/>
        <v>0</v>
      </c>
      <c r="B2143">
        <f t="shared" si="436"/>
        <v>0</v>
      </c>
      <c r="C2143">
        <f t="shared" si="437"/>
        <v>0</v>
      </c>
      <c r="D2143">
        <f t="shared" si="438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9"/>
        <v>0</v>
      </c>
      <c r="G2143">
        <f t="shared" si="440"/>
        <v>0</v>
      </c>
      <c r="H2143">
        <f t="shared" si="441"/>
        <v>0</v>
      </c>
      <c r="I2143">
        <f t="shared" si="442"/>
        <v>0</v>
      </c>
      <c r="J2143">
        <f t="shared" si="443"/>
        <v>0</v>
      </c>
      <c r="K2143" s="4" t="e">
        <f t="shared" si="431"/>
        <v>#N/A</v>
      </c>
      <c r="L2143" t="e">
        <f t="shared" si="432"/>
        <v>#N/A</v>
      </c>
      <c r="M2143" s="4" t="e">
        <f t="shared" si="433"/>
        <v>#N/A</v>
      </c>
      <c r="N2143" s="4" t="e">
        <f t="shared" si="434"/>
        <v>#N/A</v>
      </c>
    </row>
    <row r="2144" spans="1:14">
      <c r="A2144">
        <f t="shared" si="435"/>
        <v>0</v>
      </c>
      <c r="B2144">
        <f t="shared" si="436"/>
        <v>0</v>
      </c>
      <c r="C2144">
        <f t="shared" si="437"/>
        <v>0</v>
      </c>
      <c r="D2144">
        <f t="shared" si="438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9"/>
        <v>0</v>
      </c>
      <c r="G2144">
        <f t="shared" si="440"/>
        <v>0</v>
      </c>
      <c r="H2144">
        <f t="shared" si="441"/>
        <v>0</v>
      </c>
      <c r="I2144">
        <f t="shared" si="442"/>
        <v>0</v>
      </c>
      <c r="J2144">
        <f t="shared" si="443"/>
        <v>0</v>
      </c>
      <c r="K2144" s="4" t="e">
        <f t="shared" si="431"/>
        <v>#N/A</v>
      </c>
      <c r="L2144" t="e">
        <f t="shared" si="432"/>
        <v>#N/A</v>
      </c>
      <c r="M2144" s="4" t="e">
        <f t="shared" si="433"/>
        <v>#N/A</v>
      </c>
      <c r="N2144" s="4" t="e">
        <f t="shared" si="434"/>
        <v>#N/A</v>
      </c>
    </row>
    <row r="2145" spans="1:14">
      <c r="A2145">
        <f t="shared" si="435"/>
        <v>0</v>
      </c>
      <c r="B2145">
        <f t="shared" si="436"/>
        <v>0</v>
      </c>
      <c r="C2145">
        <f t="shared" si="437"/>
        <v>0</v>
      </c>
      <c r="D2145">
        <f t="shared" si="438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9"/>
        <v>0</v>
      </c>
      <c r="G2145">
        <f t="shared" si="440"/>
        <v>0</v>
      </c>
      <c r="H2145">
        <f t="shared" si="441"/>
        <v>0</v>
      </c>
      <c r="I2145">
        <f t="shared" si="442"/>
        <v>0</v>
      </c>
      <c r="J2145">
        <f t="shared" si="443"/>
        <v>0</v>
      </c>
      <c r="K2145" s="4" t="e">
        <f t="shared" si="431"/>
        <v>#N/A</v>
      </c>
      <c r="L2145" t="e">
        <f t="shared" si="432"/>
        <v>#N/A</v>
      </c>
      <c r="M2145" s="4" t="e">
        <f t="shared" si="433"/>
        <v>#N/A</v>
      </c>
      <c r="N2145" s="4" t="e">
        <f t="shared" si="434"/>
        <v>#N/A</v>
      </c>
    </row>
    <row r="2146" spans="1:14">
      <c r="A2146">
        <f t="shared" si="435"/>
        <v>0</v>
      </c>
      <c r="B2146">
        <f t="shared" si="436"/>
        <v>0</v>
      </c>
      <c r="C2146">
        <f t="shared" si="437"/>
        <v>0</v>
      </c>
      <c r="D2146">
        <f t="shared" si="438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9"/>
        <v>0</v>
      </c>
      <c r="G2146">
        <f t="shared" si="440"/>
        <v>0</v>
      </c>
      <c r="H2146">
        <f t="shared" si="441"/>
        <v>0</v>
      </c>
      <c r="I2146">
        <f t="shared" si="442"/>
        <v>0</v>
      </c>
      <c r="J2146">
        <f t="shared" si="443"/>
        <v>0</v>
      </c>
      <c r="K2146" s="4" t="e">
        <f t="shared" si="431"/>
        <v>#N/A</v>
      </c>
      <c r="L2146" t="e">
        <f t="shared" si="432"/>
        <v>#N/A</v>
      </c>
      <c r="M2146" s="4" t="e">
        <f t="shared" si="433"/>
        <v>#N/A</v>
      </c>
      <c r="N2146" s="4" t="e">
        <f t="shared" si="434"/>
        <v>#N/A</v>
      </c>
    </row>
    <row r="2147" spans="1:14">
      <c r="A2147">
        <f t="shared" si="435"/>
        <v>0</v>
      </c>
      <c r="B2147">
        <f t="shared" si="436"/>
        <v>0</v>
      </c>
      <c r="C2147">
        <f t="shared" si="437"/>
        <v>0</v>
      </c>
      <c r="D2147">
        <f t="shared" si="438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9"/>
        <v>0</v>
      </c>
      <c r="G2147">
        <f t="shared" si="440"/>
        <v>0</v>
      </c>
      <c r="H2147">
        <f t="shared" si="441"/>
        <v>0</v>
      </c>
      <c r="I2147">
        <f t="shared" si="442"/>
        <v>0</v>
      </c>
      <c r="J2147">
        <f t="shared" si="443"/>
        <v>0</v>
      </c>
      <c r="K2147" s="4" t="e">
        <f t="shared" si="431"/>
        <v>#N/A</v>
      </c>
      <c r="L2147" t="e">
        <f t="shared" si="432"/>
        <v>#N/A</v>
      </c>
      <c r="M2147" s="4" t="e">
        <f t="shared" si="433"/>
        <v>#N/A</v>
      </c>
      <c r="N2147" s="4" t="e">
        <f t="shared" si="434"/>
        <v>#N/A</v>
      </c>
    </row>
    <row r="2148" spans="1:14">
      <c r="A2148">
        <f t="shared" si="435"/>
        <v>0</v>
      </c>
      <c r="B2148">
        <f t="shared" si="436"/>
        <v>0</v>
      </c>
      <c r="C2148">
        <f t="shared" si="437"/>
        <v>0</v>
      </c>
      <c r="D2148">
        <f t="shared" si="438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9"/>
        <v>0</v>
      </c>
      <c r="G2148">
        <f t="shared" si="440"/>
        <v>0</v>
      </c>
      <c r="H2148">
        <f t="shared" si="441"/>
        <v>0</v>
      </c>
      <c r="I2148">
        <f t="shared" si="442"/>
        <v>0</v>
      </c>
      <c r="J2148">
        <f t="shared" si="443"/>
        <v>0</v>
      </c>
      <c r="K2148" s="4" t="e">
        <f t="shared" si="431"/>
        <v>#N/A</v>
      </c>
      <c r="L2148" t="e">
        <f t="shared" si="432"/>
        <v>#N/A</v>
      </c>
      <c r="M2148" s="4" t="e">
        <f t="shared" si="433"/>
        <v>#N/A</v>
      </c>
      <c r="N2148" s="4" t="e">
        <f t="shared" si="434"/>
        <v>#N/A</v>
      </c>
    </row>
    <row r="2149" spans="1:14">
      <c r="A2149">
        <f t="shared" si="435"/>
        <v>0</v>
      </c>
      <c r="B2149">
        <f t="shared" si="436"/>
        <v>0</v>
      </c>
      <c r="C2149">
        <f t="shared" si="437"/>
        <v>0</v>
      </c>
      <c r="D2149">
        <f t="shared" si="438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9"/>
        <v>0</v>
      </c>
      <c r="G2149">
        <f t="shared" si="440"/>
        <v>0</v>
      </c>
      <c r="H2149">
        <f t="shared" si="441"/>
        <v>0</v>
      </c>
      <c r="I2149">
        <f t="shared" si="442"/>
        <v>0</v>
      </c>
      <c r="J2149">
        <f t="shared" si="443"/>
        <v>0</v>
      </c>
      <c r="K2149" s="4" t="e">
        <f t="shared" si="431"/>
        <v>#N/A</v>
      </c>
      <c r="L2149" t="e">
        <f t="shared" si="432"/>
        <v>#N/A</v>
      </c>
      <c r="M2149" s="4" t="e">
        <f t="shared" si="433"/>
        <v>#N/A</v>
      </c>
      <c r="N2149" s="4" t="e">
        <f t="shared" si="434"/>
        <v>#N/A</v>
      </c>
    </row>
    <row r="2150" spans="1:14">
      <c r="A2150">
        <f t="shared" si="435"/>
        <v>0</v>
      </c>
      <c r="B2150">
        <f t="shared" si="436"/>
        <v>0</v>
      </c>
      <c r="C2150">
        <f t="shared" si="437"/>
        <v>0</v>
      </c>
      <c r="D2150">
        <f t="shared" si="438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9"/>
        <v>0</v>
      </c>
      <c r="G2150">
        <f t="shared" si="440"/>
        <v>0</v>
      </c>
      <c r="H2150">
        <f t="shared" si="441"/>
        <v>0</v>
      </c>
      <c r="I2150">
        <f t="shared" si="442"/>
        <v>0</v>
      </c>
      <c r="J2150">
        <f t="shared" si="443"/>
        <v>0</v>
      </c>
      <c r="K2150" s="4" t="e">
        <f t="shared" si="431"/>
        <v>#N/A</v>
      </c>
      <c r="L2150" t="e">
        <f t="shared" si="432"/>
        <v>#N/A</v>
      </c>
      <c r="M2150" s="4" t="e">
        <f t="shared" si="433"/>
        <v>#N/A</v>
      </c>
      <c r="N2150" s="4" t="e">
        <f t="shared" si="434"/>
        <v>#N/A</v>
      </c>
    </row>
    <row r="2151" spans="1:14">
      <c r="A2151">
        <f t="shared" si="435"/>
        <v>0</v>
      </c>
      <c r="B2151">
        <f t="shared" si="436"/>
        <v>0</v>
      </c>
      <c r="C2151">
        <f t="shared" si="437"/>
        <v>0</v>
      </c>
      <c r="D2151">
        <f t="shared" si="438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9"/>
        <v>0</v>
      </c>
      <c r="G2151">
        <f t="shared" si="440"/>
        <v>0</v>
      </c>
      <c r="H2151">
        <f t="shared" si="441"/>
        <v>0</v>
      </c>
      <c r="I2151">
        <f t="shared" si="442"/>
        <v>0</v>
      </c>
      <c r="J2151">
        <f t="shared" si="443"/>
        <v>0</v>
      </c>
      <c r="K2151" s="4" t="e">
        <f t="shared" si="431"/>
        <v>#N/A</v>
      </c>
      <c r="L2151" t="e">
        <f t="shared" si="432"/>
        <v>#N/A</v>
      </c>
      <c r="M2151" s="4" t="e">
        <f t="shared" si="433"/>
        <v>#N/A</v>
      </c>
      <c r="N2151" s="4" t="e">
        <f t="shared" si="434"/>
        <v>#N/A</v>
      </c>
    </row>
    <row r="2152" spans="1:14">
      <c r="A2152">
        <f t="shared" si="435"/>
        <v>0</v>
      </c>
      <c r="B2152">
        <f t="shared" si="436"/>
        <v>0</v>
      </c>
      <c r="C2152">
        <f t="shared" si="437"/>
        <v>0</v>
      </c>
      <c r="D2152">
        <f t="shared" si="438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9"/>
        <v>0</v>
      </c>
      <c r="G2152">
        <f t="shared" si="440"/>
        <v>0</v>
      </c>
      <c r="H2152">
        <f t="shared" si="441"/>
        <v>0</v>
      </c>
      <c r="I2152">
        <f t="shared" si="442"/>
        <v>0</v>
      </c>
      <c r="J2152">
        <f t="shared" si="443"/>
        <v>0</v>
      </c>
      <c r="K2152" s="4" t="e">
        <f t="shared" si="431"/>
        <v>#N/A</v>
      </c>
      <c r="L2152" t="e">
        <f t="shared" si="432"/>
        <v>#N/A</v>
      </c>
      <c r="M2152" s="4" t="e">
        <f t="shared" si="433"/>
        <v>#N/A</v>
      </c>
      <c r="N2152" s="4" t="e">
        <f t="shared" si="434"/>
        <v>#N/A</v>
      </c>
    </row>
    <row r="2153" spans="1:14">
      <c r="A2153">
        <f t="shared" si="435"/>
        <v>0</v>
      </c>
      <c r="B2153">
        <f t="shared" si="436"/>
        <v>0</v>
      </c>
      <c r="C2153">
        <f t="shared" si="437"/>
        <v>0</v>
      </c>
      <c r="D2153">
        <f t="shared" si="438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9"/>
        <v>0</v>
      </c>
      <c r="G2153">
        <f t="shared" si="440"/>
        <v>0</v>
      </c>
      <c r="H2153">
        <f t="shared" si="441"/>
        <v>0</v>
      </c>
      <c r="I2153">
        <f t="shared" si="442"/>
        <v>0</v>
      </c>
      <c r="J2153">
        <f t="shared" si="443"/>
        <v>0</v>
      </c>
      <c r="K2153" s="4" t="e">
        <f t="shared" si="431"/>
        <v>#N/A</v>
      </c>
      <c r="L2153" t="e">
        <f t="shared" si="432"/>
        <v>#N/A</v>
      </c>
      <c r="M2153" s="4" t="e">
        <f t="shared" si="433"/>
        <v>#N/A</v>
      </c>
      <c r="N2153" s="4" t="e">
        <f t="shared" si="434"/>
        <v>#N/A</v>
      </c>
    </row>
    <row r="2154" spans="1:14">
      <c r="A2154">
        <f t="shared" si="435"/>
        <v>0</v>
      </c>
      <c r="B2154">
        <f t="shared" si="436"/>
        <v>0</v>
      </c>
      <c r="C2154">
        <f t="shared" si="437"/>
        <v>0</v>
      </c>
      <c r="D2154">
        <f t="shared" si="438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9"/>
        <v>0</v>
      </c>
      <c r="G2154">
        <f t="shared" si="440"/>
        <v>0</v>
      </c>
      <c r="H2154">
        <f t="shared" si="441"/>
        <v>0</v>
      </c>
      <c r="I2154">
        <f t="shared" si="442"/>
        <v>0</v>
      </c>
      <c r="J2154">
        <f t="shared" si="443"/>
        <v>0</v>
      </c>
      <c r="K2154" s="4" t="e">
        <f t="shared" si="431"/>
        <v>#N/A</v>
      </c>
      <c r="L2154" t="e">
        <f t="shared" si="432"/>
        <v>#N/A</v>
      </c>
      <c r="M2154" s="4" t="e">
        <f t="shared" si="433"/>
        <v>#N/A</v>
      </c>
      <c r="N2154" s="4" t="e">
        <f t="shared" si="434"/>
        <v>#N/A</v>
      </c>
    </row>
    <row r="2155" spans="1:14">
      <c r="A2155">
        <f t="shared" si="435"/>
        <v>0</v>
      </c>
      <c r="B2155">
        <f t="shared" si="436"/>
        <v>0</v>
      </c>
      <c r="C2155">
        <f t="shared" si="437"/>
        <v>0</v>
      </c>
      <c r="D2155">
        <f t="shared" si="438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9"/>
        <v>0</v>
      </c>
      <c r="G2155">
        <f t="shared" si="440"/>
        <v>0</v>
      </c>
      <c r="H2155">
        <f t="shared" si="441"/>
        <v>0</v>
      </c>
      <c r="I2155">
        <f t="shared" si="442"/>
        <v>0</v>
      </c>
      <c r="J2155">
        <f t="shared" si="443"/>
        <v>0</v>
      </c>
      <c r="K2155" s="4" t="e">
        <f t="shared" si="431"/>
        <v>#N/A</v>
      </c>
      <c r="L2155" t="e">
        <f t="shared" si="432"/>
        <v>#N/A</v>
      </c>
      <c r="M2155" s="4" t="e">
        <f t="shared" si="433"/>
        <v>#N/A</v>
      </c>
      <c r="N2155" s="4" t="e">
        <f t="shared" si="434"/>
        <v>#N/A</v>
      </c>
    </row>
    <row r="2156" spans="1:14">
      <c r="A2156">
        <f t="shared" si="435"/>
        <v>0</v>
      </c>
      <c r="B2156">
        <f t="shared" si="436"/>
        <v>0</v>
      </c>
      <c r="C2156">
        <f t="shared" si="437"/>
        <v>0</v>
      </c>
      <c r="D2156">
        <f t="shared" si="438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9"/>
        <v>0</v>
      </c>
      <c r="G2156">
        <f t="shared" si="440"/>
        <v>0</v>
      </c>
      <c r="H2156">
        <f t="shared" si="441"/>
        <v>0</v>
      </c>
      <c r="I2156">
        <f t="shared" si="442"/>
        <v>0</v>
      </c>
      <c r="J2156">
        <f t="shared" si="443"/>
        <v>0</v>
      </c>
      <c r="K2156" s="4" t="e">
        <f t="shared" ref="K2156:K2219" si="444">IF(LEFT(B2156,3)="DBM",0,VLOOKUP(E2156,tabela,2,FALSE))</f>
        <v>#N/A</v>
      </c>
      <c r="L2156" t="e">
        <f t="shared" ref="L2156:L2219" si="445">VLOOKUP(E2156,tabela,3,FALSE)</f>
        <v>#N/A</v>
      </c>
      <c r="M2156" s="4" t="e">
        <f t="shared" si="433"/>
        <v>#N/A</v>
      </c>
      <c r="N2156" s="4" t="e">
        <f t="shared" si="434"/>
        <v>#N/A</v>
      </c>
    </row>
    <row r="2157" spans="1:14">
      <c r="A2157">
        <f t="shared" si="435"/>
        <v>0</v>
      </c>
      <c r="B2157">
        <f t="shared" si="436"/>
        <v>0</v>
      </c>
      <c r="C2157">
        <f t="shared" si="437"/>
        <v>0</v>
      </c>
      <c r="D2157">
        <f t="shared" si="438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9"/>
        <v>0</v>
      </c>
      <c r="G2157">
        <f t="shared" si="440"/>
        <v>0</v>
      </c>
      <c r="H2157">
        <f t="shared" si="441"/>
        <v>0</v>
      </c>
      <c r="I2157">
        <f t="shared" si="442"/>
        <v>0</v>
      </c>
      <c r="J2157">
        <f t="shared" si="443"/>
        <v>0</v>
      </c>
      <c r="K2157" s="4" t="e">
        <f t="shared" si="444"/>
        <v>#N/A</v>
      </c>
      <c r="L2157" t="e">
        <f t="shared" si="445"/>
        <v>#N/A</v>
      </c>
      <c r="M2157" s="4" t="e">
        <f t="shared" si="433"/>
        <v>#N/A</v>
      </c>
      <c r="N2157" s="4" t="e">
        <f t="shared" si="434"/>
        <v>#N/A</v>
      </c>
    </row>
    <row r="2158" spans="1:14">
      <c r="A2158">
        <f t="shared" si="435"/>
        <v>0</v>
      </c>
      <c r="B2158">
        <f t="shared" si="436"/>
        <v>0</v>
      </c>
      <c r="C2158">
        <f t="shared" si="437"/>
        <v>0</v>
      </c>
      <c r="D2158">
        <f t="shared" si="438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9"/>
        <v>0</v>
      </c>
      <c r="G2158">
        <f t="shared" si="440"/>
        <v>0</v>
      </c>
      <c r="H2158">
        <f t="shared" si="441"/>
        <v>0</v>
      </c>
      <c r="I2158">
        <f t="shared" si="442"/>
        <v>0</v>
      </c>
      <c r="J2158">
        <f t="shared" si="443"/>
        <v>0</v>
      </c>
      <c r="K2158" s="4" t="e">
        <f t="shared" si="444"/>
        <v>#N/A</v>
      </c>
      <c r="L2158" t="e">
        <f t="shared" si="445"/>
        <v>#N/A</v>
      </c>
      <c r="M2158" s="4" t="e">
        <f t="shared" si="433"/>
        <v>#N/A</v>
      </c>
      <c r="N2158" s="4" t="e">
        <f t="shared" si="434"/>
        <v>#N/A</v>
      </c>
    </row>
    <row r="2159" spans="1:14">
      <c r="A2159">
        <f t="shared" si="435"/>
        <v>0</v>
      </c>
      <c r="B2159">
        <f t="shared" si="436"/>
        <v>0</v>
      </c>
      <c r="C2159">
        <f t="shared" si="437"/>
        <v>0</v>
      </c>
      <c r="D2159">
        <f t="shared" si="438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9"/>
        <v>0</v>
      </c>
      <c r="G2159">
        <f t="shared" si="440"/>
        <v>0</v>
      </c>
      <c r="H2159">
        <f t="shared" si="441"/>
        <v>0</v>
      </c>
      <c r="I2159">
        <f t="shared" si="442"/>
        <v>0</v>
      </c>
      <c r="J2159">
        <f t="shared" si="443"/>
        <v>0</v>
      </c>
      <c r="K2159" s="4" t="e">
        <f t="shared" si="444"/>
        <v>#N/A</v>
      </c>
      <c r="L2159" t="e">
        <f t="shared" si="445"/>
        <v>#N/A</v>
      </c>
      <c r="M2159" s="4" t="e">
        <f t="shared" si="433"/>
        <v>#N/A</v>
      </c>
      <c r="N2159" s="4" t="e">
        <f t="shared" si="434"/>
        <v>#N/A</v>
      </c>
    </row>
    <row r="2160" spans="1:14">
      <c r="A2160">
        <f t="shared" si="435"/>
        <v>0</v>
      </c>
      <c r="B2160">
        <f t="shared" si="436"/>
        <v>0</v>
      </c>
      <c r="C2160">
        <f t="shared" si="437"/>
        <v>0</v>
      </c>
      <c r="D2160">
        <f t="shared" si="438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9"/>
        <v>0</v>
      </c>
      <c r="G2160">
        <f t="shared" si="440"/>
        <v>0</v>
      </c>
      <c r="H2160">
        <f t="shared" si="441"/>
        <v>0</v>
      </c>
      <c r="I2160">
        <f t="shared" si="442"/>
        <v>0</v>
      </c>
      <c r="J2160">
        <f t="shared" si="443"/>
        <v>0</v>
      </c>
      <c r="K2160" s="4" t="e">
        <f t="shared" si="444"/>
        <v>#N/A</v>
      </c>
      <c r="L2160" t="e">
        <f t="shared" si="445"/>
        <v>#N/A</v>
      </c>
      <c r="M2160" s="4" t="e">
        <f t="shared" si="433"/>
        <v>#N/A</v>
      </c>
      <c r="N2160" s="4" t="e">
        <f t="shared" si="434"/>
        <v>#N/A</v>
      </c>
    </row>
    <row r="2161" spans="1:14">
      <c r="A2161">
        <f t="shared" si="435"/>
        <v>0</v>
      </c>
      <c r="B2161">
        <f t="shared" si="436"/>
        <v>0</v>
      </c>
      <c r="C2161">
        <f t="shared" si="437"/>
        <v>0</v>
      </c>
      <c r="D2161">
        <f t="shared" si="438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9"/>
        <v>0</v>
      </c>
      <c r="G2161">
        <f t="shared" si="440"/>
        <v>0</v>
      </c>
      <c r="H2161">
        <f t="shared" si="441"/>
        <v>0</v>
      </c>
      <c r="I2161">
        <f t="shared" si="442"/>
        <v>0</v>
      </c>
      <c r="J2161">
        <f t="shared" si="443"/>
        <v>0</v>
      </c>
      <c r="K2161" s="4" t="e">
        <f t="shared" si="444"/>
        <v>#N/A</v>
      </c>
      <c r="L2161" t="e">
        <f t="shared" si="445"/>
        <v>#N/A</v>
      </c>
      <c r="M2161" s="4" t="e">
        <f t="shared" si="433"/>
        <v>#N/A</v>
      </c>
      <c r="N2161" s="4" t="e">
        <f t="shared" si="434"/>
        <v>#N/A</v>
      </c>
    </row>
    <row r="2162" spans="1:14">
      <c r="A2162">
        <f t="shared" si="435"/>
        <v>0</v>
      </c>
      <c r="B2162">
        <f t="shared" si="436"/>
        <v>0</v>
      </c>
      <c r="C2162">
        <f t="shared" si="437"/>
        <v>0</v>
      </c>
      <c r="D2162">
        <f t="shared" si="438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9"/>
        <v>0</v>
      </c>
      <c r="G2162">
        <f t="shared" si="440"/>
        <v>0</v>
      </c>
      <c r="H2162">
        <f t="shared" si="441"/>
        <v>0</v>
      </c>
      <c r="I2162">
        <f t="shared" si="442"/>
        <v>0</v>
      </c>
      <c r="J2162">
        <f t="shared" si="443"/>
        <v>0</v>
      </c>
      <c r="K2162" s="4" t="e">
        <f t="shared" si="444"/>
        <v>#N/A</v>
      </c>
      <c r="L2162" t="e">
        <f t="shared" si="445"/>
        <v>#N/A</v>
      </c>
      <c r="M2162" s="4" t="e">
        <f t="shared" si="433"/>
        <v>#N/A</v>
      </c>
      <c r="N2162" s="4" t="e">
        <f t="shared" si="434"/>
        <v>#N/A</v>
      </c>
    </row>
    <row r="2163" spans="1:14">
      <c r="A2163">
        <f t="shared" si="435"/>
        <v>0</v>
      </c>
      <c r="B2163">
        <f t="shared" si="436"/>
        <v>0</v>
      </c>
      <c r="C2163">
        <f t="shared" si="437"/>
        <v>0</v>
      </c>
      <c r="D2163">
        <f t="shared" si="438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9"/>
        <v>0</v>
      </c>
      <c r="G2163">
        <f t="shared" si="440"/>
        <v>0</v>
      </c>
      <c r="H2163">
        <f t="shared" si="441"/>
        <v>0</v>
      </c>
      <c r="I2163">
        <f t="shared" si="442"/>
        <v>0</v>
      </c>
      <c r="J2163">
        <f t="shared" si="443"/>
        <v>0</v>
      </c>
      <c r="K2163" s="4" t="e">
        <f t="shared" si="444"/>
        <v>#N/A</v>
      </c>
      <c r="L2163" t="e">
        <f t="shared" si="445"/>
        <v>#N/A</v>
      </c>
      <c r="M2163" s="4" t="e">
        <f t="shared" si="433"/>
        <v>#N/A</v>
      </c>
      <c r="N2163" s="4" t="e">
        <f t="shared" si="434"/>
        <v>#N/A</v>
      </c>
    </row>
    <row r="2164" spans="1:14">
      <c r="A2164">
        <f t="shared" si="435"/>
        <v>0</v>
      </c>
      <c r="B2164">
        <f t="shared" si="436"/>
        <v>0</v>
      </c>
      <c r="C2164">
        <f t="shared" si="437"/>
        <v>0</v>
      </c>
      <c r="D2164">
        <f t="shared" si="438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9"/>
        <v>0</v>
      </c>
      <c r="G2164">
        <f t="shared" si="440"/>
        <v>0</v>
      </c>
      <c r="H2164">
        <f t="shared" si="441"/>
        <v>0</v>
      </c>
      <c r="I2164">
        <f t="shared" si="442"/>
        <v>0</v>
      </c>
      <c r="J2164">
        <f t="shared" si="443"/>
        <v>0</v>
      </c>
      <c r="K2164" s="4" t="e">
        <f t="shared" si="444"/>
        <v>#N/A</v>
      </c>
      <c r="L2164" t="e">
        <f t="shared" si="445"/>
        <v>#N/A</v>
      </c>
      <c r="M2164" s="4" t="e">
        <f t="shared" si="433"/>
        <v>#N/A</v>
      </c>
      <c r="N2164" s="4" t="e">
        <f t="shared" si="434"/>
        <v>#N/A</v>
      </c>
    </row>
    <row r="2165" spans="1:14">
      <c r="A2165">
        <f t="shared" si="435"/>
        <v>0</v>
      </c>
      <c r="B2165">
        <f t="shared" si="436"/>
        <v>0</v>
      </c>
      <c r="C2165">
        <f t="shared" si="437"/>
        <v>0</v>
      </c>
      <c r="D2165">
        <f t="shared" si="438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9"/>
        <v>0</v>
      </c>
      <c r="G2165">
        <f t="shared" si="440"/>
        <v>0</v>
      </c>
      <c r="H2165">
        <f t="shared" si="441"/>
        <v>0</v>
      </c>
      <c r="I2165">
        <f t="shared" si="442"/>
        <v>0</v>
      </c>
      <c r="J2165">
        <f t="shared" si="443"/>
        <v>0</v>
      </c>
      <c r="K2165" s="4" t="e">
        <f t="shared" si="444"/>
        <v>#N/A</v>
      </c>
      <c r="L2165" t="e">
        <f t="shared" si="445"/>
        <v>#N/A</v>
      </c>
      <c r="M2165" s="4" t="e">
        <f t="shared" si="433"/>
        <v>#N/A</v>
      </c>
      <c r="N2165" s="4" t="e">
        <f t="shared" si="434"/>
        <v>#N/A</v>
      </c>
    </row>
    <row r="2166" spans="1:14">
      <c r="A2166">
        <f t="shared" si="435"/>
        <v>0</v>
      </c>
      <c r="B2166">
        <f t="shared" si="436"/>
        <v>0</v>
      </c>
      <c r="C2166">
        <f t="shared" si="437"/>
        <v>0</v>
      </c>
      <c r="D2166">
        <f t="shared" si="438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9"/>
        <v>0</v>
      </c>
      <c r="G2166">
        <f t="shared" si="440"/>
        <v>0</v>
      </c>
      <c r="H2166">
        <f t="shared" si="441"/>
        <v>0</v>
      </c>
      <c r="I2166">
        <f t="shared" si="442"/>
        <v>0</v>
      </c>
      <c r="J2166">
        <f t="shared" si="443"/>
        <v>0</v>
      </c>
      <c r="K2166" s="4" t="e">
        <f t="shared" si="444"/>
        <v>#N/A</v>
      </c>
      <c r="L2166" t="e">
        <f t="shared" si="445"/>
        <v>#N/A</v>
      </c>
      <c r="M2166" s="4" t="e">
        <f t="shared" si="433"/>
        <v>#N/A</v>
      </c>
      <c r="N2166" s="4" t="e">
        <f t="shared" si="434"/>
        <v>#N/A</v>
      </c>
    </row>
    <row r="2167" spans="1:14">
      <c r="A2167">
        <f t="shared" si="435"/>
        <v>0</v>
      </c>
      <c r="B2167">
        <f t="shared" si="436"/>
        <v>0</v>
      </c>
      <c r="C2167">
        <f t="shared" si="437"/>
        <v>0</v>
      </c>
      <c r="D2167">
        <f t="shared" si="438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9"/>
        <v>0</v>
      </c>
      <c r="G2167">
        <f t="shared" si="440"/>
        <v>0</v>
      </c>
      <c r="H2167">
        <f t="shared" si="441"/>
        <v>0</v>
      </c>
      <c r="I2167">
        <f t="shared" si="442"/>
        <v>0</v>
      </c>
      <c r="J2167">
        <f t="shared" si="443"/>
        <v>0</v>
      </c>
      <c r="K2167" s="4" t="e">
        <f t="shared" si="444"/>
        <v>#N/A</v>
      </c>
      <c r="L2167" t="e">
        <f t="shared" si="445"/>
        <v>#N/A</v>
      </c>
      <c r="M2167" s="4" t="e">
        <f t="shared" si="433"/>
        <v>#N/A</v>
      </c>
      <c r="N2167" s="4" t="e">
        <f t="shared" si="434"/>
        <v>#N/A</v>
      </c>
    </row>
    <row r="2168" spans="1:14">
      <c r="A2168">
        <f t="shared" si="435"/>
        <v>0</v>
      </c>
      <c r="B2168">
        <f t="shared" si="436"/>
        <v>0</v>
      </c>
      <c r="C2168">
        <f t="shared" si="437"/>
        <v>0</v>
      </c>
      <c r="D2168">
        <f t="shared" si="438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9"/>
        <v>0</v>
      </c>
      <c r="G2168">
        <f t="shared" si="440"/>
        <v>0</v>
      </c>
      <c r="H2168">
        <f t="shared" si="441"/>
        <v>0</v>
      </c>
      <c r="I2168">
        <f t="shared" si="442"/>
        <v>0</v>
      </c>
      <c r="J2168">
        <f t="shared" si="443"/>
        <v>0</v>
      </c>
      <c r="K2168" s="4" t="e">
        <f t="shared" si="444"/>
        <v>#N/A</v>
      </c>
      <c r="L2168" t="e">
        <f t="shared" si="445"/>
        <v>#N/A</v>
      </c>
      <c r="M2168" s="4" t="e">
        <f t="shared" si="433"/>
        <v>#N/A</v>
      </c>
      <c r="N2168" s="4" t="e">
        <f t="shared" si="434"/>
        <v>#N/A</v>
      </c>
    </row>
    <row r="2169" spans="1:14">
      <c r="A2169">
        <f t="shared" si="435"/>
        <v>0</v>
      </c>
      <c r="B2169">
        <f t="shared" si="436"/>
        <v>0</v>
      </c>
      <c r="C2169">
        <f t="shared" si="437"/>
        <v>0</v>
      </c>
      <c r="D2169">
        <f t="shared" si="438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9"/>
        <v>0</v>
      </c>
      <c r="G2169">
        <f t="shared" si="440"/>
        <v>0</v>
      </c>
      <c r="H2169">
        <f t="shared" si="441"/>
        <v>0</v>
      </c>
      <c r="I2169">
        <f t="shared" si="442"/>
        <v>0</v>
      </c>
      <c r="J2169">
        <f t="shared" si="443"/>
        <v>0</v>
      </c>
      <c r="K2169" s="4" t="e">
        <f t="shared" si="444"/>
        <v>#N/A</v>
      </c>
      <c r="L2169" t="e">
        <f t="shared" si="445"/>
        <v>#N/A</v>
      </c>
      <c r="M2169" s="4" t="e">
        <f t="shared" si="433"/>
        <v>#N/A</v>
      </c>
      <c r="N2169" s="4" t="e">
        <f t="shared" si="434"/>
        <v>#N/A</v>
      </c>
    </row>
    <row r="2170" spans="1:14">
      <c r="A2170">
        <f t="shared" si="435"/>
        <v>0</v>
      </c>
      <c r="B2170">
        <f t="shared" si="436"/>
        <v>0</v>
      </c>
      <c r="C2170">
        <f t="shared" si="437"/>
        <v>0</v>
      </c>
      <c r="D2170">
        <f t="shared" si="438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9"/>
        <v>0</v>
      </c>
      <c r="G2170">
        <f t="shared" si="440"/>
        <v>0</v>
      </c>
      <c r="H2170">
        <f t="shared" si="441"/>
        <v>0</v>
      </c>
      <c r="I2170">
        <f t="shared" si="442"/>
        <v>0</v>
      </c>
      <c r="J2170">
        <f t="shared" si="443"/>
        <v>0</v>
      </c>
      <c r="K2170" s="4" t="e">
        <f t="shared" si="444"/>
        <v>#N/A</v>
      </c>
      <c r="L2170" t="e">
        <f t="shared" si="445"/>
        <v>#N/A</v>
      </c>
      <c r="M2170" s="4" t="e">
        <f t="shared" si="433"/>
        <v>#N/A</v>
      </c>
      <c r="N2170" s="4" t="e">
        <f t="shared" si="434"/>
        <v>#N/A</v>
      </c>
    </row>
    <row r="2171" spans="1:14">
      <c r="A2171">
        <f t="shared" si="435"/>
        <v>0</v>
      </c>
      <c r="B2171">
        <f t="shared" si="436"/>
        <v>0</v>
      </c>
      <c r="C2171">
        <f t="shared" si="437"/>
        <v>0</v>
      </c>
      <c r="D2171">
        <f t="shared" si="438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9"/>
        <v>0</v>
      </c>
      <c r="G2171">
        <f t="shared" si="440"/>
        <v>0</v>
      </c>
      <c r="H2171">
        <f t="shared" si="441"/>
        <v>0</v>
      </c>
      <c r="I2171">
        <f t="shared" si="442"/>
        <v>0</v>
      </c>
      <c r="J2171">
        <f t="shared" si="443"/>
        <v>0</v>
      </c>
      <c r="K2171" s="4" t="e">
        <f t="shared" si="444"/>
        <v>#N/A</v>
      </c>
      <c r="L2171" t="e">
        <f t="shared" si="445"/>
        <v>#N/A</v>
      </c>
      <c r="M2171" s="4" t="e">
        <f t="shared" ref="M2171:M2228" si="446">IF(E2171="Dynamic Click",J2171*K2171,K2171*$I2171/1000)</f>
        <v>#N/A</v>
      </c>
      <c r="N2171" s="4" t="e">
        <f t="shared" ref="N2171:N2228" si="447">IF(E2171="Dynamic Click",J2171*L2171,L2171*$I2171/1000)</f>
        <v>#N/A</v>
      </c>
    </row>
    <row r="2172" spans="1:14">
      <c r="A2172">
        <f t="shared" si="435"/>
        <v>0</v>
      </c>
      <c r="B2172">
        <f t="shared" si="436"/>
        <v>0</v>
      </c>
      <c r="C2172">
        <f t="shared" si="437"/>
        <v>0</v>
      </c>
      <c r="D2172">
        <f t="shared" si="438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9"/>
        <v>0</v>
      </c>
      <c r="G2172">
        <f t="shared" si="440"/>
        <v>0</v>
      </c>
      <c r="H2172">
        <f t="shared" si="441"/>
        <v>0</v>
      </c>
      <c r="I2172">
        <f t="shared" si="442"/>
        <v>0</v>
      </c>
      <c r="J2172">
        <f t="shared" si="443"/>
        <v>0</v>
      </c>
      <c r="K2172" s="4" t="e">
        <f t="shared" si="444"/>
        <v>#N/A</v>
      </c>
      <c r="L2172" t="e">
        <f t="shared" si="445"/>
        <v>#N/A</v>
      </c>
      <c r="M2172" s="4" t="e">
        <f t="shared" si="446"/>
        <v>#N/A</v>
      </c>
      <c r="N2172" s="4" t="e">
        <f t="shared" si="447"/>
        <v>#N/A</v>
      </c>
    </row>
    <row r="2173" spans="1:14">
      <c r="A2173">
        <f t="shared" si="435"/>
        <v>0</v>
      </c>
      <c r="B2173">
        <f t="shared" si="436"/>
        <v>0</v>
      </c>
      <c r="C2173">
        <f t="shared" si="437"/>
        <v>0</v>
      </c>
      <c r="D2173">
        <f t="shared" si="438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9"/>
        <v>0</v>
      </c>
      <c r="G2173">
        <f t="shared" si="440"/>
        <v>0</v>
      </c>
      <c r="H2173">
        <f t="shared" si="441"/>
        <v>0</v>
      </c>
      <c r="I2173">
        <f t="shared" si="442"/>
        <v>0</v>
      </c>
      <c r="J2173">
        <f t="shared" si="443"/>
        <v>0</v>
      </c>
      <c r="K2173" s="4" t="e">
        <f t="shared" si="444"/>
        <v>#N/A</v>
      </c>
      <c r="L2173" t="e">
        <f t="shared" si="445"/>
        <v>#N/A</v>
      </c>
      <c r="M2173" s="4" t="e">
        <f t="shared" si="446"/>
        <v>#N/A</v>
      </c>
      <c r="N2173" s="4" t="e">
        <f t="shared" si="447"/>
        <v>#N/A</v>
      </c>
    </row>
    <row r="2174" spans="1:14">
      <c r="A2174">
        <f t="shared" si="435"/>
        <v>0</v>
      </c>
      <c r="B2174">
        <f t="shared" si="436"/>
        <v>0</v>
      </c>
      <c r="C2174">
        <f t="shared" si="437"/>
        <v>0</v>
      </c>
      <c r="D2174">
        <f t="shared" si="438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9"/>
        <v>0</v>
      </c>
      <c r="G2174">
        <f t="shared" si="440"/>
        <v>0</v>
      </c>
      <c r="H2174">
        <f t="shared" si="441"/>
        <v>0</v>
      </c>
      <c r="I2174">
        <f t="shared" si="442"/>
        <v>0</v>
      </c>
      <c r="J2174">
        <f t="shared" si="443"/>
        <v>0</v>
      </c>
      <c r="K2174" s="4" t="e">
        <f t="shared" si="444"/>
        <v>#N/A</v>
      </c>
      <c r="L2174" t="e">
        <f t="shared" si="445"/>
        <v>#N/A</v>
      </c>
      <c r="M2174" s="4" t="e">
        <f t="shared" si="446"/>
        <v>#N/A</v>
      </c>
      <c r="N2174" s="4" t="e">
        <f t="shared" si="447"/>
        <v>#N/A</v>
      </c>
    </row>
    <row r="2175" spans="1:14">
      <c r="A2175">
        <f t="shared" si="435"/>
        <v>0</v>
      </c>
      <c r="B2175">
        <f t="shared" si="436"/>
        <v>0</v>
      </c>
      <c r="C2175">
        <f t="shared" si="437"/>
        <v>0</v>
      </c>
      <c r="D2175">
        <f t="shared" si="438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9"/>
        <v>0</v>
      </c>
      <c r="G2175">
        <f t="shared" si="440"/>
        <v>0</v>
      </c>
      <c r="H2175">
        <f t="shared" si="441"/>
        <v>0</v>
      </c>
      <c r="I2175">
        <f t="shared" si="442"/>
        <v>0</v>
      </c>
      <c r="J2175">
        <f t="shared" si="443"/>
        <v>0</v>
      </c>
      <c r="K2175" s="4" t="e">
        <f t="shared" si="444"/>
        <v>#N/A</v>
      </c>
      <c r="L2175" t="e">
        <f t="shared" si="445"/>
        <v>#N/A</v>
      </c>
      <c r="M2175" s="4" t="e">
        <f t="shared" si="446"/>
        <v>#N/A</v>
      </c>
      <c r="N2175" s="4" t="e">
        <f t="shared" si="447"/>
        <v>#N/A</v>
      </c>
    </row>
    <row r="2176" spans="1:14">
      <c r="A2176">
        <f t="shared" si="435"/>
        <v>0</v>
      </c>
      <c r="B2176">
        <f t="shared" si="436"/>
        <v>0</v>
      </c>
      <c r="C2176">
        <f t="shared" si="437"/>
        <v>0</v>
      </c>
      <c r="D2176">
        <f t="shared" si="438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9"/>
        <v>0</v>
      </c>
      <c r="G2176">
        <f t="shared" si="440"/>
        <v>0</v>
      </c>
      <c r="H2176">
        <f t="shared" si="441"/>
        <v>0</v>
      </c>
      <c r="I2176">
        <f t="shared" si="442"/>
        <v>0</v>
      </c>
      <c r="J2176">
        <f t="shared" si="443"/>
        <v>0</v>
      </c>
      <c r="K2176" s="4" t="e">
        <f t="shared" si="444"/>
        <v>#N/A</v>
      </c>
      <c r="L2176" t="e">
        <f t="shared" si="445"/>
        <v>#N/A</v>
      </c>
      <c r="M2176" s="4" t="e">
        <f t="shared" si="446"/>
        <v>#N/A</v>
      </c>
      <c r="N2176" s="4" t="e">
        <f t="shared" si="447"/>
        <v>#N/A</v>
      </c>
    </row>
    <row r="2177" spans="1:14">
      <c r="A2177">
        <f t="shared" si="435"/>
        <v>0</v>
      </c>
      <c r="B2177">
        <f t="shared" si="436"/>
        <v>0</v>
      </c>
      <c r="C2177">
        <f t="shared" si="437"/>
        <v>0</v>
      </c>
      <c r="D2177">
        <f t="shared" si="438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9"/>
        <v>0</v>
      </c>
      <c r="G2177">
        <f t="shared" si="440"/>
        <v>0</v>
      </c>
      <c r="H2177">
        <f t="shared" si="441"/>
        <v>0</v>
      </c>
      <c r="I2177">
        <f t="shared" si="442"/>
        <v>0</v>
      </c>
      <c r="J2177">
        <f t="shared" si="443"/>
        <v>0</v>
      </c>
      <c r="K2177" s="4" t="e">
        <f t="shared" si="444"/>
        <v>#N/A</v>
      </c>
      <c r="L2177" t="e">
        <f t="shared" si="445"/>
        <v>#N/A</v>
      </c>
      <c r="M2177" s="4" t="e">
        <f t="shared" si="446"/>
        <v>#N/A</v>
      </c>
      <c r="N2177" s="4" t="e">
        <f t="shared" si="447"/>
        <v>#N/A</v>
      </c>
    </row>
    <row r="2178" spans="1:14">
      <c r="A2178">
        <f t="shared" ref="A2178:A2241" si="448">bd_campaign</f>
        <v>0</v>
      </c>
      <c r="B2178">
        <f t="shared" ref="B2178:B2241" si="449">bd_site</f>
        <v>0</v>
      </c>
      <c r="C2178">
        <f t="shared" ref="C2178:C2241" si="450">bd_placement</f>
        <v>0</v>
      </c>
      <c r="D2178">
        <f t="shared" ref="D2178:D2241" si="451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2">bd_ad</f>
        <v>0</v>
      </c>
      <c r="G2178">
        <f t="shared" ref="G2178:G2241" si="453">bd_adid</f>
        <v>0</v>
      </c>
      <c r="H2178">
        <f t="shared" ref="H2178:H2241" si="454">bd_creativetype</f>
        <v>0</v>
      </c>
      <c r="I2178">
        <f t="shared" ref="I2178:I2241" si="455">bd_impression</f>
        <v>0</v>
      </c>
      <c r="J2178">
        <f t="shared" ref="J2178:J2241" si="456">bd_clicks</f>
        <v>0</v>
      </c>
      <c r="K2178" s="4" t="e">
        <f t="shared" si="444"/>
        <v>#N/A</v>
      </c>
      <c r="L2178" t="e">
        <f t="shared" si="445"/>
        <v>#N/A</v>
      </c>
      <c r="M2178" s="4" t="e">
        <f t="shared" si="446"/>
        <v>#N/A</v>
      </c>
      <c r="N2178" s="4" t="e">
        <f t="shared" si="447"/>
        <v>#N/A</v>
      </c>
    </row>
    <row r="2179" spans="1:14">
      <c r="A2179">
        <f t="shared" si="448"/>
        <v>0</v>
      </c>
      <c r="B2179">
        <f t="shared" si="449"/>
        <v>0</v>
      </c>
      <c r="C2179">
        <f t="shared" si="450"/>
        <v>0</v>
      </c>
      <c r="D2179">
        <f t="shared" si="451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2"/>
        <v>0</v>
      </c>
      <c r="G2179">
        <f t="shared" si="453"/>
        <v>0</v>
      </c>
      <c r="H2179">
        <f t="shared" si="454"/>
        <v>0</v>
      </c>
      <c r="I2179">
        <f t="shared" si="455"/>
        <v>0</v>
      </c>
      <c r="J2179">
        <f t="shared" si="456"/>
        <v>0</v>
      </c>
      <c r="K2179" s="4" t="e">
        <f t="shared" si="444"/>
        <v>#N/A</v>
      </c>
      <c r="L2179" t="e">
        <f t="shared" si="445"/>
        <v>#N/A</v>
      </c>
      <c r="M2179" s="4" t="e">
        <f t="shared" si="446"/>
        <v>#N/A</v>
      </c>
      <c r="N2179" s="4" t="e">
        <f t="shared" si="447"/>
        <v>#N/A</v>
      </c>
    </row>
    <row r="2180" spans="1:14">
      <c r="A2180">
        <f t="shared" si="448"/>
        <v>0</v>
      </c>
      <c r="B2180">
        <f t="shared" si="449"/>
        <v>0</v>
      </c>
      <c r="C2180">
        <f t="shared" si="450"/>
        <v>0</v>
      </c>
      <c r="D2180">
        <f t="shared" si="451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2"/>
        <v>0</v>
      </c>
      <c r="G2180">
        <f t="shared" si="453"/>
        <v>0</v>
      </c>
      <c r="H2180">
        <f t="shared" si="454"/>
        <v>0</v>
      </c>
      <c r="I2180">
        <f t="shared" si="455"/>
        <v>0</v>
      </c>
      <c r="J2180">
        <f t="shared" si="456"/>
        <v>0</v>
      </c>
      <c r="K2180" s="4" t="e">
        <f t="shared" si="444"/>
        <v>#N/A</v>
      </c>
      <c r="L2180" t="e">
        <f t="shared" si="445"/>
        <v>#N/A</v>
      </c>
      <c r="M2180" s="4" t="e">
        <f t="shared" si="446"/>
        <v>#N/A</v>
      </c>
      <c r="N2180" s="4" t="e">
        <f t="shared" si="447"/>
        <v>#N/A</v>
      </c>
    </row>
    <row r="2181" spans="1:14">
      <c r="A2181">
        <f t="shared" si="448"/>
        <v>0</v>
      </c>
      <c r="B2181">
        <f t="shared" si="449"/>
        <v>0</v>
      </c>
      <c r="C2181">
        <f t="shared" si="450"/>
        <v>0</v>
      </c>
      <c r="D2181">
        <f t="shared" si="451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2"/>
        <v>0</v>
      </c>
      <c r="G2181">
        <f t="shared" si="453"/>
        <v>0</v>
      </c>
      <c r="H2181">
        <f t="shared" si="454"/>
        <v>0</v>
      </c>
      <c r="I2181">
        <f t="shared" si="455"/>
        <v>0</v>
      </c>
      <c r="J2181">
        <f t="shared" si="456"/>
        <v>0</v>
      </c>
      <c r="K2181" s="4" t="e">
        <f t="shared" si="444"/>
        <v>#N/A</v>
      </c>
      <c r="L2181" t="e">
        <f t="shared" si="445"/>
        <v>#N/A</v>
      </c>
      <c r="M2181" s="4" t="e">
        <f t="shared" si="446"/>
        <v>#N/A</v>
      </c>
      <c r="N2181" s="4" t="e">
        <f t="shared" si="447"/>
        <v>#N/A</v>
      </c>
    </row>
    <row r="2182" spans="1:14">
      <c r="A2182">
        <f t="shared" si="448"/>
        <v>0</v>
      </c>
      <c r="B2182">
        <f t="shared" si="449"/>
        <v>0</v>
      </c>
      <c r="C2182">
        <f t="shared" si="450"/>
        <v>0</v>
      </c>
      <c r="D2182">
        <f t="shared" si="451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2"/>
        <v>0</v>
      </c>
      <c r="G2182">
        <f t="shared" si="453"/>
        <v>0</v>
      </c>
      <c r="H2182">
        <f t="shared" si="454"/>
        <v>0</v>
      </c>
      <c r="I2182">
        <f t="shared" si="455"/>
        <v>0</v>
      </c>
      <c r="J2182">
        <f t="shared" si="456"/>
        <v>0</v>
      </c>
      <c r="K2182" s="4" t="e">
        <f t="shared" si="444"/>
        <v>#N/A</v>
      </c>
      <c r="L2182" t="e">
        <f t="shared" si="445"/>
        <v>#N/A</v>
      </c>
      <c r="M2182" s="4" t="e">
        <f t="shared" si="446"/>
        <v>#N/A</v>
      </c>
      <c r="N2182" s="4" t="e">
        <f t="shared" si="447"/>
        <v>#N/A</v>
      </c>
    </row>
    <row r="2183" spans="1:14">
      <c r="A2183">
        <f t="shared" si="448"/>
        <v>0</v>
      </c>
      <c r="B2183">
        <f t="shared" si="449"/>
        <v>0</v>
      </c>
      <c r="C2183">
        <f t="shared" si="450"/>
        <v>0</v>
      </c>
      <c r="D2183">
        <f t="shared" si="451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2"/>
        <v>0</v>
      </c>
      <c r="G2183">
        <f t="shared" si="453"/>
        <v>0</v>
      </c>
      <c r="H2183">
        <f t="shared" si="454"/>
        <v>0</v>
      </c>
      <c r="I2183">
        <f t="shared" si="455"/>
        <v>0</v>
      </c>
      <c r="J2183">
        <f t="shared" si="456"/>
        <v>0</v>
      </c>
      <c r="K2183" s="4" t="e">
        <f t="shared" si="444"/>
        <v>#N/A</v>
      </c>
      <c r="L2183" t="e">
        <f t="shared" si="445"/>
        <v>#N/A</v>
      </c>
      <c r="M2183" s="4" t="e">
        <f t="shared" si="446"/>
        <v>#N/A</v>
      </c>
      <c r="N2183" s="4" t="e">
        <f t="shared" si="447"/>
        <v>#N/A</v>
      </c>
    </row>
    <row r="2184" spans="1:14">
      <c r="A2184">
        <f t="shared" si="448"/>
        <v>0</v>
      </c>
      <c r="B2184">
        <f t="shared" si="449"/>
        <v>0</v>
      </c>
      <c r="C2184">
        <f t="shared" si="450"/>
        <v>0</v>
      </c>
      <c r="D2184">
        <f t="shared" si="451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2"/>
        <v>0</v>
      </c>
      <c r="G2184">
        <f t="shared" si="453"/>
        <v>0</v>
      </c>
      <c r="H2184">
        <f t="shared" si="454"/>
        <v>0</v>
      </c>
      <c r="I2184">
        <f t="shared" si="455"/>
        <v>0</v>
      </c>
      <c r="J2184">
        <f t="shared" si="456"/>
        <v>0</v>
      </c>
      <c r="K2184" s="4" t="e">
        <f t="shared" si="444"/>
        <v>#N/A</v>
      </c>
      <c r="L2184" t="e">
        <f t="shared" si="445"/>
        <v>#N/A</v>
      </c>
      <c r="M2184" s="4" t="e">
        <f t="shared" si="446"/>
        <v>#N/A</v>
      </c>
      <c r="N2184" s="4" t="e">
        <f t="shared" si="447"/>
        <v>#N/A</v>
      </c>
    </row>
    <row r="2185" spans="1:14">
      <c r="A2185">
        <f t="shared" si="448"/>
        <v>0</v>
      </c>
      <c r="B2185">
        <f t="shared" si="449"/>
        <v>0</v>
      </c>
      <c r="C2185">
        <f t="shared" si="450"/>
        <v>0</v>
      </c>
      <c r="D2185">
        <f t="shared" si="451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2"/>
        <v>0</v>
      </c>
      <c r="G2185">
        <f t="shared" si="453"/>
        <v>0</v>
      </c>
      <c r="H2185">
        <f t="shared" si="454"/>
        <v>0</v>
      </c>
      <c r="I2185">
        <f t="shared" si="455"/>
        <v>0</v>
      </c>
      <c r="J2185">
        <f t="shared" si="456"/>
        <v>0</v>
      </c>
      <c r="K2185" s="4" t="e">
        <f t="shared" si="444"/>
        <v>#N/A</v>
      </c>
      <c r="L2185" t="e">
        <f t="shared" si="445"/>
        <v>#N/A</v>
      </c>
      <c r="M2185" s="4" t="e">
        <f t="shared" si="446"/>
        <v>#N/A</v>
      </c>
      <c r="N2185" s="4" t="e">
        <f t="shared" si="447"/>
        <v>#N/A</v>
      </c>
    </row>
    <row r="2186" spans="1:14">
      <c r="A2186">
        <f t="shared" si="448"/>
        <v>0</v>
      </c>
      <c r="B2186">
        <f t="shared" si="449"/>
        <v>0</v>
      </c>
      <c r="C2186">
        <f t="shared" si="450"/>
        <v>0</v>
      </c>
      <c r="D2186">
        <f t="shared" si="451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2"/>
        <v>0</v>
      </c>
      <c r="G2186">
        <f t="shared" si="453"/>
        <v>0</v>
      </c>
      <c r="H2186">
        <f t="shared" si="454"/>
        <v>0</v>
      </c>
      <c r="I2186">
        <f t="shared" si="455"/>
        <v>0</v>
      </c>
      <c r="J2186">
        <f t="shared" si="456"/>
        <v>0</v>
      </c>
      <c r="K2186" s="4" t="e">
        <f t="shared" si="444"/>
        <v>#N/A</v>
      </c>
      <c r="L2186" t="e">
        <f t="shared" si="445"/>
        <v>#N/A</v>
      </c>
      <c r="M2186" s="4" t="e">
        <f t="shared" si="446"/>
        <v>#N/A</v>
      </c>
      <c r="N2186" s="4" t="e">
        <f t="shared" si="447"/>
        <v>#N/A</v>
      </c>
    </row>
    <row r="2187" spans="1:14">
      <c r="A2187">
        <f t="shared" si="448"/>
        <v>0</v>
      </c>
      <c r="B2187">
        <f t="shared" si="449"/>
        <v>0</v>
      </c>
      <c r="C2187">
        <f t="shared" si="450"/>
        <v>0</v>
      </c>
      <c r="D2187">
        <f t="shared" si="451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2"/>
        <v>0</v>
      </c>
      <c r="G2187">
        <f t="shared" si="453"/>
        <v>0</v>
      </c>
      <c r="H2187">
        <f t="shared" si="454"/>
        <v>0</v>
      </c>
      <c r="I2187">
        <f t="shared" si="455"/>
        <v>0</v>
      </c>
      <c r="J2187">
        <f t="shared" si="456"/>
        <v>0</v>
      </c>
      <c r="K2187" s="4" t="e">
        <f t="shared" si="444"/>
        <v>#N/A</v>
      </c>
      <c r="L2187" t="e">
        <f t="shared" si="445"/>
        <v>#N/A</v>
      </c>
      <c r="M2187" s="4" t="e">
        <f t="shared" si="446"/>
        <v>#N/A</v>
      </c>
      <c r="N2187" s="4" t="e">
        <f t="shared" si="447"/>
        <v>#N/A</v>
      </c>
    </row>
    <row r="2188" spans="1:14">
      <c r="A2188">
        <f t="shared" si="448"/>
        <v>0</v>
      </c>
      <c r="B2188">
        <f t="shared" si="449"/>
        <v>0</v>
      </c>
      <c r="C2188">
        <f t="shared" si="450"/>
        <v>0</v>
      </c>
      <c r="D2188">
        <f t="shared" si="451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2"/>
        <v>0</v>
      </c>
      <c r="G2188">
        <f t="shared" si="453"/>
        <v>0</v>
      </c>
      <c r="H2188">
        <f t="shared" si="454"/>
        <v>0</v>
      </c>
      <c r="I2188">
        <f t="shared" si="455"/>
        <v>0</v>
      </c>
      <c r="J2188">
        <f t="shared" si="456"/>
        <v>0</v>
      </c>
      <c r="K2188" s="4" t="e">
        <f t="shared" si="444"/>
        <v>#N/A</v>
      </c>
      <c r="L2188" t="e">
        <f t="shared" si="445"/>
        <v>#N/A</v>
      </c>
      <c r="M2188" s="4" t="e">
        <f t="shared" si="446"/>
        <v>#N/A</v>
      </c>
      <c r="N2188" s="4" t="e">
        <f t="shared" si="447"/>
        <v>#N/A</v>
      </c>
    </row>
    <row r="2189" spans="1:14">
      <c r="A2189">
        <f t="shared" si="448"/>
        <v>0</v>
      </c>
      <c r="B2189">
        <f t="shared" si="449"/>
        <v>0</v>
      </c>
      <c r="C2189">
        <f t="shared" si="450"/>
        <v>0</v>
      </c>
      <c r="D2189">
        <f t="shared" si="451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2"/>
        <v>0</v>
      </c>
      <c r="G2189">
        <f t="shared" si="453"/>
        <v>0</v>
      </c>
      <c r="H2189">
        <f t="shared" si="454"/>
        <v>0</v>
      </c>
      <c r="I2189">
        <f t="shared" si="455"/>
        <v>0</v>
      </c>
      <c r="J2189">
        <f t="shared" si="456"/>
        <v>0</v>
      </c>
      <c r="K2189" s="4" t="e">
        <f t="shared" si="444"/>
        <v>#N/A</v>
      </c>
      <c r="L2189" t="e">
        <f t="shared" si="445"/>
        <v>#N/A</v>
      </c>
      <c r="M2189" s="4" t="e">
        <f t="shared" si="446"/>
        <v>#N/A</v>
      </c>
      <c r="N2189" s="4" t="e">
        <f t="shared" si="447"/>
        <v>#N/A</v>
      </c>
    </row>
    <row r="2190" spans="1:14">
      <c r="A2190">
        <f t="shared" si="448"/>
        <v>0</v>
      </c>
      <c r="B2190">
        <f t="shared" si="449"/>
        <v>0</v>
      </c>
      <c r="C2190">
        <f t="shared" si="450"/>
        <v>0</v>
      </c>
      <c r="D2190">
        <f t="shared" si="451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2"/>
        <v>0</v>
      </c>
      <c r="G2190">
        <f t="shared" si="453"/>
        <v>0</v>
      </c>
      <c r="H2190">
        <f t="shared" si="454"/>
        <v>0</v>
      </c>
      <c r="I2190">
        <f t="shared" si="455"/>
        <v>0</v>
      </c>
      <c r="J2190">
        <f t="shared" si="456"/>
        <v>0</v>
      </c>
      <c r="K2190" s="4" t="e">
        <f t="shared" si="444"/>
        <v>#N/A</v>
      </c>
      <c r="L2190" t="e">
        <f t="shared" si="445"/>
        <v>#N/A</v>
      </c>
      <c r="M2190" s="4" t="e">
        <f t="shared" si="446"/>
        <v>#N/A</v>
      </c>
      <c r="N2190" s="4" t="e">
        <f t="shared" si="447"/>
        <v>#N/A</v>
      </c>
    </row>
    <row r="2191" spans="1:14">
      <c r="A2191">
        <f t="shared" si="448"/>
        <v>0</v>
      </c>
      <c r="B2191">
        <f t="shared" si="449"/>
        <v>0</v>
      </c>
      <c r="C2191">
        <f t="shared" si="450"/>
        <v>0</v>
      </c>
      <c r="D2191">
        <f t="shared" si="451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2"/>
        <v>0</v>
      </c>
      <c r="G2191">
        <f t="shared" si="453"/>
        <v>0</v>
      </c>
      <c r="H2191">
        <f t="shared" si="454"/>
        <v>0</v>
      </c>
      <c r="I2191">
        <f t="shared" si="455"/>
        <v>0</v>
      </c>
      <c r="J2191">
        <f t="shared" si="456"/>
        <v>0</v>
      </c>
      <c r="K2191" s="4" t="e">
        <f t="shared" si="444"/>
        <v>#N/A</v>
      </c>
      <c r="L2191" t="e">
        <f t="shared" si="445"/>
        <v>#N/A</v>
      </c>
      <c r="M2191" s="4" t="e">
        <f t="shared" si="446"/>
        <v>#N/A</v>
      </c>
      <c r="N2191" s="4" t="e">
        <f t="shared" si="447"/>
        <v>#N/A</v>
      </c>
    </row>
    <row r="2192" spans="1:14">
      <c r="A2192">
        <f t="shared" si="448"/>
        <v>0</v>
      </c>
      <c r="B2192">
        <f t="shared" si="449"/>
        <v>0</v>
      </c>
      <c r="C2192">
        <f t="shared" si="450"/>
        <v>0</v>
      </c>
      <c r="D2192">
        <f t="shared" si="451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2"/>
        <v>0</v>
      </c>
      <c r="G2192">
        <f t="shared" si="453"/>
        <v>0</v>
      </c>
      <c r="H2192">
        <f t="shared" si="454"/>
        <v>0</v>
      </c>
      <c r="I2192">
        <f t="shared" si="455"/>
        <v>0</v>
      </c>
      <c r="J2192">
        <f t="shared" si="456"/>
        <v>0</v>
      </c>
      <c r="K2192" s="4" t="e">
        <f t="shared" si="444"/>
        <v>#N/A</v>
      </c>
      <c r="L2192" t="e">
        <f t="shared" si="445"/>
        <v>#N/A</v>
      </c>
      <c r="M2192" s="4" t="e">
        <f t="shared" si="446"/>
        <v>#N/A</v>
      </c>
      <c r="N2192" s="4" t="e">
        <f t="shared" si="447"/>
        <v>#N/A</v>
      </c>
    </row>
    <row r="2193" spans="1:14">
      <c r="A2193">
        <f t="shared" si="448"/>
        <v>0</v>
      </c>
      <c r="B2193">
        <f t="shared" si="449"/>
        <v>0</v>
      </c>
      <c r="C2193">
        <f t="shared" si="450"/>
        <v>0</v>
      </c>
      <c r="D2193">
        <f t="shared" si="451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2"/>
        <v>0</v>
      </c>
      <c r="G2193">
        <f t="shared" si="453"/>
        <v>0</v>
      </c>
      <c r="H2193">
        <f t="shared" si="454"/>
        <v>0</v>
      </c>
      <c r="I2193">
        <f t="shared" si="455"/>
        <v>0</v>
      </c>
      <c r="J2193">
        <f t="shared" si="456"/>
        <v>0</v>
      </c>
      <c r="K2193" s="4" t="e">
        <f t="shared" si="444"/>
        <v>#N/A</v>
      </c>
      <c r="L2193" t="e">
        <f t="shared" si="445"/>
        <v>#N/A</v>
      </c>
      <c r="M2193" s="4" t="e">
        <f t="shared" si="446"/>
        <v>#N/A</v>
      </c>
      <c r="N2193" s="4" t="e">
        <f t="shared" si="447"/>
        <v>#N/A</v>
      </c>
    </row>
    <row r="2194" spans="1:14">
      <c r="A2194">
        <f t="shared" si="448"/>
        <v>0</v>
      </c>
      <c r="B2194">
        <f t="shared" si="449"/>
        <v>0</v>
      </c>
      <c r="C2194">
        <f t="shared" si="450"/>
        <v>0</v>
      </c>
      <c r="D2194">
        <f t="shared" si="451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2"/>
        <v>0</v>
      </c>
      <c r="G2194">
        <f t="shared" si="453"/>
        <v>0</v>
      </c>
      <c r="H2194">
        <f t="shared" si="454"/>
        <v>0</v>
      </c>
      <c r="I2194">
        <f t="shared" si="455"/>
        <v>0</v>
      </c>
      <c r="J2194">
        <f t="shared" si="456"/>
        <v>0</v>
      </c>
      <c r="K2194" s="4" t="e">
        <f t="shared" si="444"/>
        <v>#N/A</v>
      </c>
      <c r="L2194" t="e">
        <f t="shared" si="445"/>
        <v>#N/A</v>
      </c>
      <c r="M2194" s="4" t="e">
        <f t="shared" si="446"/>
        <v>#N/A</v>
      </c>
      <c r="N2194" s="4" t="e">
        <f t="shared" si="447"/>
        <v>#N/A</v>
      </c>
    </row>
    <row r="2195" spans="1:14">
      <c r="A2195">
        <f t="shared" si="448"/>
        <v>0</v>
      </c>
      <c r="B2195">
        <f t="shared" si="449"/>
        <v>0</v>
      </c>
      <c r="C2195">
        <f t="shared" si="450"/>
        <v>0</v>
      </c>
      <c r="D2195">
        <f t="shared" si="451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2"/>
        <v>0</v>
      </c>
      <c r="G2195">
        <f t="shared" si="453"/>
        <v>0</v>
      </c>
      <c r="H2195">
        <f t="shared" si="454"/>
        <v>0</v>
      </c>
      <c r="I2195">
        <f t="shared" si="455"/>
        <v>0</v>
      </c>
      <c r="J2195">
        <f t="shared" si="456"/>
        <v>0</v>
      </c>
      <c r="K2195" s="4" t="e">
        <f t="shared" si="444"/>
        <v>#N/A</v>
      </c>
      <c r="L2195" t="e">
        <f t="shared" si="445"/>
        <v>#N/A</v>
      </c>
      <c r="M2195" s="4" t="e">
        <f t="shared" si="446"/>
        <v>#N/A</v>
      </c>
      <c r="N2195" s="4" t="e">
        <f t="shared" si="447"/>
        <v>#N/A</v>
      </c>
    </row>
    <row r="2196" spans="1:14">
      <c r="A2196">
        <f t="shared" si="448"/>
        <v>0</v>
      </c>
      <c r="B2196">
        <f t="shared" si="449"/>
        <v>0</v>
      </c>
      <c r="C2196">
        <f t="shared" si="450"/>
        <v>0</v>
      </c>
      <c r="D2196">
        <f t="shared" si="451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2"/>
        <v>0</v>
      </c>
      <c r="G2196">
        <f t="shared" si="453"/>
        <v>0</v>
      </c>
      <c r="H2196">
        <f t="shared" si="454"/>
        <v>0</v>
      </c>
      <c r="I2196">
        <f t="shared" si="455"/>
        <v>0</v>
      </c>
      <c r="J2196">
        <f t="shared" si="456"/>
        <v>0</v>
      </c>
      <c r="K2196" s="4" t="e">
        <f t="shared" si="444"/>
        <v>#N/A</v>
      </c>
      <c r="L2196" t="e">
        <f t="shared" si="445"/>
        <v>#N/A</v>
      </c>
      <c r="M2196" s="4" t="e">
        <f t="shared" si="446"/>
        <v>#N/A</v>
      </c>
      <c r="N2196" s="4" t="e">
        <f t="shared" si="447"/>
        <v>#N/A</v>
      </c>
    </row>
    <row r="2197" spans="1:14">
      <c r="A2197">
        <f t="shared" si="448"/>
        <v>0</v>
      </c>
      <c r="B2197">
        <f t="shared" si="449"/>
        <v>0</v>
      </c>
      <c r="C2197">
        <f t="shared" si="450"/>
        <v>0</v>
      </c>
      <c r="D2197">
        <f t="shared" si="451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2"/>
        <v>0</v>
      </c>
      <c r="G2197">
        <f t="shared" si="453"/>
        <v>0</v>
      </c>
      <c r="H2197">
        <f t="shared" si="454"/>
        <v>0</v>
      </c>
      <c r="I2197">
        <f t="shared" si="455"/>
        <v>0</v>
      </c>
      <c r="J2197">
        <f t="shared" si="456"/>
        <v>0</v>
      </c>
      <c r="K2197" s="4" t="e">
        <f t="shared" si="444"/>
        <v>#N/A</v>
      </c>
      <c r="L2197" t="e">
        <f t="shared" si="445"/>
        <v>#N/A</v>
      </c>
      <c r="M2197" s="4" t="e">
        <f t="shared" si="446"/>
        <v>#N/A</v>
      </c>
      <c r="N2197" s="4" t="e">
        <f t="shared" si="447"/>
        <v>#N/A</v>
      </c>
    </row>
    <row r="2198" spans="1:14">
      <c r="A2198">
        <f t="shared" si="448"/>
        <v>0</v>
      </c>
      <c r="B2198">
        <f t="shared" si="449"/>
        <v>0</v>
      </c>
      <c r="C2198">
        <f t="shared" si="450"/>
        <v>0</v>
      </c>
      <c r="D2198">
        <f t="shared" si="451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2"/>
        <v>0</v>
      </c>
      <c r="G2198">
        <f t="shared" si="453"/>
        <v>0</v>
      </c>
      <c r="H2198">
        <f t="shared" si="454"/>
        <v>0</v>
      </c>
      <c r="I2198">
        <f t="shared" si="455"/>
        <v>0</v>
      </c>
      <c r="J2198">
        <f t="shared" si="456"/>
        <v>0</v>
      </c>
      <c r="K2198" s="4" t="e">
        <f t="shared" si="444"/>
        <v>#N/A</v>
      </c>
      <c r="L2198" t="e">
        <f t="shared" si="445"/>
        <v>#N/A</v>
      </c>
      <c r="M2198" s="4" t="e">
        <f t="shared" si="446"/>
        <v>#N/A</v>
      </c>
      <c r="N2198" s="4" t="e">
        <f t="shared" si="447"/>
        <v>#N/A</v>
      </c>
    </row>
    <row r="2199" spans="1:14">
      <c r="A2199">
        <f t="shared" si="448"/>
        <v>0</v>
      </c>
      <c r="B2199">
        <f t="shared" si="449"/>
        <v>0</v>
      </c>
      <c r="C2199">
        <f t="shared" si="450"/>
        <v>0</v>
      </c>
      <c r="D2199">
        <f t="shared" si="451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2"/>
        <v>0</v>
      </c>
      <c r="G2199">
        <f t="shared" si="453"/>
        <v>0</v>
      </c>
      <c r="H2199">
        <f t="shared" si="454"/>
        <v>0</v>
      </c>
      <c r="I2199">
        <f t="shared" si="455"/>
        <v>0</v>
      </c>
      <c r="J2199">
        <f t="shared" si="456"/>
        <v>0</v>
      </c>
      <c r="K2199" s="4" t="e">
        <f t="shared" si="444"/>
        <v>#N/A</v>
      </c>
      <c r="L2199" t="e">
        <f t="shared" si="445"/>
        <v>#N/A</v>
      </c>
      <c r="M2199" s="4" t="e">
        <f t="shared" si="446"/>
        <v>#N/A</v>
      </c>
      <c r="N2199" s="4" t="e">
        <f t="shared" si="447"/>
        <v>#N/A</v>
      </c>
    </row>
    <row r="2200" spans="1:14">
      <c r="A2200">
        <f t="shared" si="448"/>
        <v>0</v>
      </c>
      <c r="B2200">
        <f t="shared" si="449"/>
        <v>0</v>
      </c>
      <c r="C2200">
        <f t="shared" si="450"/>
        <v>0</v>
      </c>
      <c r="D2200">
        <f t="shared" si="451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2"/>
        <v>0</v>
      </c>
      <c r="G2200">
        <f t="shared" si="453"/>
        <v>0</v>
      </c>
      <c r="H2200">
        <f t="shared" si="454"/>
        <v>0</v>
      </c>
      <c r="I2200">
        <f t="shared" si="455"/>
        <v>0</v>
      </c>
      <c r="J2200">
        <f t="shared" si="456"/>
        <v>0</v>
      </c>
      <c r="K2200" s="4" t="e">
        <f t="shared" si="444"/>
        <v>#N/A</v>
      </c>
      <c r="L2200" t="e">
        <f t="shared" si="445"/>
        <v>#N/A</v>
      </c>
      <c r="M2200" s="4" t="e">
        <f t="shared" si="446"/>
        <v>#N/A</v>
      </c>
      <c r="N2200" s="4" t="e">
        <f t="shared" si="447"/>
        <v>#N/A</v>
      </c>
    </row>
    <row r="2201" spans="1:14">
      <c r="A2201">
        <f t="shared" si="448"/>
        <v>0</v>
      </c>
      <c r="B2201">
        <f t="shared" si="449"/>
        <v>0</v>
      </c>
      <c r="C2201">
        <f t="shared" si="450"/>
        <v>0</v>
      </c>
      <c r="D2201">
        <f t="shared" si="451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2"/>
        <v>0</v>
      </c>
      <c r="G2201">
        <f t="shared" si="453"/>
        <v>0</v>
      </c>
      <c r="H2201">
        <f t="shared" si="454"/>
        <v>0</v>
      </c>
      <c r="I2201">
        <f t="shared" si="455"/>
        <v>0</v>
      </c>
      <c r="J2201">
        <f t="shared" si="456"/>
        <v>0</v>
      </c>
      <c r="K2201" s="4" t="e">
        <f t="shared" si="444"/>
        <v>#N/A</v>
      </c>
      <c r="L2201" t="e">
        <f t="shared" si="445"/>
        <v>#N/A</v>
      </c>
      <c r="M2201" s="4" t="e">
        <f t="shared" si="446"/>
        <v>#N/A</v>
      </c>
      <c r="N2201" s="4" t="e">
        <f t="shared" si="447"/>
        <v>#N/A</v>
      </c>
    </row>
    <row r="2202" spans="1:14">
      <c r="A2202">
        <f t="shared" si="448"/>
        <v>0</v>
      </c>
      <c r="B2202">
        <f t="shared" si="449"/>
        <v>0</v>
      </c>
      <c r="C2202">
        <f t="shared" si="450"/>
        <v>0</v>
      </c>
      <c r="D2202">
        <f t="shared" si="451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2"/>
        <v>0</v>
      </c>
      <c r="G2202">
        <f t="shared" si="453"/>
        <v>0</v>
      </c>
      <c r="H2202">
        <f t="shared" si="454"/>
        <v>0</v>
      </c>
      <c r="I2202">
        <f t="shared" si="455"/>
        <v>0</v>
      </c>
      <c r="J2202">
        <f t="shared" si="456"/>
        <v>0</v>
      </c>
      <c r="K2202" s="4" t="e">
        <f t="shared" si="444"/>
        <v>#N/A</v>
      </c>
      <c r="L2202" t="e">
        <f t="shared" si="445"/>
        <v>#N/A</v>
      </c>
      <c r="M2202" s="4" t="e">
        <f t="shared" si="446"/>
        <v>#N/A</v>
      </c>
      <c r="N2202" s="4" t="e">
        <f t="shared" si="447"/>
        <v>#N/A</v>
      </c>
    </row>
    <row r="2203" spans="1:14">
      <c r="A2203">
        <f t="shared" si="448"/>
        <v>0</v>
      </c>
      <c r="B2203">
        <f t="shared" si="449"/>
        <v>0</v>
      </c>
      <c r="C2203">
        <f t="shared" si="450"/>
        <v>0</v>
      </c>
      <c r="D2203">
        <f t="shared" si="451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2"/>
        <v>0</v>
      </c>
      <c r="G2203">
        <f t="shared" si="453"/>
        <v>0</v>
      </c>
      <c r="H2203">
        <f t="shared" si="454"/>
        <v>0</v>
      </c>
      <c r="I2203">
        <f t="shared" si="455"/>
        <v>0</v>
      </c>
      <c r="J2203">
        <f t="shared" si="456"/>
        <v>0</v>
      </c>
      <c r="K2203" s="4" t="e">
        <f t="shared" si="444"/>
        <v>#N/A</v>
      </c>
      <c r="L2203" t="e">
        <f t="shared" si="445"/>
        <v>#N/A</v>
      </c>
      <c r="M2203" s="4" t="e">
        <f t="shared" si="446"/>
        <v>#N/A</v>
      </c>
      <c r="N2203" s="4" t="e">
        <f t="shared" si="447"/>
        <v>#N/A</v>
      </c>
    </row>
    <row r="2204" spans="1:14">
      <c r="A2204">
        <f t="shared" si="448"/>
        <v>0</v>
      </c>
      <c r="B2204">
        <f t="shared" si="449"/>
        <v>0</v>
      </c>
      <c r="C2204">
        <f t="shared" si="450"/>
        <v>0</v>
      </c>
      <c r="D2204">
        <f t="shared" si="451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2"/>
        <v>0</v>
      </c>
      <c r="G2204">
        <f t="shared" si="453"/>
        <v>0</v>
      </c>
      <c r="H2204">
        <f t="shared" si="454"/>
        <v>0</v>
      </c>
      <c r="I2204">
        <f t="shared" si="455"/>
        <v>0</v>
      </c>
      <c r="J2204">
        <f t="shared" si="456"/>
        <v>0</v>
      </c>
      <c r="K2204" s="4" t="e">
        <f t="shared" si="444"/>
        <v>#N/A</v>
      </c>
      <c r="L2204" t="e">
        <f t="shared" si="445"/>
        <v>#N/A</v>
      </c>
      <c r="M2204" s="4" t="e">
        <f t="shared" si="446"/>
        <v>#N/A</v>
      </c>
      <c r="N2204" s="4" t="e">
        <f t="shared" si="447"/>
        <v>#N/A</v>
      </c>
    </row>
    <row r="2205" spans="1:14">
      <c r="A2205">
        <f t="shared" si="448"/>
        <v>0</v>
      </c>
      <c r="B2205">
        <f t="shared" si="449"/>
        <v>0</v>
      </c>
      <c r="C2205">
        <f t="shared" si="450"/>
        <v>0</v>
      </c>
      <c r="D2205">
        <f t="shared" si="451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2"/>
        <v>0</v>
      </c>
      <c r="G2205">
        <f t="shared" si="453"/>
        <v>0</v>
      </c>
      <c r="H2205">
        <f t="shared" si="454"/>
        <v>0</v>
      </c>
      <c r="I2205">
        <f t="shared" si="455"/>
        <v>0</v>
      </c>
      <c r="J2205">
        <f t="shared" si="456"/>
        <v>0</v>
      </c>
      <c r="K2205" s="4" t="e">
        <f t="shared" si="444"/>
        <v>#N/A</v>
      </c>
      <c r="L2205" t="e">
        <f t="shared" si="445"/>
        <v>#N/A</v>
      </c>
      <c r="M2205" s="4" t="e">
        <f t="shared" si="446"/>
        <v>#N/A</v>
      </c>
      <c r="N2205" s="4" t="e">
        <f t="shared" si="447"/>
        <v>#N/A</v>
      </c>
    </row>
    <row r="2206" spans="1:14">
      <c r="A2206">
        <f t="shared" si="448"/>
        <v>0</v>
      </c>
      <c r="B2206">
        <f t="shared" si="449"/>
        <v>0</v>
      </c>
      <c r="C2206">
        <f t="shared" si="450"/>
        <v>0</v>
      </c>
      <c r="D2206">
        <f t="shared" si="451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2"/>
        <v>0</v>
      </c>
      <c r="G2206">
        <f t="shared" si="453"/>
        <v>0</v>
      </c>
      <c r="H2206">
        <f t="shared" si="454"/>
        <v>0</v>
      </c>
      <c r="I2206">
        <f t="shared" si="455"/>
        <v>0</v>
      </c>
      <c r="J2206">
        <f t="shared" si="456"/>
        <v>0</v>
      </c>
      <c r="K2206" s="4" t="e">
        <f t="shared" si="444"/>
        <v>#N/A</v>
      </c>
      <c r="L2206" t="e">
        <f t="shared" si="445"/>
        <v>#N/A</v>
      </c>
      <c r="M2206" s="4" t="e">
        <f t="shared" si="446"/>
        <v>#N/A</v>
      </c>
      <c r="N2206" s="4" t="e">
        <f t="shared" si="447"/>
        <v>#N/A</v>
      </c>
    </row>
    <row r="2207" spans="1:14">
      <c r="A2207">
        <f t="shared" si="448"/>
        <v>0</v>
      </c>
      <c r="B2207">
        <f t="shared" si="449"/>
        <v>0</v>
      </c>
      <c r="C2207">
        <f t="shared" si="450"/>
        <v>0</v>
      </c>
      <c r="D2207">
        <f t="shared" si="451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2"/>
        <v>0</v>
      </c>
      <c r="G2207">
        <f t="shared" si="453"/>
        <v>0</v>
      </c>
      <c r="H2207">
        <f t="shared" si="454"/>
        <v>0</v>
      </c>
      <c r="I2207">
        <f t="shared" si="455"/>
        <v>0</v>
      </c>
      <c r="J2207">
        <f t="shared" si="456"/>
        <v>0</v>
      </c>
      <c r="K2207" s="4" t="e">
        <f t="shared" si="444"/>
        <v>#N/A</v>
      </c>
      <c r="L2207" t="e">
        <f t="shared" si="445"/>
        <v>#N/A</v>
      </c>
      <c r="M2207" s="4" t="e">
        <f t="shared" si="446"/>
        <v>#N/A</v>
      </c>
      <c r="N2207" s="4" t="e">
        <f t="shared" si="447"/>
        <v>#N/A</v>
      </c>
    </row>
    <row r="2208" spans="1:14">
      <c r="A2208">
        <f t="shared" si="448"/>
        <v>0</v>
      </c>
      <c r="B2208">
        <f t="shared" si="449"/>
        <v>0</v>
      </c>
      <c r="C2208">
        <f t="shared" si="450"/>
        <v>0</v>
      </c>
      <c r="D2208">
        <f t="shared" si="451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2"/>
        <v>0</v>
      </c>
      <c r="G2208">
        <f t="shared" si="453"/>
        <v>0</v>
      </c>
      <c r="H2208">
        <f t="shared" si="454"/>
        <v>0</v>
      </c>
      <c r="I2208">
        <f t="shared" si="455"/>
        <v>0</v>
      </c>
      <c r="J2208">
        <f t="shared" si="456"/>
        <v>0</v>
      </c>
      <c r="K2208" s="4" t="e">
        <f t="shared" si="444"/>
        <v>#N/A</v>
      </c>
      <c r="L2208" t="e">
        <f t="shared" si="445"/>
        <v>#N/A</v>
      </c>
      <c r="M2208" s="4" t="e">
        <f t="shared" si="446"/>
        <v>#N/A</v>
      </c>
      <c r="N2208" s="4" t="e">
        <f t="shared" si="447"/>
        <v>#N/A</v>
      </c>
    </row>
    <row r="2209" spans="1:14">
      <c r="A2209">
        <f t="shared" si="448"/>
        <v>0</v>
      </c>
      <c r="B2209">
        <f t="shared" si="449"/>
        <v>0</v>
      </c>
      <c r="C2209">
        <f t="shared" si="450"/>
        <v>0</v>
      </c>
      <c r="D2209">
        <f t="shared" si="451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2"/>
        <v>0</v>
      </c>
      <c r="G2209">
        <f t="shared" si="453"/>
        <v>0</v>
      </c>
      <c r="H2209">
        <f t="shared" si="454"/>
        <v>0</v>
      </c>
      <c r="I2209">
        <f t="shared" si="455"/>
        <v>0</v>
      </c>
      <c r="J2209">
        <f t="shared" si="456"/>
        <v>0</v>
      </c>
      <c r="K2209" s="4" t="e">
        <f t="shared" si="444"/>
        <v>#N/A</v>
      </c>
      <c r="L2209" t="e">
        <f t="shared" si="445"/>
        <v>#N/A</v>
      </c>
      <c r="M2209" s="4" t="e">
        <f t="shared" si="446"/>
        <v>#N/A</v>
      </c>
      <c r="N2209" s="4" t="e">
        <f t="shared" si="447"/>
        <v>#N/A</v>
      </c>
    </row>
    <row r="2210" spans="1:14">
      <c r="A2210">
        <f t="shared" si="448"/>
        <v>0</v>
      </c>
      <c r="B2210">
        <f t="shared" si="449"/>
        <v>0</v>
      </c>
      <c r="C2210">
        <f t="shared" si="450"/>
        <v>0</v>
      </c>
      <c r="D2210">
        <f t="shared" si="451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2"/>
        <v>0</v>
      </c>
      <c r="G2210">
        <f t="shared" si="453"/>
        <v>0</v>
      </c>
      <c r="H2210">
        <f t="shared" si="454"/>
        <v>0</v>
      </c>
      <c r="I2210">
        <f t="shared" si="455"/>
        <v>0</v>
      </c>
      <c r="J2210">
        <f t="shared" si="456"/>
        <v>0</v>
      </c>
      <c r="K2210" s="4" t="e">
        <f t="shared" si="444"/>
        <v>#N/A</v>
      </c>
      <c r="L2210" t="e">
        <f t="shared" si="445"/>
        <v>#N/A</v>
      </c>
      <c r="M2210" s="4" t="e">
        <f t="shared" si="446"/>
        <v>#N/A</v>
      </c>
      <c r="N2210" s="4" t="e">
        <f t="shared" si="447"/>
        <v>#N/A</v>
      </c>
    </row>
    <row r="2211" spans="1:14">
      <c r="A2211">
        <f t="shared" si="448"/>
        <v>0</v>
      </c>
      <c r="B2211">
        <f t="shared" si="449"/>
        <v>0</v>
      </c>
      <c r="C2211">
        <f t="shared" si="450"/>
        <v>0</v>
      </c>
      <c r="D2211">
        <f t="shared" si="451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2"/>
        <v>0</v>
      </c>
      <c r="G2211">
        <f t="shared" si="453"/>
        <v>0</v>
      </c>
      <c r="H2211">
        <f t="shared" si="454"/>
        <v>0</v>
      </c>
      <c r="I2211">
        <f t="shared" si="455"/>
        <v>0</v>
      </c>
      <c r="J2211">
        <f t="shared" si="456"/>
        <v>0</v>
      </c>
      <c r="K2211" s="4" t="e">
        <f t="shared" si="444"/>
        <v>#N/A</v>
      </c>
      <c r="L2211" t="e">
        <f t="shared" si="445"/>
        <v>#N/A</v>
      </c>
      <c r="M2211" s="4" t="e">
        <f t="shared" si="446"/>
        <v>#N/A</v>
      </c>
      <c r="N2211" s="4" t="e">
        <f t="shared" si="447"/>
        <v>#N/A</v>
      </c>
    </row>
    <row r="2212" spans="1:14">
      <c r="A2212">
        <f t="shared" si="448"/>
        <v>0</v>
      </c>
      <c r="B2212">
        <f t="shared" si="449"/>
        <v>0</v>
      </c>
      <c r="C2212">
        <f t="shared" si="450"/>
        <v>0</v>
      </c>
      <c r="D2212">
        <f t="shared" si="451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2"/>
        <v>0</v>
      </c>
      <c r="G2212">
        <f t="shared" si="453"/>
        <v>0</v>
      </c>
      <c r="H2212">
        <f t="shared" si="454"/>
        <v>0</v>
      </c>
      <c r="I2212">
        <f t="shared" si="455"/>
        <v>0</v>
      </c>
      <c r="J2212">
        <f t="shared" si="456"/>
        <v>0</v>
      </c>
      <c r="K2212" s="4" t="e">
        <f t="shared" si="444"/>
        <v>#N/A</v>
      </c>
      <c r="L2212" t="e">
        <f t="shared" si="445"/>
        <v>#N/A</v>
      </c>
      <c r="M2212" s="4" t="e">
        <f t="shared" si="446"/>
        <v>#N/A</v>
      </c>
      <c r="N2212" s="4" t="e">
        <f t="shared" si="447"/>
        <v>#N/A</v>
      </c>
    </row>
    <row r="2213" spans="1:14">
      <c r="A2213">
        <f t="shared" si="448"/>
        <v>0</v>
      </c>
      <c r="B2213">
        <f t="shared" si="449"/>
        <v>0</v>
      </c>
      <c r="C2213">
        <f t="shared" si="450"/>
        <v>0</v>
      </c>
      <c r="D2213">
        <f t="shared" si="451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2"/>
        <v>0</v>
      </c>
      <c r="G2213">
        <f t="shared" si="453"/>
        <v>0</v>
      </c>
      <c r="H2213">
        <f t="shared" si="454"/>
        <v>0</v>
      </c>
      <c r="I2213">
        <f t="shared" si="455"/>
        <v>0</v>
      </c>
      <c r="J2213">
        <f t="shared" si="456"/>
        <v>0</v>
      </c>
      <c r="K2213" s="4" t="e">
        <f t="shared" si="444"/>
        <v>#N/A</v>
      </c>
      <c r="L2213" t="e">
        <f t="shared" si="445"/>
        <v>#N/A</v>
      </c>
      <c r="M2213" s="4" t="e">
        <f t="shared" si="446"/>
        <v>#N/A</v>
      </c>
      <c r="N2213" s="4" t="e">
        <f t="shared" si="447"/>
        <v>#N/A</v>
      </c>
    </row>
    <row r="2214" spans="1:14">
      <c r="A2214">
        <f t="shared" si="448"/>
        <v>0</v>
      </c>
      <c r="B2214">
        <f t="shared" si="449"/>
        <v>0</v>
      </c>
      <c r="C2214">
        <f t="shared" si="450"/>
        <v>0</v>
      </c>
      <c r="D2214">
        <f t="shared" si="451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2"/>
        <v>0</v>
      </c>
      <c r="G2214">
        <f t="shared" si="453"/>
        <v>0</v>
      </c>
      <c r="H2214">
        <f t="shared" si="454"/>
        <v>0</v>
      </c>
      <c r="I2214">
        <f t="shared" si="455"/>
        <v>0</v>
      </c>
      <c r="J2214">
        <f t="shared" si="456"/>
        <v>0</v>
      </c>
      <c r="K2214" s="4" t="e">
        <f t="shared" si="444"/>
        <v>#N/A</v>
      </c>
      <c r="L2214" t="e">
        <f t="shared" si="445"/>
        <v>#N/A</v>
      </c>
      <c r="M2214" s="4" t="e">
        <f t="shared" si="446"/>
        <v>#N/A</v>
      </c>
      <c r="N2214" s="4" t="e">
        <f t="shared" si="447"/>
        <v>#N/A</v>
      </c>
    </row>
    <row r="2215" spans="1:14">
      <c r="A2215">
        <f t="shared" si="448"/>
        <v>0</v>
      </c>
      <c r="B2215">
        <f t="shared" si="449"/>
        <v>0</v>
      </c>
      <c r="C2215">
        <f t="shared" si="450"/>
        <v>0</v>
      </c>
      <c r="D2215">
        <f t="shared" si="451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2"/>
        <v>0</v>
      </c>
      <c r="G2215">
        <f t="shared" si="453"/>
        <v>0</v>
      </c>
      <c r="H2215">
        <f t="shared" si="454"/>
        <v>0</v>
      </c>
      <c r="I2215">
        <f t="shared" si="455"/>
        <v>0</v>
      </c>
      <c r="J2215">
        <f t="shared" si="456"/>
        <v>0</v>
      </c>
      <c r="K2215" s="4" t="e">
        <f t="shared" si="444"/>
        <v>#N/A</v>
      </c>
      <c r="L2215" t="e">
        <f t="shared" si="445"/>
        <v>#N/A</v>
      </c>
      <c r="M2215" s="4" t="e">
        <f t="shared" si="446"/>
        <v>#N/A</v>
      </c>
      <c r="N2215" s="4" t="e">
        <f t="shared" si="447"/>
        <v>#N/A</v>
      </c>
    </row>
    <row r="2216" spans="1:14">
      <c r="A2216">
        <f t="shared" si="448"/>
        <v>0</v>
      </c>
      <c r="B2216">
        <f t="shared" si="449"/>
        <v>0</v>
      </c>
      <c r="C2216">
        <f t="shared" si="450"/>
        <v>0</v>
      </c>
      <c r="D2216">
        <f t="shared" si="451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2"/>
        <v>0</v>
      </c>
      <c r="G2216">
        <f t="shared" si="453"/>
        <v>0</v>
      </c>
      <c r="H2216">
        <f t="shared" si="454"/>
        <v>0</v>
      </c>
      <c r="I2216">
        <f t="shared" si="455"/>
        <v>0</v>
      </c>
      <c r="J2216">
        <f t="shared" si="456"/>
        <v>0</v>
      </c>
      <c r="K2216" s="4" t="e">
        <f t="shared" si="444"/>
        <v>#N/A</v>
      </c>
      <c r="L2216" t="e">
        <f t="shared" si="445"/>
        <v>#N/A</v>
      </c>
      <c r="M2216" s="4" t="e">
        <f t="shared" si="446"/>
        <v>#N/A</v>
      </c>
      <c r="N2216" s="4" t="e">
        <f t="shared" si="447"/>
        <v>#N/A</v>
      </c>
    </row>
    <row r="2217" spans="1:14">
      <c r="A2217">
        <f t="shared" si="448"/>
        <v>0</v>
      </c>
      <c r="B2217">
        <f t="shared" si="449"/>
        <v>0</v>
      </c>
      <c r="C2217">
        <f t="shared" si="450"/>
        <v>0</v>
      </c>
      <c r="D2217">
        <f t="shared" si="451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2"/>
        <v>0</v>
      </c>
      <c r="G2217">
        <f t="shared" si="453"/>
        <v>0</v>
      </c>
      <c r="H2217">
        <f t="shared" si="454"/>
        <v>0</v>
      </c>
      <c r="I2217">
        <f t="shared" si="455"/>
        <v>0</v>
      </c>
      <c r="J2217">
        <f t="shared" si="456"/>
        <v>0</v>
      </c>
      <c r="K2217" s="4" t="e">
        <f t="shared" si="444"/>
        <v>#N/A</v>
      </c>
      <c r="L2217" t="e">
        <f t="shared" si="445"/>
        <v>#N/A</v>
      </c>
      <c r="M2217" s="4" t="e">
        <f t="shared" si="446"/>
        <v>#N/A</v>
      </c>
      <c r="N2217" s="4" t="e">
        <f t="shared" si="447"/>
        <v>#N/A</v>
      </c>
    </row>
    <row r="2218" spans="1:14">
      <c r="A2218">
        <f t="shared" si="448"/>
        <v>0</v>
      </c>
      <c r="B2218">
        <f t="shared" si="449"/>
        <v>0</v>
      </c>
      <c r="C2218">
        <f t="shared" si="450"/>
        <v>0</v>
      </c>
      <c r="D2218">
        <f t="shared" si="451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2"/>
        <v>0</v>
      </c>
      <c r="G2218">
        <f t="shared" si="453"/>
        <v>0</v>
      </c>
      <c r="H2218">
        <f t="shared" si="454"/>
        <v>0</v>
      </c>
      <c r="I2218">
        <f t="shared" si="455"/>
        <v>0</v>
      </c>
      <c r="J2218">
        <f t="shared" si="456"/>
        <v>0</v>
      </c>
      <c r="K2218" s="4" t="e">
        <f t="shared" si="444"/>
        <v>#N/A</v>
      </c>
      <c r="L2218" t="e">
        <f t="shared" si="445"/>
        <v>#N/A</v>
      </c>
      <c r="M2218" s="4" t="e">
        <f t="shared" si="446"/>
        <v>#N/A</v>
      </c>
      <c r="N2218" s="4" t="e">
        <f t="shared" si="447"/>
        <v>#N/A</v>
      </c>
    </row>
    <row r="2219" spans="1:14">
      <c r="A2219">
        <f t="shared" si="448"/>
        <v>0</v>
      </c>
      <c r="B2219">
        <f t="shared" si="449"/>
        <v>0</v>
      </c>
      <c r="C2219">
        <f t="shared" si="450"/>
        <v>0</v>
      </c>
      <c r="D2219">
        <f t="shared" si="451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2"/>
        <v>0</v>
      </c>
      <c r="G2219">
        <f t="shared" si="453"/>
        <v>0</v>
      </c>
      <c r="H2219">
        <f t="shared" si="454"/>
        <v>0</v>
      </c>
      <c r="I2219">
        <f t="shared" si="455"/>
        <v>0</v>
      </c>
      <c r="J2219">
        <f t="shared" si="456"/>
        <v>0</v>
      </c>
      <c r="K2219" s="4" t="e">
        <f t="shared" si="444"/>
        <v>#N/A</v>
      </c>
      <c r="L2219" t="e">
        <f t="shared" si="445"/>
        <v>#N/A</v>
      </c>
      <c r="M2219" s="4" t="e">
        <f t="shared" si="446"/>
        <v>#N/A</v>
      </c>
      <c r="N2219" s="4" t="e">
        <f t="shared" si="447"/>
        <v>#N/A</v>
      </c>
    </row>
    <row r="2220" spans="1:14">
      <c r="A2220">
        <f t="shared" si="448"/>
        <v>0</v>
      </c>
      <c r="B2220">
        <f t="shared" si="449"/>
        <v>0</v>
      </c>
      <c r="C2220">
        <f t="shared" si="450"/>
        <v>0</v>
      </c>
      <c r="D2220">
        <f t="shared" si="451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2"/>
        <v>0</v>
      </c>
      <c r="G2220">
        <f t="shared" si="453"/>
        <v>0</v>
      </c>
      <c r="H2220">
        <f t="shared" si="454"/>
        <v>0</v>
      </c>
      <c r="I2220">
        <f t="shared" si="455"/>
        <v>0</v>
      </c>
      <c r="J2220">
        <f t="shared" si="456"/>
        <v>0</v>
      </c>
      <c r="K2220" s="4" t="e">
        <f t="shared" ref="K2220:K2283" si="457">IF(LEFT(B2220,3)="DBM",0,VLOOKUP(E2220,tabela,2,FALSE))</f>
        <v>#N/A</v>
      </c>
      <c r="L2220" t="e">
        <f t="shared" ref="L2220:L2283" si="458">VLOOKUP(E2220,tabela,3,FALSE)</f>
        <v>#N/A</v>
      </c>
      <c r="M2220" s="4" t="e">
        <f t="shared" si="446"/>
        <v>#N/A</v>
      </c>
      <c r="N2220" s="4" t="e">
        <f t="shared" si="447"/>
        <v>#N/A</v>
      </c>
    </row>
    <row r="2221" spans="1:14">
      <c r="A2221">
        <f t="shared" si="448"/>
        <v>0</v>
      </c>
      <c r="B2221">
        <f t="shared" si="449"/>
        <v>0</v>
      </c>
      <c r="C2221">
        <f t="shared" si="450"/>
        <v>0</v>
      </c>
      <c r="D2221">
        <f t="shared" si="451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2"/>
        <v>0</v>
      </c>
      <c r="G2221">
        <f t="shared" si="453"/>
        <v>0</v>
      </c>
      <c r="H2221">
        <f t="shared" si="454"/>
        <v>0</v>
      </c>
      <c r="I2221">
        <f t="shared" si="455"/>
        <v>0</v>
      </c>
      <c r="J2221">
        <f t="shared" si="456"/>
        <v>0</v>
      </c>
      <c r="K2221" s="4" t="e">
        <f t="shared" si="457"/>
        <v>#N/A</v>
      </c>
      <c r="L2221" t="e">
        <f t="shared" si="458"/>
        <v>#N/A</v>
      </c>
      <c r="M2221" s="4" t="e">
        <f t="shared" si="446"/>
        <v>#N/A</v>
      </c>
      <c r="N2221" s="4" t="e">
        <f t="shared" si="447"/>
        <v>#N/A</v>
      </c>
    </row>
    <row r="2222" spans="1:14">
      <c r="A2222">
        <f t="shared" si="448"/>
        <v>0</v>
      </c>
      <c r="B2222">
        <f t="shared" si="449"/>
        <v>0</v>
      </c>
      <c r="C2222">
        <f t="shared" si="450"/>
        <v>0</v>
      </c>
      <c r="D2222">
        <f t="shared" si="451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2"/>
        <v>0</v>
      </c>
      <c r="G2222">
        <f t="shared" si="453"/>
        <v>0</v>
      </c>
      <c r="H2222">
        <f t="shared" si="454"/>
        <v>0</v>
      </c>
      <c r="I2222">
        <f t="shared" si="455"/>
        <v>0</v>
      </c>
      <c r="J2222">
        <f t="shared" si="456"/>
        <v>0</v>
      </c>
      <c r="K2222" s="4" t="e">
        <f t="shared" si="457"/>
        <v>#N/A</v>
      </c>
      <c r="L2222" t="e">
        <f t="shared" si="458"/>
        <v>#N/A</v>
      </c>
      <c r="M2222" s="4" t="e">
        <f t="shared" si="446"/>
        <v>#N/A</v>
      </c>
      <c r="N2222" s="4" t="e">
        <f t="shared" si="447"/>
        <v>#N/A</v>
      </c>
    </row>
    <row r="2223" spans="1:14">
      <c r="A2223">
        <f t="shared" si="448"/>
        <v>0</v>
      </c>
      <c r="B2223">
        <f t="shared" si="449"/>
        <v>0</v>
      </c>
      <c r="C2223">
        <f t="shared" si="450"/>
        <v>0</v>
      </c>
      <c r="D2223">
        <f t="shared" si="451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2"/>
        <v>0</v>
      </c>
      <c r="G2223">
        <f t="shared" si="453"/>
        <v>0</v>
      </c>
      <c r="H2223">
        <f t="shared" si="454"/>
        <v>0</v>
      </c>
      <c r="I2223">
        <f t="shared" si="455"/>
        <v>0</v>
      </c>
      <c r="J2223">
        <f t="shared" si="456"/>
        <v>0</v>
      </c>
      <c r="K2223" s="4" t="e">
        <f t="shared" si="457"/>
        <v>#N/A</v>
      </c>
      <c r="L2223" t="e">
        <f t="shared" si="458"/>
        <v>#N/A</v>
      </c>
      <c r="M2223" s="4" t="e">
        <f t="shared" si="446"/>
        <v>#N/A</v>
      </c>
      <c r="N2223" s="4" t="e">
        <f t="shared" si="447"/>
        <v>#N/A</v>
      </c>
    </row>
    <row r="2224" spans="1:14">
      <c r="A2224">
        <f t="shared" si="448"/>
        <v>0</v>
      </c>
      <c r="B2224">
        <f t="shared" si="449"/>
        <v>0</v>
      </c>
      <c r="C2224">
        <f t="shared" si="450"/>
        <v>0</v>
      </c>
      <c r="D2224">
        <f t="shared" si="451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2"/>
        <v>0</v>
      </c>
      <c r="G2224">
        <f t="shared" si="453"/>
        <v>0</v>
      </c>
      <c r="H2224">
        <f t="shared" si="454"/>
        <v>0</v>
      </c>
      <c r="I2224">
        <f t="shared" si="455"/>
        <v>0</v>
      </c>
      <c r="J2224">
        <f t="shared" si="456"/>
        <v>0</v>
      </c>
      <c r="K2224" s="4" t="e">
        <f t="shared" si="457"/>
        <v>#N/A</v>
      </c>
      <c r="L2224" t="e">
        <f t="shared" si="458"/>
        <v>#N/A</v>
      </c>
      <c r="M2224" s="4" t="e">
        <f t="shared" si="446"/>
        <v>#N/A</v>
      </c>
      <c r="N2224" s="4" t="e">
        <f t="shared" si="447"/>
        <v>#N/A</v>
      </c>
    </row>
    <row r="2225" spans="1:14">
      <c r="A2225">
        <f t="shared" si="448"/>
        <v>0</v>
      </c>
      <c r="B2225">
        <f t="shared" si="449"/>
        <v>0</v>
      </c>
      <c r="C2225">
        <f t="shared" si="450"/>
        <v>0</v>
      </c>
      <c r="D2225">
        <f t="shared" si="451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2"/>
        <v>0</v>
      </c>
      <c r="G2225">
        <f t="shared" si="453"/>
        <v>0</v>
      </c>
      <c r="H2225">
        <f t="shared" si="454"/>
        <v>0</v>
      </c>
      <c r="I2225">
        <f t="shared" si="455"/>
        <v>0</v>
      </c>
      <c r="J2225">
        <f t="shared" si="456"/>
        <v>0</v>
      </c>
      <c r="K2225" s="4" t="e">
        <f t="shared" si="457"/>
        <v>#N/A</v>
      </c>
      <c r="L2225" t="e">
        <f t="shared" si="458"/>
        <v>#N/A</v>
      </c>
      <c r="M2225" s="4" t="e">
        <f t="shared" si="446"/>
        <v>#N/A</v>
      </c>
      <c r="N2225" s="4" t="e">
        <f t="shared" si="447"/>
        <v>#N/A</v>
      </c>
    </row>
    <row r="2226" spans="1:14">
      <c r="A2226">
        <f t="shared" si="448"/>
        <v>0</v>
      </c>
      <c r="B2226">
        <f t="shared" si="449"/>
        <v>0</v>
      </c>
      <c r="C2226">
        <f t="shared" si="450"/>
        <v>0</v>
      </c>
      <c r="D2226">
        <f t="shared" si="451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2"/>
        <v>0</v>
      </c>
      <c r="G2226">
        <f t="shared" si="453"/>
        <v>0</v>
      </c>
      <c r="H2226">
        <f t="shared" si="454"/>
        <v>0</v>
      </c>
      <c r="I2226">
        <f t="shared" si="455"/>
        <v>0</v>
      </c>
      <c r="J2226">
        <f t="shared" si="456"/>
        <v>0</v>
      </c>
      <c r="K2226" s="4" t="e">
        <f t="shared" si="457"/>
        <v>#N/A</v>
      </c>
      <c r="L2226" t="e">
        <f t="shared" si="458"/>
        <v>#N/A</v>
      </c>
      <c r="M2226" s="4" t="e">
        <f t="shared" si="446"/>
        <v>#N/A</v>
      </c>
      <c r="N2226" s="4" t="e">
        <f t="shared" si="447"/>
        <v>#N/A</v>
      </c>
    </row>
    <row r="2227" spans="1:14">
      <c r="A2227">
        <f t="shared" si="448"/>
        <v>0</v>
      </c>
      <c r="B2227">
        <f t="shared" si="449"/>
        <v>0</v>
      </c>
      <c r="C2227">
        <f t="shared" si="450"/>
        <v>0</v>
      </c>
      <c r="D2227">
        <f t="shared" si="451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2"/>
        <v>0</v>
      </c>
      <c r="G2227">
        <f t="shared" si="453"/>
        <v>0</v>
      </c>
      <c r="H2227">
        <f t="shared" si="454"/>
        <v>0</v>
      </c>
      <c r="I2227">
        <f t="shared" si="455"/>
        <v>0</v>
      </c>
      <c r="J2227">
        <f t="shared" si="456"/>
        <v>0</v>
      </c>
      <c r="K2227" s="4" t="e">
        <f t="shared" si="457"/>
        <v>#N/A</v>
      </c>
      <c r="L2227" t="e">
        <f t="shared" si="458"/>
        <v>#N/A</v>
      </c>
      <c r="M2227" s="4" t="e">
        <f t="shared" si="446"/>
        <v>#N/A</v>
      </c>
      <c r="N2227" s="4" t="e">
        <f t="shared" si="447"/>
        <v>#N/A</v>
      </c>
    </row>
    <row r="2228" spans="1:14">
      <c r="A2228">
        <f t="shared" si="448"/>
        <v>0</v>
      </c>
      <c r="B2228">
        <f t="shared" si="449"/>
        <v>0</v>
      </c>
      <c r="C2228">
        <f t="shared" si="450"/>
        <v>0</v>
      </c>
      <c r="D2228">
        <f t="shared" si="451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2"/>
        <v>0</v>
      </c>
      <c r="G2228">
        <f t="shared" si="453"/>
        <v>0</v>
      </c>
      <c r="H2228">
        <f t="shared" si="454"/>
        <v>0</v>
      </c>
      <c r="I2228">
        <f t="shared" si="455"/>
        <v>0</v>
      </c>
      <c r="J2228">
        <f t="shared" si="456"/>
        <v>0</v>
      </c>
      <c r="K2228" s="4" t="e">
        <f t="shared" si="457"/>
        <v>#N/A</v>
      </c>
      <c r="L2228" t="e">
        <f t="shared" si="458"/>
        <v>#N/A</v>
      </c>
      <c r="M2228" s="4" t="e">
        <f t="shared" si="446"/>
        <v>#N/A</v>
      </c>
      <c r="N2228" s="4" t="e">
        <f t="shared" si="447"/>
        <v>#N/A</v>
      </c>
    </row>
    <row r="2229" spans="1:14">
      <c r="A2229">
        <f t="shared" si="448"/>
        <v>0</v>
      </c>
      <c r="B2229">
        <f t="shared" si="449"/>
        <v>0</v>
      </c>
      <c r="C2229">
        <f t="shared" si="450"/>
        <v>0</v>
      </c>
      <c r="D2229">
        <f t="shared" si="451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2"/>
        <v>0</v>
      </c>
      <c r="G2229">
        <f t="shared" si="453"/>
        <v>0</v>
      </c>
      <c r="H2229">
        <f t="shared" si="454"/>
        <v>0</v>
      </c>
      <c r="I2229">
        <f t="shared" si="455"/>
        <v>0</v>
      </c>
      <c r="J2229">
        <f t="shared" si="456"/>
        <v>0</v>
      </c>
      <c r="K2229" s="4" t="e">
        <f t="shared" si="457"/>
        <v>#N/A</v>
      </c>
      <c r="L2229" t="e">
        <f t="shared" si="458"/>
        <v>#N/A</v>
      </c>
      <c r="M2229" s="4" t="e">
        <f t="shared" ref="M2229:M2288" si="459">IF(E2229="Dynamic Click",J2229*K2229,K2229*$I2229/1000)</f>
        <v>#N/A</v>
      </c>
      <c r="N2229" s="4" t="e">
        <f t="shared" ref="N2229:N2288" si="460">IF(E2229="Dynamic Click",J2229*L2229,L2229*$I2229/1000)</f>
        <v>#N/A</v>
      </c>
    </row>
    <row r="2230" spans="1:14">
      <c r="A2230">
        <f t="shared" si="448"/>
        <v>0</v>
      </c>
      <c r="B2230">
        <f t="shared" si="449"/>
        <v>0</v>
      </c>
      <c r="C2230">
        <f t="shared" si="450"/>
        <v>0</v>
      </c>
      <c r="D2230">
        <f t="shared" si="451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2"/>
        <v>0</v>
      </c>
      <c r="G2230">
        <f t="shared" si="453"/>
        <v>0</v>
      </c>
      <c r="H2230">
        <f t="shared" si="454"/>
        <v>0</v>
      </c>
      <c r="I2230">
        <f t="shared" si="455"/>
        <v>0</v>
      </c>
      <c r="J2230">
        <f t="shared" si="456"/>
        <v>0</v>
      </c>
      <c r="K2230" s="4" t="e">
        <f t="shared" si="457"/>
        <v>#N/A</v>
      </c>
      <c r="L2230" t="e">
        <f t="shared" si="458"/>
        <v>#N/A</v>
      </c>
      <c r="M2230" s="4" t="e">
        <f t="shared" si="459"/>
        <v>#N/A</v>
      </c>
      <c r="N2230" s="4" t="e">
        <f t="shared" si="460"/>
        <v>#N/A</v>
      </c>
    </row>
    <row r="2231" spans="1:14">
      <c r="A2231">
        <f t="shared" si="448"/>
        <v>0</v>
      </c>
      <c r="B2231">
        <f t="shared" si="449"/>
        <v>0</v>
      </c>
      <c r="C2231">
        <f t="shared" si="450"/>
        <v>0</v>
      </c>
      <c r="D2231">
        <f t="shared" si="451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2"/>
        <v>0</v>
      </c>
      <c r="G2231">
        <f t="shared" si="453"/>
        <v>0</v>
      </c>
      <c r="H2231">
        <f t="shared" si="454"/>
        <v>0</v>
      </c>
      <c r="I2231">
        <f t="shared" si="455"/>
        <v>0</v>
      </c>
      <c r="J2231">
        <f t="shared" si="456"/>
        <v>0</v>
      </c>
      <c r="K2231" s="4" t="e">
        <f t="shared" si="457"/>
        <v>#N/A</v>
      </c>
      <c r="L2231" t="e">
        <f t="shared" si="458"/>
        <v>#N/A</v>
      </c>
      <c r="M2231" s="4" t="e">
        <f t="shared" si="459"/>
        <v>#N/A</v>
      </c>
      <c r="N2231" s="4" t="e">
        <f t="shared" si="460"/>
        <v>#N/A</v>
      </c>
    </row>
    <row r="2232" spans="1:14">
      <c r="A2232">
        <f t="shared" si="448"/>
        <v>0</v>
      </c>
      <c r="B2232">
        <f t="shared" si="449"/>
        <v>0</v>
      </c>
      <c r="C2232">
        <f t="shared" si="450"/>
        <v>0</v>
      </c>
      <c r="D2232">
        <f t="shared" si="451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2"/>
        <v>0</v>
      </c>
      <c r="G2232">
        <f t="shared" si="453"/>
        <v>0</v>
      </c>
      <c r="H2232">
        <f t="shared" si="454"/>
        <v>0</v>
      </c>
      <c r="I2232">
        <f t="shared" si="455"/>
        <v>0</v>
      </c>
      <c r="J2232">
        <f t="shared" si="456"/>
        <v>0</v>
      </c>
      <c r="K2232" s="4" t="e">
        <f t="shared" si="457"/>
        <v>#N/A</v>
      </c>
      <c r="L2232" t="e">
        <f t="shared" si="458"/>
        <v>#N/A</v>
      </c>
      <c r="M2232" s="4" t="e">
        <f t="shared" si="459"/>
        <v>#N/A</v>
      </c>
      <c r="N2232" s="4" t="e">
        <f t="shared" si="460"/>
        <v>#N/A</v>
      </c>
    </row>
    <row r="2233" spans="1:14">
      <c r="A2233">
        <f t="shared" si="448"/>
        <v>0</v>
      </c>
      <c r="B2233">
        <f t="shared" si="449"/>
        <v>0</v>
      </c>
      <c r="C2233">
        <f t="shared" si="450"/>
        <v>0</v>
      </c>
      <c r="D2233">
        <f t="shared" si="451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2"/>
        <v>0</v>
      </c>
      <c r="G2233">
        <f t="shared" si="453"/>
        <v>0</v>
      </c>
      <c r="H2233">
        <f t="shared" si="454"/>
        <v>0</v>
      </c>
      <c r="I2233">
        <f t="shared" si="455"/>
        <v>0</v>
      </c>
      <c r="J2233">
        <f t="shared" si="456"/>
        <v>0</v>
      </c>
      <c r="K2233" s="4" t="e">
        <f t="shared" si="457"/>
        <v>#N/A</v>
      </c>
      <c r="L2233" t="e">
        <f t="shared" si="458"/>
        <v>#N/A</v>
      </c>
      <c r="M2233" s="4" t="e">
        <f t="shared" si="459"/>
        <v>#N/A</v>
      </c>
      <c r="N2233" s="4" t="e">
        <f t="shared" si="460"/>
        <v>#N/A</v>
      </c>
    </row>
    <row r="2234" spans="1:14">
      <c r="A2234">
        <f t="shared" si="448"/>
        <v>0</v>
      </c>
      <c r="B2234">
        <f t="shared" si="449"/>
        <v>0</v>
      </c>
      <c r="C2234">
        <f t="shared" si="450"/>
        <v>0</v>
      </c>
      <c r="D2234">
        <f t="shared" si="451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2"/>
        <v>0</v>
      </c>
      <c r="G2234">
        <f t="shared" si="453"/>
        <v>0</v>
      </c>
      <c r="H2234">
        <f t="shared" si="454"/>
        <v>0</v>
      </c>
      <c r="I2234">
        <f t="shared" si="455"/>
        <v>0</v>
      </c>
      <c r="J2234">
        <f t="shared" si="456"/>
        <v>0</v>
      </c>
      <c r="K2234" s="4" t="e">
        <f t="shared" si="457"/>
        <v>#N/A</v>
      </c>
      <c r="L2234" t="e">
        <f t="shared" si="458"/>
        <v>#N/A</v>
      </c>
      <c r="M2234" s="4" t="e">
        <f t="shared" si="459"/>
        <v>#N/A</v>
      </c>
      <c r="N2234" s="4" t="e">
        <f t="shared" si="460"/>
        <v>#N/A</v>
      </c>
    </row>
    <row r="2235" spans="1:14">
      <c r="A2235">
        <f t="shared" si="448"/>
        <v>0</v>
      </c>
      <c r="B2235">
        <f t="shared" si="449"/>
        <v>0</v>
      </c>
      <c r="C2235">
        <f t="shared" si="450"/>
        <v>0</v>
      </c>
      <c r="D2235">
        <f t="shared" si="451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2"/>
        <v>0</v>
      </c>
      <c r="G2235">
        <f t="shared" si="453"/>
        <v>0</v>
      </c>
      <c r="H2235">
        <f t="shared" si="454"/>
        <v>0</v>
      </c>
      <c r="I2235">
        <f t="shared" si="455"/>
        <v>0</v>
      </c>
      <c r="J2235">
        <f t="shared" si="456"/>
        <v>0</v>
      </c>
      <c r="K2235" s="4" t="e">
        <f t="shared" si="457"/>
        <v>#N/A</v>
      </c>
      <c r="L2235" t="e">
        <f t="shared" si="458"/>
        <v>#N/A</v>
      </c>
      <c r="M2235" s="4" t="e">
        <f t="shared" si="459"/>
        <v>#N/A</v>
      </c>
      <c r="N2235" s="4" t="e">
        <f t="shared" si="460"/>
        <v>#N/A</v>
      </c>
    </row>
    <row r="2236" spans="1:14">
      <c r="A2236">
        <f t="shared" si="448"/>
        <v>0</v>
      </c>
      <c r="B2236">
        <f t="shared" si="449"/>
        <v>0</v>
      </c>
      <c r="C2236">
        <f t="shared" si="450"/>
        <v>0</v>
      </c>
      <c r="D2236">
        <f t="shared" si="451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2"/>
        <v>0</v>
      </c>
      <c r="G2236">
        <f t="shared" si="453"/>
        <v>0</v>
      </c>
      <c r="H2236">
        <f t="shared" si="454"/>
        <v>0</v>
      </c>
      <c r="I2236">
        <f t="shared" si="455"/>
        <v>0</v>
      </c>
      <c r="J2236">
        <f t="shared" si="456"/>
        <v>0</v>
      </c>
      <c r="K2236" s="4" t="e">
        <f t="shared" si="457"/>
        <v>#N/A</v>
      </c>
      <c r="L2236" t="e">
        <f t="shared" si="458"/>
        <v>#N/A</v>
      </c>
      <c r="M2236" s="4" t="e">
        <f t="shared" si="459"/>
        <v>#N/A</v>
      </c>
      <c r="N2236" s="4" t="e">
        <f t="shared" si="460"/>
        <v>#N/A</v>
      </c>
    </row>
    <row r="2237" spans="1:14">
      <c r="A2237">
        <f t="shared" si="448"/>
        <v>0</v>
      </c>
      <c r="B2237">
        <f t="shared" si="449"/>
        <v>0</v>
      </c>
      <c r="C2237">
        <f t="shared" si="450"/>
        <v>0</v>
      </c>
      <c r="D2237">
        <f t="shared" si="451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2"/>
        <v>0</v>
      </c>
      <c r="G2237">
        <f t="shared" si="453"/>
        <v>0</v>
      </c>
      <c r="H2237">
        <f t="shared" si="454"/>
        <v>0</v>
      </c>
      <c r="I2237">
        <f t="shared" si="455"/>
        <v>0</v>
      </c>
      <c r="J2237">
        <f t="shared" si="456"/>
        <v>0</v>
      </c>
      <c r="K2237" s="4" t="e">
        <f t="shared" si="457"/>
        <v>#N/A</v>
      </c>
      <c r="L2237" t="e">
        <f t="shared" si="458"/>
        <v>#N/A</v>
      </c>
      <c r="M2237" s="4" t="e">
        <f t="shared" si="459"/>
        <v>#N/A</v>
      </c>
      <c r="N2237" s="4" t="e">
        <f t="shared" si="460"/>
        <v>#N/A</v>
      </c>
    </row>
    <row r="2238" spans="1:14">
      <c r="A2238">
        <f t="shared" si="448"/>
        <v>0</v>
      </c>
      <c r="B2238">
        <f t="shared" si="449"/>
        <v>0</v>
      </c>
      <c r="C2238">
        <f t="shared" si="450"/>
        <v>0</v>
      </c>
      <c r="D2238">
        <f t="shared" si="451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2"/>
        <v>0</v>
      </c>
      <c r="G2238">
        <f t="shared" si="453"/>
        <v>0</v>
      </c>
      <c r="H2238">
        <f t="shared" si="454"/>
        <v>0</v>
      </c>
      <c r="I2238">
        <f t="shared" si="455"/>
        <v>0</v>
      </c>
      <c r="J2238">
        <f t="shared" si="456"/>
        <v>0</v>
      </c>
      <c r="K2238" s="4" t="e">
        <f t="shared" si="457"/>
        <v>#N/A</v>
      </c>
      <c r="L2238" t="e">
        <f t="shared" si="458"/>
        <v>#N/A</v>
      </c>
      <c r="M2238" s="4" t="e">
        <f t="shared" si="459"/>
        <v>#N/A</v>
      </c>
      <c r="N2238" s="4" t="e">
        <f t="shared" si="460"/>
        <v>#N/A</v>
      </c>
    </row>
    <row r="2239" spans="1:14">
      <c r="A2239">
        <f t="shared" si="448"/>
        <v>0</v>
      </c>
      <c r="B2239">
        <f t="shared" si="449"/>
        <v>0</v>
      </c>
      <c r="C2239">
        <f t="shared" si="450"/>
        <v>0</v>
      </c>
      <c r="D2239">
        <f t="shared" si="451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2"/>
        <v>0</v>
      </c>
      <c r="G2239">
        <f t="shared" si="453"/>
        <v>0</v>
      </c>
      <c r="H2239">
        <f t="shared" si="454"/>
        <v>0</v>
      </c>
      <c r="I2239">
        <f t="shared" si="455"/>
        <v>0</v>
      </c>
      <c r="J2239">
        <f t="shared" si="456"/>
        <v>0</v>
      </c>
      <c r="K2239" s="4" t="e">
        <f t="shared" si="457"/>
        <v>#N/A</v>
      </c>
      <c r="L2239" t="e">
        <f t="shared" si="458"/>
        <v>#N/A</v>
      </c>
      <c r="M2239" s="4" t="e">
        <f t="shared" si="459"/>
        <v>#N/A</v>
      </c>
      <c r="N2239" s="4" t="e">
        <f t="shared" si="460"/>
        <v>#N/A</v>
      </c>
    </row>
    <row r="2240" spans="1:14">
      <c r="A2240">
        <f t="shared" si="448"/>
        <v>0</v>
      </c>
      <c r="B2240">
        <f t="shared" si="449"/>
        <v>0</v>
      </c>
      <c r="C2240">
        <f t="shared" si="450"/>
        <v>0</v>
      </c>
      <c r="D2240">
        <f t="shared" si="451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2"/>
        <v>0</v>
      </c>
      <c r="G2240">
        <f t="shared" si="453"/>
        <v>0</v>
      </c>
      <c r="H2240">
        <f t="shared" si="454"/>
        <v>0</v>
      </c>
      <c r="I2240">
        <f t="shared" si="455"/>
        <v>0</v>
      </c>
      <c r="J2240">
        <f t="shared" si="456"/>
        <v>0</v>
      </c>
      <c r="K2240" s="4" t="e">
        <f t="shared" si="457"/>
        <v>#N/A</v>
      </c>
      <c r="L2240" t="e">
        <f t="shared" si="458"/>
        <v>#N/A</v>
      </c>
      <c r="M2240" s="4" t="e">
        <f t="shared" si="459"/>
        <v>#N/A</v>
      </c>
      <c r="N2240" s="4" t="e">
        <f t="shared" si="460"/>
        <v>#N/A</v>
      </c>
    </row>
    <row r="2241" spans="1:14">
      <c r="A2241">
        <f t="shared" si="448"/>
        <v>0</v>
      </c>
      <c r="B2241">
        <f t="shared" si="449"/>
        <v>0</v>
      </c>
      <c r="C2241">
        <f t="shared" si="450"/>
        <v>0</v>
      </c>
      <c r="D2241">
        <f t="shared" si="451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2"/>
        <v>0</v>
      </c>
      <c r="G2241">
        <f t="shared" si="453"/>
        <v>0</v>
      </c>
      <c r="H2241">
        <f t="shared" si="454"/>
        <v>0</v>
      </c>
      <c r="I2241">
        <f t="shared" si="455"/>
        <v>0</v>
      </c>
      <c r="J2241">
        <f t="shared" si="456"/>
        <v>0</v>
      </c>
      <c r="K2241" s="4" t="e">
        <f t="shared" si="457"/>
        <v>#N/A</v>
      </c>
      <c r="L2241" t="e">
        <f t="shared" si="458"/>
        <v>#N/A</v>
      </c>
      <c r="M2241" s="4" t="e">
        <f t="shared" si="459"/>
        <v>#N/A</v>
      </c>
      <c r="N2241" s="4" t="e">
        <f t="shared" si="460"/>
        <v>#N/A</v>
      </c>
    </row>
    <row r="2242" spans="1:14">
      <c r="A2242">
        <f t="shared" ref="A2242:A2305" si="461">bd_campaign</f>
        <v>0</v>
      </c>
      <c r="B2242">
        <f t="shared" ref="B2242:B2305" si="462">bd_site</f>
        <v>0</v>
      </c>
      <c r="C2242">
        <f t="shared" ref="C2242:C2305" si="463">bd_placement</f>
        <v>0</v>
      </c>
      <c r="D2242">
        <f t="shared" ref="D2242:D2305" si="464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5">bd_ad</f>
        <v>0</v>
      </c>
      <c r="G2242">
        <f t="shared" ref="G2242:G2305" si="466">bd_adid</f>
        <v>0</v>
      </c>
      <c r="H2242">
        <f t="shared" ref="H2242:H2305" si="467">bd_creativetype</f>
        <v>0</v>
      </c>
      <c r="I2242">
        <f t="shared" ref="I2242:I2305" si="468">bd_impression</f>
        <v>0</v>
      </c>
      <c r="J2242">
        <f t="shared" ref="J2242:J2305" si="469">bd_clicks</f>
        <v>0</v>
      </c>
      <c r="K2242" s="4" t="e">
        <f t="shared" si="457"/>
        <v>#N/A</v>
      </c>
      <c r="L2242" t="e">
        <f t="shared" si="458"/>
        <v>#N/A</v>
      </c>
      <c r="M2242" s="4" t="e">
        <f t="shared" si="459"/>
        <v>#N/A</v>
      </c>
      <c r="N2242" s="4" t="e">
        <f t="shared" si="460"/>
        <v>#N/A</v>
      </c>
    </row>
    <row r="2243" spans="1:14">
      <c r="A2243">
        <f t="shared" si="461"/>
        <v>0</v>
      </c>
      <c r="B2243">
        <f t="shared" si="462"/>
        <v>0</v>
      </c>
      <c r="C2243">
        <f t="shared" si="463"/>
        <v>0</v>
      </c>
      <c r="D2243">
        <f t="shared" si="464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5"/>
        <v>0</v>
      </c>
      <c r="G2243">
        <f t="shared" si="466"/>
        <v>0</v>
      </c>
      <c r="H2243">
        <f t="shared" si="467"/>
        <v>0</v>
      </c>
      <c r="I2243">
        <f t="shared" si="468"/>
        <v>0</v>
      </c>
      <c r="J2243">
        <f t="shared" si="469"/>
        <v>0</v>
      </c>
      <c r="K2243" s="4" t="e">
        <f t="shared" si="457"/>
        <v>#N/A</v>
      </c>
      <c r="L2243" t="e">
        <f t="shared" si="458"/>
        <v>#N/A</v>
      </c>
      <c r="M2243" s="4" t="e">
        <f t="shared" si="459"/>
        <v>#N/A</v>
      </c>
      <c r="N2243" s="4" t="e">
        <f t="shared" si="460"/>
        <v>#N/A</v>
      </c>
    </row>
    <row r="2244" spans="1:14">
      <c r="A2244">
        <f t="shared" si="461"/>
        <v>0</v>
      </c>
      <c r="B2244">
        <f t="shared" si="462"/>
        <v>0</v>
      </c>
      <c r="C2244">
        <f t="shared" si="463"/>
        <v>0</v>
      </c>
      <c r="D2244">
        <f t="shared" si="464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5"/>
        <v>0</v>
      </c>
      <c r="G2244">
        <f t="shared" si="466"/>
        <v>0</v>
      </c>
      <c r="H2244">
        <f t="shared" si="467"/>
        <v>0</v>
      </c>
      <c r="I2244">
        <f t="shared" si="468"/>
        <v>0</v>
      </c>
      <c r="J2244">
        <f t="shared" si="469"/>
        <v>0</v>
      </c>
      <c r="K2244" s="4" t="e">
        <f t="shared" si="457"/>
        <v>#N/A</v>
      </c>
      <c r="L2244" t="e">
        <f t="shared" si="458"/>
        <v>#N/A</v>
      </c>
      <c r="M2244" s="4" t="e">
        <f t="shared" si="459"/>
        <v>#N/A</v>
      </c>
      <c r="N2244" s="4" t="e">
        <f t="shared" si="460"/>
        <v>#N/A</v>
      </c>
    </row>
    <row r="2245" spans="1:14">
      <c r="A2245">
        <f t="shared" si="461"/>
        <v>0</v>
      </c>
      <c r="B2245">
        <f t="shared" si="462"/>
        <v>0</v>
      </c>
      <c r="C2245">
        <f t="shared" si="463"/>
        <v>0</v>
      </c>
      <c r="D2245">
        <f t="shared" si="464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5"/>
        <v>0</v>
      </c>
      <c r="G2245">
        <f t="shared" si="466"/>
        <v>0</v>
      </c>
      <c r="H2245">
        <f t="shared" si="467"/>
        <v>0</v>
      </c>
      <c r="I2245">
        <f t="shared" si="468"/>
        <v>0</v>
      </c>
      <c r="J2245">
        <f t="shared" si="469"/>
        <v>0</v>
      </c>
      <c r="K2245" s="4" t="e">
        <f t="shared" si="457"/>
        <v>#N/A</v>
      </c>
      <c r="L2245" t="e">
        <f t="shared" si="458"/>
        <v>#N/A</v>
      </c>
      <c r="M2245" s="4" t="e">
        <f t="shared" si="459"/>
        <v>#N/A</v>
      </c>
      <c r="N2245" s="4" t="e">
        <f t="shared" si="460"/>
        <v>#N/A</v>
      </c>
    </row>
    <row r="2246" spans="1:14">
      <c r="A2246">
        <f t="shared" si="461"/>
        <v>0</v>
      </c>
      <c r="B2246">
        <f t="shared" si="462"/>
        <v>0</v>
      </c>
      <c r="C2246">
        <f t="shared" si="463"/>
        <v>0</v>
      </c>
      <c r="D2246">
        <f t="shared" si="464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5"/>
        <v>0</v>
      </c>
      <c r="G2246">
        <f t="shared" si="466"/>
        <v>0</v>
      </c>
      <c r="H2246">
        <f t="shared" si="467"/>
        <v>0</v>
      </c>
      <c r="I2246">
        <f t="shared" si="468"/>
        <v>0</v>
      </c>
      <c r="J2246">
        <f t="shared" si="469"/>
        <v>0</v>
      </c>
      <c r="K2246" s="4" t="e">
        <f t="shared" si="457"/>
        <v>#N/A</v>
      </c>
      <c r="L2246" t="e">
        <f t="shared" si="458"/>
        <v>#N/A</v>
      </c>
      <c r="M2246" s="4" t="e">
        <f t="shared" si="459"/>
        <v>#N/A</v>
      </c>
      <c r="N2246" s="4" t="e">
        <f t="shared" si="460"/>
        <v>#N/A</v>
      </c>
    </row>
    <row r="2247" spans="1:14">
      <c r="A2247">
        <f t="shared" si="461"/>
        <v>0</v>
      </c>
      <c r="B2247">
        <f t="shared" si="462"/>
        <v>0</v>
      </c>
      <c r="C2247">
        <f t="shared" si="463"/>
        <v>0</v>
      </c>
      <c r="D2247">
        <f t="shared" si="464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5"/>
        <v>0</v>
      </c>
      <c r="G2247">
        <f t="shared" si="466"/>
        <v>0</v>
      </c>
      <c r="H2247">
        <f t="shared" si="467"/>
        <v>0</v>
      </c>
      <c r="I2247">
        <f t="shared" si="468"/>
        <v>0</v>
      </c>
      <c r="J2247">
        <f t="shared" si="469"/>
        <v>0</v>
      </c>
      <c r="K2247" s="4" t="e">
        <f t="shared" si="457"/>
        <v>#N/A</v>
      </c>
      <c r="L2247" t="e">
        <f t="shared" si="458"/>
        <v>#N/A</v>
      </c>
      <c r="M2247" s="4" t="e">
        <f t="shared" si="459"/>
        <v>#N/A</v>
      </c>
      <c r="N2247" s="4" t="e">
        <f t="shared" si="460"/>
        <v>#N/A</v>
      </c>
    </row>
    <row r="2248" spans="1:14">
      <c r="A2248">
        <f t="shared" si="461"/>
        <v>0</v>
      </c>
      <c r="B2248">
        <f t="shared" si="462"/>
        <v>0</v>
      </c>
      <c r="C2248">
        <f t="shared" si="463"/>
        <v>0</v>
      </c>
      <c r="D2248">
        <f t="shared" si="464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5"/>
        <v>0</v>
      </c>
      <c r="G2248">
        <f t="shared" si="466"/>
        <v>0</v>
      </c>
      <c r="H2248">
        <f t="shared" si="467"/>
        <v>0</v>
      </c>
      <c r="I2248">
        <f t="shared" si="468"/>
        <v>0</v>
      </c>
      <c r="J2248">
        <f t="shared" si="469"/>
        <v>0</v>
      </c>
      <c r="K2248" s="4" t="e">
        <f t="shared" si="457"/>
        <v>#N/A</v>
      </c>
      <c r="L2248" t="e">
        <f t="shared" si="458"/>
        <v>#N/A</v>
      </c>
      <c r="M2248" s="4" t="e">
        <f t="shared" si="459"/>
        <v>#N/A</v>
      </c>
      <c r="N2248" s="4" t="e">
        <f t="shared" si="460"/>
        <v>#N/A</v>
      </c>
    </row>
    <row r="2249" spans="1:14">
      <c r="A2249">
        <f t="shared" si="461"/>
        <v>0</v>
      </c>
      <c r="B2249">
        <f t="shared" si="462"/>
        <v>0</v>
      </c>
      <c r="C2249">
        <f t="shared" si="463"/>
        <v>0</v>
      </c>
      <c r="D2249">
        <f t="shared" si="464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5"/>
        <v>0</v>
      </c>
      <c r="G2249">
        <f t="shared" si="466"/>
        <v>0</v>
      </c>
      <c r="H2249">
        <f t="shared" si="467"/>
        <v>0</v>
      </c>
      <c r="I2249">
        <f t="shared" si="468"/>
        <v>0</v>
      </c>
      <c r="J2249">
        <f t="shared" si="469"/>
        <v>0</v>
      </c>
      <c r="K2249" s="4" t="e">
        <f t="shared" si="457"/>
        <v>#N/A</v>
      </c>
      <c r="L2249" t="e">
        <f t="shared" si="458"/>
        <v>#N/A</v>
      </c>
      <c r="M2249" s="4" t="e">
        <f t="shared" si="459"/>
        <v>#N/A</v>
      </c>
      <c r="N2249" s="4" t="e">
        <f t="shared" si="460"/>
        <v>#N/A</v>
      </c>
    </row>
    <row r="2250" spans="1:14">
      <c r="A2250">
        <f t="shared" si="461"/>
        <v>0</v>
      </c>
      <c r="B2250">
        <f t="shared" si="462"/>
        <v>0</v>
      </c>
      <c r="C2250">
        <f t="shared" si="463"/>
        <v>0</v>
      </c>
      <c r="D2250">
        <f t="shared" si="464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5"/>
        <v>0</v>
      </c>
      <c r="G2250">
        <f t="shared" si="466"/>
        <v>0</v>
      </c>
      <c r="H2250">
        <f t="shared" si="467"/>
        <v>0</v>
      </c>
      <c r="I2250">
        <f t="shared" si="468"/>
        <v>0</v>
      </c>
      <c r="J2250">
        <f t="shared" si="469"/>
        <v>0</v>
      </c>
      <c r="K2250" s="4" t="e">
        <f t="shared" si="457"/>
        <v>#N/A</v>
      </c>
      <c r="L2250" t="e">
        <f t="shared" si="458"/>
        <v>#N/A</v>
      </c>
      <c r="M2250" s="4" t="e">
        <f t="shared" si="459"/>
        <v>#N/A</v>
      </c>
      <c r="N2250" s="4" t="e">
        <f t="shared" si="460"/>
        <v>#N/A</v>
      </c>
    </row>
    <row r="2251" spans="1:14">
      <c r="A2251">
        <f t="shared" si="461"/>
        <v>0</v>
      </c>
      <c r="B2251">
        <f t="shared" si="462"/>
        <v>0</v>
      </c>
      <c r="C2251">
        <f t="shared" si="463"/>
        <v>0</v>
      </c>
      <c r="D2251">
        <f t="shared" si="464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5"/>
        <v>0</v>
      </c>
      <c r="G2251">
        <f t="shared" si="466"/>
        <v>0</v>
      </c>
      <c r="H2251">
        <f t="shared" si="467"/>
        <v>0</v>
      </c>
      <c r="I2251">
        <f t="shared" si="468"/>
        <v>0</v>
      </c>
      <c r="J2251">
        <f t="shared" si="469"/>
        <v>0</v>
      </c>
      <c r="K2251" s="4" t="e">
        <f t="shared" si="457"/>
        <v>#N/A</v>
      </c>
      <c r="L2251" t="e">
        <f t="shared" si="458"/>
        <v>#N/A</v>
      </c>
      <c r="M2251" s="4" t="e">
        <f t="shared" si="459"/>
        <v>#N/A</v>
      </c>
      <c r="N2251" s="4" t="e">
        <f t="shared" si="460"/>
        <v>#N/A</v>
      </c>
    </row>
    <row r="2252" spans="1:14">
      <c r="A2252">
        <f t="shared" si="461"/>
        <v>0</v>
      </c>
      <c r="B2252">
        <f t="shared" si="462"/>
        <v>0</v>
      </c>
      <c r="C2252">
        <f t="shared" si="463"/>
        <v>0</v>
      </c>
      <c r="D2252">
        <f t="shared" si="464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5"/>
        <v>0</v>
      </c>
      <c r="G2252">
        <f t="shared" si="466"/>
        <v>0</v>
      </c>
      <c r="H2252">
        <f t="shared" si="467"/>
        <v>0</v>
      </c>
      <c r="I2252">
        <f t="shared" si="468"/>
        <v>0</v>
      </c>
      <c r="J2252">
        <f t="shared" si="469"/>
        <v>0</v>
      </c>
      <c r="K2252" s="4" t="e">
        <f t="shared" si="457"/>
        <v>#N/A</v>
      </c>
      <c r="L2252" t="e">
        <f t="shared" si="458"/>
        <v>#N/A</v>
      </c>
      <c r="M2252" s="4" t="e">
        <f t="shared" si="459"/>
        <v>#N/A</v>
      </c>
      <c r="N2252" s="4" t="e">
        <f t="shared" si="460"/>
        <v>#N/A</v>
      </c>
    </row>
    <row r="2253" spans="1:14">
      <c r="A2253">
        <f t="shared" si="461"/>
        <v>0</v>
      </c>
      <c r="B2253">
        <f t="shared" si="462"/>
        <v>0</v>
      </c>
      <c r="C2253">
        <f t="shared" si="463"/>
        <v>0</v>
      </c>
      <c r="D2253">
        <f t="shared" si="464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5"/>
        <v>0</v>
      </c>
      <c r="G2253">
        <f t="shared" si="466"/>
        <v>0</v>
      </c>
      <c r="H2253">
        <f t="shared" si="467"/>
        <v>0</v>
      </c>
      <c r="I2253">
        <f t="shared" si="468"/>
        <v>0</v>
      </c>
      <c r="J2253">
        <f t="shared" si="469"/>
        <v>0</v>
      </c>
      <c r="K2253" s="4" t="e">
        <f t="shared" si="457"/>
        <v>#N/A</v>
      </c>
      <c r="L2253" t="e">
        <f t="shared" si="458"/>
        <v>#N/A</v>
      </c>
      <c r="M2253" s="4" t="e">
        <f t="shared" si="459"/>
        <v>#N/A</v>
      </c>
      <c r="N2253" s="4" t="e">
        <f t="shared" si="460"/>
        <v>#N/A</v>
      </c>
    </row>
    <row r="2254" spans="1:14">
      <c r="A2254">
        <f t="shared" si="461"/>
        <v>0</v>
      </c>
      <c r="B2254">
        <f t="shared" si="462"/>
        <v>0</v>
      </c>
      <c r="C2254">
        <f t="shared" si="463"/>
        <v>0</v>
      </c>
      <c r="D2254">
        <f t="shared" si="464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5"/>
        <v>0</v>
      </c>
      <c r="G2254">
        <f t="shared" si="466"/>
        <v>0</v>
      </c>
      <c r="H2254">
        <f t="shared" si="467"/>
        <v>0</v>
      </c>
      <c r="I2254">
        <f t="shared" si="468"/>
        <v>0</v>
      </c>
      <c r="J2254">
        <f t="shared" si="469"/>
        <v>0</v>
      </c>
      <c r="K2254" s="4" t="e">
        <f t="shared" si="457"/>
        <v>#N/A</v>
      </c>
      <c r="L2254" t="e">
        <f t="shared" si="458"/>
        <v>#N/A</v>
      </c>
      <c r="M2254" s="4" t="e">
        <f t="shared" si="459"/>
        <v>#N/A</v>
      </c>
      <c r="N2254" s="4" t="e">
        <f t="shared" si="460"/>
        <v>#N/A</v>
      </c>
    </row>
    <row r="2255" spans="1:14">
      <c r="A2255">
        <f t="shared" si="461"/>
        <v>0</v>
      </c>
      <c r="B2255">
        <f t="shared" si="462"/>
        <v>0</v>
      </c>
      <c r="C2255">
        <f t="shared" si="463"/>
        <v>0</v>
      </c>
      <c r="D2255">
        <f t="shared" si="464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5"/>
        <v>0</v>
      </c>
      <c r="G2255">
        <f t="shared" si="466"/>
        <v>0</v>
      </c>
      <c r="H2255">
        <f t="shared" si="467"/>
        <v>0</v>
      </c>
      <c r="I2255">
        <f t="shared" si="468"/>
        <v>0</v>
      </c>
      <c r="J2255">
        <f t="shared" si="469"/>
        <v>0</v>
      </c>
      <c r="K2255" s="4" t="e">
        <f t="shared" si="457"/>
        <v>#N/A</v>
      </c>
      <c r="L2255" t="e">
        <f t="shared" si="458"/>
        <v>#N/A</v>
      </c>
      <c r="M2255" s="4" t="e">
        <f t="shared" si="459"/>
        <v>#N/A</v>
      </c>
      <c r="N2255" s="4" t="e">
        <f t="shared" si="460"/>
        <v>#N/A</v>
      </c>
    </row>
    <row r="2256" spans="1:14">
      <c r="A2256">
        <f t="shared" si="461"/>
        <v>0</v>
      </c>
      <c r="B2256">
        <f t="shared" si="462"/>
        <v>0</v>
      </c>
      <c r="C2256">
        <f t="shared" si="463"/>
        <v>0</v>
      </c>
      <c r="D2256">
        <f t="shared" si="464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5"/>
        <v>0</v>
      </c>
      <c r="G2256">
        <f t="shared" si="466"/>
        <v>0</v>
      </c>
      <c r="H2256">
        <f t="shared" si="467"/>
        <v>0</v>
      </c>
      <c r="I2256">
        <f t="shared" si="468"/>
        <v>0</v>
      </c>
      <c r="J2256">
        <f t="shared" si="469"/>
        <v>0</v>
      </c>
      <c r="K2256" s="4" t="e">
        <f t="shared" si="457"/>
        <v>#N/A</v>
      </c>
      <c r="L2256" t="e">
        <f t="shared" si="458"/>
        <v>#N/A</v>
      </c>
      <c r="M2256" s="4" t="e">
        <f t="shared" si="459"/>
        <v>#N/A</v>
      </c>
      <c r="N2256" s="4" t="e">
        <f t="shared" si="460"/>
        <v>#N/A</v>
      </c>
    </row>
    <row r="2257" spans="1:14">
      <c r="A2257">
        <f t="shared" si="461"/>
        <v>0</v>
      </c>
      <c r="B2257">
        <f t="shared" si="462"/>
        <v>0</v>
      </c>
      <c r="C2257">
        <f t="shared" si="463"/>
        <v>0</v>
      </c>
      <c r="D2257">
        <f t="shared" si="464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5"/>
        <v>0</v>
      </c>
      <c r="G2257">
        <f t="shared" si="466"/>
        <v>0</v>
      </c>
      <c r="H2257">
        <f t="shared" si="467"/>
        <v>0</v>
      </c>
      <c r="I2257">
        <f t="shared" si="468"/>
        <v>0</v>
      </c>
      <c r="J2257">
        <f t="shared" si="469"/>
        <v>0</v>
      </c>
      <c r="K2257" s="4" t="e">
        <f t="shared" si="457"/>
        <v>#N/A</v>
      </c>
      <c r="L2257" t="e">
        <f t="shared" si="458"/>
        <v>#N/A</v>
      </c>
      <c r="M2257" s="4" t="e">
        <f t="shared" si="459"/>
        <v>#N/A</v>
      </c>
      <c r="N2257" s="4" t="e">
        <f t="shared" si="460"/>
        <v>#N/A</v>
      </c>
    </row>
    <row r="2258" spans="1:14">
      <c r="A2258">
        <f t="shared" si="461"/>
        <v>0</v>
      </c>
      <c r="B2258">
        <f t="shared" si="462"/>
        <v>0</v>
      </c>
      <c r="C2258">
        <f t="shared" si="463"/>
        <v>0</v>
      </c>
      <c r="D2258">
        <f t="shared" si="464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5"/>
        <v>0</v>
      </c>
      <c r="G2258">
        <f t="shared" si="466"/>
        <v>0</v>
      </c>
      <c r="H2258">
        <f t="shared" si="467"/>
        <v>0</v>
      </c>
      <c r="I2258">
        <f t="shared" si="468"/>
        <v>0</v>
      </c>
      <c r="J2258">
        <f t="shared" si="469"/>
        <v>0</v>
      </c>
      <c r="K2258" s="4" t="e">
        <f t="shared" si="457"/>
        <v>#N/A</v>
      </c>
      <c r="L2258" t="e">
        <f t="shared" si="458"/>
        <v>#N/A</v>
      </c>
      <c r="M2258" s="4" t="e">
        <f t="shared" si="459"/>
        <v>#N/A</v>
      </c>
      <c r="N2258" s="4" t="e">
        <f t="shared" si="460"/>
        <v>#N/A</v>
      </c>
    </row>
    <row r="2259" spans="1:14">
      <c r="A2259">
        <f t="shared" si="461"/>
        <v>0</v>
      </c>
      <c r="B2259">
        <f t="shared" si="462"/>
        <v>0</v>
      </c>
      <c r="C2259">
        <f t="shared" si="463"/>
        <v>0</v>
      </c>
      <c r="D2259">
        <f t="shared" si="464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5"/>
        <v>0</v>
      </c>
      <c r="G2259">
        <f t="shared" si="466"/>
        <v>0</v>
      </c>
      <c r="H2259">
        <f t="shared" si="467"/>
        <v>0</v>
      </c>
      <c r="I2259">
        <f t="shared" si="468"/>
        <v>0</v>
      </c>
      <c r="J2259">
        <f t="shared" si="469"/>
        <v>0</v>
      </c>
      <c r="K2259" s="4" t="e">
        <f t="shared" si="457"/>
        <v>#N/A</v>
      </c>
      <c r="L2259" t="e">
        <f t="shared" si="458"/>
        <v>#N/A</v>
      </c>
      <c r="M2259" s="4" t="e">
        <f t="shared" si="459"/>
        <v>#N/A</v>
      </c>
      <c r="N2259" s="4" t="e">
        <f t="shared" si="460"/>
        <v>#N/A</v>
      </c>
    </row>
    <row r="2260" spans="1:14">
      <c r="A2260">
        <f t="shared" si="461"/>
        <v>0</v>
      </c>
      <c r="B2260">
        <f t="shared" si="462"/>
        <v>0</v>
      </c>
      <c r="C2260">
        <f t="shared" si="463"/>
        <v>0</v>
      </c>
      <c r="D2260">
        <f t="shared" si="464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5"/>
        <v>0</v>
      </c>
      <c r="G2260">
        <f t="shared" si="466"/>
        <v>0</v>
      </c>
      <c r="H2260">
        <f t="shared" si="467"/>
        <v>0</v>
      </c>
      <c r="I2260">
        <f t="shared" si="468"/>
        <v>0</v>
      </c>
      <c r="J2260">
        <f t="shared" si="469"/>
        <v>0</v>
      </c>
      <c r="K2260" s="4" t="e">
        <f t="shared" si="457"/>
        <v>#N/A</v>
      </c>
      <c r="L2260" t="e">
        <f t="shared" si="458"/>
        <v>#N/A</v>
      </c>
      <c r="M2260" s="4" t="e">
        <f t="shared" si="459"/>
        <v>#N/A</v>
      </c>
      <c r="N2260" s="4" t="e">
        <f t="shared" si="460"/>
        <v>#N/A</v>
      </c>
    </row>
    <row r="2261" spans="1:14">
      <c r="A2261">
        <f t="shared" si="461"/>
        <v>0</v>
      </c>
      <c r="B2261">
        <f t="shared" si="462"/>
        <v>0</v>
      </c>
      <c r="C2261">
        <f t="shared" si="463"/>
        <v>0</v>
      </c>
      <c r="D2261">
        <f t="shared" si="464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5"/>
        <v>0</v>
      </c>
      <c r="G2261">
        <f t="shared" si="466"/>
        <v>0</v>
      </c>
      <c r="H2261">
        <f t="shared" si="467"/>
        <v>0</v>
      </c>
      <c r="I2261">
        <f t="shared" si="468"/>
        <v>0</v>
      </c>
      <c r="J2261">
        <f t="shared" si="469"/>
        <v>0</v>
      </c>
      <c r="K2261" s="4" t="e">
        <f t="shared" si="457"/>
        <v>#N/A</v>
      </c>
      <c r="L2261" t="e">
        <f t="shared" si="458"/>
        <v>#N/A</v>
      </c>
      <c r="M2261" s="4" t="e">
        <f t="shared" si="459"/>
        <v>#N/A</v>
      </c>
      <c r="N2261" s="4" t="e">
        <f t="shared" si="460"/>
        <v>#N/A</v>
      </c>
    </row>
    <row r="2262" spans="1:14">
      <c r="A2262">
        <f t="shared" si="461"/>
        <v>0</v>
      </c>
      <c r="B2262">
        <f t="shared" si="462"/>
        <v>0</v>
      </c>
      <c r="C2262">
        <f t="shared" si="463"/>
        <v>0</v>
      </c>
      <c r="D2262">
        <f t="shared" si="464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5"/>
        <v>0</v>
      </c>
      <c r="G2262">
        <f t="shared" si="466"/>
        <v>0</v>
      </c>
      <c r="H2262">
        <f t="shared" si="467"/>
        <v>0</v>
      </c>
      <c r="I2262">
        <f t="shared" si="468"/>
        <v>0</v>
      </c>
      <c r="J2262">
        <f t="shared" si="469"/>
        <v>0</v>
      </c>
      <c r="K2262" s="4" t="e">
        <f t="shared" si="457"/>
        <v>#N/A</v>
      </c>
      <c r="L2262" t="e">
        <f t="shared" si="458"/>
        <v>#N/A</v>
      </c>
      <c r="M2262" s="4" t="e">
        <f t="shared" si="459"/>
        <v>#N/A</v>
      </c>
      <c r="N2262" s="4" t="e">
        <f t="shared" si="460"/>
        <v>#N/A</v>
      </c>
    </row>
    <row r="2263" spans="1:14">
      <c r="A2263">
        <f t="shared" si="461"/>
        <v>0</v>
      </c>
      <c r="B2263">
        <f t="shared" si="462"/>
        <v>0</v>
      </c>
      <c r="C2263">
        <f t="shared" si="463"/>
        <v>0</v>
      </c>
      <c r="D2263">
        <f t="shared" si="464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5"/>
        <v>0</v>
      </c>
      <c r="G2263">
        <f t="shared" si="466"/>
        <v>0</v>
      </c>
      <c r="H2263">
        <f t="shared" si="467"/>
        <v>0</v>
      </c>
      <c r="I2263">
        <f t="shared" si="468"/>
        <v>0</v>
      </c>
      <c r="J2263">
        <f t="shared" si="469"/>
        <v>0</v>
      </c>
      <c r="K2263" s="4" t="e">
        <f t="shared" si="457"/>
        <v>#N/A</v>
      </c>
      <c r="L2263" t="e">
        <f t="shared" si="458"/>
        <v>#N/A</v>
      </c>
      <c r="M2263" s="4" t="e">
        <f t="shared" si="459"/>
        <v>#N/A</v>
      </c>
      <c r="N2263" s="4" t="e">
        <f t="shared" si="460"/>
        <v>#N/A</v>
      </c>
    </row>
    <row r="2264" spans="1:14">
      <c r="A2264">
        <f t="shared" si="461"/>
        <v>0</v>
      </c>
      <c r="B2264">
        <f t="shared" si="462"/>
        <v>0</v>
      </c>
      <c r="C2264">
        <f t="shared" si="463"/>
        <v>0</v>
      </c>
      <c r="D2264">
        <f t="shared" si="464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5"/>
        <v>0</v>
      </c>
      <c r="G2264">
        <f t="shared" si="466"/>
        <v>0</v>
      </c>
      <c r="H2264">
        <f t="shared" si="467"/>
        <v>0</v>
      </c>
      <c r="I2264">
        <f t="shared" si="468"/>
        <v>0</v>
      </c>
      <c r="J2264">
        <f t="shared" si="469"/>
        <v>0</v>
      </c>
      <c r="K2264" s="4" t="e">
        <f t="shared" si="457"/>
        <v>#N/A</v>
      </c>
      <c r="L2264" t="e">
        <f t="shared" si="458"/>
        <v>#N/A</v>
      </c>
      <c r="M2264" s="4" t="e">
        <f t="shared" si="459"/>
        <v>#N/A</v>
      </c>
      <c r="N2264" s="4" t="e">
        <f t="shared" si="460"/>
        <v>#N/A</v>
      </c>
    </row>
    <row r="2265" spans="1:14">
      <c r="A2265">
        <f t="shared" si="461"/>
        <v>0</v>
      </c>
      <c r="B2265">
        <f t="shared" si="462"/>
        <v>0</v>
      </c>
      <c r="C2265">
        <f t="shared" si="463"/>
        <v>0</v>
      </c>
      <c r="D2265">
        <f t="shared" si="464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5"/>
        <v>0</v>
      </c>
      <c r="G2265">
        <f t="shared" si="466"/>
        <v>0</v>
      </c>
      <c r="H2265">
        <f t="shared" si="467"/>
        <v>0</v>
      </c>
      <c r="I2265">
        <f t="shared" si="468"/>
        <v>0</v>
      </c>
      <c r="J2265">
        <f t="shared" si="469"/>
        <v>0</v>
      </c>
      <c r="K2265" s="4" t="e">
        <f t="shared" si="457"/>
        <v>#N/A</v>
      </c>
      <c r="L2265" t="e">
        <f t="shared" si="458"/>
        <v>#N/A</v>
      </c>
      <c r="M2265" s="4" t="e">
        <f t="shared" si="459"/>
        <v>#N/A</v>
      </c>
      <c r="N2265" s="4" t="e">
        <f t="shared" si="460"/>
        <v>#N/A</v>
      </c>
    </row>
    <row r="2266" spans="1:14">
      <c r="A2266">
        <f t="shared" si="461"/>
        <v>0</v>
      </c>
      <c r="B2266">
        <f t="shared" si="462"/>
        <v>0</v>
      </c>
      <c r="C2266">
        <f t="shared" si="463"/>
        <v>0</v>
      </c>
      <c r="D2266">
        <f t="shared" si="464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5"/>
        <v>0</v>
      </c>
      <c r="G2266">
        <f t="shared" si="466"/>
        <v>0</v>
      </c>
      <c r="H2266">
        <f t="shared" si="467"/>
        <v>0</v>
      </c>
      <c r="I2266">
        <f t="shared" si="468"/>
        <v>0</v>
      </c>
      <c r="J2266">
        <f t="shared" si="469"/>
        <v>0</v>
      </c>
      <c r="K2266" s="4" t="e">
        <f t="shared" si="457"/>
        <v>#N/A</v>
      </c>
      <c r="L2266" t="e">
        <f t="shared" si="458"/>
        <v>#N/A</v>
      </c>
      <c r="M2266" s="4" t="e">
        <f t="shared" si="459"/>
        <v>#N/A</v>
      </c>
      <c r="N2266" s="4" t="e">
        <f t="shared" si="460"/>
        <v>#N/A</v>
      </c>
    </row>
    <row r="2267" spans="1:14">
      <c r="A2267">
        <f t="shared" si="461"/>
        <v>0</v>
      </c>
      <c r="B2267">
        <f t="shared" si="462"/>
        <v>0</v>
      </c>
      <c r="C2267">
        <f t="shared" si="463"/>
        <v>0</v>
      </c>
      <c r="D2267">
        <f t="shared" si="464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5"/>
        <v>0</v>
      </c>
      <c r="G2267">
        <f t="shared" si="466"/>
        <v>0</v>
      </c>
      <c r="H2267">
        <f t="shared" si="467"/>
        <v>0</v>
      </c>
      <c r="I2267">
        <f t="shared" si="468"/>
        <v>0</v>
      </c>
      <c r="J2267">
        <f t="shared" si="469"/>
        <v>0</v>
      </c>
      <c r="K2267" s="4" t="e">
        <f t="shared" si="457"/>
        <v>#N/A</v>
      </c>
      <c r="L2267" t="e">
        <f t="shared" si="458"/>
        <v>#N/A</v>
      </c>
      <c r="M2267" s="4" t="e">
        <f t="shared" si="459"/>
        <v>#N/A</v>
      </c>
      <c r="N2267" s="4" t="e">
        <f t="shared" si="460"/>
        <v>#N/A</v>
      </c>
    </row>
    <row r="2268" spans="1:14">
      <c r="A2268">
        <f t="shared" si="461"/>
        <v>0</v>
      </c>
      <c r="B2268">
        <f t="shared" si="462"/>
        <v>0</v>
      </c>
      <c r="C2268">
        <f t="shared" si="463"/>
        <v>0</v>
      </c>
      <c r="D2268">
        <f t="shared" si="464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5"/>
        <v>0</v>
      </c>
      <c r="G2268">
        <f t="shared" si="466"/>
        <v>0</v>
      </c>
      <c r="H2268">
        <f t="shared" si="467"/>
        <v>0</v>
      </c>
      <c r="I2268">
        <f t="shared" si="468"/>
        <v>0</v>
      </c>
      <c r="J2268">
        <f t="shared" si="469"/>
        <v>0</v>
      </c>
      <c r="K2268" s="4" t="e">
        <f t="shared" si="457"/>
        <v>#N/A</v>
      </c>
      <c r="L2268" t="e">
        <f t="shared" si="458"/>
        <v>#N/A</v>
      </c>
      <c r="M2268" s="4" t="e">
        <f t="shared" si="459"/>
        <v>#N/A</v>
      </c>
      <c r="N2268" s="4" t="e">
        <f t="shared" si="460"/>
        <v>#N/A</v>
      </c>
    </row>
    <row r="2269" spans="1:14">
      <c r="A2269">
        <f t="shared" si="461"/>
        <v>0</v>
      </c>
      <c r="B2269">
        <f t="shared" si="462"/>
        <v>0</v>
      </c>
      <c r="C2269">
        <f t="shared" si="463"/>
        <v>0</v>
      </c>
      <c r="D2269">
        <f t="shared" si="464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5"/>
        <v>0</v>
      </c>
      <c r="G2269">
        <f t="shared" si="466"/>
        <v>0</v>
      </c>
      <c r="H2269">
        <f t="shared" si="467"/>
        <v>0</v>
      </c>
      <c r="I2269">
        <f t="shared" si="468"/>
        <v>0</v>
      </c>
      <c r="J2269">
        <f t="shared" si="469"/>
        <v>0</v>
      </c>
      <c r="K2269" s="4" t="e">
        <f t="shared" si="457"/>
        <v>#N/A</v>
      </c>
      <c r="L2269" t="e">
        <f t="shared" si="458"/>
        <v>#N/A</v>
      </c>
      <c r="M2269" s="4" t="e">
        <f t="shared" si="459"/>
        <v>#N/A</v>
      </c>
      <c r="N2269" s="4" t="e">
        <f t="shared" si="460"/>
        <v>#N/A</v>
      </c>
    </row>
    <row r="2270" spans="1:14">
      <c r="A2270">
        <f t="shared" si="461"/>
        <v>0</v>
      </c>
      <c r="B2270">
        <f t="shared" si="462"/>
        <v>0</v>
      </c>
      <c r="C2270">
        <f t="shared" si="463"/>
        <v>0</v>
      </c>
      <c r="D2270">
        <f t="shared" si="464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5"/>
        <v>0</v>
      </c>
      <c r="G2270">
        <f t="shared" si="466"/>
        <v>0</v>
      </c>
      <c r="H2270">
        <f t="shared" si="467"/>
        <v>0</v>
      </c>
      <c r="I2270">
        <f t="shared" si="468"/>
        <v>0</v>
      </c>
      <c r="J2270">
        <f t="shared" si="469"/>
        <v>0</v>
      </c>
      <c r="K2270" s="4" t="e">
        <f t="shared" si="457"/>
        <v>#N/A</v>
      </c>
      <c r="L2270" t="e">
        <f t="shared" si="458"/>
        <v>#N/A</v>
      </c>
      <c r="M2270" s="4" t="e">
        <f t="shared" si="459"/>
        <v>#N/A</v>
      </c>
      <c r="N2270" s="4" t="e">
        <f t="shared" si="460"/>
        <v>#N/A</v>
      </c>
    </row>
    <row r="2271" spans="1:14">
      <c r="A2271">
        <f t="shared" si="461"/>
        <v>0</v>
      </c>
      <c r="B2271">
        <f t="shared" si="462"/>
        <v>0</v>
      </c>
      <c r="C2271">
        <f t="shared" si="463"/>
        <v>0</v>
      </c>
      <c r="D2271">
        <f t="shared" si="464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5"/>
        <v>0</v>
      </c>
      <c r="G2271">
        <f t="shared" si="466"/>
        <v>0</v>
      </c>
      <c r="H2271">
        <f t="shared" si="467"/>
        <v>0</v>
      </c>
      <c r="I2271">
        <f t="shared" si="468"/>
        <v>0</v>
      </c>
      <c r="J2271">
        <f t="shared" si="469"/>
        <v>0</v>
      </c>
      <c r="K2271" s="4" t="e">
        <f t="shared" si="457"/>
        <v>#N/A</v>
      </c>
      <c r="L2271" t="e">
        <f t="shared" si="458"/>
        <v>#N/A</v>
      </c>
      <c r="M2271" s="4" t="e">
        <f t="shared" si="459"/>
        <v>#N/A</v>
      </c>
      <c r="N2271" s="4" t="e">
        <f t="shared" si="460"/>
        <v>#N/A</v>
      </c>
    </row>
    <row r="2272" spans="1:14">
      <c r="A2272">
        <f t="shared" si="461"/>
        <v>0</v>
      </c>
      <c r="B2272">
        <f t="shared" si="462"/>
        <v>0</v>
      </c>
      <c r="C2272">
        <f t="shared" si="463"/>
        <v>0</v>
      </c>
      <c r="D2272">
        <f t="shared" si="464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5"/>
        <v>0</v>
      </c>
      <c r="G2272">
        <f t="shared" si="466"/>
        <v>0</v>
      </c>
      <c r="H2272">
        <f t="shared" si="467"/>
        <v>0</v>
      </c>
      <c r="I2272">
        <f t="shared" si="468"/>
        <v>0</v>
      </c>
      <c r="J2272">
        <f t="shared" si="469"/>
        <v>0</v>
      </c>
      <c r="K2272" s="4" t="e">
        <f t="shared" si="457"/>
        <v>#N/A</v>
      </c>
      <c r="L2272" t="e">
        <f t="shared" si="458"/>
        <v>#N/A</v>
      </c>
      <c r="M2272" s="4" t="e">
        <f t="shared" si="459"/>
        <v>#N/A</v>
      </c>
      <c r="N2272" s="4" t="e">
        <f t="shared" si="460"/>
        <v>#N/A</v>
      </c>
    </row>
    <row r="2273" spans="1:14">
      <c r="A2273">
        <f t="shared" si="461"/>
        <v>0</v>
      </c>
      <c r="B2273">
        <f t="shared" si="462"/>
        <v>0</v>
      </c>
      <c r="C2273">
        <f t="shared" si="463"/>
        <v>0</v>
      </c>
      <c r="D2273">
        <f t="shared" si="464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5"/>
        <v>0</v>
      </c>
      <c r="G2273">
        <f t="shared" si="466"/>
        <v>0</v>
      </c>
      <c r="H2273">
        <f t="shared" si="467"/>
        <v>0</v>
      </c>
      <c r="I2273">
        <f t="shared" si="468"/>
        <v>0</v>
      </c>
      <c r="J2273">
        <f t="shared" si="469"/>
        <v>0</v>
      </c>
      <c r="K2273" s="4" t="e">
        <f t="shared" si="457"/>
        <v>#N/A</v>
      </c>
      <c r="L2273" t="e">
        <f t="shared" si="458"/>
        <v>#N/A</v>
      </c>
      <c r="M2273" s="4" t="e">
        <f t="shared" si="459"/>
        <v>#N/A</v>
      </c>
      <c r="N2273" s="4" t="e">
        <f t="shared" si="460"/>
        <v>#N/A</v>
      </c>
    </row>
    <row r="2274" spans="1:14">
      <c r="A2274">
        <f t="shared" si="461"/>
        <v>0</v>
      </c>
      <c r="B2274">
        <f t="shared" si="462"/>
        <v>0</v>
      </c>
      <c r="C2274">
        <f t="shared" si="463"/>
        <v>0</v>
      </c>
      <c r="D2274">
        <f t="shared" si="464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5"/>
        <v>0</v>
      </c>
      <c r="G2274">
        <f t="shared" si="466"/>
        <v>0</v>
      </c>
      <c r="H2274">
        <f t="shared" si="467"/>
        <v>0</v>
      </c>
      <c r="I2274">
        <f t="shared" si="468"/>
        <v>0</v>
      </c>
      <c r="J2274">
        <f t="shared" si="469"/>
        <v>0</v>
      </c>
      <c r="K2274" s="4" t="e">
        <f t="shared" si="457"/>
        <v>#N/A</v>
      </c>
      <c r="L2274" t="e">
        <f t="shared" si="458"/>
        <v>#N/A</v>
      </c>
      <c r="M2274" s="4" t="e">
        <f t="shared" si="459"/>
        <v>#N/A</v>
      </c>
      <c r="N2274" s="4" t="e">
        <f t="shared" si="460"/>
        <v>#N/A</v>
      </c>
    </row>
    <row r="2275" spans="1:14">
      <c r="A2275">
        <f t="shared" si="461"/>
        <v>0</v>
      </c>
      <c r="B2275">
        <f t="shared" si="462"/>
        <v>0</v>
      </c>
      <c r="C2275">
        <f t="shared" si="463"/>
        <v>0</v>
      </c>
      <c r="D2275">
        <f t="shared" si="464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5"/>
        <v>0</v>
      </c>
      <c r="G2275">
        <f t="shared" si="466"/>
        <v>0</v>
      </c>
      <c r="H2275">
        <f t="shared" si="467"/>
        <v>0</v>
      </c>
      <c r="I2275">
        <f t="shared" si="468"/>
        <v>0</v>
      </c>
      <c r="J2275">
        <f t="shared" si="469"/>
        <v>0</v>
      </c>
      <c r="K2275" s="4" t="e">
        <f t="shared" si="457"/>
        <v>#N/A</v>
      </c>
      <c r="L2275" t="e">
        <f t="shared" si="458"/>
        <v>#N/A</v>
      </c>
      <c r="M2275" s="4" t="e">
        <f t="shared" si="459"/>
        <v>#N/A</v>
      </c>
      <c r="N2275" s="4" t="e">
        <f t="shared" si="460"/>
        <v>#N/A</v>
      </c>
    </row>
    <row r="2276" spans="1:14">
      <c r="A2276">
        <f t="shared" si="461"/>
        <v>0</v>
      </c>
      <c r="B2276">
        <f t="shared" si="462"/>
        <v>0</v>
      </c>
      <c r="C2276">
        <f t="shared" si="463"/>
        <v>0</v>
      </c>
      <c r="D2276">
        <f t="shared" si="464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5"/>
        <v>0</v>
      </c>
      <c r="G2276">
        <f t="shared" si="466"/>
        <v>0</v>
      </c>
      <c r="H2276">
        <f t="shared" si="467"/>
        <v>0</v>
      </c>
      <c r="I2276">
        <f t="shared" si="468"/>
        <v>0</v>
      </c>
      <c r="J2276">
        <f t="shared" si="469"/>
        <v>0</v>
      </c>
      <c r="K2276" s="4" t="e">
        <f t="shared" si="457"/>
        <v>#N/A</v>
      </c>
      <c r="L2276" t="e">
        <f t="shared" si="458"/>
        <v>#N/A</v>
      </c>
      <c r="M2276" s="4" t="e">
        <f t="shared" si="459"/>
        <v>#N/A</v>
      </c>
      <c r="N2276" s="4" t="e">
        <f t="shared" si="460"/>
        <v>#N/A</v>
      </c>
    </row>
    <row r="2277" spans="1:14">
      <c r="A2277">
        <f t="shared" si="461"/>
        <v>0</v>
      </c>
      <c r="B2277">
        <f t="shared" si="462"/>
        <v>0</v>
      </c>
      <c r="C2277">
        <f t="shared" si="463"/>
        <v>0</v>
      </c>
      <c r="D2277">
        <f t="shared" si="464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5"/>
        <v>0</v>
      </c>
      <c r="G2277">
        <f t="shared" si="466"/>
        <v>0</v>
      </c>
      <c r="H2277">
        <f t="shared" si="467"/>
        <v>0</v>
      </c>
      <c r="I2277">
        <f t="shared" si="468"/>
        <v>0</v>
      </c>
      <c r="J2277">
        <f t="shared" si="469"/>
        <v>0</v>
      </c>
      <c r="K2277" s="4" t="e">
        <f t="shared" si="457"/>
        <v>#N/A</v>
      </c>
      <c r="L2277" t="e">
        <f t="shared" si="458"/>
        <v>#N/A</v>
      </c>
      <c r="M2277" s="4" t="e">
        <f t="shared" si="459"/>
        <v>#N/A</v>
      </c>
      <c r="N2277" s="4" t="e">
        <f t="shared" si="460"/>
        <v>#N/A</v>
      </c>
    </row>
    <row r="2278" spans="1:14">
      <c r="A2278">
        <f t="shared" si="461"/>
        <v>0</v>
      </c>
      <c r="B2278">
        <f t="shared" si="462"/>
        <v>0</v>
      </c>
      <c r="C2278">
        <f t="shared" si="463"/>
        <v>0</v>
      </c>
      <c r="D2278">
        <f t="shared" si="464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5"/>
        <v>0</v>
      </c>
      <c r="G2278">
        <f t="shared" si="466"/>
        <v>0</v>
      </c>
      <c r="H2278">
        <f t="shared" si="467"/>
        <v>0</v>
      </c>
      <c r="I2278">
        <f t="shared" si="468"/>
        <v>0</v>
      </c>
      <c r="J2278">
        <f t="shared" si="469"/>
        <v>0</v>
      </c>
      <c r="K2278" s="4" t="e">
        <f t="shared" si="457"/>
        <v>#N/A</v>
      </c>
      <c r="L2278" t="e">
        <f t="shared" si="458"/>
        <v>#N/A</v>
      </c>
      <c r="M2278" s="4" t="e">
        <f t="shared" si="459"/>
        <v>#N/A</v>
      </c>
      <c r="N2278" s="4" t="e">
        <f t="shared" si="460"/>
        <v>#N/A</v>
      </c>
    </row>
    <row r="2279" spans="1:14">
      <c r="A2279">
        <f t="shared" si="461"/>
        <v>0</v>
      </c>
      <c r="B2279">
        <f t="shared" si="462"/>
        <v>0</v>
      </c>
      <c r="C2279">
        <f t="shared" si="463"/>
        <v>0</v>
      </c>
      <c r="D2279">
        <f t="shared" si="464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5"/>
        <v>0</v>
      </c>
      <c r="G2279">
        <f t="shared" si="466"/>
        <v>0</v>
      </c>
      <c r="H2279">
        <f t="shared" si="467"/>
        <v>0</v>
      </c>
      <c r="I2279">
        <f t="shared" si="468"/>
        <v>0</v>
      </c>
      <c r="J2279">
        <f t="shared" si="469"/>
        <v>0</v>
      </c>
      <c r="K2279" s="4" t="e">
        <f t="shared" si="457"/>
        <v>#N/A</v>
      </c>
      <c r="L2279" t="e">
        <f t="shared" si="458"/>
        <v>#N/A</v>
      </c>
      <c r="M2279" s="4" t="e">
        <f t="shared" si="459"/>
        <v>#N/A</v>
      </c>
      <c r="N2279" s="4" t="e">
        <f t="shared" si="460"/>
        <v>#N/A</v>
      </c>
    </row>
    <row r="2280" spans="1:14">
      <c r="A2280">
        <f t="shared" si="461"/>
        <v>0</v>
      </c>
      <c r="B2280">
        <f t="shared" si="462"/>
        <v>0</v>
      </c>
      <c r="C2280">
        <f t="shared" si="463"/>
        <v>0</v>
      </c>
      <c r="D2280">
        <f t="shared" si="464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5"/>
        <v>0</v>
      </c>
      <c r="G2280">
        <f t="shared" si="466"/>
        <v>0</v>
      </c>
      <c r="H2280">
        <f t="shared" si="467"/>
        <v>0</v>
      </c>
      <c r="I2280">
        <f t="shared" si="468"/>
        <v>0</v>
      </c>
      <c r="J2280">
        <f t="shared" si="469"/>
        <v>0</v>
      </c>
      <c r="K2280" s="4" t="e">
        <f t="shared" si="457"/>
        <v>#N/A</v>
      </c>
      <c r="L2280" t="e">
        <f t="shared" si="458"/>
        <v>#N/A</v>
      </c>
      <c r="M2280" s="4" t="e">
        <f t="shared" si="459"/>
        <v>#N/A</v>
      </c>
      <c r="N2280" s="4" t="e">
        <f t="shared" si="460"/>
        <v>#N/A</v>
      </c>
    </row>
    <row r="2281" spans="1:14">
      <c r="A2281">
        <f t="shared" si="461"/>
        <v>0</v>
      </c>
      <c r="B2281">
        <f t="shared" si="462"/>
        <v>0</v>
      </c>
      <c r="C2281">
        <f t="shared" si="463"/>
        <v>0</v>
      </c>
      <c r="D2281">
        <f t="shared" si="464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5"/>
        <v>0</v>
      </c>
      <c r="G2281">
        <f t="shared" si="466"/>
        <v>0</v>
      </c>
      <c r="H2281">
        <f t="shared" si="467"/>
        <v>0</v>
      </c>
      <c r="I2281">
        <f t="shared" si="468"/>
        <v>0</v>
      </c>
      <c r="J2281">
        <f t="shared" si="469"/>
        <v>0</v>
      </c>
      <c r="K2281" s="4" t="e">
        <f t="shared" si="457"/>
        <v>#N/A</v>
      </c>
      <c r="L2281" t="e">
        <f t="shared" si="458"/>
        <v>#N/A</v>
      </c>
      <c r="M2281" s="4" t="e">
        <f t="shared" si="459"/>
        <v>#N/A</v>
      </c>
      <c r="N2281" s="4" t="e">
        <f t="shared" si="460"/>
        <v>#N/A</v>
      </c>
    </row>
    <row r="2282" spans="1:14">
      <c r="A2282">
        <f t="shared" si="461"/>
        <v>0</v>
      </c>
      <c r="B2282">
        <f t="shared" si="462"/>
        <v>0</v>
      </c>
      <c r="C2282">
        <f t="shared" si="463"/>
        <v>0</v>
      </c>
      <c r="D2282">
        <f t="shared" si="464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5"/>
        <v>0</v>
      </c>
      <c r="G2282">
        <f t="shared" si="466"/>
        <v>0</v>
      </c>
      <c r="H2282">
        <f t="shared" si="467"/>
        <v>0</v>
      </c>
      <c r="I2282">
        <f t="shared" si="468"/>
        <v>0</v>
      </c>
      <c r="J2282">
        <f t="shared" si="469"/>
        <v>0</v>
      </c>
      <c r="K2282" s="4" t="e">
        <f t="shared" si="457"/>
        <v>#N/A</v>
      </c>
      <c r="L2282" t="e">
        <f t="shared" si="458"/>
        <v>#N/A</v>
      </c>
      <c r="M2282" s="4" t="e">
        <f t="shared" si="459"/>
        <v>#N/A</v>
      </c>
      <c r="N2282" s="4" t="e">
        <f t="shared" si="460"/>
        <v>#N/A</v>
      </c>
    </row>
    <row r="2283" spans="1:14">
      <c r="A2283">
        <f t="shared" si="461"/>
        <v>0</v>
      </c>
      <c r="B2283">
        <f t="shared" si="462"/>
        <v>0</v>
      </c>
      <c r="C2283">
        <f t="shared" si="463"/>
        <v>0</v>
      </c>
      <c r="D2283">
        <f t="shared" si="464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5"/>
        <v>0</v>
      </c>
      <c r="G2283">
        <f t="shared" si="466"/>
        <v>0</v>
      </c>
      <c r="H2283">
        <f t="shared" si="467"/>
        <v>0</v>
      </c>
      <c r="I2283">
        <f t="shared" si="468"/>
        <v>0</v>
      </c>
      <c r="J2283">
        <f t="shared" si="469"/>
        <v>0</v>
      </c>
      <c r="K2283" s="4" t="e">
        <f t="shared" si="457"/>
        <v>#N/A</v>
      </c>
      <c r="L2283" t="e">
        <f t="shared" si="458"/>
        <v>#N/A</v>
      </c>
      <c r="M2283" s="4" t="e">
        <f t="shared" si="459"/>
        <v>#N/A</v>
      </c>
      <c r="N2283" s="4" t="e">
        <f t="shared" si="460"/>
        <v>#N/A</v>
      </c>
    </row>
    <row r="2284" spans="1:14">
      <c r="A2284">
        <f t="shared" si="461"/>
        <v>0</v>
      </c>
      <c r="B2284">
        <f t="shared" si="462"/>
        <v>0</v>
      </c>
      <c r="C2284">
        <f t="shared" si="463"/>
        <v>0</v>
      </c>
      <c r="D2284">
        <f t="shared" si="464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5"/>
        <v>0</v>
      </c>
      <c r="G2284">
        <f t="shared" si="466"/>
        <v>0</v>
      </c>
      <c r="H2284">
        <f t="shared" si="467"/>
        <v>0</v>
      </c>
      <c r="I2284">
        <f t="shared" si="468"/>
        <v>0</v>
      </c>
      <c r="J2284">
        <f t="shared" si="469"/>
        <v>0</v>
      </c>
      <c r="K2284" s="4" t="e">
        <f t="shared" ref="K2284:K2347" si="470">IF(LEFT(B2284,3)="DBM",0,VLOOKUP(E2284,tabela,2,FALSE))</f>
        <v>#N/A</v>
      </c>
      <c r="L2284" t="e">
        <f t="shared" ref="L2284:L2347" si="471">VLOOKUP(E2284,tabela,3,FALSE)</f>
        <v>#N/A</v>
      </c>
      <c r="M2284" s="4" t="e">
        <f t="shared" si="459"/>
        <v>#N/A</v>
      </c>
      <c r="N2284" s="4" t="e">
        <f t="shared" si="460"/>
        <v>#N/A</v>
      </c>
    </row>
    <row r="2285" spans="1:14">
      <c r="A2285">
        <f t="shared" si="461"/>
        <v>0</v>
      </c>
      <c r="B2285">
        <f t="shared" si="462"/>
        <v>0</v>
      </c>
      <c r="C2285">
        <f t="shared" si="463"/>
        <v>0</v>
      </c>
      <c r="D2285">
        <f t="shared" si="464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5"/>
        <v>0</v>
      </c>
      <c r="G2285">
        <f t="shared" si="466"/>
        <v>0</v>
      </c>
      <c r="H2285">
        <f t="shared" si="467"/>
        <v>0</v>
      </c>
      <c r="I2285">
        <f t="shared" si="468"/>
        <v>0</v>
      </c>
      <c r="J2285">
        <f t="shared" si="469"/>
        <v>0</v>
      </c>
      <c r="K2285" s="4" t="e">
        <f t="shared" si="470"/>
        <v>#N/A</v>
      </c>
      <c r="L2285" t="e">
        <f t="shared" si="471"/>
        <v>#N/A</v>
      </c>
      <c r="M2285" s="4" t="e">
        <f t="shared" si="459"/>
        <v>#N/A</v>
      </c>
      <c r="N2285" s="4" t="e">
        <f t="shared" si="460"/>
        <v>#N/A</v>
      </c>
    </row>
    <row r="2286" spans="1:14">
      <c r="A2286">
        <f t="shared" si="461"/>
        <v>0</v>
      </c>
      <c r="B2286">
        <f t="shared" si="462"/>
        <v>0</v>
      </c>
      <c r="C2286">
        <f t="shared" si="463"/>
        <v>0</v>
      </c>
      <c r="D2286">
        <f t="shared" si="464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5"/>
        <v>0</v>
      </c>
      <c r="G2286">
        <f t="shared" si="466"/>
        <v>0</v>
      </c>
      <c r="H2286">
        <f t="shared" si="467"/>
        <v>0</v>
      </c>
      <c r="I2286">
        <f t="shared" si="468"/>
        <v>0</v>
      </c>
      <c r="J2286">
        <f t="shared" si="469"/>
        <v>0</v>
      </c>
      <c r="K2286" s="4" t="e">
        <f t="shared" si="470"/>
        <v>#N/A</v>
      </c>
      <c r="L2286" t="e">
        <f t="shared" si="471"/>
        <v>#N/A</v>
      </c>
      <c r="M2286" s="4" t="e">
        <f t="shared" si="459"/>
        <v>#N/A</v>
      </c>
      <c r="N2286" s="4" t="e">
        <f t="shared" si="460"/>
        <v>#N/A</v>
      </c>
    </row>
    <row r="2287" spans="1:14">
      <c r="A2287">
        <f t="shared" si="461"/>
        <v>0</v>
      </c>
      <c r="B2287">
        <f t="shared" si="462"/>
        <v>0</v>
      </c>
      <c r="C2287">
        <f t="shared" si="463"/>
        <v>0</v>
      </c>
      <c r="D2287">
        <f t="shared" si="464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5"/>
        <v>0</v>
      </c>
      <c r="G2287">
        <f t="shared" si="466"/>
        <v>0</v>
      </c>
      <c r="H2287">
        <f t="shared" si="467"/>
        <v>0</v>
      </c>
      <c r="I2287">
        <f t="shared" si="468"/>
        <v>0</v>
      </c>
      <c r="J2287">
        <f t="shared" si="469"/>
        <v>0</v>
      </c>
      <c r="K2287" s="4" t="e">
        <f t="shared" si="470"/>
        <v>#N/A</v>
      </c>
      <c r="L2287" t="e">
        <f t="shared" si="471"/>
        <v>#N/A</v>
      </c>
      <c r="M2287" s="4" t="e">
        <f t="shared" si="459"/>
        <v>#N/A</v>
      </c>
      <c r="N2287" s="4" t="e">
        <f t="shared" si="460"/>
        <v>#N/A</v>
      </c>
    </row>
    <row r="2288" spans="1:14">
      <c r="A2288">
        <f t="shared" si="461"/>
        <v>0</v>
      </c>
      <c r="B2288">
        <f t="shared" si="462"/>
        <v>0</v>
      </c>
      <c r="C2288">
        <f t="shared" si="463"/>
        <v>0</v>
      </c>
      <c r="D2288">
        <f t="shared" si="464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5"/>
        <v>0</v>
      </c>
      <c r="G2288">
        <f t="shared" si="466"/>
        <v>0</v>
      </c>
      <c r="H2288">
        <f t="shared" si="467"/>
        <v>0</v>
      </c>
      <c r="I2288">
        <f t="shared" si="468"/>
        <v>0</v>
      </c>
      <c r="J2288">
        <f t="shared" si="469"/>
        <v>0</v>
      </c>
      <c r="K2288" s="4" t="e">
        <f t="shared" si="470"/>
        <v>#N/A</v>
      </c>
      <c r="L2288" t="e">
        <f t="shared" si="471"/>
        <v>#N/A</v>
      </c>
      <c r="M2288" s="4" t="e">
        <f t="shared" si="459"/>
        <v>#N/A</v>
      </c>
      <c r="N2288" s="4" t="e">
        <f t="shared" si="460"/>
        <v>#N/A</v>
      </c>
    </row>
    <row r="2289" spans="1:14">
      <c r="A2289">
        <f t="shared" si="461"/>
        <v>0</v>
      </c>
      <c r="B2289">
        <f t="shared" si="462"/>
        <v>0</v>
      </c>
      <c r="C2289">
        <f t="shared" si="463"/>
        <v>0</v>
      </c>
      <c r="D2289">
        <f t="shared" si="464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5"/>
        <v>0</v>
      </c>
      <c r="G2289">
        <f t="shared" si="466"/>
        <v>0</v>
      </c>
      <c r="H2289">
        <f t="shared" si="467"/>
        <v>0</v>
      </c>
      <c r="I2289">
        <f t="shared" si="468"/>
        <v>0</v>
      </c>
      <c r="J2289">
        <f t="shared" si="469"/>
        <v>0</v>
      </c>
      <c r="K2289" s="4" t="e">
        <f t="shared" si="470"/>
        <v>#N/A</v>
      </c>
      <c r="L2289" t="e">
        <f t="shared" si="471"/>
        <v>#N/A</v>
      </c>
      <c r="M2289" s="4" t="e">
        <f t="shared" ref="M2289:M2345" si="472">IF(E2289="Dynamic Click",J2289*K2289,K2289*$I2289/1000)</f>
        <v>#N/A</v>
      </c>
      <c r="N2289" s="4" t="e">
        <f t="shared" ref="N2289:N2345" si="473">IF(E2289="Dynamic Click",J2289*L2289,L2289*$I2289/1000)</f>
        <v>#N/A</v>
      </c>
    </row>
    <row r="2290" spans="1:14">
      <c r="A2290">
        <f t="shared" si="461"/>
        <v>0</v>
      </c>
      <c r="B2290">
        <f t="shared" si="462"/>
        <v>0</v>
      </c>
      <c r="C2290">
        <f t="shared" si="463"/>
        <v>0</v>
      </c>
      <c r="D2290">
        <f t="shared" si="464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5"/>
        <v>0</v>
      </c>
      <c r="G2290">
        <f t="shared" si="466"/>
        <v>0</v>
      </c>
      <c r="H2290">
        <f t="shared" si="467"/>
        <v>0</v>
      </c>
      <c r="I2290">
        <f t="shared" si="468"/>
        <v>0</v>
      </c>
      <c r="J2290">
        <f t="shared" si="469"/>
        <v>0</v>
      </c>
      <c r="K2290" s="4" t="e">
        <f t="shared" si="470"/>
        <v>#N/A</v>
      </c>
      <c r="L2290" t="e">
        <f t="shared" si="471"/>
        <v>#N/A</v>
      </c>
      <c r="M2290" s="4" t="e">
        <f t="shared" si="472"/>
        <v>#N/A</v>
      </c>
      <c r="N2290" s="4" t="e">
        <f t="shared" si="473"/>
        <v>#N/A</v>
      </c>
    </row>
    <row r="2291" spans="1:14">
      <c r="A2291">
        <f t="shared" si="461"/>
        <v>0</v>
      </c>
      <c r="B2291">
        <f t="shared" si="462"/>
        <v>0</v>
      </c>
      <c r="C2291">
        <f t="shared" si="463"/>
        <v>0</v>
      </c>
      <c r="D2291">
        <f t="shared" si="464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5"/>
        <v>0</v>
      </c>
      <c r="G2291">
        <f t="shared" si="466"/>
        <v>0</v>
      </c>
      <c r="H2291">
        <f t="shared" si="467"/>
        <v>0</v>
      </c>
      <c r="I2291">
        <f t="shared" si="468"/>
        <v>0</v>
      </c>
      <c r="J2291">
        <f t="shared" si="469"/>
        <v>0</v>
      </c>
      <c r="K2291" s="4" t="e">
        <f t="shared" si="470"/>
        <v>#N/A</v>
      </c>
      <c r="L2291" t="e">
        <f t="shared" si="471"/>
        <v>#N/A</v>
      </c>
      <c r="M2291" s="4" t="e">
        <f t="shared" si="472"/>
        <v>#N/A</v>
      </c>
      <c r="N2291" s="4" t="e">
        <f t="shared" si="473"/>
        <v>#N/A</v>
      </c>
    </row>
    <row r="2292" spans="1:14">
      <c r="A2292">
        <f t="shared" si="461"/>
        <v>0</v>
      </c>
      <c r="B2292">
        <f t="shared" si="462"/>
        <v>0</v>
      </c>
      <c r="C2292">
        <f t="shared" si="463"/>
        <v>0</v>
      </c>
      <c r="D2292">
        <f t="shared" si="464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5"/>
        <v>0</v>
      </c>
      <c r="G2292">
        <f t="shared" si="466"/>
        <v>0</v>
      </c>
      <c r="H2292">
        <f t="shared" si="467"/>
        <v>0</v>
      </c>
      <c r="I2292">
        <f t="shared" si="468"/>
        <v>0</v>
      </c>
      <c r="J2292">
        <f t="shared" si="469"/>
        <v>0</v>
      </c>
      <c r="K2292" s="4" t="e">
        <f t="shared" si="470"/>
        <v>#N/A</v>
      </c>
      <c r="L2292" t="e">
        <f t="shared" si="471"/>
        <v>#N/A</v>
      </c>
      <c r="M2292" s="4" t="e">
        <f t="shared" si="472"/>
        <v>#N/A</v>
      </c>
      <c r="N2292" s="4" t="e">
        <f t="shared" si="473"/>
        <v>#N/A</v>
      </c>
    </row>
    <row r="2293" spans="1:14">
      <c r="A2293">
        <f t="shared" si="461"/>
        <v>0</v>
      </c>
      <c r="B2293">
        <f t="shared" si="462"/>
        <v>0</v>
      </c>
      <c r="C2293">
        <f t="shared" si="463"/>
        <v>0</v>
      </c>
      <c r="D2293">
        <f t="shared" si="464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5"/>
        <v>0</v>
      </c>
      <c r="G2293">
        <f t="shared" si="466"/>
        <v>0</v>
      </c>
      <c r="H2293">
        <f t="shared" si="467"/>
        <v>0</v>
      </c>
      <c r="I2293">
        <f t="shared" si="468"/>
        <v>0</v>
      </c>
      <c r="J2293">
        <f t="shared" si="469"/>
        <v>0</v>
      </c>
      <c r="K2293" s="4" t="e">
        <f t="shared" si="470"/>
        <v>#N/A</v>
      </c>
      <c r="L2293" t="e">
        <f t="shared" si="471"/>
        <v>#N/A</v>
      </c>
      <c r="M2293" s="4" t="e">
        <f t="shared" si="472"/>
        <v>#N/A</v>
      </c>
      <c r="N2293" s="4" t="e">
        <f t="shared" si="473"/>
        <v>#N/A</v>
      </c>
    </row>
    <row r="2294" spans="1:14">
      <c r="A2294">
        <f t="shared" si="461"/>
        <v>0</v>
      </c>
      <c r="B2294">
        <f t="shared" si="462"/>
        <v>0</v>
      </c>
      <c r="C2294">
        <f t="shared" si="463"/>
        <v>0</v>
      </c>
      <c r="D2294">
        <f t="shared" si="464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5"/>
        <v>0</v>
      </c>
      <c r="G2294">
        <f t="shared" si="466"/>
        <v>0</v>
      </c>
      <c r="H2294">
        <f t="shared" si="467"/>
        <v>0</v>
      </c>
      <c r="I2294">
        <f t="shared" si="468"/>
        <v>0</v>
      </c>
      <c r="J2294">
        <f t="shared" si="469"/>
        <v>0</v>
      </c>
      <c r="K2294" s="4" t="e">
        <f t="shared" si="470"/>
        <v>#N/A</v>
      </c>
      <c r="L2294" t="e">
        <f t="shared" si="471"/>
        <v>#N/A</v>
      </c>
      <c r="M2294" s="4" t="e">
        <f t="shared" si="472"/>
        <v>#N/A</v>
      </c>
      <c r="N2294" s="4" t="e">
        <f t="shared" si="473"/>
        <v>#N/A</v>
      </c>
    </row>
    <row r="2295" spans="1:14">
      <c r="A2295">
        <f t="shared" si="461"/>
        <v>0</v>
      </c>
      <c r="B2295">
        <f t="shared" si="462"/>
        <v>0</v>
      </c>
      <c r="C2295">
        <f t="shared" si="463"/>
        <v>0</v>
      </c>
      <c r="D2295">
        <f t="shared" si="464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5"/>
        <v>0</v>
      </c>
      <c r="G2295">
        <f t="shared" si="466"/>
        <v>0</v>
      </c>
      <c r="H2295">
        <f t="shared" si="467"/>
        <v>0</v>
      </c>
      <c r="I2295">
        <f t="shared" si="468"/>
        <v>0</v>
      </c>
      <c r="J2295">
        <f t="shared" si="469"/>
        <v>0</v>
      </c>
      <c r="K2295" s="4" t="e">
        <f t="shared" si="470"/>
        <v>#N/A</v>
      </c>
      <c r="L2295" t="e">
        <f t="shared" si="471"/>
        <v>#N/A</v>
      </c>
      <c r="M2295" s="4" t="e">
        <f t="shared" si="472"/>
        <v>#N/A</v>
      </c>
      <c r="N2295" s="4" t="e">
        <f t="shared" si="473"/>
        <v>#N/A</v>
      </c>
    </row>
    <row r="2296" spans="1:14">
      <c r="A2296">
        <f t="shared" si="461"/>
        <v>0</v>
      </c>
      <c r="B2296">
        <f t="shared" si="462"/>
        <v>0</v>
      </c>
      <c r="C2296">
        <f t="shared" si="463"/>
        <v>0</v>
      </c>
      <c r="D2296">
        <f t="shared" si="464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5"/>
        <v>0</v>
      </c>
      <c r="G2296">
        <f t="shared" si="466"/>
        <v>0</v>
      </c>
      <c r="H2296">
        <f t="shared" si="467"/>
        <v>0</v>
      </c>
      <c r="I2296">
        <f t="shared" si="468"/>
        <v>0</v>
      </c>
      <c r="J2296">
        <f t="shared" si="469"/>
        <v>0</v>
      </c>
      <c r="K2296" s="4" t="e">
        <f t="shared" si="470"/>
        <v>#N/A</v>
      </c>
      <c r="L2296" t="e">
        <f t="shared" si="471"/>
        <v>#N/A</v>
      </c>
      <c r="M2296" s="4" t="e">
        <f t="shared" si="472"/>
        <v>#N/A</v>
      </c>
      <c r="N2296" s="4" t="e">
        <f t="shared" si="473"/>
        <v>#N/A</v>
      </c>
    </row>
    <row r="2297" spans="1:14">
      <c r="A2297">
        <f t="shared" si="461"/>
        <v>0</v>
      </c>
      <c r="B2297">
        <f t="shared" si="462"/>
        <v>0</v>
      </c>
      <c r="C2297">
        <f t="shared" si="463"/>
        <v>0</v>
      </c>
      <c r="D2297">
        <f t="shared" si="464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5"/>
        <v>0</v>
      </c>
      <c r="G2297">
        <f t="shared" si="466"/>
        <v>0</v>
      </c>
      <c r="H2297">
        <f t="shared" si="467"/>
        <v>0</v>
      </c>
      <c r="I2297">
        <f t="shared" si="468"/>
        <v>0</v>
      </c>
      <c r="J2297">
        <f t="shared" si="469"/>
        <v>0</v>
      </c>
      <c r="K2297" s="4" t="e">
        <f t="shared" si="470"/>
        <v>#N/A</v>
      </c>
      <c r="L2297" t="e">
        <f t="shared" si="471"/>
        <v>#N/A</v>
      </c>
      <c r="M2297" s="4" t="e">
        <f t="shared" si="472"/>
        <v>#N/A</v>
      </c>
      <c r="N2297" s="4" t="e">
        <f t="shared" si="473"/>
        <v>#N/A</v>
      </c>
    </row>
    <row r="2298" spans="1:14">
      <c r="A2298">
        <f t="shared" si="461"/>
        <v>0</v>
      </c>
      <c r="B2298">
        <f t="shared" si="462"/>
        <v>0</v>
      </c>
      <c r="C2298">
        <f t="shared" si="463"/>
        <v>0</v>
      </c>
      <c r="D2298">
        <f t="shared" si="464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5"/>
        <v>0</v>
      </c>
      <c r="G2298">
        <f t="shared" si="466"/>
        <v>0</v>
      </c>
      <c r="H2298">
        <f t="shared" si="467"/>
        <v>0</v>
      </c>
      <c r="I2298">
        <f t="shared" si="468"/>
        <v>0</v>
      </c>
      <c r="J2298">
        <f t="shared" si="469"/>
        <v>0</v>
      </c>
      <c r="K2298" s="4" t="e">
        <f t="shared" si="470"/>
        <v>#N/A</v>
      </c>
      <c r="L2298" t="e">
        <f t="shared" si="471"/>
        <v>#N/A</v>
      </c>
      <c r="M2298" s="4" t="e">
        <f t="shared" si="472"/>
        <v>#N/A</v>
      </c>
      <c r="N2298" s="4" t="e">
        <f t="shared" si="473"/>
        <v>#N/A</v>
      </c>
    </row>
    <row r="2299" spans="1:14">
      <c r="A2299">
        <f t="shared" si="461"/>
        <v>0</v>
      </c>
      <c r="B2299">
        <f t="shared" si="462"/>
        <v>0</v>
      </c>
      <c r="C2299">
        <f t="shared" si="463"/>
        <v>0</v>
      </c>
      <c r="D2299">
        <f t="shared" si="464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5"/>
        <v>0</v>
      </c>
      <c r="G2299">
        <f t="shared" si="466"/>
        <v>0</v>
      </c>
      <c r="H2299">
        <f t="shared" si="467"/>
        <v>0</v>
      </c>
      <c r="I2299">
        <f t="shared" si="468"/>
        <v>0</v>
      </c>
      <c r="J2299">
        <f t="shared" si="469"/>
        <v>0</v>
      </c>
      <c r="K2299" s="4" t="e">
        <f t="shared" si="470"/>
        <v>#N/A</v>
      </c>
      <c r="L2299" t="e">
        <f t="shared" si="471"/>
        <v>#N/A</v>
      </c>
      <c r="M2299" s="4" t="e">
        <f t="shared" si="472"/>
        <v>#N/A</v>
      </c>
      <c r="N2299" s="4" t="e">
        <f t="shared" si="473"/>
        <v>#N/A</v>
      </c>
    </row>
    <row r="2300" spans="1:14">
      <c r="A2300">
        <f t="shared" si="461"/>
        <v>0</v>
      </c>
      <c r="B2300">
        <f t="shared" si="462"/>
        <v>0</v>
      </c>
      <c r="C2300">
        <f t="shared" si="463"/>
        <v>0</v>
      </c>
      <c r="D2300">
        <f t="shared" si="464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5"/>
        <v>0</v>
      </c>
      <c r="G2300">
        <f t="shared" si="466"/>
        <v>0</v>
      </c>
      <c r="H2300">
        <f t="shared" si="467"/>
        <v>0</v>
      </c>
      <c r="I2300">
        <f t="shared" si="468"/>
        <v>0</v>
      </c>
      <c r="J2300">
        <f t="shared" si="469"/>
        <v>0</v>
      </c>
      <c r="K2300" s="4" t="e">
        <f t="shared" si="470"/>
        <v>#N/A</v>
      </c>
      <c r="L2300" t="e">
        <f t="shared" si="471"/>
        <v>#N/A</v>
      </c>
      <c r="M2300" s="4" t="e">
        <f t="shared" si="472"/>
        <v>#N/A</v>
      </c>
      <c r="N2300" s="4" t="e">
        <f t="shared" si="473"/>
        <v>#N/A</v>
      </c>
    </row>
    <row r="2301" spans="1:14">
      <c r="A2301">
        <f t="shared" si="461"/>
        <v>0</v>
      </c>
      <c r="B2301">
        <f t="shared" si="462"/>
        <v>0</v>
      </c>
      <c r="C2301">
        <f t="shared" si="463"/>
        <v>0</v>
      </c>
      <c r="D2301">
        <f t="shared" si="464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5"/>
        <v>0</v>
      </c>
      <c r="G2301">
        <f t="shared" si="466"/>
        <v>0</v>
      </c>
      <c r="H2301">
        <f t="shared" si="467"/>
        <v>0</v>
      </c>
      <c r="I2301">
        <f t="shared" si="468"/>
        <v>0</v>
      </c>
      <c r="J2301">
        <f t="shared" si="469"/>
        <v>0</v>
      </c>
      <c r="K2301" s="4" t="e">
        <f t="shared" si="470"/>
        <v>#N/A</v>
      </c>
      <c r="L2301" t="e">
        <f t="shared" si="471"/>
        <v>#N/A</v>
      </c>
      <c r="M2301" s="4" t="e">
        <f t="shared" si="472"/>
        <v>#N/A</v>
      </c>
      <c r="N2301" s="4" t="e">
        <f t="shared" si="473"/>
        <v>#N/A</v>
      </c>
    </row>
    <row r="2302" spans="1:14">
      <c r="A2302">
        <f t="shared" si="461"/>
        <v>0</v>
      </c>
      <c r="B2302">
        <f t="shared" si="462"/>
        <v>0</v>
      </c>
      <c r="C2302">
        <f t="shared" si="463"/>
        <v>0</v>
      </c>
      <c r="D2302">
        <f t="shared" si="464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5"/>
        <v>0</v>
      </c>
      <c r="G2302">
        <f t="shared" si="466"/>
        <v>0</v>
      </c>
      <c r="H2302">
        <f t="shared" si="467"/>
        <v>0</v>
      </c>
      <c r="I2302">
        <f t="shared" si="468"/>
        <v>0</v>
      </c>
      <c r="J2302">
        <f t="shared" si="469"/>
        <v>0</v>
      </c>
      <c r="K2302" s="4" t="e">
        <f t="shared" si="470"/>
        <v>#N/A</v>
      </c>
      <c r="L2302" t="e">
        <f t="shared" si="471"/>
        <v>#N/A</v>
      </c>
      <c r="M2302" s="4" t="e">
        <f t="shared" si="472"/>
        <v>#N/A</v>
      </c>
      <c r="N2302" s="4" t="e">
        <f t="shared" si="473"/>
        <v>#N/A</v>
      </c>
    </row>
    <row r="2303" spans="1:14">
      <c r="A2303">
        <f t="shared" si="461"/>
        <v>0</v>
      </c>
      <c r="B2303">
        <f t="shared" si="462"/>
        <v>0</v>
      </c>
      <c r="C2303">
        <f t="shared" si="463"/>
        <v>0</v>
      </c>
      <c r="D2303">
        <f t="shared" si="464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5"/>
        <v>0</v>
      </c>
      <c r="G2303">
        <f t="shared" si="466"/>
        <v>0</v>
      </c>
      <c r="H2303">
        <f t="shared" si="467"/>
        <v>0</v>
      </c>
      <c r="I2303">
        <f t="shared" si="468"/>
        <v>0</v>
      </c>
      <c r="J2303">
        <f t="shared" si="469"/>
        <v>0</v>
      </c>
      <c r="K2303" s="4" t="e">
        <f t="shared" si="470"/>
        <v>#N/A</v>
      </c>
      <c r="L2303" t="e">
        <f t="shared" si="471"/>
        <v>#N/A</v>
      </c>
      <c r="M2303" s="4" t="e">
        <f t="shared" si="472"/>
        <v>#N/A</v>
      </c>
      <c r="N2303" s="4" t="e">
        <f t="shared" si="473"/>
        <v>#N/A</v>
      </c>
    </row>
    <row r="2304" spans="1:14">
      <c r="A2304">
        <f t="shared" si="461"/>
        <v>0</v>
      </c>
      <c r="B2304">
        <f t="shared" si="462"/>
        <v>0</v>
      </c>
      <c r="C2304">
        <f t="shared" si="463"/>
        <v>0</v>
      </c>
      <c r="D2304">
        <f t="shared" si="464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5"/>
        <v>0</v>
      </c>
      <c r="G2304">
        <f t="shared" si="466"/>
        <v>0</v>
      </c>
      <c r="H2304">
        <f t="shared" si="467"/>
        <v>0</v>
      </c>
      <c r="I2304">
        <f t="shared" si="468"/>
        <v>0</v>
      </c>
      <c r="J2304">
        <f t="shared" si="469"/>
        <v>0</v>
      </c>
      <c r="K2304" s="4" t="e">
        <f t="shared" si="470"/>
        <v>#N/A</v>
      </c>
      <c r="L2304" t="e">
        <f t="shared" si="471"/>
        <v>#N/A</v>
      </c>
      <c r="M2304" s="4" t="e">
        <f t="shared" si="472"/>
        <v>#N/A</v>
      </c>
      <c r="N2304" s="4" t="e">
        <f t="shared" si="473"/>
        <v>#N/A</v>
      </c>
    </row>
    <row r="2305" spans="1:14">
      <c r="A2305">
        <f t="shared" si="461"/>
        <v>0</v>
      </c>
      <c r="B2305">
        <f t="shared" si="462"/>
        <v>0</v>
      </c>
      <c r="C2305">
        <f t="shared" si="463"/>
        <v>0</v>
      </c>
      <c r="D2305">
        <f t="shared" si="464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5"/>
        <v>0</v>
      </c>
      <c r="G2305">
        <f t="shared" si="466"/>
        <v>0</v>
      </c>
      <c r="H2305">
        <f t="shared" si="467"/>
        <v>0</v>
      </c>
      <c r="I2305">
        <f t="shared" si="468"/>
        <v>0</v>
      </c>
      <c r="J2305">
        <f t="shared" si="469"/>
        <v>0</v>
      </c>
      <c r="K2305" s="4" t="e">
        <f t="shared" si="470"/>
        <v>#N/A</v>
      </c>
      <c r="L2305" t="e">
        <f t="shared" si="471"/>
        <v>#N/A</v>
      </c>
      <c r="M2305" s="4" t="e">
        <f t="shared" si="472"/>
        <v>#N/A</v>
      </c>
      <c r="N2305" s="4" t="e">
        <f t="shared" si="473"/>
        <v>#N/A</v>
      </c>
    </row>
    <row r="2306" spans="1:14">
      <c r="A2306">
        <f t="shared" ref="A2306:A2369" si="474">bd_campaign</f>
        <v>0</v>
      </c>
      <c r="B2306">
        <f t="shared" ref="B2306:B2369" si="475">bd_site</f>
        <v>0</v>
      </c>
      <c r="C2306">
        <f t="shared" ref="C2306:C2369" si="476">bd_placement</f>
        <v>0</v>
      </c>
      <c r="D2306">
        <f t="shared" ref="D2306:D2369" si="477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8">bd_ad</f>
        <v>0</v>
      </c>
      <c r="G2306">
        <f t="shared" ref="G2306:G2369" si="479">bd_adid</f>
        <v>0</v>
      </c>
      <c r="H2306">
        <f t="shared" ref="H2306:H2369" si="480">bd_creativetype</f>
        <v>0</v>
      </c>
      <c r="I2306">
        <f t="shared" ref="I2306:I2369" si="481">bd_impression</f>
        <v>0</v>
      </c>
      <c r="J2306">
        <f t="shared" ref="J2306:J2369" si="482">bd_clicks</f>
        <v>0</v>
      </c>
      <c r="K2306" s="4" t="e">
        <f t="shared" si="470"/>
        <v>#N/A</v>
      </c>
      <c r="L2306" t="e">
        <f t="shared" si="471"/>
        <v>#N/A</v>
      </c>
      <c r="M2306" s="4" t="e">
        <f t="shared" si="472"/>
        <v>#N/A</v>
      </c>
      <c r="N2306" s="4" t="e">
        <f t="shared" si="473"/>
        <v>#N/A</v>
      </c>
    </row>
    <row r="2307" spans="1:14">
      <c r="A2307">
        <f t="shared" si="474"/>
        <v>0</v>
      </c>
      <c r="B2307">
        <f t="shared" si="475"/>
        <v>0</v>
      </c>
      <c r="C2307">
        <f t="shared" si="476"/>
        <v>0</v>
      </c>
      <c r="D2307">
        <f t="shared" si="477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8"/>
        <v>0</v>
      </c>
      <c r="G2307">
        <f t="shared" si="479"/>
        <v>0</v>
      </c>
      <c r="H2307">
        <f t="shared" si="480"/>
        <v>0</v>
      </c>
      <c r="I2307">
        <f t="shared" si="481"/>
        <v>0</v>
      </c>
      <c r="J2307">
        <f t="shared" si="482"/>
        <v>0</v>
      </c>
      <c r="K2307" s="4" t="e">
        <f t="shared" si="470"/>
        <v>#N/A</v>
      </c>
      <c r="L2307" t="e">
        <f t="shared" si="471"/>
        <v>#N/A</v>
      </c>
      <c r="M2307" s="4" t="e">
        <f t="shared" si="472"/>
        <v>#N/A</v>
      </c>
      <c r="N2307" s="4" t="e">
        <f t="shared" si="473"/>
        <v>#N/A</v>
      </c>
    </row>
    <row r="2308" spans="1:14">
      <c r="A2308">
        <f t="shared" si="474"/>
        <v>0</v>
      </c>
      <c r="B2308">
        <f t="shared" si="475"/>
        <v>0</v>
      </c>
      <c r="C2308">
        <f t="shared" si="476"/>
        <v>0</v>
      </c>
      <c r="D2308">
        <f t="shared" si="477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8"/>
        <v>0</v>
      </c>
      <c r="G2308">
        <f t="shared" si="479"/>
        <v>0</v>
      </c>
      <c r="H2308">
        <f t="shared" si="480"/>
        <v>0</v>
      </c>
      <c r="I2308">
        <f t="shared" si="481"/>
        <v>0</v>
      </c>
      <c r="J2308">
        <f t="shared" si="482"/>
        <v>0</v>
      </c>
      <c r="K2308" s="4" t="e">
        <f t="shared" si="470"/>
        <v>#N/A</v>
      </c>
      <c r="L2308" t="e">
        <f t="shared" si="471"/>
        <v>#N/A</v>
      </c>
      <c r="M2308" s="4" t="e">
        <f t="shared" si="472"/>
        <v>#N/A</v>
      </c>
      <c r="N2308" s="4" t="e">
        <f t="shared" si="473"/>
        <v>#N/A</v>
      </c>
    </row>
    <row r="2309" spans="1:14">
      <c r="A2309">
        <f t="shared" si="474"/>
        <v>0</v>
      </c>
      <c r="B2309">
        <f t="shared" si="475"/>
        <v>0</v>
      </c>
      <c r="C2309">
        <f t="shared" si="476"/>
        <v>0</v>
      </c>
      <c r="D2309">
        <f t="shared" si="477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8"/>
        <v>0</v>
      </c>
      <c r="G2309">
        <f t="shared" si="479"/>
        <v>0</v>
      </c>
      <c r="H2309">
        <f t="shared" si="480"/>
        <v>0</v>
      </c>
      <c r="I2309">
        <f t="shared" si="481"/>
        <v>0</v>
      </c>
      <c r="J2309">
        <f t="shared" si="482"/>
        <v>0</v>
      </c>
      <c r="K2309" s="4" t="e">
        <f t="shared" si="470"/>
        <v>#N/A</v>
      </c>
      <c r="L2309" t="e">
        <f t="shared" si="471"/>
        <v>#N/A</v>
      </c>
      <c r="M2309" s="4" t="e">
        <f t="shared" si="472"/>
        <v>#N/A</v>
      </c>
      <c r="N2309" s="4" t="e">
        <f t="shared" si="473"/>
        <v>#N/A</v>
      </c>
    </row>
    <row r="2310" spans="1:14">
      <c r="A2310">
        <f t="shared" si="474"/>
        <v>0</v>
      </c>
      <c r="B2310">
        <f t="shared" si="475"/>
        <v>0</v>
      </c>
      <c r="C2310">
        <f t="shared" si="476"/>
        <v>0</v>
      </c>
      <c r="D2310">
        <f t="shared" si="477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8"/>
        <v>0</v>
      </c>
      <c r="G2310">
        <f t="shared" si="479"/>
        <v>0</v>
      </c>
      <c r="H2310">
        <f t="shared" si="480"/>
        <v>0</v>
      </c>
      <c r="I2310">
        <f t="shared" si="481"/>
        <v>0</v>
      </c>
      <c r="J2310">
        <f t="shared" si="482"/>
        <v>0</v>
      </c>
      <c r="K2310" s="4" t="e">
        <f t="shared" si="470"/>
        <v>#N/A</v>
      </c>
      <c r="L2310" t="e">
        <f t="shared" si="471"/>
        <v>#N/A</v>
      </c>
      <c r="M2310" s="4" t="e">
        <f t="shared" si="472"/>
        <v>#N/A</v>
      </c>
      <c r="N2310" s="4" t="e">
        <f t="shared" si="473"/>
        <v>#N/A</v>
      </c>
    </row>
    <row r="2311" spans="1:14">
      <c r="A2311">
        <f t="shared" si="474"/>
        <v>0</v>
      </c>
      <c r="B2311">
        <f t="shared" si="475"/>
        <v>0</v>
      </c>
      <c r="C2311">
        <f t="shared" si="476"/>
        <v>0</v>
      </c>
      <c r="D2311">
        <f t="shared" si="477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8"/>
        <v>0</v>
      </c>
      <c r="G2311">
        <f t="shared" si="479"/>
        <v>0</v>
      </c>
      <c r="H2311">
        <f t="shared" si="480"/>
        <v>0</v>
      </c>
      <c r="I2311">
        <f t="shared" si="481"/>
        <v>0</v>
      </c>
      <c r="J2311">
        <f t="shared" si="482"/>
        <v>0</v>
      </c>
      <c r="K2311" s="4" t="e">
        <f t="shared" si="470"/>
        <v>#N/A</v>
      </c>
      <c r="L2311" t="e">
        <f t="shared" si="471"/>
        <v>#N/A</v>
      </c>
      <c r="M2311" s="4" t="e">
        <f t="shared" si="472"/>
        <v>#N/A</v>
      </c>
      <c r="N2311" s="4" t="e">
        <f t="shared" si="473"/>
        <v>#N/A</v>
      </c>
    </row>
    <row r="2312" spans="1:14">
      <c r="A2312">
        <f t="shared" si="474"/>
        <v>0</v>
      </c>
      <c r="B2312">
        <f t="shared" si="475"/>
        <v>0</v>
      </c>
      <c r="C2312">
        <f t="shared" si="476"/>
        <v>0</v>
      </c>
      <c r="D2312">
        <f t="shared" si="477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8"/>
        <v>0</v>
      </c>
      <c r="G2312">
        <f t="shared" si="479"/>
        <v>0</v>
      </c>
      <c r="H2312">
        <f t="shared" si="480"/>
        <v>0</v>
      </c>
      <c r="I2312">
        <f t="shared" si="481"/>
        <v>0</v>
      </c>
      <c r="J2312">
        <f t="shared" si="482"/>
        <v>0</v>
      </c>
      <c r="K2312" s="4" t="e">
        <f t="shared" si="470"/>
        <v>#N/A</v>
      </c>
      <c r="L2312" t="e">
        <f t="shared" si="471"/>
        <v>#N/A</v>
      </c>
      <c r="M2312" s="4" t="e">
        <f t="shared" si="472"/>
        <v>#N/A</v>
      </c>
      <c r="N2312" s="4" t="e">
        <f t="shared" si="473"/>
        <v>#N/A</v>
      </c>
    </row>
    <row r="2313" spans="1:14">
      <c r="A2313">
        <f t="shared" si="474"/>
        <v>0</v>
      </c>
      <c r="B2313">
        <f t="shared" si="475"/>
        <v>0</v>
      </c>
      <c r="C2313">
        <f t="shared" si="476"/>
        <v>0</v>
      </c>
      <c r="D2313">
        <f t="shared" si="477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8"/>
        <v>0</v>
      </c>
      <c r="G2313">
        <f t="shared" si="479"/>
        <v>0</v>
      </c>
      <c r="H2313">
        <f t="shared" si="480"/>
        <v>0</v>
      </c>
      <c r="I2313">
        <f t="shared" si="481"/>
        <v>0</v>
      </c>
      <c r="J2313">
        <f t="shared" si="482"/>
        <v>0</v>
      </c>
      <c r="K2313" s="4" t="e">
        <f t="shared" si="470"/>
        <v>#N/A</v>
      </c>
      <c r="L2313" t="e">
        <f t="shared" si="471"/>
        <v>#N/A</v>
      </c>
      <c r="M2313" s="4" t="e">
        <f t="shared" si="472"/>
        <v>#N/A</v>
      </c>
      <c r="N2313" s="4" t="e">
        <f t="shared" si="473"/>
        <v>#N/A</v>
      </c>
    </row>
    <row r="2314" spans="1:14">
      <c r="A2314">
        <f t="shared" si="474"/>
        <v>0</v>
      </c>
      <c r="B2314">
        <f t="shared" si="475"/>
        <v>0</v>
      </c>
      <c r="C2314">
        <f t="shared" si="476"/>
        <v>0</v>
      </c>
      <c r="D2314">
        <f t="shared" si="477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8"/>
        <v>0</v>
      </c>
      <c r="G2314">
        <f t="shared" si="479"/>
        <v>0</v>
      </c>
      <c r="H2314">
        <f t="shared" si="480"/>
        <v>0</v>
      </c>
      <c r="I2314">
        <f t="shared" si="481"/>
        <v>0</v>
      </c>
      <c r="J2314">
        <f t="shared" si="482"/>
        <v>0</v>
      </c>
      <c r="K2314" s="4" t="e">
        <f t="shared" si="470"/>
        <v>#N/A</v>
      </c>
      <c r="L2314" t="e">
        <f t="shared" si="471"/>
        <v>#N/A</v>
      </c>
      <c r="M2314" s="4" t="e">
        <f t="shared" si="472"/>
        <v>#N/A</v>
      </c>
      <c r="N2314" s="4" t="e">
        <f t="shared" si="473"/>
        <v>#N/A</v>
      </c>
    </row>
    <row r="2315" spans="1:14">
      <c r="A2315">
        <f t="shared" si="474"/>
        <v>0</v>
      </c>
      <c r="B2315">
        <f t="shared" si="475"/>
        <v>0</v>
      </c>
      <c r="C2315">
        <f t="shared" si="476"/>
        <v>0</v>
      </c>
      <c r="D2315">
        <f t="shared" si="477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8"/>
        <v>0</v>
      </c>
      <c r="G2315">
        <f t="shared" si="479"/>
        <v>0</v>
      </c>
      <c r="H2315">
        <f t="shared" si="480"/>
        <v>0</v>
      </c>
      <c r="I2315">
        <f t="shared" si="481"/>
        <v>0</v>
      </c>
      <c r="J2315">
        <f t="shared" si="482"/>
        <v>0</v>
      </c>
      <c r="K2315" s="4" t="e">
        <f t="shared" si="470"/>
        <v>#N/A</v>
      </c>
      <c r="L2315" t="e">
        <f t="shared" si="471"/>
        <v>#N/A</v>
      </c>
      <c r="M2315" s="4" t="e">
        <f t="shared" si="472"/>
        <v>#N/A</v>
      </c>
      <c r="N2315" s="4" t="e">
        <f t="shared" si="473"/>
        <v>#N/A</v>
      </c>
    </row>
    <row r="2316" spans="1:14">
      <c r="A2316">
        <f t="shared" si="474"/>
        <v>0</v>
      </c>
      <c r="B2316">
        <f t="shared" si="475"/>
        <v>0</v>
      </c>
      <c r="C2316">
        <f t="shared" si="476"/>
        <v>0</v>
      </c>
      <c r="D2316">
        <f t="shared" si="477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8"/>
        <v>0</v>
      </c>
      <c r="G2316">
        <f t="shared" si="479"/>
        <v>0</v>
      </c>
      <c r="H2316">
        <f t="shared" si="480"/>
        <v>0</v>
      </c>
      <c r="I2316">
        <f t="shared" si="481"/>
        <v>0</v>
      </c>
      <c r="J2316">
        <f t="shared" si="482"/>
        <v>0</v>
      </c>
      <c r="K2316" s="4" t="e">
        <f t="shared" si="470"/>
        <v>#N/A</v>
      </c>
      <c r="L2316" t="e">
        <f t="shared" si="471"/>
        <v>#N/A</v>
      </c>
      <c r="M2316" s="4" t="e">
        <f t="shared" si="472"/>
        <v>#N/A</v>
      </c>
      <c r="N2316" s="4" t="e">
        <f t="shared" si="473"/>
        <v>#N/A</v>
      </c>
    </row>
    <row r="2317" spans="1:14">
      <c r="A2317">
        <f t="shared" si="474"/>
        <v>0</v>
      </c>
      <c r="B2317">
        <f t="shared" si="475"/>
        <v>0</v>
      </c>
      <c r="C2317">
        <f t="shared" si="476"/>
        <v>0</v>
      </c>
      <c r="D2317">
        <f t="shared" si="477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8"/>
        <v>0</v>
      </c>
      <c r="G2317">
        <f t="shared" si="479"/>
        <v>0</v>
      </c>
      <c r="H2317">
        <f t="shared" si="480"/>
        <v>0</v>
      </c>
      <c r="I2317">
        <f t="shared" si="481"/>
        <v>0</v>
      </c>
      <c r="J2317">
        <f t="shared" si="482"/>
        <v>0</v>
      </c>
      <c r="K2317" s="4" t="e">
        <f t="shared" si="470"/>
        <v>#N/A</v>
      </c>
      <c r="L2317" t="e">
        <f t="shared" si="471"/>
        <v>#N/A</v>
      </c>
      <c r="M2317" s="4" t="e">
        <f t="shared" si="472"/>
        <v>#N/A</v>
      </c>
      <c r="N2317" s="4" t="e">
        <f t="shared" si="473"/>
        <v>#N/A</v>
      </c>
    </row>
    <row r="2318" spans="1:14">
      <c r="A2318">
        <f t="shared" si="474"/>
        <v>0</v>
      </c>
      <c r="B2318">
        <f t="shared" si="475"/>
        <v>0</v>
      </c>
      <c r="C2318">
        <f t="shared" si="476"/>
        <v>0</v>
      </c>
      <c r="D2318">
        <f t="shared" si="477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8"/>
        <v>0</v>
      </c>
      <c r="G2318">
        <f t="shared" si="479"/>
        <v>0</v>
      </c>
      <c r="H2318">
        <f t="shared" si="480"/>
        <v>0</v>
      </c>
      <c r="I2318">
        <f t="shared" si="481"/>
        <v>0</v>
      </c>
      <c r="J2318">
        <f t="shared" si="482"/>
        <v>0</v>
      </c>
      <c r="K2318" s="4" t="e">
        <f t="shared" si="470"/>
        <v>#N/A</v>
      </c>
      <c r="L2318" t="e">
        <f t="shared" si="471"/>
        <v>#N/A</v>
      </c>
      <c r="M2318" s="4" t="e">
        <f t="shared" si="472"/>
        <v>#N/A</v>
      </c>
      <c r="N2318" s="4" t="e">
        <f t="shared" si="473"/>
        <v>#N/A</v>
      </c>
    </row>
    <row r="2319" spans="1:14">
      <c r="A2319">
        <f t="shared" si="474"/>
        <v>0</v>
      </c>
      <c r="B2319">
        <f t="shared" si="475"/>
        <v>0</v>
      </c>
      <c r="C2319">
        <f t="shared" si="476"/>
        <v>0</v>
      </c>
      <c r="D2319">
        <f t="shared" si="477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8"/>
        <v>0</v>
      </c>
      <c r="G2319">
        <f t="shared" si="479"/>
        <v>0</v>
      </c>
      <c r="H2319">
        <f t="shared" si="480"/>
        <v>0</v>
      </c>
      <c r="I2319">
        <f t="shared" si="481"/>
        <v>0</v>
      </c>
      <c r="J2319">
        <f t="shared" si="482"/>
        <v>0</v>
      </c>
      <c r="K2319" s="4" t="e">
        <f t="shared" si="470"/>
        <v>#N/A</v>
      </c>
      <c r="L2319" t="e">
        <f t="shared" si="471"/>
        <v>#N/A</v>
      </c>
      <c r="M2319" s="4" t="e">
        <f t="shared" si="472"/>
        <v>#N/A</v>
      </c>
      <c r="N2319" s="4" t="e">
        <f t="shared" si="473"/>
        <v>#N/A</v>
      </c>
    </row>
    <row r="2320" spans="1:14">
      <c r="A2320">
        <f t="shared" si="474"/>
        <v>0</v>
      </c>
      <c r="B2320">
        <f t="shared" si="475"/>
        <v>0</v>
      </c>
      <c r="C2320">
        <f t="shared" si="476"/>
        <v>0</v>
      </c>
      <c r="D2320">
        <f t="shared" si="477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8"/>
        <v>0</v>
      </c>
      <c r="G2320">
        <f t="shared" si="479"/>
        <v>0</v>
      </c>
      <c r="H2320">
        <f t="shared" si="480"/>
        <v>0</v>
      </c>
      <c r="I2320">
        <f t="shared" si="481"/>
        <v>0</v>
      </c>
      <c r="J2320">
        <f t="shared" si="482"/>
        <v>0</v>
      </c>
      <c r="K2320" s="4" t="e">
        <f t="shared" si="470"/>
        <v>#N/A</v>
      </c>
      <c r="L2320" t="e">
        <f t="shared" si="471"/>
        <v>#N/A</v>
      </c>
      <c r="M2320" s="4" t="e">
        <f t="shared" si="472"/>
        <v>#N/A</v>
      </c>
      <c r="N2320" s="4" t="e">
        <f t="shared" si="473"/>
        <v>#N/A</v>
      </c>
    </row>
    <row r="2321" spans="1:14">
      <c r="A2321">
        <f t="shared" si="474"/>
        <v>0</v>
      </c>
      <c r="B2321">
        <f t="shared" si="475"/>
        <v>0</v>
      </c>
      <c r="C2321">
        <f t="shared" si="476"/>
        <v>0</v>
      </c>
      <c r="D2321">
        <f t="shared" si="477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8"/>
        <v>0</v>
      </c>
      <c r="G2321">
        <f t="shared" si="479"/>
        <v>0</v>
      </c>
      <c r="H2321">
        <f t="shared" si="480"/>
        <v>0</v>
      </c>
      <c r="I2321">
        <f t="shared" si="481"/>
        <v>0</v>
      </c>
      <c r="J2321">
        <f t="shared" si="482"/>
        <v>0</v>
      </c>
      <c r="K2321" s="4" t="e">
        <f t="shared" si="470"/>
        <v>#N/A</v>
      </c>
      <c r="L2321" t="e">
        <f t="shared" si="471"/>
        <v>#N/A</v>
      </c>
      <c r="M2321" s="4" t="e">
        <f t="shared" si="472"/>
        <v>#N/A</v>
      </c>
      <c r="N2321" s="4" t="e">
        <f t="shared" si="473"/>
        <v>#N/A</v>
      </c>
    </row>
    <row r="2322" spans="1:14">
      <c r="A2322">
        <f t="shared" si="474"/>
        <v>0</v>
      </c>
      <c r="B2322">
        <f t="shared" si="475"/>
        <v>0</v>
      </c>
      <c r="C2322">
        <f t="shared" si="476"/>
        <v>0</v>
      </c>
      <c r="D2322">
        <f t="shared" si="477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8"/>
        <v>0</v>
      </c>
      <c r="G2322">
        <f t="shared" si="479"/>
        <v>0</v>
      </c>
      <c r="H2322">
        <f t="shared" si="480"/>
        <v>0</v>
      </c>
      <c r="I2322">
        <f t="shared" si="481"/>
        <v>0</v>
      </c>
      <c r="J2322">
        <f t="shared" si="482"/>
        <v>0</v>
      </c>
      <c r="K2322" s="4" t="e">
        <f t="shared" si="470"/>
        <v>#N/A</v>
      </c>
      <c r="L2322" t="e">
        <f t="shared" si="471"/>
        <v>#N/A</v>
      </c>
      <c r="M2322" s="4" t="e">
        <f t="shared" si="472"/>
        <v>#N/A</v>
      </c>
      <c r="N2322" s="4" t="e">
        <f t="shared" si="473"/>
        <v>#N/A</v>
      </c>
    </row>
    <row r="2323" spans="1:14">
      <c r="A2323">
        <f t="shared" si="474"/>
        <v>0</v>
      </c>
      <c r="B2323">
        <f t="shared" si="475"/>
        <v>0</v>
      </c>
      <c r="C2323">
        <f t="shared" si="476"/>
        <v>0</v>
      </c>
      <c r="D2323">
        <f t="shared" si="477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8"/>
        <v>0</v>
      </c>
      <c r="G2323">
        <f t="shared" si="479"/>
        <v>0</v>
      </c>
      <c r="H2323">
        <f t="shared" si="480"/>
        <v>0</v>
      </c>
      <c r="I2323">
        <f t="shared" si="481"/>
        <v>0</v>
      </c>
      <c r="J2323">
        <f t="shared" si="482"/>
        <v>0</v>
      </c>
      <c r="K2323" s="4" t="e">
        <f t="shared" si="470"/>
        <v>#N/A</v>
      </c>
      <c r="L2323" t="e">
        <f t="shared" si="471"/>
        <v>#N/A</v>
      </c>
      <c r="M2323" s="4" t="e">
        <f t="shared" si="472"/>
        <v>#N/A</v>
      </c>
      <c r="N2323" s="4" t="e">
        <f t="shared" si="473"/>
        <v>#N/A</v>
      </c>
    </row>
    <row r="2324" spans="1:14">
      <c r="A2324">
        <f t="shared" si="474"/>
        <v>0</v>
      </c>
      <c r="B2324">
        <f t="shared" si="475"/>
        <v>0</v>
      </c>
      <c r="C2324">
        <f t="shared" si="476"/>
        <v>0</v>
      </c>
      <c r="D2324">
        <f t="shared" si="477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8"/>
        <v>0</v>
      </c>
      <c r="G2324">
        <f t="shared" si="479"/>
        <v>0</v>
      </c>
      <c r="H2324">
        <f t="shared" si="480"/>
        <v>0</v>
      </c>
      <c r="I2324">
        <f t="shared" si="481"/>
        <v>0</v>
      </c>
      <c r="J2324">
        <f t="shared" si="482"/>
        <v>0</v>
      </c>
      <c r="K2324" s="4" t="e">
        <f t="shared" si="470"/>
        <v>#N/A</v>
      </c>
      <c r="L2324" t="e">
        <f t="shared" si="471"/>
        <v>#N/A</v>
      </c>
      <c r="M2324" s="4" t="e">
        <f t="shared" si="472"/>
        <v>#N/A</v>
      </c>
      <c r="N2324" s="4" t="e">
        <f t="shared" si="473"/>
        <v>#N/A</v>
      </c>
    </row>
    <row r="2325" spans="1:14">
      <c r="A2325">
        <f t="shared" si="474"/>
        <v>0</v>
      </c>
      <c r="B2325">
        <f t="shared" si="475"/>
        <v>0</v>
      </c>
      <c r="C2325">
        <f t="shared" si="476"/>
        <v>0</v>
      </c>
      <c r="D2325">
        <f t="shared" si="477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8"/>
        <v>0</v>
      </c>
      <c r="G2325">
        <f t="shared" si="479"/>
        <v>0</v>
      </c>
      <c r="H2325">
        <f t="shared" si="480"/>
        <v>0</v>
      </c>
      <c r="I2325">
        <f t="shared" si="481"/>
        <v>0</v>
      </c>
      <c r="J2325">
        <f t="shared" si="482"/>
        <v>0</v>
      </c>
      <c r="K2325" s="4" t="e">
        <f t="shared" si="470"/>
        <v>#N/A</v>
      </c>
      <c r="L2325" t="e">
        <f t="shared" si="471"/>
        <v>#N/A</v>
      </c>
      <c r="M2325" s="4" t="e">
        <f t="shared" si="472"/>
        <v>#N/A</v>
      </c>
      <c r="N2325" s="4" t="e">
        <f t="shared" si="473"/>
        <v>#N/A</v>
      </c>
    </row>
    <row r="2326" spans="1:14">
      <c r="A2326">
        <f t="shared" si="474"/>
        <v>0</v>
      </c>
      <c r="B2326">
        <f t="shared" si="475"/>
        <v>0</v>
      </c>
      <c r="C2326">
        <f t="shared" si="476"/>
        <v>0</v>
      </c>
      <c r="D2326">
        <f t="shared" si="477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8"/>
        <v>0</v>
      </c>
      <c r="G2326">
        <f t="shared" si="479"/>
        <v>0</v>
      </c>
      <c r="H2326">
        <f t="shared" si="480"/>
        <v>0</v>
      </c>
      <c r="I2326">
        <f t="shared" si="481"/>
        <v>0</v>
      </c>
      <c r="J2326">
        <f t="shared" si="482"/>
        <v>0</v>
      </c>
      <c r="K2326" s="4" t="e">
        <f t="shared" si="470"/>
        <v>#N/A</v>
      </c>
      <c r="L2326" t="e">
        <f t="shared" si="471"/>
        <v>#N/A</v>
      </c>
      <c r="M2326" s="4" t="e">
        <f t="shared" si="472"/>
        <v>#N/A</v>
      </c>
      <c r="N2326" s="4" t="e">
        <f t="shared" si="473"/>
        <v>#N/A</v>
      </c>
    </row>
    <row r="2327" spans="1:14">
      <c r="A2327">
        <f t="shared" si="474"/>
        <v>0</v>
      </c>
      <c r="B2327">
        <f t="shared" si="475"/>
        <v>0</v>
      </c>
      <c r="C2327">
        <f t="shared" si="476"/>
        <v>0</v>
      </c>
      <c r="D2327">
        <f t="shared" si="477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8"/>
        <v>0</v>
      </c>
      <c r="G2327">
        <f t="shared" si="479"/>
        <v>0</v>
      </c>
      <c r="H2327">
        <f t="shared" si="480"/>
        <v>0</v>
      </c>
      <c r="I2327">
        <f t="shared" si="481"/>
        <v>0</v>
      </c>
      <c r="J2327">
        <f t="shared" si="482"/>
        <v>0</v>
      </c>
      <c r="K2327" s="4" t="e">
        <f t="shared" si="470"/>
        <v>#N/A</v>
      </c>
      <c r="L2327" t="e">
        <f t="shared" si="471"/>
        <v>#N/A</v>
      </c>
      <c r="M2327" s="4" t="e">
        <f t="shared" si="472"/>
        <v>#N/A</v>
      </c>
      <c r="N2327" s="4" t="e">
        <f t="shared" si="473"/>
        <v>#N/A</v>
      </c>
    </row>
    <row r="2328" spans="1:14">
      <c r="A2328">
        <f t="shared" si="474"/>
        <v>0</v>
      </c>
      <c r="B2328">
        <f t="shared" si="475"/>
        <v>0</v>
      </c>
      <c r="C2328">
        <f t="shared" si="476"/>
        <v>0</v>
      </c>
      <c r="D2328">
        <f t="shared" si="477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8"/>
        <v>0</v>
      </c>
      <c r="G2328">
        <f t="shared" si="479"/>
        <v>0</v>
      </c>
      <c r="H2328">
        <f t="shared" si="480"/>
        <v>0</v>
      </c>
      <c r="I2328">
        <f t="shared" si="481"/>
        <v>0</v>
      </c>
      <c r="J2328">
        <f t="shared" si="482"/>
        <v>0</v>
      </c>
      <c r="K2328" s="4" t="e">
        <f t="shared" si="470"/>
        <v>#N/A</v>
      </c>
      <c r="L2328" t="e">
        <f t="shared" si="471"/>
        <v>#N/A</v>
      </c>
      <c r="M2328" s="4" t="e">
        <f t="shared" si="472"/>
        <v>#N/A</v>
      </c>
      <c r="N2328" s="4" t="e">
        <f t="shared" si="473"/>
        <v>#N/A</v>
      </c>
    </row>
    <row r="2329" spans="1:14">
      <c r="A2329">
        <f t="shared" si="474"/>
        <v>0</v>
      </c>
      <c r="B2329">
        <f t="shared" si="475"/>
        <v>0</v>
      </c>
      <c r="C2329">
        <f t="shared" si="476"/>
        <v>0</v>
      </c>
      <c r="D2329">
        <f t="shared" si="477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8"/>
        <v>0</v>
      </c>
      <c r="G2329">
        <f t="shared" si="479"/>
        <v>0</v>
      </c>
      <c r="H2329">
        <f t="shared" si="480"/>
        <v>0</v>
      </c>
      <c r="I2329">
        <f t="shared" si="481"/>
        <v>0</v>
      </c>
      <c r="J2329">
        <f t="shared" si="482"/>
        <v>0</v>
      </c>
      <c r="K2329" s="4" t="e">
        <f t="shared" si="470"/>
        <v>#N/A</v>
      </c>
      <c r="L2329" t="e">
        <f t="shared" si="471"/>
        <v>#N/A</v>
      </c>
      <c r="M2329" s="4" t="e">
        <f t="shared" si="472"/>
        <v>#N/A</v>
      </c>
      <c r="N2329" s="4" t="e">
        <f t="shared" si="473"/>
        <v>#N/A</v>
      </c>
    </row>
    <row r="2330" spans="1:14">
      <c r="A2330">
        <f t="shared" si="474"/>
        <v>0</v>
      </c>
      <c r="B2330">
        <f t="shared" si="475"/>
        <v>0</v>
      </c>
      <c r="C2330">
        <f t="shared" si="476"/>
        <v>0</v>
      </c>
      <c r="D2330">
        <f t="shared" si="477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8"/>
        <v>0</v>
      </c>
      <c r="G2330">
        <f t="shared" si="479"/>
        <v>0</v>
      </c>
      <c r="H2330">
        <f t="shared" si="480"/>
        <v>0</v>
      </c>
      <c r="I2330">
        <f t="shared" si="481"/>
        <v>0</v>
      </c>
      <c r="J2330">
        <f t="shared" si="482"/>
        <v>0</v>
      </c>
      <c r="K2330" s="4" t="e">
        <f t="shared" si="470"/>
        <v>#N/A</v>
      </c>
      <c r="L2330" t="e">
        <f t="shared" si="471"/>
        <v>#N/A</v>
      </c>
      <c r="M2330" s="4" t="e">
        <f t="shared" si="472"/>
        <v>#N/A</v>
      </c>
      <c r="N2330" s="4" t="e">
        <f t="shared" si="473"/>
        <v>#N/A</v>
      </c>
    </row>
    <row r="2331" spans="1:14">
      <c r="A2331">
        <f t="shared" si="474"/>
        <v>0</v>
      </c>
      <c r="B2331">
        <f t="shared" si="475"/>
        <v>0</v>
      </c>
      <c r="C2331">
        <f t="shared" si="476"/>
        <v>0</v>
      </c>
      <c r="D2331">
        <f t="shared" si="477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8"/>
        <v>0</v>
      </c>
      <c r="G2331">
        <f t="shared" si="479"/>
        <v>0</v>
      </c>
      <c r="H2331">
        <f t="shared" si="480"/>
        <v>0</v>
      </c>
      <c r="I2331">
        <f t="shared" si="481"/>
        <v>0</v>
      </c>
      <c r="J2331">
        <f t="shared" si="482"/>
        <v>0</v>
      </c>
      <c r="K2331" s="4" t="e">
        <f t="shared" si="470"/>
        <v>#N/A</v>
      </c>
      <c r="L2331" t="e">
        <f t="shared" si="471"/>
        <v>#N/A</v>
      </c>
      <c r="M2331" s="4" t="e">
        <f t="shared" si="472"/>
        <v>#N/A</v>
      </c>
      <c r="N2331" s="4" t="e">
        <f t="shared" si="473"/>
        <v>#N/A</v>
      </c>
    </row>
    <row r="2332" spans="1:14">
      <c r="A2332">
        <f t="shared" si="474"/>
        <v>0</v>
      </c>
      <c r="B2332">
        <f t="shared" si="475"/>
        <v>0</v>
      </c>
      <c r="C2332">
        <f t="shared" si="476"/>
        <v>0</v>
      </c>
      <c r="D2332">
        <f t="shared" si="477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8"/>
        <v>0</v>
      </c>
      <c r="G2332">
        <f t="shared" si="479"/>
        <v>0</v>
      </c>
      <c r="H2332">
        <f t="shared" si="480"/>
        <v>0</v>
      </c>
      <c r="I2332">
        <f t="shared" si="481"/>
        <v>0</v>
      </c>
      <c r="J2332">
        <f t="shared" si="482"/>
        <v>0</v>
      </c>
      <c r="K2332" s="4" t="e">
        <f t="shared" si="470"/>
        <v>#N/A</v>
      </c>
      <c r="L2332" t="e">
        <f t="shared" si="471"/>
        <v>#N/A</v>
      </c>
      <c r="M2332" s="4" t="e">
        <f t="shared" si="472"/>
        <v>#N/A</v>
      </c>
      <c r="N2332" s="4" t="e">
        <f t="shared" si="473"/>
        <v>#N/A</v>
      </c>
    </row>
    <row r="2333" spans="1:14">
      <c r="A2333">
        <f t="shared" si="474"/>
        <v>0</v>
      </c>
      <c r="B2333">
        <f t="shared" si="475"/>
        <v>0</v>
      </c>
      <c r="C2333">
        <f t="shared" si="476"/>
        <v>0</v>
      </c>
      <c r="D2333">
        <f t="shared" si="477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8"/>
        <v>0</v>
      </c>
      <c r="G2333">
        <f t="shared" si="479"/>
        <v>0</v>
      </c>
      <c r="H2333">
        <f t="shared" si="480"/>
        <v>0</v>
      </c>
      <c r="I2333">
        <f t="shared" si="481"/>
        <v>0</v>
      </c>
      <c r="J2333">
        <f t="shared" si="482"/>
        <v>0</v>
      </c>
      <c r="K2333" s="4" t="e">
        <f t="shared" si="470"/>
        <v>#N/A</v>
      </c>
      <c r="L2333" t="e">
        <f t="shared" si="471"/>
        <v>#N/A</v>
      </c>
      <c r="M2333" s="4" t="e">
        <f t="shared" si="472"/>
        <v>#N/A</v>
      </c>
      <c r="N2333" s="4" t="e">
        <f t="shared" si="473"/>
        <v>#N/A</v>
      </c>
    </row>
    <row r="2334" spans="1:14">
      <c r="A2334">
        <f t="shared" si="474"/>
        <v>0</v>
      </c>
      <c r="B2334">
        <f t="shared" si="475"/>
        <v>0</v>
      </c>
      <c r="C2334">
        <f t="shared" si="476"/>
        <v>0</v>
      </c>
      <c r="D2334">
        <f t="shared" si="477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8"/>
        <v>0</v>
      </c>
      <c r="G2334">
        <f t="shared" si="479"/>
        <v>0</v>
      </c>
      <c r="H2334">
        <f t="shared" si="480"/>
        <v>0</v>
      </c>
      <c r="I2334">
        <f t="shared" si="481"/>
        <v>0</v>
      </c>
      <c r="J2334">
        <f t="shared" si="482"/>
        <v>0</v>
      </c>
      <c r="K2334" s="4" t="e">
        <f t="shared" si="470"/>
        <v>#N/A</v>
      </c>
      <c r="L2334" t="e">
        <f t="shared" si="471"/>
        <v>#N/A</v>
      </c>
      <c r="M2334" s="4" t="e">
        <f t="shared" si="472"/>
        <v>#N/A</v>
      </c>
      <c r="N2334" s="4" t="e">
        <f t="shared" si="473"/>
        <v>#N/A</v>
      </c>
    </row>
    <row r="2335" spans="1:14">
      <c r="A2335">
        <f t="shared" si="474"/>
        <v>0</v>
      </c>
      <c r="B2335">
        <f t="shared" si="475"/>
        <v>0</v>
      </c>
      <c r="C2335">
        <f t="shared" si="476"/>
        <v>0</v>
      </c>
      <c r="D2335">
        <f t="shared" si="477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8"/>
        <v>0</v>
      </c>
      <c r="G2335">
        <f t="shared" si="479"/>
        <v>0</v>
      </c>
      <c r="H2335">
        <f t="shared" si="480"/>
        <v>0</v>
      </c>
      <c r="I2335">
        <f t="shared" si="481"/>
        <v>0</v>
      </c>
      <c r="J2335">
        <f t="shared" si="482"/>
        <v>0</v>
      </c>
      <c r="K2335" s="4" t="e">
        <f t="shared" si="470"/>
        <v>#N/A</v>
      </c>
      <c r="L2335" t="e">
        <f t="shared" si="471"/>
        <v>#N/A</v>
      </c>
      <c r="M2335" s="4" t="e">
        <f t="shared" si="472"/>
        <v>#N/A</v>
      </c>
      <c r="N2335" s="4" t="e">
        <f t="shared" si="473"/>
        <v>#N/A</v>
      </c>
    </row>
    <row r="2336" spans="1:14">
      <c r="A2336">
        <f t="shared" si="474"/>
        <v>0</v>
      </c>
      <c r="B2336">
        <f t="shared" si="475"/>
        <v>0</v>
      </c>
      <c r="C2336">
        <f t="shared" si="476"/>
        <v>0</v>
      </c>
      <c r="D2336">
        <f t="shared" si="477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8"/>
        <v>0</v>
      </c>
      <c r="G2336">
        <f t="shared" si="479"/>
        <v>0</v>
      </c>
      <c r="H2336">
        <f t="shared" si="480"/>
        <v>0</v>
      </c>
      <c r="I2336">
        <f t="shared" si="481"/>
        <v>0</v>
      </c>
      <c r="J2336">
        <f t="shared" si="482"/>
        <v>0</v>
      </c>
      <c r="K2336" s="4" t="e">
        <f t="shared" si="470"/>
        <v>#N/A</v>
      </c>
      <c r="L2336" t="e">
        <f t="shared" si="471"/>
        <v>#N/A</v>
      </c>
      <c r="M2336" s="4" t="e">
        <f t="shared" si="472"/>
        <v>#N/A</v>
      </c>
      <c r="N2336" s="4" t="e">
        <f t="shared" si="473"/>
        <v>#N/A</v>
      </c>
    </row>
    <row r="2337" spans="1:14">
      <c r="A2337">
        <f t="shared" si="474"/>
        <v>0</v>
      </c>
      <c r="B2337">
        <f t="shared" si="475"/>
        <v>0</v>
      </c>
      <c r="C2337">
        <f t="shared" si="476"/>
        <v>0</v>
      </c>
      <c r="D2337">
        <f t="shared" si="477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8"/>
        <v>0</v>
      </c>
      <c r="G2337">
        <f t="shared" si="479"/>
        <v>0</v>
      </c>
      <c r="H2337">
        <f t="shared" si="480"/>
        <v>0</v>
      </c>
      <c r="I2337">
        <f t="shared" si="481"/>
        <v>0</v>
      </c>
      <c r="J2337">
        <f t="shared" si="482"/>
        <v>0</v>
      </c>
      <c r="K2337" s="4" t="e">
        <f t="shared" si="470"/>
        <v>#N/A</v>
      </c>
      <c r="L2337" t="e">
        <f t="shared" si="471"/>
        <v>#N/A</v>
      </c>
      <c r="M2337" s="4" t="e">
        <f t="shared" si="472"/>
        <v>#N/A</v>
      </c>
      <c r="N2337" s="4" t="e">
        <f t="shared" si="473"/>
        <v>#N/A</v>
      </c>
    </row>
    <row r="2338" spans="1:14">
      <c r="A2338">
        <f t="shared" si="474"/>
        <v>0</v>
      </c>
      <c r="B2338">
        <f t="shared" si="475"/>
        <v>0</v>
      </c>
      <c r="C2338">
        <f t="shared" si="476"/>
        <v>0</v>
      </c>
      <c r="D2338">
        <f t="shared" si="477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8"/>
        <v>0</v>
      </c>
      <c r="G2338">
        <f t="shared" si="479"/>
        <v>0</v>
      </c>
      <c r="H2338">
        <f t="shared" si="480"/>
        <v>0</v>
      </c>
      <c r="I2338">
        <f t="shared" si="481"/>
        <v>0</v>
      </c>
      <c r="J2338">
        <f t="shared" si="482"/>
        <v>0</v>
      </c>
      <c r="K2338" s="4" t="e">
        <f t="shared" si="470"/>
        <v>#N/A</v>
      </c>
      <c r="L2338" t="e">
        <f t="shared" si="471"/>
        <v>#N/A</v>
      </c>
      <c r="M2338" s="4" t="e">
        <f t="shared" si="472"/>
        <v>#N/A</v>
      </c>
      <c r="N2338" s="4" t="e">
        <f t="shared" si="473"/>
        <v>#N/A</v>
      </c>
    </row>
    <row r="2339" spans="1:14">
      <c r="A2339">
        <f t="shared" si="474"/>
        <v>0</v>
      </c>
      <c r="B2339">
        <f t="shared" si="475"/>
        <v>0</v>
      </c>
      <c r="C2339">
        <f t="shared" si="476"/>
        <v>0</v>
      </c>
      <c r="D2339">
        <f t="shared" si="477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8"/>
        <v>0</v>
      </c>
      <c r="G2339">
        <f t="shared" si="479"/>
        <v>0</v>
      </c>
      <c r="H2339">
        <f t="shared" si="480"/>
        <v>0</v>
      </c>
      <c r="I2339">
        <f t="shared" si="481"/>
        <v>0</v>
      </c>
      <c r="J2339">
        <f t="shared" si="482"/>
        <v>0</v>
      </c>
      <c r="K2339" s="4" t="e">
        <f t="shared" si="470"/>
        <v>#N/A</v>
      </c>
      <c r="L2339" t="e">
        <f t="shared" si="471"/>
        <v>#N/A</v>
      </c>
      <c r="M2339" s="4" t="e">
        <f t="shared" si="472"/>
        <v>#N/A</v>
      </c>
      <c r="N2339" s="4" t="e">
        <f t="shared" si="473"/>
        <v>#N/A</v>
      </c>
    </row>
    <row r="2340" spans="1:14">
      <c r="A2340">
        <f t="shared" si="474"/>
        <v>0</v>
      </c>
      <c r="B2340">
        <f t="shared" si="475"/>
        <v>0</v>
      </c>
      <c r="C2340">
        <f t="shared" si="476"/>
        <v>0</v>
      </c>
      <c r="D2340">
        <f t="shared" si="477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8"/>
        <v>0</v>
      </c>
      <c r="G2340">
        <f t="shared" si="479"/>
        <v>0</v>
      </c>
      <c r="H2340">
        <f t="shared" si="480"/>
        <v>0</v>
      </c>
      <c r="I2340">
        <f t="shared" si="481"/>
        <v>0</v>
      </c>
      <c r="J2340">
        <f t="shared" si="482"/>
        <v>0</v>
      </c>
      <c r="K2340" s="4" t="e">
        <f t="shared" si="470"/>
        <v>#N/A</v>
      </c>
      <c r="L2340" t="e">
        <f t="shared" si="471"/>
        <v>#N/A</v>
      </c>
      <c r="M2340" s="4" t="e">
        <f t="shared" si="472"/>
        <v>#N/A</v>
      </c>
      <c r="N2340" s="4" t="e">
        <f t="shared" si="473"/>
        <v>#N/A</v>
      </c>
    </row>
    <row r="2341" spans="1:14">
      <c r="A2341">
        <f t="shared" si="474"/>
        <v>0</v>
      </c>
      <c r="B2341">
        <f t="shared" si="475"/>
        <v>0</v>
      </c>
      <c r="C2341">
        <f t="shared" si="476"/>
        <v>0</v>
      </c>
      <c r="D2341">
        <f t="shared" si="477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8"/>
        <v>0</v>
      </c>
      <c r="G2341">
        <f t="shared" si="479"/>
        <v>0</v>
      </c>
      <c r="H2341">
        <f t="shared" si="480"/>
        <v>0</v>
      </c>
      <c r="I2341">
        <f t="shared" si="481"/>
        <v>0</v>
      </c>
      <c r="J2341">
        <f t="shared" si="482"/>
        <v>0</v>
      </c>
      <c r="K2341" s="4" t="e">
        <f t="shared" si="470"/>
        <v>#N/A</v>
      </c>
      <c r="L2341" t="e">
        <f t="shared" si="471"/>
        <v>#N/A</v>
      </c>
      <c r="M2341" s="4" t="e">
        <f t="shared" si="472"/>
        <v>#N/A</v>
      </c>
      <c r="N2341" s="4" t="e">
        <f t="shared" si="473"/>
        <v>#N/A</v>
      </c>
    </row>
    <row r="2342" spans="1:14">
      <c r="A2342">
        <f t="shared" si="474"/>
        <v>0</v>
      </c>
      <c r="B2342">
        <f t="shared" si="475"/>
        <v>0</v>
      </c>
      <c r="C2342">
        <f t="shared" si="476"/>
        <v>0</v>
      </c>
      <c r="D2342">
        <f t="shared" si="477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8"/>
        <v>0</v>
      </c>
      <c r="G2342">
        <f t="shared" si="479"/>
        <v>0</v>
      </c>
      <c r="H2342">
        <f t="shared" si="480"/>
        <v>0</v>
      </c>
      <c r="I2342">
        <f t="shared" si="481"/>
        <v>0</v>
      </c>
      <c r="J2342">
        <f t="shared" si="482"/>
        <v>0</v>
      </c>
      <c r="K2342" s="4" t="e">
        <f t="shared" si="470"/>
        <v>#N/A</v>
      </c>
      <c r="L2342" t="e">
        <f t="shared" si="471"/>
        <v>#N/A</v>
      </c>
      <c r="M2342" s="4" t="e">
        <f t="shared" si="472"/>
        <v>#N/A</v>
      </c>
      <c r="N2342" s="4" t="e">
        <f t="shared" si="473"/>
        <v>#N/A</v>
      </c>
    </row>
    <row r="2343" spans="1:14">
      <c r="A2343">
        <f t="shared" si="474"/>
        <v>0</v>
      </c>
      <c r="B2343">
        <f t="shared" si="475"/>
        <v>0</v>
      </c>
      <c r="C2343">
        <f t="shared" si="476"/>
        <v>0</v>
      </c>
      <c r="D2343">
        <f t="shared" si="477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8"/>
        <v>0</v>
      </c>
      <c r="G2343">
        <f t="shared" si="479"/>
        <v>0</v>
      </c>
      <c r="H2343">
        <f t="shared" si="480"/>
        <v>0</v>
      </c>
      <c r="I2343">
        <f t="shared" si="481"/>
        <v>0</v>
      </c>
      <c r="J2343">
        <f t="shared" si="482"/>
        <v>0</v>
      </c>
      <c r="K2343" s="4" t="e">
        <f t="shared" si="470"/>
        <v>#N/A</v>
      </c>
      <c r="L2343" t="e">
        <f t="shared" si="471"/>
        <v>#N/A</v>
      </c>
      <c r="M2343" s="4" t="e">
        <f t="shared" si="472"/>
        <v>#N/A</v>
      </c>
      <c r="N2343" s="4" t="e">
        <f t="shared" si="473"/>
        <v>#N/A</v>
      </c>
    </row>
    <row r="2344" spans="1:14">
      <c r="A2344">
        <f t="shared" si="474"/>
        <v>0</v>
      </c>
      <c r="B2344">
        <f t="shared" si="475"/>
        <v>0</v>
      </c>
      <c r="C2344">
        <f t="shared" si="476"/>
        <v>0</v>
      </c>
      <c r="D2344">
        <f t="shared" si="477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8"/>
        <v>0</v>
      </c>
      <c r="G2344">
        <f t="shared" si="479"/>
        <v>0</v>
      </c>
      <c r="H2344">
        <f t="shared" si="480"/>
        <v>0</v>
      </c>
      <c r="I2344">
        <f t="shared" si="481"/>
        <v>0</v>
      </c>
      <c r="J2344">
        <f t="shared" si="482"/>
        <v>0</v>
      </c>
      <c r="K2344" s="4" t="e">
        <f t="shared" si="470"/>
        <v>#N/A</v>
      </c>
      <c r="L2344" t="e">
        <f t="shared" si="471"/>
        <v>#N/A</v>
      </c>
      <c r="M2344" s="4" t="e">
        <f t="shared" si="472"/>
        <v>#N/A</v>
      </c>
      <c r="N2344" s="4" t="e">
        <f t="shared" si="473"/>
        <v>#N/A</v>
      </c>
    </row>
    <row r="2345" spans="1:14">
      <c r="A2345">
        <f t="shared" si="474"/>
        <v>0</v>
      </c>
      <c r="B2345">
        <f t="shared" si="475"/>
        <v>0</v>
      </c>
      <c r="C2345">
        <f t="shared" si="476"/>
        <v>0</v>
      </c>
      <c r="D2345">
        <f t="shared" si="477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8"/>
        <v>0</v>
      </c>
      <c r="G2345">
        <f t="shared" si="479"/>
        <v>0</v>
      </c>
      <c r="H2345">
        <f t="shared" si="480"/>
        <v>0</v>
      </c>
      <c r="I2345">
        <f t="shared" si="481"/>
        <v>0</v>
      </c>
      <c r="J2345">
        <f t="shared" si="482"/>
        <v>0</v>
      </c>
      <c r="K2345" s="4" t="e">
        <f t="shared" si="470"/>
        <v>#N/A</v>
      </c>
      <c r="L2345" t="e">
        <f t="shared" si="471"/>
        <v>#N/A</v>
      </c>
      <c r="M2345" s="4" t="e">
        <f t="shared" si="472"/>
        <v>#N/A</v>
      </c>
      <c r="N2345" s="4" t="e">
        <f t="shared" si="473"/>
        <v>#N/A</v>
      </c>
    </row>
    <row r="2346" spans="1:14">
      <c r="A2346">
        <f t="shared" si="474"/>
        <v>0</v>
      </c>
      <c r="B2346">
        <f t="shared" si="475"/>
        <v>0</v>
      </c>
      <c r="C2346">
        <f t="shared" si="476"/>
        <v>0</v>
      </c>
      <c r="D2346">
        <f t="shared" si="477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8"/>
        <v>0</v>
      </c>
      <c r="G2346">
        <f t="shared" si="479"/>
        <v>0</v>
      </c>
      <c r="H2346">
        <f t="shared" si="480"/>
        <v>0</v>
      </c>
      <c r="I2346">
        <f t="shared" si="481"/>
        <v>0</v>
      </c>
      <c r="J2346">
        <f t="shared" si="482"/>
        <v>0</v>
      </c>
      <c r="K2346" s="4" t="e">
        <f t="shared" si="470"/>
        <v>#N/A</v>
      </c>
      <c r="L2346" t="e">
        <f t="shared" si="471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4"/>
        <v>0</v>
      </c>
      <c r="B2347">
        <f t="shared" si="475"/>
        <v>0</v>
      </c>
      <c r="C2347">
        <f t="shared" si="476"/>
        <v>0</v>
      </c>
      <c r="D2347">
        <f t="shared" si="477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8"/>
        <v>0</v>
      </c>
      <c r="G2347">
        <f t="shared" si="479"/>
        <v>0</v>
      </c>
      <c r="H2347">
        <f t="shared" si="480"/>
        <v>0</v>
      </c>
      <c r="I2347">
        <f t="shared" si="481"/>
        <v>0</v>
      </c>
      <c r="J2347">
        <f t="shared" si="482"/>
        <v>0</v>
      </c>
      <c r="K2347" s="4" t="e">
        <f t="shared" si="470"/>
        <v>#N/A</v>
      </c>
      <c r="L2347" t="e">
        <f t="shared" si="471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4"/>
        <v>0</v>
      </c>
      <c r="B2348">
        <f t="shared" si="475"/>
        <v>0</v>
      </c>
      <c r="C2348">
        <f t="shared" si="476"/>
        <v>0</v>
      </c>
      <c r="D2348">
        <f t="shared" si="477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8"/>
        <v>0</v>
      </c>
      <c r="G2348">
        <f t="shared" si="479"/>
        <v>0</v>
      </c>
      <c r="H2348">
        <f t="shared" si="480"/>
        <v>0</v>
      </c>
      <c r="I2348">
        <f t="shared" si="481"/>
        <v>0</v>
      </c>
      <c r="J2348">
        <f t="shared" si="482"/>
        <v>0</v>
      </c>
      <c r="K2348" s="4" t="e">
        <f t="shared" ref="K2348:K2411" si="485">IF(LEFT(B2348,3)="DBM",0,VLOOKUP(E2348,tabela,2,FALSE))</f>
        <v>#N/A</v>
      </c>
      <c r="L2348" t="e">
        <f t="shared" ref="L2348:L2411" si="486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4"/>
        <v>0</v>
      </c>
      <c r="B2349">
        <f t="shared" si="475"/>
        <v>0</v>
      </c>
      <c r="C2349">
        <f t="shared" si="476"/>
        <v>0</v>
      </c>
      <c r="D2349">
        <f t="shared" si="477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8"/>
        <v>0</v>
      </c>
      <c r="G2349">
        <f t="shared" si="479"/>
        <v>0</v>
      </c>
      <c r="H2349">
        <f t="shared" si="480"/>
        <v>0</v>
      </c>
      <c r="I2349">
        <f t="shared" si="481"/>
        <v>0</v>
      </c>
      <c r="J2349">
        <f t="shared" si="482"/>
        <v>0</v>
      </c>
      <c r="K2349" s="4" t="e">
        <f t="shared" si="485"/>
        <v>#N/A</v>
      </c>
      <c r="L2349" t="e">
        <f t="shared" si="486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4"/>
        <v>0</v>
      </c>
      <c r="B2350">
        <f t="shared" si="475"/>
        <v>0</v>
      </c>
      <c r="C2350">
        <f t="shared" si="476"/>
        <v>0</v>
      </c>
      <c r="D2350">
        <f t="shared" si="477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8"/>
        <v>0</v>
      </c>
      <c r="G2350">
        <f t="shared" si="479"/>
        <v>0</v>
      </c>
      <c r="H2350">
        <f t="shared" si="480"/>
        <v>0</v>
      </c>
      <c r="I2350">
        <f t="shared" si="481"/>
        <v>0</v>
      </c>
      <c r="J2350">
        <f t="shared" si="482"/>
        <v>0</v>
      </c>
      <c r="K2350" s="4" t="e">
        <f t="shared" si="485"/>
        <v>#N/A</v>
      </c>
      <c r="L2350" t="e">
        <f t="shared" si="486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4"/>
        <v>0</v>
      </c>
      <c r="B2351">
        <f t="shared" si="475"/>
        <v>0</v>
      </c>
      <c r="C2351">
        <f t="shared" si="476"/>
        <v>0</v>
      </c>
      <c r="D2351">
        <f t="shared" si="477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8"/>
        <v>0</v>
      </c>
      <c r="G2351">
        <f t="shared" si="479"/>
        <v>0</v>
      </c>
      <c r="H2351">
        <f t="shared" si="480"/>
        <v>0</v>
      </c>
      <c r="I2351">
        <f t="shared" si="481"/>
        <v>0</v>
      </c>
      <c r="J2351">
        <f t="shared" si="482"/>
        <v>0</v>
      </c>
      <c r="K2351" s="4" t="e">
        <f t="shared" si="485"/>
        <v>#N/A</v>
      </c>
      <c r="L2351" t="e">
        <f t="shared" si="486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4"/>
        <v>0</v>
      </c>
      <c r="B2352">
        <f t="shared" si="475"/>
        <v>0</v>
      </c>
      <c r="C2352">
        <f t="shared" si="476"/>
        <v>0</v>
      </c>
      <c r="D2352">
        <f t="shared" si="477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8"/>
        <v>0</v>
      </c>
      <c r="G2352">
        <f t="shared" si="479"/>
        <v>0</v>
      </c>
      <c r="H2352">
        <f t="shared" si="480"/>
        <v>0</v>
      </c>
      <c r="I2352">
        <f t="shared" si="481"/>
        <v>0</v>
      </c>
      <c r="J2352">
        <f t="shared" si="482"/>
        <v>0</v>
      </c>
      <c r="K2352" s="4" t="e">
        <f t="shared" si="485"/>
        <v>#N/A</v>
      </c>
      <c r="L2352" t="e">
        <f t="shared" si="486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4"/>
        <v>0</v>
      </c>
      <c r="B2353">
        <f t="shared" si="475"/>
        <v>0</v>
      </c>
      <c r="C2353">
        <f t="shared" si="476"/>
        <v>0</v>
      </c>
      <c r="D2353">
        <f t="shared" si="477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8"/>
        <v>0</v>
      </c>
      <c r="G2353">
        <f t="shared" si="479"/>
        <v>0</v>
      </c>
      <c r="H2353">
        <f t="shared" si="480"/>
        <v>0</v>
      </c>
      <c r="I2353">
        <f t="shared" si="481"/>
        <v>0</v>
      </c>
      <c r="J2353">
        <f t="shared" si="482"/>
        <v>0</v>
      </c>
      <c r="K2353" s="4" t="e">
        <f t="shared" si="485"/>
        <v>#N/A</v>
      </c>
      <c r="L2353" t="e">
        <f t="shared" si="486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4"/>
        <v>0</v>
      </c>
      <c r="B2354">
        <f t="shared" si="475"/>
        <v>0</v>
      </c>
      <c r="C2354">
        <f t="shared" si="476"/>
        <v>0</v>
      </c>
      <c r="D2354">
        <f t="shared" si="477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8"/>
        <v>0</v>
      </c>
      <c r="G2354">
        <f t="shared" si="479"/>
        <v>0</v>
      </c>
      <c r="H2354">
        <f t="shared" si="480"/>
        <v>0</v>
      </c>
      <c r="I2354">
        <f t="shared" si="481"/>
        <v>0</v>
      </c>
      <c r="J2354">
        <f t="shared" si="482"/>
        <v>0</v>
      </c>
      <c r="K2354" s="4" t="e">
        <f t="shared" si="485"/>
        <v>#N/A</v>
      </c>
      <c r="L2354" t="e">
        <f t="shared" si="486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4"/>
        <v>0</v>
      </c>
      <c r="B2355">
        <f t="shared" si="475"/>
        <v>0</v>
      </c>
      <c r="C2355">
        <f t="shared" si="476"/>
        <v>0</v>
      </c>
      <c r="D2355">
        <f t="shared" si="477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8"/>
        <v>0</v>
      </c>
      <c r="G2355">
        <f t="shared" si="479"/>
        <v>0</v>
      </c>
      <c r="H2355">
        <f t="shared" si="480"/>
        <v>0</v>
      </c>
      <c r="I2355">
        <f t="shared" si="481"/>
        <v>0</v>
      </c>
      <c r="J2355">
        <f t="shared" si="482"/>
        <v>0</v>
      </c>
      <c r="K2355" s="4" t="e">
        <f t="shared" si="485"/>
        <v>#N/A</v>
      </c>
      <c r="L2355" t="e">
        <f t="shared" si="486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4"/>
        <v>0</v>
      </c>
      <c r="B2356">
        <f t="shared" si="475"/>
        <v>0</v>
      </c>
      <c r="C2356">
        <f t="shared" si="476"/>
        <v>0</v>
      </c>
      <c r="D2356">
        <f t="shared" si="477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8"/>
        <v>0</v>
      </c>
      <c r="G2356">
        <f t="shared" si="479"/>
        <v>0</v>
      </c>
      <c r="H2356">
        <f t="shared" si="480"/>
        <v>0</v>
      </c>
      <c r="I2356">
        <f t="shared" si="481"/>
        <v>0</v>
      </c>
      <c r="J2356">
        <f t="shared" si="482"/>
        <v>0</v>
      </c>
      <c r="K2356" s="4" t="e">
        <f t="shared" si="485"/>
        <v>#N/A</v>
      </c>
      <c r="L2356" t="e">
        <f t="shared" si="486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4"/>
        <v>0</v>
      </c>
      <c r="B2357">
        <f t="shared" si="475"/>
        <v>0</v>
      </c>
      <c r="C2357">
        <f t="shared" si="476"/>
        <v>0</v>
      </c>
      <c r="D2357">
        <f t="shared" si="477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8"/>
        <v>0</v>
      </c>
      <c r="G2357">
        <f t="shared" si="479"/>
        <v>0</v>
      </c>
      <c r="H2357">
        <f t="shared" si="480"/>
        <v>0</v>
      </c>
      <c r="I2357">
        <f t="shared" si="481"/>
        <v>0</v>
      </c>
      <c r="J2357">
        <f t="shared" si="482"/>
        <v>0</v>
      </c>
      <c r="K2357" s="4" t="e">
        <f t="shared" si="485"/>
        <v>#N/A</v>
      </c>
      <c r="L2357" t="e">
        <f t="shared" si="486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4"/>
        <v>0</v>
      </c>
      <c r="B2358">
        <f t="shared" si="475"/>
        <v>0</v>
      </c>
      <c r="C2358">
        <f t="shared" si="476"/>
        <v>0</v>
      </c>
      <c r="D2358">
        <f t="shared" si="477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8"/>
        <v>0</v>
      </c>
      <c r="G2358">
        <f t="shared" si="479"/>
        <v>0</v>
      </c>
      <c r="H2358">
        <f t="shared" si="480"/>
        <v>0</v>
      </c>
      <c r="I2358">
        <f t="shared" si="481"/>
        <v>0</v>
      </c>
      <c r="J2358">
        <f t="shared" si="482"/>
        <v>0</v>
      </c>
      <c r="K2358" s="4" t="e">
        <f t="shared" si="485"/>
        <v>#N/A</v>
      </c>
      <c r="L2358" t="e">
        <f t="shared" si="486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4"/>
        <v>0</v>
      </c>
      <c r="B2359">
        <f t="shared" si="475"/>
        <v>0</v>
      </c>
      <c r="C2359">
        <f t="shared" si="476"/>
        <v>0</v>
      </c>
      <c r="D2359">
        <f t="shared" si="477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8"/>
        <v>0</v>
      </c>
      <c r="G2359">
        <f t="shared" si="479"/>
        <v>0</v>
      </c>
      <c r="H2359">
        <f t="shared" si="480"/>
        <v>0</v>
      </c>
      <c r="I2359">
        <f t="shared" si="481"/>
        <v>0</v>
      </c>
      <c r="J2359">
        <f t="shared" si="482"/>
        <v>0</v>
      </c>
      <c r="K2359" s="4" t="e">
        <f t="shared" si="485"/>
        <v>#N/A</v>
      </c>
      <c r="L2359" t="e">
        <f t="shared" si="486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4"/>
        <v>0</v>
      </c>
      <c r="B2360">
        <f t="shared" si="475"/>
        <v>0</v>
      </c>
      <c r="C2360">
        <f t="shared" si="476"/>
        <v>0</v>
      </c>
      <c r="D2360">
        <f t="shared" si="477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8"/>
        <v>0</v>
      </c>
      <c r="G2360">
        <f t="shared" si="479"/>
        <v>0</v>
      </c>
      <c r="H2360">
        <f t="shared" si="480"/>
        <v>0</v>
      </c>
      <c r="I2360">
        <f t="shared" si="481"/>
        <v>0</v>
      </c>
      <c r="J2360">
        <f t="shared" si="482"/>
        <v>0</v>
      </c>
      <c r="K2360" s="4" t="e">
        <f t="shared" si="485"/>
        <v>#N/A</v>
      </c>
      <c r="L2360" t="e">
        <f t="shared" si="486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4"/>
        <v>0</v>
      </c>
      <c r="B2361">
        <f t="shared" si="475"/>
        <v>0</v>
      </c>
      <c r="C2361">
        <f t="shared" si="476"/>
        <v>0</v>
      </c>
      <c r="D2361">
        <f t="shared" si="477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8"/>
        <v>0</v>
      </c>
      <c r="G2361">
        <f t="shared" si="479"/>
        <v>0</v>
      </c>
      <c r="H2361">
        <f t="shared" si="480"/>
        <v>0</v>
      </c>
      <c r="I2361">
        <f t="shared" si="481"/>
        <v>0</v>
      </c>
      <c r="J2361">
        <f t="shared" si="482"/>
        <v>0</v>
      </c>
      <c r="K2361" s="4" t="e">
        <f t="shared" si="485"/>
        <v>#N/A</v>
      </c>
      <c r="L2361" t="e">
        <f t="shared" si="486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4"/>
        <v>0</v>
      </c>
      <c r="B2362">
        <f t="shared" si="475"/>
        <v>0</v>
      </c>
      <c r="C2362">
        <f t="shared" si="476"/>
        <v>0</v>
      </c>
      <c r="D2362">
        <f t="shared" si="477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8"/>
        <v>0</v>
      </c>
      <c r="G2362">
        <f t="shared" si="479"/>
        <v>0</v>
      </c>
      <c r="H2362">
        <f t="shared" si="480"/>
        <v>0</v>
      </c>
      <c r="I2362">
        <f t="shared" si="481"/>
        <v>0</v>
      </c>
      <c r="J2362">
        <f t="shared" si="482"/>
        <v>0</v>
      </c>
      <c r="K2362" s="4" t="e">
        <f t="shared" si="485"/>
        <v>#N/A</v>
      </c>
      <c r="L2362" t="e">
        <f t="shared" si="486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4"/>
        <v>0</v>
      </c>
      <c r="B2363">
        <f t="shared" si="475"/>
        <v>0</v>
      </c>
      <c r="C2363">
        <f t="shared" si="476"/>
        <v>0</v>
      </c>
      <c r="D2363">
        <f t="shared" si="477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8"/>
        <v>0</v>
      </c>
      <c r="G2363">
        <f t="shared" si="479"/>
        <v>0</v>
      </c>
      <c r="H2363">
        <f t="shared" si="480"/>
        <v>0</v>
      </c>
      <c r="I2363">
        <f t="shared" si="481"/>
        <v>0</v>
      </c>
      <c r="J2363">
        <f t="shared" si="482"/>
        <v>0</v>
      </c>
      <c r="K2363" s="4" t="e">
        <f t="shared" si="485"/>
        <v>#N/A</v>
      </c>
      <c r="L2363" t="e">
        <f t="shared" si="486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4"/>
        <v>0</v>
      </c>
      <c r="B2364">
        <f t="shared" si="475"/>
        <v>0</v>
      </c>
      <c r="C2364">
        <f t="shared" si="476"/>
        <v>0</v>
      </c>
      <c r="D2364">
        <f t="shared" si="477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8"/>
        <v>0</v>
      </c>
      <c r="G2364">
        <f t="shared" si="479"/>
        <v>0</v>
      </c>
      <c r="H2364">
        <f t="shared" si="480"/>
        <v>0</v>
      </c>
      <c r="I2364">
        <f t="shared" si="481"/>
        <v>0</v>
      </c>
      <c r="J2364">
        <f t="shared" si="482"/>
        <v>0</v>
      </c>
      <c r="K2364" s="4" t="e">
        <f t="shared" si="485"/>
        <v>#N/A</v>
      </c>
      <c r="L2364" t="e">
        <f t="shared" si="486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4"/>
        <v>0</v>
      </c>
      <c r="B2365">
        <f t="shared" si="475"/>
        <v>0</v>
      </c>
      <c r="C2365">
        <f t="shared" si="476"/>
        <v>0</v>
      </c>
      <c r="D2365">
        <f t="shared" si="477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8"/>
        <v>0</v>
      </c>
      <c r="G2365">
        <f t="shared" si="479"/>
        <v>0</v>
      </c>
      <c r="H2365">
        <f t="shared" si="480"/>
        <v>0</v>
      </c>
      <c r="I2365">
        <f t="shared" si="481"/>
        <v>0</v>
      </c>
      <c r="J2365">
        <f t="shared" si="482"/>
        <v>0</v>
      </c>
      <c r="K2365" s="4" t="e">
        <f t="shared" si="485"/>
        <v>#N/A</v>
      </c>
      <c r="L2365" t="e">
        <f t="shared" si="486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4"/>
        <v>0</v>
      </c>
      <c r="B2366">
        <f t="shared" si="475"/>
        <v>0</v>
      </c>
      <c r="C2366">
        <f t="shared" si="476"/>
        <v>0</v>
      </c>
      <c r="D2366">
        <f t="shared" si="477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8"/>
        <v>0</v>
      </c>
      <c r="G2366">
        <f t="shared" si="479"/>
        <v>0</v>
      </c>
      <c r="H2366">
        <f t="shared" si="480"/>
        <v>0</v>
      </c>
      <c r="I2366">
        <f t="shared" si="481"/>
        <v>0</v>
      </c>
      <c r="J2366">
        <f t="shared" si="482"/>
        <v>0</v>
      </c>
      <c r="K2366" s="4" t="e">
        <f t="shared" si="485"/>
        <v>#N/A</v>
      </c>
      <c r="L2366" t="e">
        <f t="shared" si="486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4"/>
        <v>0</v>
      </c>
      <c r="B2367">
        <f t="shared" si="475"/>
        <v>0</v>
      </c>
      <c r="C2367">
        <f t="shared" si="476"/>
        <v>0</v>
      </c>
      <c r="D2367">
        <f t="shared" si="477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8"/>
        <v>0</v>
      </c>
      <c r="G2367">
        <f t="shared" si="479"/>
        <v>0</v>
      </c>
      <c r="H2367">
        <f t="shared" si="480"/>
        <v>0</v>
      </c>
      <c r="I2367">
        <f t="shared" si="481"/>
        <v>0</v>
      </c>
      <c r="J2367">
        <f t="shared" si="482"/>
        <v>0</v>
      </c>
      <c r="K2367" s="4" t="e">
        <f t="shared" si="485"/>
        <v>#N/A</v>
      </c>
      <c r="L2367" t="e">
        <f t="shared" si="486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4"/>
        <v>0</v>
      </c>
      <c r="B2368">
        <f t="shared" si="475"/>
        <v>0</v>
      </c>
      <c r="C2368">
        <f t="shared" si="476"/>
        <v>0</v>
      </c>
      <c r="D2368">
        <f t="shared" si="477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8"/>
        <v>0</v>
      </c>
      <c r="G2368">
        <f t="shared" si="479"/>
        <v>0</v>
      </c>
      <c r="H2368">
        <f t="shared" si="480"/>
        <v>0</v>
      </c>
      <c r="I2368">
        <f t="shared" si="481"/>
        <v>0</v>
      </c>
      <c r="J2368">
        <f t="shared" si="482"/>
        <v>0</v>
      </c>
      <c r="K2368" s="4" t="e">
        <f t="shared" si="485"/>
        <v>#N/A</v>
      </c>
      <c r="L2368" t="e">
        <f t="shared" si="486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4"/>
        <v>0</v>
      </c>
      <c r="B2369">
        <f t="shared" si="475"/>
        <v>0</v>
      </c>
      <c r="C2369">
        <f t="shared" si="476"/>
        <v>0</v>
      </c>
      <c r="D2369">
        <f t="shared" si="477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8"/>
        <v>0</v>
      </c>
      <c r="G2369">
        <f t="shared" si="479"/>
        <v>0</v>
      </c>
      <c r="H2369">
        <f t="shared" si="480"/>
        <v>0</v>
      </c>
      <c r="I2369">
        <f t="shared" si="481"/>
        <v>0</v>
      </c>
      <c r="J2369">
        <f t="shared" si="482"/>
        <v>0</v>
      </c>
      <c r="K2369" s="4" t="e">
        <f t="shared" si="485"/>
        <v>#N/A</v>
      </c>
      <c r="L2369" t="e">
        <f t="shared" si="486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7">bd_campaign</f>
        <v>0</v>
      </c>
      <c r="B2370">
        <f t="shared" ref="B2370:B2433" si="488">bd_site</f>
        <v>0</v>
      </c>
      <c r="C2370">
        <f t="shared" ref="C2370:C2433" si="489">bd_placement</f>
        <v>0</v>
      </c>
      <c r="D2370">
        <f t="shared" ref="D2370:D2433" si="490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1">bd_ad</f>
        <v>0</v>
      </c>
      <c r="G2370">
        <f t="shared" ref="G2370:G2433" si="492">bd_adid</f>
        <v>0</v>
      </c>
      <c r="H2370">
        <f t="shared" ref="H2370:H2433" si="493">bd_creativetype</f>
        <v>0</v>
      </c>
      <c r="I2370">
        <f t="shared" ref="I2370:I2433" si="494">bd_impression</f>
        <v>0</v>
      </c>
      <c r="J2370">
        <f t="shared" ref="J2370:J2433" si="495">bd_clicks</f>
        <v>0</v>
      </c>
      <c r="K2370" s="4" t="e">
        <f t="shared" si="485"/>
        <v>#N/A</v>
      </c>
      <c r="L2370" t="e">
        <f t="shared" si="486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7"/>
        <v>0</v>
      </c>
      <c r="B2371">
        <f t="shared" si="488"/>
        <v>0</v>
      </c>
      <c r="C2371">
        <f t="shared" si="489"/>
        <v>0</v>
      </c>
      <c r="D2371">
        <f t="shared" si="490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1"/>
        <v>0</v>
      </c>
      <c r="G2371">
        <f t="shared" si="492"/>
        <v>0</v>
      </c>
      <c r="H2371">
        <f t="shared" si="493"/>
        <v>0</v>
      </c>
      <c r="I2371">
        <f t="shared" si="494"/>
        <v>0</v>
      </c>
      <c r="J2371">
        <f t="shared" si="495"/>
        <v>0</v>
      </c>
      <c r="K2371" s="4" t="e">
        <f t="shared" si="485"/>
        <v>#N/A</v>
      </c>
      <c r="L2371" t="e">
        <f t="shared" si="486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7"/>
        <v>0</v>
      </c>
      <c r="B2372">
        <f t="shared" si="488"/>
        <v>0</v>
      </c>
      <c r="C2372">
        <f t="shared" si="489"/>
        <v>0</v>
      </c>
      <c r="D2372">
        <f t="shared" si="490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1"/>
        <v>0</v>
      </c>
      <c r="G2372">
        <f t="shared" si="492"/>
        <v>0</v>
      </c>
      <c r="H2372">
        <f t="shared" si="493"/>
        <v>0</v>
      </c>
      <c r="I2372">
        <f t="shared" si="494"/>
        <v>0</v>
      </c>
      <c r="J2372">
        <f t="shared" si="495"/>
        <v>0</v>
      </c>
      <c r="K2372" s="4" t="e">
        <f t="shared" si="485"/>
        <v>#N/A</v>
      </c>
      <c r="L2372" t="e">
        <f t="shared" si="486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7"/>
        <v>0</v>
      </c>
      <c r="B2373">
        <f t="shared" si="488"/>
        <v>0</v>
      </c>
      <c r="C2373">
        <f t="shared" si="489"/>
        <v>0</v>
      </c>
      <c r="D2373">
        <f t="shared" si="490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1"/>
        <v>0</v>
      </c>
      <c r="G2373">
        <f t="shared" si="492"/>
        <v>0</v>
      </c>
      <c r="H2373">
        <f t="shared" si="493"/>
        <v>0</v>
      </c>
      <c r="I2373">
        <f t="shared" si="494"/>
        <v>0</v>
      </c>
      <c r="J2373">
        <f t="shared" si="495"/>
        <v>0</v>
      </c>
      <c r="K2373" s="4" t="e">
        <f t="shared" si="485"/>
        <v>#N/A</v>
      </c>
      <c r="L2373" t="e">
        <f t="shared" si="486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7"/>
        <v>0</v>
      </c>
      <c r="B2374">
        <f t="shared" si="488"/>
        <v>0</v>
      </c>
      <c r="C2374">
        <f t="shared" si="489"/>
        <v>0</v>
      </c>
      <c r="D2374">
        <f t="shared" si="490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1"/>
        <v>0</v>
      </c>
      <c r="G2374">
        <f t="shared" si="492"/>
        <v>0</v>
      </c>
      <c r="H2374">
        <f t="shared" si="493"/>
        <v>0</v>
      </c>
      <c r="I2374">
        <f t="shared" si="494"/>
        <v>0</v>
      </c>
      <c r="J2374">
        <f t="shared" si="495"/>
        <v>0</v>
      </c>
      <c r="K2374" s="4" t="e">
        <f t="shared" si="485"/>
        <v>#N/A</v>
      </c>
      <c r="L2374" t="e">
        <f t="shared" si="486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7"/>
        <v>0</v>
      </c>
      <c r="B2375">
        <f t="shared" si="488"/>
        <v>0</v>
      </c>
      <c r="C2375">
        <f t="shared" si="489"/>
        <v>0</v>
      </c>
      <c r="D2375">
        <f t="shared" si="490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1"/>
        <v>0</v>
      </c>
      <c r="G2375">
        <f t="shared" si="492"/>
        <v>0</v>
      </c>
      <c r="H2375">
        <f t="shared" si="493"/>
        <v>0</v>
      </c>
      <c r="I2375">
        <f t="shared" si="494"/>
        <v>0</v>
      </c>
      <c r="J2375">
        <f t="shared" si="495"/>
        <v>0</v>
      </c>
      <c r="K2375" s="4" t="e">
        <f t="shared" si="485"/>
        <v>#N/A</v>
      </c>
      <c r="L2375" t="e">
        <f t="shared" si="486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7"/>
        <v>0</v>
      </c>
      <c r="B2376">
        <f t="shared" si="488"/>
        <v>0</v>
      </c>
      <c r="C2376">
        <f t="shared" si="489"/>
        <v>0</v>
      </c>
      <c r="D2376">
        <f t="shared" si="490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1"/>
        <v>0</v>
      </c>
      <c r="G2376">
        <f t="shared" si="492"/>
        <v>0</v>
      </c>
      <c r="H2376">
        <f t="shared" si="493"/>
        <v>0</v>
      </c>
      <c r="I2376">
        <f t="shared" si="494"/>
        <v>0</v>
      </c>
      <c r="J2376">
        <f t="shared" si="495"/>
        <v>0</v>
      </c>
      <c r="K2376" s="4" t="e">
        <f t="shared" si="485"/>
        <v>#N/A</v>
      </c>
      <c r="L2376" t="e">
        <f t="shared" si="486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7"/>
        <v>0</v>
      </c>
      <c r="B2377">
        <f t="shared" si="488"/>
        <v>0</v>
      </c>
      <c r="C2377">
        <f t="shared" si="489"/>
        <v>0</v>
      </c>
      <c r="D2377">
        <f t="shared" si="490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1"/>
        <v>0</v>
      </c>
      <c r="G2377">
        <f t="shared" si="492"/>
        <v>0</v>
      </c>
      <c r="H2377">
        <f t="shared" si="493"/>
        <v>0</v>
      </c>
      <c r="I2377">
        <f t="shared" si="494"/>
        <v>0</v>
      </c>
      <c r="J2377">
        <f t="shared" si="495"/>
        <v>0</v>
      </c>
      <c r="K2377" s="4" t="e">
        <f t="shared" si="485"/>
        <v>#N/A</v>
      </c>
      <c r="L2377" t="e">
        <f t="shared" si="486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7"/>
        <v>0</v>
      </c>
      <c r="B2378">
        <f t="shared" si="488"/>
        <v>0</v>
      </c>
      <c r="C2378">
        <f t="shared" si="489"/>
        <v>0</v>
      </c>
      <c r="D2378">
        <f t="shared" si="490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1"/>
        <v>0</v>
      </c>
      <c r="G2378">
        <f t="shared" si="492"/>
        <v>0</v>
      </c>
      <c r="H2378">
        <f t="shared" si="493"/>
        <v>0</v>
      </c>
      <c r="I2378">
        <f t="shared" si="494"/>
        <v>0</v>
      </c>
      <c r="J2378">
        <f t="shared" si="495"/>
        <v>0</v>
      </c>
      <c r="K2378" s="4" t="e">
        <f t="shared" si="485"/>
        <v>#N/A</v>
      </c>
      <c r="L2378" t="e">
        <f t="shared" si="486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7"/>
        <v>0</v>
      </c>
      <c r="B2379">
        <f t="shared" si="488"/>
        <v>0</v>
      </c>
      <c r="C2379">
        <f t="shared" si="489"/>
        <v>0</v>
      </c>
      <c r="D2379">
        <f t="shared" si="490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1"/>
        <v>0</v>
      </c>
      <c r="G2379">
        <f t="shared" si="492"/>
        <v>0</v>
      </c>
      <c r="H2379">
        <f t="shared" si="493"/>
        <v>0</v>
      </c>
      <c r="I2379">
        <f t="shared" si="494"/>
        <v>0</v>
      </c>
      <c r="J2379">
        <f t="shared" si="495"/>
        <v>0</v>
      </c>
      <c r="K2379" s="4" t="e">
        <f t="shared" si="485"/>
        <v>#N/A</v>
      </c>
      <c r="L2379" t="e">
        <f t="shared" si="486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7"/>
        <v>0</v>
      </c>
      <c r="B2380">
        <f t="shared" si="488"/>
        <v>0</v>
      </c>
      <c r="C2380">
        <f t="shared" si="489"/>
        <v>0</v>
      </c>
      <c r="D2380">
        <f t="shared" si="490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1"/>
        <v>0</v>
      </c>
      <c r="G2380">
        <f t="shared" si="492"/>
        <v>0</v>
      </c>
      <c r="H2380">
        <f t="shared" si="493"/>
        <v>0</v>
      </c>
      <c r="I2380">
        <f t="shared" si="494"/>
        <v>0</v>
      </c>
      <c r="J2380">
        <f t="shared" si="495"/>
        <v>0</v>
      </c>
      <c r="K2380" s="4" t="e">
        <f t="shared" si="485"/>
        <v>#N/A</v>
      </c>
      <c r="L2380" t="e">
        <f t="shared" si="486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7"/>
        <v>0</v>
      </c>
      <c r="B2381">
        <f t="shared" si="488"/>
        <v>0</v>
      </c>
      <c r="C2381">
        <f t="shared" si="489"/>
        <v>0</v>
      </c>
      <c r="D2381">
        <f t="shared" si="490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1"/>
        <v>0</v>
      </c>
      <c r="G2381">
        <f t="shared" si="492"/>
        <v>0</v>
      </c>
      <c r="H2381">
        <f t="shared" si="493"/>
        <v>0</v>
      </c>
      <c r="I2381">
        <f t="shared" si="494"/>
        <v>0</v>
      </c>
      <c r="J2381">
        <f t="shared" si="495"/>
        <v>0</v>
      </c>
      <c r="K2381" s="4" t="e">
        <f t="shared" si="485"/>
        <v>#N/A</v>
      </c>
      <c r="L2381" t="e">
        <f t="shared" si="486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7"/>
        <v>0</v>
      </c>
      <c r="B2382">
        <f t="shared" si="488"/>
        <v>0</v>
      </c>
      <c r="C2382">
        <f t="shared" si="489"/>
        <v>0</v>
      </c>
      <c r="D2382">
        <f t="shared" si="490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1"/>
        <v>0</v>
      </c>
      <c r="G2382">
        <f t="shared" si="492"/>
        <v>0</v>
      </c>
      <c r="H2382">
        <f t="shared" si="493"/>
        <v>0</v>
      </c>
      <c r="I2382">
        <f t="shared" si="494"/>
        <v>0</v>
      </c>
      <c r="J2382">
        <f t="shared" si="495"/>
        <v>0</v>
      </c>
      <c r="K2382" s="4" t="e">
        <f t="shared" si="485"/>
        <v>#N/A</v>
      </c>
      <c r="L2382" t="e">
        <f t="shared" si="486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7"/>
        <v>0</v>
      </c>
      <c r="B2383">
        <f t="shared" si="488"/>
        <v>0</v>
      </c>
      <c r="C2383">
        <f t="shared" si="489"/>
        <v>0</v>
      </c>
      <c r="D2383">
        <f t="shared" si="490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1"/>
        <v>0</v>
      </c>
      <c r="G2383">
        <f t="shared" si="492"/>
        <v>0</v>
      </c>
      <c r="H2383">
        <f t="shared" si="493"/>
        <v>0</v>
      </c>
      <c r="I2383">
        <f t="shared" si="494"/>
        <v>0</v>
      </c>
      <c r="J2383">
        <f t="shared" si="495"/>
        <v>0</v>
      </c>
      <c r="K2383" s="4" t="e">
        <f t="shared" si="485"/>
        <v>#N/A</v>
      </c>
      <c r="L2383" t="e">
        <f t="shared" si="486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7"/>
        <v>0</v>
      </c>
      <c r="B2384">
        <f t="shared" si="488"/>
        <v>0</v>
      </c>
      <c r="C2384">
        <f t="shared" si="489"/>
        <v>0</v>
      </c>
      <c r="D2384">
        <f t="shared" si="490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1"/>
        <v>0</v>
      </c>
      <c r="G2384">
        <f t="shared" si="492"/>
        <v>0</v>
      </c>
      <c r="H2384">
        <f t="shared" si="493"/>
        <v>0</v>
      </c>
      <c r="I2384">
        <f t="shared" si="494"/>
        <v>0</v>
      </c>
      <c r="J2384">
        <f t="shared" si="495"/>
        <v>0</v>
      </c>
      <c r="K2384" s="4" t="e">
        <f t="shared" si="485"/>
        <v>#N/A</v>
      </c>
      <c r="L2384" t="e">
        <f t="shared" si="486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7"/>
        <v>0</v>
      </c>
      <c r="B2385">
        <f t="shared" si="488"/>
        <v>0</v>
      </c>
      <c r="C2385">
        <f t="shared" si="489"/>
        <v>0</v>
      </c>
      <c r="D2385">
        <f t="shared" si="490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1"/>
        <v>0</v>
      </c>
      <c r="G2385">
        <f t="shared" si="492"/>
        <v>0</v>
      </c>
      <c r="H2385">
        <f t="shared" si="493"/>
        <v>0</v>
      </c>
      <c r="I2385">
        <f t="shared" si="494"/>
        <v>0</v>
      </c>
      <c r="J2385">
        <f t="shared" si="495"/>
        <v>0</v>
      </c>
      <c r="K2385" s="4" t="e">
        <f t="shared" si="485"/>
        <v>#N/A</v>
      </c>
      <c r="L2385" t="e">
        <f t="shared" si="486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7"/>
        <v>0</v>
      </c>
      <c r="B2386">
        <f t="shared" si="488"/>
        <v>0</v>
      </c>
      <c r="C2386">
        <f t="shared" si="489"/>
        <v>0</v>
      </c>
      <c r="D2386">
        <f t="shared" si="490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1"/>
        <v>0</v>
      </c>
      <c r="G2386">
        <f t="shared" si="492"/>
        <v>0</v>
      </c>
      <c r="H2386">
        <f t="shared" si="493"/>
        <v>0</v>
      </c>
      <c r="I2386">
        <f t="shared" si="494"/>
        <v>0</v>
      </c>
      <c r="J2386">
        <f t="shared" si="495"/>
        <v>0</v>
      </c>
      <c r="K2386" s="4" t="e">
        <f t="shared" si="485"/>
        <v>#N/A</v>
      </c>
      <c r="L2386" t="e">
        <f t="shared" si="486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7"/>
        <v>0</v>
      </c>
      <c r="B2387">
        <f t="shared" si="488"/>
        <v>0</v>
      </c>
      <c r="C2387">
        <f t="shared" si="489"/>
        <v>0</v>
      </c>
      <c r="D2387">
        <f t="shared" si="490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1"/>
        <v>0</v>
      </c>
      <c r="G2387">
        <f t="shared" si="492"/>
        <v>0</v>
      </c>
      <c r="H2387">
        <f t="shared" si="493"/>
        <v>0</v>
      </c>
      <c r="I2387">
        <f t="shared" si="494"/>
        <v>0</v>
      </c>
      <c r="J2387">
        <f t="shared" si="495"/>
        <v>0</v>
      </c>
      <c r="K2387" s="4" t="e">
        <f t="shared" si="485"/>
        <v>#N/A</v>
      </c>
      <c r="L2387" t="e">
        <f t="shared" si="486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7"/>
        <v>0</v>
      </c>
      <c r="B2388">
        <f t="shared" si="488"/>
        <v>0</v>
      </c>
      <c r="C2388">
        <f t="shared" si="489"/>
        <v>0</v>
      </c>
      <c r="D2388">
        <f t="shared" si="490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1"/>
        <v>0</v>
      </c>
      <c r="G2388">
        <f t="shared" si="492"/>
        <v>0</v>
      </c>
      <c r="H2388">
        <f t="shared" si="493"/>
        <v>0</v>
      </c>
      <c r="I2388">
        <f t="shared" si="494"/>
        <v>0</v>
      </c>
      <c r="J2388">
        <f t="shared" si="495"/>
        <v>0</v>
      </c>
      <c r="K2388" s="4" t="e">
        <f t="shared" si="485"/>
        <v>#N/A</v>
      </c>
      <c r="L2388" t="e">
        <f t="shared" si="486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7"/>
        <v>0</v>
      </c>
      <c r="B2389">
        <f t="shared" si="488"/>
        <v>0</v>
      </c>
      <c r="C2389">
        <f t="shared" si="489"/>
        <v>0</v>
      </c>
      <c r="D2389">
        <f t="shared" si="490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1"/>
        <v>0</v>
      </c>
      <c r="G2389">
        <f t="shared" si="492"/>
        <v>0</v>
      </c>
      <c r="H2389">
        <f t="shared" si="493"/>
        <v>0</v>
      </c>
      <c r="I2389">
        <f t="shared" si="494"/>
        <v>0</v>
      </c>
      <c r="J2389">
        <f t="shared" si="495"/>
        <v>0</v>
      </c>
      <c r="K2389" s="4" t="e">
        <f t="shared" si="485"/>
        <v>#N/A</v>
      </c>
      <c r="L2389" t="e">
        <f t="shared" si="486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7"/>
        <v>0</v>
      </c>
      <c r="B2390">
        <f t="shared" si="488"/>
        <v>0</v>
      </c>
      <c r="C2390">
        <f t="shared" si="489"/>
        <v>0</v>
      </c>
      <c r="D2390">
        <f t="shared" si="490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1"/>
        <v>0</v>
      </c>
      <c r="G2390">
        <f t="shared" si="492"/>
        <v>0</v>
      </c>
      <c r="H2390">
        <f t="shared" si="493"/>
        <v>0</v>
      </c>
      <c r="I2390">
        <f t="shared" si="494"/>
        <v>0</v>
      </c>
      <c r="J2390">
        <f t="shared" si="495"/>
        <v>0</v>
      </c>
      <c r="K2390" s="4" t="e">
        <f t="shared" si="485"/>
        <v>#N/A</v>
      </c>
      <c r="L2390" t="e">
        <f t="shared" si="486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7"/>
        <v>0</v>
      </c>
      <c r="B2391">
        <f t="shared" si="488"/>
        <v>0</v>
      </c>
      <c r="C2391">
        <f t="shared" si="489"/>
        <v>0</v>
      </c>
      <c r="D2391">
        <f t="shared" si="490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1"/>
        <v>0</v>
      </c>
      <c r="G2391">
        <f t="shared" si="492"/>
        <v>0</v>
      </c>
      <c r="H2391">
        <f t="shared" si="493"/>
        <v>0</v>
      </c>
      <c r="I2391">
        <f t="shared" si="494"/>
        <v>0</v>
      </c>
      <c r="J2391">
        <f t="shared" si="495"/>
        <v>0</v>
      </c>
      <c r="K2391" s="4" t="e">
        <f t="shared" si="485"/>
        <v>#N/A</v>
      </c>
      <c r="L2391" t="e">
        <f t="shared" si="486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7"/>
        <v>0</v>
      </c>
      <c r="B2392">
        <f t="shared" si="488"/>
        <v>0</v>
      </c>
      <c r="C2392">
        <f t="shared" si="489"/>
        <v>0</v>
      </c>
      <c r="D2392">
        <f t="shared" si="490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1"/>
        <v>0</v>
      </c>
      <c r="G2392">
        <f t="shared" si="492"/>
        <v>0</v>
      </c>
      <c r="H2392">
        <f t="shared" si="493"/>
        <v>0</v>
      </c>
      <c r="I2392">
        <f t="shared" si="494"/>
        <v>0</v>
      </c>
      <c r="J2392">
        <f t="shared" si="495"/>
        <v>0</v>
      </c>
      <c r="K2392" s="4" t="e">
        <f t="shared" si="485"/>
        <v>#N/A</v>
      </c>
      <c r="L2392" t="e">
        <f t="shared" si="486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7"/>
        <v>0</v>
      </c>
      <c r="B2393">
        <f t="shared" si="488"/>
        <v>0</v>
      </c>
      <c r="C2393">
        <f t="shared" si="489"/>
        <v>0</v>
      </c>
      <c r="D2393">
        <f t="shared" si="490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1"/>
        <v>0</v>
      </c>
      <c r="G2393">
        <f t="shared" si="492"/>
        <v>0</v>
      </c>
      <c r="H2393">
        <f t="shared" si="493"/>
        <v>0</v>
      </c>
      <c r="I2393">
        <f t="shared" si="494"/>
        <v>0</v>
      </c>
      <c r="J2393">
        <f t="shared" si="495"/>
        <v>0</v>
      </c>
      <c r="K2393" s="4" t="e">
        <f t="shared" si="485"/>
        <v>#N/A</v>
      </c>
      <c r="L2393" t="e">
        <f t="shared" si="486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7"/>
        <v>0</v>
      </c>
      <c r="B2394">
        <f t="shared" si="488"/>
        <v>0</v>
      </c>
      <c r="C2394">
        <f t="shared" si="489"/>
        <v>0</v>
      </c>
      <c r="D2394">
        <f t="shared" si="490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1"/>
        <v>0</v>
      </c>
      <c r="G2394">
        <f t="shared" si="492"/>
        <v>0</v>
      </c>
      <c r="H2394">
        <f t="shared" si="493"/>
        <v>0</v>
      </c>
      <c r="I2394">
        <f t="shared" si="494"/>
        <v>0</v>
      </c>
      <c r="J2394">
        <f t="shared" si="495"/>
        <v>0</v>
      </c>
      <c r="K2394" s="4" t="e">
        <f t="shared" si="485"/>
        <v>#N/A</v>
      </c>
      <c r="L2394" t="e">
        <f t="shared" si="486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7"/>
        <v>0</v>
      </c>
      <c r="B2395">
        <f t="shared" si="488"/>
        <v>0</v>
      </c>
      <c r="C2395">
        <f t="shared" si="489"/>
        <v>0</v>
      </c>
      <c r="D2395">
        <f t="shared" si="490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1"/>
        <v>0</v>
      </c>
      <c r="G2395">
        <f t="shared" si="492"/>
        <v>0</v>
      </c>
      <c r="H2395">
        <f t="shared" si="493"/>
        <v>0</v>
      </c>
      <c r="I2395">
        <f t="shared" si="494"/>
        <v>0</v>
      </c>
      <c r="J2395">
        <f t="shared" si="495"/>
        <v>0</v>
      </c>
      <c r="K2395" s="4" t="e">
        <f t="shared" si="485"/>
        <v>#N/A</v>
      </c>
      <c r="L2395" t="e">
        <f t="shared" si="486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7"/>
        <v>0</v>
      </c>
      <c r="B2396">
        <f t="shared" si="488"/>
        <v>0</v>
      </c>
      <c r="C2396">
        <f t="shared" si="489"/>
        <v>0</v>
      </c>
      <c r="D2396">
        <f t="shared" si="490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1"/>
        <v>0</v>
      </c>
      <c r="G2396">
        <f t="shared" si="492"/>
        <v>0</v>
      </c>
      <c r="H2396">
        <f t="shared" si="493"/>
        <v>0</v>
      </c>
      <c r="I2396">
        <f t="shared" si="494"/>
        <v>0</v>
      </c>
      <c r="J2396">
        <f t="shared" si="495"/>
        <v>0</v>
      </c>
      <c r="K2396" s="4" t="e">
        <f t="shared" si="485"/>
        <v>#N/A</v>
      </c>
      <c r="L2396" t="e">
        <f t="shared" si="486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7"/>
        <v>0</v>
      </c>
      <c r="B2397">
        <f t="shared" si="488"/>
        <v>0</v>
      </c>
      <c r="C2397">
        <f t="shared" si="489"/>
        <v>0</v>
      </c>
      <c r="D2397">
        <f t="shared" si="490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1"/>
        <v>0</v>
      </c>
      <c r="G2397">
        <f t="shared" si="492"/>
        <v>0</v>
      </c>
      <c r="H2397">
        <f t="shared" si="493"/>
        <v>0</v>
      </c>
      <c r="I2397">
        <f t="shared" si="494"/>
        <v>0</v>
      </c>
      <c r="J2397">
        <f t="shared" si="495"/>
        <v>0</v>
      </c>
      <c r="K2397" s="4" t="e">
        <f t="shared" si="485"/>
        <v>#N/A</v>
      </c>
      <c r="L2397" t="e">
        <f t="shared" si="486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7"/>
        <v>0</v>
      </c>
      <c r="B2398">
        <f t="shared" si="488"/>
        <v>0</v>
      </c>
      <c r="C2398">
        <f t="shared" si="489"/>
        <v>0</v>
      </c>
      <c r="D2398">
        <f t="shared" si="490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1"/>
        <v>0</v>
      </c>
      <c r="G2398">
        <f t="shared" si="492"/>
        <v>0</v>
      </c>
      <c r="H2398">
        <f t="shared" si="493"/>
        <v>0</v>
      </c>
      <c r="I2398">
        <f t="shared" si="494"/>
        <v>0</v>
      </c>
      <c r="J2398">
        <f t="shared" si="495"/>
        <v>0</v>
      </c>
      <c r="K2398" s="4" t="e">
        <f t="shared" si="485"/>
        <v>#N/A</v>
      </c>
      <c r="L2398" t="e">
        <f t="shared" si="486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7"/>
        <v>0</v>
      </c>
      <c r="B2399">
        <f t="shared" si="488"/>
        <v>0</v>
      </c>
      <c r="C2399">
        <f t="shared" si="489"/>
        <v>0</v>
      </c>
      <c r="D2399">
        <f t="shared" si="490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1"/>
        <v>0</v>
      </c>
      <c r="G2399">
        <f t="shared" si="492"/>
        <v>0</v>
      </c>
      <c r="H2399">
        <f t="shared" si="493"/>
        <v>0</v>
      </c>
      <c r="I2399">
        <f t="shared" si="494"/>
        <v>0</v>
      </c>
      <c r="J2399">
        <f t="shared" si="495"/>
        <v>0</v>
      </c>
      <c r="K2399" s="4" t="e">
        <f t="shared" si="485"/>
        <v>#N/A</v>
      </c>
      <c r="L2399" t="e">
        <f t="shared" si="486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7"/>
        <v>0</v>
      </c>
      <c r="B2400">
        <f t="shared" si="488"/>
        <v>0</v>
      </c>
      <c r="C2400">
        <f t="shared" si="489"/>
        <v>0</v>
      </c>
      <c r="D2400">
        <f t="shared" si="490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1"/>
        <v>0</v>
      </c>
      <c r="G2400">
        <f t="shared" si="492"/>
        <v>0</v>
      </c>
      <c r="H2400">
        <f t="shared" si="493"/>
        <v>0</v>
      </c>
      <c r="I2400">
        <f t="shared" si="494"/>
        <v>0</v>
      </c>
      <c r="J2400">
        <f t="shared" si="495"/>
        <v>0</v>
      </c>
      <c r="K2400" s="4" t="e">
        <f t="shared" si="485"/>
        <v>#N/A</v>
      </c>
      <c r="L2400" t="e">
        <f t="shared" si="486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7"/>
        <v>0</v>
      </c>
      <c r="B2401">
        <f t="shared" si="488"/>
        <v>0</v>
      </c>
      <c r="C2401">
        <f t="shared" si="489"/>
        <v>0</v>
      </c>
      <c r="D2401">
        <f t="shared" si="490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1"/>
        <v>0</v>
      </c>
      <c r="G2401">
        <f t="shared" si="492"/>
        <v>0</v>
      </c>
      <c r="H2401">
        <f t="shared" si="493"/>
        <v>0</v>
      </c>
      <c r="I2401">
        <f t="shared" si="494"/>
        <v>0</v>
      </c>
      <c r="J2401">
        <f t="shared" si="495"/>
        <v>0</v>
      </c>
      <c r="K2401" s="4" t="e">
        <f t="shared" si="485"/>
        <v>#N/A</v>
      </c>
      <c r="L2401" t="e">
        <f t="shared" si="486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7"/>
        <v>0</v>
      </c>
      <c r="B2402">
        <f t="shared" si="488"/>
        <v>0</v>
      </c>
      <c r="C2402">
        <f t="shared" si="489"/>
        <v>0</v>
      </c>
      <c r="D2402">
        <f t="shared" si="490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1"/>
        <v>0</v>
      </c>
      <c r="G2402">
        <f t="shared" si="492"/>
        <v>0</v>
      </c>
      <c r="H2402">
        <f t="shared" si="493"/>
        <v>0</v>
      </c>
      <c r="I2402">
        <f t="shared" si="494"/>
        <v>0</v>
      </c>
      <c r="J2402">
        <f t="shared" si="495"/>
        <v>0</v>
      </c>
      <c r="K2402" s="4" t="e">
        <f t="shared" si="485"/>
        <v>#N/A</v>
      </c>
      <c r="L2402" t="e">
        <f t="shared" si="486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7"/>
        <v>0</v>
      </c>
      <c r="B2403">
        <f t="shared" si="488"/>
        <v>0</v>
      </c>
      <c r="C2403">
        <f t="shared" si="489"/>
        <v>0</v>
      </c>
      <c r="D2403">
        <f t="shared" si="490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1"/>
        <v>0</v>
      </c>
      <c r="G2403">
        <f t="shared" si="492"/>
        <v>0</v>
      </c>
      <c r="H2403">
        <f t="shared" si="493"/>
        <v>0</v>
      </c>
      <c r="I2403">
        <f t="shared" si="494"/>
        <v>0</v>
      </c>
      <c r="J2403">
        <f t="shared" si="495"/>
        <v>0</v>
      </c>
      <c r="K2403" s="4" t="e">
        <f t="shared" si="485"/>
        <v>#N/A</v>
      </c>
      <c r="L2403" t="e">
        <f t="shared" si="486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7"/>
        <v>0</v>
      </c>
      <c r="B2404">
        <f t="shared" si="488"/>
        <v>0</v>
      </c>
      <c r="C2404">
        <f t="shared" si="489"/>
        <v>0</v>
      </c>
      <c r="D2404">
        <f t="shared" si="490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1"/>
        <v>0</v>
      </c>
      <c r="G2404">
        <f t="shared" si="492"/>
        <v>0</v>
      </c>
      <c r="H2404">
        <f t="shared" si="493"/>
        <v>0</v>
      </c>
      <c r="I2404">
        <f t="shared" si="494"/>
        <v>0</v>
      </c>
      <c r="J2404">
        <f t="shared" si="495"/>
        <v>0</v>
      </c>
      <c r="K2404" s="4" t="e">
        <f t="shared" si="485"/>
        <v>#N/A</v>
      </c>
      <c r="L2404" t="e">
        <f t="shared" si="486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7"/>
        <v>0</v>
      </c>
      <c r="B2405">
        <f t="shared" si="488"/>
        <v>0</v>
      </c>
      <c r="C2405">
        <f t="shared" si="489"/>
        <v>0</v>
      </c>
      <c r="D2405">
        <f t="shared" si="490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1"/>
        <v>0</v>
      </c>
      <c r="G2405">
        <f t="shared" si="492"/>
        <v>0</v>
      </c>
      <c r="H2405">
        <f t="shared" si="493"/>
        <v>0</v>
      </c>
      <c r="I2405">
        <f t="shared" si="494"/>
        <v>0</v>
      </c>
      <c r="J2405">
        <f t="shared" si="495"/>
        <v>0</v>
      </c>
      <c r="K2405" s="4" t="e">
        <f t="shared" si="485"/>
        <v>#N/A</v>
      </c>
      <c r="L2405" t="e">
        <f t="shared" si="486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7"/>
        <v>0</v>
      </c>
      <c r="B2406">
        <f t="shared" si="488"/>
        <v>0</v>
      </c>
      <c r="C2406">
        <f t="shared" si="489"/>
        <v>0</v>
      </c>
      <c r="D2406">
        <f t="shared" si="490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1"/>
        <v>0</v>
      </c>
      <c r="G2406">
        <f t="shared" si="492"/>
        <v>0</v>
      </c>
      <c r="H2406">
        <f t="shared" si="493"/>
        <v>0</v>
      </c>
      <c r="I2406">
        <f t="shared" si="494"/>
        <v>0</v>
      </c>
      <c r="J2406">
        <f t="shared" si="495"/>
        <v>0</v>
      </c>
      <c r="K2406" s="4" t="e">
        <f t="shared" si="485"/>
        <v>#N/A</v>
      </c>
      <c r="L2406" t="e">
        <f t="shared" si="486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7"/>
        <v>0</v>
      </c>
      <c r="B2407">
        <f t="shared" si="488"/>
        <v>0</v>
      </c>
      <c r="C2407">
        <f t="shared" si="489"/>
        <v>0</v>
      </c>
      <c r="D2407">
        <f t="shared" si="490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1"/>
        <v>0</v>
      </c>
      <c r="G2407">
        <f t="shared" si="492"/>
        <v>0</v>
      </c>
      <c r="H2407">
        <f t="shared" si="493"/>
        <v>0</v>
      </c>
      <c r="I2407">
        <f t="shared" si="494"/>
        <v>0</v>
      </c>
      <c r="J2407">
        <f t="shared" si="495"/>
        <v>0</v>
      </c>
      <c r="K2407" s="4" t="e">
        <f t="shared" si="485"/>
        <v>#N/A</v>
      </c>
      <c r="L2407" t="e">
        <f t="shared" si="486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7"/>
        <v>0</v>
      </c>
      <c r="B2408">
        <f t="shared" si="488"/>
        <v>0</v>
      </c>
      <c r="C2408">
        <f t="shared" si="489"/>
        <v>0</v>
      </c>
      <c r="D2408">
        <f t="shared" si="490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1"/>
        <v>0</v>
      </c>
      <c r="G2408">
        <f t="shared" si="492"/>
        <v>0</v>
      </c>
      <c r="H2408">
        <f t="shared" si="493"/>
        <v>0</v>
      </c>
      <c r="I2408">
        <f t="shared" si="494"/>
        <v>0</v>
      </c>
      <c r="J2408">
        <f t="shared" si="495"/>
        <v>0</v>
      </c>
      <c r="K2408" s="4" t="e">
        <f t="shared" si="485"/>
        <v>#N/A</v>
      </c>
      <c r="L2408" t="e">
        <f t="shared" si="486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7"/>
        <v>0</v>
      </c>
      <c r="B2409">
        <f t="shared" si="488"/>
        <v>0</v>
      </c>
      <c r="C2409">
        <f t="shared" si="489"/>
        <v>0</v>
      </c>
      <c r="D2409">
        <f t="shared" si="490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1"/>
        <v>0</v>
      </c>
      <c r="G2409">
        <f t="shared" si="492"/>
        <v>0</v>
      </c>
      <c r="H2409">
        <f t="shared" si="493"/>
        <v>0</v>
      </c>
      <c r="I2409">
        <f t="shared" si="494"/>
        <v>0</v>
      </c>
      <c r="J2409">
        <f t="shared" si="495"/>
        <v>0</v>
      </c>
      <c r="K2409" s="4" t="e">
        <f t="shared" si="485"/>
        <v>#N/A</v>
      </c>
      <c r="L2409" t="e">
        <f t="shared" si="486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7"/>
        <v>0</v>
      </c>
      <c r="B2410">
        <f t="shared" si="488"/>
        <v>0</v>
      </c>
      <c r="C2410">
        <f t="shared" si="489"/>
        <v>0</v>
      </c>
      <c r="D2410">
        <f t="shared" si="490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1"/>
        <v>0</v>
      </c>
      <c r="G2410">
        <f t="shared" si="492"/>
        <v>0</v>
      </c>
      <c r="H2410">
        <f t="shared" si="493"/>
        <v>0</v>
      </c>
      <c r="I2410">
        <f t="shared" si="494"/>
        <v>0</v>
      </c>
      <c r="J2410">
        <f t="shared" si="495"/>
        <v>0</v>
      </c>
      <c r="K2410" s="4" t="e">
        <f t="shared" si="485"/>
        <v>#N/A</v>
      </c>
      <c r="L2410" t="e">
        <f t="shared" si="486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7"/>
        <v>0</v>
      </c>
      <c r="B2411">
        <f t="shared" si="488"/>
        <v>0</v>
      </c>
      <c r="C2411">
        <f t="shared" si="489"/>
        <v>0</v>
      </c>
      <c r="D2411">
        <f t="shared" si="490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1"/>
        <v>0</v>
      </c>
      <c r="G2411">
        <f t="shared" si="492"/>
        <v>0</v>
      </c>
      <c r="H2411">
        <f t="shared" si="493"/>
        <v>0</v>
      </c>
      <c r="I2411">
        <f t="shared" si="494"/>
        <v>0</v>
      </c>
      <c r="J2411">
        <f t="shared" si="495"/>
        <v>0</v>
      </c>
      <c r="K2411" s="4" t="e">
        <f t="shared" si="485"/>
        <v>#N/A</v>
      </c>
      <c r="L2411" t="e">
        <f t="shared" si="486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7"/>
        <v>0</v>
      </c>
      <c r="B2412">
        <f t="shared" si="488"/>
        <v>0</v>
      </c>
      <c r="C2412">
        <f t="shared" si="489"/>
        <v>0</v>
      </c>
      <c r="D2412">
        <f t="shared" si="490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1"/>
        <v>0</v>
      </c>
      <c r="G2412">
        <f t="shared" si="492"/>
        <v>0</v>
      </c>
      <c r="H2412">
        <f t="shared" si="493"/>
        <v>0</v>
      </c>
      <c r="I2412">
        <f t="shared" si="494"/>
        <v>0</v>
      </c>
      <c r="J2412">
        <f t="shared" si="495"/>
        <v>0</v>
      </c>
      <c r="K2412" s="4" t="e">
        <f t="shared" ref="K2412:K2475" si="498">IF(LEFT(B2412,3)="DBM",0,VLOOKUP(E2412,tabela,2,FALSE))</f>
        <v>#N/A</v>
      </c>
      <c r="L2412" t="e">
        <f t="shared" ref="L2412:L2475" si="499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7"/>
        <v>0</v>
      </c>
      <c r="B2413">
        <f t="shared" si="488"/>
        <v>0</v>
      </c>
      <c r="C2413">
        <f t="shared" si="489"/>
        <v>0</v>
      </c>
      <c r="D2413">
        <f t="shared" si="490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1"/>
        <v>0</v>
      </c>
      <c r="G2413">
        <f t="shared" si="492"/>
        <v>0</v>
      </c>
      <c r="H2413">
        <f t="shared" si="493"/>
        <v>0</v>
      </c>
      <c r="I2413">
        <f t="shared" si="494"/>
        <v>0</v>
      </c>
      <c r="J2413">
        <f t="shared" si="495"/>
        <v>0</v>
      </c>
      <c r="K2413" s="4" t="e">
        <f t="shared" si="498"/>
        <v>#N/A</v>
      </c>
      <c r="L2413" t="e">
        <f t="shared" si="499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7"/>
        <v>0</v>
      </c>
      <c r="B2414">
        <f t="shared" si="488"/>
        <v>0</v>
      </c>
      <c r="C2414">
        <f t="shared" si="489"/>
        <v>0</v>
      </c>
      <c r="D2414">
        <f t="shared" si="490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1"/>
        <v>0</v>
      </c>
      <c r="G2414">
        <f t="shared" si="492"/>
        <v>0</v>
      </c>
      <c r="H2414">
        <f t="shared" si="493"/>
        <v>0</v>
      </c>
      <c r="I2414">
        <f t="shared" si="494"/>
        <v>0</v>
      </c>
      <c r="J2414">
        <f t="shared" si="495"/>
        <v>0</v>
      </c>
      <c r="K2414" s="4" t="e">
        <f t="shared" si="498"/>
        <v>#N/A</v>
      </c>
      <c r="L2414" t="e">
        <f t="shared" si="499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7"/>
        <v>0</v>
      </c>
      <c r="B2415">
        <f t="shared" si="488"/>
        <v>0</v>
      </c>
      <c r="C2415">
        <f t="shared" si="489"/>
        <v>0</v>
      </c>
      <c r="D2415">
        <f t="shared" si="490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1"/>
        <v>0</v>
      </c>
      <c r="G2415">
        <f t="shared" si="492"/>
        <v>0</v>
      </c>
      <c r="H2415">
        <f t="shared" si="493"/>
        <v>0</v>
      </c>
      <c r="I2415">
        <f t="shared" si="494"/>
        <v>0</v>
      </c>
      <c r="J2415">
        <f t="shared" si="495"/>
        <v>0</v>
      </c>
      <c r="K2415" s="4" t="e">
        <f t="shared" si="498"/>
        <v>#N/A</v>
      </c>
      <c r="L2415" t="e">
        <f t="shared" si="499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7"/>
        <v>0</v>
      </c>
      <c r="B2416">
        <f t="shared" si="488"/>
        <v>0</v>
      </c>
      <c r="C2416">
        <f t="shared" si="489"/>
        <v>0</v>
      </c>
      <c r="D2416">
        <f t="shared" si="490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1"/>
        <v>0</v>
      </c>
      <c r="G2416">
        <f t="shared" si="492"/>
        <v>0</v>
      </c>
      <c r="H2416">
        <f t="shared" si="493"/>
        <v>0</v>
      </c>
      <c r="I2416">
        <f t="shared" si="494"/>
        <v>0</v>
      </c>
      <c r="J2416">
        <f t="shared" si="495"/>
        <v>0</v>
      </c>
      <c r="K2416" s="4" t="e">
        <f t="shared" si="498"/>
        <v>#N/A</v>
      </c>
      <c r="L2416" t="e">
        <f t="shared" si="499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7"/>
        <v>0</v>
      </c>
      <c r="B2417">
        <f t="shared" si="488"/>
        <v>0</v>
      </c>
      <c r="C2417">
        <f t="shared" si="489"/>
        <v>0</v>
      </c>
      <c r="D2417">
        <f t="shared" si="490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1"/>
        <v>0</v>
      </c>
      <c r="G2417">
        <f t="shared" si="492"/>
        <v>0</v>
      </c>
      <c r="H2417">
        <f t="shared" si="493"/>
        <v>0</v>
      </c>
      <c r="I2417">
        <f t="shared" si="494"/>
        <v>0</v>
      </c>
      <c r="J2417">
        <f t="shared" si="495"/>
        <v>0</v>
      </c>
      <c r="K2417" s="4" t="e">
        <f t="shared" si="498"/>
        <v>#N/A</v>
      </c>
      <c r="L2417" t="e">
        <f t="shared" si="499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7"/>
        <v>0</v>
      </c>
      <c r="B2418">
        <f t="shared" si="488"/>
        <v>0</v>
      </c>
      <c r="C2418">
        <f t="shared" si="489"/>
        <v>0</v>
      </c>
      <c r="D2418">
        <f t="shared" si="490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1"/>
        <v>0</v>
      </c>
      <c r="G2418">
        <f t="shared" si="492"/>
        <v>0</v>
      </c>
      <c r="H2418">
        <f t="shared" si="493"/>
        <v>0</v>
      </c>
      <c r="I2418">
        <f t="shared" si="494"/>
        <v>0</v>
      </c>
      <c r="J2418">
        <f t="shared" si="495"/>
        <v>0</v>
      </c>
      <c r="K2418" s="4" t="e">
        <f t="shared" si="498"/>
        <v>#N/A</v>
      </c>
      <c r="L2418" t="e">
        <f t="shared" si="499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7"/>
        <v>0</v>
      </c>
      <c r="B2419">
        <f t="shared" si="488"/>
        <v>0</v>
      </c>
      <c r="C2419">
        <f t="shared" si="489"/>
        <v>0</v>
      </c>
      <c r="D2419">
        <f t="shared" si="490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1"/>
        <v>0</v>
      </c>
      <c r="G2419">
        <f t="shared" si="492"/>
        <v>0</v>
      </c>
      <c r="H2419">
        <f t="shared" si="493"/>
        <v>0</v>
      </c>
      <c r="I2419">
        <f t="shared" si="494"/>
        <v>0</v>
      </c>
      <c r="J2419">
        <f t="shared" si="495"/>
        <v>0</v>
      </c>
      <c r="K2419" s="4" t="e">
        <f t="shared" si="498"/>
        <v>#N/A</v>
      </c>
      <c r="L2419" t="e">
        <f t="shared" si="499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7"/>
        <v>0</v>
      </c>
      <c r="B2420">
        <f t="shared" si="488"/>
        <v>0</v>
      </c>
      <c r="C2420">
        <f t="shared" si="489"/>
        <v>0</v>
      </c>
      <c r="D2420">
        <f t="shared" si="490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1"/>
        <v>0</v>
      </c>
      <c r="G2420">
        <f t="shared" si="492"/>
        <v>0</v>
      </c>
      <c r="H2420">
        <f t="shared" si="493"/>
        <v>0</v>
      </c>
      <c r="I2420">
        <f t="shared" si="494"/>
        <v>0</v>
      </c>
      <c r="J2420">
        <f t="shared" si="495"/>
        <v>0</v>
      </c>
      <c r="K2420" s="4" t="e">
        <f t="shared" si="498"/>
        <v>#N/A</v>
      </c>
      <c r="L2420" t="e">
        <f t="shared" si="499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7"/>
        <v>0</v>
      </c>
      <c r="B2421">
        <f t="shared" si="488"/>
        <v>0</v>
      </c>
      <c r="C2421">
        <f t="shared" si="489"/>
        <v>0</v>
      </c>
      <c r="D2421">
        <f t="shared" si="490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1"/>
        <v>0</v>
      </c>
      <c r="G2421">
        <f t="shared" si="492"/>
        <v>0</v>
      </c>
      <c r="H2421">
        <f t="shared" si="493"/>
        <v>0</v>
      </c>
      <c r="I2421">
        <f t="shared" si="494"/>
        <v>0</v>
      </c>
      <c r="J2421">
        <f t="shared" si="495"/>
        <v>0</v>
      </c>
      <c r="K2421" s="4" t="e">
        <f t="shared" si="498"/>
        <v>#N/A</v>
      </c>
      <c r="L2421" t="e">
        <f t="shared" si="499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7"/>
        <v>0</v>
      </c>
      <c r="B2422">
        <f t="shared" si="488"/>
        <v>0</v>
      </c>
      <c r="C2422">
        <f t="shared" si="489"/>
        <v>0</v>
      </c>
      <c r="D2422">
        <f t="shared" si="490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1"/>
        <v>0</v>
      </c>
      <c r="G2422">
        <f t="shared" si="492"/>
        <v>0</v>
      </c>
      <c r="H2422">
        <f t="shared" si="493"/>
        <v>0</v>
      </c>
      <c r="I2422">
        <f t="shared" si="494"/>
        <v>0</v>
      </c>
      <c r="J2422">
        <f t="shared" si="495"/>
        <v>0</v>
      </c>
      <c r="K2422" s="4" t="e">
        <f t="shared" si="498"/>
        <v>#N/A</v>
      </c>
      <c r="L2422" t="e">
        <f t="shared" si="499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7"/>
        <v>0</v>
      </c>
      <c r="B2423">
        <f t="shared" si="488"/>
        <v>0</v>
      </c>
      <c r="C2423">
        <f t="shared" si="489"/>
        <v>0</v>
      </c>
      <c r="D2423">
        <f t="shared" si="490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1"/>
        <v>0</v>
      </c>
      <c r="G2423">
        <f t="shared" si="492"/>
        <v>0</v>
      </c>
      <c r="H2423">
        <f t="shared" si="493"/>
        <v>0</v>
      </c>
      <c r="I2423">
        <f t="shared" si="494"/>
        <v>0</v>
      </c>
      <c r="J2423">
        <f t="shared" si="495"/>
        <v>0</v>
      </c>
      <c r="K2423" s="4" t="e">
        <f t="shared" si="498"/>
        <v>#N/A</v>
      </c>
      <c r="L2423" t="e">
        <f t="shared" si="499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7"/>
        <v>0</v>
      </c>
      <c r="B2424">
        <f t="shared" si="488"/>
        <v>0</v>
      </c>
      <c r="C2424">
        <f t="shared" si="489"/>
        <v>0</v>
      </c>
      <c r="D2424">
        <f t="shared" si="490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1"/>
        <v>0</v>
      </c>
      <c r="G2424">
        <f t="shared" si="492"/>
        <v>0</v>
      </c>
      <c r="H2424">
        <f t="shared" si="493"/>
        <v>0</v>
      </c>
      <c r="I2424">
        <f t="shared" si="494"/>
        <v>0</v>
      </c>
      <c r="J2424">
        <f t="shared" si="495"/>
        <v>0</v>
      </c>
      <c r="K2424" s="4" t="e">
        <f t="shared" si="498"/>
        <v>#N/A</v>
      </c>
      <c r="L2424" t="e">
        <f t="shared" si="499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7"/>
        <v>0</v>
      </c>
      <c r="B2425">
        <f t="shared" si="488"/>
        <v>0</v>
      </c>
      <c r="C2425">
        <f t="shared" si="489"/>
        <v>0</v>
      </c>
      <c r="D2425">
        <f t="shared" si="490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1"/>
        <v>0</v>
      </c>
      <c r="G2425">
        <f t="shared" si="492"/>
        <v>0</v>
      </c>
      <c r="H2425">
        <f t="shared" si="493"/>
        <v>0</v>
      </c>
      <c r="I2425">
        <f t="shared" si="494"/>
        <v>0</v>
      </c>
      <c r="J2425">
        <f t="shared" si="495"/>
        <v>0</v>
      </c>
      <c r="K2425" s="4" t="e">
        <f t="shared" si="498"/>
        <v>#N/A</v>
      </c>
      <c r="L2425" t="e">
        <f t="shared" si="499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7"/>
        <v>0</v>
      </c>
      <c r="B2426">
        <f t="shared" si="488"/>
        <v>0</v>
      </c>
      <c r="C2426">
        <f t="shared" si="489"/>
        <v>0</v>
      </c>
      <c r="D2426">
        <f t="shared" si="490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1"/>
        <v>0</v>
      </c>
      <c r="G2426">
        <f t="shared" si="492"/>
        <v>0</v>
      </c>
      <c r="H2426">
        <f t="shared" si="493"/>
        <v>0</v>
      </c>
      <c r="I2426">
        <f t="shared" si="494"/>
        <v>0</v>
      </c>
      <c r="J2426">
        <f t="shared" si="495"/>
        <v>0</v>
      </c>
      <c r="K2426" s="4" t="e">
        <f t="shared" si="498"/>
        <v>#N/A</v>
      </c>
      <c r="L2426" t="e">
        <f t="shared" si="499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7"/>
        <v>0</v>
      </c>
      <c r="B2427">
        <f t="shared" si="488"/>
        <v>0</v>
      </c>
      <c r="C2427">
        <f t="shared" si="489"/>
        <v>0</v>
      </c>
      <c r="D2427">
        <f t="shared" si="490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1"/>
        <v>0</v>
      </c>
      <c r="G2427">
        <f t="shared" si="492"/>
        <v>0</v>
      </c>
      <c r="H2427">
        <f t="shared" si="493"/>
        <v>0</v>
      </c>
      <c r="I2427">
        <f t="shared" si="494"/>
        <v>0</v>
      </c>
      <c r="J2427">
        <f t="shared" si="495"/>
        <v>0</v>
      </c>
      <c r="K2427" s="4" t="e">
        <f t="shared" si="498"/>
        <v>#N/A</v>
      </c>
      <c r="L2427" t="e">
        <f t="shared" si="499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7"/>
        <v>0</v>
      </c>
      <c r="B2428">
        <f t="shared" si="488"/>
        <v>0</v>
      </c>
      <c r="C2428">
        <f t="shared" si="489"/>
        <v>0</v>
      </c>
      <c r="D2428">
        <f t="shared" si="490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1"/>
        <v>0</v>
      </c>
      <c r="G2428">
        <f t="shared" si="492"/>
        <v>0</v>
      </c>
      <c r="H2428">
        <f t="shared" si="493"/>
        <v>0</v>
      </c>
      <c r="I2428">
        <f t="shared" si="494"/>
        <v>0</v>
      </c>
      <c r="J2428">
        <f t="shared" si="495"/>
        <v>0</v>
      </c>
      <c r="K2428" s="4" t="e">
        <f t="shared" si="498"/>
        <v>#N/A</v>
      </c>
      <c r="L2428" t="e">
        <f t="shared" si="499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7"/>
        <v>0</v>
      </c>
      <c r="B2429">
        <f t="shared" si="488"/>
        <v>0</v>
      </c>
      <c r="C2429">
        <f t="shared" si="489"/>
        <v>0</v>
      </c>
      <c r="D2429">
        <f t="shared" si="490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1"/>
        <v>0</v>
      </c>
      <c r="G2429">
        <f t="shared" si="492"/>
        <v>0</v>
      </c>
      <c r="H2429">
        <f t="shared" si="493"/>
        <v>0</v>
      </c>
      <c r="I2429">
        <f t="shared" si="494"/>
        <v>0</v>
      </c>
      <c r="J2429">
        <f t="shared" si="495"/>
        <v>0</v>
      </c>
      <c r="K2429" s="4" t="e">
        <f t="shared" si="498"/>
        <v>#N/A</v>
      </c>
      <c r="L2429" t="e">
        <f t="shared" si="499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7"/>
        <v>0</v>
      </c>
      <c r="B2430">
        <f t="shared" si="488"/>
        <v>0</v>
      </c>
      <c r="C2430">
        <f t="shared" si="489"/>
        <v>0</v>
      </c>
      <c r="D2430">
        <f t="shared" si="490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1"/>
        <v>0</v>
      </c>
      <c r="G2430">
        <f t="shared" si="492"/>
        <v>0</v>
      </c>
      <c r="H2430">
        <f t="shared" si="493"/>
        <v>0</v>
      </c>
      <c r="I2430">
        <f t="shared" si="494"/>
        <v>0</v>
      </c>
      <c r="J2430">
        <f t="shared" si="495"/>
        <v>0</v>
      </c>
      <c r="K2430" s="4" t="e">
        <f t="shared" si="498"/>
        <v>#N/A</v>
      </c>
      <c r="L2430" t="e">
        <f t="shared" si="499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7"/>
        <v>0</v>
      </c>
      <c r="B2431">
        <f t="shared" si="488"/>
        <v>0</v>
      </c>
      <c r="C2431">
        <f t="shared" si="489"/>
        <v>0</v>
      </c>
      <c r="D2431">
        <f t="shared" si="490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1"/>
        <v>0</v>
      </c>
      <c r="G2431">
        <f t="shared" si="492"/>
        <v>0</v>
      </c>
      <c r="H2431">
        <f t="shared" si="493"/>
        <v>0</v>
      </c>
      <c r="I2431">
        <f t="shared" si="494"/>
        <v>0</v>
      </c>
      <c r="J2431">
        <f t="shared" si="495"/>
        <v>0</v>
      </c>
      <c r="K2431" s="4" t="e">
        <f t="shared" si="498"/>
        <v>#N/A</v>
      </c>
      <c r="L2431" t="e">
        <f t="shared" si="499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7"/>
        <v>0</v>
      </c>
      <c r="B2432">
        <f t="shared" si="488"/>
        <v>0</v>
      </c>
      <c r="C2432">
        <f t="shared" si="489"/>
        <v>0</v>
      </c>
      <c r="D2432">
        <f t="shared" si="490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1"/>
        <v>0</v>
      </c>
      <c r="G2432">
        <f t="shared" si="492"/>
        <v>0</v>
      </c>
      <c r="H2432">
        <f t="shared" si="493"/>
        <v>0</v>
      </c>
      <c r="I2432">
        <f t="shared" si="494"/>
        <v>0</v>
      </c>
      <c r="J2432">
        <f t="shared" si="495"/>
        <v>0</v>
      </c>
      <c r="K2432" s="4" t="e">
        <f t="shared" si="498"/>
        <v>#N/A</v>
      </c>
      <c r="L2432" t="e">
        <f t="shared" si="499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7"/>
        <v>0</v>
      </c>
      <c r="B2433">
        <f t="shared" si="488"/>
        <v>0</v>
      </c>
      <c r="C2433">
        <f t="shared" si="489"/>
        <v>0</v>
      </c>
      <c r="D2433">
        <f t="shared" si="490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1"/>
        <v>0</v>
      </c>
      <c r="G2433">
        <f t="shared" si="492"/>
        <v>0</v>
      </c>
      <c r="H2433">
        <f t="shared" si="493"/>
        <v>0</v>
      </c>
      <c r="I2433">
        <f t="shared" si="494"/>
        <v>0</v>
      </c>
      <c r="J2433">
        <f t="shared" si="495"/>
        <v>0</v>
      </c>
      <c r="K2433" s="4" t="e">
        <f t="shared" si="498"/>
        <v>#N/A</v>
      </c>
      <c r="L2433" t="e">
        <f t="shared" si="499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500">bd_campaign</f>
        <v>0</v>
      </c>
      <c r="B2434">
        <f t="shared" ref="B2434:B2497" si="501">bd_site</f>
        <v>0</v>
      </c>
      <c r="C2434">
        <f t="shared" ref="C2434:C2497" si="502">bd_placement</f>
        <v>0</v>
      </c>
      <c r="D2434">
        <f t="shared" ref="D2434:D2497" si="503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4">bd_ad</f>
        <v>0</v>
      </c>
      <c r="G2434">
        <f t="shared" ref="G2434:G2497" si="505">bd_adid</f>
        <v>0</v>
      </c>
      <c r="H2434">
        <f t="shared" ref="H2434:H2497" si="506">bd_creativetype</f>
        <v>0</v>
      </c>
      <c r="I2434">
        <f t="shared" ref="I2434:I2497" si="507">bd_impression</f>
        <v>0</v>
      </c>
      <c r="J2434">
        <f t="shared" ref="J2434:J2497" si="508">bd_clicks</f>
        <v>0</v>
      </c>
      <c r="K2434" s="4" t="e">
        <f t="shared" si="498"/>
        <v>#N/A</v>
      </c>
      <c r="L2434" t="e">
        <f t="shared" si="499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500"/>
        <v>0</v>
      </c>
      <c r="B2435">
        <f t="shared" si="501"/>
        <v>0</v>
      </c>
      <c r="C2435">
        <f t="shared" si="502"/>
        <v>0</v>
      </c>
      <c r="D2435">
        <f t="shared" si="503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4"/>
        <v>0</v>
      </c>
      <c r="G2435">
        <f t="shared" si="505"/>
        <v>0</v>
      </c>
      <c r="H2435">
        <f t="shared" si="506"/>
        <v>0</v>
      </c>
      <c r="I2435">
        <f t="shared" si="507"/>
        <v>0</v>
      </c>
      <c r="J2435">
        <f t="shared" si="508"/>
        <v>0</v>
      </c>
      <c r="K2435" s="4" t="e">
        <f t="shared" si="498"/>
        <v>#N/A</v>
      </c>
      <c r="L2435" t="e">
        <f t="shared" si="499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500"/>
        <v>0</v>
      </c>
      <c r="B2436">
        <f t="shared" si="501"/>
        <v>0</v>
      </c>
      <c r="C2436">
        <f t="shared" si="502"/>
        <v>0</v>
      </c>
      <c r="D2436">
        <f t="shared" si="503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4"/>
        <v>0</v>
      </c>
      <c r="G2436">
        <f t="shared" si="505"/>
        <v>0</v>
      </c>
      <c r="H2436">
        <f t="shared" si="506"/>
        <v>0</v>
      </c>
      <c r="I2436">
        <f t="shared" si="507"/>
        <v>0</v>
      </c>
      <c r="J2436">
        <f t="shared" si="508"/>
        <v>0</v>
      </c>
      <c r="K2436" s="4" t="e">
        <f t="shared" si="498"/>
        <v>#N/A</v>
      </c>
      <c r="L2436" t="e">
        <f t="shared" si="499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500"/>
        <v>0</v>
      </c>
      <c r="B2437">
        <f t="shared" si="501"/>
        <v>0</v>
      </c>
      <c r="C2437">
        <f t="shared" si="502"/>
        <v>0</v>
      </c>
      <c r="D2437">
        <f t="shared" si="503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4"/>
        <v>0</v>
      </c>
      <c r="G2437">
        <f t="shared" si="505"/>
        <v>0</v>
      </c>
      <c r="H2437">
        <f t="shared" si="506"/>
        <v>0</v>
      </c>
      <c r="I2437">
        <f t="shared" si="507"/>
        <v>0</v>
      </c>
      <c r="J2437">
        <f t="shared" si="508"/>
        <v>0</v>
      </c>
      <c r="K2437" s="4" t="e">
        <f t="shared" si="498"/>
        <v>#N/A</v>
      </c>
      <c r="L2437" t="e">
        <f t="shared" si="499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500"/>
        <v>0</v>
      </c>
      <c r="B2438">
        <f t="shared" si="501"/>
        <v>0</v>
      </c>
      <c r="C2438">
        <f t="shared" si="502"/>
        <v>0</v>
      </c>
      <c r="D2438">
        <f t="shared" si="503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4"/>
        <v>0</v>
      </c>
      <c r="G2438">
        <f t="shared" si="505"/>
        <v>0</v>
      </c>
      <c r="H2438">
        <f t="shared" si="506"/>
        <v>0</v>
      </c>
      <c r="I2438">
        <f t="shared" si="507"/>
        <v>0</v>
      </c>
      <c r="J2438">
        <f t="shared" si="508"/>
        <v>0</v>
      </c>
      <c r="K2438" s="4" t="e">
        <f t="shared" si="498"/>
        <v>#N/A</v>
      </c>
      <c r="L2438" t="e">
        <f t="shared" si="499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500"/>
        <v>0</v>
      </c>
      <c r="B2439">
        <f t="shared" si="501"/>
        <v>0</v>
      </c>
      <c r="C2439">
        <f t="shared" si="502"/>
        <v>0</v>
      </c>
      <c r="D2439">
        <f t="shared" si="503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4"/>
        <v>0</v>
      </c>
      <c r="G2439">
        <f t="shared" si="505"/>
        <v>0</v>
      </c>
      <c r="H2439">
        <f t="shared" si="506"/>
        <v>0</v>
      </c>
      <c r="I2439">
        <f t="shared" si="507"/>
        <v>0</v>
      </c>
      <c r="J2439">
        <f t="shared" si="508"/>
        <v>0</v>
      </c>
      <c r="K2439" s="4" t="e">
        <f t="shared" si="498"/>
        <v>#N/A</v>
      </c>
      <c r="L2439" t="e">
        <f t="shared" si="499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500"/>
        <v>0</v>
      </c>
      <c r="B2440">
        <f t="shared" si="501"/>
        <v>0</v>
      </c>
      <c r="C2440">
        <f t="shared" si="502"/>
        <v>0</v>
      </c>
      <c r="D2440">
        <f t="shared" si="503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4"/>
        <v>0</v>
      </c>
      <c r="G2440">
        <f t="shared" si="505"/>
        <v>0</v>
      </c>
      <c r="H2440">
        <f t="shared" si="506"/>
        <v>0</v>
      </c>
      <c r="I2440">
        <f t="shared" si="507"/>
        <v>0</v>
      </c>
      <c r="J2440">
        <f t="shared" si="508"/>
        <v>0</v>
      </c>
      <c r="K2440" s="4" t="e">
        <f t="shared" si="498"/>
        <v>#N/A</v>
      </c>
      <c r="L2440" t="e">
        <f t="shared" si="499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500"/>
        <v>0</v>
      </c>
      <c r="B2441">
        <f t="shared" si="501"/>
        <v>0</v>
      </c>
      <c r="C2441">
        <f t="shared" si="502"/>
        <v>0</v>
      </c>
      <c r="D2441">
        <f t="shared" si="503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4"/>
        <v>0</v>
      </c>
      <c r="G2441">
        <f t="shared" si="505"/>
        <v>0</v>
      </c>
      <c r="H2441">
        <f t="shared" si="506"/>
        <v>0</v>
      </c>
      <c r="I2441">
        <f t="shared" si="507"/>
        <v>0</v>
      </c>
      <c r="J2441">
        <f t="shared" si="508"/>
        <v>0</v>
      </c>
      <c r="K2441" s="4" t="e">
        <f t="shared" si="498"/>
        <v>#N/A</v>
      </c>
      <c r="L2441" t="e">
        <f t="shared" si="499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500"/>
        <v>0</v>
      </c>
      <c r="B2442">
        <f t="shared" si="501"/>
        <v>0</v>
      </c>
      <c r="C2442">
        <f t="shared" si="502"/>
        <v>0</v>
      </c>
      <c r="D2442">
        <f t="shared" si="503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4"/>
        <v>0</v>
      </c>
      <c r="G2442">
        <f t="shared" si="505"/>
        <v>0</v>
      </c>
      <c r="H2442">
        <f t="shared" si="506"/>
        <v>0</v>
      </c>
      <c r="I2442">
        <f t="shared" si="507"/>
        <v>0</v>
      </c>
      <c r="J2442">
        <f t="shared" si="508"/>
        <v>0</v>
      </c>
      <c r="K2442" s="4" t="e">
        <f t="shared" si="498"/>
        <v>#N/A</v>
      </c>
      <c r="L2442" t="e">
        <f t="shared" si="499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500"/>
        <v>0</v>
      </c>
      <c r="B2443">
        <f t="shared" si="501"/>
        <v>0</v>
      </c>
      <c r="C2443">
        <f t="shared" si="502"/>
        <v>0</v>
      </c>
      <c r="D2443">
        <f t="shared" si="503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4"/>
        <v>0</v>
      </c>
      <c r="G2443">
        <f t="shared" si="505"/>
        <v>0</v>
      </c>
      <c r="H2443">
        <f t="shared" si="506"/>
        <v>0</v>
      </c>
      <c r="I2443">
        <f t="shared" si="507"/>
        <v>0</v>
      </c>
      <c r="J2443">
        <f t="shared" si="508"/>
        <v>0</v>
      </c>
      <c r="K2443" s="4" t="e">
        <f t="shared" si="498"/>
        <v>#N/A</v>
      </c>
      <c r="L2443" t="e">
        <f t="shared" si="499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500"/>
        <v>0</v>
      </c>
      <c r="B2444">
        <f t="shared" si="501"/>
        <v>0</v>
      </c>
      <c r="C2444">
        <f t="shared" si="502"/>
        <v>0</v>
      </c>
      <c r="D2444">
        <f t="shared" si="503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4"/>
        <v>0</v>
      </c>
      <c r="G2444">
        <f t="shared" si="505"/>
        <v>0</v>
      </c>
      <c r="H2444">
        <f t="shared" si="506"/>
        <v>0</v>
      </c>
      <c r="I2444">
        <f t="shared" si="507"/>
        <v>0</v>
      </c>
      <c r="J2444">
        <f t="shared" si="508"/>
        <v>0</v>
      </c>
      <c r="K2444" s="4" t="e">
        <f t="shared" si="498"/>
        <v>#N/A</v>
      </c>
      <c r="L2444" t="e">
        <f t="shared" si="499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500"/>
        <v>0</v>
      </c>
      <c r="B2445">
        <f t="shared" si="501"/>
        <v>0</v>
      </c>
      <c r="C2445">
        <f t="shared" si="502"/>
        <v>0</v>
      </c>
      <c r="D2445">
        <f t="shared" si="503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4"/>
        <v>0</v>
      </c>
      <c r="G2445">
        <f t="shared" si="505"/>
        <v>0</v>
      </c>
      <c r="H2445">
        <f t="shared" si="506"/>
        <v>0</v>
      </c>
      <c r="I2445">
        <f t="shared" si="507"/>
        <v>0</v>
      </c>
      <c r="J2445">
        <f t="shared" si="508"/>
        <v>0</v>
      </c>
      <c r="K2445" s="4" t="e">
        <f t="shared" si="498"/>
        <v>#N/A</v>
      </c>
      <c r="L2445" t="e">
        <f t="shared" si="499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500"/>
        <v>0</v>
      </c>
      <c r="B2446">
        <f t="shared" si="501"/>
        <v>0</v>
      </c>
      <c r="C2446">
        <f t="shared" si="502"/>
        <v>0</v>
      </c>
      <c r="D2446">
        <f t="shared" si="503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4"/>
        <v>0</v>
      </c>
      <c r="G2446">
        <f t="shared" si="505"/>
        <v>0</v>
      </c>
      <c r="H2446">
        <f t="shared" si="506"/>
        <v>0</v>
      </c>
      <c r="I2446">
        <f t="shared" si="507"/>
        <v>0</v>
      </c>
      <c r="J2446">
        <f t="shared" si="508"/>
        <v>0</v>
      </c>
      <c r="K2446" s="4" t="e">
        <f t="shared" si="498"/>
        <v>#N/A</v>
      </c>
      <c r="L2446" t="e">
        <f t="shared" si="499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500"/>
        <v>0</v>
      </c>
      <c r="B2447">
        <f t="shared" si="501"/>
        <v>0</v>
      </c>
      <c r="C2447">
        <f t="shared" si="502"/>
        <v>0</v>
      </c>
      <c r="D2447">
        <f t="shared" si="503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4"/>
        <v>0</v>
      </c>
      <c r="G2447">
        <f t="shared" si="505"/>
        <v>0</v>
      </c>
      <c r="H2447">
        <f t="shared" si="506"/>
        <v>0</v>
      </c>
      <c r="I2447">
        <f t="shared" si="507"/>
        <v>0</v>
      </c>
      <c r="J2447">
        <f t="shared" si="508"/>
        <v>0</v>
      </c>
      <c r="K2447" s="4" t="e">
        <f t="shared" si="498"/>
        <v>#N/A</v>
      </c>
      <c r="L2447" t="e">
        <f t="shared" si="499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500"/>
        <v>0</v>
      </c>
      <c r="B2448">
        <f t="shared" si="501"/>
        <v>0</v>
      </c>
      <c r="C2448">
        <f t="shared" si="502"/>
        <v>0</v>
      </c>
      <c r="D2448">
        <f t="shared" si="503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4"/>
        <v>0</v>
      </c>
      <c r="G2448">
        <f t="shared" si="505"/>
        <v>0</v>
      </c>
      <c r="H2448">
        <f t="shared" si="506"/>
        <v>0</v>
      </c>
      <c r="I2448">
        <f t="shared" si="507"/>
        <v>0</v>
      </c>
      <c r="J2448">
        <f t="shared" si="508"/>
        <v>0</v>
      </c>
      <c r="K2448" s="4" t="e">
        <f t="shared" si="498"/>
        <v>#N/A</v>
      </c>
      <c r="L2448" t="e">
        <f t="shared" si="499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500"/>
        <v>0</v>
      </c>
      <c r="B2449">
        <f t="shared" si="501"/>
        <v>0</v>
      </c>
      <c r="C2449">
        <f t="shared" si="502"/>
        <v>0</v>
      </c>
      <c r="D2449">
        <f t="shared" si="503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4"/>
        <v>0</v>
      </c>
      <c r="G2449">
        <f t="shared" si="505"/>
        <v>0</v>
      </c>
      <c r="H2449">
        <f t="shared" si="506"/>
        <v>0</v>
      </c>
      <c r="I2449">
        <f t="shared" si="507"/>
        <v>0</v>
      </c>
      <c r="J2449">
        <f t="shared" si="508"/>
        <v>0</v>
      </c>
      <c r="K2449" s="4" t="e">
        <f t="shared" si="498"/>
        <v>#N/A</v>
      </c>
      <c r="L2449" t="e">
        <f t="shared" si="499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500"/>
        <v>0</v>
      </c>
      <c r="B2450">
        <f t="shared" si="501"/>
        <v>0</v>
      </c>
      <c r="C2450">
        <f t="shared" si="502"/>
        <v>0</v>
      </c>
      <c r="D2450">
        <f t="shared" si="503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4"/>
        <v>0</v>
      </c>
      <c r="G2450">
        <f t="shared" si="505"/>
        <v>0</v>
      </c>
      <c r="H2450">
        <f t="shared" si="506"/>
        <v>0</v>
      </c>
      <c r="I2450">
        <f t="shared" si="507"/>
        <v>0</v>
      </c>
      <c r="J2450">
        <f t="shared" si="508"/>
        <v>0</v>
      </c>
      <c r="K2450" s="4" t="e">
        <f t="shared" si="498"/>
        <v>#N/A</v>
      </c>
      <c r="L2450" t="e">
        <f t="shared" si="499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500"/>
        <v>0</v>
      </c>
      <c r="B2451">
        <f t="shared" si="501"/>
        <v>0</v>
      </c>
      <c r="C2451">
        <f t="shared" si="502"/>
        <v>0</v>
      </c>
      <c r="D2451">
        <f t="shared" si="503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4"/>
        <v>0</v>
      </c>
      <c r="G2451">
        <f t="shared" si="505"/>
        <v>0</v>
      </c>
      <c r="H2451">
        <f t="shared" si="506"/>
        <v>0</v>
      </c>
      <c r="I2451">
        <f t="shared" si="507"/>
        <v>0</v>
      </c>
      <c r="J2451">
        <f t="shared" si="508"/>
        <v>0</v>
      </c>
      <c r="K2451" s="4" t="e">
        <f t="shared" si="498"/>
        <v>#N/A</v>
      </c>
      <c r="L2451" t="e">
        <f t="shared" si="499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500"/>
        <v>0</v>
      </c>
      <c r="B2452">
        <f t="shared" si="501"/>
        <v>0</v>
      </c>
      <c r="C2452">
        <f t="shared" si="502"/>
        <v>0</v>
      </c>
      <c r="D2452">
        <f t="shared" si="503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4"/>
        <v>0</v>
      </c>
      <c r="G2452">
        <f t="shared" si="505"/>
        <v>0</v>
      </c>
      <c r="H2452">
        <f t="shared" si="506"/>
        <v>0</v>
      </c>
      <c r="I2452">
        <f t="shared" si="507"/>
        <v>0</v>
      </c>
      <c r="J2452">
        <f t="shared" si="508"/>
        <v>0</v>
      </c>
      <c r="K2452" s="4" t="e">
        <f t="shared" si="498"/>
        <v>#N/A</v>
      </c>
      <c r="L2452" t="e">
        <f t="shared" si="499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500"/>
        <v>0</v>
      </c>
      <c r="B2453">
        <f t="shared" si="501"/>
        <v>0</v>
      </c>
      <c r="C2453">
        <f t="shared" si="502"/>
        <v>0</v>
      </c>
      <c r="D2453">
        <f t="shared" si="503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4"/>
        <v>0</v>
      </c>
      <c r="G2453">
        <f t="shared" si="505"/>
        <v>0</v>
      </c>
      <c r="H2453">
        <f t="shared" si="506"/>
        <v>0</v>
      </c>
      <c r="I2453">
        <f t="shared" si="507"/>
        <v>0</v>
      </c>
      <c r="J2453">
        <f t="shared" si="508"/>
        <v>0</v>
      </c>
      <c r="K2453" s="4" t="e">
        <f t="shared" si="498"/>
        <v>#N/A</v>
      </c>
      <c r="L2453" t="e">
        <f t="shared" si="499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500"/>
        <v>0</v>
      </c>
      <c r="B2454">
        <f t="shared" si="501"/>
        <v>0</v>
      </c>
      <c r="C2454">
        <f t="shared" si="502"/>
        <v>0</v>
      </c>
      <c r="D2454">
        <f t="shared" si="503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4"/>
        <v>0</v>
      </c>
      <c r="G2454">
        <f t="shared" si="505"/>
        <v>0</v>
      </c>
      <c r="H2454">
        <f t="shared" si="506"/>
        <v>0</v>
      </c>
      <c r="I2454">
        <f t="shared" si="507"/>
        <v>0</v>
      </c>
      <c r="J2454">
        <f t="shared" si="508"/>
        <v>0</v>
      </c>
      <c r="K2454" s="4" t="e">
        <f t="shared" si="498"/>
        <v>#N/A</v>
      </c>
      <c r="L2454" t="e">
        <f t="shared" si="499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500"/>
        <v>0</v>
      </c>
      <c r="B2455">
        <f t="shared" si="501"/>
        <v>0</v>
      </c>
      <c r="C2455">
        <f t="shared" si="502"/>
        <v>0</v>
      </c>
      <c r="D2455">
        <f t="shared" si="503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4"/>
        <v>0</v>
      </c>
      <c r="G2455">
        <f t="shared" si="505"/>
        <v>0</v>
      </c>
      <c r="H2455">
        <f t="shared" si="506"/>
        <v>0</v>
      </c>
      <c r="I2455">
        <f t="shared" si="507"/>
        <v>0</v>
      </c>
      <c r="J2455">
        <f t="shared" si="508"/>
        <v>0</v>
      </c>
      <c r="K2455" s="4" t="e">
        <f t="shared" si="498"/>
        <v>#N/A</v>
      </c>
      <c r="L2455" t="e">
        <f t="shared" si="499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500"/>
        <v>0</v>
      </c>
      <c r="B2456">
        <f t="shared" si="501"/>
        <v>0</v>
      </c>
      <c r="C2456">
        <f t="shared" si="502"/>
        <v>0</v>
      </c>
      <c r="D2456">
        <f t="shared" si="503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4"/>
        <v>0</v>
      </c>
      <c r="G2456">
        <f t="shared" si="505"/>
        <v>0</v>
      </c>
      <c r="H2456">
        <f t="shared" si="506"/>
        <v>0</v>
      </c>
      <c r="I2456">
        <f t="shared" si="507"/>
        <v>0</v>
      </c>
      <c r="J2456">
        <f t="shared" si="508"/>
        <v>0</v>
      </c>
      <c r="K2456" s="4" t="e">
        <f t="shared" si="498"/>
        <v>#N/A</v>
      </c>
      <c r="L2456" t="e">
        <f t="shared" si="499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500"/>
        <v>0</v>
      </c>
      <c r="B2457">
        <f t="shared" si="501"/>
        <v>0</v>
      </c>
      <c r="C2457">
        <f t="shared" si="502"/>
        <v>0</v>
      </c>
      <c r="D2457">
        <f t="shared" si="503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4"/>
        <v>0</v>
      </c>
      <c r="G2457">
        <f t="shared" si="505"/>
        <v>0</v>
      </c>
      <c r="H2457">
        <f t="shared" si="506"/>
        <v>0</v>
      </c>
      <c r="I2457">
        <f t="shared" si="507"/>
        <v>0</v>
      </c>
      <c r="J2457">
        <f t="shared" si="508"/>
        <v>0</v>
      </c>
      <c r="K2457" s="4" t="e">
        <f t="shared" si="498"/>
        <v>#N/A</v>
      </c>
      <c r="L2457" t="e">
        <f t="shared" si="499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500"/>
        <v>0</v>
      </c>
      <c r="B2458">
        <f t="shared" si="501"/>
        <v>0</v>
      </c>
      <c r="C2458">
        <f t="shared" si="502"/>
        <v>0</v>
      </c>
      <c r="D2458">
        <f t="shared" si="503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4"/>
        <v>0</v>
      </c>
      <c r="G2458">
        <f t="shared" si="505"/>
        <v>0</v>
      </c>
      <c r="H2458">
        <f t="shared" si="506"/>
        <v>0</v>
      </c>
      <c r="I2458">
        <f t="shared" si="507"/>
        <v>0</v>
      </c>
      <c r="J2458">
        <f t="shared" si="508"/>
        <v>0</v>
      </c>
      <c r="K2458" s="4" t="e">
        <f t="shared" si="498"/>
        <v>#N/A</v>
      </c>
      <c r="L2458" t="e">
        <f t="shared" si="499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500"/>
        <v>0</v>
      </c>
      <c r="B2459">
        <f t="shared" si="501"/>
        <v>0</v>
      </c>
      <c r="C2459">
        <f t="shared" si="502"/>
        <v>0</v>
      </c>
      <c r="D2459">
        <f t="shared" si="503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4"/>
        <v>0</v>
      </c>
      <c r="G2459">
        <f t="shared" si="505"/>
        <v>0</v>
      </c>
      <c r="H2459">
        <f t="shared" si="506"/>
        <v>0</v>
      </c>
      <c r="I2459">
        <f t="shared" si="507"/>
        <v>0</v>
      </c>
      <c r="J2459">
        <f t="shared" si="508"/>
        <v>0</v>
      </c>
      <c r="K2459" s="4" t="e">
        <f t="shared" si="498"/>
        <v>#N/A</v>
      </c>
      <c r="L2459" t="e">
        <f t="shared" si="499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500"/>
        <v>0</v>
      </c>
      <c r="B2460">
        <f t="shared" si="501"/>
        <v>0</v>
      </c>
      <c r="C2460">
        <f t="shared" si="502"/>
        <v>0</v>
      </c>
      <c r="D2460">
        <f t="shared" si="503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4"/>
        <v>0</v>
      </c>
      <c r="G2460">
        <f t="shared" si="505"/>
        <v>0</v>
      </c>
      <c r="H2460">
        <f t="shared" si="506"/>
        <v>0</v>
      </c>
      <c r="I2460">
        <f t="shared" si="507"/>
        <v>0</v>
      </c>
      <c r="J2460">
        <f t="shared" si="508"/>
        <v>0</v>
      </c>
      <c r="K2460" s="4" t="e">
        <f t="shared" si="498"/>
        <v>#N/A</v>
      </c>
      <c r="L2460" t="e">
        <f t="shared" si="499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500"/>
        <v>0</v>
      </c>
      <c r="B2461">
        <f t="shared" si="501"/>
        <v>0</v>
      </c>
      <c r="C2461">
        <f t="shared" si="502"/>
        <v>0</v>
      </c>
      <c r="D2461">
        <f t="shared" si="503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4"/>
        <v>0</v>
      </c>
      <c r="G2461">
        <f t="shared" si="505"/>
        <v>0</v>
      </c>
      <c r="H2461">
        <f t="shared" si="506"/>
        <v>0</v>
      </c>
      <c r="I2461">
        <f t="shared" si="507"/>
        <v>0</v>
      </c>
      <c r="J2461">
        <f t="shared" si="508"/>
        <v>0</v>
      </c>
      <c r="K2461" s="4" t="e">
        <f t="shared" si="498"/>
        <v>#N/A</v>
      </c>
      <c r="L2461" t="e">
        <f t="shared" si="499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500"/>
        <v>0</v>
      </c>
      <c r="B2462">
        <f t="shared" si="501"/>
        <v>0</v>
      </c>
      <c r="C2462">
        <f t="shared" si="502"/>
        <v>0</v>
      </c>
      <c r="D2462">
        <f t="shared" si="503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4"/>
        <v>0</v>
      </c>
      <c r="G2462">
        <f t="shared" si="505"/>
        <v>0</v>
      </c>
      <c r="H2462">
        <f t="shared" si="506"/>
        <v>0</v>
      </c>
      <c r="I2462">
        <f t="shared" si="507"/>
        <v>0</v>
      </c>
      <c r="J2462">
        <f t="shared" si="508"/>
        <v>0</v>
      </c>
      <c r="K2462" s="4" t="e">
        <f t="shared" si="498"/>
        <v>#N/A</v>
      </c>
      <c r="L2462" t="e">
        <f t="shared" si="499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500"/>
        <v>0</v>
      </c>
      <c r="B2463">
        <f t="shared" si="501"/>
        <v>0</v>
      </c>
      <c r="C2463">
        <f t="shared" si="502"/>
        <v>0</v>
      </c>
      <c r="D2463">
        <f t="shared" si="503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4"/>
        <v>0</v>
      </c>
      <c r="G2463">
        <f t="shared" si="505"/>
        <v>0</v>
      </c>
      <c r="H2463">
        <f t="shared" si="506"/>
        <v>0</v>
      </c>
      <c r="I2463">
        <f t="shared" si="507"/>
        <v>0</v>
      </c>
      <c r="J2463">
        <f t="shared" si="508"/>
        <v>0</v>
      </c>
      <c r="K2463" s="4" t="e">
        <f t="shared" si="498"/>
        <v>#N/A</v>
      </c>
      <c r="L2463" t="e">
        <f t="shared" si="499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500"/>
        <v>0</v>
      </c>
      <c r="B2464">
        <f t="shared" si="501"/>
        <v>0</v>
      </c>
      <c r="C2464">
        <f t="shared" si="502"/>
        <v>0</v>
      </c>
      <c r="D2464">
        <f t="shared" si="503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4"/>
        <v>0</v>
      </c>
      <c r="G2464">
        <f t="shared" si="505"/>
        <v>0</v>
      </c>
      <c r="H2464">
        <f t="shared" si="506"/>
        <v>0</v>
      </c>
      <c r="I2464">
        <f t="shared" si="507"/>
        <v>0</v>
      </c>
      <c r="J2464">
        <f t="shared" si="508"/>
        <v>0</v>
      </c>
      <c r="K2464" s="4" t="e">
        <f t="shared" si="498"/>
        <v>#N/A</v>
      </c>
      <c r="L2464" t="e">
        <f t="shared" si="499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500"/>
        <v>0</v>
      </c>
      <c r="B2465">
        <f t="shared" si="501"/>
        <v>0</v>
      </c>
      <c r="C2465">
        <f t="shared" si="502"/>
        <v>0</v>
      </c>
      <c r="D2465">
        <f t="shared" si="503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4"/>
        <v>0</v>
      </c>
      <c r="G2465">
        <f t="shared" si="505"/>
        <v>0</v>
      </c>
      <c r="H2465">
        <f t="shared" si="506"/>
        <v>0</v>
      </c>
      <c r="I2465">
        <f t="shared" si="507"/>
        <v>0</v>
      </c>
      <c r="J2465">
        <f t="shared" si="508"/>
        <v>0</v>
      </c>
      <c r="K2465" s="4" t="e">
        <f t="shared" si="498"/>
        <v>#N/A</v>
      </c>
      <c r="L2465" t="e">
        <f t="shared" si="499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500"/>
        <v>0</v>
      </c>
      <c r="B2466">
        <f t="shared" si="501"/>
        <v>0</v>
      </c>
      <c r="C2466">
        <f t="shared" si="502"/>
        <v>0</v>
      </c>
      <c r="D2466">
        <f t="shared" si="503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4"/>
        <v>0</v>
      </c>
      <c r="G2466">
        <f t="shared" si="505"/>
        <v>0</v>
      </c>
      <c r="H2466">
        <f t="shared" si="506"/>
        <v>0</v>
      </c>
      <c r="I2466">
        <f t="shared" si="507"/>
        <v>0</v>
      </c>
      <c r="J2466">
        <f t="shared" si="508"/>
        <v>0</v>
      </c>
      <c r="K2466" s="4" t="e">
        <f t="shared" si="498"/>
        <v>#N/A</v>
      </c>
      <c r="L2466" t="e">
        <f t="shared" si="499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500"/>
        <v>0</v>
      </c>
      <c r="B2467">
        <f t="shared" si="501"/>
        <v>0</v>
      </c>
      <c r="C2467">
        <f t="shared" si="502"/>
        <v>0</v>
      </c>
      <c r="D2467">
        <f t="shared" si="503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4"/>
        <v>0</v>
      </c>
      <c r="G2467">
        <f t="shared" si="505"/>
        <v>0</v>
      </c>
      <c r="H2467">
        <f t="shared" si="506"/>
        <v>0</v>
      </c>
      <c r="I2467">
        <f t="shared" si="507"/>
        <v>0</v>
      </c>
      <c r="J2467">
        <f t="shared" si="508"/>
        <v>0</v>
      </c>
      <c r="K2467" s="4" t="e">
        <f t="shared" si="498"/>
        <v>#N/A</v>
      </c>
      <c r="L2467" t="e">
        <f t="shared" si="499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500"/>
        <v>0</v>
      </c>
      <c r="B2468">
        <f t="shared" si="501"/>
        <v>0</v>
      </c>
      <c r="C2468">
        <f t="shared" si="502"/>
        <v>0</v>
      </c>
      <c r="D2468">
        <f t="shared" si="503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4"/>
        <v>0</v>
      </c>
      <c r="G2468">
        <f t="shared" si="505"/>
        <v>0</v>
      </c>
      <c r="H2468">
        <f t="shared" si="506"/>
        <v>0</v>
      </c>
      <c r="I2468">
        <f t="shared" si="507"/>
        <v>0</v>
      </c>
      <c r="J2468">
        <f t="shared" si="508"/>
        <v>0</v>
      </c>
      <c r="K2468" s="4" t="e">
        <f t="shared" si="498"/>
        <v>#N/A</v>
      </c>
      <c r="L2468" t="e">
        <f t="shared" si="499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500"/>
        <v>0</v>
      </c>
      <c r="B2469">
        <f t="shared" si="501"/>
        <v>0</v>
      </c>
      <c r="C2469">
        <f t="shared" si="502"/>
        <v>0</v>
      </c>
      <c r="D2469">
        <f t="shared" si="503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4"/>
        <v>0</v>
      </c>
      <c r="G2469">
        <f t="shared" si="505"/>
        <v>0</v>
      </c>
      <c r="H2469">
        <f t="shared" si="506"/>
        <v>0</v>
      </c>
      <c r="I2469">
        <f t="shared" si="507"/>
        <v>0</v>
      </c>
      <c r="J2469">
        <f t="shared" si="508"/>
        <v>0</v>
      </c>
      <c r="K2469" s="4" t="e">
        <f t="shared" si="498"/>
        <v>#N/A</v>
      </c>
      <c r="L2469" t="e">
        <f t="shared" si="499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500"/>
        <v>0</v>
      </c>
      <c r="B2470">
        <f t="shared" si="501"/>
        <v>0</v>
      </c>
      <c r="C2470">
        <f t="shared" si="502"/>
        <v>0</v>
      </c>
      <c r="D2470">
        <f t="shared" si="503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4"/>
        <v>0</v>
      </c>
      <c r="G2470">
        <f t="shared" si="505"/>
        <v>0</v>
      </c>
      <c r="H2470">
        <f t="shared" si="506"/>
        <v>0</v>
      </c>
      <c r="I2470">
        <f t="shared" si="507"/>
        <v>0</v>
      </c>
      <c r="J2470">
        <f t="shared" si="508"/>
        <v>0</v>
      </c>
      <c r="K2470" s="4" t="e">
        <f t="shared" si="498"/>
        <v>#N/A</v>
      </c>
      <c r="L2470" t="e">
        <f t="shared" si="499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500"/>
        <v>0</v>
      </c>
      <c r="B2471">
        <f t="shared" si="501"/>
        <v>0</v>
      </c>
      <c r="C2471">
        <f t="shared" si="502"/>
        <v>0</v>
      </c>
      <c r="D2471">
        <f t="shared" si="503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4"/>
        <v>0</v>
      </c>
      <c r="G2471">
        <f t="shared" si="505"/>
        <v>0</v>
      </c>
      <c r="H2471">
        <f t="shared" si="506"/>
        <v>0</v>
      </c>
      <c r="I2471">
        <f t="shared" si="507"/>
        <v>0</v>
      </c>
      <c r="J2471">
        <f t="shared" si="508"/>
        <v>0</v>
      </c>
      <c r="K2471" s="4" t="e">
        <f t="shared" si="498"/>
        <v>#N/A</v>
      </c>
      <c r="L2471" t="e">
        <f t="shared" si="499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500"/>
        <v>0</v>
      </c>
      <c r="B2472">
        <f t="shared" si="501"/>
        <v>0</v>
      </c>
      <c r="C2472">
        <f t="shared" si="502"/>
        <v>0</v>
      </c>
      <c r="D2472">
        <f t="shared" si="503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4"/>
        <v>0</v>
      </c>
      <c r="G2472">
        <f t="shared" si="505"/>
        <v>0</v>
      </c>
      <c r="H2472">
        <f t="shared" si="506"/>
        <v>0</v>
      </c>
      <c r="I2472">
        <f t="shared" si="507"/>
        <v>0</v>
      </c>
      <c r="J2472">
        <f t="shared" si="508"/>
        <v>0</v>
      </c>
      <c r="K2472" s="4" t="e">
        <f t="shared" si="498"/>
        <v>#N/A</v>
      </c>
      <c r="L2472" t="e">
        <f t="shared" si="499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500"/>
        <v>0</v>
      </c>
      <c r="B2473">
        <f t="shared" si="501"/>
        <v>0</v>
      </c>
      <c r="C2473">
        <f t="shared" si="502"/>
        <v>0</v>
      </c>
      <c r="D2473">
        <f t="shared" si="503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4"/>
        <v>0</v>
      </c>
      <c r="G2473">
        <f t="shared" si="505"/>
        <v>0</v>
      </c>
      <c r="H2473">
        <f t="shared" si="506"/>
        <v>0</v>
      </c>
      <c r="I2473">
        <f t="shared" si="507"/>
        <v>0</v>
      </c>
      <c r="J2473">
        <f t="shared" si="508"/>
        <v>0</v>
      </c>
      <c r="K2473" s="4" t="e">
        <f t="shared" si="498"/>
        <v>#N/A</v>
      </c>
      <c r="L2473" t="e">
        <f t="shared" si="499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500"/>
        <v>0</v>
      </c>
      <c r="B2474">
        <f t="shared" si="501"/>
        <v>0</v>
      </c>
      <c r="C2474">
        <f t="shared" si="502"/>
        <v>0</v>
      </c>
      <c r="D2474">
        <f t="shared" si="503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4"/>
        <v>0</v>
      </c>
      <c r="G2474">
        <f t="shared" si="505"/>
        <v>0</v>
      </c>
      <c r="H2474">
        <f t="shared" si="506"/>
        <v>0</v>
      </c>
      <c r="I2474">
        <f t="shared" si="507"/>
        <v>0</v>
      </c>
      <c r="J2474">
        <f t="shared" si="508"/>
        <v>0</v>
      </c>
      <c r="K2474" s="4" t="e">
        <f t="shared" si="498"/>
        <v>#N/A</v>
      </c>
      <c r="L2474" t="e">
        <f t="shared" si="499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500"/>
        <v>0</v>
      </c>
      <c r="B2475">
        <f t="shared" si="501"/>
        <v>0</v>
      </c>
      <c r="C2475">
        <f t="shared" si="502"/>
        <v>0</v>
      </c>
      <c r="D2475">
        <f t="shared" si="503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4"/>
        <v>0</v>
      </c>
      <c r="G2475">
        <f t="shared" si="505"/>
        <v>0</v>
      </c>
      <c r="H2475">
        <f t="shared" si="506"/>
        <v>0</v>
      </c>
      <c r="I2475">
        <f t="shared" si="507"/>
        <v>0</v>
      </c>
      <c r="J2475">
        <f t="shared" si="508"/>
        <v>0</v>
      </c>
      <c r="K2475" s="4" t="e">
        <f t="shared" si="498"/>
        <v>#N/A</v>
      </c>
      <c r="L2475" t="e">
        <f t="shared" si="499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500"/>
        <v>0</v>
      </c>
      <c r="B2476">
        <f t="shared" si="501"/>
        <v>0</v>
      </c>
      <c r="C2476">
        <f t="shared" si="502"/>
        <v>0</v>
      </c>
      <c r="D2476">
        <f t="shared" si="503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4"/>
        <v>0</v>
      </c>
      <c r="G2476">
        <f t="shared" si="505"/>
        <v>0</v>
      </c>
      <c r="H2476">
        <f t="shared" si="506"/>
        <v>0</v>
      </c>
      <c r="I2476">
        <f t="shared" si="507"/>
        <v>0</v>
      </c>
      <c r="J2476">
        <f t="shared" si="508"/>
        <v>0</v>
      </c>
      <c r="K2476" s="4" t="e">
        <f t="shared" ref="K2476:K2539" si="511">IF(LEFT(B2476,3)="DBM",0,VLOOKUP(E2476,tabela,2,FALSE))</f>
        <v>#N/A</v>
      </c>
      <c r="L2476" t="e">
        <f t="shared" ref="L2476:L2539" si="512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500"/>
        <v>0</v>
      </c>
      <c r="B2477">
        <f t="shared" si="501"/>
        <v>0</v>
      </c>
      <c r="C2477">
        <f t="shared" si="502"/>
        <v>0</v>
      </c>
      <c r="D2477">
        <f t="shared" si="503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4"/>
        <v>0</v>
      </c>
      <c r="G2477">
        <f t="shared" si="505"/>
        <v>0</v>
      </c>
      <c r="H2477">
        <f t="shared" si="506"/>
        <v>0</v>
      </c>
      <c r="I2477">
        <f t="shared" si="507"/>
        <v>0</v>
      </c>
      <c r="J2477">
        <f t="shared" si="508"/>
        <v>0</v>
      </c>
      <c r="K2477" s="4" t="e">
        <f t="shared" si="511"/>
        <v>#N/A</v>
      </c>
      <c r="L2477" t="e">
        <f t="shared" si="512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500"/>
        <v>0</v>
      </c>
      <c r="B2478">
        <f t="shared" si="501"/>
        <v>0</v>
      </c>
      <c r="C2478">
        <f t="shared" si="502"/>
        <v>0</v>
      </c>
      <c r="D2478">
        <f t="shared" si="503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4"/>
        <v>0</v>
      </c>
      <c r="G2478">
        <f t="shared" si="505"/>
        <v>0</v>
      </c>
      <c r="H2478">
        <f t="shared" si="506"/>
        <v>0</v>
      </c>
      <c r="I2478">
        <f t="shared" si="507"/>
        <v>0</v>
      </c>
      <c r="J2478">
        <f t="shared" si="508"/>
        <v>0</v>
      </c>
      <c r="K2478" s="4" t="e">
        <f t="shared" si="511"/>
        <v>#N/A</v>
      </c>
      <c r="L2478" t="e">
        <f t="shared" si="512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500"/>
        <v>0</v>
      </c>
      <c r="B2479">
        <f t="shared" si="501"/>
        <v>0</v>
      </c>
      <c r="C2479">
        <f t="shared" si="502"/>
        <v>0</v>
      </c>
      <c r="D2479">
        <f t="shared" si="503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4"/>
        <v>0</v>
      </c>
      <c r="G2479">
        <f t="shared" si="505"/>
        <v>0</v>
      </c>
      <c r="H2479">
        <f t="shared" si="506"/>
        <v>0</v>
      </c>
      <c r="I2479">
        <f t="shared" si="507"/>
        <v>0</v>
      </c>
      <c r="J2479">
        <f t="shared" si="508"/>
        <v>0</v>
      </c>
      <c r="K2479" s="4" t="e">
        <f t="shared" si="511"/>
        <v>#N/A</v>
      </c>
      <c r="L2479" t="e">
        <f t="shared" si="512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500"/>
        <v>0</v>
      </c>
      <c r="B2480">
        <f t="shared" si="501"/>
        <v>0</v>
      </c>
      <c r="C2480">
        <f t="shared" si="502"/>
        <v>0</v>
      </c>
      <c r="D2480">
        <f t="shared" si="503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4"/>
        <v>0</v>
      </c>
      <c r="G2480">
        <f t="shared" si="505"/>
        <v>0</v>
      </c>
      <c r="H2480">
        <f t="shared" si="506"/>
        <v>0</v>
      </c>
      <c r="I2480">
        <f t="shared" si="507"/>
        <v>0</v>
      </c>
      <c r="J2480">
        <f t="shared" si="508"/>
        <v>0</v>
      </c>
      <c r="K2480" s="4" t="e">
        <f t="shared" si="511"/>
        <v>#N/A</v>
      </c>
      <c r="L2480" t="e">
        <f t="shared" si="512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500"/>
        <v>0</v>
      </c>
      <c r="B2481">
        <f t="shared" si="501"/>
        <v>0</v>
      </c>
      <c r="C2481">
        <f t="shared" si="502"/>
        <v>0</v>
      </c>
      <c r="D2481">
        <f t="shared" si="503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4"/>
        <v>0</v>
      </c>
      <c r="G2481">
        <f t="shared" si="505"/>
        <v>0</v>
      </c>
      <c r="H2481">
        <f t="shared" si="506"/>
        <v>0</v>
      </c>
      <c r="I2481">
        <f t="shared" si="507"/>
        <v>0</v>
      </c>
      <c r="J2481">
        <f t="shared" si="508"/>
        <v>0</v>
      </c>
      <c r="K2481" s="4" t="e">
        <f t="shared" si="511"/>
        <v>#N/A</v>
      </c>
      <c r="L2481" t="e">
        <f t="shared" si="512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500"/>
        <v>0</v>
      </c>
      <c r="B2482">
        <f t="shared" si="501"/>
        <v>0</v>
      </c>
      <c r="C2482">
        <f t="shared" si="502"/>
        <v>0</v>
      </c>
      <c r="D2482">
        <f t="shared" si="503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4"/>
        <v>0</v>
      </c>
      <c r="G2482">
        <f t="shared" si="505"/>
        <v>0</v>
      </c>
      <c r="H2482">
        <f t="shared" si="506"/>
        <v>0</v>
      </c>
      <c r="I2482">
        <f t="shared" si="507"/>
        <v>0</v>
      </c>
      <c r="J2482">
        <f t="shared" si="508"/>
        <v>0</v>
      </c>
      <c r="K2482" s="4" t="e">
        <f t="shared" si="511"/>
        <v>#N/A</v>
      </c>
      <c r="L2482" t="e">
        <f t="shared" si="512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500"/>
        <v>0</v>
      </c>
      <c r="B2483">
        <f t="shared" si="501"/>
        <v>0</v>
      </c>
      <c r="C2483">
        <f t="shared" si="502"/>
        <v>0</v>
      </c>
      <c r="D2483">
        <f t="shared" si="503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4"/>
        <v>0</v>
      </c>
      <c r="G2483">
        <f t="shared" si="505"/>
        <v>0</v>
      </c>
      <c r="H2483">
        <f t="shared" si="506"/>
        <v>0</v>
      </c>
      <c r="I2483">
        <f t="shared" si="507"/>
        <v>0</v>
      </c>
      <c r="J2483">
        <f t="shared" si="508"/>
        <v>0</v>
      </c>
      <c r="K2483" s="4" t="e">
        <f t="shared" si="511"/>
        <v>#N/A</v>
      </c>
      <c r="L2483" t="e">
        <f t="shared" si="512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500"/>
        <v>0</v>
      </c>
      <c r="B2484">
        <f t="shared" si="501"/>
        <v>0</v>
      </c>
      <c r="C2484">
        <f t="shared" si="502"/>
        <v>0</v>
      </c>
      <c r="D2484">
        <f t="shared" si="503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4"/>
        <v>0</v>
      </c>
      <c r="G2484">
        <f t="shared" si="505"/>
        <v>0</v>
      </c>
      <c r="H2484">
        <f t="shared" si="506"/>
        <v>0</v>
      </c>
      <c r="I2484">
        <f t="shared" si="507"/>
        <v>0</v>
      </c>
      <c r="J2484">
        <f t="shared" si="508"/>
        <v>0</v>
      </c>
      <c r="K2484" s="4" t="e">
        <f t="shared" si="511"/>
        <v>#N/A</v>
      </c>
      <c r="L2484" t="e">
        <f t="shared" si="512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500"/>
        <v>0</v>
      </c>
      <c r="B2485">
        <f t="shared" si="501"/>
        <v>0</v>
      </c>
      <c r="C2485">
        <f t="shared" si="502"/>
        <v>0</v>
      </c>
      <c r="D2485">
        <f t="shared" si="503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4"/>
        <v>0</v>
      </c>
      <c r="G2485">
        <f t="shared" si="505"/>
        <v>0</v>
      </c>
      <c r="H2485">
        <f t="shared" si="506"/>
        <v>0</v>
      </c>
      <c r="I2485">
        <f t="shared" si="507"/>
        <v>0</v>
      </c>
      <c r="J2485">
        <f t="shared" si="508"/>
        <v>0</v>
      </c>
      <c r="K2485" s="4" t="e">
        <f t="shared" si="511"/>
        <v>#N/A</v>
      </c>
      <c r="L2485" t="e">
        <f t="shared" si="512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500"/>
        <v>0</v>
      </c>
      <c r="B2486">
        <f t="shared" si="501"/>
        <v>0</v>
      </c>
      <c r="C2486">
        <f t="shared" si="502"/>
        <v>0</v>
      </c>
      <c r="D2486">
        <f t="shared" si="503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4"/>
        <v>0</v>
      </c>
      <c r="G2486">
        <f t="shared" si="505"/>
        <v>0</v>
      </c>
      <c r="H2486">
        <f t="shared" si="506"/>
        <v>0</v>
      </c>
      <c r="I2486">
        <f t="shared" si="507"/>
        <v>0</v>
      </c>
      <c r="J2486">
        <f t="shared" si="508"/>
        <v>0</v>
      </c>
      <c r="K2486" s="4" t="e">
        <f t="shared" si="511"/>
        <v>#N/A</v>
      </c>
      <c r="L2486" t="e">
        <f t="shared" si="512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500"/>
        <v>0</v>
      </c>
      <c r="B2487">
        <f t="shared" si="501"/>
        <v>0</v>
      </c>
      <c r="C2487">
        <f t="shared" si="502"/>
        <v>0</v>
      </c>
      <c r="D2487">
        <f t="shared" si="503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4"/>
        <v>0</v>
      </c>
      <c r="G2487">
        <f t="shared" si="505"/>
        <v>0</v>
      </c>
      <c r="H2487">
        <f t="shared" si="506"/>
        <v>0</v>
      </c>
      <c r="I2487">
        <f t="shared" si="507"/>
        <v>0</v>
      </c>
      <c r="J2487">
        <f t="shared" si="508"/>
        <v>0</v>
      </c>
      <c r="K2487" s="4" t="e">
        <f t="shared" si="511"/>
        <v>#N/A</v>
      </c>
      <c r="L2487" t="e">
        <f t="shared" si="512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500"/>
        <v>0</v>
      </c>
      <c r="B2488">
        <f t="shared" si="501"/>
        <v>0</v>
      </c>
      <c r="C2488">
        <f t="shared" si="502"/>
        <v>0</v>
      </c>
      <c r="D2488">
        <f t="shared" si="503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4"/>
        <v>0</v>
      </c>
      <c r="G2488">
        <f t="shared" si="505"/>
        <v>0</v>
      </c>
      <c r="H2488">
        <f t="shared" si="506"/>
        <v>0</v>
      </c>
      <c r="I2488">
        <f t="shared" si="507"/>
        <v>0</v>
      </c>
      <c r="J2488">
        <f t="shared" si="508"/>
        <v>0</v>
      </c>
      <c r="K2488" s="4" t="e">
        <f t="shared" si="511"/>
        <v>#N/A</v>
      </c>
      <c r="L2488" t="e">
        <f t="shared" si="512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500"/>
        <v>0</v>
      </c>
      <c r="B2489">
        <f t="shared" si="501"/>
        <v>0</v>
      </c>
      <c r="C2489">
        <f t="shared" si="502"/>
        <v>0</v>
      </c>
      <c r="D2489">
        <f t="shared" si="503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4"/>
        <v>0</v>
      </c>
      <c r="G2489">
        <f t="shared" si="505"/>
        <v>0</v>
      </c>
      <c r="H2489">
        <f t="shared" si="506"/>
        <v>0</v>
      </c>
      <c r="I2489">
        <f t="shared" si="507"/>
        <v>0</v>
      </c>
      <c r="J2489">
        <f t="shared" si="508"/>
        <v>0</v>
      </c>
      <c r="K2489" s="4" t="e">
        <f t="shared" si="511"/>
        <v>#N/A</v>
      </c>
      <c r="L2489" t="e">
        <f t="shared" si="512"/>
        <v>#N/A</v>
      </c>
      <c r="M2489" s="4" t="e">
        <f t="shared" ref="M2489:M2532" si="513">IF(E2489="Dynamic Click",J2489*K2489,K2489*$I2489/1000)</f>
        <v>#N/A</v>
      </c>
      <c r="N2489" s="4" t="e">
        <f t="shared" ref="N2489:N2532" si="514">IF(E2489="Dynamic Click",J2489*L2489,L2489*$I2489/1000)</f>
        <v>#N/A</v>
      </c>
    </row>
    <row r="2490" spans="1:14">
      <c r="A2490">
        <f t="shared" si="500"/>
        <v>0</v>
      </c>
      <c r="B2490">
        <f t="shared" si="501"/>
        <v>0</v>
      </c>
      <c r="C2490">
        <f t="shared" si="502"/>
        <v>0</v>
      </c>
      <c r="D2490">
        <f t="shared" si="503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4"/>
        <v>0</v>
      </c>
      <c r="G2490">
        <f t="shared" si="505"/>
        <v>0</v>
      </c>
      <c r="H2490">
        <f t="shared" si="506"/>
        <v>0</v>
      </c>
      <c r="I2490">
        <f t="shared" si="507"/>
        <v>0</v>
      </c>
      <c r="J2490">
        <f t="shared" si="508"/>
        <v>0</v>
      </c>
      <c r="K2490" s="4" t="e">
        <f t="shared" si="511"/>
        <v>#N/A</v>
      </c>
      <c r="L2490" t="e">
        <f t="shared" si="512"/>
        <v>#N/A</v>
      </c>
      <c r="M2490" s="4" t="e">
        <f t="shared" si="513"/>
        <v>#N/A</v>
      </c>
      <c r="N2490" s="4" t="e">
        <f t="shared" si="514"/>
        <v>#N/A</v>
      </c>
    </row>
    <row r="2491" spans="1:14">
      <c r="A2491">
        <f t="shared" si="500"/>
        <v>0</v>
      </c>
      <c r="B2491">
        <f t="shared" si="501"/>
        <v>0</v>
      </c>
      <c r="C2491">
        <f t="shared" si="502"/>
        <v>0</v>
      </c>
      <c r="D2491">
        <f t="shared" si="503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4"/>
        <v>0</v>
      </c>
      <c r="G2491">
        <f t="shared" si="505"/>
        <v>0</v>
      </c>
      <c r="H2491">
        <f t="shared" si="506"/>
        <v>0</v>
      </c>
      <c r="I2491">
        <f t="shared" si="507"/>
        <v>0</v>
      </c>
      <c r="J2491">
        <f t="shared" si="508"/>
        <v>0</v>
      </c>
      <c r="K2491" s="4" t="e">
        <f t="shared" si="511"/>
        <v>#N/A</v>
      </c>
      <c r="L2491" t="e">
        <f t="shared" si="512"/>
        <v>#N/A</v>
      </c>
      <c r="M2491" s="4" t="e">
        <f t="shared" si="513"/>
        <v>#N/A</v>
      </c>
      <c r="N2491" s="4" t="e">
        <f t="shared" si="514"/>
        <v>#N/A</v>
      </c>
    </row>
    <row r="2492" spans="1:14">
      <c r="A2492">
        <f t="shared" si="500"/>
        <v>0</v>
      </c>
      <c r="B2492">
        <f t="shared" si="501"/>
        <v>0</v>
      </c>
      <c r="C2492">
        <f t="shared" si="502"/>
        <v>0</v>
      </c>
      <c r="D2492">
        <f t="shared" si="503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4"/>
        <v>0</v>
      </c>
      <c r="G2492">
        <f t="shared" si="505"/>
        <v>0</v>
      </c>
      <c r="H2492">
        <f t="shared" si="506"/>
        <v>0</v>
      </c>
      <c r="I2492">
        <f t="shared" si="507"/>
        <v>0</v>
      </c>
      <c r="J2492">
        <f t="shared" si="508"/>
        <v>0</v>
      </c>
      <c r="K2492" s="4" t="e">
        <f t="shared" si="511"/>
        <v>#N/A</v>
      </c>
      <c r="L2492" t="e">
        <f t="shared" si="512"/>
        <v>#N/A</v>
      </c>
      <c r="M2492" s="4" t="e">
        <f t="shared" si="513"/>
        <v>#N/A</v>
      </c>
      <c r="N2492" s="4" t="e">
        <f t="shared" si="514"/>
        <v>#N/A</v>
      </c>
    </row>
    <row r="2493" spans="1:14">
      <c r="A2493">
        <f t="shared" si="500"/>
        <v>0</v>
      </c>
      <c r="B2493">
        <f t="shared" si="501"/>
        <v>0</v>
      </c>
      <c r="C2493">
        <f t="shared" si="502"/>
        <v>0</v>
      </c>
      <c r="D2493">
        <f t="shared" si="503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4"/>
        <v>0</v>
      </c>
      <c r="G2493">
        <f t="shared" si="505"/>
        <v>0</v>
      </c>
      <c r="H2493">
        <f t="shared" si="506"/>
        <v>0</v>
      </c>
      <c r="I2493">
        <f t="shared" si="507"/>
        <v>0</v>
      </c>
      <c r="J2493">
        <f t="shared" si="508"/>
        <v>0</v>
      </c>
      <c r="K2493" s="4" t="e">
        <f t="shared" si="511"/>
        <v>#N/A</v>
      </c>
      <c r="L2493" t="e">
        <f t="shared" si="512"/>
        <v>#N/A</v>
      </c>
      <c r="M2493" s="4" t="e">
        <f t="shared" si="513"/>
        <v>#N/A</v>
      </c>
      <c r="N2493" s="4" t="e">
        <f t="shared" si="514"/>
        <v>#N/A</v>
      </c>
    </row>
    <row r="2494" spans="1:14">
      <c r="A2494">
        <f t="shared" si="500"/>
        <v>0</v>
      </c>
      <c r="B2494">
        <f t="shared" si="501"/>
        <v>0</v>
      </c>
      <c r="C2494">
        <f t="shared" si="502"/>
        <v>0</v>
      </c>
      <c r="D2494">
        <f t="shared" si="503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4"/>
        <v>0</v>
      </c>
      <c r="G2494">
        <f t="shared" si="505"/>
        <v>0</v>
      </c>
      <c r="H2494">
        <f t="shared" si="506"/>
        <v>0</v>
      </c>
      <c r="I2494">
        <f t="shared" si="507"/>
        <v>0</v>
      </c>
      <c r="J2494">
        <f t="shared" si="508"/>
        <v>0</v>
      </c>
      <c r="K2494" s="4" t="e">
        <f t="shared" si="511"/>
        <v>#N/A</v>
      </c>
      <c r="L2494" t="e">
        <f t="shared" si="512"/>
        <v>#N/A</v>
      </c>
      <c r="M2494" s="4" t="e">
        <f t="shared" si="513"/>
        <v>#N/A</v>
      </c>
      <c r="N2494" s="4" t="e">
        <f t="shared" si="514"/>
        <v>#N/A</v>
      </c>
    </row>
    <row r="2495" spans="1:14">
      <c r="A2495">
        <f t="shared" si="500"/>
        <v>0</v>
      </c>
      <c r="B2495">
        <f t="shared" si="501"/>
        <v>0</v>
      </c>
      <c r="C2495">
        <f t="shared" si="502"/>
        <v>0</v>
      </c>
      <c r="D2495">
        <f t="shared" si="503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4"/>
        <v>0</v>
      </c>
      <c r="G2495">
        <f t="shared" si="505"/>
        <v>0</v>
      </c>
      <c r="H2495">
        <f t="shared" si="506"/>
        <v>0</v>
      </c>
      <c r="I2495">
        <f t="shared" si="507"/>
        <v>0</v>
      </c>
      <c r="J2495">
        <f t="shared" si="508"/>
        <v>0</v>
      </c>
      <c r="K2495" s="4" t="e">
        <f t="shared" si="511"/>
        <v>#N/A</v>
      </c>
      <c r="L2495" t="e">
        <f t="shared" si="512"/>
        <v>#N/A</v>
      </c>
      <c r="M2495" s="4" t="e">
        <f t="shared" si="513"/>
        <v>#N/A</v>
      </c>
      <c r="N2495" s="4" t="e">
        <f t="shared" si="514"/>
        <v>#N/A</v>
      </c>
    </row>
    <row r="2496" spans="1:14">
      <c r="A2496">
        <f t="shared" si="500"/>
        <v>0</v>
      </c>
      <c r="B2496">
        <f t="shared" si="501"/>
        <v>0</v>
      </c>
      <c r="C2496">
        <f t="shared" si="502"/>
        <v>0</v>
      </c>
      <c r="D2496">
        <f t="shared" si="503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4"/>
        <v>0</v>
      </c>
      <c r="G2496">
        <f t="shared" si="505"/>
        <v>0</v>
      </c>
      <c r="H2496">
        <f t="shared" si="506"/>
        <v>0</v>
      </c>
      <c r="I2496">
        <f t="shared" si="507"/>
        <v>0</v>
      </c>
      <c r="J2496">
        <f t="shared" si="508"/>
        <v>0</v>
      </c>
      <c r="K2496" s="4" t="e">
        <f t="shared" si="511"/>
        <v>#N/A</v>
      </c>
      <c r="L2496" t="e">
        <f t="shared" si="512"/>
        <v>#N/A</v>
      </c>
      <c r="M2496" s="4" t="e">
        <f t="shared" si="513"/>
        <v>#N/A</v>
      </c>
      <c r="N2496" s="4" t="e">
        <f t="shared" si="514"/>
        <v>#N/A</v>
      </c>
    </row>
    <row r="2497" spans="1:14">
      <c r="A2497">
        <f t="shared" si="500"/>
        <v>0</v>
      </c>
      <c r="B2497">
        <f t="shared" si="501"/>
        <v>0</v>
      </c>
      <c r="C2497">
        <f t="shared" si="502"/>
        <v>0</v>
      </c>
      <c r="D2497">
        <f t="shared" si="503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4"/>
        <v>0</v>
      </c>
      <c r="G2497">
        <f t="shared" si="505"/>
        <v>0</v>
      </c>
      <c r="H2497">
        <f t="shared" si="506"/>
        <v>0</v>
      </c>
      <c r="I2497">
        <f t="shared" si="507"/>
        <v>0</v>
      </c>
      <c r="J2497">
        <f t="shared" si="508"/>
        <v>0</v>
      </c>
      <c r="K2497" s="4" t="e">
        <f t="shared" si="511"/>
        <v>#N/A</v>
      </c>
      <c r="L2497" t="e">
        <f t="shared" si="512"/>
        <v>#N/A</v>
      </c>
      <c r="M2497" s="4" t="e">
        <f t="shared" si="513"/>
        <v>#N/A</v>
      </c>
      <c r="N2497" s="4" t="e">
        <f t="shared" si="514"/>
        <v>#N/A</v>
      </c>
    </row>
    <row r="2498" spans="1:14">
      <c r="A2498">
        <f t="shared" ref="A2498:A2561" si="515">bd_campaign</f>
        <v>0</v>
      </c>
      <c r="B2498">
        <f t="shared" ref="B2498:B2561" si="516">bd_site</f>
        <v>0</v>
      </c>
      <c r="C2498">
        <f t="shared" ref="C2498:C2561" si="517">bd_placement</f>
        <v>0</v>
      </c>
      <c r="D2498">
        <f t="shared" ref="D2498:D2561" si="518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9">bd_ad</f>
        <v>0</v>
      </c>
      <c r="G2498">
        <f t="shared" ref="G2498:G2561" si="520">bd_adid</f>
        <v>0</v>
      </c>
      <c r="H2498">
        <f t="shared" ref="H2498:H2561" si="521">bd_creativetype</f>
        <v>0</v>
      </c>
      <c r="I2498">
        <f t="shared" ref="I2498:I2561" si="522">bd_impression</f>
        <v>0</v>
      </c>
      <c r="J2498">
        <f t="shared" ref="J2498:J2561" si="523">bd_clicks</f>
        <v>0</v>
      </c>
      <c r="K2498" s="4" t="e">
        <f t="shared" si="511"/>
        <v>#N/A</v>
      </c>
      <c r="L2498" t="e">
        <f t="shared" si="512"/>
        <v>#N/A</v>
      </c>
      <c r="M2498" s="4" t="e">
        <f t="shared" si="513"/>
        <v>#N/A</v>
      </c>
      <c r="N2498" s="4" t="e">
        <f t="shared" si="514"/>
        <v>#N/A</v>
      </c>
    </row>
    <row r="2499" spans="1:14">
      <c r="A2499">
        <f t="shared" si="515"/>
        <v>0</v>
      </c>
      <c r="B2499">
        <f t="shared" si="516"/>
        <v>0</v>
      </c>
      <c r="C2499">
        <f t="shared" si="517"/>
        <v>0</v>
      </c>
      <c r="D2499">
        <f t="shared" si="518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9"/>
        <v>0</v>
      </c>
      <c r="G2499">
        <f t="shared" si="520"/>
        <v>0</v>
      </c>
      <c r="H2499">
        <f t="shared" si="521"/>
        <v>0</v>
      </c>
      <c r="I2499">
        <f t="shared" si="522"/>
        <v>0</v>
      </c>
      <c r="J2499">
        <f t="shared" si="523"/>
        <v>0</v>
      </c>
      <c r="K2499" s="4" t="e">
        <f t="shared" si="511"/>
        <v>#N/A</v>
      </c>
      <c r="L2499" t="e">
        <f t="shared" si="512"/>
        <v>#N/A</v>
      </c>
      <c r="M2499" s="4" t="e">
        <f t="shared" si="513"/>
        <v>#N/A</v>
      </c>
      <c r="N2499" s="4" t="e">
        <f t="shared" si="514"/>
        <v>#N/A</v>
      </c>
    </row>
    <row r="2500" spans="1:14">
      <c r="A2500">
        <f t="shared" si="515"/>
        <v>0</v>
      </c>
      <c r="B2500">
        <f t="shared" si="516"/>
        <v>0</v>
      </c>
      <c r="C2500">
        <f t="shared" si="517"/>
        <v>0</v>
      </c>
      <c r="D2500">
        <f t="shared" si="518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9"/>
        <v>0</v>
      </c>
      <c r="G2500">
        <f t="shared" si="520"/>
        <v>0</v>
      </c>
      <c r="H2500">
        <f t="shared" si="521"/>
        <v>0</v>
      </c>
      <c r="I2500">
        <f t="shared" si="522"/>
        <v>0</v>
      </c>
      <c r="J2500">
        <f t="shared" si="523"/>
        <v>0</v>
      </c>
      <c r="K2500" s="4" t="e">
        <f t="shared" si="511"/>
        <v>#N/A</v>
      </c>
      <c r="L2500" t="e">
        <f t="shared" si="512"/>
        <v>#N/A</v>
      </c>
      <c r="M2500" s="4" t="e">
        <f t="shared" si="513"/>
        <v>#N/A</v>
      </c>
      <c r="N2500" s="4" t="e">
        <f t="shared" si="514"/>
        <v>#N/A</v>
      </c>
    </row>
    <row r="2501" spans="1:14">
      <c r="A2501">
        <f t="shared" si="515"/>
        <v>0</v>
      </c>
      <c r="B2501">
        <f t="shared" si="516"/>
        <v>0</v>
      </c>
      <c r="C2501">
        <f t="shared" si="517"/>
        <v>0</v>
      </c>
      <c r="D2501">
        <f t="shared" si="518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9"/>
        <v>0</v>
      </c>
      <c r="G2501">
        <f t="shared" si="520"/>
        <v>0</v>
      </c>
      <c r="H2501">
        <f t="shared" si="521"/>
        <v>0</v>
      </c>
      <c r="I2501">
        <f t="shared" si="522"/>
        <v>0</v>
      </c>
      <c r="J2501">
        <f t="shared" si="523"/>
        <v>0</v>
      </c>
      <c r="K2501" s="4" t="e">
        <f t="shared" si="511"/>
        <v>#N/A</v>
      </c>
      <c r="L2501" t="e">
        <f t="shared" si="512"/>
        <v>#N/A</v>
      </c>
      <c r="M2501" s="4" t="e">
        <f t="shared" si="513"/>
        <v>#N/A</v>
      </c>
      <c r="N2501" s="4" t="e">
        <f t="shared" si="514"/>
        <v>#N/A</v>
      </c>
    </row>
    <row r="2502" spans="1:14">
      <c r="A2502">
        <f t="shared" si="515"/>
        <v>0</v>
      </c>
      <c r="B2502">
        <f t="shared" si="516"/>
        <v>0</v>
      </c>
      <c r="C2502">
        <f t="shared" si="517"/>
        <v>0</v>
      </c>
      <c r="D2502">
        <f t="shared" si="518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9"/>
        <v>0</v>
      </c>
      <c r="G2502">
        <f t="shared" si="520"/>
        <v>0</v>
      </c>
      <c r="H2502">
        <f t="shared" si="521"/>
        <v>0</v>
      </c>
      <c r="I2502">
        <f t="shared" si="522"/>
        <v>0</v>
      </c>
      <c r="J2502">
        <f t="shared" si="523"/>
        <v>0</v>
      </c>
      <c r="K2502" s="4" t="e">
        <f t="shared" si="511"/>
        <v>#N/A</v>
      </c>
      <c r="L2502" t="e">
        <f t="shared" si="512"/>
        <v>#N/A</v>
      </c>
      <c r="M2502" s="4" t="e">
        <f t="shared" si="513"/>
        <v>#N/A</v>
      </c>
      <c r="N2502" s="4" t="e">
        <f t="shared" si="514"/>
        <v>#N/A</v>
      </c>
    </row>
    <row r="2503" spans="1:14">
      <c r="A2503">
        <f t="shared" si="515"/>
        <v>0</v>
      </c>
      <c r="B2503">
        <f t="shared" si="516"/>
        <v>0</v>
      </c>
      <c r="C2503">
        <f t="shared" si="517"/>
        <v>0</v>
      </c>
      <c r="D2503">
        <f t="shared" si="518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9"/>
        <v>0</v>
      </c>
      <c r="G2503">
        <f t="shared" si="520"/>
        <v>0</v>
      </c>
      <c r="H2503">
        <f t="shared" si="521"/>
        <v>0</v>
      </c>
      <c r="I2503">
        <f t="shared" si="522"/>
        <v>0</v>
      </c>
      <c r="J2503">
        <f t="shared" si="523"/>
        <v>0</v>
      </c>
      <c r="K2503" s="4" t="e">
        <f t="shared" si="511"/>
        <v>#N/A</v>
      </c>
      <c r="L2503" t="e">
        <f t="shared" si="512"/>
        <v>#N/A</v>
      </c>
      <c r="M2503" s="4" t="e">
        <f t="shared" si="513"/>
        <v>#N/A</v>
      </c>
      <c r="N2503" s="4" t="e">
        <f t="shared" si="514"/>
        <v>#N/A</v>
      </c>
    </row>
    <row r="2504" spans="1:14">
      <c r="A2504">
        <f t="shared" si="515"/>
        <v>0</v>
      </c>
      <c r="B2504">
        <f t="shared" si="516"/>
        <v>0</v>
      </c>
      <c r="C2504">
        <f t="shared" si="517"/>
        <v>0</v>
      </c>
      <c r="D2504">
        <f t="shared" si="518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9"/>
        <v>0</v>
      </c>
      <c r="G2504">
        <f t="shared" si="520"/>
        <v>0</v>
      </c>
      <c r="H2504">
        <f t="shared" si="521"/>
        <v>0</v>
      </c>
      <c r="I2504">
        <f t="shared" si="522"/>
        <v>0</v>
      </c>
      <c r="J2504">
        <f t="shared" si="523"/>
        <v>0</v>
      </c>
      <c r="K2504" s="4" t="e">
        <f t="shared" si="511"/>
        <v>#N/A</v>
      </c>
      <c r="L2504" t="e">
        <f t="shared" si="512"/>
        <v>#N/A</v>
      </c>
      <c r="M2504" s="4" t="e">
        <f t="shared" si="513"/>
        <v>#N/A</v>
      </c>
      <c r="N2504" s="4" t="e">
        <f t="shared" si="514"/>
        <v>#N/A</v>
      </c>
    </row>
    <row r="2505" spans="1:14">
      <c r="A2505">
        <f t="shared" si="515"/>
        <v>0</v>
      </c>
      <c r="B2505">
        <f t="shared" si="516"/>
        <v>0</v>
      </c>
      <c r="C2505">
        <f t="shared" si="517"/>
        <v>0</v>
      </c>
      <c r="D2505">
        <f t="shared" si="518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9"/>
        <v>0</v>
      </c>
      <c r="G2505">
        <f t="shared" si="520"/>
        <v>0</v>
      </c>
      <c r="H2505">
        <f t="shared" si="521"/>
        <v>0</v>
      </c>
      <c r="I2505">
        <f t="shared" si="522"/>
        <v>0</v>
      </c>
      <c r="J2505">
        <f t="shared" si="523"/>
        <v>0</v>
      </c>
      <c r="K2505" s="4" t="e">
        <f t="shared" si="511"/>
        <v>#N/A</v>
      </c>
      <c r="L2505" t="e">
        <f t="shared" si="512"/>
        <v>#N/A</v>
      </c>
      <c r="M2505" s="4" t="e">
        <f t="shared" si="513"/>
        <v>#N/A</v>
      </c>
      <c r="N2505" s="4" t="e">
        <f t="shared" si="514"/>
        <v>#N/A</v>
      </c>
    </row>
    <row r="2506" spans="1:14">
      <c r="A2506">
        <f t="shared" si="515"/>
        <v>0</v>
      </c>
      <c r="B2506">
        <f t="shared" si="516"/>
        <v>0</v>
      </c>
      <c r="C2506">
        <f t="shared" si="517"/>
        <v>0</v>
      </c>
      <c r="D2506">
        <f t="shared" si="518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9"/>
        <v>0</v>
      </c>
      <c r="G2506">
        <f t="shared" si="520"/>
        <v>0</v>
      </c>
      <c r="H2506">
        <f t="shared" si="521"/>
        <v>0</v>
      </c>
      <c r="I2506">
        <f t="shared" si="522"/>
        <v>0</v>
      </c>
      <c r="J2506">
        <f t="shared" si="523"/>
        <v>0</v>
      </c>
      <c r="K2506" s="4" t="e">
        <f t="shared" si="511"/>
        <v>#N/A</v>
      </c>
      <c r="L2506" t="e">
        <f t="shared" si="512"/>
        <v>#N/A</v>
      </c>
      <c r="M2506" s="4" t="e">
        <f t="shared" si="513"/>
        <v>#N/A</v>
      </c>
      <c r="N2506" s="4" t="e">
        <f t="shared" si="514"/>
        <v>#N/A</v>
      </c>
    </row>
    <row r="2507" spans="1:14">
      <c r="A2507">
        <f t="shared" si="515"/>
        <v>0</v>
      </c>
      <c r="B2507">
        <f t="shared" si="516"/>
        <v>0</v>
      </c>
      <c r="C2507">
        <f t="shared" si="517"/>
        <v>0</v>
      </c>
      <c r="D2507">
        <f t="shared" si="518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9"/>
        <v>0</v>
      </c>
      <c r="G2507">
        <f t="shared" si="520"/>
        <v>0</v>
      </c>
      <c r="H2507">
        <f t="shared" si="521"/>
        <v>0</v>
      </c>
      <c r="I2507">
        <f t="shared" si="522"/>
        <v>0</v>
      </c>
      <c r="J2507">
        <f t="shared" si="523"/>
        <v>0</v>
      </c>
      <c r="K2507" s="4" t="e">
        <f t="shared" si="511"/>
        <v>#N/A</v>
      </c>
      <c r="L2507" t="e">
        <f t="shared" si="512"/>
        <v>#N/A</v>
      </c>
      <c r="M2507" s="4" t="e">
        <f t="shared" si="513"/>
        <v>#N/A</v>
      </c>
      <c r="N2507" s="4" t="e">
        <f t="shared" si="514"/>
        <v>#N/A</v>
      </c>
    </row>
    <row r="2508" spans="1:14">
      <c r="A2508">
        <f t="shared" si="515"/>
        <v>0</v>
      </c>
      <c r="B2508">
        <f t="shared" si="516"/>
        <v>0</v>
      </c>
      <c r="C2508">
        <f t="shared" si="517"/>
        <v>0</v>
      </c>
      <c r="D2508">
        <f t="shared" si="518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9"/>
        <v>0</v>
      </c>
      <c r="G2508">
        <f t="shared" si="520"/>
        <v>0</v>
      </c>
      <c r="H2508">
        <f t="shared" si="521"/>
        <v>0</v>
      </c>
      <c r="I2508">
        <f t="shared" si="522"/>
        <v>0</v>
      </c>
      <c r="J2508">
        <f t="shared" si="523"/>
        <v>0</v>
      </c>
      <c r="K2508" s="4" t="e">
        <f t="shared" si="511"/>
        <v>#N/A</v>
      </c>
      <c r="L2508" t="e">
        <f t="shared" si="512"/>
        <v>#N/A</v>
      </c>
      <c r="M2508" s="4" t="e">
        <f t="shared" si="513"/>
        <v>#N/A</v>
      </c>
      <c r="N2508" s="4" t="e">
        <f t="shared" si="514"/>
        <v>#N/A</v>
      </c>
    </row>
    <row r="2509" spans="1:14">
      <c r="A2509">
        <f t="shared" si="515"/>
        <v>0</v>
      </c>
      <c r="B2509">
        <f t="shared" si="516"/>
        <v>0</v>
      </c>
      <c r="C2509">
        <f t="shared" si="517"/>
        <v>0</v>
      </c>
      <c r="D2509">
        <f t="shared" si="518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9"/>
        <v>0</v>
      </c>
      <c r="G2509">
        <f t="shared" si="520"/>
        <v>0</v>
      </c>
      <c r="H2509">
        <f t="shared" si="521"/>
        <v>0</v>
      </c>
      <c r="I2509">
        <f t="shared" si="522"/>
        <v>0</v>
      </c>
      <c r="J2509">
        <f t="shared" si="523"/>
        <v>0</v>
      </c>
      <c r="K2509" s="4" t="e">
        <f t="shared" si="511"/>
        <v>#N/A</v>
      </c>
      <c r="L2509" t="e">
        <f t="shared" si="512"/>
        <v>#N/A</v>
      </c>
      <c r="M2509" s="4" t="e">
        <f t="shared" si="513"/>
        <v>#N/A</v>
      </c>
      <c r="N2509" s="4" t="e">
        <f t="shared" si="514"/>
        <v>#N/A</v>
      </c>
    </row>
    <row r="2510" spans="1:14">
      <c r="A2510">
        <f t="shared" si="515"/>
        <v>0</v>
      </c>
      <c r="B2510">
        <f t="shared" si="516"/>
        <v>0</v>
      </c>
      <c r="C2510">
        <f t="shared" si="517"/>
        <v>0</v>
      </c>
      <c r="D2510">
        <f t="shared" si="518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9"/>
        <v>0</v>
      </c>
      <c r="G2510">
        <f t="shared" si="520"/>
        <v>0</v>
      </c>
      <c r="H2510">
        <f t="shared" si="521"/>
        <v>0</v>
      </c>
      <c r="I2510">
        <f t="shared" si="522"/>
        <v>0</v>
      </c>
      <c r="J2510">
        <f t="shared" si="523"/>
        <v>0</v>
      </c>
      <c r="K2510" s="4" t="e">
        <f t="shared" si="511"/>
        <v>#N/A</v>
      </c>
      <c r="L2510" t="e">
        <f t="shared" si="512"/>
        <v>#N/A</v>
      </c>
      <c r="M2510" s="4" t="e">
        <f t="shared" si="513"/>
        <v>#N/A</v>
      </c>
      <c r="N2510" s="4" t="e">
        <f t="shared" si="514"/>
        <v>#N/A</v>
      </c>
    </row>
    <row r="2511" spans="1:14">
      <c r="A2511">
        <f t="shared" si="515"/>
        <v>0</v>
      </c>
      <c r="B2511">
        <f t="shared" si="516"/>
        <v>0</v>
      </c>
      <c r="C2511">
        <f t="shared" si="517"/>
        <v>0</v>
      </c>
      <c r="D2511">
        <f t="shared" si="518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9"/>
        <v>0</v>
      </c>
      <c r="G2511">
        <f t="shared" si="520"/>
        <v>0</v>
      </c>
      <c r="H2511">
        <f t="shared" si="521"/>
        <v>0</v>
      </c>
      <c r="I2511">
        <f t="shared" si="522"/>
        <v>0</v>
      </c>
      <c r="J2511">
        <f t="shared" si="523"/>
        <v>0</v>
      </c>
      <c r="K2511" s="4" t="e">
        <f t="shared" si="511"/>
        <v>#N/A</v>
      </c>
      <c r="L2511" t="e">
        <f t="shared" si="512"/>
        <v>#N/A</v>
      </c>
      <c r="M2511" s="4" t="e">
        <f t="shared" si="513"/>
        <v>#N/A</v>
      </c>
      <c r="N2511" s="4" t="e">
        <f t="shared" si="514"/>
        <v>#N/A</v>
      </c>
    </row>
    <row r="2512" spans="1:14">
      <c r="A2512">
        <f t="shared" si="515"/>
        <v>0</v>
      </c>
      <c r="B2512">
        <f t="shared" si="516"/>
        <v>0</v>
      </c>
      <c r="C2512">
        <f t="shared" si="517"/>
        <v>0</v>
      </c>
      <c r="D2512">
        <f t="shared" si="518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9"/>
        <v>0</v>
      </c>
      <c r="G2512">
        <f t="shared" si="520"/>
        <v>0</v>
      </c>
      <c r="H2512">
        <f t="shared" si="521"/>
        <v>0</v>
      </c>
      <c r="I2512">
        <f t="shared" si="522"/>
        <v>0</v>
      </c>
      <c r="J2512">
        <f t="shared" si="523"/>
        <v>0</v>
      </c>
      <c r="K2512" s="4" t="e">
        <f t="shared" si="511"/>
        <v>#N/A</v>
      </c>
      <c r="L2512" t="e">
        <f t="shared" si="512"/>
        <v>#N/A</v>
      </c>
      <c r="M2512" s="4" t="e">
        <f t="shared" si="513"/>
        <v>#N/A</v>
      </c>
      <c r="N2512" s="4" t="e">
        <f t="shared" si="514"/>
        <v>#N/A</v>
      </c>
    </row>
    <row r="2513" spans="1:14">
      <c r="A2513">
        <f t="shared" si="515"/>
        <v>0</v>
      </c>
      <c r="B2513">
        <f t="shared" si="516"/>
        <v>0</v>
      </c>
      <c r="C2513">
        <f t="shared" si="517"/>
        <v>0</v>
      </c>
      <c r="D2513">
        <f t="shared" si="518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9"/>
        <v>0</v>
      </c>
      <c r="G2513">
        <f t="shared" si="520"/>
        <v>0</v>
      </c>
      <c r="H2513">
        <f t="shared" si="521"/>
        <v>0</v>
      </c>
      <c r="I2513">
        <f t="shared" si="522"/>
        <v>0</v>
      </c>
      <c r="J2513">
        <f t="shared" si="523"/>
        <v>0</v>
      </c>
      <c r="K2513" s="4" t="e">
        <f t="shared" si="511"/>
        <v>#N/A</v>
      </c>
      <c r="L2513" t="e">
        <f t="shared" si="512"/>
        <v>#N/A</v>
      </c>
      <c r="M2513" s="4" t="e">
        <f t="shared" si="513"/>
        <v>#N/A</v>
      </c>
      <c r="N2513" s="4" t="e">
        <f t="shared" si="514"/>
        <v>#N/A</v>
      </c>
    </row>
    <row r="2514" spans="1:14">
      <c r="A2514">
        <f t="shared" si="515"/>
        <v>0</v>
      </c>
      <c r="B2514">
        <f t="shared" si="516"/>
        <v>0</v>
      </c>
      <c r="C2514">
        <f t="shared" si="517"/>
        <v>0</v>
      </c>
      <c r="D2514">
        <f t="shared" si="518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9"/>
        <v>0</v>
      </c>
      <c r="G2514">
        <f t="shared" si="520"/>
        <v>0</v>
      </c>
      <c r="H2514">
        <f t="shared" si="521"/>
        <v>0</v>
      </c>
      <c r="I2514">
        <f t="shared" si="522"/>
        <v>0</v>
      </c>
      <c r="J2514">
        <f t="shared" si="523"/>
        <v>0</v>
      </c>
      <c r="K2514" s="4" t="e">
        <f t="shared" si="511"/>
        <v>#N/A</v>
      </c>
      <c r="L2514" t="e">
        <f t="shared" si="512"/>
        <v>#N/A</v>
      </c>
      <c r="M2514" s="4" t="e">
        <f t="shared" si="513"/>
        <v>#N/A</v>
      </c>
      <c r="N2514" s="4" t="e">
        <f t="shared" si="514"/>
        <v>#N/A</v>
      </c>
    </row>
    <row r="2515" spans="1:14">
      <c r="A2515">
        <f t="shared" si="515"/>
        <v>0</v>
      </c>
      <c r="B2515">
        <f t="shared" si="516"/>
        <v>0</v>
      </c>
      <c r="C2515">
        <f t="shared" si="517"/>
        <v>0</v>
      </c>
      <c r="D2515">
        <f t="shared" si="518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9"/>
        <v>0</v>
      </c>
      <c r="G2515">
        <f t="shared" si="520"/>
        <v>0</v>
      </c>
      <c r="H2515">
        <f t="shared" si="521"/>
        <v>0</v>
      </c>
      <c r="I2515">
        <f t="shared" si="522"/>
        <v>0</v>
      </c>
      <c r="J2515">
        <f t="shared" si="523"/>
        <v>0</v>
      </c>
      <c r="K2515" s="4" t="e">
        <f t="shared" si="511"/>
        <v>#N/A</v>
      </c>
      <c r="L2515" t="e">
        <f t="shared" si="512"/>
        <v>#N/A</v>
      </c>
      <c r="M2515" s="4" t="e">
        <f t="shared" si="513"/>
        <v>#N/A</v>
      </c>
      <c r="N2515" s="4" t="e">
        <f t="shared" si="514"/>
        <v>#N/A</v>
      </c>
    </row>
    <row r="2516" spans="1:14">
      <c r="A2516">
        <f t="shared" si="515"/>
        <v>0</v>
      </c>
      <c r="B2516">
        <f t="shared" si="516"/>
        <v>0</v>
      </c>
      <c r="C2516">
        <f t="shared" si="517"/>
        <v>0</v>
      </c>
      <c r="D2516">
        <f t="shared" si="518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9"/>
        <v>0</v>
      </c>
      <c r="G2516">
        <f t="shared" si="520"/>
        <v>0</v>
      </c>
      <c r="H2516">
        <f t="shared" si="521"/>
        <v>0</v>
      </c>
      <c r="I2516">
        <f t="shared" si="522"/>
        <v>0</v>
      </c>
      <c r="J2516">
        <f t="shared" si="523"/>
        <v>0</v>
      </c>
      <c r="K2516" s="4" t="e">
        <f t="shared" si="511"/>
        <v>#N/A</v>
      </c>
      <c r="L2516" t="e">
        <f t="shared" si="512"/>
        <v>#N/A</v>
      </c>
      <c r="M2516" s="4" t="e">
        <f t="shared" si="513"/>
        <v>#N/A</v>
      </c>
      <c r="N2516" s="4" t="e">
        <f t="shared" si="514"/>
        <v>#N/A</v>
      </c>
    </row>
    <row r="2517" spans="1:14">
      <c r="A2517">
        <f t="shared" si="515"/>
        <v>0</v>
      </c>
      <c r="B2517">
        <f t="shared" si="516"/>
        <v>0</v>
      </c>
      <c r="C2517">
        <f t="shared" si="517"/>
        <v>0</v>
      </c>
      <c r="D2517">
        <f t="shared" si="518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9"/>
        <v>0</v>
      </c>
      <c r="G2517">
        <f t="shared" si="520"/>
        <v>0</v>
      </c>
      <c r="H2517">
        <f t="shared" si="521"/>
        <v>0</v>
      </c>
      <c r="I2517">
        <f t="shared" si="522"/>
        <v>0</v>
      </c>
      <c r="J2517">
        <f t="shared" si="523"/>
        <v>0</v>
      </c>
      <c r="K2517" s="4" t="e">
        <f t="shared" si="511"/>
        <v>#N/A</v>
      </c>
      <c r="L2517" t="e">
        <f t="shared" si="512"/>
        <v>#N/A</v>
      </c>
      <c r="M2517" s="4" t="e">
        <f t="shared" si="513"/>
        <v>#N/A</v>
      </c>
      <c r="N2517" s="4" t="e">
        <f t="shared" si="514"/>
        <v>#N/A</v>
      </c>
    </row>
    <row r="2518" spans="1:14">
      <c r="A2518">
        <f t="shared" si="515"/>
        <v>0</v>
      </c>
      <c r="B2518">
        <f t="shared" si="516"/>
        <v>0</v>
      </c>
      <c r="C2518">
        <f t="shared" si="517"/>
        <v>0</v>
      </c>
      <c r="D2518">
        <f t="shared" si="518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9"/>
        <v>0</v>
      </c>
      <c r="G2518">
        <f t="shared" si="520"/>
        <v>0</v>
      </c>
      <c r="H2518">
        <f t="shared" si="521"/>
        <v>0</v>
      </c>
      <c r="I2518">
        <f t="shared" si="522"/>
        <v>0</v>
      </c>
      <c r="J2518">
        <f t="shared" si="523"/>
        <v>0</v>
      </c>
      <c r="K2518" s="4" t="e">
        <f t="shared" si="511"/>
        <v>#N/A</v>
      </c>
      <c r="L2518" t="e">
        <f t="shared" si="512"/>
        <v>#N/A</v>
      </c>
      <c r="M2518" s="4" t="e">
        <f t="shared" si="513"/>
        <v>#N/A</v>
      </c>
      <c r="N2518" s="4" t="e">
        <f t="shared" si="514"/>
        <v>#N/A</v>
      </c>
    </row>
    <row r="2519" spans="1:14">
      <c r="A2519">
        <f t="shared" si="515"/>
        <v>0</v>
      </c>
      <c r="B2519">
        <f t="shared" si="516"/>
        <v>0</v>
      </c>
      <c r="C2519">
        <f t="shared" si="517"/>
        <v>0</v>
      </c>
      <c r="D2519">
        <f t="shared" si="518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9"/>
        <v>0</v>
      </c>
      <c r="G2519">
        <f t="shared" si="520"/>
        <v>0</v>
      </c>
      <c r="H2519">
        <f t="shared" si="521"/>
        <v>0</v>
      </c>
      <c r="I2519">
        <f t="shared" si="522"/>
        <v>0</v>
      </c>
      <c r="J2519">
        <f t="shared" si="523"/>
        <v>0</v>
      </c>
      <c r="K2519" s="4" t="e">
        <f t="shared" si="511"/>
        <v>#N/A</v>
      </c>
      <c r="L2519" t="e">
        <f t="shared" si="512"/>
        <v>#N/A</v>
      </c>
      <c r="M2519" s="4" t="e">
        <f t="shared" si="513"/>
        <v>#N/A</v>
      </c>
      <c r="N2519" s="4" t="e">
        <f t="shared" si="514"/>
        <v>#N/A</v>
      </c>
    </row>
    <row r="2520" spans="1:14">
      <c r="A2520">
        <f t="shared" si="515"/>
        <v>0</v>
      </c>
      <c r="B2520">
        <f t="shared" si="516"/>
        <v>0</v>
      </c>
      <c r="C2520">
        <f t="shared" si="517"/>
        <v>0</v>
      </c>
      <c r="D2520">
        <f t="shared" si="518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9"/>
        <v>0</v>
      </c>
      <c r="G2520">
        <f t="shared" si="520"/>
        <v>0</v>
      </c>
      <c r="H2520">
        <f t="shared" si="521"/>
        <v>0</v>
      </c>
      <c r="I2520">
        <f t="shared" si="522"/>
        <v>0</v>
      </c>
      <c r="J2520">
        <f t="shared" si="523"/>
        <v>0</v>
      </c>
      <c r="K2520" s="4" t="e">
        <f t="shared" si="511"/>
        <v>#N/A</v>
      </c>
      <c r="L2520" t="e">
        <f t="shared" si="512"/>
        <v>#N/A</v>
      </c>
      <c r="M2520" s="4" t="e">
        <f t="shared" si="513"/>
        <v>#N/A</v>
      </c>
      <c r="N2520" s="4" t="e">
        <f t="shared" si="514"/>
        <v>#N/A</v>
      </c>
    </row>
    <row r="2521" spans="1:14">
      <c r="A2521">
        <f t="shared" si="515"/>
        <v>0</v>
      </c>
      <c r="B2521">
        <f t="shared" si="516"/>
        <v>0</v>
      </c>
      <c r="C2521">
        <f t="shared" si="517"/>
        <v>0</v>
      </c>
      <c r="D2521">
        <f t="shared" si="518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9"/>
        <v>0</v>
      </c>
      <c r="G2521">
        <f t="shared" si="520"/>
        <v>0</v>
      </c>
      <c r="H2521">
        <f t="shared" si="521"/>
        <v>0</v>
      </c>
      <c r="I2521">
        <f t="shared" si="522"/>
        <v>0</v>
      </c>
      <c r="J2521">
        <f t="shared" si="523"/>
        <v>0</v>
      </c>
      <c r="K2521" s="4" t="e">
        <f t="shared" si="511"/>
        <v>#N/A</v>
      </c>
      <c r="L2521" t="e">
        <f t="shared" si="512"/>
        <v>#N/A</v>
      </c>
      <c r="M2521" s="4" t="e">
        <f t="shared" si="513"/>
        <v>#N/A</v>
      </c>
      <c r="N2521" s="4" t="e">
        <f t="shared" si="514"/>
        <v>#N/A</v>
      </c>
    </row>
    <row r="2522" spans="1:14">
      <c r="A2522">
        <f t="shared" si="515"/>
        <v>0</v>
      </c>
      <c r="B2522">
        <f t="shared" si="516"/>
        <v>0</v>
      </c>
      <c r="C2522">
        <f t="shared" si="517"/>
        <v>0</v>
      </c>
      <c r="D2522">
        <f t="shared" si="518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9"/>
        <v>0</v>
      </c>
      <c r="G2522">
        <f t="shared" si="520"/>
        <v>0</v>
      </c>
      <c r="H2522">
        <f t="shared" si="521"/>
        <v>0</v>
      </c>
      <c r="I2522">
        <f t="shared" si="522"/>
        <v>0</v>
      </c>
      <c r="J2522">
        <f t="shared" si="523"/>
        <v>0</v>
      </c>
      <c r="K2522" s="4" t="e">
        <f t="shared" si="511"/>
        <v>#N/A</v>
      </c>
      <c r="L2522" t="e">
        <f t="shared" si="512"/>
        <v>#N/A</v>
      </c>
      <c r="M2522" s="4" t="e">
        <f t="shared" si="513"/>
        <v>#N/A</v>
      </c>
      <c r="N2522" s="4" t="e">
        <f t="shared" si="514"/>
        <v>#N/A</v>
      </c>
    </row>
    <row r="2523" spans="1:14">
      <c r="A2523">
        <f t="shared" si="515"/>
        <v>0</v>
      </c>
      <c r="B2523">
        <f t="shared" si="516"/>
        <v>0</v>
      </c>
      <c r="C2523">
        <f t="shared" si="517"/>
        <v>0</v>
      </c>
      <c r="D2523">
        <f t="shared" si="518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9"/>
        <v>0</v>
      </c>
      <c r="G2523">
        <f t="shared" si="520"/>
        <v>0</v>
      </c>
      <c r="H2523">
        <f t="shared" si="521"/>
        <v>0</v>
      </c>
      <c r="I2523">
        <f t="shared" si="522"/>
        <v>0</v>
      </c>
      <c r="J2523">
        <f t="shared" si="523"/>
        <v>0</v>
      </c>
      <c r="K2523" s="4" t="e">
        <f t="shared" si="511"/>
        <v>#N/A</v>
      </c>
      <c r="L2523" t="e">
        <f t="shared" si="512"/>
        <v>#N/A</v>
      </c>
      <c r="M2523" s="4" t="e">
        <f t="shared" si="513"/>
        <v>#N/A</v>
      </c>
      <c r="N2523" s="4" t="e">
        <f t="shared" si="514"/>
        <v>#N/A</v>
      </c>
    </row>
    <row r="2524" spans="1:14">
      <c r="A2524">
        <f t="shared" si="515"/>
        <v>0</v>
      </c>
      <c r="B2524">
        <f t="shared" si="516"/>
        <v>0</v>
      </c>
      <c r="C2524">
        <f t="shared" si="517"/>
        <v>0</v>
      </c>
      <c r="D2524">
        <f t="shared" si="518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9"/>
        <v>0</v>
      </c>
      <c r="G2524">
        <f t="shared" si="520"/>
        <v>0</v>
      </c>
      <c r="H2524">
        <f t="shared" si="521"/>
        <v>0</v>
      </c>
      <c r="I2524">
        <f t="shared" si="522"/>
        <v>0</v>
      </c>
      <c r="J2524">
        <f t="shared" si="523"/>
        <v>0</v>
      </c>
      <c r="K2524" s="4" t="e">
        <f t="shared" si="511"/>
        <v>#N/A</v>
      </c>
      <c r="L2524" t="e">
        <f t="shared" si="512"/>
        <v>#N/A</v>
      </c>
      <c r="M2524" s="4" t="e">
        <f t="shared" si="513"/>
        <v>#N/A</v>
      </c>
      <c r="N2524" s="4" t="e">
        <f t="shared" si="514"/>
        <v>#N/A</v>
      </c>
    </row>
    <row r="2525" spans="1:14">
      <c r="A2525">
        <f t="shared" si="515"/>
        <v>0</v>
      </c>
      <c r="B2525">
        <f t="shared" si="516"/>
        <v>0</v>
      </c>
      <c r="C2525">
        <f t="shared" si="517"/>
        <v>0</v>
      </c>
      <c r="D2525">
        <f t="shared" si="518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9"/>
        <v>0</v>
      </c>
      <c r="G2525">
        <f t="shared" si="520"/>
        <v>0</v>
      </c>
      <c r="H2525">
        <f t="shared" si="521"/>
        <v>0</v>
      </c>
      <c r="I2525">
        <f t="shared" si="522"/>
        <v>0</v>
      </c>
      <c r="J2525">
        <f t="shared" si="523"/>
        <v>0</v>
      </c>
      <c r="K2525" s="4" t="e">
        <f t="shared" si="511"/>
        <v>#N/A</v>
      </c>
      <c r="L2525" t="e">
        <f t="shared" si="512"/>
        <v>#N/A</v>
      </c>
      <c r="M2525" s="4" t="e">
        <f t="shared" si="513"/>
        <v>#N/A</v>
      </c>
      <c r="N2525" s="4" t="e">
        <f t="shared" si="514"/>
        <v>#N/A</v>
      </c>
    </row>
    <row r="2526" spans="1:14">
      <c r="A2526">
        <f t="shared" si="515"/>
        <v>0</v>
      </c>
      <c r="B2526">
        <f t="shared" si="516"/>
        <v>0</v>
      </c>
      <c r="C2526">
        <f t="shared" si="517"/>
        <v>0</v>
      </c>
      <c r="D2526">
        <f t="shared" si="518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9"/>
        <v>0</v>
      </c>
      <c r="G2526">
        <f t="shared" si="520"/>
        <v>0</v>
      </c>
      <c r="H2526">
        <f t="shared" si="521"/>
        <v>0</v>
      </c>
      <c r="I2526">
        <f t="shared" si="522"/>
        <v>0</v>
      </c>
      <c r="J2526">
        <f t="shared" si="523"/>
        <v>0</v>
      </c>
      <c r="K2526" s="4" t="e">
        <f t="shared" si="511"/>
        <v>#N/A</v>
      </c>
      <c r="L2526" t="e">
        <f t="shared" si="512"/>
        <v>#N/A</v>
      </c>
      <c r="M2526" s="4" t="e">
        <f t="shared" si="513"/>
        <v>#N/A</v>
      </c>
      <c r="N2526" s="4" t="e">
        <f t="shared" si="514"/>
        <v>#N/A</v>
      </c>
    </row>
    <row r="2527" spans="1:14">
      <c r="A2527">
        <f t="shared" si="515"/>
        <v>0</v>
      </c>
      <c r="B2527">
        <f t="shared" si="516"/>
        <v>0</v>
      </c>
      <c r="C2527">
        <f t="shared" si="517"/>
        <v>0</v>
      </c>
      <c r="D2527">
        <f t="shared" si="518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9"/>
        <v>0</v>
      </c>
      <c r="G2527">
        <f t="shared" si="520"/>
        <v>0</v>
      </c>
      <c r="H2527">
        <f t="shared" si="521"/>
        <v>0</v>
      </c>
      <c r="I2527">
        <f t="shared" si="522"/>
        <v>0</v>
      </c>
      <c r="J2527">
        <f t="shared" si="523"/>
        <v>0</v>
      </c>
      <c r="K2527" s="4" t="e">
        <f t="shared" si="511"/>
        <v>#N/A</v>
      </c>
      <c r="L2527" t="e">
        <f t="shared" si="512"/>
        <v>#N/A</v>
      </c>
      <c r="M2527" s="4" t="e">
        <f t="shared" si="513"/>
        <v>#N/A</v>
      </c>
      <c r="N2527" s="4" t="e">
        <f t="shared" si="514"/>
        <v>#N/A</v>
      </c>
    </row>
    <row r="2528" spans="1:14">
      <c r="A2528">
        <f t="shared" si="515"/>
        <v>0</v>
      </c>
      <c r="B2528">
        <f t="shared" si="516"/>
        <v>0</v>
      </c>
      <c r="C2528">
        <f t="shared" si="517"/>
        <v>0</v>
      </c>
      <c r="D2528">
        <f t="shared" si="518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9"/>
        <v>0</v>
      </c>
      <c r="G2528">
        <f t="shared" si="520"/>
        <v>0</v>
      </c>
      <c r="H2528">
        <f t="shared" si="521"/>
        <v>0</v>
      </c>
      <c r="I2528">
        <f t="shared" si="522"/>
        <v>0</v>
      </c>
      <c r="J2528">
        <f t="shared" si="523"/>
        <v>0</v>
      </c>
      <c r="K2528" s="4" t="e">
        <f t="shared" si="511"/>
        <v>#N/A</v>
      </c>
      <c r="L2528" t="e">
        <f t="shared" si="512"/>
        <v>#N/A</v>
      </c>
      <c r="M2528" s="4" t="e">
        <f t="shared" si="513"/>
        <v>#N/A</v>
      </c>
      <c r="N2528" s="4" t="e">
        <f t="shared" si="514"/>
        <v>#N/A</v>
      </c>
    </row>
    <row r="2529" spans="1:14">
      <c r="A2529">
        <f t="shared" si="515"/>
        <v>0</v>
      </c>
      <c r="B2529">
        <f t="shared" si="516"/>
        <v>0</v>
      </c>
      <c r="C2529">
        <f t="shared" si="517"/>
        <v>0</v>
      </c>
      <c r="D2529">
        <f t="shared" si="518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9"/>
        <v>0</v>
      </c>
      <c r="G2529">
        <f t="shared" si="520"/>
        <v>0</v>
      </c>
      <c r="H2529">
        <f t="shared" si="521"/>
        <v>0</v>
      </c>
      <c r="I2529">
        <f t="shared" si="522"/>
        <v>0</v>
      </c>
      <c r="J2529">
        <f t="shared" si="523"/>
        <v>0</v>
      </c>
      <c r="K2529" s="4" t="e">
        <f t="shared" si="511"/>
        <v>#N/A</v>
      </c>
      <c r="L2529" t="e">
        <f t="shared" si="512"/>
        <v>#N/A</v>
      </c>
      <c r="M2529" s="4" t="e">
        <f t="shared" si="513"/>
        <v>#N/A</v>
      </c>
      <c r="N2529" s="4" t="e">
        <f t="shared" si="514"/>
        <v>#N/A</v>
      </c>
    </row>
    <row r="2530" spans="1:14">
      <c r="A2530">
        <f t="shared" si="515"/>
        <v>0</v>
      </c>
      <c r="B2530">
        <f t="shared" si="516"/>
        <v>0</v>
      </c>
      <c r="C2530">
        <f t="shared" si="517"/>
        <v>0</v>
      </c>
      <c r="D2530">
        <f t="shared" si="518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9"/>
        <v>0</v>
      </c>
      <c r="G2530">
        <f t="shared" si="520"/>
        <v>0</v>
      </c>
      <c r="H2530">
        <f t="shared" si="521"/>
        <v>0</v>
      </c>
      <c r="I2530">
        <f t="shared" si="522"/>
        <v>0</v>
      </c>
      <c r="J2530">
        <f t="shared" si="523"/>
        <v>0</v>
      </c>
      <c r="K2530" s="4" t="e">
        <f t="shared" si="511"/>
        <v>#N/A</v>
      </c>
      <c r="L2530" t="e">
        <f t="shared" si="512"/>
        <v>#N/A</v>
      </c>
      <c r="M2530" s="4" t="e">
        <f t="shared" si="513"/>
        <v>#N/A</v>
      </c>
      <c r="N2530" s="4" t="e">
        <f t="shared" si="514"/>
        <v>#N/A</v>
      </c>
    </row>
    <row r="2531" spans="1:14">
      <c r="A2531">
        <f t="shared" si="515"/>
        <v>0</v>
      </c>
      <c r="B2531">
        <f t="shared" si="516"/>
        <v>0</v>
      </c>
      <c r="C2531">
        <f t="shared" si="517"/>
        <v>0</v>
      </c>
      <c r="D2531">
        <f t="shared" si="518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9"/>
        <v>0</v>
      </c>
      <c r="G2531">
        <f t="shared" si="520"/>
        <v>0</v>
      </c>
      <c r="H2531">
        <f t="shared" si="521"/>
        <v>0</v>
      </c>
      <c r="I2531">
        <f t="shared" si="522"/>
        <v>0</v>
      </c>
      <c r="J2531">
        <f t="shared" si="523"/>
        <v>0</v>
      </c>
      <c r="K2531" s="4" t="e">
        <f t="shared" si="511"/>
        <v>#N/A</v>
      </c>
      <c r="L2531" t="e">
        <f t="shared" si="512"/>
        <v>#N/A</v>
      </c>
      <c r="M2531" s="4" t="e">
        <f t="shared" si="513"/>
        <v>#N/A</v>
      </c>
      <c r="N2531" s="4" t="e">
        <f t="shared" si="514"/>
        <v>#N/A</v>
      </c>
    </row>
    <row r="2532" spans="1:14">
      <c r="A2532">
        <f t="shared" si="515"/>
        <v>0</v>
      </c>
      <c r="B2532">
        <f t="shared" si="516"/>
        <v>0</v>
      </c>
      <c r="C2532">
        <f t="shared" si="517"/>
        <v>0</v>
      </c>
      <c r="D2532">
        <f t="shared" si="518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9"/>
        <v>0</v>
      </c>
      <c r="G2532">
        <f t="shared" si="520"/>
        <v>0</v>
      </c>
      <c r="H2532">
        <f t="shared" si="521"/>
        <v>0</v>
      </c>
      <c r="I2532">
        <f t="shared" si="522"/>
        <v>0</v>
      </c>
      <c r="J2532">
        <f t="shared" si="523"/>
        <v>0</v>
      </c>
      <c r="K2532" s="4" t="e">
        <f t="shared" si="511"/>
        <v>#N/A</v>
      </c>
      <c r="L2532" t="e">
        <f t="shared" si="512"/>
        <v>#N/A</v>
      </c>
      <c r="M2532" s="4" t="e">
        <f t="shared" si="513"/>
        <v>#N/A</v>
      </c>
      <c r="N2532" s="4" t="e">
        <f t="shared" si="514"/>
        <v>#N/A</v>
      </c>
    </row>
    <row r="2533" spans="1:14">
      <c r="A2533">
        <f t="shared" si="515"/>
        <v>0</v>
      </c>
      <c r="B2533">
        <f t="shared" si="516"/>
        <v>0</v>
      </c>
      <c r="C2533">
        <f t="shared" si="517"/>
        <v>0</v>
      </c>
      <c r="D2533">
        <f t="shared" si="518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9"/>
        <v>0</v>
      </c>
      <c r="G2533">
        <f t="shared" si="520"/>
        <v>0</v>
      </c>
      <c r="H2533">
        <f t="shared" si="521"/>
        <v>0</v>
      </c>
      <c r="I2533">
        <f t="shared" si="522"/>
        <v>0</v>
      </c>
      <c r="J2533">
        <f t="shared" si="523"/>
        <v>0</v>
      </c>
      <c r="K2533" s="4" t="e">
        <f t="shared" si="511"/>
        <v>#N/A</v>
      </c>
      <c r="L2533" t="e">
        <f t="shared" si="512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5"/>
        <v>0</v>
      </c>
      <c r="B2534">
        <f t="shared" si="516"/>
        <v>0</v>
      </c>
      <c r="C2534">
        <f t="shared" si="517"/>
        <v>0</v>
      </c>
      <c r="D2534">
        <f t="shared" si="518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9"/>
        <v>0</v>
      </c>
      <c r="G2534">
        <f t="shared" si="520"/>
        <v>0</v>
      </c>
      <c r="H2534">
        <f t="shared" si="521"/>
        <v>0</v>
      </c>
      <c r="I2534">
        <f t="shared" si="522"/>
        <v>0</v>
      </c>
      <c r="J2534">
        <f t="shared" si="523"/>
        <v>0</v>
      </c>
      <c r="K2534" s="4" t="e">
        <f t="shared" si="511"/>
        <v>#N/A</v>
      </c>
      <c r="L2534" t="e">
        <f t="shared" si="512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5"/>
        <v>0</v>
      </c>
      <c r="B2535">
        <f t="shared" si="516"/>
        <v>0</v>
      </c>
      <c r="C2535">
        <f t="shared" si="517"/>
        <v>0</v>
      </c>
      <c r="D2535">
        <f t="shared" si="518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9"/>
        <v>0</v>
      </c>
      <c r="G2535">
        <f t="shared" si="520"/>
        <v>0</v>
      </c>
      <c r="H2535">
        <f t="shared" si="521"/>
        <v>0</v>
      </c>
      <c r="I2535">
        <f t="shared" si="522"/>
        <v>0</v>
      </c>
      <c r="J2535">
        <f t="shared" si="523"/>
        <v>0</v>
      </c>
      <c r="K2535" s="4" t="e">
        <f t="shared" si="511"/>
        <v>#N/A</v>
      </c>
      <c r="L2535" t="e">
        <f t="shared" si="512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5"/>
        <v>0</v>
      </c>
      <c r="B2536">
        <f t="shared" si="516"/>
        <v>0</v>
      </c>
      <c r="C2536">
        <f t="shared" si="517"/>
        <v>0</v>
      </c>
      <c r="D2536">
        <f t="shared" si="518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9"/>
        <v>0</v>
      </c>
      <c r="G2536">
        <f t="shared" si="520"/>
        <v>0</v>
      </c>
      <c r="H2536">
        <f t="shared" si="521"/>
        <v>0</v>
      </c>
      <c r="I2536">
        <f t="shared" si="522"/>
        <v>0</v>
      </c>
      <c r="J2536">
        <f t="shared" si="523"/>
        <v>0</v>
      </c>
      <c r="K2536" s="4" t="e">
        <f t="shared" si="511"/>
        <v>#N/A</v>
      </c>
      <c r="L2536" t="e">
        <f t="shared" si="512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5"/>
        <v>0</v>
      </c>
      <c r="B2537">
        <f t="shared" si="516"/>
        <v>0</v>
      </c>
      <c r="C2537">
        <f t="shared" si="517"/>
        <v>0</v>
      </c>
      <c r="D2537">
        <f t="shared" si="518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9"/>
        <v>0</v>
      </c>
      <c r="G2537">
        <f t="shared" si="520"/>
        <v>0</v>
      </c>
      <c r="H2537">
        <f t="shared" si="521"/>
        <v>0</v>
      </c>
      <c r="I2537">
        <f t="shared" si="522"/>
        <v>0</v>
      </c>
      <c r="J2537">
        <f t="shared" si="523"/>
        <v>0</v>
      </c>
      <c r="K2537" s="4" t="e">
        <f t="shared" si="511"/>
        <v>#N/A</v>
      </c>
      <c r="L2537" t="e">
        <f t="shared" si="512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5"/>
        <v>0</v>
      </c>
      <c r="B2538">
        <f t="shared" si="516"/>
        <v>0</v>
      </c>
      <c r="C2538">
        <f t="shared" si="517"/>
        <v>0</v>
      </c>
      <c r="D2538">
        <f t="shared" si="518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9"/>
        <v>0</v>
      </c>
      <c r="G2538">
        <f t="shared" si="520"/>
        <v>0</v>
      </c>
      <c r="H2538">
        <f t="shared" si="521"/>
        <v>0</v>
      </c>
      <c r="I2538">
        <f t="shared" si="522"/>
        <v>0</v>
      </c>
      <c r="J2538">
        <f t="shared" si="523"/>
        <v>0</v>
      </c>
      <c r="K2538" s="4" t="e">
        <f t="shared" si="511"/>
        <v>#N/A</v>
      </c>
      <c r="L2538" t="e">
        <f t="shared" si="512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5"/>
        <v>0</v>
      </c>
      <c r="B2539">
        <f t="shared" si="516"/>
        <v>0</v>
      </c>
      <c r="C2539">
        <f t="shared" si="517"/>
        <v>0</v>
      </c>
      <c r="D2539">
        <f t="shared" si="518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9"/>
        <v>0</v>
      </c>
      <c r="G2539">
        <f t="shared" si="520"/>
        <v>0</v>
      </c>
      <c r="H2539">
        <f t="shared" si="521"/>
        <v>0</v>
      </c>
      <c r="I2539">
        <f t="shared" si="522"/>
        <v>0</v>
      </c>
      <c r="J2539">
        <f t="shared" si="523"/>
        <v>0</v>
      </c>
      <c r="K2539" s="4" t="e">
        <f t="shared" si="511"/>
        <v>#N/A</v>
      </c>
      <c r="L2539" t="e">
        <f t="shared" si="512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5"/>
        <v>0</v>
      </c>
      <c r="B2540">
        <f t="shared" si="516"/>
        <v>0</v>
      </c>
      <c r="C2540">
        <f t="shared" si="517"/>
        <v>0</v>
      </c>
      <c r="D2540">
        <f t="shared" si="518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9"/>
        <v>0</v>
      </c>
      <c r="G2540">
        <f t="shared" si="520"/>
        <v>0</v>
      </c>
      <c r="H2540">
        <f t="shared" si="521"/>
        <v>0</v>
      </c>
      <c r="I2540">
        <f t="shared" si="522"/>
        <v>0</v>
      </c>
      <c r="J2540">
        <f t="shared" si="523"/>
        <v>0</v>
      </c>
      <c r="K2540" s="4" t="e">
        <f t="shared" ref="K2540:K2603" si="526">IF(LEFT(B2540,3)="DBM",0,VLOOKUP(E2540,tabela,2,FALSE))</f>
        <v>#N/A</v>
      </c>
      <c r="L2540" t="e">
        <f t="shared" ref="L2540:L2603" si="527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5"/>
        <v>0</v>
      </c>
      <c r="B2541">
        <f t="shared" si="516"/>
        <v>0</v>
      </c>
      <c r="C2541">
        <f t="shared" si="517"/>
        <v>0</v>
      </c>
      <c r="D2541">
        <f t="shared" si="518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9"/>
        <v>0</v>
      </c>
      <c r="G2541">
        <f t="shared" si="520"/>
        <v>0</v>
      </c>
      <c r="H2541">
        <f t="shared" si="521"/>
        <v>0</v>
      </c>
      <c r="I2541">
        <f t="shared" si="522"/>
        <v>0</v>
      </c>
      <c r="J2541">
        <f t="shared" si="523"/>
        <v>0</v>
      </c>
      <c r="K2541" s="4" t="e">
        <f t="shared" si="526"/>
        <v>#N/A</v>
      </c>
      <c r="L2541" t="e">
        <f t="shared" si="527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5"/>
        <v>0</v>
      </c>
      <c r="B2542">
        <f t="shared" si="516"/>
        <v>0</v>
      </c>
      <c r="C2542">
        <f t="shared" si="517"/>
        <v>0</v>
      </c>
      <c r="D2542">
        <f t="shared" si="518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9"/>
        <v>0</v>
      </c>
      <c r="G2542">
        <f t="shared" si="520"/>
        <v>0</v>
      </c>
      <c r="H2542">
        <f t="shared" si="521"/>
        <v>0</v>
      </c>
      <c r="I2542">
        <f t="shared" si="522"/>
        <v>0</v>
      </c>
      <c r="J2542">
        <f t="shared" si="523"/>
        <v>0</v>
      </c>
      <c r="K2542" s="4" t="e">
        <f t="shared" si="526"/>
        <v>#N/A</v>
      </c>
      <c r="L2542" t="e">
        <f t="shared" si="527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5"/>
        <v>0</v>
      </c>
      <c r="B2543">
        <f t="shared" si="516"/>
        <v>0</v>
      </c>
      <c r="C2543">
        <f t="shared" si="517"/>
        <v>0</v>
      </c>
      <c r="D2543">
        <f t="shared" si="518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9"/>
        <v>0</v>
      </c>
      <c r="G2543">
        <f t="shared" si="520"/>
        <v>0</v>
      </c>
      <c r="H2543">
        <f t="shared" si="521"/>
        <v>0</v>
      </c>
      <c r="I2543">
        <f t="shared" si="522"/>
        <v>0</v>
      </c>
      <c r="J2543">
        <f t="shared" si="523"/>
        <v>0</v>
      </c>
      <c r="K2543" s="4" t="e">
        <f t="shared" si="526"/>
        <v>#N/A</v>
      </c>
      <c r="L2543" t="e">
        <f t="shared" si="527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5"/>
        <v>0</v>
      </c>
      <c r="B2544">
        <f t="shared" si="516"/>
        <v>0</v>
      </c>
      <c r="C2544">
        <f t="shared" si="517"/>
        <v>0</v>
      </c>
      <c r="D2544">
        <f t="shared" si="518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9"/>
        <v>0</v>
      </c>
      <c r="G2544">
        <f t="shared" si="520"/>
        <v>0</v>
      </c>
      <c r="H2544">
        <f t="shared" si="521"/>
        <v>0</v>
      </c>
      <c r="I2544">
        <f t="shared" si="522"/>
        <v>0</v>
      </c>
      <c r="J2544">
        <f t="shared" si="523"/>
        <v>0</v>
      </c>
      <c r="K2544" s="4" t="e">
        <f t="shared" si="526"/>
        <v>#N/A</v>
      </c>
      <c r="L2544" t="e">
        <f t="shared" si="527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5"/>
        <v>0</v>
      </c>
      <c r="B2545">
        <f t="shared" si="516"/>
        <v>0</v>
      </c>
      <c r="C2545">
        <f t="shared" si="517"/>
        <v>0</v>
      </c>
      <c r="D2545">
        <f t="shared" si="518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9"/>
        <v>0</v>
      </c>
      <c r="G2545">
        <f t="shared" si="520"/>
        <v>0</v>
      </c>
      <c r="H2545">
        <f t="shared" si="521"/>
        <v>0</v>
      </c>
      <c r="I2545">
        <f t="shared" si="522"/>
        <v>0</v>
      </c>
      <c r="J2545">
        <f t="shared" si="523"/>
        <v>0</v>
      </c>
      <c r="K2545" s="4" t="e">
        <f t="shared" si="526"/>
        <v>#N/A</v>
      </c>
      <c r="L2545" t="e">
        <f t="shared" si="527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5"/>
        <v>0</v>
      </c>
      <c r="B2546">
        <f t="shared" si="516"/>
        <v>0</v>
      </c>
      <c r="C2546">
        <f t="shared" si="517"/>
        <v>0</v>
      </c>
      <c r="D2546">
        <f t="shared" si="518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9"/>
        <v>0</v>
      </c>
      <c r="G2546">
        <f t="shared" si="520"/>
        <v>0</v>
      </c>
      <c r="H2546">
        <f t="shared" si="521"/>
        <v>0</v>
      </c>
      <c r="I2546">
        <f t="shared" si="522"/>
        <v>0</v>
      </c>
      <c r="J2546">
        <f t="shared" si="523"/>
        <v>0</v>
      </c>
      <c r="K2546" s="4" t="e">
        <f t="shared" si="526"/>
        <v>#N/A</v>
      </c>
      <c r="L2546" t="e">
        <f t="shared" si="527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5"/>
        <v>0</v>
      </c>
      <c r="B2547">
        <f t="shared" si="516"/>
        <v>0</v>
      </c>
      <c r="C2547">
        <f t="shared" si="517"/>
        <v>0</v>
      </c>
      <c r="D2547">
        <f t="shared" si="518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9"/>
        <v>0</v>
      </c>
      <c r="G2547">
        <f t="shared" si="520"/>
        <v>0</v>
      </c>
      <c r="H2547">
        <f t="shared" si="521"/>
        <v>0</v>
      </c>
      <c r="I2547">
        <f t="shared" si="522"/>
        <v>0</v>
      </c>
      <c r="J2547">
        <f t="shared" si="523"/>
        <v>0</v>
      </c>
      <c r="K2547" s="4" t="e">
        <f t="shared" si="526"/>
        <v>#N/A</v>
      </c>
      <c r="L2547" t="e">
        <f t="shared" si="527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5"/>
        <v>0</v>
      </c>
      <c r="B2548">
        <f t="shared" si="516"/>
        <v>0</v>
      </c>
      <c r="C2548">
        <f t="shared" si="517"/>
        <v>0</v>
      </c>
      <c r="D2548">
        <f t="shared" si="518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9"/>
        <v>0</v>
      </c>
      <c r="G2548">
        <f t="shared" si="520"/>
        <v>0</v>
      </c>
      <c r="H2548">
        <f t="shared" si="521"/>
        <v>0</v>
      </c>
      <c r="I2548">
        <f t="shared" si="522"/>
        <v>0</v>
      </c>
      <c r="J2548">
        <f t="shared" si="523"/>
        <v>0</v>
      </c>
      <c r="K2548" s="4" t="e">
        <f t="shared" si="526"/>
        <v>#N/A</v>
      </c>
      <c r="L2548" t="e">
        <f t="shared" si="527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5"/>
        <v>0</v>
      </c>
      <c r="B2549">
        <f t="shared" si="516"/>
        <v>0</v>
      </c>
      <c r="C2549">
        <f t="shared" si="517"/>
        <v>0</v>
      </c>
      <c r="D2549">
        <f t="shared" si="518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9"/>
        <v>0</v>
      </c>
      <c r="G2549">
        <f t="shared" si="520"/>
        <v>0</v>
      </c>
      <c r="H2549">
        <f t="shared" si="521"/>
        <v>0</v>
      </c>
      <c r="I2549">
        <f t="shared" si="522"/>
        <v>0</v>
      </c>
      <c r="J2549">
        <f t="shared" si="523"/>
        <v>0</v>
      </c>
      <c r="K2549" s="4" t="e">
        <f t="shared" si="526"/>
        <v>#N/A</v>
      </c>
      <c r="L2549" t="e">
        <f t="shared" si="527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5"/>
        <v>0</v>
      </c>
      <c r="B2550">
        <f t="shared" si="516"/>
        <v>0</v>
      </c>
      <c r="C2550">
        <f t="shared" si="517"/>
        <v>0</v>
      </c>
      <c r="D2550">
        <f t="shared" si="518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9"/>
        <v>0</v>
      </c>
      <c r="G2550">
        <f t="shared" si="520"/>
        <v>0</v>
      </c>
      <c r="H2550">
        <f t="shared" si="521"/>
        <v>0</v>
      </c>
      <c r="I2550">
        <f t="shared" si="522"/>
        <v>0</v>
      </c>
      <c r="J2550">
        <f t="shared" si="523"/>
        <v>0</v>
      </c>
      <c r="K2550" s="4" t="e">
        <f t="shared" si="526"/>
        <v>#N/A</v>
      </c>
      <c r="L2550" t="e">
        <f t="shared" si="527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5"/>
        <v>0</v>
      </c>
      <c r="B2551">
        <f t="shared" si="516"/>
        <v>0</v>
      </c>
      <c r="C2551">
        <f t="shared" si="517"/>
        <v>0</v>
      </c>
      <c r="D2551">
        <f t="shared" si="518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9"/>
        <v>0</v>
      </c>
      <c r="G2551">
        <f t="shared" si="520"/>
        <v>0</v>
      </c>
      <c r="H2551">
        <f t="shared" si="521"/>
        <v>0</v>
      </c>
      <c r="I2551">
        <f t="shared" si="522"/>
        <v>0</v>
      </c>
      <c r="J2551">
        <f t="shared" si="523"/>
        <v>0</v>
      </c>
      <c r="K2551" s="4" t="e">
        <f t="shared" si="526"/>
        <v>#N/A</v>
      </c>
      <c r="L2551" t="e">
        <f t="shared" si="527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5"/>
        <v>0</v>
      </c>
      <c r="B2552">
        <f t="shared" si="516"/>
        <v>0</v>
      </c>
      <c r="C2552">
        <f t="shared" si="517"/>
        <v>0</v>
      </c>
      <c r="D2552">
        <f t="shared" si="518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9"/>
        <v>0</v>
      </c>
      <c r="G2552">
        <f t="shared" si="520"/>
        <v>0</v>
      </c>
      <c r="H2552">
        <f t="shared" si="521"/>
        <v>0</v>
      </c>
      <c r="I2552">
        <f t="shared" si="522"/>
        <v>0</v>
      </c>
      <c r="J2552">
        <f t="shared" si="523"/>
        <v>0</v>
      </c>
      <c r="K2552" s="4" t="e">
        <f t="shared" si="526"/>
        <v>#N/A</v>
      </c>
      <c r="L2552" t="e">
        <f t="shared" si="527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5"/>
        <v>0</v>
      </c>
      <c r="B2553">
        <f t="shared" si="516"/>
        <v>0</v>
      </c>
      <c r="C2553">
        <f t="shared" si="517"/>
        <v>0</v>
      </c>
      <c r="D2553">
        <f t="shared" si="518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9"/>
        <v>0</v>
      </c>
      <c r="G2553">
        <f t="shared" si="520"/>
        <v>0</v>
      </c>
      <c r="H2553">
        <f t="shared" si="521"/>
        <v>0</v>
      </c>
      <c r="I2553">
        <f t="shared" si="522"/>
        <v>0</v>
      </c>
      <c r="J2553">
        <f t="shared" si="523"/>
        <v>0</v>
      </c>
      <c r="K2553" s="4" t="e">
        <f t="shared" si="526"/>
        <v>#N/A</v>
      </c>
      <c r="L2553" t="e">
        <f t="shared" si="527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5"/>
        <v>0</v>
      </c>
      <c r="B2554">
        <f t="shared" si="516"/>
        <v>0</v>
      </c>
      <c r="C2554">
        <f t="shared" si="517"/>
        <v>0</v>
      </c>
      <c r="D2554">
        <f t="shared" si="518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9"/>
        <v>0</v>
      </c>
      <c r="G2554">
        <f t="shared" si="520"/>
        <v>0</v>
      </c>
      <c r="H2554">
        <f t="shared" si="521"/>
        <v>0</v>
      </c>
      <c r="I2554">
        <f t="shared" si="522"/>
        <v>0</v>
      </c>
      <c r="J2554">
        <f t="shared" si="523"/>
        <v>0</v>
      </c>
      <c r="K2554" s="4" t="e">
        <f t="shared" si="526"/>
        <v>#N/A</v>
      </c>
      <c r="L2554" t="e">
        <f t="shared" si="527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5"/>
        <v>0</v>
      </c>
      <c r="B2555">
        <f t="shared" si="516"/>
        <v>0</v>
      </c>
      <c r="C2555">
        <f t="shared" si="517"/>
        <v>0</v>
      </c>
      <c r="D2555">
        <f t="shared" si="518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9"/>
        <v>0</v>
      </c>
      <c r="G2555">
        <f t="shared" si="520"/>
        <v>0</v>
      </c>
      <c r="H2555">
        <f t="shared" si="521"/>
        <v>0</v>
      </c>
      <c r="I2555">
        <f t="shared" si="522"/>
        <v>0</v>
      </c>
      <c r="J2555">
        <f t="shared" si="523"/>
        <v>0</v>
      </c>
      <c r="K2555" s="4" t="e">
        <f t="shared" si="526"/>
        <v>#N/A</v>
      </c>
      <c r="L2555" t="e">
        <f t="shared" si="527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5"/>
        <v>0</v>
      </c>
      <c r="B2556">
        <f t="shared" si="516"/>
        <v>0</v>
      </c>
      <c r="C2556">
        <f t="shared" si="517"/>
        <v>0</v>
      </c>
      <c r="D2556">
        <f t="shared" si="518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9"/>
        <v>0</v>
      </c>
      <c r="G2556">
        <f t="shared" si="520"/>
        <v>0</v>
      </c>
      <c r="H2556">
        <f t="shared" si="521"/>
        <v>0</v>
      </c>
      <c r="I2556">
        <f t="shared" si="522"/>
        <v>0</v>
      </c>
      <c r="J2556">
        <f t="shared" si="523"/>
        <v>0</v>
      </c>
      <c r="K2556" s="4" t="e">
        <f t="shared" si="526"/>
        <v>#N/A</v>
      </c>
      <c r="L2556" t="e">
        <f t="shared" si="527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5"/>
        <v>0</v>
      </c>
      <c r="B2557">
        <f t="shared" si="516"/>
        <v>0</v>
      </c>
      <c r="C2557">
        <f t="shared" si="517"/>
        <v>0</v>
      </c>
      <c r="D2557">
        <f t="shared" si="518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9"/>
        <v>0</v>
      </c>
      <c r="G2557">
        <f t="shared" si="520"/>
        <v>0</v>
      </c>
      <c r="H2557">
        <f t="shared" si="521"/>
        <v>0</v>
      </c>
      <c r="I2557">
        <f t="shared" si="522"/>
        <v>0</v>
      </c>
      <c r="J2557">
        <f t="shared" si="523"/>
        <v>0</v>
      </c>
      <c r="K2557" s="4" t="e">
        <f t="shared" si="526"/>
        <v>#N/A</v>
      </c>
      <c r="L2557" t="e">
        <f t="shared" si="527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5"/>
        <v>0</v>
      </c>
      <c r="B2558">
        <f t="shared" si="516"/>
        <v>0</v>
      </c>
      <c r="C2558">
        <f t="shared" si="517"/>
        <v>0</v>
      </c>
      <c r="D2558">
        <f t="shared" si="518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9"/>
        <v>0</v>
      </c>
      <c r="G2558">
        <f t="shared" si="520"/>
        <v>0</v>
      </c>
      <c r="H2558">
        <f t="shared" si="521"/>
        <v>0</v>
      </c>
      <c r="I2558">
        <f t="shared" si="522"/>
        <v>0</v>
      </c>
      <c r="J2558">
        <f t="shared" si="523"/>
        <v>0</v>
      </c>
      <c r="K2558" s="4" t="e">
        <f t="shared" si="526"/>
        <v>#N/A</v>
      </c>
      <c r="L2558" t="e">
        <f t="shared" si="527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5"/>
        <v>0</v>
      </c>
      <c r="B2559">
        <f t="shared" si="516"/>
        <v>0</v>
      </c>
      <c r="C2559">
        <f t="shared" si="517"/>
        <v>0</v>
      </c>
      <c r="D2559">
        <f t="shared" si="518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9"/>
        <v>0</v>
      </c>
      <c r="G2559">
        <f t="shared" si="520"/>
        <v>0</v>
      </c>
      <c r="H2559">
        <f t="shared" si="521"/>
        <v>0</v>
      </c>
      <c r="I2559">
        <f t="shared" si="522"/>
        <v>0</v>
      </c>
      <c r="J2559">
        <f t="shared" si="523"/>
        <v>0</v>
      </c>
      <c r="K2559" s="4" t="e">
        <f t="shared" si="526"/>
        <v>#N/A</v>
      </c>
      <c r="L2559" t="e">
        <f t="shared" si="527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5"/>
        <v>0</v>
      </c>
      <c r="B2560">
        <f t="shared" si="516"/>
        <v>0</v>
      </c>
      <c r="C2560">
        <f t="shared" si="517"/>
        <v>0</v>
      </c>
      <c r="D2560">
        <f t="shared" si="518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9"/>
        <v>0</v>
      </c>
      <c r="G2560">
        <f t="shared" si="520"/>
        <v>0</v>
      </c>
      <c r="H2560">
        <f t="shared" si="521"/>
        <v>0</v>
      </c>
      <c r="I2560">
        <f t="shared" si="522"/>
        <v>0</v>
      </c>
      <c r="J2560">
        <f t="shared" si="523"/>
        <v>0</v>
      </c>
      <c r="K2560" s="4" t="e">
        <f t="shared" si="526"/>
        <v>#N/A</v>
      </c>
      <c r="L2560" t="e">
        <f t="shared" si="527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5"/>
        <v>0</v>
      </c>
      <c r="B2561">
        <f t="shared" si="516"/>
        <v>0</v>
      </c>
      <c r="C2561">
        <f t="shared" si="517"/>
        <v>0</v>
      </c>
      <c r="D2561">
        <f t="shared" si="518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9"/>
        <v>0</v>
      </c>
      <c r="G2561">
        <f t="shared" si="520"/>
        <v>0</v>
      </c>
      <c r="H2561">
        <f t="shared" si="521"/>
        <v>0</v>
      </c>
      <c r="I2561">
        <f t="shared" si="522"/>
        <v>0</v>
      </c>
      <c r="J2561">
        <f t="shared" si="523"/>
        <v>0</v>
      </c>
      <c r="K2561" s="4" t="e">
        <f t="shared" si="526"/>
        <v>#N/A</v>
      </c>
      <c r="L2561" t="e">
        <f t="shared" si="527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8">bd_campaign</f>
        <v>0</v>
      </c>
      <c r="B2562">
        <f t="shared" ref="B2562:B2625" si="529">bd_site</f>
        <v>0</v>
      </c>
      <c r="C2562">
        <f t="shared" ref="C2562:C2625" si="530">bd_placement</f>
        <v>0</v>
      </c>
      <c r="D2562">
        <f t="shared" ref="D2562:D2625" si="531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2">bd_ad</f>
        <v>0</v>
      </c>
      <c r="G2562">
        <f t="shared" ref="G2562:G2625" si="533">bd_adid</f>
        <v>0</v>
      </c>
      <c r="H2562">
        <f t="shared" ref="H2562:H2625" si="534">bd_creativetype</f>
        <v>0</v>
      </c>
      <c r="I2562">
        <f t="shared" ref="I2562:I2625" si="535">bd_impression</f>
        <v>0</v>
      </c>
      <c r="J2562">
        <f t="shared" ref="J2562:J2625" si="536">bd_clicks</f>
        <v>0</v>
      </c>
      <c r="K2562" s="4" t="e">
        <f t="shared" si="526"/>
        <v>#N/A</v>
      </c>
      <c r="L2562" t="e">
        <f t="shared" si="527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8"/>
        <v>0</v>
      </c>
      <c r="B2563">
        <f t="shared" si="529"/>
        <v>0</v>
      </c>
      <c r="C2563">
        <f t="shared" si="530"/>
        <v>0</v>
      </c>
      <c r="D2563">
        <f t="shared" si="531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2"/>
        <v>0</v>
      </c>
      <c r="G2563">
        <f t="shared" si="533"/>
        <v>0</v>
      </c>
      <c r="H2563">
        <f t="shared" si="534"/>
        <v>0</v>
      </c>
      <c r="I2563">
        <f t="shared" si="535"/>
        <v>0</v>
      </c>
      <c r="J2563">
        <f t="shared" si="536"/>
        <v>0</v>
      </c>
      <c r="K2563" s="4" t="e">
        <f t="shared" si="526"/>
        <v>#N/A</v>
      </c>
      <c r="L2563" t="e">
        <f t="shared" si="527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8"/>
        <v>0</v>
      </c>
      <c r="B2564">
        <f t="shared" si="529"/>
        <v>0</v>
      </c>
      <c r="C2564">
        <f t="shared" si="530"/>
        <v>0</v>
      </c>
      <c r="D2564">
        <f t="shared" si="531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2"/>
        <v>0</v>
      </c>
      <c r="G2564">
        <f t="shared" si="533"/>
        <v>0</v>
      </c>
      <c r="H2564">
        <f t="shared" si="534"/>
        <v>0</v>
      </c>
      <c r="I2564">
        <f t="shared" si="535"/>
        <v>0</v>
      </c>
      <c r="J2564">
        <f t="shared" si="536"/>
        <v>0</v>
      </c>
      <c r="K2564" s="4" t="e">
        <f t="shared" si="526"/>
        <v>#N/A</v>
      </c>
      <c r="L2564" t="e">
        <f t="shared" si="527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8"/>
        <v>0</v>
      </c>
      <c r="B2565">
        <f t="shared" si="529"/>
        <v>0</v>
      </c>
      <c r="C2565">
        <f t="shared" si="530"/>
        <v>0</v>
      </c>
      <c r="D2565">
        <f t="shared" si="531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2"/>
        <v>0</v>
      </c>
      <c r="G2565">
        <f t="shared" si="533"/>
        <v>0</v>
      </c>
      <c r="H2565">
        <f t="shared" si="534"/>
        <v>0</v>
      </c>
      <c r="I2565">
        <f t="shared" si="535"/>
        <v>0</v>
      </c>
      <c r="J2565">
        <f t="shared" si="536"/>
        <v>0</v>
      </c>
      <c r="K2565" s="4" t="e">
        <f t="shared" si="526"/>
        <v>#N/A</v>
      </c>
      <c r="L2565" t="e">
        <f t="shared" si="527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8"/>
        <v>0</v>
      </c>
      <c r="B2566">
        <f t="shared" si="529"/>
        <v>0</v>
      </c>
      <c r="C2566">
        <f t="shared" si="530"/>
        <v>0</v>
      </c>
      <c r="D2566">
        <f t="shared" si="531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2"/>
        <v>0</v>
      </c>
      <c r="G2566">
        <f t="shared" si="533"/>
        <v>0</v>
      </c>
      <c r="H2566">
        <f t="shared" si="534"/>
        <v>0</v>
      </c>
      <c r="I2566">
        <f t="shared" si="535"/>
        <v>0</v>
      </c>
      <c r="J2566">
        <f t="shared" si="536"/>
        <v>0</v>
      </c>
      <c r="K2566" s="4" t="e">
        <f t="shared" si="526"/>
        <v>#N/A</v>
      </c>
      <c r="L2566" t="e">
        <f t="shared" si="527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8"/>
        <v>0</v>
      </c>
      <c r="B2567">
        <f t="shared" si="529"/>
        <v>0</v>
      </c>
      <c r="C2567">
        <f t="shared" si="530"/>
        <v>0</v>
      </c>
      <c r="D2567">
        <f t="shared" si="531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2"/>
        <v>0</v>
      </c>
      <c r="G2567">
        <f t="shared" si="533"/>
        <v>0</v>
      </c>
      <c r="H2567">
        <f t="shared" si="534"/>
        <v>0</v>
      </c>
      <c r="I2567">
        <f t="shared" si="535"/>
        <v>0</v>
      </c>
      <c r="J2567">
        <f t="shared" si="536"/>
        <v>0</v>
      </c>
      <c r="K2567" s="4" t="e">
        <f t="shared" si="526"/>
        <v>#N/A</v>
      </c>
      <c r="L2567" t="e">
        <f t="shared" si="527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8"/>
        <v>0</v>
      </c>
      <c r="B2568">
        <f t="shared" si="529"/>
        <v>0</v>
      </c>
      <c r="C2568">
        <f t="shared" si="530"/>
        <v>0</v>
      </c>
      <c r="D2568">
        <f t="shared" si="531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2"/>
        <v>0</v>
      </c>
      <c r="G2568">
        <f t="shared" si="533"/>
        <v>0</v>
      </c>
      <c r="H2568">
        <f t="shared" si="534"/>
        <v>0</v>
      </c>
      <c r="I2568">
        <f t="shared" si="535"/>
        <v>0</v>
      </c>
      <c r="J2568">
        <f t="shared" si="536"/>
        <v>0</v>
      </c>
      <c r="K2568" s="4" t="e">
        <f t="shared" si="526"/>
        <v>#N/A</v>
      </c>
      <c r="L2568" t="e">
        <f t="shared" si="527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8"/>
        <v>0</v>
      </c>
      <c r="B2569">
        <f t="shared" si="529"/>
        <v>0</v>
      </c>
      <c r="C2569">
        <f t="shared" si="530"/>
        <v>0</v>
      </c>
      <c r="D2569">
        <f t="shared" si="531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2"/>
        <v>0</v>
      </c>
      <c r="G2569">
        <f t="shared" si="533"/>
        <v>0</v>
      </c>
      <c r="H2569">
        <f t="shared" si="534"/>
        <v>0</v>
      </c>
      <c r="I2569">
        <f t="shared" si="535"/>
        <v>0</v>
      </c>
      <c r="J2569">
        <f t="shared" si="536"/>
        <v>0</v>
      </c>
      <c r="K2569" s="4" t="e">
        <f t="shared" si="526"/>
        <v>#N/A</v>
      </c>
      <c r="L2569" t="e">
        <f t="shared" si="527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8"/>
        <v>0</v>
      </c>
      <c r="B2570">
        <f t="shared" si="529"/>
        <v>0</v>
      </c>
      <c r="C2570">
        <f t="shared" si="530"/>
        <v>0</v>
      </c>
      <c r="D2570">
        <f t="shared" si="531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2"/>
        <v>0</v>
      </c>
      <c r="G2570">
        <f t="shared" si="533"/>
        <v>0</v>
      </c>
      <c r="H2570">
        <f t="shared" si="534"/>
        <v>0</v>
      </c>
      <c r="I2570">
        <f t="shared" si="535"/>
        <v>0</v>
      </c>
      <c r="J2570">
        <f t="shared" si="536"/>
        <v>0</v>
      </c>
      <c r="K2570" s="4" t="e">
        <f t="shared" si="526"/>
        <v>#N/A</v>
      </c>
      <c r="L2570" t="e">
        <f t="shared" si="527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8"/>
        <v>0</v>
      </c>
      <c r="B2571">
        <f t="shared" si="529"/>
        <v>0</v>
      </c>
      <c r="C2571">
        <f t="shared" si="530"/>
        <v>0</v>
      </c>
      <c r="D2571">
        <f t="shared" si="531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2"/>
        <v>0</v>
      </c>
      <c r="G2571">
        <f t="shared" si="533"/>
        <v>0</v>
      </c>
      <c r="H2571">
        <f t="shared" si="534"/>
        <v>0</v>
      </c>
      <c r="I2571">
        <f t="shared" si="535"/>
        <v>0</v>
      </c>
      <c r="J2571">
        <f t="shared" si="536"/>
        <v>0</v>
      </c>
      <c r="K2571" s="4" t="e">
        <f t="shared" si="526"/>
        <v>#N/A</v>
      </c>
      <c r="L2571" t="e">
        <f t="shared" si="527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8"/>
        <v>0</v>
      </c>
      <c r="B2572">
        <f t="shared" si="529"/>
        <v>0</v>
      </c>
      <c r="C2572">
        <f t="shared" si="530"/>
        <v>0</v>
      </c>
      <c r="D2572">
        <f t="shared" si="531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2"/>
        <v>0</v>
      </c>
      <c r="G2572">
        <f t="shared" si="533"/>
        <v>0</v>
      </c>
      <c r="H2572">
        <f t="shared" si="534"/>
        <v>0</v>
      </c>
      <c r="I2572">
        <f t="shared" si="535"/>
        <v>0</v>
      </c>
      <c r="J2572">
        <f t="shared" si="536"/>
        <v>0</v>
      </c>
      <c r="K2572" s="4" t="e">
        <f t="shared" si="526"/>
        <v>#N/A</v>
      </c>
      <c r="L2572" t="e">
        <f t="shared" si="527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8"/>
        <v>0</v>
      </c>
      <c r="B2573">
        <f t="shared" si="529"/>
        <v>0</v>
      </c>
      <c r="C2573">
        <f t="shared" si="530"/>
        <v>0</v>
      </c>
      <c r="D2573">
        <f t="shared" si="531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2"/>
        <v>0</v>
      </c>
      <c r="G2573">
        <f t="shared" si="533"/>
        <v>0</v>
      </c>
      <c r="H2573">
        <f t="shared" si="534"/>
        <v>0</v>
      </c>
      <c r="I2573">
        <f t="shared" si="535"/>
        <v>0</v>
      </c>
      <c r="J2573">
        <f t="shared" si="536"/>
        <v>0</v>
      </c>
      <c r="K2573" s="4" t="e">
        <f t="shared" si="526"/>
        <v>#N/A</v>
      </c>
      <c r="L2573" t="e">
        <f t="shared" si="527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8"/>
        <v>0</v>
      </c>
      <c r="B2574">
        <f t="shared" si="529"/>
        <v>0</v>
      </c>
      <c r="C2574">
        <f t="shared" si="530"/>
        <v>0</v>
      </c>
      <c r="D2574">
        <f t="shared" si="531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2"/>
        <v>0</v>
      </c>
      <c r="G2574">
        <f t="shared" si="533"/>
        <v>0</v>
      </c>
      <c r="H2574">
        <f t="shared" si="534"/>
        <v>0</v>
      </c>
      <c r="I2574">
        <f t="shared" si="535"/>
        <v>0</v>
      </c>
      <c r="J2574">
        <f t="shared" si="536"/>
        <v>0</v>
      </c>
      <c r="K2574" s="4" t="e">
        <f t="shared" si="526"/>
        <v>#N/A</v>
      </c>
      <c r="L2574" t="e">
        <f t="shared" si="527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8"/>
        <v>0</v>
      </c>
      <c r="B2575">
        <f t="shared" si="529"/>
        <v>0</v>
      </c>
      <c r="C2575">
        <f t="shared" si="530"/>
        <v>0</v>
      </c>
      <c r="D2575">
        <f t="shared" si="531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2"/>
        <v>0</v>
      </c>
      <c r="G2575">
        <f t="shared" si="533"/>
        <v>0</v>
      </c>
      <c r="H2575">
        <f t="shared" si="534"/>
        <v>0</v>
      </c>
      <c r="I2575">
        <f t="shared" si="535"/>
        <v>0</v>
      </c>
      <c r="J2575">
        <f t="shared" si="536"/>
        <v>0</v>
      </c>
      <c r="K2575" s="4" t="e">
        <f t="shared" si="526"/>
        <v>#N/A</v>
      </c>
      <c r="L2575" t="e">
        <f t="shared" si="527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8"/>
        <v>0</v>
      </c>
      <c r="B2576">
        <f t="shared" si="529"/>
        <v>0</v>
      </c>
      <c r="C2576">
        <f t="shared" si="530"/>
        <v>0</v>
      </c>
      <c r="D2576">
        <f t="shared" si="531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2"/>
        <v>0</v>
      </c>
      <c r="G2576">
        <f t="shared" si="533"/>
        <v>0</v>
      </c>
      <c r="H2576">
        <f t="shared" si="534"/>
        <v>0</v>
      </c>
      <c r="I2576">
        <f t="shared" si="535"/>
        <v>0</v>
      </c>
      <c r="J2576">
        <f t="shared" si="536"/>
        <v>0</v>
      </c>
      <c r="K2576" s="4" t="e">
        <f t="shared" si="526"/>
        <v>#N/A</v>
      </c>
      <c r="L2576" t="e">
        <f t="shared" si="527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8"/>
        <v>0</v>
      </c>
      <c r="B2577">
        <f t="shared" si="529"/>
        <v>0</v>
      </c>
      <c r="C2577">
        <f t="shared" si="530"/>
        <v>0</v>
      </c>
      <c r="D2577">
        <f t="shared" si="531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2"/>
        <v>0</v>
      </c>
      <c r="G2577">
        <f t="shared" si="533"/>
        <v>0</v>
      </c>
      <c r="H2577">
        <f t="shared" si="534"/>
        <v>0</v>
      </c>
      <c r="I2577">
        <f t="shared" si="535"/>
        <v>0</v>
      </c>
      <c r="J2577">
        <f t="shared" si="536"/>
        <v>0</v>
      </c>
      <c r="K2577" s="4" t="e">
        <f t="shared" si="526"/>
        <v>#N/A</v>
      </c>
      <c r="L2577" t="e">
        <f t="shared" si="527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8"/>
        <v>0</v>
      </c>
      <c r="B2578">
        <f t="shared" si="529"/>
        <v>0</v>
      </c>
      <c r="C2578">
        <f t="shared" si="530"/>
        <v>0</v>
      </c>
      <c r="D2578">
        <f t="shared" si="531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2"/>
        <v>0</v>
      </c>
      <c r="G2578">
        <f t="shared" si="533"/>
        <v>0</v>
      </c>
      <c r="H2578">
        <f t="shared" si="534"/>
        <v>0</v>
      </c>
      <c r="I2578">
        <f t="shared" si="535"/>
        <v>0</v>
      </c>
      <c r="J2578">
        <f t="shared" si="536"/>
        <v>0</v>
      </c>
      <c r="K2578" s="4" t="e">
        <f t="shared" si="526"/>
        <v>#N/A</v>
      </c>
      <c r="L2578" t="e">
        <f t="shared" si="527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8"/>
        <v>0</v>
      </c>
      <c r="B2579">
        <f t="shared" si="529"/>
        <v>0</v>
      </c>
      <c r="C2579">
        <f t="shared" si="530"/>
        <v>0</v>
      </c>
      <c r="D2579">
        <f t="shared" si="531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2"/>
        <v>0</v>
      </c>
      <c r="G2579">
        <f t="shared" si="533"/>
        <v>0</v>
      </c>
      <c r="H2579">
        <f t="shared" si="534"/>
        <v>0</v>
      </c>
      <c r="I2579">
        <f t="shared" si="535"/>
        <v>0</v>
      </c>
      <c r="J2579">
        <f t="shared" si="536"/>
        <v>0</v>
      </c>
      <c r="K2579" s="4" t="e">
        <f t="shared" si="526"/>
        <v>#N/A</v>
      </c>
      <c r="L2579" t="e">
        <f t="shared" si="527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8"/>
        <v>0</v>
      </c>
      <c r="B2580">
        <f t="shared" si="529"/>
        <v>0</v>
      </c>
      <c r="C2580">
        <f t="shared" si="530"/>
        <v>0</v>
      </c>
      <c r="D2580">
        <f t="shared" si="531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2"/>
        <v>0</v>
      </c>
      <c r="G2580">
        <f t="shared" si="533"/>
        <v>0</v>
      </c>
      <c r="H2580">
        <f t="shared" si="534"/>
        <v>0</v>
      </c>
      <c r="I2580">
        <f t="shared" si="535"/>
        <v>0</v>
      </c>
      <c r="J2580">
        <f t="shared" si="536"/>
        <v>0</v>
      </c>
      <c r="K2580" s="4" t="e">
        <f t="shared" si="526"/>
        <v>#N/A</v>
      </c>
      <c r="L2580" t="e">
        <f t="shared" si="527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8"/>
        <v>0</v>
      </c>
      <c r="B2581">
        <f t="shared" si="529"/>
        <v>0</v>
      </c>
      <c r="C2581">
        <f t="shared" si="530"/>
        <v>0</v>
      </c>
      <c r="D2581">
        <f t="shared" si="531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2"/>
        <v>0</v>
      </c>
      <c r="G2581">
        <f t="shared" si="533"/>
        <v>0</v>
      </c>
      <c r="H2581">
        <f t="shared" si="534"/>
        <v>0</v>
      </c>
      <c r="I2581">
        <f t="shared" si="535"/>
        <v>0</v>
      </c>
      <c r="J2581">
        <f t="shared" si="536"/>
        <v>0</v>
      </c>
      <c r="K2581" s="4" t="e">
        <f t="shared" si="526"/>
        <v>#N/A</v>
      </c>
      <c r="L2581" t="e">
        <f t="shared" si="527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8"/>
        <v>0</v>
      </c>
      <c r="B2582">
        <f t="shared" si="529"/>
        <v>0</v>
      </c>
      <c r="C2582">
        <f t="shared" si="530"/>
        <v>0</v>
      </c>
      <c r="D2582">
        <f t="shared" si="531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2"/>
        <v>0</v>
      </c>
      <c r="G2582">
        <f t="shared" si="533"/>
        <v>0</v>
      </c>
      <c r="H2582">
        <f t="shared" si="534"/>
        <v>0</v>
      </c>
      <c r="I2582">
        <f t="shared" si="535"/>
        <v>0</v>
      </c>
      <c r="J2582">
        <f t="shared" si="536"/>
        <v>0</v>
      </c>
      <c r="K2582" s="4" t="e">
        <f t="shared" si="526"/>
        <v>#N/A</v>
      </c>
      <c r="L2582" t="e">
        <f t="shared" si="527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8"/>
        <v>0</v>
      </c>
      <c r="B2583">
        <f t="shared" si="529"/>
        <v>0</v>
      </c>
      <c r="C2583">
        <f t="shared" si="530"/>
        <v>0</v>
      </c>
      <c r="D2583">
        <f t="shared" si="531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2"/>
        <v>0</v>
      </c>
      <c r="G2583">
        <f t="shared" si="533"/>
        <v>0</v>
      </c>
      <c r="H2583">
        <f t="shared" si="534"/>
        <v>0</v>
      </c>
      <c r="I2583">
        <f t="shared" si="535"/>
        <v>0</v>
      </c>
      <c r="J2583">
        <f t="shared" si="536"/>
        <v>0</v>
      </c>
      <c r="K2583" s="4" t="e">
        <f t="shared" si="526"/>
        <v>#N/A</v>
      </c>
      <c r="L2583" t="e">
        <f t="shared" si="527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8"/>
        <v>0</v>
      </c>
      <c r="B2584">
        <f t="shared" si="529"/>
        <v>0</v>
      </c>
      <c r="C2584">
        <f t="shared" si="530"/>
        <v>0</v>
      </c>
      <c r="D2584">
        <f t="shared" si="531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2"/>
        <v>0</v>
      </c>
      <c r="G2584">
        <f t="shared" si="533"/>
        <v>0</v>
      </c>
      <c r="H2584">
        <f t="shared" si="534"/>
        <v>0</v>
      </c>
      <c r="I2584">
        <f t="shared" si="535"/>
        <v>0</v>
      </c>
      <c r="J2584">
        <f t="shared" si="536"/>
        <v>0</v>
      </c>
      <c r="K2584" s="4" t="e">
        <f t="shared" si="526"/>
        <v>#N/A</v>
      </c>
      <c r="L2584" t="e">
        <f t="shared" si="527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8"/>
        <v>0</v>
      </c>
      <c r="B2585">
        <f t="shared" si="529"/>
        <v>0</v>
      </c>
      <c r="C2585">
        <f t="shared" si="530"/>
        <v>0</v>
      </c>
      <c r="D2585">
        <f t="shared" si="531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2"/>
        <v>0</v>
      </c>
      <c r="G2585">
        <f t="shared" si="533"/>
        <v>0</v>
      </c>
      <c r="H2585">
        <f t="shared" si="534"/>
        <v>0</v>
      </c>
      <c r="I2585">
        <f t="shared" si="535"/>
        <v>0</v>
      </c>
      <c r="J2585">
        <f t="shared" si="536"/>
        <v>0</v>
      </c>
      <c r="K2585" s="4" t="e">
        <f t="shared" si="526"/>
        <v>#N/A</v>
      </c>
      <c r="L2585" t="e">
        <f t="shared" si="527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8"/>
        <v>0</v>
      </c>
      <c r="B2586">
        <f t="shared" si="529"/>
        <v>0</v>
      </c>
      <c r="C2586">
        <f t="shared" si="530"/>
        <v>0</v>
      </c>
      <c r="D2586">
        <f t="shared" si="531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2"/>
        <v>0</v>
      </c>
      <c r="G2586">
        <f t="shared" si="533"/>
        <v>0</v>
      </c>
      <c r="H2586">
        <f t="shared" si="534"/>
        <v>0</v>
      </c>
      <c r="I2586">
        <f t="shared" si="535"/>
        <v>0</v>
      </c>
      <c r="J2586">
        <f t="shared" si="536"/>
        <v>0</v>
      </c>
      <c r="K2586" s="4" t="e">
        <f t="shared" si="526"/>
        <v>#N/A</v>
      </c>
      <c r="L2586" t="e">
        <f t="shared" si="527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8"/>
        <v>0</v>
      </c>
      <c r="B2587">
        <f t="shared" si="529"/>
        <v>0</v>
      </c>
      <c r="C2587">
        <f t="shared" si="530"/>
        <v>0</v>
      </c>
      <c r="D2587">
        <f t="shared" si="531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2"/>
        <v>0</v>
      </c>
      <c r="G2587">
        <f t="shared" si="533"/>
        <v>0</v>
      </c>
      <c r="H2587">
        <f t="shared" si="534"/>
        <v>0</v>
      </c>
      <c r="I2587">
        <f t="shared" si="535"/>
        <v>0</v>
      </c>
      <c r="J2587">
        <f t="shared" si="536"/>
        <v>0</v>
      </c>
      <c r="K2587" s="4" t="e">
        <f t="shared" si="526"/>
        <v>#N/A</v>
      </c>
      <c r="L2587" t="e">
        <f t="shared" si="527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8"/>
        <v>0</v>
      </c>
      <c r="B2588">
        <f t="shared" si="529"/>
        <v>0</v>
      </c>
      <c r="C2588">
        <f t="shared" si="530"/>
        <v>0</v>
      </c>
      <c r="D2588">
        <f t="shared" si="531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2"/>
        <v>0</v>
      </c>
      <c r="G2588">
        <f t="shared" si="533"/>
        <v>0</v>
      </c>
      <c r="H2588">
        <f t="shared" si="534"/>
        <v>0</v>
      </c>
      <c r="I2588">
        <f t="shared" si="535"/>
        <v>0</v>
      </c>
      <c r="J2588">
        <f t="shared" si="536"/>
        <v>0</v>
      </c>
      <c r="K2588" s="4" t="e">
        <f t="shared" si="526"/>
        <v>#N/A</v>
      </c>
      <c r="L2588" t="e">
        <f t="shared" si="527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8"/>
        <v>0</v>
      </c>
      <c r="B2589">
        <f t="shared" si="529"/>
        <v>0</v>
      </c>
      <c r="C2589">
        <f t="shared" si="530"/>
        <v>0</v>
      </c>
      <c r="D2589">
        <f t="shared" si="531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2"/>
        <v>0</v>
      </c>
      <c r="G2589">
        <f t="shared" si="533"/>
        <v>0</v>
      </c>
      <c r="H2589">
        <f t="shared" si="534"/>
        <v>0</v>
      </c>
      <c r="I2589">
        <f t="shared" si="535"/>
        <v>0</v>
      </c>
      <c r="J2589">
        <f t="shared" si="536"/>
        <v>0</v>
      </c>
      <c r="K2589" s="4" t="e">
        <f t="shared" si="526"/>
        <v>#N/A</v>
      </c>
      <c r="L2589" t="e">
        <f t="shared" si="527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8"/>
        <v>0</v>
      </c>
      <c r="B2590">
        <f t="shared" si="529"/>
        <v>0</v>
      </c>
      <c r="C2590">
        <f t="shared" si="530"/>
        <v>0</v>
      </c>
      <c r="D2590">
        <f t="shared" si="531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2"/>
        <v>0</v>
      </c>
      <c r="G2590">
        <f t="shared" si="533"/>
        <v>0</v>
      </c>
      <c r="H2590">
        <f t="shared" si="534"/>
        <v>0</v>
      </c>
      <c r="I2590">
        <f t="shared" si="535"/>
        <v>0</v>
      </c>
      <c r="J2590">
        <f t="shared" si="536"/>
        <v>0</v>
      </c>
      <c r="K2590" s="4" t="e">
        <f t="shared" si="526"/>
        <v>#N/A</v>
      </c>
      <c r="L2590" t="e">
        <f t="shared" si="527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8"/>
        <v>0</v>
      </c>
      <c r="B2591">
        <f t="shared" si="529"/>
        <v>0</v>
      </c>
      <c r="C2591">
        <f t="shared" si="530"/>
        <v>0</v>
      </c>
      <c r="D2591">
        <f t="shared" si="531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2"/>
        <v>0</v>
      </c>
      <c r="G2591">
        <f t="shared" si="533"/>
        <v>0</v>
      </c>
      <c r="H2591">
        <f t="shared" si="534"/>
        <v>0</v>
      </c>
      <c r="I2591">
        <f t="shared" si="535"/>
        <v>0</v>
      </c>
      <c r="J2591">
        <f t="shared" si="536"/>
        <v>0</v>
      </c>
      <c r="K2591" s="4" t="e">
        <f t="shared" si="526"/>
        <v>#N/A</v>
      </c>
      <c r="L2591" t="e">
        <f t="shared" si="527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8"/>
        <v>0</v>
      </c>
      <c r="B2592">
        <f t="shared" si="529"/>
        <v>0</v>
      </c>
      <c r="C2592">
        <f t="shared" si="530"/>
        <v>0</v>
      </c>
      <c r="D2592">
        <f t="shared" si="531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2"/>
        <v>0</v>
      </c>
      <c r="G2592">
        <f t="shared" si="533"/>
        <v>0</v>
      </c>
      <c r="H2592">
        <f t="shared" si="534"/>
        <v>0</v>
      </c>
      <c r="I2592">
        <f t="shared" si="535"/>
        <v>0</v>
      </c>
      <c r="J2592">
        <f t="shared" si="536"/>
        <v>0</v>
      </c>
      <c r="K2592" s="4" t="e">
        <f t="shared" si="526"/>
        <v>#N/A</v>
      </c>
      <c r="L2592" t="e">
        <f t="shared" si="527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8"/>
        <v>0</v>
      </c>
      <c r="B2593">
        <f t="shared" si="529"/>
        <v>0</v>
      </c>
      <c r="C2593">
        <f t="shared" si="530"/>
        <v>0</v>
      </c>
      <c r="D2593">
        <f t="shared" si="531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2"/>
        <v>0</v>
      </c>
      <c r="G2593">
        <f t="shared" si="533"/>
        <v>0</v>
      </c>
      <c r="H2593">
        <f t="shared" si="534"/>
        <v>0</v>
      </c>
      <c r="I2593">
        <f t="shared" si="535"/>
        <v>0</v>
      </c>
      <c r="J2593">
        <f t="shared" si="536"/>
        <v>0</v>
      </c>
      <c r="K2593" s="4" t="e">
        <f t="shared" si="526"/>
        <v>#N/A</v>
      </c>
      <c r="L2593" t="e">
        <f t="shared" si="527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8"/>
        <v>0</v>
      </c>
      <c r="B2594">
        <f t="shared" si="529"/>
        <v>0</v>
      </c>
      <c r="C2594">
        <f t="shared" si="530"/>
        <v>0</v>
      </c>
      <c r="D2594">
        <f t="shared" si="531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2"/>
        <v>0</v>
      </c>
      <c r="G2594">
        <f t="shared" si="533"/>
        <v>0</v>
      </c>
      <c r="H2594">
        <f t="shared" si="534"/>
        <v>0</v>
      </c>
      <c r="I2594">
        <f t="shared" si="535"/>
        <v>0</v>
      </c>
      <c r="J2594">
        <f t="shared" si="536"/>
        <v>0</v>
      </c>
      <c r="K2594" s="4" t="e">
        <f t="shared" si="526"/>
        <v>#N/A</v>
      </c>
      <c r="L2594" t="e">
        <f t="shared" si="527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8"/>
        <v>0</v>
      </c>
      <c r="B2595">
        <f t="shared" si="529"/>
        <v>0</v>
      </c>
      <c r="C2595">
        <f t="shared" si="530"/>
        <v>0</v>
      </c>
      <c r="D2595">
        <f t="shared" si="531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2"/>
        <v>0</v>
      </c>
      <c r="G2595">
        <f t="shared" si="533"/>
        <v>0</v>
      </c>
      <c r="H2595">
        <f t="shared" si="534"/>
        <v>0</v>
      </c>
      <c r="I2595">
        <f t="shared" si="535"/>
        <v>0</v>
      </c>
      <c r="J2595">
        <f t="shared" si="536"/>
        <v>0</v>
      </c>
      <c r="K2595" s="4" t="e">
        <f t="shared" si="526"/>
        <v>#N/A</v>
      </c>
      <c r="L2595" t="e">
        <f t="shared" si="527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8"/>
        <v>0</v>
      </c>
      <c r="B2596">
        <f t="shared" si="529"/>
        <v>0</v>
      </c>
      <c r="C2596">
        <f t="shared" si="530"/>
        <v>0</v>
      </c>
      <c r="D2596">
        <f t="shared" si="531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2"/>
        <v>0</v>
      </c>
      <c r="G2596">
        <f t="shared" si="533"/>
        <v>0</v>
      </c>
      <c r="H2596">
        <f t="shared" si="534"/>
        <v>0</v>
      </c>
      <c r="I2596">
        <f t="shared" si="535"/>
        <v>0</v>
      </c>
      <c r="J2596">
        <f t="shared" si="536"/>
        <v>0</v>
      </c>
      <c r="K2596" s="4" t="e">
        <f t="shared" si="526"/>
        <v>#N/A</v>
      </c>
      <c r="L2596" t="e">
        <f t="shared" si="527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8"/>
        <v>0</v>
      </c>
      <c r="B2597">
        <f t="shared" si="529"/>
        <v>0</v>
      </c>
      <c r="C2597">
        <f t="shared" si="530"/>
        <v>0</v>
      </c>
      <c r="D2597">
        <f t="shared" si="531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2"/>
        <v>0</v>
      </c>
      <c r="G2597">
        <f t="shared" si="533"/>
        <v>0</v>
      </c>
      <c r="H2597">
        <f t="shared" si="534"/>
        <v>0</v>
      </c>
      <c r="I2597">
        <f t="shared" si="535"/>
        <v>0</v>
      </c>
      <c r="J2597">
        <f t="shared" si="536"/>
        <v>0</v>
      </c>
      <c r="K2597" s="4" t="e">
        <f t="shared" si="526"/>
        <v>#N/A</v>
      </c>
      <c r="L2597" t="e">
        <f t="shared" si="527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8"/>
        <v>0</v>
      </c>
      <c r="B2598">
        <f t="shared" si="529"/>
        <v>0</v>
      </c>
      <c r="C2598">
        <f t="shared" si="530"/>
        <v>0</v>
      </c>
      <c r="D2598">
        <f t="shared" si="531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2"/>
        <v>0</v>
      </c>
      <c r="G2598">
        <f t="shared" si="533"/>
        <v>0</v>
      </c>
      <c r="H2598">
        <f t="shared" si="534"/>
        <v>0</v>
      </c>
      <c r="I2598">
        <f t="shared" si="535"/>
        <v>0</v>
      </c>
      <c r="J2598">
        <f t="shared" si="536"/>
        <v>0</v>
      </c>
      <c r="K2598" s="4" t="e">
        <f t="shared" si="526"/>
        <v>#N/A</v>
      </c>
      <c r="L2598" t="e">
        <f t="shared" si="527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8"/>
        <v>0</v>
      </c>
      <c r="B2599">
        <f t="shared" si="529"/>
        <v>0</v>
      </c>
      <c r="C2599">
        <f t="shared" si="530"/>
        <v>0</v>
      </c>
      <c r="D2599">
        <f t="shared" si="531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2"/>
        <v>0</v>
      </c>
      <c r="G2599">
        <f t="shared" si="533"/>
        <v>0</v>
      </c>
      <c r="H2599">
        <f t="shared" si="534"/>
        <v>0</v>
      </c>
      <c r="I2599">
        <f t="shared" si="535"/>
        <v>0</v>
      </c>
      <c r="J2599">
        <f t="shared" si="536"/>
        <v>0</v>
      </c>
      <c r="K2599" s="4" t="e">
        <f t="shared" si="526"/>
        <v>#N/A</v>
      </c>
      <c r="L2599" t="e">
        <f t="shared" si="527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8"/>
        <v>0</v>
      </c>
      <c r="B2600">
        <f t="shared" si="529"/>
        <v>0</v>
      </c>
      <c r="C2600">
        <f t="shared" si="530"/>
        <v>0</v>
      </c>
      <c r="D2600">
        <f t="shared" si="531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2"/>
        <v>0</v>
      </c>
      <c r="G2600">
        <f t="shared" si="533"/>
        <v>0</v>
      </c>
      <c r="H2600">
        <f t="shared" si="534"/>
        <v>0</v>
      </c>
      <c r="I2600">
        <f t="shared" si="535"/>
        <v>0</v>
      </c>
      <c r="J2600">
        <f t="shared" si="536"/>
        <v>0</v>
      </c>
      <c r="K2600" s="4" t="e">
        <f t="shared" si="526"/>
        <v>#N/A</v>
      </c>
      <c r="L2600" t="e">
        <f t="shared" si="527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8"/>
        <v>0</v>
      </c>
      <c r="B2601">
        <f t="shared" si="529"/>
        <v>0</v>
      </c>
      <c r="C2601">
        <f t="shared" si="530"/>
        <v>0</v>
      </c>
      <c r="D2601">
        <f t="shared" si="531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2"/>
        <v>0</v>
      </c>
      <c r="G2601">
        <f t="shared" si="533"/>
        <v>0</v>
      </c>
      <c r="H2601">
        <f t="shared" si="534"/>
        <v>0</v>
      </c>
      <c r="I2601">
        <f t="shared" si="535"/>
        <v>0</v>
      </c>
      <c r="J2601">
        <f t="shared" si="536"/>
        <v>0</v>
      </c>
      <c r="K2601" s="4" t="e">
        <f t="shared" si="526"/>
        <v>#N/A</v>
      </c>
      <c r="L2601" t="e">
        <f t="shared" si="527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8"/>
        <v>0</v>
      </c>
      <c r="B2602">
        <f t="shared" si="529"/>
        <v>0</v>
      </c>
      <c r="C2602">
        <f t="shared" si="530"/>
        <v>0</v>
      </c>
      <c r="D2602">
        <f t="shared" si="531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2"/>
        <v>0</v>
      </c>
      <c r="G2602">
        <f t="shared" si="533"/>
        <v>0</v>
      </c>
      <c r="H2602">
        <f t="shared" si="534"/>
        <v>0</v>
      </c>
      <c r="I2602">
        <f t="shared" si="535"/>
        <v>0</v>
      </c>
      <c r="J2602">
        <f t="shared" si="536"/>
        <v>0</v>
      </c>
      <c r="K2602" s="4" t="e">
        <f t="shared" si="526"/>
        <v>#N/A</v>
      </c>
      <c r="L2602" t="e">
        <f t="shared" si="527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8"/>
        <v>0</v>
      </c>
      <c r="B2603">
        <f t="shared" si="529"/>
        <v>0</v>
      </c>
      <c r="C2603">
        <f t="shared" si="530"/>
        <v>0</v>
      </c>
      <c r="D2603">
        <f t="shared" si="531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2"/>
        <v>0</v>
      </c>
      <c r="G2603">
        <f t="shared" si="533"/>
        <v>0</v>
      </c>
      <c r="H2603">
        <f t="shared" si="534"/>
        <v>0</v>
      </c>
      <c r="I2603">
        <f t="shared" si="535"/>
        <v>0</v>
      </c>
      <c r="J2603">
        <f t="shared" si="536"/>
        <v>0</v>
      </c>
      <c r="K2603" s="4" t="e">
        <f t="shared" si="526"/>
        <v>#N/A</v>
      </c>
      <c r="L2603" t="e">
        <f t="shared" si="527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8"/>
        <v>0</v>
      </c>
      <c r="B2604">
        <f t="shared" si="529"/>
        <v>0</v>
      </c>
      <c r="C2604">
        <f t="shared" si="530"/>
        <v>0</v>
      </c>
      <c r="D2604">
        <f t="shared" si="531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2"/>
        <v>0</v>
      </c>
      <c r="G2604">
        <f t="shared" si="533"/>
        <v>0</v>
      </c>
      <c r="H2604">
        <f t="shared" si="534"/>
        <v>0</v>
      </c>
      <c r="I2604">
        <f t="shared" si="535"/>
        <v>0</v>
      </c>
      <c r="J2604">
        <f t="shared" si="536"/>
        <v>0</v>
      </c>
      <c r="K2604" s="4" t="e">
        <f t="shared" ref="K2604:K2667" si="539">IF(LEFT(B2604,3)="DBM",0,VLOOKUP(E2604,tabela,2,FALSE))</f>
        <v>#N/A</v>
      </c>
      <c r="L2604" t="e">
        <f t="shared" ref="L2604:L2667" si="540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8"/>
        <v>0</v>
      </c>
      <c r="B2605">
        <f t="shared" si="529"/>
        <v>0</v>
      </c>
      <c r="C2605">
        <f t="shared" si="530"/>
        <v>0</v>
      </c>
      <c r="D2605">
        <f t="shared" si="531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2"/>
        <v>0</v>
      </c>
      <c r="G2605">
        <f t="shared" si="533"/>
        <v>0</v>
      </c>
      <c r="H2605">
        <f t="shared" si="534"/>
        <v>0</v>
      </c>
      <c r="I2605">
        <f t="shared" si="535"/>
        <v>0</v>
      </c>
      <c r="J2605">
        <f t="shared" si="536"/>
        <v>0</v>
      </c>
      <c r="K2605" s="4" t="e">
        <f t="shared" si="539"/>
        <v>#N/A</v>
      </c>
      <c r="L2605" t="e">
        <f t="shared" si="540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8"/>
        <v>0</v>
      </c>
      <c r="B2606">
        <f t="shared" si="529"/>
        <v>0</v>
      </c>
      <c r="C2606">
        <f t="shared" si="530"/>
        <v>0</v>
      </c>
      <c r="D2606">
        <f t="shared" si="531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2"/>
        <v>0</v>
      </c>
      <c r="G2606">
        <f t="shared" si="533"/>
        <v>0</v>
      </c>
      <c r="H2606">
        <f t="shared" si="534"/>
        <v>0</v>
      </c>
      <c r="I2606">
        <f t="shared" si="535"/>
        <v>0</v>
      </c>
      <c r="J2606">
        <f t="shared" si="536"/>
        <v>0</v>
      </c>
      <c r="K2606" s="4" t="e">
        <f t="shared" si="539"/>
        <v>#N/A</v>
      </c>
      <c r="L2606" t="e">
        <f t="shared" si="540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8"/>
        <v>0</v>
      </c>
      <c r="B2607">
        <f t="shared" si="529"/>
        <v>0</v>
      </c>
      <c r="C2607">
        <f t="shared" si="530"/>
        <v>0</v>
      </c>
      <c r="D2607">
        <f t="shared" si="531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2"/>
        <v>0</v>
      </c>
      <c r="G2607">
        <f t="shared" si="533"/>
        <v>0</v>
      </c>
      <c r="H2607">
        <f t="shared" si="534"/>
        <v>0</v>
      </c>
      <c r="I2607">
        <f t="shared" si="535"/>
        <v>0</v>
      </c>
      <c r="J2607">
        <f t="shared" si="536"/>
        <v>0</v>
      </c>
      <c r="K2607" s="4" t="e">
        <f t="shared" si="539"/>
        <v>#N/A</v>
      </c>
      <c r="L2607" t="e">
        <f t="shared" si="540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8"/>
        <v>0</v>
      </c>
      <c r="B2608">
        <f t="shared" si="529"/>
        <v>0</v>
      </c>
      <c r="C2608">
        <f t="shared" si="530"/>
        <v>0</v>
      </c>
      <c r="D2608">
        <f t="shared" si="531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2"/>
        <v>0</v>
      </c>
      <c r="G2608">
        <f t="shared" si="533"/>
        <v>0</v>
      </c>
      <c r="H2608">
        <f t="shared" si="534"/>
        <v>0</v>
      </c>
      <c r="I2608">
        <f t="shared" si="535"/>
        <v>0</v>
      </c>
      <c r="J2608">
        <f t="shared" si="536"/>
        <v>0</v>
      </c>
      <c r="K2608" s="4" t="e">
        <f t="shared" si="539"/>
        <v>#N/A</v>
      </c>
      <c r="L2608" t="e">
        <f t="shared" si="540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8"/>
        <v>0</v>
      </c>
      <c r="B2609">
        <f t="shared" si="529"/>
        <v>0</v>
      </c>
      <c r="C2609">
        <f t="shared" si="530"/>
        <v>0</v>
      </c>
      <c r="D2609">
        <f t="shared" si="531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2"/>
        <v>0</v>
      </c>
      <c r="G2609">
        <f t="shared" si="533"/>
        <v>0</v>
      </c>
      <c r="H2609">
        <f t="shared" si="534"/>
        <v>0</v>
      </c>
      <c r="I2609">
        <f t="shared" si="535"/>
        <v>0</v>
      </c>
      <c r="J2609">
        <f t="shared" si="536"/>
        <v>0</v>
      </c>
      <c r="K2609" s="4" t="e">
        <f t="shared" si="539"/>
        <v>#N/A</v>
      </c>
      <c r="L2609" t="e">
        <f t="shared" si="540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8"/>
        <v>0</v>
      </c>
      <c r="B2610">
        <f t="shared" si="529"/>
        <v>0</v>
      </c>
      <c r="C2610">
        <f t="shared" si="530"/>
        <v>0</v>
      </c>
      <c r="D2610">
        <f t="shared" si="531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2"/>
        <v>0</v>
      </c>
      <c r="G2610">
        <f t="shared" si="533"/>
        <v>0</v>
      </c>
      <c r="H2610">
        <f t="shared" si="534"/>
        <v>0</v>
      </c>
      <c r="I2610">
        <f t="shared" si="535"/>
        <v>0</v>
      </c>
      <c r="J2610">
        <f t="shared" si="536"/>
        <v>0</v>
      </c>
      <c r="K2610" s="4" t="e">
        <f t="shared" si="539"/>
        <v>#N/A</v>
      </c>
      <c r="L2610" t="e">
        <f t="shared" si="540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8"/>
        <v>0</v>
      </c>
      <c r="B2611">
        <f t="shared" si="529"/>
        <v>0</v>
      </c>
      <c r="C2611">
        <f t="shared" si="530"/>
        <v>0</v>
      </c>
      <c r="D2611">
        <f t="shared" si="531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2"/>
        <v>0</v>
      </c>
      <c r="G2611">
        <f t="shared" si="533"/>
        <v>0</v>
      </c>
      <c r="H2611">
        <f t="shared" si="534"/>
        <v>0</v>
      </c>
      <c r="I2611">
        <f t="shared" si="535"/>
        <v>0</v>
      </c>
      <c r="J2611">
        <f t="shared" si="536"/>
        <v>0</v>
      </c>
      <c r="K2611" s="4" t="e">
        <f t="shared" si="539"/>
        <v>#N/A</v>
      </c>
      <c r="L2611" t="e">
        <f t="shared" si="540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8"/>
        <v>0</v>
      </c>
      <c r="B2612">
        <f t="shared" si="529"/>
        <v>0</v>
      </c>
      <c r="C2612">
        <f t="shared" si="530"/>
        <v>0</v>
      </c>
      <c r="D2612">
        <f t="shared" si="531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2"/>
        <v>0</v>
      </c>
      <c r="G2612">
        <f t="shared" si="533"/>
        <v>0</v>
      </c>
      <c r="H2612">
        <f t="shared" si="534"/>
        <v>0</v>
      </c>
      <c r="I2612">
        <f t="shared" si="535"/>
        <v>0</v>
      </c>
      <c r="J2612">
        <f t="shared" si="536"/>
        <v>0</v>
      </c>
      <c r="K2612" s="4" t="e">
        <f t="shared" si="539"/>
        <v>#N/A</v>
      </c>
      <c r="L2612" t="e">
        <f t="shared" si="540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8"/>
        <v>0</v>
      </c>
      <c r="B2613">
        <f t="shared" si="529"/>
        <v>0</v>
      </c>
      <c r="C2613">
        <f t="shared" si="530"/>
        <v>0</v>
      </c>
      <c r="D2613">
        <f t="shared" si="531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2"/>
        <v>0</v>
      </c>
      <c r="G2613">
        <f t="shared" si="533"/>
        <v>0</v>
      </c>
      <c r="H2613">
        <f t="shared" si="534"/>
        <v>0</v>
      </c>
      <c r="I2613">
        <f t="shared" si="535"/>
        <v>0</v>
      </c>
      <c r="J2613">
        <f t="shared" si="536"/>
        <v>0</v>
      </c>
      <c r="K2613" s="4" t="e">
        <f t="shared" si="539"/>
        <v>#N/A</v>
      </c>
      <c r="L2613" t="e">
        <f t="shared" si="540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8"/>
        <v>0</v>
      </c>
      <c r="B2614">
        <f t="shared" si="529"/>
        <v>0</v>
      </c>
      <c r="C2614">
        <f t="shared" si="530"/>
        <v>0</v>
      </c>
      <c r="D2614">
        <f t="shared" si="531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2"/>
        <v>0</v>
      </c>
      <c r="G2614">
        <f t="shared" si="533"/>
        <v>0</v>
      </c>
      <c r="H2614">
        <f t="shared" si="534"/>
        <v>0</v>
      </c>
      <c r="I2614">
        <f t="shared" si="535"/>
        <v>0</v>
      </c>
      <c r="J2614">
        <f t="shared" si="536"/>
        <v>0</v>
      </c>
      <c r="K2614" s="4" t="e">
        <f t="shared" si="539"/>
        <v>#N/A</v>
      </c>
      <c r="L2614" t="e">
        <f t="shared" si="540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8"/>
        <v>0</v>
      </c>
      <c r="B2615">
        <f t="shared" si="529"/>
        <v>0</v>
      </c>
      <c r="C2615">
        <f t="shared" si="530"/>
        <v>0</v>
      </c>
      <c r="D2615">
        <f t="shared" si="531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2"/>
        <v>0</v>
      </c>
      <c r="G2615">
        <f t="shared" si="533"/>
        <v>0</v>
      </c>
      <c r="H2615">
        <f t="shared" si="534"/>
        <v>0</v>
      </c>
      <c r="I2615">
        <f t="shared" si="535"/>
        <v>0</v>
      </c>
      <c r="J2615">
        <f t="shared" si="536"/>
        <v>0</v>
      </c>
      <c r="K2615" s="4" t="e">
        <f t="shared" si="539"/>
        <v>#N/A</v>
      </c>
      <c r="L2615" t="e">
        <f t="shared" si="540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8"/>
        <v>0</v>
      </c>
      <c r="B2616">
        <f t="shared" si="529"/>
        <v>0</v>
      </c>
      <c r="C2616">
        <f t="shared" si="530"/>
        <v>0</v>
      </c>
      <c r="D2616">
        <f t="shared" si="531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2"/>
        <v>0</v>
      </c>
      <c r="G2616">
        <f t="shared" si="533"/>
        <v>0</v>
      </c>
      <c r="H2616">
        <f t="shared" si="534"/>
        <v>0</v>
      </c>
      <c r="I2616">
        <f t="shared" si="535"/>
        <v>0</v>
      </c>
      <c r="J2616">
        <f t="shared" si="536"/>
        <v>0</v>
      </c>
      <c r="K2616" s="4" t="e">
        <f t="shared" si="539"/>
        <v>#N/A</v>
      </c>
      <c r="L2616" t="e">
        <f t="shared" si="540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8"/>
        <v>0</v>
      </c>
      <c r="B2617">
        <f t="shared" si="529"/>
        <v>0</v>
      </c>
      <c r="C2617">
        <f t="shared" si="530"/>
        <v>0</v>
      </c>
      <c r="D2617">
        <f t="shared" si="531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2"/>
        <v>0</v>
      </c>
      <c r="G2617">
        <f t="shared" si="533"/>
        <v>0</v>
      </c>
      <c r="H2617">
        <f t="shared" si="534"/>
        <v>0</v>
      </c>
      <c r="I2617">
        <f t="shared" si="535"/>
        <v>0</v>
      </c>
      <c r="J2617">
        <f t="shared" si="536"/>
        <v>0</v>
      </c>
      <c r="K2617" s="4" t="e">
        <f t="shared" si="539"/>
        <v>#N/A</v>
      </c>
      <c r="L2617" t="e">
        <f t="shared" si="540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8"/>
        <v>0</v>
      </c>
      <c r="B2618">
        <f t="shared" si="529"/>
        <v>0</v>
      </c>
      <c r="C2618">
        <f t="shared" si="530"/>
        <v>0</v>
      </c>
      <c r="D2618">
        <f t="shared" si="531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2"/>
        <v>0</v>
      </c>
      <c r="G2618">
        <f t="shared" si="533"/>
        <v>0</v>
      </c>
      <c r="H2618">
        <f t="shared" si="534"/>
        <v>0</v>
      </c>
      <c r="I2618">
        <f t="shared" si="535"/>
        <v>0</v>
      </c>
      <c r="J2618">
        <f t="shared" si="536"/>
        <v>0</v>
      </c>
      <c r="K2618" s="4" t="e">
        <f t="shared" si="539"/>
        <v>#N/A</v>
      </c>
      <c r="L2618" t="e">
        <f t="shared" si="540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8"/>
        <v>0</v>
      </c>
      <c r="B2619">
        <f t="shared" si="529"/>
        <v>0</v>
      </c>
      <c r="C2619">
        <f t="shared" si="530"/>
        <v>0</v>
      </c>
      <c r="D2619">
        <f t="shared" si="531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2"/>
        <v>0</v>
      </c>
      <c r="G2619">
        <f t="shared" si="533"/>
        <v>0</v>
      </c>
      <c r="H2619">
        <f t="shared" si="534"/>
        <v>0</v>
      </c>
      <c r="I2619">
        <f t="shared" si="535"/>
        <v>0</v>
      </c>
      <c r="J2619">
        <f t="shared" si="536"/>
        <v>0</v>
      </c>
      <c r="K2619" s="4" t="e">
        <f t="shared" si="539"/>
        <v>#N/A</v>
      </c>
      <c r="L2619" t="e">
        <f t="shared" si="540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8"/>
        <v>0</v>
      </c>
      <c r="B2620">
        <f t="shared" si="529"/>
        <v>0</v>
      </c>
      <c r="C2620">
        <f t="shared" si="530"/>
        <v>0</v>
      </c>
      <c r="D2620">
        <f t="shared" si="531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2"/>
        <v>0</v>
      </c>
      <c r="G2620">
        <f t="shared" si="533"/>
        <v>0</v>
      </c>
      <c r="H2620">
        <f t="shared" si="534"/>
        <v>0</v>
      </c>
      <c r="I2620">
        <f t="shared" si="535"/>
        <v>0</v>
      </c>
      <c r="J2620">
        <f t="shared" si="536"/>
        <v>0</v>
      </c>
      <c r="K2620" s="4" t="e">
        <f t="shared" si="539"/>
        <v>#N/A</v>
      </c>
      <c r="L2620" t="e">
        <f t="shared" si="540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8"/>
        <v>0</v>
      </c>
      <c r="B2621">
        <f t="shared" si="529"/>
        <v>0</v>
      </c>
      <c r="C2621">
        <f t="shared" si="530"/>
        <v>0</v>
      </c>
      <c r="D2621">
        <f t="shared" si="531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2"/>
        <v>0</v>
      </c>
      <c r="G2621">
        <f t="shared" si="533"/>
        <v>0</v>
      </c>
      <c r="H2621">
        <f t="shared" si="534"/>
        <v>0</v>
      </c>
      <c r="I2621">
        <f t="shared" si="535"/>
        <v>0</v>
      </c>
      <c r="J2621">
        <f t="shared" si="536"/>
        <v>0</v>
      </c>
      <c r="K2621" s="4" t="e">
        <f t="shared" si="539"/>
        <v>#N/A</v>
      </c>
      <c r="L2621" t="e">
        <f t="shared" si="540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8"/>
        <v>0</v>
      </c>
      <c r="B2622">
        <f t="shared" si="529"/>
        <v>0</v>
      </c>
      <c r="C2622">
        <f t="shared" si="530"/>
        <v>0</v>
      </c>
      <c r="D2622">
        <f t="shared" si="531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2"/>
        <v>0</v>
      </c>
      <c r="G2622">
        <f t="shared" si="533"/>
        <v>0</v>
      </c>
      <c r="H2622">
        <f t="shared" si="534"/>
        <v>0</v>
      </c>
      <c r="I2622">
        <f t="shared" si="535"/>
        <v>0</v>
      </c>
      <c r="J2622">
        <f t="shared" si="536"/>
        <v>0</v>
      </c>
      <c r="K2622" s="4" t="e">
        <f t="shared" si="539"/>
        <v>#N/A</v>
      </c>
      <c r="L2622" t="e">
        <f t="shared" si="540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8"/>
        <v>0</v>
      </c>
      <c r="B2623">
        <f t="shared" si="529"/>
        <v>0</v>
      </c>
      <c r="C2623">
        <f t="shared" si="530"/>
        <v>0</v>
      </c>
      <c r="D2623">
        <f t="shared" si="531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2"/>
        <v>0</v>
      </c>
      <c r="G2623">
        <f t="shared" si="533"/>
        <v>0</v>
      </c>
      <c r="H2623">
        <f t="shared" si="534"/>
        <v>0</v>
      </c>
      <c r="I2623">
        <f t="shared" si="535"/>
        <v>0</v>
      </c>
      <c r="J2623">
        <f t="shared" si="536"/>
        <v>0</v>
      </c>
      <c r="K2623" s="4" t="e">
        <f t="shared" si="539"/>
        <v>#N/A</v>
      </c>
      <c r="L2623" t="e">
        <f t="shared" si="540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8"/>
        <v>0</v>
      </c>
      <c r="B2624">
        <f t="shared" si="529"/>
        <v>0</v>
      </c>
      <c r="C2624">
        <f t="shared" si="530"/>
        <v>0</v>
      </c>
      <c r="D2624">
        <f t="shared" si="531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2"/>
        <v>0</v>
      </c>
      <c r="G2624">
        <f t="shared" si="533"/>
        <v>0</v>
      </c>
      <c r="H2624">
        <f t="shared" si="534"/>
        <v>0</v>
      </c>
      <c r="I2624">
        <f t="shared" si="535"/>
        <v>0</v>
      </c>
      <c r="J2624">
        <f t="shared" si="536"/>
        <v>0</v>
      </c>
      <c r="K2624" s="4" t="e">
        <f t="shared" si="539"/>
        <v>#N/A</v>
      </c>
      <c r="L2624" t="e">
        <f t="shared" si="540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8"/>
        <v>0</v>
      </c>
      <c r="B2625">
        <f t="shared" si="529"/>
        <v>0</v>
      </c>
      <c r="C2625">
        <f t="shared" si="530"/>
        <v>0</v>
      </c>
      <c r="D2625">
        <f t="shared" si="531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2"/>
        <v>0</v>
      </c>
      <c r="G2625">
        <f t="shared" si="533"/>
        <v>0</v>
      </c>
      <c r="H2625">
        <f t="shared" si="534"/>
        <v>0</v>
      </c>
      <c r="I2625">
        <f t="shared" si="535"/>
        <v>0</v>
      </c>
      <c r="J2625">
        <f t="shared" si="536"/>
        <v>0</v>
      </c>
      <c r="K2625" s="4" t="e">
        <f t="shared" si="539"/>
        <v>#N/A</v>
      </c>
      <c r="L2625" t="e">
        <f t="shared" si="540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1">bd_campaign</f>
        <v>0</v>
      </c>
      <c r="B2626">
        <f t="shared" ref="B2626:B2689" si="542">bd_site</f>
        <v>0</v>
      </c>
      <c r="C2626">
        <f t="shared" ref="C2626:C2689" si="543">bd_placement</f>
        <v>0</v>
      </c>
      <c r="D2626">
        <f t="shared" ref="D2626:D2689" si="544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5">bd_ad</f>
        <v>0</v>
      </c>
      <c r="G2626">
        <f t="shared" ref="G2626:G2689" si="546">bd_adid</f>
        <v>0</v>
      </c>
      <c r="H2626">
        <f t="shared" ref="H2626:H2689" si="547">bd_creativetype</f>
        <v>0</v>
      </c>
      <c r="I2626">
        <f t="shared" ref="I2626:I2689" si="548">bd_impression</f>
        <v>0</v>
      </c>
      <c r="J2626">
        <f t="shared" ref="J2626:J2689" si="549">bd_clicks</f>
        <v>0</v>
      </c>
      <c r="K2626" s="4" t="e">
        <f t="shared" si="539"/>
        <v>#N/A</v>
      </c>
      <c r="L2626" t="e">
        <f t="shared" si="540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1"/>
        <v>0</v>
      </c>
      <c r="B2627">
        <f t="shared" si="542"/>
        <v>0</v>
      </c>
      <c r="C2627">
        <f t="shared" si="543"/>
        <v>0</v>
      </c>
      <c r="D2627">
        <f t="shared" si="544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5"/>
        <v>0</v>
      </c>
      <c r="G2627">
        <f t="shared" si="546"/>
        <v>0</v>
      </c>
      <c r="H2627">
        <f t="shared" si="547"/>
        <v>0</v>
      </c>
      <c r="I2627">
        <f t="shared" si="548"/>
        <v>0</v>
      </c>
      <c r="J2627">
        <f t="shared" si="549"/>
        <v>0</v>
      </c>
      <c r="K2627" s="4" t="e">
        <f t="shared" si="539"/>
        <v>#N/A</v>
      </c>
      <c r="L2627" t="e">
        <f t="shared" si="540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1"/>
        <v>0</v>
      </c>
      <c r="B2628">
        <f t="shared" si="542"/>
        <v>0</v>
      </c>
      <c r="C2628">
        <f t="shared" si="543"/>
        <v>0</v>
      </c>
      <c r="D2628">
        <f t="shared" si="544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5"/>
        <v>0</v>
      </c>
      <c r="G2628">
        <f t="shared" si="546"/>
        <v>0</v>
      </c>
      <c r="H2628">
        <f t="shared" si="547"/>
        <v>0</v>
      </c>
      <c r="I2628">
        <f t="shared" si="548"/>
        <v>0</v>
      </c>
      <c r="J2628">
        <f t="shared" si="549"/>
        <v>0</v>
      </c>
      <c r="K2628" s="4" t="e">
        <f t="shared" si="539"/>
        <v>#N/A</v>
      </c>
      <c r="L2628" t="e">
        <f t="shared" si="540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1"/>
        <v>0</v>
      </c>
      <c r="B2629">
        <f t="shared" si="542"/>
        <v>0</v>
      </c>
      <c r="C2629">
        <f t="shared" si="543"/>
        <v>0</v>
      </c>
      <c r="D2629">
        <f t="shared" si="544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5"/>
        <v>0</v>
      </c>
      <c r="G2629">
        <f t="shared" si="546"/>
        <v>0</v>
      </c>
      <c r="H2629">
        <f t="shared" si="547"/>
        <v>0</v>
      </c>
      <c r="I2629">
        <f t="shared" si="548"/>
        <v>0</v>
      </c>
      <c r="J2629">
        <f t="shared" si="549"/>
        <v>0</v>
      </c>
      <c r="K2629" s="4" t="e">
        <f t="shared" si="539"/>
        <v>#N/A</v>
      </c>
      <c r="L2629" t="e">
        <f t="shared" si="540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1"/>
        <v>0</v>
      </c>
      <c r="B2630">
        <f t="shared" si="542"/>
        <v>0</v>
      </c>
      <c r="C2630">
        <f t="shared" si="543"/>
        <v>0</v>
      </c>
      <c r="D2630">
        <f t="shared" si="544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5"/>
        <v>0</v>
      </c>
      <c r="G2630">
        <f t="shared" si="546"/>
        <v>0</v>
      </c>
      <c r="H2630">
        <f t="shared" si="547"/>
        <v>0</v>
      </c>
      <c r="I2630">
        <f t="shared" si="548"/>
        <v>0</v>
      </c>
      <c r="J2630">
        <f t="shared" si="549"/>
        <v>0</v>
      </c>
      <c r="K2630" s="4" t="e">
        <f t="shared" si="539"/>
        <v>#N/A</v>
      </c>
      <c r="L2630" t="e">
        <f t="shared" si="540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1"/>
        <v>0</v>
      </c>
      <c r="B2631">
        <f t="shared" si="542"/>
        <v>0</v>
      </c>
      <c r="C2631">
        <f t="shared" si="543"/>
        <v>0</v>
      </c>
      <c r="D2631">
        <f t="shared" si="544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5"/>
        <v>0</v>
      </c>
      <c r="G2631">
        <f t="shared" si="546"/>
        <v>0</v>
      </c>
      <c r="H2631">
        <f t="shared" si="547"/>
        <v>0</v>
      </c>
      <c r="I2631">
        <f t="shared" si="548"/>
        <v>0</v>
      </c>
      <c r="J2631">
        <f t="shared" si="549"/>
        <v>0</v>
      </c>
      <c r="K2631" s="4" t="e">
        <f t="shared" si="539"/>
        <v>#N/A</v>
      </c>
      <c r="L2631" t="e">
        <f t="shared" si="540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1"/>
        <v>0</v>
      </c>
      <c r="B2632">
        <f t="shared" si="542"/>
        <v>0</v>
      </c>
      <c r="C2632">
        <f t="shared" si="543"/>
        <v>0</v>
      </c>
      <c r="D2632">
        <f t="shared" si="544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5"/>
        <v>0</v>
      </c>
      <c r="G2632">
        <f t="shared" si="546"/>
        <v>0</v>
      </c>
      <c r="H2632">
        <f t="shared" si="547"/>
        <v>0</v>
      </c>
      <c r="I2632">
        <f t="shared" si="548"/>
        <v>0</v>
      </c>
      <c r="J2632">
        <f t="shared" si="549"/>
        <v>0</v>
      </c>
      <c r="K2632" s="4" t="e">
        <f t="shared" si="539"/>
        <v>#N/A</v>
      </c>
      <c r="L2632" t="e">
        <f t="shared" si="540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1"/>
        <v>0</v>
      </c>
      <c r="B2633">
        <f t="shared" si="542"/>
        <v>0</v>
      </c>
      <c r="C2633">
        <f t="shared" si="543"/>
        <v>0</v>
      </c>
      <c r="D2633">
        <f t="shared" si="544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5"/>
        <v>0</v>
      </c>
      <c r="G2633">
        <f t="shared" si="546"/>
        <v>0</v>
      </c>
      <c r="H2633">
        <f t="shared" si="547"/>
        <v>0</v>
      </c>
      <c r="I2633">
        <f t="shared" si="548"/>
        <v>0</v>
      </c>
      <c r="J2633">
        <f t="shared" si="549"/>
        <v>0</v>
      </c>
      <c r="K2633" s="4" t="e">
        <f t="shared" si="539"/>
        <v>#N/A</v>
      </c>
      <c r="L2633" t="e">
        <f t="shared" si="540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1"/>
        <v>0</v>
      </c>
      <c r="B2634">
        <f t="shared" si="542"/>
        <v>0</v>
      </c>
      <c r="C2634">
        <f t="shared" si="543"/>
        <v>0</v>
      </c>
      <c r="D2634">
        <f t="shared" si="544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5"/>
        <v>0</v>
      </c>
      <c r="G2634">
        <f t="shared" si="546"/>
        <v>0</v>
      </c>
      <c r="H2634">
        <f t="shared" si="547"/>
        <v>0</v>
      </c>
      <c r="I2634">
        <f t="shared" si="548"/>
        <v>0</v>
      </c>
      <c r="J2634">
        <f t="shared" si="549"/>
        <v>0</v>
      </c>
      <c r="K2634" s="4" t="e">
        <f t="shared" si="539"/>
        <v>#N/A</v>
      </c>
      <c r="L2634" t="e">
        <f t="shared" si="540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1"/>
        <v>0</v>
      </c>
      <c r="B2635">
        <f t="shared" si="542"/>
        <v>0</v>
      </c>
      <c r="C2635">
        <f t="shared" si="543"/>
        <v>0</v>
      </c>
      <c r="D2635">
        <f t="shared" si="544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5"/>
        <v>0</v>
      </c>
      <c r="G2635">
        <f t="shared" si="546"/>
        <v>0</v>
      </c>
      <c r="H2635">
        <f t="shared" si="547"/>
        <v>0</v>
      </c>
      <c r="I2635">
        <f t="shared" si="548"/>
        <v>0</v>
      </c>
      <c r="J2635">
        <f t="shared" si="549"/>
        <v>0</v>
      </c>
      <c r="K2635" s="4" t="e">
        <f t="shared" si="539"/>
        <v>#N/A</v>
      </c>
      <c r="L2635" t="e">
        <f t="shared" si="540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1"/>
        <v>0</v>
      </c>
      <c r="B2636">
        <f t="shared" si="542"/>
        <v>0</v>
      </c>
      <c r="C2636">
        <f t="shared" si="543"/>
        <v>0</v>
      </c>
      <c r="D2636">
        <f t="shared" si="544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5"/>
        <v>0</v>
      </c>
      <c r="G2636">
        <f t="shared" si="546"/>
        <v>0</v>
      </c>
      <c r="H2636">
        <f t="shared" si="547"/>
        <v>0</v>
      </c>
      <c r="I2636">
        <f t="shared" si="548"/>
        <v>0</v>
      </c>
      <c r="J2636">
        <f t="shared" si="549"/>
        <v>0</v>
      </c>
      <c r="K2636" s="4" t="e">
        <f t="shared" si="539"/>
        <v>#N/A</v>
      </c>
      <c r="L2636" t="e">
        <f t="shared" si="540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1"/>
        <v>0</v>
      </c>
      <c r="B2637">
        <f t="shared" si="542"/>
        <v>0</v>
      </c>
      <c r="C2637">
        <f t="shared" si="543"/>
        <v>0</v>
      </c>
      <c r="D2637">
        <f t="shared" si="544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5"/>
        <v>0</v>
      </c>
      <c r="G2637">
        <f t="shared" si="546"/>
        <v>0</v>
      </c>
      <c r="H2637">
        <f t="shared" si="547"/>
        <v>0</v>
      </c>
      <c r="I2637">
        <f t="shared" si="548"/>
        <v>0</v>
      </c>
      <c r="J2637">
        <f t="shared" si="549"/>
        <v>0</v>
      </c>
      <c r="K2637" s="4" t="e">
        <f t="shared" si="539"/>
        <v>#N/A</v>
      </c>
      <c r="L2637" t="e">
        <f t="shared" si="540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1"/>
        <v>0</v>
      </c>
      <c r="B2638">
        <f t="shared" si="542"/>
        <v>0</v>
      </c>
      <c r="C2638">
        <f t="shared" si="543"/>
        <v>0</v>
      </c>
      <c r="D2638">
        <f t="shared" si="544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5"/>
        <v>0</v>
      </c>
      <c r="G2638">
        <f t="shared" si="546"/>
        <v>0</v>
      </c>
      <c r="H2638">
        <f t="shared" si="547"/>
        <v>0</v>
      </c>
      <c r="I2638">
        <f t="shared" si="548"/>
        <v>0</v>
      </c>
      <c r="J2638">
        <f t="shared" si="549"/>
        <v>0</v>
      </c>
      <c r="K2638" s="4" t="e">
        <f t="shared" si="539"/>
        <v>#N/A</v>
      </c>
      <c r="L2638" t="e">
        <f t="shared" si="540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1"/>
        <v>0</v>
      </c>
      <c r="B2639">
        <f t="shared" si="542"/>
        <v>0</v>
      </c>
      <c r="C2639">
        <f t="shared" si="543"/>
        <v>0</v>
      </c>
      <c r="D2639">
        <f t="shared" si="544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5"/>
        <v>0</v>
      </c>
      <c r="G2639">
        <f t="shared" si="546"/>
        <v>0</v>
      </c>
      <c r="H2639">
        <f t="shared" si="547"/>
        <v>0</v>
      </c>
      <c r="I2639">
        <f t="shared" si="548"/>
        <v>0</v>
      </c>
      <c r="J2639">
        <f t="shared" si="549"/>
        <v>0</v>
      </c>
      <c r="K2639" s="4" t="e">
        <f t="shared" si="539"/>
        <v>#N/A</v>
      </c>
      <c r="L2639" t="e">
        <f t="shared" si="540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1"/>
        <v>0</v>
      </c>
      <c r="B2640">
        <f t="shared" si="542"/>
        <v>0</v>
      </c>
      <c r="C2640">
        <f t="shared" si="543"/>
        <v>0</v>
      </c>
      <c r="D2640">
        <f t="shared" si="544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5"/>
        <v>0</v>
      </c>
      <c r="G2640">
        <f t="shared" si="546"/>
        <v>0</v>
      </c>
      <c r="H2640">
        <f t="shared" si="547"/>
        <v>0</v>
      </c>
      <c r="I2640">
        <f t="shared" si="548"/>
        <v>0</v>
      </c>
      <c r="J2640">
        <f t="shared" si="549"/>
        <v>0</v>
      </c>
      <c r="K2640" s="4" t="e">
        <f t="shared" si="539"/>
        <v>#N/A</v>
      </c>
      <c r="L2640" t="e">
        <f t="shared" si="540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1"/>
        <v>0</v>
      </c>
      <c r="B2641">
        <f t="shared" si="542"/>
        <v>0</v>
      </c>
      <c r="C2641">
        <f t="shared" si="543"/>
        <v>0</v>
      </c>
      <c r="D2641">
        <f t="shared" si="544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5"/>
        <v>0</v>
      </c>
      <c r="G2641">
        <f t="shared" si="546"/>
        <v>0</v>
      </c>
      <c r="H2641">
        <f t="shared" si="547"/>
        <v>0</v>
      </c>
      <c r="I2641">
        <f t="shared" si="548"/>
        <v>0</v>
      </c>
      <c r="J2641">
        <f t="shared" si="549"/>
        <v>0</v>
      </c>
      <c r="K2641" s="4" t="e">
        <f t="shared" si="539"/>
        <v>#N/A</v>
      </c>
      <c r="L2641" t="e">
        <f t="shared" si="540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1"/>
        <v>0</v>
      </c>
      <c r="B2642">
        <f t="shared" si="542"/>
        <v>0</v>
      </c>
      <c r="C2642">
        <f t="shared" si="543"/>
        <v>0</v>
      </c>
      <c r="D2642">
        <f t="shared" si="544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5"/>
        <v>0</v>
      </c>
      <c r="G2642">
        <f t="shared" si="546"/>
        <v>0</v>
      </c>
      <c r="H2642">
        <f t="shared" si="547"/>
        <v>0</v>
      </c>
      <c r="I2642">
        <f t="shared" si="548"/>
        <v>0</v>
      </c>
      <c r="J2642">
        <f t="shared" si="549"/>
        <v>0</v>
      </c>
      <c r="K2642" s="4" t="e">
        <f t="shared" si="539"/>
        <v>#N/A</v>
      </c>
      <c r="L2642" t="e">
        <f t="shared" si="540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1"/>
        <v>0</v>
      </c>
      <c r="B2643">
        <f t="shared" si="542"/>
        <v>0</v>
      </c>
      <c r="C2643">
        <f t="shared" si="543"/>
        <v>0</v>
      </c>
      <c r="D2643">
        <f t="shared" si="544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5"/>
        <v>0</v>
      </c>
      <c r="G2643">
        <f t="shared" si="546"/>
        <v>0</v>
      </c>
      <c r="H2643">
        <f t="shared" si="547"/>
        <v>0</v>
      </c>
      <c r="I2643">
        <f t="shared" si="548"/>
        <v>0</v>
      </c>
      <c r="J2643">
        <f t="shared" si="549"/>
        <v>0</v>
      </c>
      <c r="K2643" s="4" t="e">
        <f t="shared" si="539"/>
        <v>#N/A</v>
      </c>
      <c r="L2643" t="e">
        <f t="shared" si="540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1"/>
        <v>0</v>
      </c>
      <c r="B2644">
        <f t="shared" si="542"/>
        <v>0</v>
      </c>
      <c r="C2644">
        <f t="shared" si="543"/>
        <v>0</v>
      </c>
      <c r="D2644">
        <f t="shared" si="544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5"/>
        <v>0</v>
      </c>
      <c r="G2644">
        <f t="shared" si="546"/>
        <v>0</v>
      </c>
      <c r="H2644">
        <f t="shared" si="547"/>
        <v>0</v>
      </c>
      <c r="I2644">
        <f t="shared" si="548"/>
        <v>0</v>
      </c>
      <c r="J2644">
        <f t="shared" si="549"/>
        <v>0</v>
      </c>
      <c r="K2644" s="4" t="e">
        <f t="shared" si="539"/>
        <v>#N/A</v>
      </c>
      <c r="L2644" t="e">
        <f t="shared" si="540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1"/>
        <v>0</v>
      </c>
      <c r="B2645">
        <f t="shared" si="542"/>
        <v>0</v>
      </c>
      <c r="C2645">
        <f t="shared" si="543"/>
        <v>0</v>
      </c>
      <c r="D2645">
        <f t="shared" si="544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5"/>
        <v>0</v>
      </c>
      <c r="G2645">
        <f t="shared" si="546"/>
        <v>0</v>
      </c>
      <c r="H2645">
        <f t="shared" si="547"/>
        <v>0</v>
      </c>
      <c r="I2645">
        <f t="shared" si="548"/>
        <v>0</v>
      </c>
      <c r="J2645">
        <f t="shared" si="549"/>
        <v>0</v>
      </c>
      <c r="K2645" s="4" t="e">
        <f t="shared" si="539"/>
        <v>#N/A</v>
      </c>
      <c r="L2645" t="e">
        <f t="shared" si="540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1"/>
        <v>0</v>
      </c>
      <c r="B2646">
        <f t="shared" si="542"/>
        <v>0</v>
      </c>
      <c r="C2646">
        <f t="shared" si="543"/>
        <v>0</v>
      </c>
      <c r="D2646">
        <f t="shared" si="544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5"/>
        <v>0</v>
      </c>
      <c r="G2646">
        <f t="shared" si="546"/>
        <v>0</v>
      </c>
      <c r="H2646">
        <f t="shared" si="547"/>
        <v>0</v>
      </c>
      <c r="I2646">
        <f t="shared" si="548"/>
        <v>0</v>
      </c>
      <c r="J2646">
        <f t="shared" si="549"/>
        <v>0</v>
      </c>
      <c r="K2646" s="4" t="e">
        <f t="shared" si="539"/>
        <v>#N/A</v>
      </c>
      <c r="L2646" t="e">
        <f t="shared" si="540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1"/>
        <v>0</v>
      </c>
      <c r="B2647">
        <f t="shared" si="542"/>
        <v>0</v>
      </c>
      <c r="C2647">
        <f t="shared" si="543"/>
        <v>0</v>
      </c>
      <c r="D2647">
        <f t="shared" si="544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5"/>
        <v>0</v>
      </c>
      <c r="G2647">
        <f t="shared" si="546"/>
        <v>0</v>
      </c>
      <c r="H2647">
        <f t="shared" si="547"/>
        <v>0</v>
      </c>
      <c r="I2647">
        <f t="shared" si="548"/>
        <v>0</v>
      </c>
      <c r="J2647">
        <f t="shared" si="549"/>
        <v>0</v>
      </c>
      <c r="K2647" s="4" t="e">
        <f t="shared" si="539"/>
        <v>#N/A</v>
      </c>
      <c r="L2647" t="e">
        <f t="shared" si="540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1"/>
        <v>0</v>
      </c>
      <c r="B2648">
        <f t="shared" si="542"/>
        <v>0</v>
      </c>
      <c r="C2648">
        <f t="shared" si="543"/>
        <v>0</v>
      </c>
      <c r="D2648">
        <f t="shared" si="544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5"/>
        <v>0</v>
      </c>
      <c r="G2648">
        <f t="shared" si="546"/>
        <v>0</v>
      </c>
      <c r="H2648">
        <f t="shared" si="547"/>
        <v>0</v>
      </c>
      <c r="I2648">
        <f t="shared" si="548"/>
        <v>0</v>
      </c>
      <c r="J2648">
        <f t="shared" si="549"/>
        <v>0</v>
      </c>
      <c r="K2648" s="4" t="e">
        <f t="shared" si="539"/>
        <v>#N/A</v>
      </c>
      <c r="L2648" t="e">
        <f t="shared" si="540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1"/>
        <v>0</v>
      </c>
      <c r="B2649">
        <f t="shared" si="542"/>
        <v>0</v>
      </c>
      <c r="C2649">
        <f t="shared" si="543"/>
        <v>0</v>
      </c>
      <c r="D2649">
        <f t="shared" si="544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5"/>
        <v>0</v>
      </c>
      <c r="G2649">
        <f t="shared" si="546"/>
        <v>0</v>
      </c>
      <c r="H2649">
        <f t="shared" si="547"/>
        <v>0</v>
      </c>
      <c r="I2649">
        <f t="shared" si="548"/>
        <v>0</v>
      </c>
      <c r="J2649">
        <f t="shared" si="549"/>
        <v>0</v>
      </c>
      <c r="K2649" s="4" t="e">
        <f t="shared" si="539"/>
        <v>#N/A</v>
      </c>
      <c r="L2649" t="e">
        <f t="shared" si="540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1"/>
        <v>0</v>
      </c>
      <c r="B2650">
        <f t="shared" si="542"/>
        <v>0</v>
      </c>
      <c r="C2650">
        <f t="shared" si="543"/>
        <v>0</v>
      </c>
      <c r="D2650">
        <f t="shared" si="544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5"/>
        <v>0</v>
      </c>
      <c r="G2650">
        <f t="shared" si="546"/>
        <v>0</v>
      </c>
      <c r="H2650">
        <f t="shared" si="547"/>
        <v>0</v>
      </c>
      <c r="I2650">
        <f t="shared" si="548"/>
        <v>0</v>
      </c>
      <c r="J2650">
        <f t="shared" si="549"/>
        <v>0</v>
      </c>
      <c r="K2650" s="4" t="e">
        <f t="shared" si="539"/>
        <v>#N/A</v>
      </c>
      <c r="L2650" t="e">
        <f t="shared" si="540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1"/>
        <v>0</v>
      </c>
      <c r="B2651">
        <f t="shared" si="542"/>
        <v>0</v>
      </c>
      <c r="C2651">
        <f t="shared" si="543"/>
        <v>0</v>
      </c>
      <c r="D2651">
        <f t="shared" si="544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5"/>
        <v>0</v>
      </c>
      <c r="G2651">
        <f t="shared" si="546"/>
        <v>0</v>
      </c>
      <c r="H2651">
        <f t="shared" si="547"/>
        <v>0</v>
      </c>
      <c r="I2651">
        <f t="shared" si="548"/>
        <v>0</v>
      </c>
      <c r="J2651">
        <f t="shared" si="549"/>
        <v>0</v>
      </c>
      <c r="K2651" s="4" t="e">
        <f t="shared" si="539"/>
        <v>#N/A</v>
      </c>
      <c r="L2651" t="e">
        <f t="shared" si="540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1"/>
        <v>0</v>
      </c>
      <c r="B2652">
        <f t="shared" si="542"/>
        <v>0</v>
      </c>
      <c r="C2652">
        <f t="shared" si="543"/>
        <v>0</v>
      </c>
      <c r="D2652">
        <f t="shared" si="544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5"/>
        <v>0</v>
      </c>
      <c r="G2652">
        <f t="shared" si="546"/>
        <v>0</v>
      </c>
      <c r="H2652">
        <f t="shared" si="547"/>
        <v>0</v>
      </c>
      <c r="I2652">
        <f t="shared" si="548"/>
        <v>0</v>
      </c>
      <c r="J2652">
        <f t="shared" si="549"/>
        <v>0</v>
      </c>
      <c r="K2652" s="4" t="e">
        <f t="shared" si="539"/>
        <v>#N/A</v>
      </c>
      <c r="L2652" t="e">
        <f t="shared" si="540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1"/>
        <v>0</v>
      </c>
      <c r="B2653">
        <f t="shared" si="542"/>
        <v>0</v>
      </c>
      <c r="C2653">
        <f t="shared" si="543"/>
        <v>0</v>
      </c>
      <c r="D2653">
        <f t="shared" si="544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5"/>
        <v>0</v>
      </c>
      <c r="G2653">
        <f t="shared" si="546"/>
        <v>0</v>
      </c>
      <c r="H2653">
        <f t="shared" si="547"/>
        <v>0</v>
      </c>
      <c r="I2653">
        <f t="shared" si="548"/>
        <v>0</v>
      </c>
      <c r="J2653">
        <f t="shared" si="549"/>
        <v>0</v>
      </c>
      <c r="K2653" s="4" t="e">
        <f t="shared" si="539"/>
        <v>#N/A</v>
      </c>
      <c r="L2653" t="e">
        <f t="shared" si="540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1"/>
        <v>0</v>
      </c>
      <c r="B2654">
        <f t="shared" si="542"/>
        <v>0</v>
      </c>
      <c r="C2654">
        <f t="shared" si="543"/>
        <v>0</v>
      </c>
      <c r="D2654">
        <f t="shared" si="544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5"/>
        <v>0</v>
      </c>
      <c r="G2654">
        <f t="shared" si="546"/>
        <v>0</v>
      </c>
      <c r="H2654">
        <f t="shared" si="547"/>
        <v>0</v>
      </c>
      <c r="I2654">
        <f t="shared" si="548"/>
        <v>0</v>
      </c>
      <c r="J2654">
        <f t="shared" si="549"/>
        <v>0</v>
      </c>
      <c r="K2654" s="4" t="e">
        <f t="shared" si="539"/>
        <v>#N/A</v>
      </c>
      <c r="L2654" t="e">
        <f t="shared" si="540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1"/>
        <v>0</v>
      </c>
      <c r="B2655">
        <f t="shared" si="542"/>
        <v>0</v>
      </c>
      <c r="C2655">
        <f t="shared" si="543"/>
        <v>0</v>
      </c>
      <c r="D2655">
        <f t="shared" si="544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5"/>
        <v>0</v>
      </c>
      <c r="G2655">
        <f t="shared" si="546"/>
        <v>0</v>
      </c>
      <c r="H2655">
        <f t="shared" si="547"/>
        <v>0</v>
      </c>
      <c r="I2655">
        <f t="shared" si="548"/>
        <v>0</v>
      </c>
      <c r="J2655">
        <f t="shared" si="549"/>
        <v>0</v>
      </c>
      <c r="K2655" s="4" t="e">
        <f t="shared" si="539"/>
        <v>#N/A</v>
      </c>
      <c r="L2655" t="e">
        <f t="shared" si="540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1"/>
        <v>0</v>
      </c>
      <c r="B2656">
        <f t="shared" si="542"/>
        <v>0</v>
      </c>
      <c r="C2656">
        <f t="shared" si="543"/>
        <v>0</v>
      </c>
      <c r="D2656">
        <f t="shared" si="544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5"/>
        <v>0</v>
      </c>
      <c r="G2656">
        <f t="shared" si="546"/>
        <v>0</v>
      </c>
      <c r="H2656">
        <f t="shared" si="547"/>
        <v>0</v>
      </c>
      <c r="I2656">
        <f t="shared" si="548"/>
        <v>0</v>
      </c>
      <c r="J2656">
        <f t="shared" si="549"/>
        <v>0</v>
      </c>
      <c r="K2656" s="4" t="e">
        <f t="shared" si="539"/>
        <v>#N/A</v>
      </c>
      <c r="L2656" t="e">
        <f t="shared" si="540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1"/>
        <v>0</v>
      </c>
      <c r="B2657">
        <f t="shared" si="542"/>
        <v>0</v>
      </c>
      <c r="C2657">
        <f t="shared" si="543"/>
        <v>0</v>
      </c>
      <c r="D2657">
        <f t="shared" si="544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5"/>
        <v>0</v>
      </c>
      <c r="G2657">
        <f t="shared" si="546"/>
        <v>0</v>
      </c>
      <c r="H2657">
        <f t="shared" si="547"/>
        <v>0</v>
      </c>
      <c r="I2657">
        <f t="shared" si="548"/>
        <v>0</v>
      </c>
      <c r="J2657">
        <f t="shared" si="549"/>
        <v>0</v>
      </c>
      <c r="K2657" s="4" t="e">
        <f t="shared" si="539"/>
        <v>#N/A</v>
      </c>
      <c r="L2657" t="e">
        <f t="shared" si="540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1"/>
        <v>0</v>
      </c>
      <c r="B2658">
        <f t="shared" si="542"/>
        <v>0</v>
      </c>
      <c r="C2658">
        <f t="shared" si="543"/>
        <v>0</v>
      </c>
      <c r="D2658">
        <f t="shared" si="544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5"/>
        <v>0</v>
      </c>
      <c r="G2658">
        <f t="shared" si="546"/>
        <v>0</v>
      </c>
      <c r="H2658">
        <f t="shared" si="547"/>
        <v>0</v>
      </c>
      <c r="I2658">
        <f t="shared" si="548"/>
        <v>0</v>
      </c>
      <c r="J2658">
        <f t="shared" si="549"/>
        <v>0</v>
      </c>
      <c r="K2658" s="4" t="e">
        <f t="shared" si="539"/>
        <v>#N/A</v>
      </c>
      <c r="L2658" t="e">
        <f t="shared" si="540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1"/>
        <v>0</v>
      </c>
      <c r="B2659">
        <f t="shared" si="542"/>
        <v>0</v>
      </c>
      <c r="C2659">
        <f t="shared" si="543"/>
        <v>0</v>
      </c>
      <c r="D2659">
        <f t="shared" si="544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5"/>
        <v>0</v>
      </c>
      <c r="G2659">
        <f t="shared" si="546"/>
        <v>0</v>
      </c>
      <c r="H2659">
        <f t="shared" si="547"/>
        <v>0</v>
      </c>
      <c r="I2659">
        <f t="shared" si="548"/>
        <v>0</v>
      </c>
      <c r="J2659">
        <f t="shared" si="549"/>
        <v>0</v>
      </c>
      <c r="K2659" s="4" t="e">
        <f t="shared" si="539"/>
        <v>#N/A</v>
      </c>
      <c r="L2659" t="e">
        <f t="shared" si="540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1"/>
        <v>0</v>
      </c>
      <c r="B2660">
        <f t="shared" si="542"/>
        <v>0</v>
      </c>
      <c r="C2660">
        <f t="shared" si="543"/>
        <v>0</v>
      </c>
      <c r="D2660">
        <f t="shared" si="544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5"/>
        <v>0</v>
      </c>
      <c r="G2660">
        <f t="shared" si="546"/>
        <v>0</v>
      </c>
      <c r="H2660">
        <f t="shared" si="547"/>
        <v>0</v>
      </c>
      <c r="I2660">
        <f t="shared" si="548"/>
        <v>0</v>
      </c>
      <c r="J2660">
        <f t="shared" si="549"/>
        <v>0</v>
      </c>
      <c r="K2660" s="4" t="e">
        <f t="shared" si="539"/>
        <v>#N/A</v>
      </c>
      <c r="L2660" t="e">
        <f t="shared" si="540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1"/>
        <v>0</v>
      </c>
      <c r="B2661">
        <f t="shared" si="542"/>
        <v>0</v>
      </c>
      <c r="C2661">
        <f t="shared" si="543"/>
        <v>0</v>
      </c>
      <c r="D2661">
        <f t="shared" si="544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5"/>
        <v>0</v>
      </c>
      <c r="G2661">
        <f t="shared" si="546"/>
        <v>0</v>
      </c>
      <c r="H2661">
        <f t="shared" si="547"/>
        <v>0</v>
      </c>
      <c r="I2661">
        <f t="shared" si="548"/>
        <v>0</v>
      </c>
      <c r="J2661">
        <f t="shared" si="549"/>
        <v>0</v>
      </c>
      <c r="K2661" s="4" t="e">
        <f t="shared" si="539"/>
        <v>#N/A</v>
      </c>
      <c r="L2661" t="e">
        <f t="shared" si="540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1"/>
        <v>0</v>
      </c>
      <c r="B2662">
        <f t="shared" si="542"/>
        <v>0</v>
      </c>
      <c r="C2662">
        <f t="shared" si="543"/>
        <v>0</v>
      </c>
      <c r="D2662">
        <f t="shared" si="544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5"/>
        <v>0</v>
      </c>
      <c r="G2662">
        <f t="shared" si="546"/>
        <v>0</v>
      </c>
      <c r="H2662">
        <f t="shared" si="547"/>
        <v>0</v>
      </c>
      <c r="I2662">
        <f t="shared" si="548"/>
        <v>0</v>
      </c>
      <c r="J2662">
        <f t="shared" si="549"/>
        <v>0</v>
      </c>
      <c r="K2662" s="4" t="e">
        <f t="shared" si="539"/>
        <v>#N/A</v>
      </c>
      <c r="L2662" t="e">
        <f t="shared" si="540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1"/>
        <v>0</v>
      </c>
      <c r="B2663">
        <f t="shared" si="542"/>
        <v>0</v>
      </c>
      <c r="C2663">
        <f t="shared" si="543"/>
        <v>0</v>
      </c>
      <c r="D2663">
        <f t="shared" si="544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5"/>
        <v>0</v>
      </c>
      <c r="G2663">
        <f t="shared" si="546"/>
        <v>0</v>
      </c>
      <c r="H2663">
        <f t="shared" si="547"/>
        <v>0</v>
      </c>
      <c r="I2663">
        <f t="shared" si="548"/>
        <v>0</v>
      </c>
      <c r="J2663">
        <f t="shared" si="549"/>
        <v>0</v>
      </c>
      <c r="K2663" s="4" t="e">
        <f t="shared" si="539"/>
        <v>#N/A</v>
      </c>
      <c r="L2663" t="e">
        <f t="shared" si="540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1"/>
        <v>0</v>
      </c>
      <c r="B2664">
        <f t="shared" si="542"/>
        <v>0</v>
      </c>
      <c r="C2664">
        <f t="shared" si="543"/>
        <v>0</v>
      </c>
      <c r="D2664">
        <f t="shared" si="544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5"/>
        <v>0</v>
      </c>
      <c r="G2664">
        <f t="shared" si="546"/>
        <v>0</v>
      </c>
      <c r="H2664">
        <f t="shared" si="547"/>
        <v>0</v>
      </c>
      <c r="I2664">
        <f t="shared" si="548"/>
        <v>0</v>
      </c>
      <c r="J2664">
        <f t="shared" si="549"/>
        <v>0</v>
      </c>
      <c r="K2664" s="4" t="e">
        <f t="shared" si="539"/>
        <v>#N/A</v>
      </c>
      <c r="L2664" t="e">
        <f t="shared" si="540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1"/>
        <v>0</v>
      </c>
      <c r="B2665">
        <f t="shared" si="542"/>
        <v>0</v>
      </c>
      <c r="C2665">
        <f t="shared" si="543"/>
        <v>0</v>
      </c>
      <c r="D2665">
        <f t="shared" si="544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5"/>
        <v>0</v>
      </c>
      <c r="G2665">
        <f t="shared" si="546"/>
        <v>0</v>
      </c>
      <c r="H2665">
        <f t="shared" si="547"/>
        <v>0</v>
      </c>
      <c r="I2665">
        <f t="shared" si="548"/>
        <v>0</v>
      </c>
      <c r="J2665">
        <f t="shared" si="549"/>
        <v>0</v>
      </c>
      <c r="K2665" s="4" t="e">
        <f t="shared" si="539"/>
        <v>#N/A</v>
      </c>
      <c r="L2665" t="e">
        <f t="shared" si="540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1"/>
        <v>0</v>
      </c>
      <c r="B2666">
        <f t="shared" si="542"/>
        <v>0</v>
      </c>
      <c r="C2666">
        <f t="shared" si="543"/>
        <v>0</v>
      </c>
      <c r="D2666">
        <f t="shared" si="544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5"/>
        <v>0</v>
      </c>
      <c r="G2666">
        <f t="shared" si="546"/>
        <v>0</v>
      </c>
      <c r="H2666">
        <f t="shared" si="547"/>
        <v>0</v>
      </c>
      <c r="I2666">
        <f t="shared" si="548"/>
        <v>0</v>
      </c>
      <c r="J2666">
        <f t="shared" si="549"/>
        <v>0</v>
      </c>
      <c r="K2666" s="4" t="e">
        <f t="shared" si="539"/>
        <v>#N/A</v>
      </c>
      <c r="L2666" t="e">
        <f t="shared" si="540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1"/>
        <v>0</v>
      </c>
      <c r="B2667">
        <f t="shared" si="542"/>
        <v>0</v>
      </c>
      <c r="C2667">
        <f t="shared" si="543"/>
        <v>0</v>
      </c>
      <c r="D2667">
        <f t="shared" si="544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5"/>
        <v>0</v>
      </c>
      <c r="G2667">
        <f t="shared" si="546"/>
        <v>0</v>
      </c>
      <c r="H2667">
        <f t="shared" si="547"/>
        <v>0</v>
      </c>
      <c r="I2667">
        <f t="shared" si="548"/>
        <v>0</v>
      </c>
      <c r="J2667">
        <f t="shared" si="549"/>
        <v>0</v>
      </c>
      <c r="K2667" s="4" t="e">
        <f t="shared" si="539"/>
        <v>#N/A</v>
      </c>
      <c r="L2667" t="e">
        <f t="shared" si="540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1"/>
        <v>0</v>
      </c>
      <c r="B2668">
        <f t="shared" si="542"/>
        <v>0</v>
      </c>
      <c r="C2668">
        <f t="shared" si="543"/>
        <v>0</v>
      </c>
      <c r="D2668">
        <f t="shared" si="544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5"/>
        <v>0</v>
      </c>
      <c r="G2668">
        <f t="shared" si="546"/>
        <v>0</v>
      </c>
      <c r="H2668">
        <f t="shared" si="547"/>
        <v>0</v>
      </c>
      <c r="I2668">
        <f t="shared" si="548"/>
        <v>0</v>
      </c>
      <c r="J2668">
        <f t="shared" si="549"/>
        <v>0</v>
      </c>
      <c r="K2668" s="4" t="e">
        <f t="shared" ref="K2668:K2731" si="552">IF(LEFT(B2668,3)="DBM",0,VLOOKUP(E2668,tabela,2,FALSE))</f>
        <v>#N/A</v>
      </c>
      <c r="L2668" t="e">
        <f t="shared" ref="L2668:L2731" si="553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1"/>
        <v>0</v>
      </c>
      <c r="B2669">
        <f t="shared" si="542"/>
        <v>0</v>
      </c>
      <c r="C2669">
        <f t="shared" si="543"/>
        <v>0</v>
      </c>
      <c r="D2669">
        <f t="shared" si="544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5"/>
        <v>0</v>
      </c>
      <c r="G2669">
        <f t="shared" si="546"/>
        <v>0</v>
      </c>
      <c r="H2669">
        <f t="shared" si="547"/>
        <v>0</v>
      </c>
      <c r="I2669">
        <f t="shared" si="548"/>
        <v>0</v>
      </c>
      <c r="J2669">
        <f t="shared" si="549"/>
        <v>0</v>
      </c>
      <c r="K2669" s="4" t="e">
        <f t="shared" si="552"/>
        <v>#N/A</v>
      </c>
      <c r="L2669" t="e">
        <f t="shared" si="553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1"/>
        <v>0</v>
      </c>
      <c r="B2670">
        <f t="shared" si="542"/>
        <v>0</v>
      </c>
      <c r="C2670">
        <f t="shared" si="543"/>
        <v>0</v>
      </c>
      <c r="D2670">
        <f t="shared" si="544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5"/>
        <v>0</v>
      </c>
      <c r="G2670">
        <f t="shared" si="546"/>
        <v>0</v>
      </c>
      <c r="H2670">
        <f t="shared" si="547"/>
        <v>0</v>
      </c>
      <c r="I2670">
        <f t="shared" si="548"/>
        <v>0</v>
      </c>
      <c r="J2670">
        <f t="shared" si="549"/>
        <v>0</v>
      </c>
      <c r="K2670" s="4" t="e">
        <f t="shared" si="552"/>
        <v>#N/A</v>
      </c>
      <c r="L2670" t="e">
        <f t="shared" si="553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1"/>
        <v>0</v>
      </c>
      <c r="B2671">
        <f t="shared" si="542"/>
        <v>0</v>
      </c>
      <c r="C2671">
        <f t="shared" si="543"/>
        <v>0</v>
      </c>
      <c r="D2671">
        <f t="shared" si="544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5"/>
        <v>0</v>
      </c>
      <c r="G2671">
        <f t="shared" si="546"/>
        <v>0</v>
      </c>
      <c r="H2671">
        <f t="shared" si="547"/>
        <v>0</v>
      </c>
      <c r="I2671">
        <f t="shared" si="548"/>
        <v>0</v>
      </c>
      <c r="J2671">
        <f t="shared" si="549"/>
        <v>0</v>
      </c>
      <c r="K2671" s="4" t="e">
        <f t="shared" si="552"/>
        <v>#N/A</v>
      </c>
      <c r="L2671" t="e">
        <f t="shared" si="553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1"/>
        <v>0</v>
      </c>
      <c r="B2672">
        <f t="shared" si="542"/>
        <v>0</v>
      </c>
      <c r="C2672">
        <f t="shared" si="543"/>
        <v>0</v>
      </c>
      <c r="D2672">
        <f t="shared" si="544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5"/>
        <v>0</v>
      </c>
      <c r="G2672">
        <f t="shared" si="546"/>
        <v>0</v>
      </c>
      <c r="H2672">
        <f t="shared" si="547"/>
        <v>0</v>
      </c>
      <c r="I2672">
        <f t="shared" si="548"/>
        <v>0</v>
      </c>
      <c r="J2672">
        <f t="shared" si="549"/>
        <v>0</v>
      </c>
      <c r="K2672" s="4" t="e">
        <f t="shared" si="552"/>
        <v>#N/A</v>
      </c>
      <c r="L2672" t="e">
        <f t="shared" si="553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1"/>
        <v>0</v>
      </c>
      <c r="B2673">
        <f t="shared" si="542"/>
        <v>0</v>
      </c>
      <c r="C2673">
        <f t="shared" si="543"/>
        <v>0</v>
      </c>
      <c r="D2673">
        <f t="shared" si="544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5"/>
        <v>0</v>
      </c>
      <c r="G2673">
        <f t="shared" si="546"/>
        <v>0</v>
      </c>
      <c r="H2673">
        <f t="shared" si="547"/>
        <v>0</v>
      </c>
      <c r="I2673">
        <f t="shared" si="548"/>
        <v>0</v>
      </c>
      <c r="J2673">
        <f t="shared" si="549"/>
        <v>0</v>
      </c>
      <c r="K2673" s="4" t="e">
        <f t="shared" si="552"/>
        <v>#N/A</v>
      </c>
      <c r="L2673" t="e">
        <f t="shared" si="553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1"/>
        <v>0</v>
      </c>
      <c r="B2674">
        <f t="shared" si="542"/>
        <v>0</v>
      </c>
      <c r="C2674">
        <f t="shared" si="543"/>
        <v>0</v>
      </c>
      <c r="D2674">
        <f t="shared" si="544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5"/>
        <v>0</v>
      </c>
      <c r="G2674">
        <f t="shared" si="546"/>
        <v>0</v>
      </c>
      <c r="H2674">
        <f t="shared" si="547"/>
        <v>0</v>
      </c>
      <c r="I2674">
        <f t="shared" si="548"/>
        <v>0</v>
      </c>
      <c r="J2674">
        <f t="shared" si="549"/>
        <v>0</v>
      </c>
      <c r="K2674" s="4" t="e">
        <f t="shared" si="552"/>
        <v>#N/A</v>
      </c>
      <c r="L2674" t="e">
        <f t="shared" si="553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1"/>
        <v>0</v>
      </c>
      <c r="B2675">
        <f t="shared" si="542"/>
        <v>0</v>
      </c>
      <c r="C2675">
        <f t="shared" si="543"/>
        <v>0</v>
      </c>
      <c r="D2675">
        <f t="shared" si="544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5"/>
        <v>0</v>
      </c>
      <c r="G2675">
        <f t="shared" si="546"/>
        <v>0</v>
      </c>
      <c r="H2675">
        <f t="shared" si="547"/>
        <v>0</v>
      </c>
      <c r="I2675">
        <f t="shared" si="548"/>
        <v>0</v>
      </c>
      <c r="J2675">
        <f t="shared" si="549"/>
        <v>0</v>
      </c>
      <c r="K2675" s="4" t="e">
        <f t="shared" si="552"/>
        <v>#N/A</v>
      </c>
      <c r="L2675" t="e">
        <f t="shared" si="553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1"/>
        <v>0</v>
      </c>
      <c r="B2676">
        <f t="shared" si="542"/>
        <v>0</v>
      </c>
      <c r="C2676">
        <f t="shared" si="543"/>
        <v>0</v>
      </c>
      <c r="D2676">
        <f t="shared" si="544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5"/>
        <v>0</v>
      </c>
      <c r="G2676">
        <f t="shared" si="546"/>
        <v>0</v>
      </c>
      <c r="H2676">
        <f t="shared" si="547"/>
        <v>0</v>
      </c>
      <c r="I2676">
        <f t="shared" si="548"/>
        <v>0</v>
      </c>
      <c r="J2676">
        <f t="shared" si="549"/>
        <v>0</v>
      </c>
      <c r="K2676" s="4" t="e">
        <f t="shared" si="552"/>
        <v>#N/A</v>
      </c>
      <c r="L2676" t="e">
        <f t="shared" si="553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1"/>
        <v>0</v>
      </c>
      <c r="B2677">
        <f t="shared" si="542"/>
        <v>0</v>
      </c>
      <c r="C2677">
        <f t="shared" si="543"/>
        <v>0</v>
      </c>
      <c r="D2677">
        <f t="shared" si="544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5"/>
        <v>0</v>
      </c>
      <c r="G2677">
        <f t="shared" si="546"/>
        <v>0</v>
      </c>
      <c r="H2677">
        <f t="shared" si="547"/>
        <v>0</v>
      </c>
      <c r="I2677">
        <f t="shared" si="548"/>
        <v>0</v>
      </c>
      <c r="J2677">
        <f t="shared" si="549"/>
        <v>0</v>
      </c>
      <c r="K2677" s="4" t="e">
        <f t="shared" si="552"/>
        <v>#N/A</v>
      </c>
      <c r="L2677" t="e">
        <f t="shared" si="553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1"/>
        <v>0</v>
      </c>
      <c r="B2678">
        <f t="shared" si="542"/>
        <v>0</v>
      </c>
      <c r="C2678">
        <f t="shared" si="543"/>
        <v>0</v>
      </c>
      <c r="D2678">
        <f t="shared" si="544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5"/>
        <v>0</v>
      </c>
      <c r="G2678">
        <f t="shared" si="546"/>
        <v>0</v>
      </c>
      <c r="H2678">
        <f t="shared" si="547"/>
        <v>0</v>
      </c>
      <c r="I2678">
        <f t="shared" si="548"/>
        <v>0</v>
      </c>
      <c r="J2678">
        <f t="shared" si="549"/>
        <v>0</v>
      </c>
      <c r="K2678" s="4" t="e">
        <f t="shared" si="552"/>
        <v>#N/A</v>
      </c>
      <c r="L2678" t="e">
        <f t="shared" si="553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1"/>
        <v>0</v>
      </c>
      <c r="B2679">
        <f t="shared" si="542"/>
        <v>0</v>
      </c>
      <c r="C2679">
        <f t="shared" si="543"/>
        <v>0</v>
      </c>
      <c r="D2679">
        <f t="shared" si="544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5"/>
        <v>0</v>
      </c>
      <c r="G2679">
        <f t="shared" si="546"/>
        <v>0</v>
      </c>
      <c r="H2679">
        <f t="shared" si="547"/>
        <v>0</v>
      </c>
      <c r="I2679">
        <f t="shared" si="548"/>
        <v>0</v>
      </c>
      <c r="J2679">
        <f t="shared" si="549"/>
        <v>0</v>
      </c>
      <c r="K2679" s="4" t="e">
        <f t="shared" si="552"/>
        <v>#N/A</v>
      </c>
      <c r="L2679" t="e">
        <f t="shared" si="553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1"/>
        <v>0</v>
      </c>
      <c r="B2680">
        <f t="shared" si="542"/>
        <v>0</v>
      </c>
      <c r="C2680">
        <f t="shared" si="543"/>
        <v>0</v>
      </c>
      <c r="D2680">
        <f t="shared" si="544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5"/>
        <v>0</v>
      </c>
      <c r="G2680">
        <f t="shared" si="546"/>
        <v>0</v>
      </c>
      <c r="H2680">
        <f t="shared" si="547"/>
        <v>0</v>
      </c>
      <c r="I2680">
        <f t="shared" si="548"/>
        <v>0</v>
      </c>
      <c r="J2680">
        <f t="shared" si="549"/>
        <v>0</v>
      </c>
      <c r="K2680" s="4" t="e">
        <f t="shared" si="552"/>
        <v>#N/A</v>
      </c>
      <c r="L2680" t="e">
        <f t="shared" si="553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1"/>
        <v>0</v>
      </c>
      <c r="B2681">
        <f t="shared" si="542"/>
        <v>0</v>
      </c>
      <c r="C2681">
        <f t="shared" si="543"/>
        <v>0</v>
      </c>
      <c r="D2681">
        <f t="shared" si="544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5"/>
        <v>0</v>
      </c>
      <c r="G2681">
        <f t="shared" si="546"/>
        <v>0</v>
      </c>
      <c r="H2681">
        <f t="shared" si="547"/>
        <v>0</v>
      </c>
      <c r="I2681">
        <f t="shared" si="548"/>
        <v>0</v>
      </c>
      <c r="J2681">
        <f t="shared" si="549"/>
        <v>0</v>
      </c>
      <c r="K2681" s="4" t="e">
        <f t="shared" si="552"/>
        <v>#N/A</v>
      </c>
      <c r="L2681" t="e">
        <f t="shared" si="553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1"/>
        <v>0</v>
      </c>
      <c r="B2682">
        <f t="shared" si="542"/>
        <v>0</v>
      </c>
      <c r="C2682">
        <f t="shared" si="543"/>
        <v>0</v>
      </c>
      <c r="D2682">
        <f t="shared" si="544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5"/>
        <v>0</v>
      </c>
      <c r="G2682">
        <f t="shared" si="546"/>
        <v>0</v>
      </c>
      <c r="H2682">
        <f t="shared" si="547"/>
        <v>0</v>
      </c>
      <c r="I2682">
        <f t="shared" si="548"/>
        <v>0</v>
      </c>
      <c r="J2682">
        <f t="shared" si="549"/>
        <v>0</v>
      </c>
      <c r="K2682" s="4" t="e">
        <f t="shared" si="552"/>
        <v>#N/A</v>
      </c>
      <c r="L2682" t="e">
        <f t="shared" si="553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1"/>
        <v>0</v>
      </c>
      <c r="B2683">
        <f t="shared" si="542"/>
        <v>0</v>
      </c>
      <c r="C2683">
        <f t="shared" si="543"/>
        <v>0</v>
      </c>
      <c r="D2683">
        <f t="shared" si="544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5"/>
        <v>0</v>
      </c>
      <c r="G2683">
        <f t="shared" si="546"/>
        <v>0</v>
      </c>
      <c r="H2683">
        <f t="shared" si="547"/>
        <v>0</v>
      </c>
      <c r="I2683">
        <f t="shared" si="548"/>
        <v>0</v>
      </c>
      <c r="J2683">
        <f t="shared" si="549"/>
        <v>0</v>
      </c>
      <c r="K2683" s="4" t="e">
        <f t="shared" si="552"/>
        <v>#N/A</v>
      </c>
      <c r="L2683" t="e">
        <f t="shared" si="553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1"/>
        <v>0</v>
      </c>
      <c r="B2684">
        <f t="shared" si="542"/>
        <v>0</v>
      </c>
      <c r="C2684">
        <f t="shared" si="543"/>
        <v>0</v>
      </c>
      <c r="D2684">
        <f t="shared" si="544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5"/>
        <v>0</v>
      </c>
      <c r="G2684">
        <f t="shared" si="546"/>
        <v>0</v>
      </c>
      <c r="H2684">
        <f t="shared" si="547"/>
        <v>0</v>
      </c>
      <c r="I2684">
        <f t="shared" si="548"/>
        <v>0</v>
      </c>
      <c r="J2684">
        <f t="shared" si="549"/>
        <v>0</v>
      </c>
      <c r="K2684" s="4" t="e">
        <f t="shared" si="552"/>
        <v>#N/A</v>
      </c>
      <c r="L2684" t="e">
        <f t="shared" si="553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1"/>
        <v>0</v>
      </c>
      <c r="B2685">
        <f t="shared" si="542"/>
        <v>0</v>
      </c>
      <c r="C2685">
        <f t="shared" si="543"/>
        <v>0</v>
      </c>
      <c r="D2685">
        <f t="shared" si="544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5"/>
        <v>0</v>
      </c>
      <c r="G2685">
        <f t="shared" si="546"/>
        <v>0</v>
      </c>
      <c r="H2685">
        <f t="shared" si="547"/>
        <v>0</v>
      </c>
      <c r="I2685">
        <f t="shared" si="548"/>
        <v>0</v>
      </c>
      <c r="J2685">
        <f t="shared" si="549"/>
        <v>0</v>
      </c>
      <c r="K2685" s="4" t="e">
        <f t="shared" si="552"/>
        <v>#N/A</v>
      </c>
      <c r="L2685" t="e">
        <f t="shared" si="553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1"/>
        <v>0</v>
      </c>
      <c r="B2686">
        <f t="shared" si="542"/>
        <v>0</v>
      </c>
      <c r="C2686">
        <f t="shared" si="543"/>
        <v>0</v>
      </c>
      <c r="D2686">
        <f t="shared" si="544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5"/>
        <v>0</v>
      </c>
      <c r="G2686">
        <f t="shared" si="546"/>
        <v>0</v>
      </c>
      <c r="H2686">
        <f t="shared" si="547"/>
        <v>0</v>
      </c>
      <c r="I2686">
        <f t="shared" si="548"/>
        <v>0</v>
      </c>
      <c r="J2686">
        <f t="shared" si="549"/>
        <v>0</v>
      </c>
      <c r="K2686" s="4" t="e">
        <f t="shared" si="552"/>
        <v>#N/A</v>
      </c>
      <c r="L2686" t="e">
        <f t="shared" si="553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1"/>
        <v>0</v>
      </c>
      <c r="B2687">
        <f t="shared" si="542"/>
        <v>0</v>
      </c>
      <c r="C2687">
        <f t="shared" si="543"/>
        <v>0</v>
      </c>
      <c r="D2687">
        <f t="shared" si="544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5"/>
        <v>0</v>
      </c>
      <c r="G2687">
        <f t="shared" si="546"/>
        <v>0</v>
      </c>
      <c r="H2687">
        <f t="shared" si="547"/>
        <v>0</v>
      </c>
      <c r="I2687">
        <f t="shared" si="548"/>
        <v>0</v>
      </c>
      <c r="J2687">
        <f t="shared" si="549"/>
        <v>0</v>
      </c>
      <c r="K2687" s="4" t="e">
        <f t="shared" si="552"/>
        <v>#N/A</v>
      </c>
      <c r="L2687" t="e">
        <f t="shared" si="553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1"/>
        <v>0</v>
      </c>
      <c r="B2688">
        <f t="shared" si="542"/>
        <v>0</v>
      </c>
      <c r="C2688">
        <f t="shared" si="543"/>
        <v>0</v>
      </c>
      <c r="D2688">
        <f t="shared" si="544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5"/>
        <v>0</v>
      </c>
      <c r="G2688">
        <f t="shared" si="546"/>
        <v>0</v>
      </c>
      <c r="H2688">
        <f t="shared" si="547"/>
        <v>0</v>
      </c>
      <c r="I2688">
        <f t="shared" si="548"/>
        <v>0</v>
      </c>
      <c r="J2688">
        <f t="shared" si="549"/>
        <v>0</v>
      </c>
      <c r="K2688" s="4" t="e">
        <f t="shared" si="552"/>
        <v>#N/A</v>
      </c>
      <c r="L2688" t="e">
        <f t="shared" si="553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1"/>
        <v>0</v>
      </c>
      <c r="B2689">
        <f t="shared" si="542"/>
        <v>0</v>
      </c>
      <c r="C2689">
        <f t="shared" si="543"/>
        <v>0</v>
      </c>
      <c r="D2689">
        <f t="shared" si="544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5"/>
        <v>0</v>
      </c>
      <c r="G2689">
        <f t="shared" si="546"/>
        <v>0</v>
      </c>
      <c r="H2689">
        <f t="shared" si="547"/>
        <v>0</v>
      </c>
      <c r="I2689">
        <f t="shared" si="548"/>
        <v>0</v>
      </c>
      <c r="J2689">
        <f t="shared" si="549"/>
        <v>0</v>
      </c>
      <c r="K2689" s="4" t="e">
        <f t="shared" si="552"/>
        <v>#N/A</v>
      </c>
      <c r="L2689" t="e">
        <f t="shared" si="553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4">bd_campaign</f>
        <v>0</v>
      </c>
      <c r="B2690">
        <f t="shared" ref="B2690:B2753" si="555">bd_site</f>
        <v>0</v>
      </c>
      <c r="C2690">
        <f t="shared" ref="C2690:C2753" si="556">bd_placement</f>
        <v>0</v>
      </c>
      <c r="D2690">
        <f t="shared" ref="D2690:D2753" si="557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8">bd_ad</f>
        <v>0</v>
      </c>
      <c r="G2690">
        <f t="shared" ref="G2690:G2753" si="559">bd_adid</f>
        <v>0</v>
      </c>
      <c r="H2690">
        <f t="shared" ref="H2690:H2753" si="560">bd_creativetype</f>
        <v>0</v>
      </c>
      <c r="I2690">
        <f t="shared" ref="I2690:I2753" si="561">bd_impression</f>
        <v>0</v>
      </c>
      <c r="J2690">
        <f t="shared" ref="J2690:J2753" si="562">bd_clicks</f>
        <v>0</v>
      </c>
      <c r="K2690" s="4" t="e">
        <f t="shared" si="552"/>
        <v>#N/A</v>
      </c>
      <c r="L2690" t="e">
        <f t="shared" si="553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4"/>
        <v>0</v>
      </c>
      <c r="B2691">
        <f t="shared" si="555"/>
        <v>0</v>
      </c>
      <c r="C2691">
        <f t="shared" si="556"/>
        <v>0</v>
      </c>
      <c r="D2691">
        <f t="shared" si="557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8"/>
        <v>0</v>
      </c>
      <c r="G2691">
        <f t="shared" si="559"/>
        <v>0</v>
      </c>
      <c r="H2691">
        <f t="shared" si="560"/>
        <v>0</v>
      </c>
      <c r="I2691">
        <f t="shared" si="561"/>
        <v>0</v>
      </c>
      <c r="J2691">
        <f t="shared" si="562"/>
        <v>0</v>
      </c>
      <c r="K2691" s="4" t="e">
        <f t="shared" si="552"/>
        <v>#N/A</v>
      </c>
      <c r="L2691" t="e">
        <f t="shared" si="553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4"/>
        <v>0</v>
      </c>
      <c r="B2692">
        <f t="shared" si="555"/>
        <v>0</v>
      </c>
      <c r="C2692">
        <f t="shared" si="556"/>
        <v>0</v>
      </c>
      <c r="D2692">
        <f t="shared" si="557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8"/>
        <v>0</v>
      </c>
      <c r="G2692">
        <f t="shared" si="559"/>
        <v>0</v>
      </c>
      <c r="H2692">
        <f t="shared" si="560"/>
        <v>0</v>
      </c>
      <c r="I2692">
        <f t="shared" si="561"/>
        <v>0</v>
      </c>
      <c r="J2692">
        <f t="shared" si="562"/>
        <v>0</v>
      </c>
      <c r="K2692" s="4" t="e">
        <f t="shared" si="552"/>
        <v>#N/A</v>
      </c>
      <c r="L2692" t="e">
        <f t="shared" si="553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4"/>
        <v>0</v>
      </c>
      <c r="B2693">
        <f t="shared" si="555"/>
        <v>0</v>
      </c>
      <c r="C2693">
        <f t="shared" si="556"/>
        <v>0</v>
      </c>
      <c r="D2693">
        <f t="shared" si="557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8"/>
        <v>0</v>
      </c>
      <c r="G2693">
        <f t="shared" si="559"/>
        <v>0</v>
      </c>
      <c r="H2693">
        <f t="shared" si="560"/>
        <v>0</v>
      </c>
      <c r="I2693">
        <f t="shared" si="561"/>
        <v>0</v>
      </c>
      <c r="J2693">
        <f t="shared" si="562"/>
        <v>0</v>
      </c>
      <c r="K2693" s="4" t="e">
        <f t="shared" si="552"/>
        <v>#N/A</v>
      </c>
      <c r="L2693" t="e">
        <f t="shared" si="553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4"/>
        <v>0</v>
      </c>
      <c r="B2694">
        <f t="shared" si="555"/>
        <v>0</v>
      </c>
      <c r="C2694">
        <f t="shared" si="556"/>
        <v>0</v>
      </c>
      <c r="D2694">
        <f t="shared" si="557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8"/>
        <v>0</v>
      </c>
      <c r="G2694">
        <f t="shared" si="559"/>
        <v>0</v>
      </c>
      <c r="H2694">
        <f t="shared" si="560"/>
        <v>0</v>
      </c>
      <c r="I2694">
        <f t="shared" si="561"/>
        <v>0</v>
      </c>
      <c r="J2694">
        <f t="shared" si="562"/>
        <v>0</v>
      </c>
      <c r="K2694" s="4" t="e">
        <f t="shared" si="552"/>
        <v>#N/A</v>
      </c>
      <c r="L2694" t="e">
        <f t="shared" si="553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4"/>
        <v>0</v>
      </c>
      <c r="B2695">
        <f t="shared" si="555"/>
        <v>0</v>
      </c>
      <c r="C2695">
        <f t="shared" si="556"/>
        <v>0</v>
      </c>
      <c r="D2695">
        <f t="shared" si="557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8"/>
        <v>0</v>
      </c>
      <c r="G2695">
        <f t="shared" si="559"/>
        <v>0</v>
      </c>
      <c r="H2695">
        <f t="shared" si="560"/>
        <v>0</v>
      </c>
      <c r="I2695">
        <f t="shared" si="561"/>
        <v>0</v>
      </c>
      <c r="J2695">
        <f t="shared" si="562"/>
        <v>0</v>
      </c>
      <c r="K2695" s="4" t="e">
        <f t="shared" si="552"/>
        <v>#N/A</v>
      </c>
      <c r="L2695" t="e">
        <f t="shared" si="553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4"/>
        <v>0</v>
      </c>
      <c r="B2696">
        <f t="shared" si="555"/>
        <v>0</v>
      </c>
      <c r="C2696">
        <f t="shared" si="556"/>
        <v>0</v>
      </c>
      <c r="D2696">
        <f t="shared" si="557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8"/>
        <v>0</v>
      </c>
      <c r="G2696">
        <f t="shared" si="559"/>
        <v>0</v>
      </c>
      <c r="H2696">
        <f t="shared" si="560"/>
        <v>0</v>
      </c>
      <c r="I2696">
        <f t="shared" si="561"/>
        <v>0</v>
      </c>
      <c r="J2696">
        <f t="shared" si="562"/>
        <v>0</v>
      </c>
      <c r="K2696" s="4" t="e">
        <f t="shared" si="552"/>
        <v>#N/A</v>
      </c>
      <c r="L2696" t="e">
        <f t="shared" si="553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4"/>
        <v>0</v>
      </c>
      <c r="B2697">
        <f t="shared" si="555"/>
        <v>0</v>
      </c>
      <c r="C2697">
        <f t="shared" si="556"/>
        <v>0</v>
      </c>
      <c r="D2697">
        <f t="shared" si="557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8"/>
        <v>0</v>
      </c>
      <c r="G2697">
        <f t="shared" si="559"/>
        <v>0</v>
      </c>
      <c r="H2697">
        <f t="shared" si="560"/>
        <v>0</v>
      </c>
      <c r="I2697">
        <f t="shared" si="561"/>
        <v>0</v>
      </c>
      <c r="J2697">
        <f t="shared" si="562"/>
        <v>0</v>
      </c>
      <c r="K2697" s="4" t="e">
        <f t="shared" si="552"/>
        <v>#N/A</v>
      </c>
      <c r="L2697" t="e">
        <f t="shared" si="553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4"/>
        <v>0</v>
      </c>
      <c r="B2698">
        <f t="shared" si="555"/>
        <v>0</v>
      </c>
      <c r="C2698">
        <f t="shared" si="556"/>
        <v>0</v>
      </c>
      <c r="D2698">
        <f t="shared" si="557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8"/>
        <v>0</v>
      </c>
      <c r="G2698">
        <f t="shared" si="559"/>
        <v>0</v>
      </c>
      <c r="H2698">
        <f t="shared" si="560"/>
        <v>0</v>
      </c>
      <c r="I2698">
        <f t="shared" si="561"/>
        <v>0</v>
      </c>
      <c r="J2698">
        <f t="shared" si="562"/>
        <v>0</v>
      </c>
      <c r="K2698" s="4" t="e">
        <f t="shared" si="552"/>
        <v>#N/A</v>
      </c>
      <c r="L2698" t="e">
        <f t="shared" si="553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4"/>
        <v>0</v>
      </c>
      <c r="B2699">
        <f t="shared" si="555"/>
        <v>0</v>
      </c>
      <c r="C2699">
        <f t="shared" si="556"/>
        <v>0</v>
      </c>
      <c r="D2699">
        <f t="shared" si="557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8"/>
        <v>0</v>
      </c>
      <c r="G2699">
        <f t="shared" si="559"/>
        <v>0</v>
      </c>
      <c r="H2699">
        <f t="shared" si="560"/>
        <v>0</v>
      </c>
      <c r="I2699">
        <f t="shared" si="561"/>
        <v>0</v>
      </c>
      <c r="J2699">
        <f t="shared" si="562"/>
        <v>0</v>
      </c>
      <c r="K2699" s="4" t="e">
        <f t="shared" si="552"/>
        <v>#N/A</v>
      </c>
      <c r="L2699" t="e">
        <f t="shared" si="553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4"/>
        <v>0</v>
      </c>
      <c r="B2700">
        <f t="shared" si="555"/>
        <v>0</v>
      </c>
      <c r="C2700">
        <f t="shared" si="556"/>
        <v>0</v>
      </c>
      <c r="D2700">
        <f t="shared" si="557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8"/>
        <v>0</v>
      </c>
      <c r="G2700">
        <f t="shared" si="559"/>
        <v>0</v>
      </c>
      <c r="H2700">
        <f t="shared" si="560"/>
        <v>0</v>
      </c>
      <c r="I2700">
        <f t="shared" si="561"/>
        <v>0</v>
      </c>
      <c r="J2700">
        <f t="shared" si="562"/>
        <v>0</v>
      </c>
      <c r="K2700" s="4" t="e">
        <f t="shared" si="552"/>
        <v>#N/A</v>
      </c>
      <c r="L2700" t="e">
        <f t="shared" si="553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4"/>
        <v>0</v>
      </c>
      <c r="B2701">
        <f t="shared" si="555"/>
        <v>0</v>
      </c>
      <c r="C2701">
        <f t="shared" si="556"/>
        <v>0</v>
      </c>
      <c r="D2701">
        <f t="shared" si="557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8"/>
        <v>0</v>
      </c>
      <c r="G2701">
        <f t="shared" si="559"/>
        <v>0</v>
      </c>
      <c r="H2701">
        <f t="shared" si="560"/>
        <v>0</v>
      </c>
      <c r="I2701">
        <f t="shared" si="561"/>
        <v>0</v>
      </c>
      <c r="J2701">
        <f t="shared" si="562"/>
        <v>0</v>
      </c>
      <c r="K2701" s="4" t="e">
        <f t="shared" si="552"/>
        <v>#N/A</v>
      </c>
      <c r="L2701" t="e">
        <f t="shared" si="553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4"/>
        <v>0</v>
      </c>
      <c r="B2702">
        <f t="shared" si="555"/>
        <v>0</v>
      </c>
      <c r="C2702">
        <f t="shared" si="556"/>
        <v>0</v>
      </c>
      <c r="D2702">
        <f t="shared" si="557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8"/>
        <v>0</v>
      </c>
      <c r="G2702">
        <f t="shared" si="559"/>
        <v>0</v>
      </c>
      <c r="H2702">
        <f t="shared" si="560"/>
        <v>0</v>
      </c>
      <c r="I2702">
        <f t="shared" si="561"/>
        <v>0</v>
      </c>
      <c r="J2702">
        <f t="shared" si="562"/>
        <v>0</v>
      </c>
      <c r="K2702" s="4" t="e">
        <f t="shared" si="552"/>
        <v>#N/A</v>
      </c>
      <c r="L2702" t="e">
        <f t="shared" si="553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4"/>
        <v>0</v>
      </c>
      <c r="B2703">
        <f t="shared" si="555"/>
        <v>0</v>
      </c>
      <c r="C2703">
        <f t="shared" si="556"/>
        <v>0</v>
      </c>
      <c r="D2703">
        <f t="shared" si="557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8"/>
        <v>0</v>
      </c>
      <c r="G2703">
        <f t="shared" si="559"/>
        <v>0</v>
      </c>
      <c r="H2703">
        <f t="shared" si="560"/>
        <v>0</v>
      </c>
      <c r="I2703">
        <f t="shared" si="561"/>
        <v>0</v>
      </c>
      <c r="J2703">
        <f t="shared" si="562"/>
        <v>0</v>
      </c>
      <c r="K2703" s="4" t="e">
        <f t="shared" si="552"/>
        <v>#N/A</v>
      </c>
      <c r="L2703" t="e">
        <f t="shared" si="553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4"/>
        <v>0</v>
      </c>
      <c r="B2704">
        <f t="shared" si="555"/>
        <v>0</v>
      </c>
      <c r="C2704">
        <f t="shared" si="556"/>
        <v>0</v>
      </c>
      <c r="D2704">
        <f t="shared" si="557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8"/>
        <v>0</v>
      </c>
      <c r="G2704">
        <f t="shared" si="559"/>
        <v>0</v>
      </c>
      <c r="H2704">
        <f t="shared" si="560"/>
        <v>0</v>
      </c>
      <c r="I2704">
        <f t="shared" si="561"/>
        <v>0</v>
      </c>
      <c r="J2704">
        <f t="shared" si="562"/>
        <v>0</v>
      </c>
      <c r="K2704" s="4" t="e">
        <f t="shared" si="552"/>
        <v>#N/A</v>
      </c>
      <c r="L2704" t="e">
        <f t="shared" si="553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4"/>
        <v>0</v>
      </c>
      <c r="B2705">
        <f t="shared" si="555"/>
        <v>0</v>
      </c>
      <c r="C2705">
        <f t="shared" si="556"/>
        <v>0</v>
      </c>
      <c r="D2705">
        <f t="shared" si="557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8"/>
        <v>0</v>
      </c>
      <c r="G2705">
        <f t="shared" si="559"/>
        <v>0</v>
      </c>
      <c r="H2705">
        <f t="shared" si="560"/>
        <v>0</v>
      </c>
      <c r="I2705">
        <f t="shared" si="561"/>
        <v>0</v>
      </c>
      <c r="J2705">
        <f t="shared" si="562"/>
        <v>0</v>
      </c>
      <c r="K2705" s="4" t="e">
        <f t="shared" si="552"/>
        <v>#N/A</v>
      </c>
      <c r="L2705" t="e">
        <f t="shared" si="553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4"/>
        <v>0</v>
      </c>
      <c r="B2706">
        <f t="shared" si="555"/>
        <v>0</v>
      </c>
      <c r="C2706">
        <f t="shared" si="556"/>
        <v>0</v>
      </c>
      <c r="D2706">
        <f t="shared" si="557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8"/>
        <v>0</v>
      </c>
      <c r="G2706">
        <f t="shared" si="559"/>
        <v>0</v>
      </c>
      <c r="H2706">
        <f t="shared" si="560"/>
        <v>0</v>
      </c>
      <c r="I2706">
        <f t="shared" si="561"/>
        <v>0</v>
      </c>
      <c r="J2706">
        <f t="shared" si="562"/>
        <v>0</v>
      </c>
      <c r="K2706" s="4" t="e">
        <f t="shared" si="552"/>
        <v>#N/A</v>
      </c>
      <c r="L2706" t="e">
        <f t="shared" si="553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4"/>
        <v>0</v>
      </c>
      <c r="B2707">
        <f t="shared" si="555"/>
        <v>0</v>
      </c>
      <c r="C2707">
        <f t="shared" si="556"/>
        <v>0</v>
      </c>
      <c r="D2707">
        <f t="shared" si="557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8"/>
        <v>0</v>
      </c>
      <c r="G2707">
        <f t="shared" si="559"/>
        <v>0</v>
      </c>
      <c r="H2707">
        <f t="shared" si="560"/>
        <v>0</v>
      </c>
      <c r="I2707">
        <f t="shared" si="561"/>
        <v>0</v>
      </c>
      <c r="J2707">
        <f t="shared" si="562"/>
        <v>0</v>
      </c>
      <c r="K2707" s="4" t="e">
        <f t="shared" si="552"/>
        <v>#N/A</v>
      </c>
      <c r="L2707" t="e">
        <f t="shared" si="553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4"/>
        <v>0</v>
      </c>
      <c r="B2708">
        <f t="shared" si="555"/>
        <v>0</v>
      </c>
      <c r="C2708">
        <f t="shared" si="556"/>
        <v>0</v>
      </c>
      <c r="D2708">
        <f t="shared" si="557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8"/>
        <v>0</v>
      </c>
      <c r="G2708">
        <f t="shared" si="559"/>
        <v>0</v>
      </c>
      <c r="H2708">
        <f t="shared" si="560"/>
        <v>0</v>
      </c>
      <c r="I2708">
        <f t="shared" si="561"/>
        <v>0</v>
      </c>
      <c r="J2708">
        <f t="shared" si="562"/>
        <v>0</v>
      </c>
      <c r="K2708" s="4" t="e">
        <f t="shared" si="552"/>
        <v>#N/A</v>
      </c>
      <c r="L2708" t="e">
        <f t="shared" si="553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4"/>
        <v>0</v>
      </c>
      <c r="B2709">
        <f t="shared" si="555"/>
        <v>0</v>
      </c>
      <c r="C2709">
        <f t="shared" si="556"/>
        <v>0</v>
      </c>
      <c r="D2709">
        <f t="shared" si="557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8"/>
        <v>0</v>
      </c>
      <c r="G2709">
        <f t="shared" si="559"/>
        <v>0</v>
      </c>
      <c r="H2709">
        <f t="shared" si="560"/>
        <v>0</v>
      </c>
      <c r="I2709">
        <f t="shared" si="561"/>
        <v>0</v>
      </c>
      <c r="J2709">
        <f t="shared" si="562"/>
        <v>0</v>
      </c>
      <c r="K2709" s="4" t="e">
        <f t="shared" si="552"/>
        <v>#N/A</v>
      </c>
      <c r="L2709" t="e">
        <f t="shared" si="553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4"/>
        <v>0</v>
      </c>
      <c r="B2710">
        <f t="shared" si="555"/>
        <v>0</v>
      </c>
      <c r="C2710">
        <f t="shared" si="556"/>
        <v>0</v>
      </c>
      <c r="D2710">
        <f t="shared" si="557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8"/>
        <v>0</v>
      </c>
      <c r="G2710">
        <f t="shared" si="559"/>
        <v>0</v>
      </c>
      <c r="H2710">
        <f t="shared" si="560"/>
        <v>0</v>
      </c>
      <c r="I2710">
        <f t="shared" si="561"/>
        <v>0</v>
      </c>
      <c r="J2710">
        <f t="shared" si="562"/>
        <v>0</v>
      </c>
      <c r="K2710" s="4" t="e">
        <f t="shared" si="552"/>
        <v>#N/A</v>
      </c>
      <c r="L2710" t="e">
        <f t="shared" si="553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4"/>
        <v>0</v>
      </c>
      <c r="B2711">
        <f t="shared" si="555"/>
        <v>0</v>
      </c>
      <c r="C2711">
        <f t="shared" si="556"/>
        <v>0</v>
      </c>
      <c r="D2711">
        <f t="shared" si="557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8"/>
        <v>0</v>
      </c>
      <c r="G2711">
        <f t="shared" si="559"/>
        <v>0</v>
      </c>
      <c r="H2711">
        <f t="shared" si="560"/>
        <v>0</v>
      </c>
      <c r="I2711">
        <f t="shared" si="561"/>
        <v>0</v>
      </c>
      <c r="J2711">
        <f t="shared" si="562"/>
        <v>0</v>
      </c>
      <c r="K2711" s="4" t="e">
        <f t="shared" si="552"/>
        <v>#N/A</v>
      </c>
      <c r="L2711" t="e">
        <f t="shared" si="553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4"/>
        <v>0</v>
      </c>
      <c r="B2712">
        <f t="shared" si="555"/>
        <v>0</v>
      </c>
      <c r="C2712">
        <f t="shared" si="556"/>
        <v>0</v>
      </c>
      <c r="D2712">
        <f t="shared" si="557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8"/>
        <v>0</v>
      </c>
      <c r="G2712">
        <f t="shared" si="559"/>
        <v>0</v>
      </c>
      <c r="H2712">
        <f t="shared" si="560"/>
        <v>0</v>
      </c>
      <c r="I2712">
        <f t="shared" si="561"/>
        <v>0</v>
      </c>
      <c r="J2712">
        <f t="shared" si="562"/>
        <v>0</v>
      </c>
      <c r="K2712" s="4" t="e">
        <f t="shared" si="552"/>
        <v>#N/A</v>
      </c>
      <c r="L2712" t="e">
        <f t="shared" si="553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4"/>
        <v>0</v>
      </c>
      <c r="B2713">
        <f t="shared" si="555"/>
        <v>0</v>
      </c>
      <c r="C2713">
        <f t="shared" si="556"/>
        <v>0</v>
      </c>
      <c r="D2713">
        <f t="shared" si="557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8"/>
        <v>0</v>
      </c>
      <c r="G2713">
        <f t="shared" si="559"/>
        <v>0</v>
      </c>
      <c r="H2713">
        <f t="shared" si="560"/>
        <v>0</v>
      </c>
      <c r="I2713">
        <f t="shared" si="561"/>
        <v>0</v>
      </c>
      <c r="J2713">
        <f t="shared" si="562"/>
        <v>0</v>
      </c>
      <c r="K2713" s="4" t="e">
        <f t="shared" si="552"/>
        <v>#N/A</v>
      </c>
      <c r="L2713" t="e">
        <f t="shared" si="553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4"/>
        <v>0</v>
      </c>
      <c r="B2714">
        <f t="shared" si="555"/>
        <v>0</v>
      </c>
      <c r="C2714">
        <f t="shared" si="556"/>
        <v>0</v>
      </c>
      <c r="D2714">
        <f t="shared" si="557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8"/>
        <v>0</v>
      </c>
      <c r="G2714">
        <f t="shared" si="559"/>
        <v>0</v>
      </c>
      <c r="H2714">
        <f t="shared" si="560"/>
        <v>0</v>
      </c>
      <c r="I2714">
        <f t="shared" si="561"/>
        <v>0</v>
      </c>
      <c r="J2714">
        <f t="shared" si="562"/>
        <v>0</v>
      </c>
      <c r="K2714" s="4" t="e">
        <f t="shared" si="552"/>
        <v>#N/A</v>
      </c>
      <c r="L2714" t="e">
        <f t="shared" si="553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4"/>
        <v>0</v>
      </c>
      <c r="B2715">
        <f t="shared" si="555"/>
        <v>0</v>
      </c>
      <c r="C2715">
        <f t="shared" si="556"/>
        <v>0</v>
      </c>
      <c r="D2715">
        <f t="shared" si="557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8"/>
        <v>0</v>
      </c>
      <c r="G2715">
        <f t="shared" si="559"/>
        <v>0</v>
      </c>
      <c r="H2715">
        <f t="shared" si="560"/>
        <v>0</v>
      </c>
      <c r="I2715">
        <f t="shared" si="561"/>
        <v>0</v>
      </c>
      <c r="J2715">
        <f t="shared" si="562"/>
        <v>0</v>
      </c>
      <c r="K2715" s="4" t="e">
        <f t="shared" si="552"/>
        <v>#N/A</v>
      </c>
      <c r="L2715" t="e">
        <f t="shared" si="553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4"/>
        <v>0</v>
      </c>
      <c r="B2716">
        <f t="shared" si="555"/>
        <v>0</v>
      </c>
      <c r="C2716">
        <f t="shared" si="556"/>
        <v>0</v>
      </c>
      <c r="D2716">
        <f t="shared" si="557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8"/>
        <v>0</v>
      </c>
      <c r="G2716">
        <f t="shared" si="559"/>
        <v>0</v>
      </c>
      <c r="H2716">
        <f t="shared" si="560"/>
        <v>0</v>
      </c>
      <c r="I2716">
        <f t="shared" si="561"/>
        <v>0</v>
      </c>
      <c r="J2716">
        <f t="shared" si="562"/>
        <v>0</v>
      </c>
      <c r="K2716" s="4" t="e">
        <f t="shared" si="552"/>
        <v>#N/A</v>
      </c>
      <c r="L2716" t="e">
        <f t="shared" si="553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4"/>
        <v>0</v>
      </c>
      <c r="B2717">
        <f t="shared" si="555"/>
        <v>0</v>
      </c>
      <c r="C2717">
        <f t="shared" si="556"/>
        <v>0</v>
      </c>
      <c r="D2717">
        <f t="shared" si="557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8"/>
        <v>0</v>
      </c>
      <c r="G2717">
        <f t="shared" si="559"/>
        <v>0</v>
      </c>
      <c r="H2717">
        <f t="shared" si="560"/>
        <v>0</v>
      </c>
      <c r="I2717">
        <f t="shared" si="561"/>
        <v>0</v>
      </c>
      <c r="J2717">
        <f t="shared" si="562"/>
        <v>0</v>
      </c>
      <c r="K2717" s="4" t="e">
        <f t="shared" si="552"/>
        <v>#N/A</v>
      </c>
      <c r="L2717" t="e">
        <f t="shared" si="553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4"/>
        <v>0</v>
      </c>
      <c r="B2718">
        <f t="shared" si="555"/>
        <v>0</v>
      </c>
      <c r="C2718">
        <f t="shared" si="556"/>
        <v>0</v>
      </c>
      <c r="D2718">
        <f t="shared" si="557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8"/>
        <v>0</v>
      </c>
      <c r="G2718">
        <f t="shared" si="559"/>
        <v>0</v>
      </c>
      <c r="H2718">
        <f t="shared" si="560"/>
        <v>0</v>
      </c>
      <c r="I2718">
        <f t="shared" si="561"/>
        <v>0</v>
      </c>
      <c r="J2718">
        <f t="shared" si="562"/>
        <v>0</v>
      </c>
      <c r="K2718" s="4" t="e">
        <f t="shared" si="552"/>
        <v>#N/A</v>
      </c>
      <c r="L2718" t="e">
        <f t="shared" si="553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4"/>
        <v>0</v>
      </c>
      <c r="B2719">
        <f t="shared" si="555"/>
        <v>0</v>
      </c>
      <c r="C2719">
        <f t="shared" si="556"/>
        <v>0</v>
      </c>
      <c r="D2719">
        <f t="shared" si="557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8"/>
        <v>0</v>
      </c>
      <c r="G2719">
        <f t="shared" si="559"/>
        <v>0</v>
      </c>
      <c r="H2719">
        <f t="shared" si="560"/>
        <v>0</v>
      </c>
      <c r="I2719">
        <f t="shared" si="561"/>
        <v>0</v>
      </c>
      <c r="J2719">
        <f t="shared" si="562"/>
        <v>0</v>
      </c>
      <c r="K2719" s="4" t="e">
        <f t="shared" si="552"/>
        <v>#N/A</v>
      </c>
      <c r="L2719" t="e">
        <f t="shared" si="553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4"/>
        <v>0</v>
      </c>
      <c r="B2720">
        <f t="shared" si="555"/>
        <v>0</v>
      </c>
      <c r="C2720">
        <f t="shared" si="556"/>
        <v>0</v>
      </c>
      <c r="D2720">
        <f t="shared" si="557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8"/>
        <v>0</v>
      </c>
      <c r="G2720">
        <f t="shared" si="559"/>
        <v>0</v>
      </c>
      <c r="H2720">
        <f t="shared" si="560"/>
        <v>0</v>
      </c>
      <c r="I2720">
        <f t="shared" si="561"/>
        <v>0</v>
      </c>
      <c r="J2720">
        <f t="shared" si="562"/>
        <v>0</v>
      </c>
      <c r="K2720" s="4" t="e">
        <f t="shared" si="552"/>
        <v>#N/A</v>
      </c>
      <c r="L2720" t="e">
        <f t="shared" si="553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4"/>
        <v>0</v>
      </c>
      <c r="B2721">
        <f t="shared" si="555"/>
        <v>0</v>
      </c>
      <c r="C2721">
        <f t="shared" si="556"/>
        <v>0</v>
      </c>
      <c r="D2721">
        <f t="shared" si="557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8"/>
        <v>0</v>
      </c>
      <c r="G2721">
        <f t="shared" si="559"/>
        <v>0</v>
      </c>
      <c r="H2721">
        <f t="shared" si="560"/>
        <v>0</v>
      </c>
      <c r="I2721">
        <f t="shared" si="561"/>
        <v>0</v>
      </c>
      <c r="J2721">
        <f t="shared" si="562"/>
        <v>0</v>
      </c>
      <c r="K2721" s="4" t="e">
        <f t="shared" si="552"/>
        <v>#N/A</v>
      </c>
      <c r="L2721" t="e">
        <f t="shared" si="553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4"/>
        <v>0</v>
      </c>
      <c r="B2722">
        <f t="shared" si="555"/>
        <v>0</v>
      </c>
      <c r="C2722">
        <f t="shared" si="556"/>
        <v>0</v>
      </c>
      <c r="D2722">
        <f t="shared" si="557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8"/>
        <v>0</v>
      </c>
      <c r="G2722">
        <f t="shared" si="559"/>
        <v>0</v>
      </c>
      <c r="H2722">
        <f t="shared" si="560"/>
        <v>0</v>
      </c>
      <c r="I2722">
        <f t="shared" si="561"/>
        <v>0</v>
      </c>
      <c r="J2722">
        <f t="shared" si="562"/>
        <v>0</v>
      </c>
      <c r="K2722" s="4" t="e">
        <f t="shared" si="552"/>
        <v>#N/A</v>
      </c>
      <c r="L2722" t="e">
        <f t="shared" si="553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4"/>
        <v>0</v>
      </c>
      <c r="B2723">
        <f t="shared" si="555"/>
        <v>0</v>
      </c>
      <c r="C2723">
        <f t="shared" si="556"/>
        <v>0</v>
      </c>
      <c r="D2723">
        <f t="shared" si="557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8"/>
        <v>0</v>
      </c>
      <c r="G2723">
        <f t="shared" si="559"/>
        <v>0</v>
      </c>
      <c r="H2723">
        <f t="shared" si="560"/>
        <v>0</v>
      </c>
      <c r="I2723">
        <f t="shared" si="561"/>
        <v>0</v>
      </c>
      <c r="J2723">
        <f t="shared" si="562"/>
        <v>0</v>
      </c>
      <c r="K2723" s="4" t="e">
        <f t="shared" si="552"/>
        <v>#N/A</v>
      </c>
      <c r="L2723" t="e">
        <f t="shared" si="553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4"/>
        <v>0</v>
      </c>
      <c r="B2724">
        <f t="shared" si="555"/>
        <v>0</v>
      </c>
      <c r="C2724">
        <f t="shared" si="556"/>
        <v>0</v>
      </c>
      <c r="D2724">
        <f t="shared" si="557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8"/>
        <v>0</v>
      </c>
      <c r="G2724">
        <f t="shared" si="559"/>
        <v>0</v>
      </c>
      <c r="H2724">
        <f t="shared" si="560"/>
        <v>0</v>
      </c>
      <c r="I2724">
        <f t="shared" si="561"/>
        <v>0</v>
      </c>
      <c r="J2724">
        <f t="shared" si="562"/>
        <v>0</v>
      </c>
      <c r="K2724" s="4" t="e">
        <f t="shared" si="552"/>
        <v>#N/A</v>
      </c>
      <c r="L2724" t="e">
        <f t="shared" si="553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4"/>
        <v>0</v>
      </c>
      <c r="B2725">
        <f t="shared" si="555"/>
        <v>0</v>
      </c>
      <c r="C2725">
        <f t="shared" si="556"/>
        <v>0</v>
      </c>
      <c r="D2725">
        <f t="shared" si="557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8"/>
        <v>0</v>
      </c>
      <c r="G2725">
        <f t="shared" si="559"/>
        <v>0</v>
      </c>
      <c r="H2725">
        <f t="shared" si="560"/>
        <v>0</v>
      </c>
      <c r="I2725">
        <f t="shared" si="561"/>
        <v>0</v>
      </c>
      <c r="J2725">
        <f t="shared" si="562"/>
        <v>0</v>
      </c>
      <c r="K2725" s="4" t="e">
        <f t="shared" si="552"/>
        <v>#N/A</v>
      </c>
      <c r="L2725" t="e">
        <f t="shared" si="553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4"/>
        <v>0</v>
      </c>
      <c r="B2726">
        <f t="shared" si="555"/>
        <v>0</v>
      </c>
      <c r="C2726">
        <f t="shared" si="556"/>
        <v>0</v>
      </c>
      <c r="D2726">
        <f t="shared" si="557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8"/>
        <v>0</v>
      </c>
      <c r="G2726">
        <f t="shared" si="559"/>
        <v>0</v>
      </c>
      <c r="H2726">
        <f t="shared" si="560"/>
        <v>0</v>
      </c>
      <c r="I2726">
        <f t="shared" si="561"/>
        <v>0</v>
      </c>
      <c r="J2726">
        <f t="shared" si="562"/>
        <v>0</v>
      </c>
      <c r="K2726" s="4" t="e">
        <f t="shared" si="552"/>
        <v>#N/A</v>
      </c>
      <c r="L2726" t="e">
        <f t="shared" si="553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4"/>
        <v>0</v>
      </c>
      <c r="B2727">
        <f t="shared" si="555"/>
        <v>0</v>
      </c>
      <c r="C2727">
        <f t="shared" si="556"/>
        <v>0</v>
      </c>
      <c r="D2727">
        <f t="shared" si="557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8"/>
        <v>0</v>
      </c>
      <c r="G2727">
        <f t="shared" si="559"/>
        <v>0</v>
      </c>
      <c r="H2727">
        <f t="shared" si="560"/>
        <v>0</v>
      </c>
      <c r="I2727">
        <f t="shared" si="561"/>
        <v>0</v>
      </c>
      <c r="J2727">
        <f t="shared" si="562"/>
        <v>0</v>
      </c>
      <c r="K2727" s="4" t="e">
        <f t="shared" si="552"/>
        <v>#N/A</v>
      </c>
      <c r="L2727" t="e">
        <f t="shared" si="553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4"/>
        <v>0</v>
      </c>
      <c r="B2728">
        <f t="shared" si="555"/>
        <v>0</v>
      </c>
      <c r="C2728">
        <f t="shared" si="556"/>
        <v>0</v>
      </c>
      <c r="D2728">
        <f t="shared" si="557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8"/>
        <v>0</v>
      </c>
      <c r="G2728">
        <f t="shared" si="559"/>
        <v>0</v>
      </c>
      <c r="H2728">
        <f t="shared" si="560"/>
        <v>0</v>
      </c>
      <c r="I2728">
        <f t="shared" si="561"/>
        <v>0</v>
      </c>
      <c r="J2728">
        <f t="shared" si="562"/>
        <v>0</v>
      </c>
      <c r="K2728" s="4" t="e">
        <f t="shared" si="552"/>
        <v>#N/A</v>
      </c>
      <c r="L2728" t="e">
        <f t="shared" si="553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4"/>
        <v>0</v>
      </c>
      <c r="B2729">
        <f t="shared" si="555"/>
        <v>0</v>
      </c>
      <c r="C2729">
        <f t="shared" si="556"/>
        <v>0</v>
      </c>
      <c r="D2729">
        <f t="shared" si="557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8"/>
        <v>0</v>
      </c>
      <c r="G2729">
        <f t="shared" si="559"/>
        <v>0</v>
      </c>
      <c r="H2729">
        <f t="shared" si="560"/>
        <v>0</v>
      </c>
      <c r="I2729">
        <f t="shared" si="561"/>
        <v>0</v>
      </c>
      <c r="J2729">
        <f t="shared" si="562"/>
        <v>0</v>
      </c>
      <c r="K2729" s="4" t="e">
        <f t="shared" si="552"/>
        <v>#N/A</v>
      </c>
      <c r="L2729" t="e">
        <f t="shared" si="553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4"/>
        <v>0</v>
      </c>
      <c r="B2730">
        <f t="shared" si="555"/>
        <v>0</v>
      </c>
      <c r="C2730">
        <f t="shared" si="556"/>
        <v>0</v>
      </c>
      <c r="D2730">
        <f t="shared" si="557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8"/>
        <v>0</v>
      </c>
      <c r="G2730">
        <f t="shared" si="559"/>
        <v>0</v>
      </c>
      <c r="H2730">
        <f t="shared" si="560"/>
        <v>0</v>
      </c>
      <c r="I2730">
        <f t="shared" si="561"/>
        <v>0</v>
      </c>
      <c r="J2730">
        <f t="shared" si="562"/>
        <v>0</v>
      </c>
      <c r="K2730" s="4" t="e">
        <f t="shared" si="552"/>
        <v>#N/A</v>
      </c>
      <c r="L2730" t="e">
        <f t="shared" si="553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4"/>
        <v>0</v>
      </c>
      <c r="B2731">
        <f t="shared" si="555"/>
        <v>0</v>
      </c>
      <c r="C2731">
        <f t="shared" si="556"/>
        <v>0</v>
      </c>
      <c r="D2731">
        <f t="shared" si="557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8"/>
        <v>0</v>
      </c>
      <c r="G2731">
        <f t="shared" si="559"/>
        <v>0</v>
      </c>
      <c r="H2731">
        <f t="shared" si="560"/>
        <v>0</v>
      </c>
      <c r="I2731">
        <f t="shared" si="561"/>
        <v>0</v>
      </c>
      <c r="J2731">
        <f t="shared" si="562"/>
        <v>0</v>
      </c>
      <c r="K2731" s="4" t="e">
        <f t="shared" si="552"/>
        <v>#N/A</v>
      </c>
      <c r="L2731" t="e">
        <f t="shared" si="553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4"/>
        <v>0</v>
      </c>
      <c r="B2732">
        <f t="shared" si="555"/>
        <v>0</v>
      </c>
      <c r="C2732">
        <f t="shared" si="556"/>
        <v>0</v>
      </c>
      <c r="D2732">
        <f t="shared" si="557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8"/>
        <v>0</v>
      </c>
      <c r="G2732">
        <f t="shared" si="559"/>
        <v>0</v>
      </c>
      <c r="H2732">
        <f t="shared" si="560"/>
        <v>0</v>
      </c>
      <c r="I2732">
        <f t="shared" si="561"/>
        <v>0</v>
      </c>
      <c r="J2732">
        <f t="shared" si="562"/>
        <v>0</v>
      </c>
      <c r="K2732" s="4" t="e">
        <f t="shared" ref="K2732:K2795" si="565">IF(LEFT(B2732,3)="DBM",0,VLOOKUP(E2732,tabela,2,FALSE))</f>
        <v>#N/A</v>
      </c>
      <c r="L2732" t="e">
        <f t="shared" ref="L2732:L2795" si="566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4"/>
        <v>0</v>
      </c>
      <c r="B2733">
        <f t="shared" si="555"/>
        <v>0</v>
      </c>
      <c r="C2733">
        <f t="shared" si="556"/>
        <v>0</v>
      </c>
      <c r="D2733">
        <f t="shared" si="557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8"/>
        <v>0</v>
      </c>
      <c r="G2733">
        <f t="shared" si="559"/>
        <v>0</v>
      </c>
      <c r="H2733">
        <f t="shared" si="560"/>
        <v>0</v>
      </c>
      <c r="I2733">
        <f t="shared" si="561"/>
        <v>0</v>
      </c>
      <c r="J2733">
        <f t="shared" si="562"/>
        <v>0</v>
      </c>
      <c r="K2733" s="4" t="e">
        <f t="shared" si="565"/>
        <v>#N/A</v>
      </c>
      <c r="L2733" t="e">
        <f t="shared" si="566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4"/>
        <v>0</v>
      </c>
      <c r="B2734">
        <f t="shared" si="555"/>
        <v>0</v>
      </c>
      <c r="C2734">
        <f t="shared" si="556"/>
        <v>0</v>
      </c>
      <c r="D2734">
        <f t="shared" si="557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8"/>
        <v>0</v>
      </c>
      <c r="G2734">
        <f t="shared" si="559"/>
        <v>0</v>
      </c>
      <c r="H2734">
        <f t="shared" si="560"/>
        <v>0</v>
      </c>
      <c r="I2734">
        <f t="shared" si="561"/>
        <v>0</v>
      </c>
      <c r="J2734">
        <f t="shared" si="562"/>
        <v>0</v>
      </c>
      <c r="K2734" s="4" t="e">
        <f t="shared" si="565"/>
        <v>#N/A</v>
      </c>
      <c r="L2734" t="e">
        <f t="shared" si="566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4"/>
        <v>0</v>
      </c>
      <c r="B2735">
        <f t="shared" si="555"/>
        <v>0</v>
      </c>
      <c r="C2735">
        <f t="shared" si="556"/>
        <v>0</v>
      </c>
      <c r="D2735">
        <f t="shared" si="557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8"/>
        <v>0</v>
      </c>
      <c r="G2735">
        <f t="shared" si="559"/>
        <v>0</v>
      </c>
      <c r="H2735">
        <f t="shared" si="560"/>
        <v>0</v>
      </c>
      <c r="I2735">
        <f t="shared" si="561"/>
        <v>0</v>
      </c>
      <c r="J2735">
        <f t="shared" si="562"/>
        <v>0</v>
      </c>
      <c r="K2735" s="4" t="e">
        <f t="shared" si="565"/>
        <v>#N/A</v>
      </c>
      <c r="L2735" t="e">
        <f t="shared" si="566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4"/>
        <v>0</v>
      </c>
      <c r="B2736">
        <f t="shared" si="555"/>
        <v>0</v>
      </c>
      <c r="C2736">
        <f t="shared" si="556"/>
        <v>0</v>
      </c>
      <c r="D2736">
        <f t="shared" si="557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8"/>
        <v>0</v>
      </c>
      <c r="G2736">
        <f t="shared" si="559"/>
        <v>0</v>
      </c>
      <c r="H2736">
        <f t="shared" si="560"/>
        <v>0</v>
      </c>
      <c r="I2736">
        <f t="shared" si="561"/>
        <v>0</v>
      </c>
      <c r="J2736">
        <f t="shared" si="562"/>
        <v>0</v>
      </c>
      <c r="K2736" s="4" t="e">
        <f t="shared" si="565"/>
        <v>#N/A</v>
      </c>
      <c r="L2736" t="e">
        <f t="shared" si="566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4"/>
        <v>0</v>
      </c>
      <c r="B2737">
        <f t="shared" si="555"/>
        <v>0</v>
      </c>
      <c r="C2737">
        <f t="shared" si="556"/>
        <v>0</v>
      </c>
      <c r="D2737">
        <f t="shared" si="557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8"/>
        <v>0</v>
      </c>
      <c r="G2737">
        <f t="shared" si="559"/>
        <v>0</v>
      </c>
      <c r="H2737">
        <f t="shared" si="560"/>
        <v>0</v>
      </c>
      <c r="I2737">
        <f t="shared" si="561"/>
        <v>0</v>
      </c>
      <c r="J2737">
        <f t="shared" si="562"/>
        <v>0</v>
      </c>
      <c r="K2737" s="4" t="e">
        <f t="shared" si="565"/>
        <v>#N/A</v>
      </c>
      <c r="L2737" t="e">
        <f t="shared" si="566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4"/>
        <v>0</v>
      </c>
      <c r="B2738">
        <f t="shared" si="555"/>
        <v>0</v>
      </c>
      <c r="C2738">
        <f t="shared" si="556"/>
        <v>0</v>
      </c>
      <c r="D2738">
        <f t="shared" si="557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8"/>
        <v>0</v>
      </c>
      <c r="G2738">
        <f t="shared" si="559"/>
        <v>0</v>
      </c>
      <c r="H2738">
        <f t="shared" si="560"/>
        <v>0</v>
      </c>
      <c r="I2738">
        <f t="shared" si="561"/>
        <v>0</v>
      </c>
      <c r="J2738">
        <f t="shared" si="562"/>
        <v>0</v>
      </c>
      <c r="K2738" s="4" t="e">
        <f t="shared" si="565"/>
        <v>#N/A</v>
      </c>
      <c r="L2738" t="e">
        <f t="shared" si="566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4"/>
        <v>0</v>
      </c>
      <c r="B2739">
        <f t="shared" si="555"/>
        <v>0</v>
      </c>
      <c r="C2739">
        <f t="shared" si="556"/>
        <v>0</v>
      </c>
      <c r="D2739">
        <f t="shared" si="557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8"/>
        <v>0</v>
      </c>
      <c r="G2739">
        <f t="shared" si="559"/>
        <v>0</v>
      </c>
      <c r="H2739">
        <f t="shared" si="560"/>
        <v>0</v>
      </c>
      <c r="I2739">
        <f t="shared" si="561"/>
        <v>0</v>
      </c>
      <c r="J2739">
        <f t="shared" si="562"/>
        <v>0</v>
      </c>
      <c r="K2739" s="4" t="e">
        <f t="shared" si="565"/>
        <v>#N/A</v>
      </c>
      <c r="L2739" t="e">
        <f t="shared" si="566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4"/>
        <v>0</v>
      </c>
      <c r="B2740">
        <f t="shared" si="555"/>
        <v>0</v>
      </c>
      <c r="C2740">
        <f t="shared" si="556"/>
        <v>0</v>
      </c>
      <c r="D2740">
        <f t="shared" si="557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8"/>
        <v>0</v>
      </c>
      <c r="G2740">
        <f t="shared" si="559"/>
        <v>0</v>
      </c>
      <c r="H2740">
        <f t="shared" si="560"/>
        <v>0</v>
      </c>
      <c r="I2740">
        <f t="shared" si="561"/>
        <v>0</v>
      </c>
      <c r="J2740">
        <f t="shared" si="562"/>
        <v>0</v>
      </c>
      <c r="K2740" s="4" t="e">
        <f t="shared" si="565"/>
        <v>#N/A</v>
      </c>
      <c r="L2740" t="e">
        <f t="shared" si="566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4"/>
        <v>0</v>
      </c>
      <c r="B2741">
        <f t="shared" si="555"/>
        <v>0</v>
      </c>
      <c r="C2741">
        <f t="shared" si="556"/>
        <v>0</v>
      </c>
      <c r="D2741">
        <f t="shared" si="557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8"/>
        <v>0</v>
      </c>
      <c r="G2741">
        <f t="shared" si="559"/>
        <v>0</v>
      </c>
      <c r="H2741">
        <f t="shared" si="560"/>
        <v>0</v>
      </c>
      <c r="I2741">
        <f t="shared" si="561"/>
        <v>0</v>
      </c>
      <c r="J2741">
        <f t="shared" si="562"/>
        <v>0</v>
      </c>
      <c r="K2741" s="4" t="e">
        <f t="shared" si="565"/>
        <v>#N/A</v>
      </c>
      <c r="L2741" t="e">
        <f t="shared" si="566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4"/>
        <v>0</v>
      </c>
      <c r="B2742">
        <f t="shared" si="555"/>
        <v>0</v>
      </c>
      <c r="C2742">
        <f t="shared" si="556"/>
        <v>0</v>
      </c>
      <c r="D2742">
        <f t="shared" si="557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8"/>
        <v>0</v>
      </c>
      <c r="G2742">
        <f t="shared" si="559"/>
        <v>0</v>
      </c>
      <c r="H2742">
        <f t="shared" si="560"/>
        <v>0</v>
      </c>
      <c r="I2742">
        <f t="shared" si="561"/>
        <v>0</v>
      </c>
      <c r="J2742">
        <f t="shared" si="562"/>
        <v>0</v>
      </c>
      <c r="K2742" s="4" t="e">
        <f t="shared" si="565"/>
        <v>#N/A</v>
      </c>
      <c r="L2742" t="e">
        <f t="shared" si="566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4"/>
        <v>0</v>
      </c>
      <c r="B2743">
        <f t="shared" si="555"/>
        <v>0</v>
      </c>
      <c r="C2743">
        <f t="shared" si="556"/>
        <v>0</v>
      </c>
      <c r="D2743">
        <f t="shared" si="557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8"/>
        <v>0</v>
      </c>
      <c r="G2743">
        <f t="shared" si="559"/>
        <v>0</v>
      </c>
      <c r="H2743">
        <f t="shared" si="560"/>
        <v>0</v>
      </c>
      <c r="I2743">
        <f t="shared" si="561"/>
        <v>0</v>
      </c>
      <c r="J2743">
        <f t="shared" si="562"/>
        <v>0</v>
      </c>
      <c r="K2743" s="4" t="e">
        <f t="shared" si="565"/>
        <v>#N/A</v>
      </c>
      <c r="L2743" t="e">
        <f t="shared" si="566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4"/>
        <v>0</v>
      </c>
      <c r="B2744">
        <f t="shared" si="555"/>
        <v>0</v>
      </c>
      <c r="C2744">
        <f t="shared" si="556"/>
        <v>0</v>
      </c>
      <c r="D2744">
        <f t="shared" si="557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8"/>
        <v>0</v>
      </c>
      <c r="G2744">
        <f t="shared" si="559"/>
        <v>0</v>
      </c>
      <c r="H2744">
        <f t="shared" si="560"/>
        <v>0</v>
      </c>
      <c r="I2744">
        <f t="shared" si="561"/>
        <v>0</v>
      </c>
      <c r="J2744">
        <f t="shared" si="562"/>
        <v>0</v>
      </c>
      <c r="K2744" s="4" t="e">
        <f t="shared" si="565"/>
        <v>#N/A</v>
      </c>
      <c r="L2744" t="e">
        <f t="shared" si="566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4"/>
        <v>0</v>
      </c>
      <c r="B2745">
        <f t="shared" si="555"/>
        <v>0</v>
      </c>
      <c r="C2745">
        <f t="shared" si="556"/>
        <v>0</v>
      </c>
      <c r="D2745">
        <f t="shared" si="557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8"/>
        <v>0</v>
      </c>
      <c r="G2745">
        <f t="shared" si="559"/>
        <v>0</v>
      </c>
      <c r="H2745">
        <f t="shared" si="560"/>
        <v>0</v>
      </c>
      <c r="I2745">
        <f t="shared" si="561"/>
        <v>0</v>
      </c>
      <c r="J2745">
        <f t="shared" si="562"/>
        <v>0</v>
      </c>
      <c r="K2745" s="4" t="e">
        <f t="shared" si="565"/>
        <v>#N/A</v>
      </c>
      <c r="L2745" t="e">
        <f t="shared" si="566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4"/>
        <v>0</v>
      </c>
      <c r="B2746">
        <f t="shared" si="555"/>
        <v>0</v>
      </c>
      <c r="C2746">
        <f t="shared" si="556"/>
        <v>0</v>
      </c>
      <c r="D2746">
        <f t="shared" si="557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8"/>
        <v>0</v>
      </c>
      <c r="G2746">
        <f t="shared" si="559"/>
        <v>0</v>
      </c>
      <c r="H2746">
        <f t="shared" si="560"/>
        <v>0</v>
      </c>
      <c r="I2746">
        <f t="shared" si="561"/>
        <v>0</v>
      </c>
      <c r="J2746">
        <f t="shared" si="562"/>
        <v>0</v>
      </c>
      <c r="K2746" s="4" t="e">
        <f t="shared" si="565"/>
        <v>#N/A</v>
      </c>
      <c r="L2746" t="e">
        <f t="shared" si="566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4"/>
        <v>0</v>
      </c>
      <c r="B2747">
        <f t="shared" si="555"/>
        <v>0</v>
      </c>
      <c r="C2747">
        <f t="shared" si="556"/>
        <v>0</v>
      </c>
      <c r="D2747">
        <f t="shared" si="557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8"/>
        <v>0</v>
      </c>
      <c r="G2747">
        <f t="shared" si="559"/>
        <v>0</v>
      </c>
      <c r="H2747">
        <f t="shared" si="560"/>
        <v>0</v>
      </c>
      <c r="I2747">
        <f t="shared" si="561"/>
        <v>0</v>
      </c>
      <c r="J2747">
        <f t="shared" si="562"/>
        <v>0</v>
      </c>
      <c r="K2747" s="4" t="e">
        <f t="shared" si="565"/>
        <v>#N/A</v>
      </c>
      <c r="L2747" t="e">
        <f t="shared" si="566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4"/>
        <v>0</v>
      </c>
      <c r="B2748">
        <f t="shared" si="555"/>
        <v>0</v>
      </c>
      <c r="C2748">
        <f t="shared" si="556"/>
        <v>0</v>
      </c>
      <c r="D2748">
        <f t="shared" si="557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8"/>
        <v>0</v>
      </c>
      <c r="G2748">
        <f t="shared" si="559"/>
        <v>0</v>
      </c>
      <c r="H2748">
        <f t="shared" si="560"/>
        <v>0</v>
      </c>
      <c r="I2748">
        <f t="shared" si="561"/>
        <v>0</v>
      </c>
      <c r="J2748">
        <f t="shared" si="562"/>
        <v>0</v>
      </c>
      <c r="K2748" s="4" t="e">
        <f t="shared" si="565"/>
        <v>#N/A</v>
      </c>
      <c r="L2748" t="e">
        <f t="shared" si="566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4"/>
        <v>0</v>
      </c>
      <c r="B2749">
        <f t="shared" si="555"/>
        <v>0</v>
      </c>
      <c r="C2749">
        <f t="shared" si="556"/>
        <v>0</v>
      </c>
      <c r="D2749">
        <f t="shared" si="557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8"/>
        <v>0</v>
      </c>
      <c r="G2749">
        <f t="shared" si="559"/>
        <v>0</v>
      </c>
      <c r="H2749">
        <f t="shared" si="560"/>
        <v>0</v>
      </c>
      <c r="I2749">
        <f t="shared" si="561"/>
        <v>0</v>
      </c>
      <c r="J2749">
        <f t="shared" si="562"/>
        <v>0</v>
      </c>
      <c r="K2749" s="4" t="e">
        <f t="shared" si="565"/>
        <v>#N/A</v>
      </c>
      <c r="L2749" t="e">
        <f t="shared" si="566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4"/>
        <v>0</v>
      </c>
      <c r="B2750">
        <f t="shared" si="555"/>
        <v>0</v>
      </c>
      <c r="C2750">
        <f t="shared" si="556"/>
        <v>0</v>
      </c>
      <c r="D2750">
        <f t="shared" si="557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8"/>
        <v>0</v>
      </c>
      <c r="G2750">
        <f t="shared" si="559"/>
        <v>0</v>
      </c>
      <c r="H2750">
        <f t="shared" si="560"/>
        <v>0</v>
      </c>
      <c r="I2750">
        <f t="shared" si="561"/>
        <v>0</v>
      </c>
      <c r="J2750">
        <f t="shared" si="562"/>
        <v>0</v>
      </c>
      <c r="K2750" s="4" t="e">
        <f t="shared" si="565"/>
        <v>#N/A</v>
      </c>
      <c r="L2750" t="e">
        <f t="shared" si="566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4"/>
        <v>0</v>
      </c>
      <c r="B2751">
        <f t="shared" si="555"/>
        <v>0</v>
      </c>
      <c r="C2751">
        <f t="shared" si="556"/>
        <v>0</v>
      </c>
      <c r="D2751">
        <f t="shared" si="557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8"/>
        <v>0</v>
      </c>
      <c r="G2751">
        <f t="shared" si="559"/>
        <v>0</v>
      </c>
      <c r="H2751">
        <f t="shared" si="560"/>
        <v>0</v>
      </c>
      <c r="I2751">
        <f t="shared" si="561"/>
        <v>0</v>
      </c>
      <c r="J2751">
        <f t="shared" si="562"/>
        <v>0</v>
      </c>
      <c r="K2751" s="4" t="e">
        <f t="shared" si="565"/>
        <v>#N/A</v>
      </c>
      <c r="L2751" t="e">
        <f t="shared" si="566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4"/>
        <v>0</v>
      </c>
      <c r="B2752">
        <f t="shared" si="555"/>
        <v>0</v>
      </c>
      <c r="C2752">
        <f t="shared" si="556"/>
        <v>0</v>
      </c>
      <c r="D2752">
        <f t="shared" si="557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8"/>
        <v>0</v>
      </c>
      <c r="G2752">
        <f t="shared" si="559"/>
        <v>0</v>
      </c>
      <c r="H2752">
        <f t="shared" si="560"/>
        <v>0</v>
      </c>
      <c r="I2752">
        <f t="shared" si="561"/>
        <v>0</v>
      </c>
      <c r="J2752">
        <f t="shared" si="562"/>
        <v>0</v>
      </c>
      <c r="K2752" s="4" t="e">
        <f t="shared" si="565"/>
        <v>#N/A</v>
      </c>
      <c r="L2752" t="e">
        <f t="shared" si="566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4"/>
        <v>0</v>
      </c>
      <c r="B2753">
        <f t="shared" si="555"/>
        <v>0</v>
      </c>
      <c r="C2753">
        <f t="shared" si="556"/>
        <v>0</v>
      </c>
      <c r="D2753">
        <f t="shared" si="557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8"/>
        <v>0</v>
      </c>
      <c r="G2753">
        <f t="shared" si="559"/>
        <v>0</v>
      </c>
      <c r="H2753">
        <f t="shared" si="560"/>
        <v>0</v>
      </c>
      <c r="I2753">
        <f t="shared" si="561"/>
        <v>0</v>
      </c>
      <c r="J2753">
        <f t="shared" si="562"/>
        <v>0</v>
      </c>
      <c r="K2753" s="4" t="e">
        <f t="shared" si="565"/>
        <v>#N/A</v>
      </c>
      <c r="L2753" t="e">
        <f t="shared" si="566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7">bd_campaign</f>
        <v>0</v>
      </c>
      <c r="B2754">
        <f t="shared" ref="B2754:B2817" si="568">bd_site</f>
        <v>0</v>
      </c>
      <c r="C2754">
        <f t="shared" ref="C2754:C2817" si="569">bd_placement</f>
        <v>0</v>
      </c>
      <c r="D2754">
        <f t="shared" ref="D2754:D2817" si="570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1">bd_ad</f>
        <v>0</v>
      </c>
      <c r="G2754">
        <f t="shared" ref="G2754:G2817" si="572">bd_adid</f>
        <v>0</v>
      </c>
      <c r="H2754">
        <f t="shared" ref="H2754:H2817" si="573">bd_creativetype</f>
        <v>0</v>
      </c>
      <c r="I2754">
        <f t="shared" ref="I2754:I2817" si="574">bd_impression</f>
        <v>0</v>
      </c>
      <c r="J2754">
        <f t="shared" ref="J2754:J2817" si="575">bd_clicks</f>
        <v>0</v>
      </c>
      <c r="K2754" s="4" t="e">
        <f t="shared" si="565"/>
        <v>#N/A</v>
      </c>
      <c r="L2754" t="e">
        <f t="shared" si="566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7"/>
        <v>0</v>
      </c>
      <c r="B2755">
        <f t="shared" si="568"/>
        <v>0</v>
      </c>
      <c r="C2755">
        <f t="shared" si="569"/>
        <v>0</v>
      </c>
      <c r="D2755">
        <f t="shared" si="570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1"/>
        <v>0</v>
      </c>
      <c r="G2755">
        <f t="shared" si="572"/>
        <v>0</v>
      </c>
      <c r="H2755">
        <f t="shared" si="573"/>
        <v>0</v>
      </c>
      <c r="I2755">
        <f t="shared" si="574"/>
        <v>0</v>
      </c>
      <c r="J2755">
        <f t="shared" si="575"/>
        <v>0</v>
      </c>
      <c r="K2755" s="4" t="e">
        <f t="shared" si="565"/>
        <v>#N/A</v>
      </c>
      <c r="L2755" t="e">
        <f t="shared" si="566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7"/>
        <v>0</v>
      </c>
      <c r="B2756">
        <f t="shared" si="568"/>
        <v>0</v>
      </c>
      <c r="C2756">
        <f t="shared" si="569"/>
        <v>0</v>
      </c>
      <c r="D2756">
        <f t="shared" si="570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1"/>
        <v>0</v>
      </c>
      <c r="G2756">
        <f t="shared" si="572"/>
        <v>0</v>
      </c>
      <c r="H2756">
        <f t="shared" si="573"/>
        <v>0</v>
      </c>
      <c r="I2756">
        <f t="shared" si="574"/>
        <v>0</v>
      </c>
      <c r="J2756">
        <f t="shared" si="575"/>
        <v>0</v>
      </c>
      <c r="K2756" s="4" t="e">
        <f t="shared" si="565"/>
        <v>#N/A</v>
      </c>
      <c r="L2756" t="e">
        <f t="shared" si="566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7"/>
        <v>0</v>
      </c>
      <c r="B2757">
        <f t="shared" si="568"/>
        <v>0</v>
      </c>
      <c r="C2757">
        <f t="shared" si="569"/>
        <v>0</v>
      </c>
      <c r="D2757">
        <f t="shared" si="570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1"/>
        <v>0</v>
      </c>
      <c r="G2757">
        <f t="shared" si="572"/>
        <v>0</v>
      </c>
      <c r="H2757">
        <f t="shared" si="573"/>
        <v>0</v>
      </c>
      <c r="I2757">
        <f t="shared" si="574"/>
        <v>0</v>
      </c>
      <c r="J2757">
        <f t="shared" si="575"/>
        <v>0</v>
      </c>
      <c r="K2757" s="4" t="e">
        <f t="shared" si="565"/>
        <v>#N/A</v>
      </c>
      <c r="L2757" t="e">
        <f t="shared" si="566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7"/>
        <v>0</v>
      </c>
      <c r="B2758">
        <f t="shared" si="568"/>
        <v>0</v>
      </c>
      <c r="C2758">
        <f t="shared" si="569"/>
        <v>0</v>
      </c>
      <c r="D2758">
        <f t="shared" si="570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1"/>
        <v>0</v>
      </c>
      <c r="G2758">
        <f t="shared" si="572"/>
        <v>0</v>
      </c>
      <c r="H2758">
        <f t="shared" si="573"/>
        <v>0</v>
      </c>
      <c r="I2758">
        <f t="shared" si="574"/>
        <v>0</v>
      </c>
      <c r="J2758">
        <f t="shared" si="575"/>
        <v>0</v>
      </c>
      <c r="K2758" s="4" t="e">
        <f t="shared" si="565"/>
        <v>#N/A</v>
      </c>
      <c r="L2758" t="e">
        <f t="shared" si="566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7"/>
        <v>0</v>
      </c>
      <c r="B2759">
        <f t="shared" si="568"/>
        <v>0</v>
      </c>
      <c r="C2759">
        <f t="shared" si="569"/>
        <v>0</v>
      </c>
      <c r="D2759">
        <f t="shared" si="570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1"/>
        <v>0</v>
      </c>
      <c r="G2759">
        <f t="shared" si="572"/>
        <v>0</v>
      </c>
      <c r="H2759">
        <f t="shared" si="573"/>
        <v>0</v>
      </c>
      <c r="I2759">
        <f t="shared" si="574"/>
        <v>0</v>
      </c>
      <c r="J2759">
        <f t="shared" si="575"/>
        <v>0</v>
      </c>
      <c r="K2759" s="4" t="e">
        <f t="shared" si="565"/>
        <v>#N/A</v>
      </c>
      <c r="L2759" t="e">
        <f t="shared" si="566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7"/>
        <v>0</v>
      </c>
      <c r="B2760">
        <f t="shared" si="568"/>
        <v>0</v>
      </c>
      <c r="C2760">
        <f t="shared" si="569"/>
        <v>0</v>
      </c>
      <c r="D2760">
        <f t="shared" si="570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1"/>
        <v>0</v>
      </c>
      <c r="G2760">
        <f t="shared" si="572"/>
        <v>0</v>
      </c>
      <c r="H2760">
        <f t="shared" si="573"/>
        <v>0</v>
      </c>
      <c r="I2760">
        <f t="shared" si="574"/>
        <v>0</v>
      </c>
      <c r="J2760">
        <f t="shared" si="575"/>
        <v>0</v>
      </c>
      <c r="K2760" s="4" t="e">
        <f t="shared" si="565"/>
        <v>#N/A</v>
      </c>
      <c r="L2760" t="e">
        <f t="shared" si="566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7"/>
        <v>0</v>
      </c>
      <c r="B2761">
        <f t="shared" si="568"/>
        <v>0</v>
      </c>
      <c r="C2761">
        <f t="shared" si="569"/>
        <v>0</v>
      </c>
      <c r="D2761">
        <f t="shared" si="570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1"/>
        <v>0</v>
      </c>
      <c r="G2761">
        <f t="shared" si="572"/>
        <v>0</v>
      </c>
      <c r="H2761">
        <f t="shared" si="573"/>
        <v>0</v>
      </c>
      <c r="I2761">
        <f t="shared" si="574"/>
        <v>0</v>
      </c>
      <c r="J2761">
        <f t="shared" si="575"/>
        <v>0</v>
      </c>
      <c r="K2761" s="4" t="e">
        <f t="shared" si="565"/>
        <v>#N/A</v>
      </c>
      <c r="L2761" t="e">
        <f t="shared" si="566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7"/>
        <v>0</v>
      </c>
      <c r="B2762">
        <f t="shared" si="568"/>
        <v>0</v>
      </c>
      <c r="C2762">
        <f t="shared" si="569"/>
        <v>0</v>
      </c>
      <c r="D2762">
        <f t="shared" si="570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1"/>
        <v>0</v>
      </c>
      <c r="G2762">
        <f t="shared" si="572"/>
        <v>0</v>
      </c>
      <c r="H2762">
        <f t="shared" si="573"/>
        <v>0</v>
      </c>
      <c r="I2762">
        <f t="shared" si="574"/>
        <v>0</v>
      </c>
      <c r="J2762">
        <f t="shared" si="575"/>
        <v>0</v>
      </c>
      <c r="K2762" s="4" t="e">
        <f t="shared" si="565"/>
        <v>#N/A</v>
      </c>
      <c r="L2762" t="e">
        <f t="shared" si="566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7"/>
        <v>0</v>
      </c>
      <c r="B2763">
        <f t="shared" si="568"/>
        <v>0</v>
      </c>
      <c r="C2763">
        <f t="shared" si="569"/>
        <v>0</v>
      </c>
      <c r="D2763">
        <f t="shared" si="570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1"/>
        <v>0</v>
      </c>
      <c r="G2763">
        <f t="shared" si="572"/>
        <v>0</v>
      </c>
      <c r="H2763">
        <f t="shared" si="573"/>
        <v>0</v>
      </c>
      <c r="I2763">
        <f t="shared" si="574"/>
        <v>0</v>
      </c>
      <c r="J2763">
        <f t="shared" si="575"/>
        <v>0</v>
      </c>
      <c r="K2763" s="4" t="e">
        <f t="shared" si="565"/>
        <v>#N/A</v>
      </c>
      <c r="L2763" t="e">
        <f t="shared" si="566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7"/>
        <v>0</v>
      </c>
      <c r="B2764">
        <f t="shared" si="568"/>
        <v>0</v>
      </c>
      <c r="C2764">
        <f t="shared" si="569"/>
        <v>0</v>
      </c>
      <c r="D2764">
        <f t="shared" si="570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1"/>
        <v>0</v>
      </c>
      <c r="G2764">
        <f t="shared" si="572"/>
        <v>0</v>
      </c>
      <c r="H2764">
        <f t="shared" si="573"/>
        <v>0</v>
      </c>
      <c r="I2764">
        <f t="shared" si="574"/>
        <v>0</v>
      </c>
      <c r="J2764">
        <f t="shared" si="575"/>
        <v>0</v>
      </c>
      <c r="K2764" s="4" t="e">
        <f t="shared" si="565"/>
        <v>#N/A</v>
      </c>
      <c r="L2764" t="e">
        <f t="shared" si="566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7"/>
        <v>0</v>
      </c>
      <c r="B2765">
        <f t="shared" si="568"/>
        <v>0</v>
      </c>
      <c r="C2765">
        <f t="shared" si="569"/>
        <v>0</v>
      </c>
      <c r="D2765">
        <f t="shared" si="570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1"/>
        <v>0</v>
      </c>
      <c r="G2765">
        <f t="shared" si="572"/>
        <v>0</v>
      </c>
      <c r="H2765">
        <f t="shared" si="573"/>
        <v>0</v>
      </c>
      <c r="I2765">
        <f t="shared" si="574"/>
        <v>0</v>
      </c>
      <c r="J2765">
        <f t="shared" si="575"/>
        <v>0</v>
      </c>
      <c r="K2765" s="4" t="e">
        <f t="shared" si="565"/>
        <v>#N/A</v>
      </c>
      <c r="L2765" t="e">
        <f t="shared" si="566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7"/>
        <v>0</v>
      </c>
      <c r="B2766">
        <f t="shared" si="568"/>
        <v>0</v>
      </c>
      <c r="C2766">
        <f t="shared" si="569"/>
        <v>0</v>
      </c>
      <c r="D2766">
        <f t="shared" si="570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1"/>
        <v>0</v>
      </c>
      <c r="G2766">
        <f t="shared" si="572"/>
        <v>0</v>
      </c>
      <c r="H2766">
        <f t="shared" si="573"/>
        <v>0</v>
      </c>
      <c r="I2766">
        <f t="shared" si="574"/>
        <v>0</v>
      </c>
      <c r="J2766">
        <f t="shared" si="575"/>
        <v>0</v>
      </c>
      <c r="K2766" s="4" t="e">
        <f t="shared" si="565"/>
        <v>#N/A</v>
      </c>
      <c r="L2766" t="e">
        <f t="shared" si="566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7"/>
        <v>0</v>
      </c>
      <c r="B2767">
        <f t="shared" si="568"/>
        <v>0</v>
      </c>
      <c r="C2767">
        <f t="shared" si="569"/>
        <v>0</v>
      </c>
      <c r="D2767">
        <f t="shared" si="570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1"/>
        <v>0</v>
      </c>
      <c r="G2767">
        <f t="shared" si="572"/>
        <v>0</v>
      </c>
      <c r="H2767">
        <f t="shared" si="573"/>
        <v>0</v>
      </c>
      <c r="I2767">
        <f t="shared" si="574"/>
        <v>0</v>
      </c>
      <c r="J2767">
        <f t="shared" si="575"/>
        <v>0</v>
      </c>
      <c r="K2767" s="4" t="e">
        <f t="shared" si="565"/>
        <v>#N/A</v>
      </c>
      <c r="L2767" t="e">
        <f t="shared" si="566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7"/>
        <v>0</v>
      </c>
      <c r="B2768">
        <f t="shared" si="568"/>
        <v>0</v>
      </c>
      <c r="C2768">
        <f t="shared" si="569"/>
        <v>0</v>
      </c>
      <c r="D2768">
        <f t="shared" si="570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1"/>
        <v>0</v>
      </c>
      <c r="G2768">
        <f t="shared" si="572"/>
        <v>0</v>
      </c>
      <c r="H2768">
        <f t="shared" si="573"/>
        <v>0</v>
      </c>
      <c r="I2768">
        <f t="shared" si="574"/>
        <v>0</v>
      </c>
      <c r="J2768">
        <f t="shared" si="575"/>
        <v>0</v>
      </c>
      <c r="K2768" s="4" t="e">
        <f t="shared" si="565"/>
        <v>#N/A</v>
      </c>
      <c r="L2768" t="e">
        <f t="shared" si="566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7"/>
        <v>0</v>
      </c>
      <c r="B2769">
        <f t="shared" si="568"/>
        <v>0</v>
      </c>
      <c r="C2769">
        <f t="shared" si="569"/>
        <v>0</v>
      </c>
      <c r="D2769">
        <f t="shared" si="570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1"/>
        <v>0</v>
      </c>
      <c r="G2769">
        <f t="shared" si="572"/>
        <v>0</v>
      </c>
      <c r="H2769">
        <f t="shared" si="573"/>
        <v>0</v>
      </c>
      <c r="I2769">
        <f t="shared" si="574"/>
        <v>0</v>
      </c>
      <c r="J2769">
        <f t="shared" si="575"/>
        <v>0</v>
      </c>
      <c r="K2769" s="4" t="e">
        <f t="shared" si="565"/>
        <v>#N/A</v>
      </c>
      <c r="L2769" t="e">
        <f t="shared" si="566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7"/>
        <v>0</v>
      </c>
      <c r="B2770">
        <f t="shared" si="568"/>
        <v>0</v>
      </c>
      <c r="C2770">
        <f t="shared" si="569"/>
        <v>0</v>
      </c>
      <c r="D2770">
        <f t="shared" si="570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1"/>
        <v>0</v>
      </c>
      <c r="G2770">
        <f t="shared" si="572"/>
        <v>0</v>
      </c>
      <c r="H2770">
        <f t="shared" si="573"/>
        <v>0</v>
      </c>
      <c r="I2770">
        <f t="shared" si="574"/>
        <v>0</v>
      </c>
      <c r="J2770">
        <f t="shared" si="575"/>
        <v>0</v>
      </c>
      <c r="K2770" s="4" t="e">
        <f t="shared" si="565"/>
        <v>#N/A</v>
      </c>
      <c r="L2770" t="e">
        <f t="shared" si="566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7"/>
        <v>0</v>
      </c>
      <c r="B2771">
        <f t="shared" si="568"/>
        <v>0</v>
      </c>
      <c r="C2771">
        <f t="shared" si="569"/>
        <v>0</v>
      </c>
      <c r="D2771">
        <f t="shared" si="570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1"/>
        <v>0</v>
      </c>
      <c r="G2771">
        <f t="shared" si="572"/>
        <v>0</v>
      </c>
      <c r="H2771">
        <f t="shared" si="573"/>
        <v>0</v>
      </c>
      <c r="I2771">
        <f t="shared" si="574"/>
        <v>0</v>
      </c>
      <c r="J2771">
        <f t="shared" si="575"/>
        <v>0</v>
      </c>
      <c r="K2771" s="4" t="e">
        <f t="shared" si="565"/>
        <v>#N/A</v>
      </c>
      <c r="L2771" t="e">
        <f t="shared" si="566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7"/>
        <v>0</v>
      </c>
      <c r="B2772">
        <f t="shared" si="568"/>
        <v>0</v>
      </c>
      <c r="C2772">
        <f t="shared" si="569"/>
        <v>0</v>
      </c>
      <c r="D2772">
        <f t="shared" si="570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1"/>
        <v>0</v>
      </c>
      <c r="G2772">
        <f t="shared" si="572"/>
        <v>0</v>
      </c>
      <c r="H2772">
        <f t="shared" si="573"/>
        <v>0</v>
      </c>
      <c r="I2772">
        <f t="shared" si="574"/>
        <v>0</v>
      </c>
      <c r="J2772">
        <f t="shared" si="575"/>
        <v>0</v>
      </c>
      <c r="K2772" s="4" t="e">
        <f t="shared" si="565"/>
        <v>#N/A</v>
      </c>
      <c r="L2772" t="e">
        <f t="shared" si="566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7"/>
        <v>0</v>
      </c>
      <c r="B2773">
        <f t="shared" si="568"/>
        <v>0</v>
      </c>
      <c r="C2773">
        <f t="shared" si="569"/>
        <v>0</v>
      </c>
      <c r="D2773">
        <f t="shared" si="570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1"/>
        <v>0</v>
      </c>
      <c r="G2773">
        <f t="shared" si="572"/>
        <v>0</v>
      </c>
      <c r="H2773">
        <f t="shared" si="573"/>
        <v>0</v>
      </c>
      <c r="I2773">
        <f t="shared" si="574"/>
        <v>0</v>
      </c>
      <c r="J2773">
        <f t="shared" si="575"/>
        <v>0</v>
      </c>
      <c r="K2773" s="4" t="e">
        <f t="shared" si="565"/>
        <v>#N/A</v>
      </c>
      <c r="L2773" t="e">
        <f t="shared" si="566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7"/>
        <v>0</v>
      </c>
      <c r="B2774">
        <f t="shared" si="568"/>
        <v>0</v>
      </c>
      <c r="C2774">
        <f t="shared" si="569"/>
        <v>0</v>
      </c>
      <c r="D2774">
        <f t="shared" si="570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1"/>
        <v>0</v>
      </c>
      <c r="G2774">
        <f t="shared" si="572"/>
        <v>0</v>
      </c>
      <c r="H2774">
        <f t="shared" si="573"/>
        <v>0</v>
      </c>
      <c r="I2774">
        <f t="shared" si="574"/>
        <v>0</v>
      </c>
      <c r="J2774">
        <f t="shared" si="575"/>
        <v>0</v>
      </c>
      <c r="K2774" s="4" t="e">
        <f t="shared" si="565"/>
        <v>#N/A</v>
      </c>
      <c r="L2774" t="e">
        <f t="shared" si="566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7"/>
        <v>0</v>
      </c>
      <c r="B2775">
        <f t="shared" si="568"/>
        <v>0</v>
      </c>
      <c r="C2775">
        <f t="shared" si="569"/>
        <v>0</v>
      </c>
      <c r="D2775">
        <f t="shared" si="570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1"/>
        <v>0</v>
      </c>
      <c r="G2775">
        <f t="shared" si="572"/>
        <v>0</v>
      </c>
      <c r="H2775">
        <f t="shared" si="573"/>
        <v>0</v>
      </c>
      <c r="I2775">
        <f t="shared" si="574"/>
        <v>0</v>
      </c>
      <c r="J2775">
        <f t="shared" si="575"/>
        <v>0</v>
      </c>
      <c r="K2775" s="4" t="e">
        <f t="shared" si="565"/>
        <v>#N/A</v>
      </c>
      <c r="L2775" t="e">
        <f t="shared" si="566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7"/>
        <v>0</v>
      </c>
      <c r="B2776">
        <f t="shared" si="568"/>
        <v>0</v>
      </c>
      <c r="C2776">
        <f t="shared" si="569"/>
        <v>0</v>
      </c>
      <c r="D2776">
        <f t="shared" si="570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1"/>
        <v>0</v>
      </c>
      <c r="G2776">
        <f t="shared" si="572"/>
        <v>0</v>
      </c>
      <c r="H2776">
        <f t="shared" si="573"/>
        <v>0</v>
      </c>
      <c r="I2776">
        <f t="shared" si="574"/>
        <v>0</v>
      </c>
      <c r="J2776">
        <f t="shared" si="575"/>
        <v>0</v>
      </c>
      <c r="K2776" s="4" t="e">
        <f t="shared" si="565"/>
        <v>#N/A</v>
      </c>
      <c r="L2776" t="e">
        <f t="shared" si="566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7"/>
        <v>0</v>
      </c>
      <c r="B2777">
        <f t="shared" si="568"/>
        <v>0</v>
      </c>
      <c r="C2777">
        <f t="shared" si="569"/>
        <v>0</v>
      </c>
      <c r="D2777">
        <f t="shared" si="570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1"/>
        <v>0</v>
      </c>
      <c r="G2777">
        <f t="shared" si="572"/>
        <v>0</v>
      </c>
      <c r="H2777">
        <f t="shared" si="573"/>
        <v>0</v>
      </c>
      <c r="I2777">
        <f t="shared" si="574"/>
        <v>0</v>
      </c>
      <c r="J2777">
        <f t="shared" si="575"/>
        <v>0</v>
      </c>
      <c r="K2777" s="4" t="e">
        <f t="shared" si="565"/>
        <v>#N/A</v>
      </c>
      <c r="L2777" t="e">
        <f t="shared" si="566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7"/>
        <v>0</v>
      </c>
      <c r="B2778">
        <f t="shared" si="568"/>
        <v>0</v>
      </c>
      <c r="C2778">
        <f t="shared" si="569"/>
        <v>0</v>
      </c>
      <c r="D2778">
        <f t="shared" si="570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1"/>
        <v>0</v>
      </c>
      <c r="G2778">
        <f t="shared" si="572"/>
        <v>0</v>
      </c>
      <c r="H2778">
        <f t="shared" si="573"/>
        <v>0</v>
      </c>
      <c r="I2778">
        <f t="shared" si="574"/>
        <v>0</v>
      </c>
      <c r="J2778">
        <f t="shared" si="575"/>
        <v>0</v>
      </c>
      <c r="K2778" s="4" t="e">
        <f t="shared" si="565"/>
        <v>#N/A</v>
      </c>
      <c r="L2778" t="e">
        <f t="shared" si="566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7"/>
        <v>0</v>
      </c>
      <c r="B2779">
        <f t="shared" si="568"/>
        <v>0</v>
      </c>
      <c r="C2779">
        <f t="shared" si="569"/>
        <v>0</v>
      </c>
      <c r="D2779">
        <f t="shared" si="570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1"/>
        <v>0</v>
      </c>
      <c r="G2779">
        <f t="shared" si="572"/>
        <v>0</v>
      </c>
      <c r="H2779">
        <f t="shared" si="573"/>
        <v>0</v>
      </c>
      <c r="I2779">
        <f t="shared" si="574"/>
        <v>0</v>
      </c>
      <c r="J2779">
        <f t="shared" si="575"/>
        <v>0</v>
      </c>
      <c r="K2779" s="4" t="e">
        <f t="shared" si="565"/>
        <v>#N/A</v>
      </c>
      <c r="L2779" t="e">
        <f t="shared" si="566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7"/>
        <v>0</v>
      </c>
      <c r="B2780">
        <f t="shared" si="568"/>
        <v>0</v>
      </c>
      <c r="C2780">
        <f t="shared" si="569"/>
        <v>0</v>
      </c>
      <c r="D2780">
        <f t="shared" si="570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1"/>
        <v>0</v>
      </c>
      <c r="G2780">
        <f t="shared" si="572"/>
        <v>0</v>
      </c>
      <c r="H2780">
        <f t="shared" si="573"/>
        <v>0</v>
      </c>
      <c r="I2780">
        <f t="shared" si="574"/>
        <v>0</v>
      </c>
      <c r="J2780">
        <f t="shared" si="575"/>
        <v>0</v>
      </c>
      <c r="K2780" s="4" t="e">
        <f t="shared" si="565"/>
        <v>#N/A</v>
      </c>
      <c r="L2780" t="e">
        <f t="shared" si="566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7"/>
        <v>0</v>
      </c>
      <c r="B2781">
        <f t="shared" si="568"/>
        <v>0</v>
      </c>
      <c r="C2781">
        <f t="shared" si="569"/>
        <v>0</v>
      </c>
      <c r="D2781">
        <f t="shared" si="570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1"/>
        <v>0</v>
      </c>
      <c r="G2781">
        <f t="shared" si="572"/>
        <v>0</v>
      </c>
      <c r="H2781">
        <f t="shared" si="573"/>
        <v>0</v>
      </c>
      <c r="I2781">
        <f t="shared" si="574"/>
        <v>0</v>
      </c>
      <c r="J2781">
        <f t="shared" si="575"/>
        <v>0</v>
      </c>
      <c r="K2781" s="4" t="e">
        <f t="shared" si="565"/>
        <v>#N/A</v>
      </c>
      <c r="L2781" t="e">
        <f t="shared" si="566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7"/>
        <v>0</v>
      </c>
      <c r="B2782">
        <f t="shared" si="568"/>
        <v>0</v>
      </c>
      <c r="C2782">
        <f t="shared" si="569"/>
        <v>0</v>
      </c>
      <c r="D2782">
        <f t="shared" si="570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1"/>
        <v>0</v>
      </c>
      <c r="G2782">
        <f t="shared" si="572"/>
        <v>0</v>
      </c>
      <c r="H2782">
        <f t="shared" si="573"/>
        <v>0</v>
      </c>
      <c r="I2782">
        <f t="shared" si="574"/>
        <v>0</v>
      </c>
      <c r="J2782">
        <f t="shared" si="575"/>
        <v>0</v>
      </c>
      <c r="K2782" s="4" t="e">
        <f t="shared" si="565"/>
        <v>#N/A</v>
      </c>
      <c r="L2782" t="e">
        <f t="shared" si="566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7"/>
        <v>0</v>
      </c>
      <c r="B2783">
        <f t="shared" si="568"/>
        <v>0</v>
      </c>
      <c r="C2783">
        <f t="shared" si="569"/>
        <v>0</v>
      </c>
      <c r="D2783">
        <f t="shared" si="570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1"/>
        <v>0</v>
      </c>
      <c r="G2783">
        <f t="shared" si="572"/>
        <v>0</v>
      </c>
      <c r="H2783">
        <f t="shared" si="573"/>
        <v>0</v>
      </c>
      <c r="I2783">
        <f t="shared" si="574"/>
        <v>0</v>
      </c>
      <c r="J2783">
        <f t="shared" si="575"/>
        <v>0</v>
      </c>
      <c r="K2783" s="4" t="e">
        <f t="shared" si="565"/>
        <v>#N/A</v>
      </c>
      <c r="L2783" t="e">
        <f t="shared" si="566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7"/>
        <v>0</v>
      </c>
      <c r="B2784">
        <f t="shared" si="568"/>
        <v>0</v>
      </c>
      <c r="C2784">
        <f t="shared" si="569"/>
        <v>0</v>
      </c>
      <c r="D2784">
        <f t="shared" si="570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1"/>
        <v>0</v>
      </c>
      <c r="G2784">
        <f t="shared" si="572"/>
        <v>0</v>
      </c>
      <c r="H2784">
        <f t="shared" si="573"/>
        <v>0</v>
      </c>
      <c r="I2784">
        <f t="shared" si="574"/>
        <v>0</v>
      </c>
      <c r="J2784">
        <f t="shared" si="575"/>
        <v>0</v>
      </c>
      <c r="K2784" s="4" t="e">
        <f t="shared" si="565"/>
        <v>#N/A</v>
      </c>
      <c r="L2784" t="e">
        <f t="shared" si="566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7"/>
        <v>0</v>
      </c>
      <c r="B2785">
        <f t="shared" si="568"/>
        <v>0</v>
      </c>
      <c r="C2785">
        <f t="shared" si="569"/>
        <v>0</v>
      </c>
      <c r="D2785">
        <f t="shared" si="570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1"/>
        <v>0</v>
      </c>
      <c r="G2785">
        <f t="shared" si="572"/>
        <v>0</v>
      </c>
      <c r="H2785">
        <f t="shared" si="573"/>
        <v>0</v>
      </c>
      <c r="I2785">
        <f t="shared" si="574"/>
        <v>0</v>
      </c>
      <c r="J2785">
        <f t="shared" si="575"/>
        <v>0</v>
      </c>
      <c r="K2785" s="4" t="e">
        <f t="shared" si="565"/>
        <v>#N/A</v>
      </c>
      <c r="L2785" t="e">
        <f t="shared" si="566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7"/>
        <v>0</v>
      </c>
      <c r="B2786">
        <f t="shared" si="568"/>
        <v>0</v>
      </c>
      <c r="C2786">
        <f t="shared" si="569"/>
        <v>0</v>
      </c>
      <c r="D2786">
        <f t="shared" si="570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1"/>
        <v>0</v>
      </c>
      <c r="G2786">
        <f t="shared" si="572"/>
        <v>0</v>
      </c>
      <c r="H2786">
        <f t="shared" si="573"/>
        <v>0</v>
      </c>
      <c r="I2786">
        <f t="shared" si="574"/>
        <v>0</v>
      </c>
      <c r="J2786">
        <f t="shared" si="575"/>
        <v>0</v>
      </c>
      <c r="K2786" s="4" t="e">
        <f t="shared" si="565"/>
        <v>#N/A</v>
      </c>
      <c r="L2786" t="e">
        <f t="shared" si="566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7"/>
        <v>0</v>
      </c>
      <c r="B2787">
        <f t="shared" si="568"/>
        <v>0</v>
      </c>
      <c r="C2787">
        <f t="shared" si="569"/>
        <v>0</v>
      </c>
      <c r="D2787">
        <f t="shared" si="570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1"/>
        <v>0</v>
      </c>
      <c r="G2787">
        <f t="shared" si="572"/>
        <v>0</v>
      </c>
      <c r="H2787">
        <f t="shared" si="573"/>
        <v>0</v>
      </c>
      <c r="I2787">
        <f t="shared" si="574"/>
        <v>0</v>
      </c>
      <c r="J2787">
        <f t="shared" si="575"/>
        <v>0</v>
      </c>
      <c r="K2787" s="4" t="e">
        <f t="shared" si="565"/>
        <v>#N/A</v>
      </c>
      <c r="L2787" t="e">
        <f t="shared" si="566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7"/>
        <v>0</v>
      </c>
      <c r="B2788">
        <f t="shared" si="568"/>
        <v>0</v>
      </c>
      <c r="C2788">
        <f t="shared" si="569"/>
        <v>0</v>
      </c>
      <c r="D2788">
        <f t="shared" si="570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1"/>
        <v>0</v>
      </c>
      <c r="G2788">
        <f t="shared" si="572"/>
        <v>0</v>
      </c>
      <c r="H2788">
        <f t="shared" si="573"/>
        <v>0</v>
      </c>
      <c r="I2788">
        <f t="shared" si="574"/>
        <v>0</v>
      </c>
      <c r="J2788">
        <f t="shared" si="575"/>
        <v>0</v>
      </c>
      <c r="K2788" s="4" t="e">
        <f t="shared" si="565"/>
        <v>#N/A</v>
      </c>
      <c r="L2788" t="e">
        <f t="shared" si="566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7"/>
        <v>0</v>
      </c>
      <c r="B2789">
        <f t="shared" si="568"/>
        <v>0</v>
      </c>
      <c r="C2789">
        <f t="shared" si="569"/>
        <v>0</v>
      </c>
      <c r="D2789">
        <f t="shared" si="570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1"/>
        <v>0</v>
      </c>
      <c r="G2789">
        <f t="shared" si="572"/>
        <v>0</v>
      </c>
      <c r="H2789">
        <f t="shared" si="573"/>
        <v>0</v>
      </c>
      <c r="I2789">
        <f t="shared" si="574"/>
        <v>0</v>
      </c>
      <c r="J2789">
        <f t="shared" si="575"/>
        <v>0</v>
      </c>
      <c r="K2789" s="4" t="e">
        <f t="shared" si="565"/>
        <v>#N/A</v>
      </c>
      <c r="L2789" t="e">
        <f t="shared" si="566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7"/>
        <v>0</v>
      </c>
      <c r="B2790">
        <f t="shared" si="568"/>
        <v>0</v>
      </c>
      <c r="C2790">
        <f t="shared" si="569"/>
        <v>0</v>
      </c>
      <c r="D2790">
        <f t="shared" si="570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1"/>
        <v>0</v>
      </c>
      <c r="G2790">
        <f t="shared" si="572"/>
        <v>0</v>
      </c>
      <c r="H2790">
        <f t="shared" si="573"/>
        <v>0</v>
      </c>
      <c r="I2790">
        <f t="shared" si="574"/>
        <v>0</v>
      </c>
      <c r="J2790">
        <f t="shared" si="575"/>
        <v>0</v>
      </c>
      <c r="K2790" s="4" t="e">
        <f t="shared" si="565"/>
        <v>#N/A</v>
      </c>
      <c r="L2790" t="e">
        <f t="shared" si="566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7"/>
        <v>0</v>
      </c>
      <c r="B2791">
        <f t="shared" si="568"/>
        <v>0</v>
      </c>
      <c r="C2791">
        <f t="shared" si="569"/>
        <v>0</v>
      </c>
      <c r="D2791">
        <f t="shared" si="570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1"/>
        <v>0</v>
      </c>
      <c r="G2791">
        <f t="shared" si="572"/>
        <v>0</v>
      </c>
      <c r="H2791">
        <f t="shared" si="573"/>
        <v>0</v>
      </c>
      <c r="I2791">
        <f t="shared" si="574"/>
        <v>0</v>
      </c>
      <c r="J2791">
        <f t="shared" si="575"/>
        <v>0</v>
      </c>
      <c r="K2791" s="4" t="e">
        <f t="shared" si="565"/>
        <v>#N/A</v>
      </c>
      <c r="L2791" t="e">
        <f t="shared" si="566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7"/>
        <v>0</v>
      </c>
      <c r="B2792">
        <f t="shared" si="568"/>
        <v>0</v>
      </c>
      <c r="C2792">
        <f t="shared" si="569"/>
        <v>0</v>
      </c>
      <c r="D2792">
        <f t="shared" si="570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1"/>
        <v>0</v>
      </c>
      <c r="G2792">
        <f t="shared" si="572"/>
        <v>0</v>
      </c>
      <c r="H2792">
        <f t="shared" si="573"/>
        <v>0</v>
      </c>
      <c r="I2792">
        <f t="shared" si="574"/>
        <v>0</v>
      </c>
      <c r="J2792">
        <f t="shared" si="575"/>
        <v>0</v>
      </c>
      <c r="K2792" s="4" t="e">
        <f t="shared" si="565"/>
        <v>#N/A</v>
      </c>
      <c r="L2792" t="e">
        <f t="shared" si="566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7"/>
        <v>0</v>
      </c>
      <c r="B2793">
        <f t="shared" si="568"/>
        <v>0</v>
      </c>
      <c r="C2793">
        <f t="shared" si="569"/>
        <v>0</v>
      </c>
      <c r="D2793">
        <f t="shared" si="570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1"/>
        <v>0</v>
      </c>
      <c r="G2793">
        <f t="shared" si="572"/>
        <v>0</v>
      </c>
      <c r="H2793">
        <f t="shared" si="573"/>
        <v>0</v>
      </c>
      <c r="I2793">
        <f t="shared" si="574"/>
        <v>0</v>
      </c>
      <c r="J2793">
        <f t="shared" si="575"/>
        <v>0</v>
      </c>
      <c r="K2793" s="4" t="e">
        <f t="shared" si="565"/>
        <v>#N/A</v>
      </c>
      <c r="L2793" t="e">
        <f t="shared" si="566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7"/>
        <v>0</v>
      </c>
      <c r="B2794">
        <f t="shared" si="568"/>
        <v>0</v>
      </c>
      <c r="C2794">
        <f t="shared" si="569"/>
        <v>0</v>
      </c>
      <c r="D2794">
        <f t="shared" si="570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1"/>
        <v>0</v>
      </c>
      <c r="G2794">
        <f t="shared" si="572"/>
        <v>0</v>
      </c>
      <c r="H2794">
        <f t="shared" si="573"/>
        <v>0</v>
      </c>
      <c r="I2794">
        <f t="shared" si="574"/>
        <v>0</v>
      </c>
      <c r="J2794">
        <f t="shared" si="575"/>
        <v>0</v>
      </c>
      <c r="K2794" s="4" t="e">
        <f t="shared" si="565"/>
        <v>#N/A</v>
      </c>
      <c r="L2794" t="e">
        <f t="shared" si="566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7"/>
        <v>0</v>
      </c>
      <c r="B2795">
        <f t="shared" si="568"/>
        <v>0</v>
      </c>
      <c r="C2795">
        <f t="shared" si="569"/>
        <v>0</v>
      </c>
      <c r="D2795">
        <f t="shared" si="570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1"/>
        <v>0</v>
      </c>
      <c r="G2795">
        <f t="shared" si="572"/>
        <v>0</v>
      </c>
      <c r="H2795">
        <f t="shared" si="573"/>
        <v>0</v>
      </c>
      <c r="I2795">
        <f t="shared" si="574"/>
        <v>0</v>
      </c>
      <c r="J2795">
        <f t="shared" si="575"/>
        <v>0</v>
      </c>
      <c r="K2795" s="4" t="e">
        <f t="shared" si="565"/>
        <v>#N/A</v>
      </c>
      <c r="L2795" t="e">
        <f t="shared" si="566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7"/>
        <v>0</v>
      </c>
      <c r="B2796">
        <f t="shared" si="568"/>
        <v>0</v>
      </c>
      <c r="C2796">
        <f t="shared" si="569"/>
        <v>0</v>
      </c>
      <c r="D2796">
        <f t="shared" si="570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1"/>
        <v>0</v>
      </c>
      <c r="G2796">
        <f t="shared" si="572"/>
        <v>0</v>
      </c>
      <c r="H2796">
        <f t="shared" si="573"/>
        <v>0</v>
      </c>
      <c r="I2796">
        <f t="shared" si="574"/>
        <v>0</v>
      </c>
      <c r="J2796">
        <f t="shared" si="575"/>
        <v>0</v>
      </c>
      <c r="K2796" s="4" t="e">
        <f t="shared" ref="K2796:K2859" si="578">IF(LEFT(B2796,3)="DBM",0,VLOOKUP(E2796,tabela,2,FALSE))</f>
        <v>#N/A</v>
      </c>
      <c r="L2796" t="e">
        <f t="shared" ref="L2796:L2859" si="579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7"/>
        <v>0</v>
      </c>
      <c r="B2797">
        <f t="shared" si="568"/>
        <v>0</v>
      </c>
      <c r="C2797">
        <f t="shared" si="569"/>
        <v>0</v>
      </c>
      <c r="D2797">
        <f t="shared" si="570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1"/>
        <v>0</v>
      </c>
      <c r="G2797">
        <f t="shared" si="572"/>
        <v>0</v>
      </c>
      <c r="H2797">
        <f t="shared" si="573"/>
        <v>0</v>
      </c>
      <c r="I2797">
        <f t="shared" si="574"/>
        <v>0</v>
      </c>
      <c r="J2797">
        <f t="shared" si="575"/>
        <v>0</v>
      </c>
      <c r="K2797" s="4" t="e">
        <f t="shared" si="578"/>
        <v>#N/A</v>
      </c>
      <c r="L2797" t="e">
        <f t="shared" si="579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7"/>
        <v>0</v>
      </c>
      <c r="B2798">
        <f t="shared" si="568"/>
        <v>0</v>
      </c>
      <c r="C2798">
        <f t="shared" si="569"/>
        <v>0</v>
      </c>
      <c r="D2798">
        <f t="shared" si="570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1"/>
        <v>0</v>
      </c>
      <c r="G2798">
        <f t="shared" si="572"/>
        <v>0</v>
      </c>
      <c r="H2798">
        <f t="shared" si="573"/>
        <v>0</v>
      </c>
      <c r="I2798">
        <f t="shared" si="574"/>
        <v>0</v>
      </c>
      <c r="J2798">
        <f t="shared" si="575"/>
        <v>0</v>
      </c>
      <c r="K2798" s="4" t="e">
        <f t="shared" si="578"/>
        <v>#N/A</v>
      </c>
      <c r="L2798" t="e">
        <f t="shared" si="579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7"/>
        <v>0</v>
      </c>
      <c r="B2799">
        <f t="shared" si="568"/>
        <v>0</v>
      </c>
      <c r="C2799">
        <f t="shared" si="569"/>
        <v>0</v>
      </c>
      <c r="D2799">
        <f t="shared" si="570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1"/>
        <v>0</v>
      </c>
      <c r="G2799">
        <f t="shared" si="572"/>
        <v>0</v>
      </c>
      <c r="H2799">
        <f t="shared" si="573"/>
        <v>0</v>
      </c>
      <c r="I2799">
        <f t="shared" si="574"/>
        <v>0</v>
      </c>
      <c r="J2799">
        <f t="shared" si="575"/>
        <v>0</v>
      </c>
      <c r="K2799" s="4" t="e">
        <f t="shared" si="578"/>
        <v>#N/A</v>
      </c>
      <c r="L2799" t="e">
        <f t="shared" si="579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7"/>
        <v>0</v>
      </c>
      <c r="B2800">
        <f t="shared" si="568"/>
        <v>0</v>
      </c>
      <c r="C2800">
        <f t="shared" si="569"/>
        <v>0</v>
      </c>
      <c r="D2800">
        <f t="shared" si="570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1"/>
        <v>0</v>
      </c>
      <c r="G2800">
        <f t="shared" si="572"/>
        <v>0</v>
      </c>
      <c r="H2800">
        <f t="shared" si="573"/>
        <v>0</v>
      </c>
      <c r="I2800">
        <f t="shared" si="574"/>
        <v>0</v>
      </c>
      <c r="J2800">
        <f t="shared" si="575"/>
        <v>0</v>
      </c>
      <c r="K2800" s="4" t="e">
        <f t="shared" si="578"/>
        <v>#N/A</v>
      </c>
      <c r="L2800" t="e">
        <f t="shared" si="579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7"/>
        <v>0</v>
      </c>
      <c r="B2801">
        <f t="shared" si="568"/>
        <v>0</v>
      </c>
      <c r="C2801">
        <f t="shared" si="569"/>
        <v>0</v>
      </c>
      <c r="D2801">
        <f t="shared" si="570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1"/>
        <v>0</v>
      </c>
      <c r="G2801">
        <f t="shared" si="572"/>
        <v>0</v>
      </c>
      <c r="H2801">
        <f t="shared" si="573"/>
        <v>0</v>
      </c>
      <c r="I2801">
        <f t="shared" si="574"/>
        <v>0</v>
      </c>
      <c r="J2801">
        <f t="shared" si="575"/>
        <v>0</v>
      </c>
      <c r="K2801" s="4" t="e">
        <f t="shared" si="578"/>
        <v>#N/A</v>
      </c>
      <c r="L2801" t="e">
        <f t="shared" si="579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7"/>
        <v>0</v>
      </c>
      <c r="B2802">
        <f t="shared" si="568"/>
        <v>0</v>
      </c>
      <c r="C2802">
        <f t="shared" si="569"/>
        <v>0</v>
      </c>
      <c r="D2802">
        <f t="shared" si="570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1"/>
        <v>0</v>
      </c>
      <c r="G2802">
        <f t="shared" si="572"/>
        <v>0</v>
      </c>
      <c r="H2802">
        <f t="shared" si="573"/>
        <v>0</v>
      </c>
      <c r="I2802">
        <f t="shared" si="574"/>
        <v>0</v>
      </c>
      <c r="J2802">
        <f t="shared" si="575"/>
        <v>0</v>
      </c>
      <c r="K2802" s="4" t="e">
        <f t="shared" si="578"/>
        <v>#N/A</v>
      </c>
      <c r="L2802" t="e">
        <f t="shared" si="579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7"/>
        <v>0</v>
      </c>
      <c r="B2803">
        <f t="shared" si="568"/>
        <v>0</v>
      </c>
      <c r="C2803">
        <f t="shared" si="569"/>
        <v>0</v>
      </c>
      <c r="D2803">
        <f t="shared" si="570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1"/>
        <v>0</v>
      </c>
      <c r="G2803">
        <f t="shared" si="572"/>
        <v>0</v>
      </c>
      <c r="H2803">
        <f t="shared" si="573"/>
        <v>0</v>
      </c>
      <c r="I2803">
        <f t="shared" si="574"/>
        <v>0</v>
      </c>
      <c r="J2803">
        <f t="shared" si="575"/>
        <v>0</v>
      </c>
      <c r="K2803" s="4" t="e">
        <f t="shared" si="578"/>
        <v>#N/A</v>
      </c>
      <c r="L2803" t="e">
        <f t="shared" si="579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7"/>
        <v>0</v>
      </c>
      <c r="B2804">
        <f t="shared" si="568"/>
        <v>0</v>
      </c>
      <c r="C2804">
        <f t="shared" si="569"/>
        <v>0</v>
      </c>
      <c r="D2804">
        <f t="shared" si="570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1"/>
        <v>0</v>
      </c>
      <c r="G2804">
        <f t="shared" si="572"/>
        <v>0</v>
      </c>
      <c r="H2804">
        <f t="shared" si="573"/>
        <v>0</v>
      </c>
      <c r="I2804">
        <f t="shared" si="574"/>
        <v>0</v>
      </c>
      <c r="J2804">
        <f t="shared" si="575"/>
        <v>0</v>
      </c>
      <c r="K2804" s="4" t="e">
        <f t="shared" si="578"/>
        <v>#N/A</v>
      </c>
      <c r="L2804" t="e">
        <f t="shared" si="579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7"/>
        <v>0</v>
      </c>
      <c r="B2805">
        <f t="shared" si="568"/>
        <v>0</v>
      </c>
      <c r="C2805">
        <f t="shared" si="569"/>
        <v>0</v>
      </c>
      <c r="D2805">
        <f t="shared" si="570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1"/>
        <v>0</v>
      </c>
      <c r="G2805">
        <f t="shared" si="572"/>
        <v>0</v>
      </c>
      <c r="H2805">
        <f t="shared" si="573"/>
        <v>0</v>
      </c>
      <c r="I2805">
        <f t="shared" si="574"/>
        <v>0</v>
      </c>
      <c r="J2805">
        <f t="shared" si="575"/>
        <v>0</v>
      </c>
      <c r="K2805" s="4" t="e">
        <f t="shared" si="578"/>
        <v>#N/A</v>
      </c>
      <c r="L2805" t="e">
        <f t="shared" si="579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7"/>
        <v>0</v>
      </c>
      <c r="B2806">
        <f t="shared" si="568"/>
        <v>0</v>
      </c>
      <c r="C2806">
        <f t="shared" si="569"/>
        <v>0</v>
      </c>
      <c r="D2806">
        <f t="shared" si="570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1"/>
        <v>0</v>
      </c>
      <c r="G2806">
        <f t="shared" si="572"/>
        <v>0</v>
      </c>
      <c r="H2806">
        <f t="shared" si="573"/>
        <v>0</v>
      </c>
      <c r="I2806">
        <f t="shared" si="574"/>
        <v>0</v>
      </c>
      <c r="J2806">
        <f t="shared" si="575"/>
        <v>0</v>
      </c>
      <c r="K2806" s="4" t="e">
        <f t="shared" si="578"/>
        <v>#N/A</v>
      </c>
      <c r="L2806" t="e">
        <f t="shared" si="579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7"/>
        <v>0</v>
      </c>
      <c r="B2807">
        <f t="shared" si="568"/>
        <v>0</v>
      </c>
      <c r="C2807">
        <f t="shared" si="569"/>
        <v>0</v>
      </c>
      <c r="D2807">
        <f t="shared" si="570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1"/>
        <v>0</v>
      </c>
      <c r="G2807">
        <f t="shared" si="572"/>
        <v>0</v>
      </c>
      <c r="H2807">
        <f t="shared" si="573"/>
        <v>0</v>
      </c>
      <c r="I2807">
        <f t="shared" si="574"/>
        <v>0</v>
      </c>
      <c r="J2807">
        <f t="shared" si="575"/>
        <v>0</v>
      </c>
      <c r="K2807" s="4" t="e">
        <f t="shared" si="578"/>
        <v>#N/A</v>
      </c>
      <c r="L2807" t="e">
        <f t="shared" si="579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7"/>
        <v>0</v>
      </c>
      <c r="B2808">
        <f t="shared" si="568"/>
        <v>0</v>
      </c>
      <c r="C2808">
        <f t="shared" si="569"/>
        <v>0</v>
      </c>
      <c r="D2808">
        <f t="shared" si="570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1"/>
        <v>0</v>
      </c>
      <c r="G2808">
        <f t="shared" si="572"/>
        <v>0</v>
      </c>
      <c r="H2808">
        <f t="shared" si="573"/>
        <v>0</v>
      </c>
      <c r="I2808">
        <f t="shared" si="574"/>
        <v>0</v>
      </c>
      <c r="J2808">
        <f t="shared" si="575"/>
        <v>0</v>
      </c>
      <c r="K2808" s="4" t="e">
        <f t="shared" si="578"/>
        <v>#N/A</v>
      </c>
      <c r="L2808" t="e">
        <f t="shared" si="579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7"/>
        <v>0</v>
      </c>
      <c r="B2809">
        <f t="shared" si="568"/>
        <v>0</v>
      </c>
      <c r="C2809">
        <f t="shared" si="569"/>
        <v>0</v>
      </c>
      <c r="D2809">
        <f t="shared" si="570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1"/>
        <v>0</v>
      </c>
      <c r="G2809">
        <f t="shared" si="572"/>
        <v>0</v>
      </c>
      <c r="H2809">
        <f t="shared" si="573"/>
        <v>0</v>
      </c>
      <c r="I2809">
        <f t="shared" si="574"/>
        <v>0</v>
      </c>
      <c r="J2809">
        <f t="shared" si="575"/>
        <v>0</v>
      </c>
      <c r="K2809" s="4" t="e">
        <f t="shared" si="578"/>
        <v>#N/A</v>
      </c>
      <c r="L2809" t="e">
        <f t="shared" si="579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7"/>
        <v>0</v>
      </c>
      <c r="B2810">
        <f t="shared" si="568"/>
        <v>0</v>
      </c>
      <c r="C2810">
        <f t="shared" si="569"/>
        <v>0</v>
      </c>
      <c r="D2810">
        <f t="shared" si="570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1"/>
        <v>0</v>
      </c>
      <c r="G2810">
        <f t="shared" si="572"/>
        <v>0</v>
      </c>
      <c r="H2810">
        <f t="shared" si="573"/>
        <v>0</v>
      </c>
      <c r="I2810">
        <f t="shared" si="574"/>
        <v>0</v>
      </c>
      <c r="J2810">
        <f t="shared" si="575"/>
        <v>0</v>
      </c>
      <c r="K2810" s="4" t="e">
        <f t="shared" si="578"/>
        <v>#N/A</v>
      </c>
      <c r="L2810" t="e">
        <f t="shared" si="579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7"/>
        <v>0</v>
      </c>
      <c r="B2811">
        <f t="shared" si="568"/>
        <v>0</v>
      </c>
      <c r="C2811">
        <f t="shared" si="569"/>
        <v>0</v>
      </c>
      <c r="D2811">
        <f t="shared" si="570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1"/>
        <v>0</v>
      </c>
      <c r="G2811">
        <f t="shared" si="572"/>
        <v>0</v>
      </c>
      <c r="H2811">
        <f t="shared" si="573"/>
        <v>0</v>
      </c>
      <c r="I2811">
        <f t="shared" si="574"/>
        <v>0</v>
      </c>
      <c r="J2811">
        <f t="shared" si="575"/>
        <v>0</v>
      </c>
      <c r="K2811" s="4" t="e">
        <f t="shared" si="578"/>
        <v>#N/A</v>
      </c>
      <c r="L2811" t="e">
        <f t="shared" si="579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7"/>
        <v>0</v>
      </c>
      <c r="B2812">
        <f t="shared" si="568"/>
        <v>0</v>
      </c>
      <c r="C2812">
        <f t="shared" si="569"/>
        <v>0</v>
      </c>
      <c r="D2812">
        <f t="shared" si="570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1"/>
        <v>0</v>
      </c>
      <c r="G2812">
        <f t="shared" si="572"/>
        <v>0</v>
      </c>
      <c r="H2812">
        <f t="shared" si="573"/>
        <v>0</v>
      </c>
      <c r="I2812">
        <f t="shared" si="574"/>
        <v>0</v>
      </c>
      <c r="J2812">
        <f t="shared" si="575"/>
        <v>0</v>
      </c>
      <c r="K2812" s="4" t="e">
        <f t="shared" si="578"/>
        <v>#N/A</v>
      </c>
      <c r="L2812" t="e">
        <f t="shared" si="579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7"/>
        <v>0</v>
      </c>
      <c r="B2813">
        <f t="shared" si="568"/>
        <v>0</v>
      </c>
      <c r="C2813">
        <f t="shared" si="569"/>
        <v>0</v>
      </c>
      <c r="D2813">
        <f t="shared" si="570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1"/>
        <v>0</v>
      </c>
      <c r="G2813">
        <f t="shared" si="572"/>
        <v>0</v>
      </c>
      <c r="H2813">
        <f t="shared" si="573"/>
        <v>0</v>
      </c>
      <c r="I2813">
        <f t="shared" si="574"/>
        <v>0</v>
      </c>
      <c r="J2813">
        <f t="shared" si="575"/>
        <v>0</v>
      </c>
      <c r="K2813" s="4" t="e">
        <f t="shared" si="578"/>
        <v>#N/A</v>
      </c>
      <c r="L2813" t="e">
        <f t="shared" si="579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7"/>
        <v>0</v>
      </c>
      <c r="B2814">
        <f t="shared" si="568"/>
        <v>0</v>
      </c>
      <c r="C2814">
        <f t="shared" si="569"/>
        <v>0</v>
      </c>
      <c r="D2814">
        <f t="shared" si="570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1"/>
        <v>0</v>
      </c>
      <c r="G2814">
        <f t="shared" si="572"/>
        <v>0</v>
      </c>
      <c r="H2814">
        <f t="shared" si="573"/>
        <v>0</v>
      </c>
      <c r="I2814">
        <f t="shared" si="574"/>
        <v>0</v>
      </c>
      <c r="J2814">
        <f t="shared" si="575"/>
        <v>0</v>
      </c>
      <c r="K2814" s="4" t="e">
        <f t="shared" si="578"/>
        <v>#N/A</v>
      </c>
      <c r="L2814" t="e">
        <f t="shared" si="579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7"/>
        <v>0</v>
      </c>
      <c r="B2815">
        <f t="shared" si="568"/>
        <v>0</v>
      </c>
      <c r="C2815">
        <f t="shared" si="569"/>
        <v>0</v>
      </c>
      <c r="D2815">
        <f t="shared" si="570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1"/>
        <v>0</v>
      </c>
      <c r="G2815">
        <f t="shared" si="572"/>
        <v>0</v>
      </c>
      <c r="H2815">
        <f t="shared" si="573"/>
        <v>0</v>
      </c>
      <c r="I2815">
        <f t="shared" si="574"/>
        <v>0</v>
      </c>
      <c r="J2815">
        <f t="shared" si="575"/>
        <v>0</v>
      </c>
      <c r="K2815" s="4" t="e">
        <f t="shared" si="578"/>
        <v>#N/A</v>
      </c>
      <c r="L2815" t="e">
        <f t="shared" si="579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7"/>
        <v>0</v>
      </c>
      <c r="B2816">
        <f t="shared" si="568"/>
        <v>0</v>
      </c>
      <c r="C2816">
        <f t="shared" si="569"/>
        <v>0</v>
      </c>
      <c r="D2816">
        <f t="shared" si="570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1"/>
        <v>0</v>
      </c>
      <c r="G2816">
        <f t="shared" si="572"/>
        <v>0</v>
      </c>
      <c r="H2816">
        <f t="shared" si="573"/>
        <v>0</v>
      </c>
      <c r="I2816">
        <f t="shared" si="574"/>
        <v>0</v>
      </c>
      <c r="J2816">
        <f t="shared" si="575"/>
        <v>0</v>
      </c>
      <c r="K2816" s="4" t="e">
        <f t="shared" si="578"/>
        <v>#N/A</v>
      </c>
      <c r="L2816" t="e">
        <f t="shared" si="579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7"/>
        <v>0</v>
      </c>
      <c r="B2817">
        <f t="shared" si="568"/>
        <v>0</v>
      </c>
      <c r="C2817">
        <f t="shared" si="569"/>
        <v>0</v>
      </c>
      <c r="D2817">
        <f t="shared" si="570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1"/>
        <v>0</v>
      </c>
      <c r="G2817">
        <f t="shared" si="572"/>
        <v>0</v>
      </c>
      <c r="H2817">
        <f t="shared" si="573"/>
        <v>0</v>
      </c>
      <c r="I2817">
        <f t="shared" si="574"/>
        <v>0</v>
      </c>
      <c r="J2817">
        <f t="shared" si="575"/>
        <v>0</v>
      </c>
      <c r="K2817" s="4" t="e">
        <f t="shared" si="578"/>
        <v>#N/A</v>
      </c>
      <c r="L2817" t="e">
        <f t="shared" si="579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80">bd_campaign</f>
        <v>0</v>
      </c>
      <c r="B2818">
        <f t="shared" ref="B2818:B2881" si="581">bd_site</f>
        <v>0</v>
      </c>
      <c r="C2818">
        <f t="shared" ref="C2818:C2881" si="582">bd_placement</f>
        <v>0</v>
      </c>
      <c r="D2818">
        <f t="shared" ref="D2818:D2881" si="583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4">bd_ad</f>
        <v>0</v>
      </c>
      <c r="G2818">
        <f t="shared" ref="G2818:G2881" si="585">bd_adid</f>
        <v>0</v>
      </c>
      <c r="H2818">
        <f t="shared" ref="H2818:H2881" si="586">bd_creativetype</f>
        <v>0</v>
      </c>
      <c r="I2818">
        <f t="shared" ref="I2818:I2881" si="587">bd_impression</f>
        <v>0</v>
      </c>
      <c r="J2818">
        <f t="shared" ref="J2818:J2881" si="588">bd_clicks</f>
        <v>0</v>
      </c>
      <c r="K2818" s="4" t="e">
        <f t="shared" si="578"/>
        <v>#N/A</v>
      </c>
      <c r="L2818" t="e">
        <f t="shared" si="579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80"/>
        <v>0</v>
      </c>
      <c r="B2819">
        <f t="shared" si="581"/>
        <v>0</v>
      </c>
      <c r="C2819">
        <f t="shared" si="582"/>
        <v>0</v>
      </c>
      <c r="D2819">
        <f t="shared" si="583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4"/>
        <v>0</v>
      </c>
      <c r="G2819">
        <f t="shared" si="585"/>
        <v>0</v>
      </c>
      <c r="H2819">
        <f t="shared" si="586"/>
        <v>0</v>
      </c>
      <c r="I2819">
        <f t="shared" si="587"/>
        <v>0</v>
      </c>
      <c r="J2819">
        <f t="shared" si="588"/>
        <v>0</v>
      </c>
      <c r="K2819" s="4" t="e">
        <f t="shared" si="578"/>
        <v>#N/A</v>
      </c>
      <c r="L2819" t="e">
        <f t="shared" si="579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80"/>
        <v>0</v>
      </c>
      <c r="B2820">
        <f t="shared" si="581"/>
        <v>0</v>
      </c>
      <c r="C2820">
        <f t="shared" si="582"/>
        <v>0</v>
      </c>
      <c r="D2820">
        <f t="shared" si="583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4"/>
        <v>0</v>
      </c>
      <c r="G2820">
        <f t="shared" si="585"/>
        <v>0</v>
      </c>
      <c r="H2820">
        <f t="shared" si="586"/>
        <v>0</v>
      </c>
      <c r="I2820">
        <f t="shared" si="587"/>
        <v>0</v>
      </c>
      <c r="J2820">
        <f t="shared" si="588"/>
        <v>0</v>
      </c>
      <c r="K2820" s="4" t="e">
        <f t="shared" si="578"/>
        <v>#N/A</v>
      </c>
      <c r="L2820" t="e">
        <f t="shared" si="579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80"/>
        <v>0</v>
      </c>
      <c r="B2821">
        <f t="shared" si="581"/>
        <v>0</v>
      </c>
      <c r="C2821">
        <f t="shared" si="582"/>
        <v>0</v>
      </c>
      <c r="D2821">
        <f t="shared" si="583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4"/>
        <v>0</v>
      </c>
      <c r="G2821">
        <f t="shared" si="585"/>
        <v>0</v>
      </c>
      <c r="H2821">
        <f t="shared" si="586"/>
        <v>0</v>
      </c>
      <c r="I2821">
        <f t="shared" si="587"/>
        <v>0</v>
      </c>
      <c r="J2821">
        <f t="shared" si="588"/>
        <v>0</v>
      </c>
      <c r="K2821" s="4" t="e">
        <f t="shared" si="578"/>
        <v>#N/A</v>
      </c>
      <c r="L2821" t="e">
        <f t="shared" si="579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80"/>
        <v>0</v>
      </c>
      <c r="B2822">
        <f t="shared" si="581"/>
        <v>0</v>
      </c>
      <c r="C2822">
        <f t="shared" si="582"/>
        <v>0</v>
      </c>
      <c r="D2822">
        <f t="shared" si="583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4"/>
        <v>0</v>
      </c>
      <c r="G2822">
        <f t="shared" si="585"/>
        <v>0</v>
      </c>
      <c r="H2822">
        <f t="shared" si="586"/>
        <v>0</v>
      </c>
      <c r="I2822">
        <f t="shared" si="587"/>
        <v>0</v>
      </c>
      <c r="J2822">
        <f t="shared" si="588"/>
        <v>0</v>
      </c>
      <c r="K2822" s="4" t="e">
        <f t="shared" si="578"/>
        <v>#N/A</v>
      </c>
      <c r="L2822" t="e">
        <f t="shared" si="579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80"/>
        <v>0</v>
      </c>
      <c r="B2823">
        <f t="shared" si="581"/>
        <v>0</v>
      </c>
      <c r="C2823">
        <f t="shared" si="582"/>
        <v>0</v>
      </c>
      <c r="D2823">
        <f t="shared" si="583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4"/>
        <v>0</v>
      </c>
      <c r="G2823">
        <f t="shared" si="585"/>
        <v>0</v>
      </c>
      <c r="H2823">
        <f t="shared" si="586"/>
        <v>0</v>
      </c>
      <c r="I2823">
        <f t="shared" si="587"/>
        <v>0</v>
      </c>
      <c r="J2823">
        <f t="shared" si="588"/>
        <v>0</v>
      </c>
      <c r="K2823" s="4" t="e">
        <f t="shared" si="578"/>
        <v>#N/A</v>
      </c>
      <c r="L2823" t="e">
        <f t="shared" si="579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80"/>
        <v>0</v>
      </c>
      <c r="B2824">
        <f t="shared" si="581"/>
        <v>0</v>
      </c>
      <c r="C2824">
        <f t="shared" si="582"/>
        <v>0</v>
      </c>
      <c r="D2824">
        <f t="shared" si="583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4"/>
        <v>0</v>
      </c>
      <c r="G2824">
        <f t="shared" si="585"/>
        <v>0</v>
      </c>
      <c r="H2824">
        <f t="shared" si="586"/>
        <v>0</v>
      </c>
      <c r="I2824">
        <f t="shared" si="587"/>
        <v>0</v>
      </c>
      <c r="J2824">
        <f t="shared" si="588"/>
        <v>0</v>
      </c>
      <c r="K2824" s="4" t="e">
        <f t="shared" si="578"/>
        <v>#N/A</v>
      </c>
      <c r="L2824" t="e">
        <f t="shared" si="579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80"/>
        <v>0</v>
      </c>
      <c r="B2825">
        <f t="shared" si="581"/>
        <v>0</v>
      </c>
      <c r="C2825">
        <f t="shared" si="582"/>
        <v>0</v>
      </c>
      <c r="D2825">
        <f t="shared" si="583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4"/>
        <v>0</v>
      </c>
      <c r="G2825">
        <f t="shared" si="585"/>
        <v>0</v>
      </c>
      <c r="H2825">
        <f t="shared" si="586"/>
        <v>0</v>
      </c>
      <c r="I2825">
        <f t="shared" si="587"/>
        <v>0</v>
      </c>
      <c r="J2825">
        <f t="shared" si="588"/>
        <v>0</v>
      </c>
      <c r="K2825" s="4" t="e">
        <f t="shared" si="578"/>
        <v>#N/A</v>
      </c>
      <c r="L2825" t="e">
        <f t="shared" si="579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80"/>
        <v>0</v>
      </c>
      <c r="B2826">
        <f t="shared" si="581"/>
        <v>0</v>
      </c>
      <c r="C2826">
        <f t="shared" si="582"/>
        <v>0</v>
      </c>
      <c r="D2826">
        <f t="shared" si="583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4"/>
        <v>0</v>
      </c>
      <c r="G2826">
        <f t="shared" si="585"/>
        <v>0</v>
      </c>
      <c r="H2826">
        <f t="shared" si="586"/>
        <v>0</v>
      </c>
      <c r="I2826">
        <f t="shared" si="587"/>
        <v>0</v>
      </c>
      <c r="J2826">
        <f t="shared" si="588"/>
        <v>0</v>
      </c>
      <c r="K2826" s="4" t="e">
        <f t="shared" si="578"/>
        <v>#N/A</v>
      </c>
      <c r="L2826" t="e">
        <f t="shared" si="579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80"/>
        <v>0</v>
      </c>
      <c r="B2827">
        <f t="shared" si="581"/>
        <v>0</v>
      </c>
      <c r="C2827">
        <f t="shared" si="582"/>
        <v>0</v>
      </c>
      <c r="D2827">
        <f t="shared" si="583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4"/>
        <v>0</v>
      </c>
      <c r="G2827">
        <f t="shared" si="585"/>
        <v>0</v>
      </c>
      <c r="H2827">
        <f t="shared" si="586"/>
        <v>0</v>
      </c>
      <c r="I2827">
        <f t="shared" si="587"/>
        <v>0</v>
      </c>
      <c r="J2827">
        <f t="shared" si="588"/>
        <v>0</v>
      </c>
      <c r="K2827" s="4" t="e">
        <f t="shared" si="578"/>
        <v>#N/A</v>
      </c>
      <c r="L2827" t="e">
        <f t="shared" si="579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80"/>
        <v>0</v>
      </c>
      <c r="B2828">
        <f t="shared" si="581"/>
        <v>0</v>
      </c>
      <c r="C2828">
        <f t="shared" si="582"/>
        <v>0</v>
      </c>
      <c r="D2828">
        <f t="shared" si="583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4"/>
        <v>0</v>
      </c>
      <c r="G2828">
        <f t="shared" si="585"/>
        <v>0</v>
      </c>
      <c r="H2828">
        <f t="shared" si="586"/>
        <v>0</v>
      </c>
      <c r="I2828">
        <f t="shared" si="587"/>
        <v>0</v>
      </c>
      <c r="J2828">
        <f t="shared" si="588"/>
        <v>0</v>
      </c>
      <c r="K2828" s="4" t="e">
        <f t="shared" si="578"/>
        <v>#N/A</v>
      </c>
      <c r="L2828" t="e">
        <f t="shared" si="579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80"/>
        <v>0</v>
      </c>
      <c r="B2829">
        <f t="shared" si="581"/>
        <v>0</v>
      </c>
      <c r="C2829">
        <f t="shared" si="582"/>
        <v>0</v>
      </c>
      <c r="D2829">
        <f t="shared" si="583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4"/>
        <v>0</v>
      </c>
      <c r="G2829">
        <f t="shared" si="585"/>
        <v>0</v>
      </c>
      <c r="H2829">
        <f t="shared" si="586"/>
        <v>0</v>
      </c>
      <c r="I2829">
        <f t="shared" si="587"/>
        <v>0</v>
      </c>
      <c r="J2829">
        <f t="shared" si="588"/>
        <v>0</v>
      </c>
      <c r="K2829" s="4" t="e">
        <f t="shared" si="578"/>
        <v>#N/A</v>
      </c>
      <c r="L2829" t="e">
        <f t="shared" si="579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80"/>
        <v>0</v>
      </c>
      <c r="B2830">
        <f t="shared" si="581"/>
        <v>0</v>
      </c>
      <c r="C2830">
        <f t="shared" si="582"/>
        <v>0</v>
      </c>
      <c r="D2830">
        <f t="shared" si="583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4"/>
        <v>0</v>
      </c>
      <c r="G2830">
        <f t="shared" si="585"/>
        <v>0</v>
      </c>
      <c r="H2830">
        <f t="shared" si="586"/>
        <v>0</v>
      </c>
      <c r="I2830">
        <f t="shared" si="587"/>
        <v>0</v>
      </c>
      <c r="J2830">
        <f t="shared" si="588"/>
        <v>0</v>
      </c>
      <c r="K2830" s="4" t="e">
        <f t="shared" si="578"/>
        <v>#N/A</v>
      </c>
      <c r="L2830" t="e">
        <f t="shared" si="579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80"/>
        <v>0</v>
      </c>
      <c r="B2831">
        <f t="shared" si="581"/>
        <v>0</v>
      </c>
      <c r="C2831">
        <f t="shared" si="582"/>
        <v>0</v>
      </c>
      <c r="D2831">
        <f t="shared" si="583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4"/>
        <v>0</v>
      </c>
      <c r="G2831">
        <f t="shared" si="585"/>
        <v>0</v>
      </c>
      <c r="H2831">
        <f t="shared" si="586"/>
        <v>0</v>
      </c>
      <c r="I2831">
        <f t="shared" si="587"/>
        <v>0</v>
      </c>
      <c r="J2831">
        <f t="shared" si="588"/>
        <v>0</v>
      </c>
      <c r="K2831" s="4" t="e">
        <f t="shared" si="578"/>
        <v>#N/A</v>
      </c>
      <c r="L2831" t="e">
        <f t="shared" si="579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80"/>
        <v>0</v>
      </c>
      <c r="B2832">
        <f t="shared" si="581"/>
        <v>0</v>
      </c>
      <c r="C2832">
        <f t="shared" si="582"/>
        <v>0</v>
      </c>
      <c r="D2832">
        <f t="shared" si="583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4"/>
        <v>0</v>
      </c>
      <c r="G2832">
        <f t="shared" si="585"/>
        <v>0</v>
      </c>
      <c r="H2832">
        <f t="shared" si="586"/>
        <v>0</v>
      </c>
      <c r="I2832">
        <f t="shared" si="587"/>
        <v>0</v>
      </c>
      <c r="J2832">
        <f t="shared" si="588"/>
        <v>0</v>
      </c>
      <c r="K2832" s="4" t="e">
        <f t="shared" si="578"/>
        <v>#N/A</v>
      </c>
      <c r="L2832" t="e">
        <f t="shared" si="579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80"/>
        <v>0</v>
      </c>
      <c r="B2833">
        <f t="shared" si="581"/>
        <v>0</v>
      </c>
      <c r="C2833">
        <f t="shared" si="582"/>
        <v>0</v>
      </c>
      <c r="D2833">
        <f t="shared" si="583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4"/>
        <v>0</v>
      </c>
      <c r="G2833">
        <f t="shared" si="585"/>
        <v>0</v>
      </c>
      <c r="H2833">
        <f t="shared" si="586"/>
        <v>0</v>
      </c>
      <c r="I2833">
        <f t="shared" si="587"/>
        <v>0</v>
      </c>
      <c r="J2833">
        <f t="shared" si="588"/>
        <v>0</v>
      </c>
      <c r="K2833" s="4" t="e">
        <f t="shared" si="578"/>
        <v>#N/A</v>
      </c>
      <c r="L2833" t="e">
        <f t="shared" si="579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80"/>
        <v>0</v>
      </c>
      <c r="B2834">
        <f t="shared" si="581"/>
        <v>0</v>
      </c>
      <c r="C2834">
        <f t="shared" si="582"/>
        <v>0</v>
      </c>
      <c r="D2834">
        <f t="shared" si="583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4"/>
        <v>0</v>
      </c>
      <c r="G2834">
        <f t="shared" si="585"/>
        <v>0</v>
      </c>
      <c r="H2834">
        <f t="shared" si="586"/>
        <v>0</v>
      </c>
      <c r="I2834">
        <f t="shared" si="587"/>
        <v>0</v>
      </c>
      <c r="J2834">
        <f t="shared" si="588"/>
        <v>0</v>
      </c>
      <c r="K2834" s="4" t="e">
        <f t="shared" si="578"/>
        <v>#N/A</v>
      </c>
      <c r="L2834" t="e">
        <f t="shared" si="579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80"/>
        <v>0</v>
      </c>
      <c r="B2835">
        <f t="shared" si="581"/>
        <v>0</v>
      </c>
      <c r="C2835">
        <f t="shared" si="582"/>
        <v>0</v>
      </c>
      <c r="D2835">
        <f t="shared" si="583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4"/>
        <v>0</v>
      </c>
      <c r="G2835">
        <f t="shared" si="585"/>
        <v>0</v>
      </c>
      <c r="H2835">
        <f t="shared" si="586"/>
        <v>0</v>
      </c>
      <c r="I2835">
        <f t="shared" si="587"/>
        <v>0</v>
      </c>
      <c r="J2835">
        <f t="shared" si="588"/>
        <v>0</v>
      </c>
      <c r="K2835" s="4" t="e">
        <f t="shared" si="578"/>
        <v>#N/A</v>
      </c>
      <c r="L2835" t="e">
        <f t="shared" si="579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80"/>
        <v>0</v>
      </c>
      <c r="B2836">
        <f t="shared" si="581"/>
        <v>0</v>
      </c>
      <c r="C2836">
        <f t="shared" si="582"/>
        <v>0</v>
      </c>
      <c r="D2836">
        <f t="shared" si="583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4"/>
        <v>0</v>
      </c>
      <c r="G2836">
        <f t="shared" si="585"/>
        <v>0</v>
      </c>
      <c r="H2836">
        <f t="shared" si="586"/>
        <v>0</v>
      </c>
      <c r="I2836">
        <f t="shared" si="587"/>
        <v>0</v>
      </c>
      <c r="J2836">
        <f t="shared" si="588"/>
        <v>0</v>
      </c>
      <c r="K2836" s="4" t="e">
        <f t="shared" si="578"/>
        <v>#N/A</v>
      </c>
      <c r="L2836" t="e">
        <f t="shared" si="579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80"/>
        <v>0</v>
      </c>
      <c r="B2837">
        <f t="shared" si="581"/>
        <v>0</v>
      </c>
      <c r="C2837">
        <f t="shared" si="582"/>
        <v>0</v>
      </c>
      <c r="D2837">
        <f t="shared" si="583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4"/>
        <v>0</v>
      </c>
      <c r="G2837">
        <f t="shared" si="585"/>
        <v>0</v>
      </c>
      <c r="H2837">
        <f t="shared" si="586"/>
        <v>0</v>
      </c>
      <c r="I2837">
        <f t="shared" si="587"/>
        <v>0</v>
      </c>
      <c r="J2837">
        <f t="shared" si="588"/>
        <v>0</v>
      </c>
      <c r="K2837" s="4" t="e">
        <f t="shared" si="578"/>
        <v>#N/A</v>
      </c>
      <c r="L2837" t="e">
        <f t="shared" si="579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80"/>
        <v>0</v>
      </c>
      <c r="B2838">
        <f t="shared" si="581"/>
        <v>0</v>
      </c>
      <c r="C2838">
        <f t="shared" si="582"/>
        <v>0</v>
      </c>
      <c r="D2838">
        <f t="shared" si="583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4"/>
        <v>0</v>
      </c>
      <c r="G2838">
        <f t="shared" si="585"/>
        <v>0</v>
      </c>
      <c r="H2838">
        <f t="shared" si="586"/>
        <v>0</v>
      </c>
      <c r="I2838">
        <f t="shared" si="587"/>
        <v>0</v>
      </c>
      <c r="J2838">
        <f t="shared" si="588"/>
        <v>0</v>
      </c>
      <c r="K2838" s="4" t="e">
        <f t="shared" si="578"/>
        <v>#N/A</v>
      </c>
      <c r="L2838" t="e">
        <f t="shared" si="579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80"/>
        <v>0</v>
      </c>
      <c r="B2839">
        <f t="shared" si="581"/>
        <v>0</v>
      </c>
      <c r="C2839">
        <f t="shared" si="582"/>
        <v>0</v>
      </c>
      <c r="D2839">
        <f t="shared" si="583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4"/>
        <v>0</v>
      </c>
      <c r="G2839">
        <f t="shared" si="585"/>
        <v>0</v>
      </c>
      <c r="H2839">
        <f t="shared" si="586"/>
        <v>0</v>
      </c>
      <c r="I2839">
        <f t="shared" si="587"/>
        <v>0</v>
      </c>
      <c r="J2839">
        <f t="shared" si="588"/>
        <v>0</v>
      </c>
      <c r="K2839" s="4" t="e">
        <f t="shared" si="578"/>
        <v>#N/A</v>
      </c>
      <c r="L2839" t="e">
        <f t="shared" si="579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80"/>
        <v>0</v>
      </c>
      <c r="B2840">
        <f t="shared" si="581"/>
        <v>0</v>
      </c>
      <c r="C2840">
        <f t="shared" si="582"/>
        <v>0</v>
      </c>
      <c r="D2840">
        <f t="shared" si="583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4"/>
        <v>0</v>
      </c>
      <c r="G2840">
        <f t="shared" si="585"/>
        <v>0</v>
      </c>
      <c r="H2840">
        <f t="shared" si="586"/>
        <v>0</v>
      </c>
      <c r="I2840">
        <f t="shared" si="587"/>
        <v>0</v>
      </c>
      <c r="J2840">
        <f t="shared" si="588"/>
        <v>0</v>
      </c>
      <c r="K2840" s="4" t="e">
        <f t="shared" si="578"/>
        <v>#N/A</v>
      </c>
      <c r="L2840" t="e">
        <f t="shared" si="579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80"/>
        <v>0</v>
      </c>
      <c r="B2841">
        <f t="shared" si="581"/>
        <v>0</v>
      </c>
      <c r="C2841">
        <f t="shared" si="582"/>
        <v>0</v>
      </c>
      <c r="D2841">
        <f t="shared" si="583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4"/>
        <v>0</v>
      </c>
      <c r="G2841">
        <f t="shared" si="585"/>
        <v>0</v>
      </c>
      <c r="H2841">
        <f t="shared" si="586"/>
        <v>0</v>
      </c>
      <c r="I2841">
        <f t="shared" si="587"/>
        <v>0</v>
      </c>
      <c r="J2841">
        <f t="shared" si="588"/>
        <v>0</v>
      </c>
      <c r="K2841" s="4" t="e">
        <f t="shared" si="578"/>
        <v>#N/A</v>
      </c>
      <c r="L2841" t="e">
        <f t="shared" si="579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80"/>
        <v>0</v>
      </c>
      <c r="B2842">
        <f t="shared" si="581"/>
        <v>0</v>
      </c>
      <c r="C2842">
        <f t="shared" si="582"/>
        <v>0</v>
      </c>
      <c r="D2842">
        <f t="shared" si="583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4"/>
        <v>0</v>
      </c>
      <c r="G2842">
        <f t="shared" si="585"/>
        <v>0</v>
      </c>
      <c r="H2842">
        <f t="shared" si="586"/>
        <v>0</v>
      </c>
      <c r="I2842">
        <f t="shared" si="587"/>
        <v>0</v>
      </c>
      <c r="J2842">
        <f t="shared" si="588"/>
        <v>0</v>
      </c>
      <c r="K2842" s="4" t="e">
        <f t="shared" si="578"/>
        <v>#N/A</v>
      </c>
      <c r="L2842" t="e">
        <f t="shared" si="579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80"/>
        <v>0</v>
      </c>
      <c r="B2843">
        <f t="shared" si="581"/>
        <v>0</v>
      </c>
      <c r="C2843">
        <f t="shared" si="582"/>
        <v>0</v>
      </c>
      <c r="D2843">
        <f t="shared" si="583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4"/>
        <v>0</v>
      </c>
      <c r="G2843">
        <f t="shared" si="585"/>
        <v>0</v>
      </c>
      <c r="H2843">
        <f t="shared" si="586"/>
        <v>0</v>
      </c>
      <c r="I2843">
        <f t="shared" si="587"/>
        <v>0</v>
      </c>
      <c r="J2843">
        <f t="shared" si="588"/>
        <v>0</v>
      </c>
      <c r="K2843" s="4" t="e">
        <f t="shared" si="578"/>
        <v>#N/A</v>
      </c>
      <c r="L2843" t="e">
        <f t="shared" si="579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80"/>
        <v>0</v>
      </c>
      <c r="B2844">
        <f t="shared" si="581"/>
        <v>0</v>
      </c>
      <c r="C2844">
        <f t="shared" si="582"/>
        <v>0</v>
      </c>
      <c r="D2844">
        <f t="shared" si="583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4"/>
        <v>0</v>
      </c>
      <c r="G2844">
        <f t="shared" si="585"/>
        <v>0</v>
      </c>
      <c r="H2844">
        <f t="shared" si="586"/>
        <v>0</v>
      </c>
      <c r="I2844">
        <f t="shared" si="587"/>
        <v>0</v>
      </c>
      <c r="J2844">
        <f t="shared" si="588"/>
        <v>0</v>
      </c>
      <c r="K2844" s="4" t="e">
        <f t="shared" si="578"/>
        <v>#N/A</v>
      </c>
      <c r="L2844" t="e">
        <f t="shared" si="579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80"/>
        <v>0</v>
      </c>
      <c r="B2845">
        <f t="shared" si="581"/>
        <v>0</v>
      </c>
      <c r="C2845">
        <f t="shared" si="582"/>
        <v>0</v>
      </c>
      <c r="D2845">
        <f t="shared" si="583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4"/>
        <v>0</v>
      </c>
      <c r="G2845">
        <f t="shared" si="585"/>
        <v>0</v>
      </c>
      <c r="H2845">
        <f t="shared" si="586"/>
        <v>0</v>
      </c>
      <c r="I2845">
        <f t="shared" si="587"/>
        <v>0</v>
      </c>
      <c r="J2845">
        <f t="shared" si="588"/>
        <v>0</v>
      </c>
      <c r="K2845" s="4" t="e">
        <f t="shared" si="578"/>
        <v>#N/A</v>
      </c>
      <c r="L2845" t="e">
        <f t="shared" si="579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80"/>
        <v>0</v>
      </c>
      <c r="B2846">
        <f t="shared" si="581"/>
        <v>0</v>
      </c>
      <c r="C2846">
        <f t="shared" si="582"/>
        <v>0</v>
      </c>
      <c r="D2846">
        <f t="shared" si="583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4"/>
        <v>0</v>
      </c>
      <c r="G2846">
        <f t="shared" si="585"/>
        <v>0</v>
      </c>
      <c r="H2846">
        <f t="shared" si="586"/>
        <v>0</v>
      </c>
      <c r="I2846">
        <f t="shared" si="587"/>
        <v>0</v>
      </c>
      <c r="J2846">
        <f t="shared" si="588"/>
        <v>0</v>
      </c>
      <c r="K2846" s="4" t="e">
        <f t="shared" si="578"/>
        <v>#N/A</v>
      </c>
      <c r="L2846" t="e">
        <f t="shared" si="579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80"/>
        <v>0</v>
      </c>
      <c r="B2847">
        <f t="shared" si="581"/>
        <v>0</v>
      </c>
      <c r="C2847">
        <f t="shared" si="582"/>
        <v>0</v>
      </c>
      <c r="D2847">
        <f t="shared" si="583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4"/>
        <v>0</v>
      </c>
      <c r="G2847">
        <f t="shared" si="585"/>
        <v>0</v>
      </c>
      <c r="H2847">
        <f t="shared" si="586"/>
        <v>0</v>
      </c>
      <c r="I2847">
        <f t="shared" si="587"/>
        <v>0</v>
      </c>
      <c r="J2847">
        <f t="shared" si="588"/>
        <v>0</v>
      </c>
      <c r="K2847" s="4" t="e">
        <f t="shared" si="578"/>
        <v>#N/A</v>
      </c>
      <c r="L2847" t="e">
        <f t="shared" si="579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80"/>
        <v>0</v>
      </c>
      <c r="B2848">
        <f t="shared" si="581"/>
        <v>0</v>
      </c>
      <c r="C2848">
        <f t="shared" si="582"/>
        <v>0</v>
      </c>
      <c r="D2848">
        <f t="shared" si="583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4"/>
        <v>0</v>
      </c>
      <c r="G2848">
        <f t="shared" si="585"/>
        <v>0</v>
      </c>
      <c r="H2848">
        <f t="shared" si="586"/>
        <v>0</v>
      </c>
      <c r="I2848">
        <f t="shared" si="587"/>
        <v>0</v>
      </c>
      <c r="J2848">
        <f t="shared" si="588"/>
        <v>0</v>
      </c>
      <c r="K2848" s="4" t="e">
        <f t="shared" si="578"/>
        <v>#N/A</v>
      </c>
      <c r="L2848" t="e">
        <f t="shared" si="579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80"/>
        <v>0</v>
      </c>
      <c r="B2849">
        <f t="shared" si="581"/>
        <v>0</v>
      </c>
      <c r="C2849">
        <f t="shared" si="582"/>
        <v>0</v>
      </c>
      <c r="D2849">
        <f t="shared" si="583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4"/>
        <v>0</v>
      </c>
      <c r="G2849">
        <f t="shared" si="585"/>
        <v>0</v>
      </c>
      <c r="H2849">
        <f t="shared" si="586"/>
        <v>0</v>
      </c>
      <c r="I2849">
        <f t="shared" si="587"/>
        <v>0</v>
      </c>
      <c r="J2849">
        <f t="shared" si="588"/>
        <v>0</v>
      </c>
      <c r="K2849" s="4" t="e">
        <f t="shared" si="578"/>
        <v>#N/A</v>
      </c>
      <c r="L2849" t="e">
        <f t="shared" si="579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80"/>
        <v>0</v>
      </c>
      <c r="B2850">
        <f t="shared" si="581"/>
        <v>0</v>
      </c>
      <c r="C2850">
        <f t="shared" si="582"/>
        <v>0</v>
      </c>
      <c r="D2850">
        <f t="shared" si="583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4"/>
        <v>0</v>
      </c>
      <c r="G2850">
        <f t="shared" si="585"/>
        <v>0</v>
      </c>
      <c r="H2850">
        <f t="shared" si="586"/>
        <v>0</v>
      </c>
      <c r="I2850">
        <f t="shared" si="587"/>
        <v>0</v>
      </c>
      <c r="J2850">
        <f t="shared" si="588"/>
        <v>0</v>
      </c>
      <c r="K2850" s="4" t="e">
        <f t="shared" si="578"/>
        <v>#N/A</v>
      </c>
      <c r="L2850" t="e">
        <f t="shared" si="579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80"/>
        <v>0</v>
      </c>
      <c r="B2851">
        <f t="shared" si="581"/>
        <v>0</v>
      </c>
      <c r="C2851">
        <f t="shared" si="582"/>
        <v>0</v>
      </c>
      <c r="D2851">
        <f t="shared" si="583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4"/>
        <v>0</v>
      </c>
      <c r="G2851">
        <f t="shared" si="585"/>
        <v>0</v>
      </c>
      <c r="H2851">
        <f t="shared" si="586"/>
        <v>0</v>
      </c>
      <c r="I2851">
        <f t="shared" si="587"/>
        <v>0</v>
      </c>
      <c r="J2851">
        <f t="shared" si="588"/>
        <v>0</v>
      </c>
      <c r="K2851" s="4" t="e">
        <f t="shared" si="578"/>
        <v>#N/A</v>
      </c>
      <c r="L2851" t="e">
        <f t="shared" si="579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80"/>
        <v>0</v>
      </c>
      <c r="B2852">
        <f t="shared" si="581"/>
        <v>0</v>
      </c>
      <c r="C2852">
        <f t="shared" si="582"/>
        <v>0</v>
      </c>
      <c r="D2852">
        <f t="shared" si="583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4"/>
        <v>0</v>
      </c>
      <c r="G2852">
        <f t="shared" si="585"/>
        <v>0</v>
      </c>
      <c r="H2852">
        <f t="shared" si="586"/>
        <v>0</v>
      </c>
      <c r="I2852">
        <f t="shared" si="587"/>
        <v>0</v>
      </c>
      <c r="J2852">
        <f t="shared" si="588"/>
        <v>0</v>
      </c>
      <c r="K2852" s="4" t="e">
        <f t="shared" si="578"/>
        <v>#N/A</v>
      </c>
      <c r="L2852" t="e">
        <f t="shared" si="579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80"/>
        <v>0</v>
      </c>
      <c r="B2853">
        <f t="shared" si="581"/>
        <v>0</v>
      </c>
      <c r="C2853">
        <f t="shared" si="582"/>
        <v>0</v>
      </c>
      <c r="D2853">
        <f t="shared" si="583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4"/>
        <v>0</v>
      </c>
      <c r="G2853">
        <f t="shared" si="585"/>
        <v>0</v>
      </c>
      <c r="H2853">
        <f t="shared" si="586"/>
        <v>0</v>
      </c>
      <c r="I2853">
        <f t="shared" si="587"/>
        <v>0</v>
      </c>
      <c r="J2853">
        <f t="shared" si="588"/>
        <v>0</v>
      </c>
      <c r="K2853" s="4" t="e">
        <f t="shared" si="578"/>
        <v>#N/A</v>
      </c>
      <c r="L2853" t="e">
        <f t="shared" si="579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80"/>
        <v>0</v>
      </c>
      <c r="B2854">
        <f t="shared" si="581"/>
        <v>0</v>
      </c>
      <c r="C2854">
        <f t="shared" si="582"/>
        <v>0</v>
      </c>
      <c r="D2854">
        <f t="shared" si="583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4"/>
        <v>0</v>
      </c>
      <c r="G2854">
        <f t="shared" si="585"/>
        <v>0</v>
      </c>
      <c r="H2854">
        <f t="shared" si="586"/>
        <v>0</v>
      </c>
      <c r="I2854">
        <f t="shared" si="587"/>
        <v>0</v>
      </c>
      <c r="J2854">
        <f t="shared" si="588"/>
        <v>0</v>
      </c>
      <c r="K2854" s="4" t="e">
        <f t="shared" si="578"/>
        <v>#N/A</v>
      </c>
      <c r="L2854" t="e">
        <f t="shared" si="579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80"/>
        <v>0</v>
      </c>
      <c r="B2855">
        <f t="shared" si="581"/>
        <v>0</v>
      </c>
      <c r="C2855">
        <f t="shared" si="582"/>
        <v>0</v>
      </c>
      <c r="D2855">
        <f t="shared" si="583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4"/>
        <v>0</v>
      </c>
      <c r="G2855">
        <f t="shared" si="585"/>
        <v>0</v>
      </c>
      <c r="H2855">
        <f t="shared" si="586"/>
        <v>0</v>
      </c>
      <c r="I2855">
        <f t="shared" si="587"/>
        <v>0</v>
      </c>
      <c r="J2855">
        <f t="shared" si="588"/>
        <v>0</v>
      </c>
      <c r="K2855" s="4" t="e">
        <f t="shared" si="578"/>
        <v>#N/A</v>
      </c>
      <c r="L2855" t="e">
        <f t="shared" si="579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80"/>
        <v>0</v>
      </c>
      <c r="B2856">
        <f t="shared" si="581"/>
        <v>0</v>
      </c>
      <c r="C2856">
        <f t="shared" si="582"/>
        <v>0</v>
      </c>
      <c r="D2856">
        <f t="shared" si="583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4"/>
        <v>0</v>
      </c>
      <c r="G2856">
        <f t="shared" si="585"/>
        <v>0</v>
      </c>
      <c r="H2856">
        <f t="shared" si="586"/>
        <v>0</v>
      </c>
      <c r="I2856">
        <f t="shared" si="587"/>
        <v>0</v>
      </c>
      <c r="J2856">
        <f t="shared" si="588"/>
        <v>0</v>
      </c>
      <c r="K2856" s="4" t="e">
        <f t="shared" si="578"/>
        <v>#N/A</v>
      </c>
      <c r="L2856" t="e">
        <f t="shared" si="579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80"/>
        <v>0</v>
      </c>
      <c r="B2857">
        <f t="shared" si="581"/>
        <v>0</v>
      </c>
      <c r="C2857">
        <f t="shared" si="582"/>
        <v>0</v>
      </c>
      <c r="D2857">
        <f t="shared" si="583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4"/>
        <v>0</v>
      </c>
      <c r="G2857">
        <f t="shared" si="585"/>
        <v>0</v>
      </c>
      <c r="H2857">
        <f t="shared" si="586"/>
        <v>0</v>
      </c>
      <c r="I2857">
        <f t="shared" si="587"/>
        <v>0</v>
      </c>
      <c r="J2857">
        <f t="shared" si="588"/>
        <v>0</v>
      </c>
      <c r="K2857" s="4" t="e">
        <f t="shared" si="578"/>
        <v>#N/A</v>
      </c>
      <c r="L2857" t="e">
        <f t="shared" si="579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80"/>
        <v>0</v>
      </c>
      <c r="B2858">
        <f t="shared" si="581"/>
        <v>0</v>
      </c>
      <c r="C2858">
        <f t="shared" si="582"/>
        <v>0</v>
      </c>
      <c r="D2858">
        <f t="shared" si="583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4"/>
        <v>0</v>
      </c>
      <c r="G2858">
        <f t="shared" si="585"/>
        <v>0</v>
      </c>
      <c r="H2858">
        <f t="shared" si="586"/>
        <v>0</v>
      </c>
      <c r="I2858">
        <f t="shared" si="587"/>
        <v>0</v>
      </c>
      <c r="J2858">
        <f t="shared" si="588"/>
        <v>0</v>
      </c>
      <c r="K2858" s="4" t="e">
        <f t="shared" si="578"/>
        <v>#N/A</v>
      </c>
      <c r="L2858" t="e">
        <f t="shared" si="579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80"/>
        <v>0</v>
      </c>
      <c r="B2859">
        <f t="shared" si="581"/>
        <v>0</v>
      </c>
      <c r="C2859">
        <f t="shared" si="582"/>
        <v>0</v>
      </c>
      <c r="D2859">
        <f t="shared" si="583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4"/>
        <v>0</v>
      </c>
      <c r="G2859">
        <f t="shared" si="585"/>
        <v>0</v>
      </c>
      <c r="H2859">
        <f t="shared" si="586"/>
        <v>0</v>
      </c>
      <c r="I2859">
        <f t="shared" si="587"/>
        <v>0</v>
      </c>
      <c r="J2859">
        <f t="shared" si="588"/>
        <v>0</v>
      </c>
      <c r="K2859" s="4" t="e">
        <f t="shared" si="578"/>
        <v>#N/A</v>
      </c>
      <c r="L2859" t="e">
        <f t="shared" si="579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80"/>
        <v>0</v>
      </c>
      <c r="B2860">
        <f t="shared" si="581"/>
        <v>0</v>
      </c>
      <c r="C2860">
        <f t="shared" si="582"/>
        <v>0</v>
      </c>
      <c r="D2860">
        <f t="shared" si="583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4"/>
        <v>0</v>
      </c>
      <c r="G2860">
        <f t="shared" si="585"/>
        <v>0</v>
      </c>
      <c r="H2860">
        <f t="shared" si="586"/>
        <v>0</v>
      </c>
      <c r="I2860">
        <f t="shared" si="587"/>
        <v>0</v>
      </c>
      <c r="J2860">
        <f t="shared" si="588"/>
        <v>0</v>
      </c>
      <c r="K2860" s="4" t="e">
        <f t="shared" ref="K2860:K2923" si="591">IF(LEFT(B2860,3)="DBM",0,VLOOKUP(E2860,tabela,2,FALSE))</f>
        <v>#N/A</v>
      </c>
      <c r="L2860" t="e">
        <f t="shared" ref="L2860:L2923" si="592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80"/>
        <v>0</v>
      </c>
      <c r="B2861">
        <f t="shared" si="581"/>
        <v>0</v>
      </c>
      <c r="C2861">
        <f t="shared" si="582"/>
        <v>0</v>
      </c>
      <c r="D2861">
        <f t="shared" si="583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4"/>
        <v>0</v>
      </c>
      <c r="G2861">
        <f t="shared" si="585"/>
        <v>0</v>
      </c>
      <c r="H2861">
        <f t="shared" si="586"/>
        <v>0</v>
      </c>
      <c r="I2861">
        <f t="shared" si="587"/>
        <v>0</v>
      </c>
      <c r="J2861">
        <f t="shared" si="588"/>
        <v>0</v>
      </c>
      <c r="K2861" s="4" t="e">
        <f t="shared" si="591"/>
        <v>#N/A</v>
      </c>
      <c r="L2861" t="e">
        <f t="shared" si="592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80"/>
        <v>0</v>
      </c>
      <c r="B2862">
        <f t="shared" si="581"/>
        <v>0</v>
      </c>
      <c r="C2862">
        <f t="shared" si="582"/>
        <v>0</v>
      </c>
      <c r="D2862">
        <f t="shared" si="583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4"/>
        <v>0</v>
      </c>
      <c r="G2862">
        <f t="shared" si="585"/>
        <v>0</v>
      </c>
      <c r="H2862">
        <f t="shared" si="586"/>
        <v>0</v>
      </c>
      <c r="I2862">
        <f t="shared" si="587"/>
        <v>0</v>
      </c>
      <c r="J2862">
        <f t="shared" si="588"/>
        <v>0</v>
      </c>
      <c r="K2862" s="4" t="e">
        <f t="shared" si="591"/>
        <v>#N/A</v>
      </c>
      <c r="L2862" t="e">
        <f t="shared" si="592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80"/>
        <v>0</v>
      </c>
      <c r="B2863">
        <f t="shared" si="581"/>
        <v>0</v>
      </c>
      <c r="C2863">
        <f t="shared" si="582"/>
        <v>0</v>
      </c>
      <c r="D2863">
        <f t="shared" si="583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4"/>
        <v>0</v>
      </c>
      <c r="G2863">
        <f t="shared" si="585"/>
        <v>0</v>
      </c>
      <c r="H2863">
        <f t="shared" si="586"/>
        <v>0</v>
      </c>
      <c r="I2863">
        <f t="shared" si="587"/>
        <v>0</v>
      </c>
      <c r="J2863">
        <f t="shared" si="588"/>
        <v>0</v>
      </c>
      <c r="K2863" s="4" t="e">
        <f t="shared" si="591"/>
        <v>#N/A</v>
      </c>
      <c r="L2863" t="e">
        <f t="shared" si="592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80"/>
        <v>0</v>
      </c>
      <c r="B2864">
        <f t="shared" si="581"/>
        <v>0</v>
      </c>
      <c r="C2864">
        <f t="shared" si="582"/>
        <v>0</v>
      </c>
      <c r="D2864">
        <f t="shared" si="583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4"/>
        <v>0</v>
      </c>
      <c r="G2864">
        <f t="shared" si="585"/>
        <v>0</v>
      </c>
      <c r="H2864">
        <f t="shared" si="586"/>
        <v>0</v>
      </c>
      <c r="I2864">
        <f t="shared" si="587"/>
        <v>0</v>
      </c>
      <c r="J2864">
        <f t="shared" si="588"/>
        <v>0</v>
      </c>
      <c r="K2864" s="4" t="e">
        <f t="shared" si="591"/>
        <v>#N/A</v>
      </c>
      <c r="L2864" t="e">
        <f t="shared" si="592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80"/>
        <v>0</v>
      </c>
      <c r="B2865">
        <f t="shared" si="581"/>
        <v>0</v>
      </c>
      <c r="C2865">
        <f t="shared" si="582"/>
        <v>0</v>
      </c>
      <c r="D2865">
        <f t="shared" si="583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4"/>
        <v>0</v>
      </c>
      <c r="G2865">
        <f t="shared" si="585"/>
        <v>0</v>
      </c>
      <c r="H2865">
        <f t="shared" si="586"/>
        <v>0</v>
      </c>
      <c r="I2865">
        <f t="shared" si="587"/>
        <v>0</v>
      </c>
      <c r="J2865">
        <f t="shared" si="588"/>
        <v>0</v>
      </c>
      <c r="K2865" s="4" t="e">
        <f t="shared" si="591"/>
        <v>#N/A</v>
      </c>
      <c r="L2865" t="e">
        <f t="shared" si="592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80"/>
        <v>0</v>
      </c>
      <c r="B2866">
        <f t="shared" si="581"/>
        <v>0</v>
      </c>
      <c r="C2866">
        <f t="shared" si="582"/>
        <v>0</v>
      </c>
      <c r="D2866">
        <f t="shared" si="583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4"/>
        <v>0</v>
      </c>
      <c r="G2866">
        <f t="shared" si="585"/>
        <v>0</v>
      </c>
      <c r="H2866">
        <f t="shared" si="586"/>
        <v>0</v>
      </c>
      <c r="I2866">
        <f t="shared" si="587"/>
        <v>0</v>
      </c>
      <c r="J2866">
        <f t="shared" si="588"/>
        <v>0</v>
      </c>
      <c r="K2866" s="4" t="e">
        <f t="shared" si="591"/>
        <v>#N/A</v>
      </c>
      <c r="L2866" t="e">
        <f t="shared" si="592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80"/>
        <v>0</v>
      </c>
      <c r="B2867">
        <f t="shared" si="581"/>
        <v>0</v>
      </c>
      <c r="C2867">
        <f t="shared" si="582"/>
        <v>0</v>
      </c>
      <c r="D2867">
        <f t="shared" si="583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4"/>
        <v>0</v>
      </c>
      <c r="G2867">
        <f t="shared" si="585"/>
        <v>0</v>
      </c>
      <c r="H2867">
        <f t="shared" si="586"/>
        <v>0</v>
      </c>
      <c r="I2867">
        <f t="shared" si="587"/>
        <v>0</v>
      </c>
      <c r="J2867">
        <f t="shared" si="588"/>
        <v>0</v>
      </c>
      <c r="K2867" s="4" t="e">
        <f t="shared" si="591"/>
        <v>#N/A</v>
      </c>
      <c r="L2867" t="e">
        <f t="shared" si="592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80"/>
        <v>0</v>
      </c>
      <c r="B2868">
        <f t="shared" si="581"/>
        <v>0</v>
      </c>
      <c r="C2868">
        <f t="shared" si="582"/>
        <v>0</v>
      </c>
      <c r="D2868">
        <f t="shared" si="583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4"/>
        <v>0</v>
      </c>
      <c r="G2868">
        <f t="shared" si="585"/>
        <v>0</v>
      </c>
      <c r="H2868">
        <f t="shared" si="586"/>
        <v>0</v>
      </c>
      <c r="I2868">
        <f t="shared" si="587"/>
        <v>0</v>
      </c>
      <c r="J2868">
        <f t="shared" si="588"/>
        <v>0</v>
      </c>
      <c r="K2868" s="4" t="e">
        <f t="shared" si="591"/>
        <v>#N/A</v>
      </c>
      <c r="L2868" t="e">
        <f t="shared" si="592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80"/>
        <v>0</v>
      </c>
      <c r="B2869">
        <f t="shared" si="581"/>
        <v>0</v>
      </c>
      <c r="C2869">
        <f t="shared" si="582"/>
        <v>0</v>
      </c>
      <c r="D2869">
        <f t="shared" si="583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4"/>
        <v>0</v>
      </c>
      <c r="G2869">
        <f t="shared" si="585"/>
        <v>0</v>
      </c>
      <c r="H2869">
        <f t="shared" si="586"/>
        <v>0</v>
      </c>
      <c r="I2869">
        <f t="shared" si="587"/>
        <v>0</v>
      </c>
      <c r="J2869">
        <f t="shared" si="588"/>
        <v>0</v>
      </c>
      <c r="K2869" s="4" t="e">
        <f t="shared" si="591"/>
        <v>#N/A</v>
      </c>
      <c r="L2869" t="e">
        <f t="shared" si="592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80"/>
        <v>0</v>
      </c>
      <c r="B2870">
        <f t="shared" si="581"/>
        <v>0</v>
      </c>
      <c r="C2870">
        <f t="shared" si="582"/>
        <v>0</v>
      </c>
      <c r="D2870">
        <f t="shared" si="583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4"/>
        <v>0</v>
      </c>
      <c r="G2870">
        <f t="shared" si="585"/>
        <v>0</v>
      </c>
      <c r="H2870">
        <f t="shared" si="586"/>
        <v>0</v>
      </c>
      <c r="I2870">
        <f t="shared" si="587"/>
        <v>0</v>
      </c>
      <c r="J2870">
        <f t="shared" si="588"/>
        <v>0</v>
      </c>
      <c r="K2870" s="4" t="e">
        <f t="shared" si="591"/>
        <v>#N/A</v>
      </c>
      <c r="L2870" t="e">
        <f t="shared" si="592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80"/>
        <v>0</v>
      </c>
      <c r="B2871">
        <f t="shared" si="581"/>
        <v>0</v>
      </c>
      <c r="C2871">
        <f t="shared" si="582"/>
        <v>0</v>
      </c>
      <c r="D2871">
        <f t="shared" si="583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4"/>
        <v>0</v>
      </c>
      <c r="G2871">
        <f t="shared" si="585"/>
        <v>0</v>
      </c>
      <c r="H2871">
        <f t="shared" si="586"/>
        <v>0</v>
      </c>
      <c r="I2871">
        <f t="shared" si="587"/>
        <v>0</v>
      </c>
      <c r="J2871">
        <f t="shared" si="588"/>
        <v>0</v>
      </c>
      <c r="K2871" s="4" t="e">
        <f t="shared" si="591"/>
        <v>#N/A</v>
      </c>
      <c r="L2871" t="e">
        <f t="shared" si="592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80"/>
        <v>0</v>
      </c>
      <c r="B2872">
        <f t="shared" si="581"/>
        <v>0</v>
      </c>
      <c r="C2872">
        <f t="shared" si="582"/>
        <v>0</v>
      </c>
      <c r="D2872">
        <f t="shared" si="583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4"/>
        <v>0</v>
      </c>
      <c r="G2872">
        <f t="shared" si="585"/>
        <v>0</v>
      </c>
      <c r="H2872">
        <f t="shared" si="586"/>
        <v>0</v>
      </c>
      <c r="I2872">
        <f t="shared" si="587"/>
        <v>0</v>
      </c>
      <c r="J2872">
        <f t="shared" si="588"/>
        <v>0</v>
      </c>
      <c r="K2872" s="4" t="e">
        <f t="shared" si="591"/>
        <v>#N/A</v>
      </c>
      <c r="L2872" t="e">
        <f t="shared" si="592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80"/>
        <v>0</v>
      </c>
      <c r="B2873">
        <f t="shared" si="581"/>
        <v>0</v>
      </c>
      <c r="C2873">
        <f t="shared" si="582"/>
        <v>0</v>
      </c>
      <c r="D2873">
        <f t="shared" si="583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4"/>
        <v>0</v>
      </c>
      <c r="G2873">
        <f t="shared" si="585"/>
        <v>0</v>
      </c>
      <c r="H2873">
        <f t="shared" si="586"/>
        <v>0</v>
      </c>
      <c r="I2873">
        <f t="shared" si="587"/>
        <v>0</v>
      </c>
      <c r="J2873">
        <f t="shared" si="588"/>
        <v>0</v>
      </c>
      <c r="K2873" s="4" t="e">
        <f t="shared" si="591"/>
        <v>#N/A</v>
      </c>
      <c r="L2873" t="e">
        <f t="shared" si="592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80"/>
        <v>0</v>
      </c>
      <c r="B2874">
        <f t="shared" si="581"/>
        <v>0</v>
      </c>
      <c r="C2874">
        <f t="shared" si="582"/>
        <v>0</v>
      </c>
      <c r="D2874">
        <f t="shared" si="583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4"/>
        <v>0</v>
      </c>
      <c r="G2874">
        <f t="shared" si="585"/>
        <v>0</v>
      </c>
      <c r="H2874">
        <f t="shared" si="586"/>
        <v>0</v>
      </c>
      <c r="I2874">
        <f t="shared" si="587"/>
        <v>0</v>
      </c>
      <c r="J2874">
        <f t="shared" si="588"/>
        <v>0</v>
      </c>
      <c r="K2874" s="4" t="e">
        <f t="shared" si="591"/>
        <v>#N/A</v>
      </c>
      <c r="L2874" t="e">
        <f t="shared" si="592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80"/>
        <v>0</v>
      </c>
      <c r="B2875">
        <f t="shared" si="581"/>
        <v>0</v>
      </c>
      <c r="C2875">
        <f t="shared" si="582"/>
        <v>0</v>
      </c>
      <c r="D2875">
        <f t="shared" si="583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4"/>
        <v>0</v>
      </c>
      <c r="G2875">
        <f t="shared" si="585"/>
        <v>0</v>
      </c>
      <c r="H2875">
        <f t="shared" si="586"/>
        <v>0</v>
      </c>
      <c r="I2875">
        <f t="shared" si="587"/>
        <v>0</v>
      </c>
      <c r="J2875">
        <f t="shared" si="588"/>
        <v>0</v>
      </c>
      <c r="K2875" s="4" t="e">
        <f t="shared" si="591"/>
        <v>#N/A</v>
      </c>
      <c r="L2875" t="e">
        <f t="shared" si="592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80"/>
        <v>0</v>
      </c>
      <c r="B2876">
        <f t="shared" si="581"/>
        <v>0</v>
      </c>
      <c r="C2876">
        <f t="shared" si="582"/>
        <v>0</v>
      </c>
      <c r="D2876">
        <f t="shared" si="583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4"/>
        <v>0</v>
      </c>
      <c r="G2876">
        <f t="shared" si="585"/>
        <v>0</v>
      </c>
      <c r="H2876">
        <f t="shared" si="586"/>
        <v>0</v>
      </c>
      <c r="I2876">
        <f t="shared" si="587"/>
        <v>0</v>
      </c>
      <c r="J2876">
        <f t="shared" si="588"/>
        <v>0</v>
      </c>
      <c r="K2876" s="4" t="e">
        <f t="shared" si="591"/>
        <v>#N/A</v>
      </c>
      <c r="L2876" t="e">
        <f t="shared" si="592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80"/>
        <v>0</v>
      </c>
      <c r="B2877">
        <f t="shared" si="581"/>
        <v>0</v>
      </c>
      <c r="C2877">
        <f t="shared" si="582"/>
        <v>0</v>
      </c>
      <c r="D2877">
        <f t="shared" si="583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4"/>
        <v>0</v>
      </c>
      <c r="G2877">
        <f t="shared" si="585"/>
        <v>0</v>
      </c>
      <c r="H2877">
        <f t="shared" si="586"/>
        <v>0</v>
      </c>
      <c r="I2877">
        <f t="shared" si="587"/>
        <v>0</v>
      </c>
      <c r="J2877">
        <f t="shared" si="588"/>
        <v>0</v>
      </c>
      <c r="K2877" s="4" t="e">
        <f t="shared" si="591"/>
        <v>#N/A</v>
      </c>
      <c r="L2877" t="e">
        <f t="shared" si="592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80"/>
        <v>0</v>
      </c>
      <c r="B2878">
        <f t="shared" si="581"/>
        <v>0</v>
      </c>
      <c r="C2878">
        <f t="shared" si="582"/>
        <v>0</v>
      </c>
      <c r="D2878">
        <f t="shared" si="583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4"/>
        <v>0</v>
      </c>
      <c r="G2878">
        <f t="shared" si="585"/>
        <v>0</v>
      </c>
      <c r="H2878">
        <f t="shared" si="586"/>
        <v>0</v>
      </c>
      <c r="I2878">
        <f t="shared" si="587"/>
        <v>0</v>
      </c>
      <c r="J2878">
        <f t="shared" si="588"/>
        <v>0</v>
      </c>
      <c r="K2878" s="4" t="e">
        <f t="shared" si="591"/>
        <v>#N/A</v>
      </c>
      <c r="L2878" t="e">
        <f t="shared" si="592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80"/>
        <v>0</v>
      </c>
      <c r="B2879">
        <f t="shared" si="581"/>
        <v>0</v>
      </c>
      <c r="C2879">
        <f t="shared" si="582"/>
        <v>0</v>
      </c>
      <c r="D2879">
        <f t="shared" si="583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4"/>
        <v>0</v>
      </c>
      <c r="G2879">
        <f t="shared" si="585"/>
        <v>0</v>
      </c>
      <c r="H2879">
        <f t="shared" si="586"/>
        <v>0</v>
      </c>
      <c r="I2879">
        <f t="shared" si="587"/>
        <v>0</v>
      </c>
      <c r="J2879">
        <f t="shared" si="588"/>
        <v>0</v>
      </c>
      <c r="K2879" s="4" t="e">
        <f t="shared" si="591"/>
        <v>#N/A</v>
      </c>
      <c r="L2879" t="e">
        <f t="shared" si="592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80"/>
        <v>0</v>
      </c>
      <c r="B2880">
        <f t="shared" si="581"/>
        <v>0</v>
      </c>
      <c r="C2880">
        <f t="shared" si="582"/>
        <v>0</v>
      </c>
      <c r="D2880">
        <f t="shared" si="583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4"/>
        <v>0</v>
      </c>
      <c r="G2880">
        <f t="shared" si="585"/>
        <v>0</v>
      </c>
      <c r="H2880">
        <f t="shared" si="586"/>
        <v>0</v>
      </c>
      <c r="I2880">
        <f t="shared" si="587"/>
        <v>0</v>
      </c>
      <c r="J2880">
        <f t="shared" si="588"/>
        <v>0</v>
      </c>
      <c r="K2880" s="4" t="e">
        <f t="shared" si="591"/>
        <v>#N/A</v>
      </c>
      <c r="L2880" t="e">
        <f t="shared" si="592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80"/>
        <v>0</v>
      </c>
      <c r="B2881">
        <f t="shared" si="581"/>
        <v>0</v>
      </c>
      <c r="C2881">
        <f t="shared" si="582"/>
        <v>0</v>
      </c>
      <c r="D2881">
        <f t="shared" si="583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4"/>
        <v>0</v>
      </c>
      <c r="G2881">
        <f t="shared" si="585"/>
        <v>0</v>
      </c>
      <c r="H2881">
        <f t="shared" si="586"/>
        <v>0</v>
      </c>
      <c r="I2881">
        <f t="shared" si="587"/>
        <v>0</v>
      </c>
      <c r="J2881">
        <f t="shared" si="588"/>
        <v>0</v>
      </c>
      <c r="K2881" s="4" t="e">
        <f t="shared" si="591"/>
        <v>#N/A</v>
      </c>
      <c r="L2881" t="e">
        <f t="shared" si="592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3">bd_campaign</f>
        <v>0</v>
      </c>
      <c r="B2882">
        <f t="shared" ref="B2882:B2945" si="594">bd_site</f>
        <v>0</v>
      </c>
      <c r="C2882">
        <f t="shared" ref="C2882:C2945" si="595">bd_placement</f>
        <v>0</v>
      </c>
      <c r="D2882">
        <f t="shared" ref="D2882:D2945" si="596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7">bd_ad</f>
        <v>0</v>
      </c>
      <c r="G2882">
        <f t="shared" ref="G2882:G2945" si="598">bd_adid</f>
        <v>0</v>
      </c>
      <c r="H2882">
        <f t="shared" ref="H2882:H2945" si="599">bd_creativetype</f>
        <v>0</v>
      </c>
      <c r="I2882">
        <f t="shared" ref="I2882:I2945" si="600">bd_impression</f>
        <v>0</v>
      </c>
      <c r="J2882">
        <f t="shared" ref="J2882:J2945" si="601">bd_clicks</f>
        <v>0</v>
      </c>
      <c r="K2882" s="4" t="e">
        <f t="shared" si="591"/>
        <v>#N/A</v>
      </c>
      <c r="L2882" t="e">
        <f t="shared" si="592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3"/>
        <v>0</v>
      </c>
      <c r="B2883">
        <f t="shared" si="594"/>
        <v>0</v>
      </c>
      <c r="C2883">
        <f t="shared" si="595"/>
        <v>0</v>
      </c>
      <c r="D2883">
        <f t="shared" si="596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7"/>
        <v>0</v>
      </c>
      <c r="G2883">
        <f t="shared" si="598"/>
        <v>0</v>
      </c>
      <c r="H2883">
        <f t="shared" si="599"/>
        <v>0</v>
      </c>
      <c r="I2883">
        <f t="shared" si="600"/>
        <v>0</v>
      </c>
      <c r="J2883">
        <f t="shared" si="601"/>
        <v>0</v>
      </c>
      <c r="K2883" s="4" t="e">
        <f t="shared" si="591"/>
        <v>#N/A</v>
      </c>
      <c r="L2883" t="e">
        <f t="shared" si="592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3"/>
        <v>0</v>
      </c>
      <c r="B2884">
        <f t="shared" si="594"/>
        <v>0</v>
      </c>
      <c r="C2884">
        <f t="shared" si="595"/>
        <v>0</v>
      </c>
      <c r="D2884">
        <f t="shared" si="596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7"/>
        <v>0</v>
      </c>
      <c r="G2884">
        <f t="shared" si="598"/>
        <v>0</v>
      </c>
      <c r="H2884">
        <f t="shared" si="599"/>
        <v>0</v>
      </c>
      <c r="I2884">
        <f t="shared" si="600"/>
        <v>0</v>
      </c>
      <c r="J2884">
        <f t="shared" si="601"/>
        <v>0</v>
      </c>
      <c r="K2884" s="4" t="e">
        <f t="shared" si="591"/>
        <v>#N/A</v>
      </c>
      <c r="L2884" t="e">
        <f t="shared" si="592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3"/>
        <v>0</v>
      </c>
      <c r="B2885">
        <f t="shared" si="594"/>
        <v>0</v>
      </c>
      <c r="C2885">
        <f t="shared" si="595"/>
        <v>0</v>
      </c>
      <c r="D2885">
        <f t="shared" si="596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7"/>
        <v>0</v>
      </c>
      <c r="G2885">
        <f t="shared" si="598"/>
        <v>0</v>
      </c>
      <c r="H2885">
        <f t="shared" si="599"/>
        <v>0</v>
      </c>
      <c r="I2885">
        <f t="shared" si="600"/>
        <v>0</v>
      </c>
      <c r="J2885">
        <f t="shared" si="601"/>
        <v>0</v>
      </c>
      <c r="K2885" s="4" t="e">
        <f t="shared" si="591"/>
        <v>#N/A</v>
      </c>
      <c r="L2885" t="e">
        <f t="shared" si="592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3"/>
        <v>0</v>
      </c>
      <c r="B2886">
        <f t="shared" si="594"/>
        <v>0</v>
      </c>
      <c r="C2886">
        <f t="shared" si="595"/>
        <v>0</v>
      </c>
      <c r="D2886">
        <f t="shared" si="596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7"/>
        <v>0</v>
      </c>
      <c r="G2886">
        <f t="shared" si="598"/>
        <v>0</v>
      </c>
      <c r="H2886">
        <f t="shared" si="599"/>
        <v>0</v>
      </c>
      <c r="I2886">
        <f t="shared" si="600"/>
        <v>0</v>
      </c>
      <c r="J2886">
        <f t="shared" si="601"/>
        <v>0</v>
      </c>
      <c r="K2886" s="4" t="e">
        <f t="shared" si="591"/>
        <v>#N/A</v>
      </c>
      <c r="L2886" t="e">
        <f t="shared" si="592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3"/>
        <v>0</v>
      </c>
      <c r="B2887">
        <f t="shared" si="594"/>
        <v>0</v>
      </c>
      <c r="C2887">
        <f t="shared" si="595"/>
        <v>0</v>
      </c>
      <c r="D2887">
        <f t="shared" si="596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7"/>
        <v>0</v>
      </c>
      <c r="G2887">
        <f t="shared" si="598"/>
        <v>0</v>
      </c>
      <c r="H2887">
        <f t="shared" si="599"/>
        <v>0</v>
      </c>
      <c r="I2887">
        <f t="shared" si="600"/>
        <v>0</v>
      </c>
      <c r="J2887">
        <f t="shared" si="601"/>
        <v>0</v>
      </c>
      <c r="K2887" s="4" t="e">
        <f t="shared" si="591"/>
        <v>#N/A</v>
      </c>
      <c r="L2887" t="e">
        <f t="shared" si="592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3"/>
        <v>0</v>
      </c>
      <c r="B2888">
        <f t="shared" si="594"/>
        <v>0</v>
      </c>
      <c r="C2888">
        <f t="shared" si="595"/>
        <v>0</v>
      </c>
      <c r="D2888">
        <f t="shared" si="596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7"/>
        <v>0</v>
      </c>
      <c r="G2888">
        <f t="shared" si="598"/>
        <v>0</v>
      </c>
      <c r="H2888">
        <f t="shared" si="599"/>
        <v>0</v>
      </c>
      <c r="I2888">
        <f t="shared" si="600"/>
        <v>0</v>
      </c>
      <c r="J2888">
        <f t="shared" si="601"/>
        <v>0</v>
      </c>
      <c r="K2888" s="4" t="e">
        <f t="shared" si="591"/>
        <v>#N/A</v>
      </c>
      <c r="L2888" t="e">
        <f t="shared" si="592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3"/>
        <v>0</v>
      </c>
      <c r="B2889">
        <f t="shared" si="594"/>
        <v>0</v>
      </c>
      <c r="C2889">
        <f t="shared" si="595"/>
        <v>0</v>
      </c>
      <c r="D2889">
        <f t="shared" si="596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7"/>
        <v>0</v>
      </c>
      <c r="G2889">
        <f t="shared" si="598"/>
        <v>0</v>
      </c>
      <c r="H2889">
        <f t="shared" si="599"/>
        <v>0</v>
      </c>
      <c r="I2889">
        <f t="shared" si="600"/>
        <v>0</v>
      </c>
      <c r="J2889">
        <f t="shared" si="601"/>
        <v>0</v>
      </c>
      <c r="K2889" s="4" t="e">
        <f t="shared" si="591"/>
        <v>#N/A</v>
      </c>
      <c r="L2889" t="e">
        <f t="shared" si="592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3"/>
        <v>0</v>
      </c>
      <c r="B2890">
        <f t="shared" si="594"/>
        <v>0</v>
      </c>
      <c r="C2890">
        <f t="shared" si="595"/>
        <v>0</v>
      </c>
      <c r="D2890">
        <f t="shared" si="596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7"/>
        <v>0</v>
      </c>
      <c r="G2890">
        <f t="shared" si="598"/>
        <v>0</v>
      </c>
      <c r="H2890">
        <f t="shared" si="599"/>
        <v>0</v>
      </c>
      <c r="I2890">
        <f t="shared" si="600"/>
        <v>0</v>
      </c>
      <c r="J2890">
        <f t="shared" si="601"/>
        <v>0</v>
      </c>
      <c r="K2890" s="4" t="e">
        <f t="shared" si="591"/>
        <v>#N/A</v>
      </c>
      <c r="L2890" t="e">
        <f t="shared" si="592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3"/>
        <v>0</v>
      </c>
      <c r="B2891">
        <f t="shared" si="594"/>
        <v>0</v>
      </c>
      <c r="C2891">
        <f t="shared" si="595"/>
        <v>0</v>
      </c>
      <c r="D2891">
        <f t="shared" si="596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7"/>
        <v>0</v>
      </c>
      <c r="G2891">
        <f t="shared" si="598"/>
        <v>0</v>
      </c>
      <c r="H2891">
        <f t="shared" si="599"/>
        <v>0</v>
      </c>
      <c r="I2891">
        <f t="shared" si="600"/>
        <v>0</v>
      </c>
      <c r="J2891">
        <f t="shared" si="601"/>
        <v>0</v>
      </c>
      <c r="K2891" s="4" t="e">
        <f t="shared" si="591"/>
        <v>#N/A</v>
      </c>
      <c r="L2891" t="e">
        <f t="shared" si="592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3"/>
        <v>0</v>
      </c>
      <c r="B2892">
        <f t="shared" si="594"/>
        <v>0</v>
      </c>
      <c r="C2892">
        <f t="shared" si="595"/>
        <v>0</v>
      </c>
      <c r="D2892">
        <f t="shared" si="596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7"/>
        <v>0</v>
      </c>
      <c r="G2892">
        <f t="shared" si="598"/>
        <v>0</v>
      </c>
      <c r="H2892">
        <f t="shared" si="599"/>
        <v>0</v>
      </c>
      <c r="I2892">
        <f t="shared" si="600"/>
        <v>0</v>
      </c>
      <c r="J2892">
        <f t="shared" si="601"/>
        <v>0</v>
      </c>
      <c r="K2892" s="4" t="e">
        <f t="shared" si="591"/>
        <v>#N/A</v>
      </c>
      <c r="L2892" t="e">
        <f t="shared" si="592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3"/>
        <v>0</v>
      </c>
      <c r="B2893">
        <f t="shared" si="594"/>
        <v>0</v>
      </c>
      <c r="C2893">
        <f t="shared" si="595"/>
        <v>0</v>
      </c>
      <c r="D2893">
        <f t="shared" si="596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7"/>
        <v>0</v>
      </c>
      <c r="G2893">
        <f t="shared" si="598"/>
        <v>0</v>
      </c>
      <c r="H2893">
        <f t="shared" si="599"/>
        <v>0</v>
      </c>
      <c r="I2893">
        <f t="shared" si="600"/>
        <v>0</v>
      </c>
      <c r="J2893">
        <f t="shared" si="601"/>
        <v>0</v>
      </c>
      <c r="K2893" s="4" t="e">
        <f t="shared" si="591"/>
        <v>#N/A</v>
      </c>
      <c r="L2893" t="e">
        <f t="shared" si="592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3"/>
        <v>0</v>
      </c>
      <c r="B2894">
        <f t="shared" si="594"/>
        <v>0</v>
      </c>
      <c r="C2894">
        <f t="shared" si="595"/>
        <v>0</v>
      </c>
      <c r="D2894">
        <f t="shared" si="596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7"/>
        <v>0</v>
      </c>
      <c r="G2894">
        <f t="shared" si="598"/>
        <v>0</v>
      </c>
      <c r="H2894">
        <f t="shared" si="599"/>
        <v>0</v>
      </c>
      <c r="I2894">
        <f t="shared" si="600"/>
        <v>0</v>
      </c>
      <c r="J2894">
        <f t="shared" si="601"/>
        <v>0</v>
      </c>
      <c r="K2894" s="4" t="e">
        <f t="shared" si="591"/>
        <v>#N/A</v>
      </c>
      <c r="L2894" t="e">
        <f t="shared" si="592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3"/>
        <v>0</v>
      </c>
      <c r="B2895">
        <f t="shared" si="594"/>
        <v>0</v>
      </c>
      <c r="C2895">
        <f t="shared" si="595"/>
        <v>0</v>
      </c>
      <c r="D2895">
        <f t="shared" si="596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7"/>
        <v>0</v>
      </c>
      <c r="G2895">
        <f t="shared" si="598"/>
        <v>0</v>
      </c>
      <c r="H2895">
        <f t="shared" si="599"/>
        <v>0</v>
      </c>
      <c r="I2895">
        <f t="shared" si="600"/>
        <v>0</v>
      </c>
      <c r="J2895">
        <f t="shared" si="601"/>
        <v>0</v>
      </c>
      <c r="K2895" s="4" t="e">
        <f t="shared" si="591"/>
        <v>#N/A</v>
      </c>
      <c r="L2895" t="e">
        <f t="shared" si="592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3"/>
        <v>0</v>
      </c>
      <c r="B2896">
        <f t="shared" si="594"/>
        <v>0</v>
      </c>
      <c r="C2896">
        <f t="shared" si="595"/>
        <v>0</v>
      </c>
      <c r="D2896">
        <f t="shared" si="596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7"/>
        <v>0</v>
      </c>
      <c r="G2896">
        <f t="shared" si="598"/>
        <v>0</v>
      </c>
      <c r="H2896">
        <f t="shared" si="599"/>
        <v>0</v>
      </c>
      <c r="I2896">
        <f t="shared" si="600"/>
        <v>0</v>
      </c>
      <c r="J2896">
        <f t="shared" si="601"/>
        <v>0</v>
      </c>
      <c r="K2896" s="4" t="e">
        <f t="shared" si="591"/>
        <v>#N/A</v>
      </c>
      <c r="L2896" t="e">
        <f t="shared" si="592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3"/>
        <v>0</v>
      </c>
      <c r="B2897">
        <f t="shared" si="594"/>
        <v>0</v>
      </c>
      <c r="C2897">
        <f t="shared" si="595"/>
        <v>0</v>
      </c>
      <c r="D2897">
        <f t="shared" si="596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7"/>
        <v>0</v>
      </c>
      <c r="G2897">
        <f t="shared" si="598"/>
        <v>0</v>
      </c>
      <c r="H2897">
        <f t="shared" si="599"/>
        <v>0</v>
      </c>
      <c r="I2897">
        <f t="shared" si="600"/>
        <v>0</v>
      </c>
      <c r="J2897">
        <f t="shared" si="601"/>
        <v>0</v>
      </c>
      <c r="K2897" s="4" t="e">
        <f t="shared" si="591"/>
        <v>#N/A</v>
      </c>
      <c r="L2897" t="e">
        <f t="shared" si="592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3"/>
        <v>0</v>
      </c>
      <c r="B2898">
        <f t="shared" si="594"/>
        <v>0</v>
      </c>
      <c r="C2898">
        <f t="shared" si="595"/>
        <v>0</v>
      </c>
      <c r="D2898">
        <f t="shared" si="596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7"/>
        <v>0</v>
      </c>
      <c r="G2898">
        <f t="shared" si="598"/>
        <v>0</v>
      </c>
      <c r="H2898">
        <f t="shared" si="599"/>
        <v>0</v>
      </c>
      <c r="I2898">
        <f t="shared" si="600"/>
        <v>0</v>
      </c>
      <c r="J2898">
        <f t="shared" si="601"/>
        <v>0</v>
      </c>
      <c r="K2898" s="4" t="e">
        <f t="shared" si="591"/>
        <v>#N/A</v>
      </c>
      <c r="L2898" t="e">
        <f t="shared" si="592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3"/>
        <v>0</v>
      </c>
      <c r="B2899">
        <f t="shared" si="594"/>
        <v>0</v>
      </c>
      <c r="C2899">
        <f t="shared" si="595"/>
        <v>0</v>
      </c>
      <c r="D2899">
        <f t="shared" si="596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7"/>
        <v>0</v>
      </c>
      <c r="G2899">
        <f t="shared" si="598"/>
        <v>0</v>
      </c>
      <c r="H2899">
        <f t="shared" si="599"/>
        <v>0</v>
      </c>
      <c r="I2899">
        <f t="shared" si="600"/>
        <v>0</v>
      </c>
      <c r="J2899">
        <f t="shared" si="601"/>
        <v>0</v>
      </c>
      <c r="K2899" s="4" t="e">
        <f t="shared" si="591"/>
        <v>#N/A</v>
      </c>
      <c r="L2899" t="e">
        <f t="shared" si="592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3"/>
        <v>0</v>
      </c>
      <c r="B2900">
        <f t="shared" si="594"/>
        <v>0</v>
      </c>
      <c r="C2900">
        <f t="shared" si="595"/>
        <v>0</v>
      </c>
      <c r="D2900">
        <f t="shared" si="596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7"/>
        <v>0</v>
      </c>
      <c r="G2900">
        <f t="shared" si="598"/>
        <v>0</v>
      </c>
      <c r="H2900">
        <f t="shared" si="599"/>
        <v>0</v>
      </c>
      <c r="I2900">
        <f t="shared" si="600"/>
        <v>0</v>
      </c>
      <c r="J2900">
        <f t="shared" si="601"/>
        <v>0</v>
      </c>
      <c r="K2900" s="4" t="e">
        <f t="shared" si="591"/>
        <v>#N/A</v>
      </c>
      <c r="L2900" t="e">
        <f t="shared" si="592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3"/>
        <v>0</v>
      </c>
      <c r="B2901">
        <f t="shared" si="594"/>
        <v>0</v>
      </c>
      <c r="C2901">
        <f t="shared" si="595"/>
        <v>0</v>
      </c>
      <c r="D2901">
        <f t="shared" si="596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7"/>
        <v>0</v>
      </c>
      <c r="G2901">
        <f t="shared" si="598"/>
        <v>0</v>
      </c>
      <c r="H2901">
        <f t="shared" si="599"/>
        <v>0</v>
      </c>
      <c r="I2901">
        <f t="shared" si="600"/>
        <v>0</v>
      </c>
      <c r="J2901">
        <f t="shared" si="601"/>
        <v>0</v>
      </c>
      <c r="K2901" s="4" t="e">
        <f t="shared" si="591"/>
        <v>#N/A</v>
      </c>
      <c r="L2901" t="e">
        <f t="shared" si="592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3"/>
        <v>0</v>
      </c>
      <c r="B2902">
        <f t="shared" si="594"/>
        <v>0</v>
      </c>
      <c r="C2902">
        <f t="shared" si="595"/>
        <v>0</v>
      </c>
      <c r="D2902">
        <f t="shared" si="596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7"/>
        <v>0</v>
      </c>
      <c r="G2902">
        <f t="shared" si="598"/>
        <v>0</v>
      </c>
      <c r="H2902">
        <f t="shared" si="599"/>
        <v>0</v>
      </c>
      <c r="I2902">
        <f t="shared" si="600"/>
        <v>0</v>
      </c>
      <c r="J2902">
        <f t="shared" si="601"/>
        <v>0</v>
      </c>
      <c r="K2902" s="4" t="e">
        <f t="shared" si="591"/>
        <v>#N/A</v>
      </c>
      <c r="L2902" t="e">
        <f t="shared" si="592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3"/>
        <v>0</v>
      </c>
      <c r="B2903">
        <f t="shared" si="594"/>
        <v>0</v>
      </c>
      <c r="C2903">
        <f t="shared" si="595"/>
        <v>0</v>
      </c>
      <c r="D2903">
        <f t="shared" si="596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7"/>
        <v>0</v>
      </c>
      <c r="G2903">
        <f t="shared" si="598"/>
        <v>0</v>
      </c>
      <c r="H2903">
        <f t="shared" si="599"/>
        <v>0</v>
      </c>
      <c r="I2903">
        <f t="shared" si="600"/>
        <v>0</v>
      </c>
      <c r="J2903">
        <f t="shared" si="601"/>
        <v>0</v>
      </c>
      <c r="K2903" s="4" t="e">
        <f t="shared" si="591"/>
        <v>#N/A</v>
      </c>
      <c r="L2903" t="e">
        <f t="shared" si="592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3"/>
        <v>0</v>
      </c>
      <c r="B2904">
        <f t="shared" si="594"/>
        <v>0</v>
      </c>
      <c r="C2904">
        <f t="shared" si="595"/>
        <v>0</v>
      </c>
      <c r="D2904">
        <f t="shared" si="596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7"/>
        <v>0</v>
      </c>
      <c r="G2904">
        <f t="shared" si="598"/>
        <v>0</v>
      </c>
      <c r="H2904">
        <f t="shared" si="599"/>
        <v>0</v>
      </c>
      <c r="I2904">
        <f t="shared" si="600"/>
        <v>0</v>
      </c>
      <c r="J2904">
        <f t="shared" si="601"/>
        <v>0</v>
      </c>
      <c r="K2904" s="4" t="e">
        <f t="shared" si="591"/>
        <v>#N/A</v>
      </c>
      <c r="L2904" t="e">
        <f t="shared" si="592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3"/>
        <v>0</v>
      </c>
      <c r="B2905">
        <f t="shared" si="594"/>
        <v>0</v>
      </c>
      <c r="C2905">
        <f t="shared" si="595"/>
        <v>0</v>
      </c>
      <c r="D2905">
        <f t="shared" si="596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7"/>
        <v>0</v>
      </c>
      <c r="G2905">
        <f t="shared" si="598"/>
        <v>0</v>
      </c>
      <c r="H2905">
        <f t="shared" si="599"/>
        <v>0</v>
      </c>
      <c r="I2905">
        <f t="shared" si="600"/>
        <v>0</v>
      </c>
      <c r="J2905">
        <f t="shared" si="601"/>
        <v>0</v>
      </c>
      <c r="K2905" s="4" t="e">
        <f t="shared" si="591"/>
        <v>#N/A</v>
      </c>
      <c r="L2905" t="e">
        <f t="shared" si="592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3"/>
        <v>0</v>
      </c>
      <c r="B2906">
        <f t="shared" si="594"/>
        <v>0</v>
      </c>
      <c r="C2906">
        <f t="shared" si="595"/>
        <v>0</v>
      </c>
      <c r="D2906">
        <f t="shared" si="596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7"/>
        <v>0</v>
      </c>
      <c r="G2906">
        <f t="shared" si="598"/>
        <v>0</v>
      </c>
      <c r="H2906">
        <f t="shared" si="599"/>
        <v>0</v>
      </c>
      <c r="I2906">
        <f t="shared" si="600"/>
        <v>0</v>
      </c>
      <c r="J2906">
        <f t="shared" si="601"/>
        <v>0</v>
      </c>
      <c r="K2906" s="4" t="e">
        <f t="shared" si="591"/>
        <v>#N/A</v>
      </c>
      <c r="L2906" t="e">
        <f t="shared" si="592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3"/>
        <v>0</v>
      </c>
      <c r="B2907">
        <f t="shared" si="594"/>
        <v>0</v>
      </c>
      <c r="C2907">
        <f t="shared" si="595"/>
        <v>0</v>
      </c>
      <c r="D2907">
        <f t="shared" si="596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7"/>
        <v>0</v>
      </c>
      <c r="G2907">
        <f t="shared" si="598"/>
        <v>0</v>
      </c>
      <c r="H2907">
        <f t="shared" si="599"/>
        <v>0</v>
      </c>
      <c r="I2907">
        <f t="shared" si="600"/>
        <v>0</v>
      </c>
      <c r="J2907">
        <f t="shared" si="601"/>
        <v>0</v>
      </c>
      <c r="K2907" s="4" t="e">
        <f t="shared" si="591"/>
        <v>#N/A</v>
      </c>
      <c r="L2907" t="e">
        <f t="shared" si="592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3"/>
        <v>0</v>
      </c>
      <c r="B2908">
        <f t="shared" si="594"/>
        <v>0</v>
      </c>
      <c r="C2908">
        <f t="shared" si="595"/>
        <v>0</v>
      </c>
      <c r="D2908">
        <f t="shared" si="596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7"/>
        <v>0</v>
      </c>
      <c r="G2908">
        <f t="shared" si="598"/>
        <v>0</v>
      </c>
      <c r="H2908">
        <f t="shared" si="599"/>
        <v>0</v>
      </c>
      <c r="I2908">
        <f t="shared" si="600"/>
        <v>0</v>
      </c>
      <c r="J2908">
        <f t="shared" si="601"/>
        <v>0</v>
      </c>
      <c r="K2908" s="4" t="e">
        <f t="shared" si="591"/>
        <v>#N/A</v>
      </c>
      <c r="L2908" t="e">
        <f t="shared" si="592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3"/>
        <v>0</v>
      </c>
      <c r="B2909">
        <f t="shared" si="594"/>
        <v>0</v>
      </c>
      <c r="C2909">
        <f t="shared" si="595"/>
        <v>0</v>
      </c>
      <c r="D2909">
        <f t="shared" si="596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7"/>
        <v>0</v>
      </c>
      <c r="G2909">
        <f t="shared" si="598"/>
        <v>0</v>
      </c>
      <c r="H2909">
        <f t="shared" si="599"/>
        <v>0</v>
      </c>
      <c r="I2909">
        <f t="shared" si="600"/>
        <v>0</v>
      </c>
      <c r="J2909">
        <f t="shared" si="601"/>
        <v>0</v>
      </c>
      <c r="K2909" s="4" t="e">
        <f t="shared" si="591"/>
        <v>#N/A</v>
      </c>
      <c r="L2909" t="e">
        <f t="shared" si="592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3"/>
        <v>0</v>
      </c>
      <c r="B2910">
        <f t="shared" si="594"/>
        <v>0</v>
      </c>
      <c r="C2910">
        <f t="shared" si="595"/>
        <v>0</v>
      </c>
      <c r="D2910">
        <f t="shared" si="596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7"/>
        <v>0</v>
      </c>
      <c r="G2910">
        <f t="shared" si="598"/>
        <v>0</v>
      </c>
      <c r="H2910">
        <f t="shared" si="599"/>
        <v>0</v>
      </c>
      <c r="I2910">
        <f t="shared" si="600"/>
        <v>0</v>
      </c>
      <c r="J2910">
        <f t="shared" si="601"/>
        <v>0</v>
      </c>
      <c r="K2910" s="4" t="e">
        <f t="shared" si="591"/>
        <v>#N/A</v>
      </c>
      <c r="L2910" t="e">
        <f t="shared" si="592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3"/>
        <v>0</v>
      </c>
      <c r="B2911">
        <f t="shared" si="594"/>
        <v>0</v>
      </c>
      <c r="C2911">
        <f t="shared" si="595"/>
        <v>0</v>
      </c>
      <c r="D2911">
        <f t="shared" si="596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7"/>
        <v>0</v>
      </c>
      <c r="G2911">
        <f t="shared" si="598"/>
        <v>0</v>
      </c>
      <c r="H2911">
        <f t="shared" si="599"/>
        <v>0</v>
      </c>
      <c r="I2911">
        <f t="shared" si="600"/>
        <v>0</v>
      </c>
      <c r="J2911">
        <f t="shared" si="601"/>
        <v>0</v>
      </c>
      <c r="K2911" s="4" t="e">
        <f t="shared" si="591"/>
        <v>#N/A</v>
      </c>
      <c r="L2911" t="e">
        <f t="shared" si="592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3"/>
        <v>0</v>
      </c>
      <c r="B2912">
        <f t="shared" si="594"/>
        <v>0</v>
      </c>
      <c r="C2912">
        <f t="shared" si="595"/>
        <v>0</v>
      </c>
      <c r="D2912">
        <f t="shared" si="596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7"/>
        <v>0</v>
      </c>
      <c r="G2912">
        <f t="shared" si="598"/>
        <v>0</v>
      </c>
      <c r="H2912">
        <f t="shared" si="599"/>
        <v>0</v>
      </c>
      <c r="I2912">
        <f t="shared" si="600"/>
        <v>0</v>
      </c>
      <c r="J2912">
        <f t="shared" si="601"/>
        <v>0</v>
      </c>
      <c r="K2912" s="4" t="e">
        <f t="shared" si="591"/>
        <v>#N/A</v>
      </c>
      <c r="L2912" t="e">
        <f t="shared" si="592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3"/>
        <v>0</v>
      </c>
      <c r="B2913">
        <f t="shared" si="594"/>
        <v>0</v>
      </c>
      <c r="C2913">
        <f t="shared" si="595"/>
        <v>0</v>
      </c>
      <c r="D2913">
        <f t="shared" si="596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7"/>
        <v>0</v>
      </c>
      <c r="G2913">
        <f t="shared" si="598"/>
        <v>0</v>
      </c>
      <c r="H2913">
        <f t="shared" si="599"/>
        <v>0</v>
      </c>
      <c r="I2913">
        <f t="shared" si="600"/>
        <v>0</v>
      </c>
      <c r="J2913">
        <f t="shared" si="601"/>
        <v>0</v>
      </c>
      <c r="K2913" s="4" t="e">
        <f t="shared" si="591"/>
        <v>#N/A</v>
      </c>
      <c r="L2913" t="e">
        <f t="shared" si="592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3"/>
        <v>0</v>
      </c>
      <c r="B2914">
        <f t="shared" si="594"/>
        <v>0</v>
      </c>
      <c r="C2914">
        <f t="shared" si="595"/>
        <v>0</v>
      </c>
      <c r="D2914">
        <f t="shared" si="596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7"/>
        <v>0</v>
      </c>
      <c r="G2914">
        <f t="shared" si="598"/>
        <v>0</v>
      </c>
      <c r="H2914">
        <f t="shared" si="599"/>
        <v>0</v>
      </c>
      <c r="I2914">
        <f t="shared" si="600"/>
        <v>0</v>
      </c>
      <c r="J2914">
        <f t="shared" si="601"/>
        <v>0</v>
      </c>
      <c r="K2914" s="4" t="e">
        <f t="shared" si="591"/>
        <v>#N/A</v>
      </c>
      <c r="L2914" t="e">
        <f t="shared" si="592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3"/>
        <v>0</v>
      </c>
      <c r="B2915">
        <f t="shared" si="594"/>
        <v>0</v>
      </c>
      <c r="C2915">
        <f t="shared" si="595"/>
        <v>0</v>
      </c>
      <c r="D2915">
        <f t="shared" si="596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7"/>
        <v>0</v>
      </c>
      <c r="G2915">
        <f t="shared" si="598"/>
        <v>0</v>
      </c>
      <c r="H2915">
        <f t="shared" si="599"/>
        <v>0</v>
      </c>
      <c r="I2915">
        <f t="shared" si="600"/>
        <v>0</v>
      </c>
      <c r="J2915">
        <f t="shared" si="601"/>
        <v>0</v>
      </c>
      <c r="K2915" s="4" t="e">
        <f t="shared" si="591"/>
        <v>#N/A</v>
      </c>
      <c r="L2915" t="e">
        <f t="shared" si="592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3"/>
        <v>0</v>
      </c>
      <c r="B2916">
        <f t="shared" si="594"/>
        <v>0</v>
      </c>
      <c r="C2916">
        <f t="shared" si="595"/>
        <v>0</v>
      </c>
      <c r="D2916">
        <f t="shared" si="596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7"/>
        <v>0</v>
      </c>
      <c r="G2916">
        <f t="shared" si="598"/>
        <v>0</v>
      </c>
      <c r="H2916">
        <f t="shared" si="599"/>
        <v>0</v>
      </c>
      <c r="I2916">
        <f t="shared" si="600"/>
        <v>0</v>
      </c>
      <c r="J2916">
        <f t="shared" si="601"/>
        <v>0</v>
      </c>
      <c r="K2916" s="4" t="e">
        <f t="shared" si="591"/>
        <v>#N/A</v>
      </c>
      <c r="L2916" t="e">
        <f t="shared" si="592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3"/>
        <v>0</v>
      </c>
      <c r="B2917">
        <f t="shared" si="594"/>
        <v>0</v>
      </c>
      <c r="C2917">
        <f t="shared" si="595"/>
        <v>0</v>
      </c>
      <c r="D2917">
        <f t="shared" si="596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7"/>
        <v>0</v>
      </c>
      <c r="G2917">
        <f t="shared" si="598"/>
        <v>0</v>
      </c>
      <c r="H2917">
        <f t="shared" si="599"/>
        <v>0</v>
      </c>
      <c r="I2917">
        <f t="shared" si="600"/>
        <v>0</v>
      </c>
      <c r="J2917">
        <f t="shared" si="601"/>
        <v>0</v>
      </c>
      <c r="K2917" s="4" t="e">
        <f t="shared" si="591"/>
        <v>#N/A</v>
      </c>
      <c r="L2917" t="e">
        <f t="shared" si="592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3"/>
        <v>0</v>
      </c>
      <c r="B2918">
        <f t="shared" si="594"/>
        <v>0</v>
      </c>
      <c r="C2918">
        <f t="shared" si="595"/>
        <v>0</v>
      </c>
      <c r="D2918">
        <f t="shared" si="596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7"/>
        <v>0</v>
      </c>
      <c r="G2918">
        <f t="shared" si="598"/>
        <v>0</v>
      </c>
      <c r="H2918">
        <f t="shared" si="599"/>
        <v>0</v>
      </c>
      <c r="I2918">
        <f t="shared" si="600"/>
        <v>0</v>
      </c>
      <c r="J2918">
        <f t="shared" si="601"/>
        <v>0</v>
      </c>
      <c r="K2918" s="4" t="e">
        <f t="shared" si="591"/>
        <v>#N/A</v>
      </c>
      <c r="L2918" t="e">
        <f t="shared" si="592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3"/>
        <v>0</v>
      </c>
      <c r="B2919">
        <f t="shared" si="594"/>
        <v>0</v>
      </c>
      <c r="C2919">
        <f t="shared" si="595"/>
        <v>0</v>
      </c>
      <c r="D2919">
        <f t="shared" si="596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7"/>
        <v>0</v>
      </c>
      <c r="G2919">
        <f t="shared" si="598"/>
        <v>0</v>
      </c>
      <c r="H2919">
        <f t="shared" si="599"/>
        <v>0</v>
      </c>
      <c r="I2919">
        <f t="shared" si="600"/>
        <v>0</v>
      </c>
      <c r="J2919">
        <f t="shared" si="601"/>
        <v>0</v>
      </c>
      <c r="K2919" s="4" t="e">
        <f t="shared" si="591"/>
        <v>#N/A</v>
      </c>
      <c r="L2919" t="e">
        <f t="shared" si="592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3"/>
        <v>0</v>
      </c>
      <c r="B2920">
        <f t="shared" si="594"/>
        <v>0</v>
      </c>
      <c r="C2920">
        <f t="shared" si="595"/>
        <v>0</v>
      </c>
      <c r="D2920">
        <f t="shared" si="596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7"/>
        <v>0</v>
      </c>
      <c r="G2920">
        <f t="shared" si="598"/>
        <v>0</v>
      </c>
      <c r="H2920">
        <f t="shared" si="599"/>
        <v>0</v>
      </c>
      <c r="I2920">
        <f t="shared" si="600"/>
        <v>0</v>
      </c>
      <c r="J2920">
        <f t="shared" si="601"/>
        <v>0</v>
      </c>
      <c r="K2920" s="4" t="e">
        <f t="shared" si="591"/>
        <v>#N/A</v>
      </c>
      <c r="L2920" t="e">
        <f t="shared" si="592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3"/>
        <v>0</v>
      </c>
      <c r="B2921">
        <f t="shared" si="594"/>
        <v>0</v>
      </c>
      <c r="C2921">
        <f t="shared" si="595"/>
        <v>0</v>
      </c>
      <c r="D2921">
        <f t="shared" si="596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7"/>
        <v>0</v>
      </c>
      <c r="G2921">
        <f t="shared" si="598"/>
        <v>0</v>
      </c>
      <c r="H2921">
        <f t="shared" si="599"/>
        <v>0</v>
      </c>
      <c r="I2921">
        <f t="shared" si="600"/>
        <v>0</v>
      </c>
      <c r="J2921">
        <f t="shared" si="601"/>
        <v>0</v>
      </c>
      <c r="K2921" s="4" t="e">
        <f t="shared" si="591"/>
        <v>#N/A</v>
      </c>
      <c r="L2921" t="e">
        <f t="shared" si="592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3"/>
        <v>0</v>
      </c>
      <c r="B2922">
        <f t="shared" si="594"/>
        <v>0</v>
      </c>
      <c r="C2922">
        <f t="shared" si="595"/>
        <v>0</v>
      </c>
      <c r="D2922">
        <f t="shared" si="596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7"/>
        <v>0</v>
      </c>
      <c r="G2922">
        <f t="shared" si="598"/>
        <v>0</v>
      </c>
      <c r="H2922">
        <f t="shared" si="599"/>
        <v>0</v>
      </c>
      <c r="I2922">
        <f t="shared" si="600"/>
        <v>0</v>
      </c>
      <c r="J2922">
        <f t="shared" si="601"/>
        <v>0</v>
      </c>
      <c r="K2922" s="4" t="e">
        <f t="shared" si="591"/>
        <v>#N/A</v>
      </c>
      <c r="L2922" t="e">
        <f t="shared" si="592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3"/>
        <v>0</v>
      </c>
      <c r="B2923">
        <f t="shared" si="594"/>
        <v>0</v>
      </c>
      <c r="C2923">
        <f t="shared" si="595"/>
        <v>0</v>
      </c>
      <c r="D2923">
        <f t="shared" si="596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7"/>
        <v>0</v>
      </c>
      <c r="G2923">
        <f t="shared" si="598"/>
        <v>0</v>
      </c>
      <c r="H2923">
        <f t="shared" si="599"/>
        <v>0</v>
      </c>
      <c r="I2923">
        <f t="shared" si="600"/>
        <v>0</v>
      </c>
      <c r="J2923">
        <f t="shared" si="601"/>
        <v>0</v>
      </c>
      <c r="K2923" s="4" t="e">
        <f t="shared" si="591"/>
        <v>#N/A</v>
      </c>
      <c r="L2923" t="e">
        <f t="shared" si="592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3"/>
        <v>0</v>
      </c>
      <c r="B2924">
        <f t="shared" si="594"/>
        <v>0</v>
      </c>
      <c r="C2924">
        <f t="shared" si="595"/>
        <v>0</v>
      </c>
      <c r="D2924">
        <f t="shared" si="596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7"/>
        <v>0</v>
      </c>
      <c r="G2924">
        <f t="shared" si="598"/>
        <v>0</v>
      </c>
      <c r="H2924">
        <f t="shared" si="599"/>
        <v>0</v>
      </c>
      <c r="I2924">
        <f t="shared" si="600"/>
        <v>0</v>
      </c>
      <c r="J2924">
        <f t="shared" si="601"/>
        <v>0</v>
      </c>
      <c r="K2924" s="4" t="e">
        <f t="shared" ref="K2924:K2987" si="604">IF(LEFT(B2924,3)="DBM",0,VLOOKUP(E2924,tabela,2,FALSE))</f>
        <v>#N/A</v>
      </c>
      <c r="L2924" t="e">
        <f t="shared" ref="L2924:L2987" si="605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3"/>
        <v>0</v>
      </c>
      <c r="B2925">
        <f t="shared" si="594"/>
        <v>0</v>
      </c>
      <c r="C2925">
        <f t="shared" si="595"/>
        <v>0</v>
      </c>
      <c r="D2925">
        <f t="shared" si="596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7"/>
        <v>0</v>
      </c>
      <c r="G2925">
        <f t="shared" si="598"/>
        <v>0</v>
      </c>
      <c r="H2925">
        <f t="shared" si="599"/>
        <v>0</v>
      </c>
      <c r="I2925">
        <f t="shared" si="600"/>
        <v>0</v>
      </c>
      <c r="J2925">
        <f t="shared" si="601"/>
        <v>0</v>
      </c>
      <c r="K2925" s="4" t="e">
        <f t="shared" si="604"/>
        <v>#N/A</v>
      </c>
      <c r="L2925" t="e">
        <f t="shared" si="605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3"/>
        <v>0</v>
      </c>
      <c r="B2926">
        <f t="shared" si="594"/>
        <v>0</v>
      </c>
      <c r="C2926">
        <f t="shared" si="595"/>
        <v>0</v>
      </c>
      <c r="D2926">
        <f t="shared" si="596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7"/>
        <v>0</v>
      </c>
      <c r="G2926">
        <f t="shared" si="598"/>
        <v>0</v>
      </c>
      <c r="H2926">
        <f t="shared" si="599"/>
        <v>0</v>
      </c>
      <c r="I2926">
        <f t="shared" si="600"/>
        <v>0</v>
      </c>
      <c r="J2926">
        <f t="shared" si="601"/>
        <v>0</v>
      </c>
      <c r="K2926" s="4" t="e">
        <f t="shared" si="604"/>
        <v>#N/A</v>
      </c>
      <c r="L2926" t="e">
        <f t="shared" si="605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3"/>
        <v>0</v>
      </c>
      <c r="B2927">
        <f t="shared" si="594"/>
        <v>0</v>
      </c>
      <c r="C2927">
        <f t="shared" si="595"/>
        <v>0</v>
      </c>
      <c r="D2927">
        <f t="shared" si="596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7"/>
        <v>0</v>
      </c>
      <c r="G2927">
        <f t="shared" si="598"/>
        <v>0</v>
      </c>
      <c r="H2927">
        <f t="shared" si="599"/>
        <v>0</v>
      </c>
      <c r="I2927">
        <f t="shared" si="600"/>
        <v>0</v>
      </c>
      <c r="J2927">
        <f t="shared" si="601"/>
        <v>0</v>
      </c>
      <c r="K2927" s="4" t="e">
        <f t="shared" si="604"/>
        <v>#N/A</v>
      </c>
      <c r="L2927" t="e">
        <f t="shared" si="605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3"/>
        <v>0</v>
      </c>
      <c r="B2928">
        <f t="shared" si="594"/>
        <v>0</v>
      </c>
      <c r="C2928">
        <f t="shared" si="595"/>
        <v>0</v>
      </c>
      <c r="D2928">
        <f t="shared" si="596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7"/>
        <v>0</v>
      </c>
      <c r="G2928">
        <f t="shared" si="598"/>
        <v>0</v>
      </c>
      <c r="H2928">
        <f t="shared" si="599"/>
        <v>0</v>
      </c>
      <c r="I2928">
        <f t="shared" si="600"/>
        <v>0</v>
      </c>
      <c r="J2928">
        <f t="shared" si="601"/>
        <v>0</v>
      </c>
      <c r="K2928" s="4" t="e">
        <f t="shared" si="604"/>
        <v>#N/A</v>
      </c>
      <c r="L2928" t="e">
        <f t="shared" si="605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3"/>
        <v>0</v>
      </c>
      <c r="B2929">
        <f t="shared" si="594"/>
        <v>0</v>
      </c>
      <c r="C2929">
        <f t="shared" si="595"/>
        <v>0</v>
      </c>
      <c r="D2929">
        <f t="shared" si="596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7"/>
        <v>0</v>
      </c>
      <c r="G2929">
        <f t="shared" si="598"/>
        <v>0</v>
      </c>
      <c r="H2929">
        <f t="shared" si="599"/>
        <v>0</v>
      </c>
      <c r="I2929">
        <f t="shared" si="600"/>
        <v>0</v>
      </c>
      <c r="J2929">
        <f t="shared" si="601"/>
        <v>0</v>
      </c>
      <c r="K2929" s="4" t="e">
        <f t="shared" si="604"/>
        <v>#N/A</v>
      </c>
      <c r="L2929" t="e">
        <f t="shared" si="605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3"/>
        <v>0</v>
      </c>
      <c r="B2930">
        <f t="shared" si="594"/>
        <v>0</v>
      </c>
      <c r="C2930">
        <f t="shared" si="595"/>
        <v>0</v>
      </c>
      <c r="D2930">
        <f t="shared" si="596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7"/>
        <v>0</v>
      </c>
      <c r="G2930">
        <f t="shared" si="598"/>
        <v>0</v>
      </c>
      <c r="H2930">
        <f t="shared" si="599"/>
        <v>0</v>
      </c>
      <c r="I2930">
        <f t="shared" si="600"/>
        <v>0</v>
      </c>
      <c r="J2930">
        <f t="shared" si="601"/>
        <v>0</v>
      </c>
      <c r="K2930" s="4" t="e">
        <f t="shared" si="604"/>
        <v>#N/A</v>
      </c>
      <c r="L2930" t="e">
        <f t="shared" si="605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3"/>
        <v>0</v>
      </c>
      <c r="B2931">
        <f t="shared" si="594"/>
        <v>0</v>
      </c>
      <c r="C2931">
        <f t="shared" si="595"/>
        <v>0</v>
      </c>
      <c r="D2931">
        <f t="shared" si="596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7"/>
        <v>0</v>
      </c>
      <c r="G2931">
        <f t="shared" si="598"/>
        <v>0</v>
      </c>
      <c r="H2931">
        <f t="shared" si="599"/>
        <v>0</v>
      </c>
      <c r="I2931">
        <f t="shared" si="600"/>
        <v>0</v>
      </c>
      <c r="J2931">
        <f t="shared" si="601"/>
        <v>0</v>
      </c>
      <c r="K2931" s="4" t="e">
        <f t="shared" si="604"/>
        <v>#N/A</v>
      </c>
      <c r="L2931" t="e">
        <f t="shared" si="605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3"/>
        <v>0</v>
      </c>
      <c r="B2932">
        <f t="shared" si="594"/>
        <v>0</v>
      </c>
      <c r="C2932">
        <f t="shared" si="595"/>
        <v>0</v>
      </c>
      <c r="D2932">
        <f t="shared" si="596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7"/>
        <v>0</v>
      </c>
      <c r="G2932">
        <f t="shared" si="598"/>
        <v>0</v>
      </c>
      <c r="H2932">
        <f t="shared" si="599"/>
        <v>0</v>
      </c>
      <c r="I2932">
        <f t="shared" si="600"/>
        <v>0</v>
      </c>
      <c r="J2932">
        <f t="shared" si="601"/>
        <v>0</v>
      </c>
      <c r="K2932" s="4" t="e">
        <f t="shared" si="604"/>
        <v>#N/A</v>
      </c>
      <c r="L2932" t="e">
        <f t="shared" si="605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3"/>
        <v>0</v>
      </c>
      <c r="B2933">
        <f t="shared" si="594"/>
        <v>0</v>
      </c>
      <c r="C2933">
        <f t="shared" si="595"/>
        <v>0</v>
      </c>
      <c r="D2933">
        <f t="shared" si="596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7"/>
        <v>0</v>
      </c>
      <c r="G2933">
        <f t="shared" si="598"/>
        <v>0</v>
      </c>
      <c r="H2933">
        <f t="shared" si="599"/>
        <v>0</v>
      </c>
      <c r="I2933">
        <f t="shared" si="600"/>
        <v>0</v>
      </c>
      <c r="J2933">
        <f t="shared" si="601"/>
        <v>0</v>
      </c>
      <c r="K2933" s="4" t="e">
        <f t="shared" si="604"/>
        <v>#N/A</v>
      </c>
      <c r="L2933" t="e">
        <f t="shared" si="605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3"/>
        <v>0</v>
      </c>
      <c r="B2934">
        <f t="shared" si="594"/>
        <v>0</v>
      </c>
      <c r="C2934">
        <f t="shared" si="595"/>
        <v>0</v>
      </c>
      <c r="D2934">
        <f t="shared" si="596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7"/>
        <v>0</v>
      </c>
      <c r="G2934">
        <f t="shared" si="598"/>
        <v>0</v>
      </c>
      <c r="H2934">
        <f t="shared" si="599"/>
        <v>0</v>
      </c>
      <c r="I2934">
        <f t="shared" si="600"/>
        <v>0</v>
      </c>
      <c r="J2934">
        <f t="shared" si="601"/>
        <v>0</v>
      </c>
      <c r="K2934" s="4" t="e">
        <f t="shared" si="604"/>
        <v>#N/A</v>
      </c>
      <c r="L2934" t="e">
        <f t="shared" si="605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3"/>
        <v>0</v>
      </c>
      <c r="B2935">
        <f t="shared" si="594"/>
        <v>0</v>
      </c>
      <c r="C2935">
        <f t="shared" si="595"/>
        <v>0</v>
      </c>
      <c r="D2935">
        <f t="shared" si="596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7"/>
        <v>0</v>
      </c>
      <c r="G2935">
        <f t="shared" si="598"/>
        <v>0</v>
      </c>
      <c r="H2935">
        <f t="shared" si="599"/>
        <v>0</v>
      </c>
      <c r="I2935">
        <f t="shared" si="600"/>
        <v>0</v>
      </c>
      <c r="J2935">
        <f t="shared" si="601"/>
        <v>0</v>
      </c>
      <c r="K2935" s="4" t="e">
        <f t="shared" si="604"/>
        <v>#N/A</v>
      </c>
      <c r="L2935" t="e">
        <f t="shared" si="605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3"/>
        <v>0</v>
      </c>
      <c r="B2936">
        <f t="shared" si="594"/>
        <v>0</v>
      </c>
      <c r="C2936">
        <f t="shared" si="595"/>
        <v>0</v>
      </c>
      <c r="D2936">
        <f t="shared" si="596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7"/>
        <v>0</v>
      </c>
      <c r="G2936">
        <f t="shared" si="598"/>
        <v>0</v>
      </c>
      <c r="H2936">
        <f t="shared" si="599"/>
        <v>0</v>
      </c>
      <c r="I2936">
        <f t="shared" si="600"/>
        <v>0</v>
      </c>
      <c r="J2936">
        <f t="shared" si="601"/>
        <v>0</v>
      </c>
      <c r="K2936" s="4" t="e">
        <f t="shared" si="604"/>
        <v>#N/A</v>
      </c>
      <c r="L2936" t="e">
        <f t="shared" si="605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3"/>
        <v>0</v>
      </c>
      <c r="B2937">
        <f t="shared" si="594"/>
        <v>0</v>
      </c>
      <c r="C2937">
        <f t="shared" si="595"/>
        <v>0</v>
      </c>
      <c r="D2937">
        <f t="shared" si="596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7"/>
        <v>0</v>
      </c>
      <c r="G2937">
        <f t="shared" si="598"/>
        <v>0</v>
      </c>
      <c r="H2937">
        <f t="shared" si="599"/>
        <v>0</v>
      </c>
      <c r="I2937">
        <f t="shared" si="600"/>
        <v>0</v>
      </c>
      <c r="J2937">
        <f t="shared" si="601"/>
        <v>0</v>
      </c>
      <c r="K2937" s="4" t="e">
        <f t="shared" si="604"/>
        <v>#N/A</v>
      </c>
      <c r="L2937" t="e">
        <f t="shared" si="605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3"/>
        <v>0</v>
      </c>
      <c r="B2938">
        <f t="shared" si="594"/>
        <v>0</v>
      </c>
      <c r="C2938">
        <f t="shared" si="595"/>
        <v>0</v>
      </c>
      <c r="D2938">
        <f t="shared" si="596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7"/>
        <v>0</v>
      </c>
      <c r="G2938">
        <f t="shared" si="598"/>
        <v>0</v>
      </c>
      <c r="H2938">
        <f t="shared" si="599"/>
        <v>0</v>
      </c>
      <c r="I2938">
        <f t="shared" si="600"/>
        <v>0</v>
      </c>
      <c r="J2938">
        <f t="shared" si="601"/>
        <v>0</v>
      </c>
      <c r="K2938" s="4" t="e">
        <f t="shared" si="604"/>
        <v>#N/A</v>
      </c>
      <c r="L2938" t="e">
        <f t="shared" si="605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3"/>
        <v>0</v>
      </c>
      <c r="B2939">
        <f t="shared" si="594"/>
        <v>0</v>
      </c>
      <c r="C2939">
        <f t="shared" si="595"/>
        <v>0</v>
      </c>
      <c r="D2939">
        <f t="shared" si="596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7"/>
        <v>0</v>
      </c>
      <c r="G2939">
        <f t="shared" si="598"/>
        <v>0</v>
      </c>
      <c r="H2939">
        <f t="shared" si="599"/>
        <v>0</v>
      </c>
      <c r="I2939">
        <f t="shared" si="600"/>
        <v>0</v>
      </c>
      <c r="J2939">
        <f t="shared" si="601"/>
        <v>0</v>
      </c>
      <c r="K2939" s="4" t="e">
        <f t="shared" si="604"/>
        <v>#N/A</v>
      </c>
      <c r="L2939" t="e">
        <f t="shared" si="605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3"/>
        <v>0</v>
      </c>
      <c r="B2940">
        <f t="shared" si="594"/>
        <v>0</v>
      </c>
      <c r="C2940">
        <f t="shared" si="595"/>
        <v>0</v>
      </c>
      <c r="D2940">
        <f t="shared" si="596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7"/>
        <v>0</v>
      </c>
      <c r="G2940">
        <f t="shared" si="598"/>
        <v>0</v>
      </c>
      <c r="H2940">
        <f t="shared" si="599"/>
        <v>0</v>
      </c>
      <c r="I2940">
        <f t="shared" si="600"/>
        <v>0</v>
      </c>
      <c r="J2940">
        <f t="shared" si="601"/>
        <v>0</v>
      </c>
      <c r="K2940" s="4" t="e">
        <f t="shared" si="604"/>
        <v>#N/A</v>
      </c>
      <c r="L2940" t="e">
        <f t="shared" si="605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3"/>
        <v>0</v>
      </c>
      <c r="B2941">
        <f t="shared" si="594"/>
        <v>0</v>
      </c>
      <c r="C2941">
        <f t="shared" si="595"/>
        <v>0</v>
      </c>
      <c r="D2941">
        <f t="shared" si="596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7"/>
        <v>0</v>
      </c>
      <c r="G2941">
        <f t="shared" si="598"/>
        <v>0</v>
      </c>
      <c r="H2941">
        <f t="shared" si="599"/>
        <v>0</v>
      </c>
      <c r="I2941">
        <f t="shared" si="600"/>
        <v>0</v>
      </c>
      <c r="J2941">
        <f t="shared" si="601"/>
        <v>0</v>
      </c>
      <c r="K2941" s="4" t="e">
        <f t="shared" si="604"/>
        <v>#N/A</v>
      </c>
      <c r="L2941" t="e">
        <f t="shared" si="605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3"/>
        <v>0</v>
      </c>
      <c r="B2942">
        <f t="shared" si="594"/>
        <v>0</v>
      </c>
      <c r="C2942">
        <f t="shared" si="595"/>
        <v>0</v>
      </c>
      <c r="D2942">
        <f t="shared" si="596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7"/>
        <v>0</v>
      </c>
      <c r="G2942">
        <f t="shared" si="598"/>
        <v>0</v>
      </c>
      <c r="H2942">
        <f t="shared" si="599"/>
        <v>0</v>
      </c>
      <c r="I2942">
        <f t="shared" si="600"/>
        <v>0</v>
      </c>
      <c r="J2942">
        <f t="shared" si="601"/>
        <v>0</v>
      </c>
      <c r="K2942" s="4" t="e">
        <f t="shared" si="604"/>
        <v>#N/A</v>
      </c>
      <c r="L2942" t="e">
        <f t="shared" si="605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3"/>
        <v>0</v>
      </c>
      <c r="B2943">
        <f t="shared" si="594"/>
        <v>0</v>
      </c>
      <c r="C2943">
        <f t="shared" si="595"/>
        <v>0</v>
      </c>
      <c r="D2943">
        <f t="shared" si="596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7"/>
        <v>0</v>
      </c>
      <c r="G2943">
        <f t="shared" si="598"/>
        <v>0</v>
      </c>
      <c r="H2943">
        <f t="shared" si="599"/>
        <v>0</v>
      </c>
      <c r="I2943">
        <f t="shared" si="600"/>
        <v>0</v>
      </c>
      <c r="J2943">
        <f t="shared" si="601"/>
        <v>0</v>
      </c>
      <c r="K2943" s="4" t="e">
        <f t="shared" si="604"/>
        <v>#N/A</v>
      </c>
      <c r="L2943" t="e">
        <f t="shared" si="605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3"/>
        <v>0</v>
      </c>
      <c r="B2944">
        <f t="shared" si="594"/>
        <v>0</v>
      </c>
      <c r="C2944">
        <f t="shared" si="595"/>
        <v>0</v>
      </c>
      <c r="D2944">
        <f t="shared" si="596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7"/>
        <v>0</v>
      </c>
      <c r="G2944">
        <f t="shared" si="598"/>
        <v>0</v>
      </c>
      <c r="H2944">
        <f t="shared" si="599"/>
        <v>0</v>
      </c>
      <c r="I2944">
        <f t="shared" si="600"/>
        <v>0</v>
      </c>
      <c r="J2944">
        <f t="shared" si="601"/>
        <v>0</v>
      </c>
      <c r="K2944" s="4" t="e">
        <f t="shared" si="604"/>
        <v>#N/A</v>
      </c>
      <c r="L2944" t="e">
        <f t="shared" si="605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3"/>
        <v>0</v>
      </c>
      <c r="B2945">
        <f t="shared" si="594"/>
        <v>0</v>
      </c>
      <c r="C2945">
        <f t="shared" si="595"/>
        <v>0</v>
      </c>
      <c r="D2945">
        <f t="shared" si="596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7"/>
        <v>0</v>
      </c>
      <c r="G2945">
        <f t="shared" si="598"/>
        <v>0</v>
      </c>
      <c r="H2945">
        <f t="shared" si="599"/>
        <v>0</v>
      </c>
      <c r="I2945">
        <f t="shared" si="600"/>
        <v>0</v>
      </c>
      <c r="J2945">
        <f t="shared" si="601"/>
        <v>0</v>
      </c>
      <c r="K2945" s="4" t="e">
        <f t="shared" si="604"/>
        <v>#N/A</v>
      </c>
      <c r="L2945" t="e">
        <f t="shared" si="605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6">bd_campaign</f>
        <v>0</v>
      </c>
      <c r="B2946">
        <f t="shared" ref="B2946:B3009" si="607">bd_site</f>
        <v>0</v>
      </c>
      <c r="C2946">
        <f t="shared" ref="C2946:C3009" si="608">bd_placement</f>
        <v>0</v>
      </c>
      <c r="D2946">
        <f t="shared" ref="D2946:D3009" si="609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10">bd_ad</f>
        <v>0</v>
      </c>
      <c r="G2946">
        <f t="shared" ref="G2946:G3009" si="611">bd_adid</f>
        <v>0</v>
      </c>
      <c r="H2946">
        <f t="shared" ref="H2946:H3009" si="612">bd_creativetype</f>
        <v>0</v>
      </c>
      <c r="I2946">
        <f t="shared" ref="I2946:I3009" si="613">bd_impression</f>
        <v>0</v>
      </c>
      <c r="J2946">
        <f t="shared" ref="J2946:J3009" si="614">bd_clicks</f>
        <v>0</v>
      </c>
      <c r="K2946" s="4" t="e">
        <f t="shared" si="604"/>
        <v>#N/A</v>
      </c>
      <c r="L2946" t="e">
        <f t="shared" si="605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6"/>
        <v>0</v>
      </c>
      <c r="B2947">
        <f t="shared" si="607"/>
        <v>0</v>
      </c>
      <c r="C2947">
        <f t="shared" si="608"/>
        <v>0</v>
      </c>
      <c r="D2947">
        <f t="shared" si="609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10"/>
        <v>0</v>
      </c>
      <c r="G2947">
        <f t="shared" si="611"/>
        <v>0</v>
      </c>
      <c r="H2947">
        <f t="shared" si="612"/>
        <v>0</v>
      </c>
      <c r="I2947">
        <f t="shared" si="613"/>
        <v>0</v>
      </c>
      <c r="J2947">
        <f t="shared" si="614"/>
        <v>0</v>
      </c>
      <c r="K2947" s="4" t="e">
        <f t="shared" si="604"/>
        <v>#N/A</v>
      </c>
      <c r="L2947" t="e">
        <f t="shared" si="605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6"/>
        <v>0</v>
      </c>
      <c r="B2948">
        <f t="shared" si="607"/>
        <v>0</v>
      </c>
      <c r="C2948">
        <f t="shared" si="608"/>
        <v>0</v>
      </c>
      <c r="D2948">
        <f t="shared" si="609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10"/>
        <v>0</v>
      </c>
      <c r="G2948">
        <f t="shared" si="611"/>
        <v>0</v>
      </c>
      <c r="H2948">
        <f t="shared" si="612"/>
        <v>0</v>
      </c>
      <c r="I2948">
        <f t="shared" si="613"/>
        <v>0</v>
      </c>
      <c r="J2948">
        <f t="shared" si="614"/>
        <v>0</v>
      </c>
      <c r="K2948" s="4" t="e">
        <f t="shared" si="604"/>
        <v>#N/A</v>
      </c>
      <c r="L2948" t="e">
        <f t="shared" si="605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6"/>
        <v>0</v>
      </c>
      <c r="B2949">
        <f t="shared" si="607"/>
        <v>0</v>
      </c>
      <c r="C2949">
        <f t="shared" si="608"/>
        <v>0</v>
      </c>
      <c r="D2949">
        <f t="shared" si="609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10"/>
        <v>0</v>
      </c>
      <c r="G2949">
        <f t="shared" si="611"/>
        <v>0</v>
      </c>
      <c r="H2949">
        <f t="shared" si="612"/>
        <v>0</v>
      </c>
      <c r="I2949">
        <f t="shared" si="613"/>
        <v>0</v>
      </c>
      <c r="J2949">
        <f t="shared" si="614"/>
        <v>0</v>
      </c>
      <c r="K2949" s="4" t="e">
        <f t="shared" si="604"/>
        <v>#N/A</v>
      </c>
      <c r="L2949" t="e">
        <f t="shared" si="605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6"/>
        <v>0</v>
      </c>
      <c r="B2950">
        <f t="shared" si="607"/>
        <v>0</v>
      </c>
      <c r="C2950">
        <f t="shared" si="608"/>
        <v>0</v>
      </c>
      <c r="D2950">
        <f t="shared" si="609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10"/>
        <v>0</v>
      </c>
      <c r="G2950">
        <f t="shared" si="611"/>
        <v>0</v>
      </c>
      <c r="H2950">
        <f t="shared" si="612"/>
        <v>0</v>
      </c>
      <c r="I2950">
        <f t="shared" si="613"/>
        <v>0</v>
      </c>
      <c r="J2950">
        <f t="shared" si="614"/>
        <v>0</v>
      </c>
      <c r="K2950" s="4" t="e">
        <f t="shared" si="604"/>
        <v>#N/A</v>
      </c>
      <c r="L2950" t="e">
        <f t="shared" si="605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6"/>
        <v>0</v>
      </c>
      <c r="B2951">
        <f t="shared" si="607"/>
        <v>0</v>
      </c>
      <c r="C2951">
        <f t="shared" si="608"/>
        <v>0</v>
      </c>
      <c r="D2951">
        <f t="shared" si="609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10"/>
        <v>0</v>
      </c>
      <c r="G2951">
        <f t="shared" si="611"/>
        <v>0</v>
      </c>
      <c r="H2951">
        <f t="shared" si="612"/>
        <v>0</v>
      </c>
      <c r="I2951">
        <f t="shared" si="613"/>
        <v>0</v>
      </c>
      <c r="J2951">
        <f t="shared" si="614"/>
        <v>0</v>
      </c>
      <c r="K2951" s="4" t="e">
        <f t="shared" si="604"/>
        <v>#N/A</v>
      </c>
      <c r="L2951" t="e">
        <f t="shared" si="605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6"/>
        <v>0</v>
      </c>
      <c r="B2952">
        <f t="shared" si="607"/>
        <v>0</v>
      </c>
      <c r="C2952">
        <f t="shared" si="608"/>
        <v>0</v>
      </c>
      <c r="D2952">
        <f t="shared" si="609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10"/>
        <v>0</v>
      </c>
      <c r="G2952">
        <f t="shared" si="611"/>
        <v>0</v>
      </c>
      <c r="H2952">
        <f t="shared" si="612"/>
        <v>0</v>
      </c>
      <c r="I2952">
        <f t="shared" si="613"/>
        <v>0</v>
      </c>
      <c r="J2952">
        <f t="shared" si="614"/>
        <v>0</v>
      </c>
      <c r="K2952" s="4" t="e">
        <f t="shared" si="604"/>
        <v>#N/A</v>
      </c>
      <c r="L2952" t="e">
        <f t="shared" si="605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6"/>
        <v>0</v>
      </c>
      <c r="B2953">
        <f t="shared" si="607"/>
        <v>0</v>
      </c>
      <c r="C2953">
        <f t="shared" si="608"/>
        <v>0</v>
      </c>
      <c r="D2953">
        <f t="shared" si="609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10"/>
        <v>0</v>
      </c>
      <c r="G2953">
        <f t="shared" si="611"/>
        <v>0</v>
      </c>
      <c r="H2953">
        <f t="shared" si="612"/>
        <v>0</v>
      </c>
      <c r="I2953">
        <f t="shared" si="613"/>
        <v>0</v>
      </c>
      <c r="J2953">
        <f t="shared" si="614"/>
        <v>0</v>
      </c>
      <c r="K2953" s="4" t="e">
        <f t="shared" si="604"/>
        <v>#N/A</v>
      </c>
      <c r="L2953" t="e">
        <f t="shared" si="605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6"/>
        <v>0</v>
      </c>
      <c r="B2954">
        <f t="shared" si="607"/>
        <v>0</v>
      </c>
      <c r="C2954">
        <f t="shared" si="608"/>
        <v>0</v>
      </c>
      <c r="D2954">
        <f t="shared" si="609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10"/>
        <v>0</v>
      </c>
      <c r="G2954">
        <f t="shared" si="611"/>
        <v>0</v>
      </c>
      <c r="H2954">
        <f t="shared" si="612"/>
        <v>0</v>
      </c>
      <c r="I2954">
        <f t="shared" si="613"/>
        <v>0</v>
      </c>
      <c r="J2954">
        <f t="shared" si="614"/>
        <v>0</v>
      </c>
      <c r="K2954" s="4" t="e">
        <f t="shared" si="604"/>
        <v>#N/A</v>
      </c>
      <c r="L2954" t="e">
        <f t="shared" si="605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6"/>
        <v>0</v>
      </c>
      <c r="B2955">
        <f t="shared" si="607"/>
        <v>0</v>
      </c>
      <c r="C2955">
        <f t="shared" si="608"/>
        <v>0</v>
      </c>
      <c r="D2955">
        <f t="shared" si="609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10"/>
        <v>0</v>
      </c>
      <c r="G2955">
        <f t="shared" si="611"/>
        <v>0</v>
      </c>
      <c r="H2955">
        <f t="shared" si="612"/>
        <v>0</v>
      </c>
      <c r="I2955">
        <f t="shared" si="613"/>
        <v>0</v>
      </c>
      <c r="J2955">
        <f t="shared" si="614"/>
        <v>0</v>
      </c>
      <c r="K2955" s="4" t="e">
        <f t="shared" si="604"/>
        <v>#N/A</v>
      </c>
      <c r="L2955" t="e">
        <f t="shared" si="605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6"/>
        <v>0</v>
      </c>
      <c r="B2956">
        <f t="shared" si="607"/>
        <v>0</v>
      </c>
      <c r="C2956">
        <f t="shared" si="608"/>
        <v>0</v>
      </c>
      <c r="D2956">
        <f t="shared" si="609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10"/>
        <v>0</v>
      </c>
      <c r="G2956">
        <f t="shared" si="611"/>
        <v>0</v>
      </c>
      <c r="H2956">
        <f t="shared" si="612"/>
        <v>0</v>
      </c>
      <c r="I2956">
        <f t="shared" si="613"/>
        <v>0</v>
      </c>
      <c r="J2956">
        <f t="shared" si="614"/>
        <v>0</v>
      </c>
      <c r="K2956" s="4" t="e">
        <f t="shared" si="604"/>
        <v>#N/A</v>
      </c>
      <c r="L2956" t="e">
        <f t="shared" si="605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6"/>
        <v>0</v>
      </c>
      <c r="B2957">
        <f t="shared" si="607"/>
        <v>0</v>
      </c>
      <c r="C2957">
        <f t="shared" si="608"/>
        <v>0</v>
      </c>
      <c r="D2957">
        <f t="shared" si="609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10"/>
        <v>0</v>
      </c>
      <c r="G2957">
        <f t="shared" si="611"/>
        <v>0</v>
      </c>
      <c r="H2957">
        <f t="shared" si="612"/>
        <v>0</v>
      </c>
      <c r="I2957">
        <f t="shared" si="613"/>
        <v>0</v>
      </c>
      <c r="J2957">
        <f t="shared" si="614"/>
        <v>0</v>
      </c>
      <c r="K2957" s="4" t="e">
        <f t="shared" si="604"/>
        <v>#N/A</v>
      </c>
      <c r="L2957" t="e">
        <f t="shared" si="605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6"/>
        <v>0</v>
      </c>
      <c r="B2958">
        <f t="shared" si="607"/>
        <v>0</v>
      </c>
      <c r="C2958">
        <f t="shared" si="608"/>
        <v>0</v>
      </c>
      <c r="D2958">
        <f t="shared" si="609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10"/>
        <v>0</v>
      </c>
      <c r="G2958">
        <f t="shared" si="611"/>
        <v>0</v>
      </c>
      <c r="H2958">
        <f t="shared" si="612"/>
        <v>0</v>
      </c>
      <c r="I2958">
        <f t="shared" si="613"/>
        <v>0</v>
      </c>
      <c r="J2958">
        <f t="shared" si="614"/>
        <v>0</v>
      </c>
      <c r="K2958" s="4" t="e">
        <f t="shared" si="604"/>
        <v>#N/A</v>
      </c>
      <c r="L2958" t="e">
        <f t="shared" si="605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6"/>
        <v>0</v>
      </c>
      <c r="B2959">
        <f t="shared" si="607"/>
        <v>0</v>
      </c>
      <c r="C2959">
        <f t="shared" si="608"/>
        <v>0</v>
      </c>
      <c r="D2959">
        <f t="shared" si="609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10"/>
        <v>0</v>
      </c>
      <c r="G2959">
        <f t="shared" si="611"/>
        <v>0</v>
      </c>
      <c r="H2959">
        <f t="shared" si="612"/>
        <v>0</v>
      </c>
      <c r="I2959">
        <f t="shared" si="613"/>
        <v>0</v>
      </c>
      <c r="J2959">
        <f t="shared" si="614"/>
        <v>0</v>
      </c>
      <c r="K2959" s="4" t="e">
        <f t="shared" si="604"/>
        <v>#N/A</v>
      </c>
      <c r="L2959" t="e">
        <f t="shared" si="605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6"/>
        <v>0</v>
      </c>
      <c r="B2960">
        <f t="shared" si="607"/>
        <v>0</v>
      </c>
      <c r="C2960">
        <f t="shared" si="608"/>
        <v>0</v>
      </c>
      <c r="D2960">
        <f t="shared" si="609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10"/>
        <v>0</v>
      </c>
      <c r="G2960">
        <f t="shared" si="611"/>
        <v>0</v>
      </c>
      <c r="H2960">
        <f t="shared" si="612"/>
        <v>0</v>
      </c>
      <c r="I2960">
        <f t="shared" si="613"/>
        <v>0</v>
      </c>
      <c r="J2960">
        <f t="shared" si="614"/>
        <v>0</v>
      </c>
      <c r="K2960" s="4" t="e">
        <f t="shared" si="604"/>
        <v>#N/A</v>
      </c>
      <c r="L2960" t="e">
        <f t="shared" si="605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6"/>
        <v>0</v>
      </c>
      <c r="B2961">
        <f t="shared" si="607"/>
        <v>0</v>
      </c>
      <c r="C2961">
        <f t="shared" si="608"/>
        <v>0</v>
      </c>
      <c r="D2961">
        <f t="shared" si="609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10"/>
        <v>0</v>
      </c>
      <c r="G2961">
        <f t="shared" si="611"/>
        <v>0</v>
      </c>
      <c r="H2961">
        <f t="shared" si="612"/>
        <v>0</v>
      </c>
      <c r="I2961">
        <f t="shared" si="613"/>
        <v>0</v>
      </c>
      <c r="J2961">
        <f t="shared" si="614"/>
        <v>0</v>
      </c>
      <c r="K2961" s="4" t="e">
        <f t="shared" si="604"/>
        <v>#N/A</v>
      </c>
      <c r="L2961" t="e">
        <f t="shared" si="605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6"/>
        <v>0</v>
      </c>
      <c r="B2962">
        <f t="shared" si="607"/>
        <v>0</v>
      </c>
      <c r="C2962">
        <f t="shared" si="608"/>
        <v>0</v>
      </c>
      <c r="D2962">
        <f t="shared" si="609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10"/>
        <v>0</v>
      </c>
      <c r="G2962">
        <f t="shared" si="611"/>
        <v>0</v>
      </c>
      <c r="H2962">
        <f t="shared" si="612"/>
        <v>0</v>
      </c>
      <c r="I2962">
        <f t="shared" si="613"/>
        <v>0</v>
      </c>
      <c r="J2962">
        <f t="shared" si="614"/>
        <v>0</v>
      </c>
      <c r="K2962" s="4" t="e">
        <f t="shared" si="604"/>
        <v>#N/A</v>
      </c>
      <c r="L2962" t="e">
        <f t="shared" si="605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6"/>
        <v>0</v>
      </c>
      <c r="B2963">
        <f t="shared" si="607"/>
        <v>0</v>
      </c>
      <c r="C2963">
        <f t="shared" si="608"/>
        <v>0</v>
      </c>
      <c r="D2963">
        <f t="shared" si="609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10"/>
        <v>0</v>
      </c>
      <c r="G2963">
        <f t="shared" si="611"/>
        <v>0</v>
      </c>
      <c r="H2963">
        <f t="shared" si="612"/>
        <v>0</v>
      </c>
      <c r="I2963">
        <f t="shared" si="613"/>
        <v>0</v>
      </c>
      <c r="J2963">
        <f t="shared" si="614"/>
        <v>0</v>
      </c>
      <c r="K2963" s="4" t="e">
        <f t="shared" si="604"/>
        <v>#N/A</v>
      </c>
      <c r="L2963" t="e">
        <f t="shared" si="605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6"/>
        <v>0</v>
      </c>
      <c r="B2964">
        <f t="shared" si="607"/>
        <v>0</v>
      </c>
      <c r="C2964">
        <f t="shared" si="608"/>
        <v>0</v>
      </c>
      <c r="D2964">
        <f t="shared" si="609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10"/>
        <v>0</v>
      </c>
      <c r="G2964">
        <f t="shared" si="611"/>
        <v>0</v>
      </c>
      <c r="H2964">
        <f t="shared" si="612"/>
        <v>0</v>
      </c>
      <c r="I2964">
        <f t="shared" si="613"/>
        <v>0</v>
      </c>
      <c r="J2964">
        <f t="shared" si="614"/>
        <v>0</v>
      </c>
      <c r="K2964" s="4" t="e">
        <f t="shared" si="604"/>
        <v>#N/A</v>
      </c>
      <c r="L2964" t="e">
        <f t="shared" si="605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6"/>
        <v>0</v>
      </c>
      <c r="B2965">
        <f t="shared" si="607"/>
        <v>0</v>
      </c>
      <c r="C2965">
        <f t="shared" si="608"/>
        <v>0</v>
      </c>
      <c r="D2965">
        <f t="shared" si="609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10"/>
        <v>0</v>
      </c>
      <c r="G2965">
        <f t="shared" si="611"/>
        <v>0</v>
      </c>
      <c r="H2965">
        <f t="shared" si="612"/>
        <v>0</v>
      </c>
      <c r="I2965">
        <f t="shared" si="613"/>
        <v>0</v>
      </c>
      <c r="J2965">
        <f t="shared" si="614"/>
        <v>0</v>
      </c>
      <c r="K2965" s="4" t="e">
        <f t="shared" si="604"/>
        <v>#N/A</v>
      </c>
      <c r="L2965" t="e">
        <f t="shared" si="605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6"/>
        <v>0</v>
      </c>
      <c r="B2966">
        <f t="shared" si="607"/>
        <v>0</v>
      </c>
      <c r="C2966">
        <f t="shared" si="608"/>
        <v>0</v>
      </c>
      <c r="D2966">
        <f t="shared" si="609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10"/>
        <v>0</v>
      </c>
      <c r="G2966">
        <f t="shared" si="611"/>
        <v>0</v>
      </c>
      <c r="H2966">
        <f t="shared" si="612"/>
        <v>0</v>
      </c>
      <c r="I2966">
        <f t="shared" si="613"/>
        <v>0</v>
      </c>
      <c r="J2966">
        <f t="shared" si="614"/>
        <v>0</v>
      </c>
      <c r="K2966" s="4" t="e">
        <f t="shared" si="604"/>
        <v>#N/A</v>
      </c>
      <c r="L2966" t="e">
        <f t="shared" si="605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6"/>
        <v>0</v>
      </c>
      <c r="B2967">
        <f t="shared" si="607"/>
        <v>0</v>
      </c>
      <c r="C2967">
        <f t="shared" si="608"/>
        <v>0</v>
      </c>
      <c r="D2967">
        <f t="shared" si="609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10"/>
        <v>0</v>
      </c>
      <c r="G2967">
        <f t="shared" si="611"/>
        <v>0</v>
      </c>
      <c r="H2967">
        <f t="shared" si="612"/>
        <v>0</v>
      </c>
      <c r="I2967">
        <f t="shared" si="613"/>
        <v>0</v>
      </c>
      <c r="J2967">
        <f t="shared" si="614"/>
        <v>0</v>
      </c>
      <c r="K2967" s="4" t="e">
        <f t="shared" si="604"/>
        <v>#N/A</v>
      </c>
      <c r="L2967" t="e">
        <f t="shared" si="605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6"/>
        <v>0</v>
      </c>
      <c r="B2968">
        <f t="shared" si="607"/>
        <v>0</v>
      </c>
      <c r="C2968">
        <f t="shared" si="608"/>
        <v>0</v>
      </c>
      <c r="D2968">
        <f t="shared" si="609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10"/>
        <v>0</v>
      </c>
      <c r="G2968">
        <f t="shared" si="611"/>
        <v>0</v>
      </c>
      <c r="H2968">
        <f t="shared" si="612"/>
        <v>0</v>
      </c>
      <c r="I2968">
        <f t="shared" si="613"/>
        <v>0</v>
      </c>
      <c r="J2968">
        <f t="shared" si="614"/>
        <v>0</v>
      </c>
      <c r="K2968" s="4" t="e">
        <f t="shared" si="604"/>
        <v>#N/A</v>
      </c>
      <c r="L2968" t="e">
        <f t="shared" si="605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6"/>
        <v>0</v>
      </c>
      <c r="B2969">
        <f t="shared" si="607"/>
        <v>0</v>
      </c>
      <c r="C2969">
        <f t="shared" si="608"/>
        <v>0</v>
      </c>
      <c r="D2969">
        <f t="shared" si="609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10"/>
        <v>0</v>
      </c>
      <c r="G2969">
        <f t="shared" si="611"/>
        <v>0</v>
      </c>
      <c r="H2969">
        <f t="shared" si="612"/>
        <v>0</v>
      </c>
      <c r="I2969">
        <f t="shared" si="613"/>
        <v>0</v>
      </c>
      <c r="J2969">
        <f t="shared" si="614"/>
        <v>0</v>
      </c>
      <c r="K2969" s="4" t="e">
        <f t="shared" si="604"/>
        <v>#N/A</v>
      </c>
      <c r="L2969" t="e">
        <f t="shared" si="605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6"/>
        <v>0</v>
      </c>
      <c r="B2970">
        <f t="shared" si="607"/>
        <v>0</v>
      </c>
      <c r="C2970">
        <f t="shared" si="608"/>
        <v>0</v>
      </c>
      <c r="D2970">
        <f t="shared" si="609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10"/>
        <v>0</v>
      </c>
      <c r="G2970">
        <f t="shared" si="611"/>
        <v>0</v>
      </c>
      <c r="H2970">
        <f t="shared" si="612"/>
        <v>0</v>
      </c>
      <c r="I2970">
        <f t="shared" si="613"/>
        <v>0</v>
      </c>
      <c r="J2970">
        <f t="shared" si="614"/>
        <v>0</v>
      </c>
      <c r="K2970" s="4" t="e">
        <f t="shared" si="604"/>
        <v>#N/A</v>
      </c>
      <c r="L2970" t="e">
        <f t="shared" si="605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6"/>
        <v>0</v>
      </c>
      <c r="B2971">
        <f t="shared" si="607"/>
        <v>0</v>
      </c>
      <c r="C2971">
        <f t="shared" si="608"/>
        <v>0</v>
      </c>
      <c r="D2971">
        <f t="shared" si="609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10"/>
        <v>0</v>
      </c>
      <c r="G2971">
        <f t="shared" si="611"/>
        <v>0</v>
      </c>
      <c r="H2971">
        <f t="shared" si="612"/>
        <v>0</v>
      </c>
      <c r="I2971">
        <f t="shared" si="613"/>
        <v>0</v>
      </c>
      <c r="J2971">
        <f t="shared" si="614"/>
        <v>0</v>
      </c>
      <c r="K2971" s="4" t="e">
        <f t="shared" si="604"/>
        <v>#N/A</v>
      </c>
      <c r="L2971" t="e">
        <f t="shared" si="605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6"/>
        <v>0</v>
      </c>
      <c r="B2972">
        <f t="shared" si="607"/>
        <v>0</v>
      </c>
      <c r="C2972">
        <f t="shared" si="608"/>
        <v>0</v>
      </c>
      <c r="D2972">
        <f t="shared" si="609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10"/>
        <v>0</v>
      </c>
      <c r="G2972">
        <f t="shared" si="611"/>
        <v>0</v>
      </c>
      <c r="H2972">
        <f t="shared" si="612"/>
        <v>0</v>
      </c>
      <c r="I2972">
        <f t="shared" si="613"/>
        <v>0</v>
      </c>
      <c r="J2972">
        <f t="shared" si="614"/>
        <v>0</v>
      </c>
      <c r="K2972" s="4" t="e">
        <f t="shared" si="604"/>
        <v>#N/A</v>
      </c>
      <c r="L2972" t="e">
        <f t="shared" si="605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6"/>
        <v>0</v>
      </c>
      <c r="B2973">
        <f t="shared" si="607"/>
        <v>0</v>
      </c>
      <c r="C2973">
        <f t="shared" si="608"/>
        <v>0</v>
      </c>
      <c r="D2973">
        <f t="shared" si="609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10"/>
        <v>0</v>
      </c>
      <c r="G2973">
        <f t="shared" si="611"/>
        <v>0</v>
      </c>
      <c r="H2973">
        <f t="shared" si="612"/>
        <v>0</v>
      </c>
      <c r="I2973">
        <f t="shared" si="613"/>
        <v>0</v>
      </c>
      <c r="J2973">
        <f t="shared" si="614"/>
        <v>0</v>
      </c>
      <c r="K2973" s="4" t="e">
        <f t="shared" si="604"/>
        <v>#N/A</v>
      </c>
      <c r="L2973" t="e">
        <f t="shared" si="605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6"/>
        <v>0</v>
      </c>
      <c r="B2974">
        <f t="shared" si="607"/>
        <v>0</v>
      </c>
      <c r="C2974">
        <f t="shared" si="608"/>
        <v>0</v>
      </c>
      <c r="D2974">
        <f t="shared" si="609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10"/>
        <v>0</v>
      </c>
      <c r="G2974">
        <f t="shared" si="611"/>
        <v>0</v>
      </c>
      <c r="H2974">
        <f t="shared" si="612"/>
        <v>0</v>
      </c>
      <c r="I2974">
        <f t="shared" si="613"/>
        <v>0</v>
      </c>
      <c r="J2974">
        <f t="shared" si="614"/>
        <v>0</v>
      </c>
      <c r="K2974" s="4" t="e">
        <f t="shared" si="604"/>
        <v>#N/A</v>
      </c>
      <c r="L2974" t="e">
        <f t="shared" si="605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6"/>
        <v>0</v>
      </c>
      <c r="B2975">
        <f t="shared" si="607"/>
        <v>0</v>
      </c>
      <c r="C2975">
        <f t="shared" si="608"/>
        <v>0</v>
      </c>
      <c r="D2975">
        <f t="shared" si="609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10"/>
        <v>0</v>
      </c>
      <c r="G2975">
        <f t="shared" si="611"/>
        <v>0</v>
      </c>
      <c r="H2975">
        <f t="shared" si="612"/>
        <v>0</v>
      </c>
      <c r="I2975">
        <f t="shared" si="613"/>
        <v>0</v>
      </c>
      <c r="J2975">
        <f t="shared" si="614"/>
        <v>0</v>
      </c>
      <c r="K2975" s="4" t="e">
        <f t="shared" si="604"/>
        <v>#N/A</v>
      </c>
      <c r="L2975" t="e">
        <f t="shared" si="605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6"/>
        <v>0</v>
      </c>
      <c r="B2976">
        <f t="shared" si="607"/>
        <v>0</v>
      </c>
      <c r="C2976">
        <f t="shared" si="608"/>
        <v>0</v>
      </c>
      <c r="D2976">
        <f t="shared" si="609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10"/>
        <v>0</v>
      </c>
      <c r="G2976">
        <f t="shared" si="611"/>
        <v>0</v>
      </c>
      <c r="H2976">
        <f t="shared" si="612"/>
        <v>0</v>
      </c>
      <c r="I2976">
        <f t="shared" si="613"/>
        <v>0</v>
      </c>
      <c r="J2976">
        <f t="shared" si="614"/>
        <v>0</v>
      </c>
      <c r="K2976" s="4" t="e">
        <f t="shared" si="604"/>
        <v>#N/A</v>
      </c>
      <c r="L2976" t="e">
        <f t="shared" si="605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6"/>
        <v>0</v>
      </c>
      <c r="B2977">
        <f t="shared" si="607"/>
        <v>0</v>
      </c>
      <c r="C2977">
        <f t="shared" si="608"/>
        <v>0</v>
      </c>
      <c r="D2977">
        <f t="shared" si="609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10"/>
        <v>0</v>
      </c>
      <c r="G2977">
        <f t="shared" si="611"/>
        <v>0</v>
      </c>
      <c r="H2977">
        <f t="shared" si="612"/>
        <v>0</v>
      </c>
      <c r="I2977">
        <f t="shared" si="613"/>
        <v>0</v>
      </c>
      <c r="J2977">
        <f t="shared" si="614"/>
        <v>0</v>
      </c>
      <c r="K2977" s="4" t="e">
        <f t="shared" si="604"/>
        <v>#N/A</v>
      </c>
      <c r="L2977" t="e">
        <f t="shared" si="605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6"/>
        <v>0</v>
      </c>
      <c r="B2978">
        <f t="shared" si="607"/>
        <v>0</v>
      </c>
      <c r="C2978">
        <f t="shared" si="608"/>
        <v>0</v>
      </c>
      <c r="D2978">
        <f t="shared" si="609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10"/>
        <v>0</v>
      </c>
      <c r="G2978">
        <f t="shared" si="611"/>
        <v>0</v>
      </c>
      <c r="H2978">
        <f t="shared" si="612"/>
        <v>0</v>
      </c>
      <c r="I2978">
        <f t="shared" si="613"/>
        <v>0</v>
      </c>
      <c r="J2978">
        <f t="shared" si="614"/>
        <v>0</v>
      </c>
      <c r="K2978" s="4" t="e">
        <f t="shared" si="604"/>
        <v>#N/A</v>
      </c>
      <c r="L2978" t="e">
        <f t="shared" si="605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6"/>
        <v>0</v>
      </c>
      <c r="B2979">
        <f t="shared" si="607"/>
        <v>0</v>
      </c>
      <c r="C2979">
        <f t="shared" si="608"/>
        <v>0</v>
      </c>
      <c r="D2979">
        <f t="shared" si="609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10"/>
        <v>0</v>
      </c>
      <c r="G2979">
        <f t="shared" si="611"/>
        <v>0</v>
      </c>
      <c r="H2979">
        <f t="shared" si="612"/>
        <v>0</v>
      </c>
      <c r="I2979">
        <f t="shared" si="613"/>
        <v>0</v>
      </c>
      <c r="J2979">
        <f t="shared" si="614"/>
        <v>0</v>
      </c>
      <c r="K2979" s="4" t="e">
        <f t="shared" si="604"/>
        <v>#N/A</v>
      </c>
      <c r="L2979" t="e">
        <f t="shared" si="605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6"/>
        <v>0</v>
      </c>
      <c r="B2980">
        <f t="shared" si="607"/>
        <v>0</v>
      </c>
      <c r="C2980">
        <f t="shared" si="608"/>
        <v>0</v>
      </c>
      <c r="D2980">
        <f t="shared" si="609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10"/>
        <v>0</v>
      </c>
      <c r="G2980">
        <f t="shared" si="611"/>
        <v>0</v>
      </c>
      <c r="H2980">
        <f t="shared" si="612"/>
        <v>0</v>
      </c>
      <c r="I2980">
        <f t="shared" si="613"/>
        <v>0</v>
      </c>
      <c r="J2980">
        <f t="shared" si="614"/>
        <v>0</v>
      </c>
      <c r="K2980" s="4" t="e">
        <f t="shared" si="604"/>
        <v>#N/A</v>
      </c>
      <c r="L2980" t="e">
        <f t="shared" si="605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6"/>
        <v>0</v>
      </c>
      <c r="B2981">
        <f t="shared" si="607"/>
        <v>0</v>
      </c>
      <c r="C2981">
        <f t="shared" si="608"/>
        <v>0</v>
      </c>
      <c r="D2981">
        <f t="shared" si="609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10"/>
        <v>0</v>
      </c>
      <c r="G2981">
        <f t="shared" si="611"/>
        <v>0</v>
      </c>
      <c r="H2981">
        <f t="shared" si="612"/>
        <v>0</v>
      </c>
      <c r="I2981">
        <f t="shared" si="613"/>
        <v>0</v>
      </c>
      <c r="J2981">
        <f t="shared" si="614"/>
        <v>0</v>
      </c>
      <c r="K2981" s="4" t="e">
        <f t="shared" si="604"/>
        <v>#N/A</v>
      </c>
      <c r="L2981" t="e">
        <f t="shared" si="605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6"/>
        <v>0</v>
      </c>
      <c r="B2982">
        <f t="shared" si="607"/>
        <v>0</v>
      </c>
      <c r="C2982">
        <f t="shared" si="608"/>
        <v>0</v>
      </c>
      <c r="D2982">
        <f t="shared" si="609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10"/>
        <v>0</v>
      </c>
      <c r="G2982">
        <f t="shared" si="611"/>
        <v>0</v>
      </c>
      <c r="H2982">
        <f t="shared" si="612"/>
        <v>0</v>
      </c>
      <c r="I2982">
        <f t="shared" si="613"/>
        <v>0</v>
      </c>
      <c r="J2982">
        <f t="shared" si="614"/>
        <v>0</v>
      </c>
      <c r="K2982" s="4" t="e">
        <f t="shared" si="604"/>
        <v>#N/A</v>
      </c>
      <c r="L2982" t="e">
        <f t="shared" si="605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6"/>
        <v>0</v>
      </c>
      <c r="B2983">
        <f t="shared" si="607"/>
        <v>0</v>
      </c>
      <c r="C2983">
        <f t="shared" si="608"/>
        <v>0</v>
      </c>
      <c r="D2983">
        <f t="shared" si="609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10"/>
        <v>0</v>
      </c>
      <c r="G2983">
        <f t="shared" si="611"/>
        <v>0</v>
      </c>
      <c r="H2983">
        <f t="shared" si="612"/>
        <v>0</v>
      </c>
      <c r="I2983">
        <f t="shared" si="613"/>
        <v>0</v>
      </c>
      <c r="J2983">
        <f t="shared" si="614"/>
        <v>0</v>
      </c>
      <c r="K2983" s="4" t="e">
        <f t="shared" si="604"/>
        <v>#N/A</v>
      </c>
      <c r="L2983" t="e">
        <f t="shared" si="605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6"/>
        <v>0</v>
      </c>
      <c r="B2984">
        <f t="shared" si="607"/>
        <v>0</v>
      </c>
      <c r="C2984">
        <f t="shared" si="608"/>
        <v>0</v>
      </c>
      <c r="D2984">
        <f t="shared" si="609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10"/>
        <v>0</v>
      </c>
      <c r="G2984">
        <f t="shared" si="611"/>
        <v>0</v>
      </c>
      <c r="H2984">
        <f t="shared" si="612"/>
        <v>0</v>
      </c>
      <c r="I2984">
        <f t="shared" si="613"/>
        <v>0</v>
      </c>
      <c r="J2984">
        <f t="shared" si="614"/>
        <v>0</v>
      </c>
      <c r="K2984" s="4" t="e">
        <f t="shared" si="604"/>
        <v>#N/A</v>
      </c>
      <c r="L2984" t="e">
        <f t="shared" si="605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6"/>
        <v>0</v>
      </c>
      <c r="B2985">
        <f t="shared" si="607"/>
        <v>0</v>
      </c>
      <c r="C2985">
        <f t="shared" si="608"/>
        <v>0</v>
      </c>
      <c r="D2985">
        <f t="shared" si="609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10"/>
        <v>0</v>
      </c>
      <c r="G2985">
        <f t="shared" si="611"/>
        <v>0</v>
      </c>
      <c r="H2985">
        <f t="shared" si="612"/>
        <v>0</v>
      </c>
      <c r="I2985">
        <f t="shared" si="613"/>
        <v>0</v>
      </c>
      <c r="J2985">
        <f t="shared" si="614"/>
        <v>0</v>
      </c>
      <c r="K2985" s="4" t="e">
        <f t="shared" si="604"/>
        <v>#N/A</v>
      </c>
      <c r="L2985" t="e">
        <f t="shared" si="605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6"/>
        <v>0</v>
      </c>
      <c r="B2986">
        <f t="shared" si="607"/>
        <v>0</v>
      </c>
      <c r="C2986">
        <f t="shared" si="608"/>
        <v>0</v>
      </c>
      <c r="D2986">
        <f t="shared" si="609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10"/>
        <v>0</v>
      </c>
      <c r="G2986">
        <f t="shared" si="611"/>
        <v>0</v>
      </c>
      <c r="H2986">
        <f t="shared" si="612"/>
        <v>0</v>
      </c>
      <c r="I2986">
        <f t="shared" si="613"/>
        <v>0</v>
      </c>
      <c r="J2986">
        <f t="shared" si="614"/>
        <v>0</v>
      </c>
      <c r="K2986" s="4" t="e">
        <f t="shared" si="604"/>
        <v>#N/A</v>
      </c>
      <c r="L2986" t="e">
        <f t="shared" si="605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6"/>
        <v>0</v>
      </c>
      <c r="B2987">
        <f t="shared" si="607"/>
        <v>0</v>
      </c>
      <c r="C2987">
        <f t="shared" si="608"/>
        <v>0</v>
      </c>
      <c r="D2987">
        <f t="shared" si="609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10"/>
        <v>0</v>
      </c>
      <c r="G2987">
        <f t="shared" si="611"/>
        <v>0</v>
      </c>
      <c r="H2987">
        <f t="shared" si="612"/>
        <v>0</v>
      </c>
      <c r="I2987">
        <f t="shared" si="613"/>
        <v>0</v>
      </c>
      <c r="J2987">
        <f t="shared" si="614"/>
        <v>0</v>
      </c>
      <c r="K2987" s="4" t="e">
        <f t="shared" si="604"/>
        <v>#N/A</v>
      </c>
      <c r="L2987" t="e">
        <f t="shared" si="605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6"/>
        <v>0</v>
      </c>
      <c r="B2988">
        <f t="shared" si="607"/>
        <v>0</v>
      </c>
      <c r="C2988">
        <f t="shared" si="608"/>
        <v>0</v>
      </c>
      <c r="D2988">
        <f t="shared" si="609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10"/>
        <v>0</v>
      </c>
      <c r="G2988">
        <f t="shared" si="611"/>
        <v>0</v>
      </c>
      <c r="H2988">
        <f t="shared" si="612"/>
        <v>0</v>
      </c>
      <c r="I2988">
        <f t="shared" si="613"/>
        <v>0</v>
      </c>
      <c r="J2988">
        <f t="shared" si="614"/>
        <v>0</v>
      </c>
      <c r="K2988" s="4" t="e">
        <f t="shared" ref="K2988:K3004" si="617">IF(LEFT(B2988,3)="DBM",0,VLOOKUP(E2988,tabela,2,FALSE))</f>
        <v>#N/A</v>
      </c>
      <c r="L2988" t="e">
        <f t="shared" ref="L2988:L3004" si="618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6"/>
        <v>0</v>
      </c>
      <c r="B2989">
        <f t="shared" si="607"/>
        <v>0</v>
      </c>
      <c r="C2989">
        <f t="shared" si="608"/>
        <v>0</v>
      </c>
      <c r="D2989">
        <f t="shared" si="609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10"/>
        <v>0</v>
      </c>
      <c r="G2989">
        <f t="shared" si="611"/>
        <v>0</v>
      </c>
      <c r="H2989">
        <f t="shared" si="612"/>
        <v>0</v>
      </c>
      <c r="I2989">
        <f t="shared" si="613"/>
        <v>0</v>
      </c>
      <c r="J2989">
        <f t="shared" si="614"/>
        <v>0</v>
      </c>
      <c r="K2989" s="4" t="e">
        <f t="shared" si="617"/>
        <v>#N/A</v>
      </c>
      <c r="L2989" t="e">
        <f t="shared" si="618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6"/>
        <v>0</v>
      </c>
      <c r="B2990">
        <f t="shared" si="607"/>
        <v>0</v>
      </c>
      <c r="C2990">
        <f t="shared" si="608"/>
        <v>0</v>
      </c>
      <c r="D2990">
        <f t="shared" si="609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10"/>
        <v>0</v>
      </c>
      <c r="G2990">
        <f t="shared" si="611"/>
        <v>0</v>
      </c>
      <c r="H2990">
        <f t="shared" si="612"/>
        <v>0</v>
      </c>
      <c r="I2990">
        <f t="shared" si="613"/>
        <v>0</v>
      </c>
      <c r="J2990">
        <f t="shared" si="614"/>
        <v>0</v>
      </c>
      <c r="K2990" s="4" t="e">
        <f t="shared" si="617"/>
        <v>#N/A</v>
      </c>
      <c r="L2990" t="e">
        <f t="shared" si="618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6"/>
        <v>0</v>
      </c>
      <c r="B2991">
        <f t="shared" si="607"/>
        <v>0</v>
      </c>
      <c r="C2991">
        <f t="shared" si="608"/>
        <v>0</v>
      </c>
      <c r="D2991">
        <f t="shared" si="609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10"/>
        <v>0</v>
      </c>
      <c r="G2991">
        <f t="shared" si="611"/>
        <v>0</v>
      </c>
      <c r="H2991">
        <f t="shared" si="612"/>
        <v>0</v>
      </c>
      <c r="I2991">
        <f t="shared" si="613"/>
        <v>0</v>
      </c>
      <c r="J2991">
        <f t="shared" si="614"/>
        <v>0</v>
      </c>
      <c r="K2991" s="4" t="e">
        <f t="shared" si="617"/>
        <v>#N/A</v>
      </c>
      <c r="L2991" t="e">
        <f t="shared" si="618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6"/>
        <v>0</v>
      </c>
      <c r="B2992">
        <f t="shared" si="607"/>
        <v>0</v>
      </c>
      <c r="C2992">
        <f t="shared" si="608"/>
        <v>0</v>
      </c>
      <c r="D2992">
        <f t="shared" si="609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10"/>
        <v>0</v>
      </c>
      <c r="G2992">
        <f t="shared" si="611"/>
        <v>0</v>
      </c>
      <c r="H2992">
        <f t="shared" si="612"/>
        <v>0</v>
      </c>
      <c r="I2992">
        <f t="shared" si="613"/>
        <v>0</v>
      </c>
      <c r="J2992">
        <f t="shared" si="614"/>
        <v>0</v>
      </c>
      <c r="K2992" s="4" t="e">
        <f t="shared" si="617"/>
        <v>#N/A</v>
      </c>
      <c r="L2992" t="e">
        <f t="shared" si="618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6"/>
        <v>0</v>
      </c>
      <c r="B2993">
        <f t="shared" si="607"/>
        <v>0</v>
      </c>
      <c r="C2993">
        <f t="shared" si="608"/>
        <v>0</v>
      </c>
      <c r="D2993">
        <f t="shared" si="609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10"/>
        <v>0</v>
      </c>
      <c r="G2993">
        <f t="shared" si="611"/>
        <v>0</v>
      </c>
      <c r="H2993">
        <f t="shared" si="612"/>
        <v>0</v>
      </c>
      <c r="I2993">
        <f t="shared" si="613"/>
        <v>0</v>
      </c>
      <c r="J2993">
        <f t="shared" si="614"/>
        <v>0</v>
      </c>
      <c r="K2993" s="4" t="e">
        <f t="shared" si="617"/>
        <v>#N/A</v>
      </c>
      <c r="L2993" t="e">
        <f t="shared" si="618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6"/>
        <v>0</v>
      </c>
      <c r="B2994">
        <f t="shared" si="607"/>
        <v>0</v>
      </c>
      <c r="C2994">
        <f t="shared" si="608"/>
        <v>0</v>
      </c>
      <c r="D2994">
        <f t="shared" si="609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10"/>
        <v>0</v>
      </c>
      <c r="G2994">
        <f t="shared" si="611"/>
        <v>0</v>
      </c>
      <c r="H2994">
        <f t="shared" si="612"/>
        <v>0</v>
      </c>
      <c r="I2994">
        <f t="shared" si="613"/>
        <v>0</v>
      </c>
      <c r="J2994">
        <f t="shared" si="614"/>
        <v>0</v>
      </c>
      <c r="K2994" s="4" t="e">
        <f t="shared" si="617"/>
        <v>#N/A</v>
      </c>
      <c r="L2994" t="e">
        <f t="shared" si="618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6"/>
        <v>0</v>
      </c>
      <c r="B2995">
        <f t="shared" si="607"/>
        <v>0</v>
      </c>
      <c r="C2995">
        <f t="shared" si="608"/>
        <v>0</v>
      </c>
      <c r="D2995">
        <f t="shared" si="609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10"/>
        <v>0</v>
      </c>
      <c r="G2995">
        <f t="shared" si="611"/>
        <v>0</v>
      </c>
      <c r="H2995">
        <f t="shared" si="612"/>
        <v>0</v>
      </c>
      <c r="I2995">
        <f t="shared" si="613"/>
        <v>0</v>
      </c>
      <c r="J2995">
        <f t="shared" si="614"/>
        <v>0</v>
      </c>
      <c r="K2995" s="4" t="e">
        <f t="shared" si="617"/>
        <v>#N/A</v>
      </c>
      <c r="L2995" t="e">
        <f t="shared" si="618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6"/>
        <v>0</v>
      </c>
      <c r="B2996">
        <f t="shared" si="607"/>
        <v>0</v>
      </c>
      <c r="C2996">
        <f t="shared" si="608"/>
        <v>0</v>
      </c>
      <c r="D2996">
        <f t="shared" si="609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10"/>
        <v>0</v>
      </c>
      <c r="G2996">
        <f t="shared" si="611"/>
        <v>0</v>
      </c>
      <c r="H2996">
        <f t="shared" si="612"/>
        <v>0</v>
      </c>
      <c r="I2996">
        <f t="shared" si="613"/>
        <v>0</v>
      </c>
      <c r="J2996">
        <f t="shared" si="614"/>
        <v>0</v>
      </c>
      <c r="K2996" s="4" t="e">
        <f t="shared" si="617"/>
        <v>#N/A</v>
      </c>
      <c r="L2996" t="e">
        <f t="shared" si="618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6"/>
        <v>0</v>
      </c>
      <c r="B2997">
        <f t="shared" si="607"/>
        <v>0</v>
      </c>
      <c r="C2997">
        <f t="shared" si="608"/>
        <v>0</v>
      </c>
      <c r="D2997">
        <f t="shared" si="609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10"/>
        <v>0</v>
      </c>
      <c r="G2997">
        <f t="shared" si="611"/>
        <v>0</v>
      </c>
      <c r="H2997">
        <f t="shared" si="612"/>
        <v>0</v>
      </c>
      <c r="I2997">
        <f t="shared" si="613"/>
        <v>0</v>
      </c>
      <c r="J2997">
        <f t="shared" si="614"/>
        <v>0</v>
      </c>
      <c r="K2997" s="4" t="e">
        <f t="shared" si="617"/>
        <v>#N/A</v>
      </c>
      <c r="L2997" t="e">
        <f t="shared" si="618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6"/>
        <v>0</v>
      </c>
      <c r="B2998">
        <f t="shared" si="607"/>
        <v>0</v>
      </c>
      <c r="C2998">
        <f t="shared" si="608"/>
        <v>0</v>
      </c>
      <c r="D2998">
        <f t="shared" si="609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10"/>
        <v>0</v>
      </c>
      <c r="G2998">
        <f t="shared" si="611"/>
        <v>0</v>
      </c>
      <c r="H2998">
        <f t="shared" si="612"/>
        <v>0</v>
      </c>
      <c r="I2998">
        <f t="shared" si="613"/>
        <v>0</v>
      </c>
      <c r="J2998">
        <f t="shared" si="614"/>
        <v>0</v>
      </c>
      <c r="K2998" s="4" t="e">
        <f t="shared" si="617"/>
        <v>#N/A</v>
      </c>
      <c r="L2998" t="e">
        <f t="shared" si="618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6"/>
        <v>0</v>
      </c>
      <c r="B2999">
        <f t="shared" si="607"/>
        <v>0</v>
      </c>
      <c r="C2999">
        <f t="shared" si="608"/>
        <v>0</v>
      </c>
      <c r="D2999">
        <f t="shared" si="609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10"/>
        <v>0</v>
      </c>
      <c r="G2999">
        <f t="shared" si="611"/>
        <v>0</v>
      </c>
      <c r="H2999">
        <f t="shared" si="612"/>
        <v>0</v>
      </c>
      <c r="I2999">
        <f t="shared" si="613"/>
        <v>0</v>
      </c>
      <c r="J2999">
        <f t="shared" si="614"/>
        <v>0</v>
      </c>
      <c r="K2999" s="4" t="e">
        <f t="shared" si="617"/>
        <v>#N/A</v>
      </c>
      <c r="L2999" t="e">
        <f t="shared" si="618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6"/>
        <v>0</v>
      </c>
      <c r="B3000">
        <f t="shared" si="607"/>
        <v>0</v>
      </c>
      <c r="C3000">
        <f t="shared" si="608"/>
        <v>0</v>
      </c>
      <c r="D3000">
        <f t="shared" si="609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10"/>
        <v>0</v>
      </c>
      <c r="G3000">
        <f t="shared" si="611"/>
        <v>0</v>
      </c>
      <c r="H3000">
        <f t="shared" si="612"/>
        <v>0</v>
      </c>
      <c r="I3000">
        <f t="shared" si="613"/>
        <v>0</v>
      </c>
      <c r="J3000">
        <f t="shared" si="614"/>
        <v>0</v>
      </c>
      <c r="K3000" s="4" t="e">
        <f t="shared" si="617"/>
        <v>#N/A</v>
      </c>
      <c r="L3000" t="e">
        <f t="shared" si="618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6"/>
        <v>0</v>
      </c>
      <c r="B3001">
        <f t="shared" si="607"/>
        <v>0</v>
      </c>
      <c r="C3001">
        <f t="shared" si="608"/>
        <v>0</v>
      </c>
      <c r="D3001">
        <f t="shared" si="609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10"/>
        <v>0</v>
      </c>
      <c r="G3001">
        <f t="shared" si="611"/>
        <v>0</v>
      </c>
      <c r="H3001">
        <f t="shared" si="612"/>
        <v>0</v>
      </c>
      <c r="I3001">
        <f t="shared" si="613"/>
        <v>0</v>
      </c>
      <c r="J3001">
        <f t="shared" si="614"/>
        <v>0</v>
      </c>
      <c r="K3001" s="4" t="e">
        <f t="shared" si="617"/>
        <v>#N/A</v>
      </c>
      <c r="L3001" t="e">
        <f t="shared" si="618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6"/>
        <v>0</v>
      </c>
      <c r="B3002">
        <f t="shared" si="607"/>
        <v>0</v>
      </c>
      <c r="C3002">
        <f t="shared" si="608"/>
        <v>0</v>
      </c>
      <c r="D3002">
        <f t="shared" si="609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10"/>
        <v>0</v>
      </c>
      <c r="G3002">
        <f t="shared" si="611"/>
        <v>0</v>
      </c>
      <c r="H3002">
        <f t="shared" si="612"/>
        <v>0</v>
      </c>
      <c r="I3002">
        <f t="shared" si="613"/>
        <v>0</v>
      </c>
      <c r="J3002">
        <f t="shared" si="614"/>
        <v>0</v>
      </c>
      <c r="K3002" s="4" t="e">
        <f t="shared" si="617"/>
        <v>#N/A</v>
      </c>
      <c r="L3002" t="e">
        <f t="shared" si="618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6"/>
        <v>0</v>
      </c>
      <c r="B3003">
        <f t="shared" si="607"/>
        <v>0</v>
      </c>
      <c r="C3003">
        <f t="shared" si="608"/>
        <v>0</v>
      </c>
      <c r="D3003">
        <f t="shared" si="609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10"/>
        <v>0</v>
      </c>
      <c r="G3003">
        <f t="shared" si="611"/>
        <v>0</v>
      </c>
      <c r="H3003">
        <f t="shared" si="612"/>
        <v>0</v>
      </c>
      <c r="I3003">
        <f t="shared" si="613"/>
        <v>0</v>
      </c>
      <c r="J3003">
        <f t="shared" si="614"/>
        <v>0</v>
      </c>
      <c r="K3003" s="4" t="e">
        <f t="shared" si="617"/>
        <v>#N/A</v>
      </c>
      <c r="L3003" t="e">
        <f t="shared" si="618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6"/>
        <v>0</v>
      </c>
      <c r="B3004">
        <f t="shared" si="607"/>
        <v>0</v>
      </c>
      <c r="C3004">
        <f t="shared" si="608"/>
        <v>0</v>
      </c>
      <c r="D3004">
        <f t="shared" si="609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10"/>
        <v>0</v>
      </c>
      <c r="G3004">
        <f t="shared" si="611"/>
        <v>0</v>
      </c>
      <c r="H3004">
        <f t="shared" si="612"/>
        <v>0</v>
      </c>
      <c r="I3004">
        <f t="shared" si="613"/>
        <v>0</v>
      </c>
      <c r="J3004">
        <f t="shared" si="614"/>
        <v>0</v>
      </c>
      <c r="K3004" s="4" t="e">
        <f t="shared" si="617"/>
        <v>#N/A</v>
      </c>
      <c r="L3004" t="e">
        <f t="shared" si="618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6"/>
        <v>0</v>
      </c>
      <c r="B3005">
        <f t="shared" si="607"/>
        <v>0</v>
      </c>
      <c r="C3005">
        <f t="shared" si="608"/>
        <v>0</v>
      </c>
      <c r="D3005">
        <f t="shared" si="609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10"/>
        <v>0</v>
      </c>
      <c r="G3005">
        <f t="shared" si="611"/>
        <v>0</v>
      </c>
      <c r="H3005">
        <f t="shared" si="612"/>
        <v>0</v>
      </c>
      <c r="I3005">
        <f t="shared" si="613"/>
        <v>0</v>
      </c>
      <c r="J3005">
        <f t="shared" si="614"/>
        <v>0</v>
      </c>
      <c r="K3005" s="4" t="e">
        <f t="shared" ref="K3005:K3068" si="619">IF(LEFT(B3005,3)="DBM",0,VLOOKUP(E3005,tabela,2,FALSE))</f>
        <v>#N/A</v>
      </c>
      <c r="L3005" t="e">
        <f t="shared" ref="L3005:L3068" si="620">VLOOKUP(E3005,tabela,3,FALSE)</f>
        <v>#N/A</v>
      </c>
      <c r="M3005" s="4" t="e">
        <f t="shared" ref="M3005:M3068" si="621">IF(E3005="Dynamic Click",J3005*K3005,K3005*$I3005/1000)</f>
        <v>#N/A</v>
      </c>
      <c r="N3005" s="4" t="e">
        <f t="shared" ref="N3005:N3068" si="622">IF(E3005="Dynamic Click",J3005*L3005,L3005*$I3005/1000)</f>
        <v>#N/A</v>
      </c>
    </row>
    <row r="3006" spans="1:14">
      <c r="A3006">
        <f t="shared" si="606"/>
        <v>0</v>
      </c>
      <c r="B3006">
        <f t="shared" si="607"/>
        <v>0</v>
      </c>
      <c r="C3006">
        <f t="shared" si="608"/>
        <v>0</v>
      </c>
      <c r="D3006">
        <f t="shared" si="609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10"/>
        <v>0</v>
      </c>
      <c r="G3006">
        <f t="shared" si="611"/>
        <v>0</v>
      </c>
      <c r="H3006">
        <f t="shared" si="612"/>
        <v>0</v>
      </c>
      <c r="I3006">
        <f t="shared" si="613"/>
        <v>0</v>
      </c>
      <c r="J3006">
        <f t="shared" si="614"/>
        <v>0</v>
      </c>
      <c r="K3006" s="4" t="e">
        <f t="shared" si="619"/>
        <v>#N/A</v>
      </c>
      <c r="L3006" t="e">
        <f t="shared" si="620"/>
        <v>#N/A</v>
      </c>
      <c r="M3006" s="4" t="e">
        <f t="shared" si="621"/>
        <v>#N/A</v>
      </c>
      <c r="N3006" s="4" t="e">
        <f t="shared" si="622"/>
        <v>#N/A</v>
      </c>
    </row>
    <row r="3007" spans="1:14">
      <c r="A3007">
        <f t="shared" si="606"/>
        <v>0</v>
      </c>
      <c r="B3007">
        <f t="shared" si="607"/>
        <v>0</v>
      </c>
      <c r="C3007">
        <f t="shared" si="608"/>
        <v>0</v>
      </c>
      <c r="D3007">
        <f t="shared" si="609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10"/>
        <v>0</v>
      </c>
      <c r="G3007">
        <f t="shared" si="611"/>
        <v>0</v>
      </c>
      <c r="H3007">
        <f t="shared" si="612"/>
        <v>0</v>
      </c>
      <c r="I3007">
        <f t="shared" si="613"/>
        <v>0</v>
      </c>
      <c r="J3007">
        <f t="shared" si="614"/>
        <v>0</v>
      </c>
      <c r="K3007" s="4" t="e">
        <f t="shared" si="619"/>
        <v>#N/A</v>
      </c>
      <c r="L3007" t="e">
        <f t="shared" si="620"/>
        <v>#N/A</v>
      </c>
      <c r="M3007" s="4" t="e">
        <f t="shared" si="621"/>
        <v>#N/A</v>
      </c>
      <c r="N3007" s="4" t="e">
        <f t="shared" si="622"/>
        <v>#N/A</v>
      </c>
    </row>
    <row r="3008" spans="1:14">
      <c r="A3008">
        <f t="shared" si="606"/>
        <v>0</v>
      </c>
      <c r="B3008">
        <f t="shared" si="607"/>
        <v>0</v>
      </c>
      <c r="C3008">
        <f t="shared" si="608"/>
        <v>0</v>
      </c>
      <c r="D3008">
        <f t="shared" si="609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10"/>
        <v>0</v>
      </c>
      <c r="G3008">
        <f t="shared" si="611"/>
        <v>0</v>
      </c>
      <c r="H3008">
        <f t="shared" si="612"/>
        <v>0</v>
      </c>
      <c r="I3008">
        <f t="shared" si="613"/>
        <v>0</v>
      </c>
      <c r="J3008">
        <f t="shared" si="614"/>
        <v>0</v>
      </c>
      <c r="K3008" s="4" t="e">
        <f t="shared" si="619"/>
        <v>#N/A</v>
      </c>
      <c r="L3008" t="e">
        <f t="shared" si="620"/>
        <v>#N/A</v>
      </c>
      <c r="M3008" s="4" t="e">
        <f t="shared" si="621"/>
        <v>#N/A</v>
      </c>
      <c r="N3008" s="4" t="e">
        <f t="shared" si="622"/>
        <v>#N/A</v>
      </c>
    </row>
    <row r="3009" spans="1:14">
      <c r="A3009">
        <f t="shared" si="606"/>
        <v>0</v>
      </c>
      <c r="B3009">
        <f t="shared" si="607"/>
        <v>0</v>
      </c>
      <c r="C3009">
        <f t="shared" si="608"/>
        <v>0</v>
      </c>
      <c r="D3009">
        <f t="shared" si="609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10"/>
        <v>0</v>
      </c>
      <c r="G3009">
        <f t="shared" si="611"/>
        <v>0</v>
      </c>
      <c r="H3009">
        <f t="shared" si="612"/>
        <v>0</v>
      </c>
      <c r="I3009">
        <f t="shared" si="613"/>
        <v>0</v>
      </c>
      <c r="J3009">
        <f t="shared" si="614"/>
        <v>0</v>
      </c>
      <c r="K3009" s="4" t="e">
        <f t="shared" si="619"/>
        <v>#N/A</v>
      </c>
      <c r="L3009" t="e">
        <f t="shared" si="620"/>
        <v>#N/A</v>
      </c>
      <c r="M3009" s="4" t="e">
        <f t="shared" si="621"/>
        <v>#N/A</v>
      </c>
      <c r="N3009" s="4" t="e">
        <f t="shared" si="622"/>
        <v>#N/A</v>
      </c>
    </row>
    <row r="3010" spans="1:14">
      <c r="A3010">
        <f t="shared" ref="A3010:A3073" si="623">bd_campaign</f>
        <v>0</v>
      </c>
      <c r="B3010">
        <f t="shared" ref="B3010:B3073" si="624">bd_site</f>
        <v>0</v>
      </c>
      <c r="C3010">
        <f t="shared" ref="C3010:C3073" si="625">bd_placement</f>
        <v>0</v>
      </c>
      <c r="D3010">
        <f t="shared" ref="D3010:D3073" si="626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7">bd_ad</f>
        <v>0</v>
      </c>
      <c r="G3010">
        <f t="shared" ref="G3010:G3073" si="628">bd_adid</f>
        <v>0</v>
      </c>
      <c r="H3010">
        <f t="shared" ref="H3010:H3073" si="629">bd_creativetype</f>
        <v>0</v>
      </c>
      <c r="I3010">
        <f t="shared" ref="I3010:I3073" si="630">bd_impression</f>
        <v>0</v>
      </c>
      <c r="J3010">
        <f t="shared" ref="J3010:J3073" si="631">bd_clicks</f>
        <v>0</v>
      </c>
      <c r="K3010" s="4" t="e">
        <f t="shared" si="619"/>
        <v>#N/A</v>
      </c>
      <c r="L3010" t="e">
        <f t="shared" si="620"/>
        <v>#N/A</v>
      </c>
      <c r="M3010" s="4" t="e">
        <f t="shared" si="621"/>
        <v>#N/A</v>
      </c>
      <c r="N3010" s="4" t="e">
        <f t="shared" si="622"/>
        <v>#N/A</v>
      </c>
    </row>
    <row r="3011" spans="1:14">
      <c r="A3011">
        <f t="shared" si="623"/>
        <v>0</v>
      </c>
      <c r="B3011">
        <f t="shared" si="624"/>
        <v>0</v>
      </c>
      <c r="C3011">
        <f t="shared" si="625"/>
        <v>0</v>
      </c>
      <c r="D3011">
        <f t="shared" si="626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7"/>
        <v>0</v>
      </c>
      <c r="G3011">
        <f t="shared" si="628"/>
        <v>0</v>
      </c>
      <c r="H3011">
        <f t="shared" si="629"/>
        <v>0</v>
      </c>
      <c r="I3011">
        <f t="shared" si="630"/>
        <v>0</v>
      </c>
      <c r="J3011">
        <f t="shared" si="631"/>
        <v>0</v>
      </c>
      <c r="K3011" s="4" t="e">
        <f t="shared" si="619"/>
        <v>#N/A</v>
      </c>
      <c r="L3011" t="e">
        <f t="shared" si="620"/>
        <v>#N/A</v>
      </c>
      <c r="M3011" s="4" t="e">
        <f t="shared" si="621"/>
        <v>#N/A</v>
      </c>
      <c r="N3011" s="4" t="e">
        <f t="shared" si="622"/>
        <v>#N/A</v>
      </c>
    </row>
    <row r="3012" spans="1:14">
      <c r="A3012">
        <f t="shared" si="623"/>
        <v>0</v>
      </c>
      <c r="B3012">
        <f t="shared" si="624"/>
        <v>0</v>
      </c>
      <c r="C3012">
        <f t="shared" si="625"/>
        <v>0</v>
      </c>
      <c r="D3012">
        <f t="shared" si="626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7"/>
        <v>0</v>
      </c>
      <c r="G3012">
        <f t="shared" si="628"/>
        <v>0</v>
      </c>
      <c r="H3012">
        <f t="shared" si="629"/>
        <v>0</v>
      </c>
      <c r="I3012">
        <f t="shared" si="630"/>
        <v>0</v>
      </c>
      <c r="J3012">
        <f t="shared" si="631"/>
        <v>0</v>
      </c>
      <c r="K3012" s="4" t="e">
        <f t="shared" si="619"/>
        <v>#N/A</v>
      </c>
      <c r="L3012" t="e">
        <f t="shared" si="620"/>
        <v>#N/A</v>
      </c>
      <c r="M3012" s="4" t="e">
        <f t="shared" si="621"/>
        <v>#N/A</v>
      </c>
      <c r="N3012" s="4" t="e">
        <f t="shared" si="622"/>
        <v>#N/A</v>
      </c>
    </row>
    <row r="3013" spans="1:14">
      <c r="A3013">
        <f t="shared" si="623"/>
        <v>0</v>
      </c>
      <c r="B3013">
        <f t="shared" si="624"/>
        <v>0</v>
      </c>
      <c r="C3013">
        <f t="shared" si="625"/>
        <v>0</v>
      </c>
      <c r="D3013">
        <f t="shared" si="626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7"/>
        <v>0</v>
      </c>
      <c r="G3013">
        <f t="shared" si="628"/>
        <v>0</v>
      </c>
      <c r="H3013">
        <f t="shared" si="629"/>
        <v>0</v>
      </c>
      <c r="I3013">
        <f t="shared" si="630"/>
        <v>0</v>
      </c>
      <c r="J3013">
        <f t="shared" si="631"/>
        <v>0</v>
      </c>
      <c r="K3013" s="4" t="e">
        <f t="shared" si="619"/>
        <v>#N/A</v>
      </c>
      <c r="L3013" t="e">
        <f t="shared" si="620"/>
        <v>#N/A</v>
      </c>
      <c r="M3013" s="4" t="e">
        <f t="shared" si="621"/>
        <v>#N/A</v>
      </c>
      <c r="N3013" s="4" t="e">
        <f t="shared" si="622"/>
        <v>#N/A</v>
      </c>
    </row>
    <row r="3014" spans="1:14">
      <c r="A3014">
        <f t="shared" si="623"/>
        <v>0</v>
      </c>
      <c r="B3014">
        <f t="shared" si="624"/>
        <v>0</v>
      </c>
      <c r="C3014">
        <f t="shared" si="625"/>
        <v>0</v>
      </c>
      <c r="D3014">
        <f t="shared" si="626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7"/>
        <v>0</v>
      </c>
      <c r="G3014">
        <f t="shared" si="628"/>
        <v>0</v>
      </c>
      <c r="H3014">
        <f t="shared" si="629"/>
        <v>0</v>
      </c>
      <c r="I3014">
        <f t="shared" si="630"/>
        <v>0</v>
      </c>
      <c r="J3014">
        <f t="shared" si="631"/>
        <v>0</v>
      </c>
      <c r="K3014" s="4" t="e">
        <f t="shared" si="619"/>
        <v>#N/A</v>
      </c>
      <c r="L3014" t="e">
        <f t="shared" si="620"/>
        <v>#N/A</v>
      </c>
      <c r="M3014" s="4" t="e">
        <f t="shared" si="621"/>
        <v>#N/A</v>
      </c>
      <c r="N3014" s="4" t="e">
        <f t="shared" si="622"/>
        <v>#N/A</v>
      </c>
    </row>
    <row r="3015" spans="1:14">
      <c r="A3015">
        <f t="shared" si="623"/>
        <v>0</v>
      </c>
      <c r="B3015">
        <f t="shared" si="624"/>
        <v>0</v>
      </c>
      <c r="C3015">
        <f t="shared" si="625"/>
        <v>0</v>
      </c>
      <c r="D3015">
        <f t="shared" si="626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7"/>
        <v>0</v>
      </c>
      <c r="G3015">
        <f t="shared" si="628"/>
        <v>0</v>
      </c>
      <c r="H3015">
        <f t="shared" si="629"/>
        <v>0</v>
      </c>
      <c r="I3015">
        <f t="shared" si="630"/>
        <v>0</v>
      </c>
      <c r="J3015">
        <f t="shared" si="631"/>
        <v>0</v>
      </c>
      <c r="K3015" s="4" t="e">
        <f t="shared" si="619"/>
        <v>#N/A</v>
      </c>
      <c r="L3015" t="e">
        <f t="shared" si="620"/>
        <v>#N/A</v>
      </c>
      <c r="M3015" s="4" t="e">
        <f t="shared" si="621"/>
        <v>#N/A</v>
      </c>
      <c r="N3015" s="4" t="e">
        <f t="shared" si="622"/>
        <v>#N/A</v>
      </c>
    </row>
    <row r="3016" spans="1:14">
      <c r="A3016">
        <f t="shared" si="623"/>
        <v>0</v>
      </c>
      <c r="B3016">
        <f t="shared" si="624"/>
        <v>0</v>
      </c>
      <c r="C3016">
        <f t="shared" si="625"/>
        <v>0</v>
      </c>
      <c r="D3016">
        <f t="shared" si="626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7"/>
        <v>0</v>
      </c>
      <c r="G3016">
        <f t="shared" si="628"/>
        <v>0</v>
      </c>
      <c r="H3016">
        <f t="shared" si="629"/>
        <v>0</v>
      </c>
      <c r="I3016">
        <f t="shared" si="630"/>
        <v>0</v>
      </c>
      <c r="J3016">
        <f t="shared" si="631"/>
        <v>0</v>
      </c>
      <c r="K3016" s="4" t="e">
        <f t="shared" si="619"/>
        <v>#N/A</v>
      </c>
      <c r="L3016" t="e">
        <f t="shared" si="620"/>
        <v>#N/A</v>
      </c>
      <c r="M3016" s="4" t="e">
        <f t="shared" si="621"/>
        <v>#N/A</v>
      </c>
      <c r="N3016" s="4" t="e">
        <f t="shared" si="622"/>
        <v>#N/A</v>
      </c>
    </row>
    <row r="3017" spans="1:14">
      <c r="A3017">
        <f t="shared" si="623"/>
        <v>0</v>
      </c>
      <c r="B3017">
        <f t="shared" si="624"/>
        <v>0</v>
      </c>
      <c r="C3017">
        <f t="shared" si="625"/>
        <v>0</v>
      </c>
      <c r="D3017">
        <f t="shared" si="626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7"/>
        <v>0</v>
      </c>
      <c r="G3017">
        <f t="shared" si="628"/>
        <v>0</v>
      </c>
      <c r="H3017">
        <f t="shared" si="629"/>
        <v>0</v>
      </c>
      <c r="I3017">
        <f t="shared" si="630"/>
        <v>0</v>
      </c>
      <c r="J3017">
        <f t="shared" si="631"/>
        <v>0</v>
      </c>
      <c r="K3017" s="4" t="e">
        <f t="shared" si="619"/>
        <v>#N/A</v>
      </c>
      <c r="L3017" t="e">
        <f t="shared" si="620"/>
        <v>#N/A</v>
      </c>
      <c r="M3017" s="4" t="e">
        <f t="shared" si="621"/>
        <v>#N/A</v>
      </c>
      <c r="N3017" s="4" t="e">
        <f t="shared" si="622"/>
        <v>#N/A</v>
      </c>
    </row>
    <row r="3018" spans="1:14">
      <c r="A3018">
        <f t="shared" si="623"/>
        <v>0</v>
      </c>
      <c r="B3018">
        <f t="shared" si="624"/>
        <v>0</v>
      </c>
      <c r="C3018">
        <f t="shared" si="625"/>
        <v>0</v>
      </c>
      <c r="D3018">
        <f t="shared" si="626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7"/>
        <v>0</v>
      </c>
      <c r="G3018">
        <f t="shared" si="628"/>
        <v>0</v>
      </c>
      <c r="H3018">
        <f t="shared" si="629"/>
        <v>0</v>
      </c>
      <c r="I3018">
        <f t="shared" si="630"/>
        <v>0</v>
      </c>
      <c r="J3018">
        <f t="shared" si="631"/>
        <v>0</v>
      </c>
      <c r="K3018" s="4" t="e">
        <f t="shared" si="619"/>
        <v>#N/A</v>
      </c>
      <c r="L3018" t="e">
        <f t="shared" si="620"/>
        <v>#N/A</v>
      </c>
      <c r="M3018" s="4" t="e">
        <f t="shared" si="621"/>
        <v>#N/A</v>
      </c>
      <c r="N3018" s="4" t="e">
        <f t="shared" si="622"/>
        <v>#N/A</v>
      </c>
    </row>
    <row r="3019" spans="1:14">
      <c r="A3019">
        <f t="shared" si="623"/>
        <v>0</v>
      </c>
      <c r="B3019">
        <f t="shared" si="624"/>
        <v>0</v>
      </c>
      <c r="C3019">
        <f t="shared" si="625"/>
        <v>0</v>
      </c>
      <c r="D3019">
        <f t="shared" si="626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7"/>
        <v>0</v>
      </c>
      <c r="G3019">
        <f t="shared" si="628"/>
        <v>0</v>
      </c>
      <c r="H3019">
        <f t="shared" si="629"/>
        <v>0</v>
      </c>
      <c r="I3019">
        <f t="shared" si="630"/>
        <v>0</v>
      </c>
      <c r="J3019">
        <f t="shared" si="631"/>
        <v>0</v>
      </c>
      <c r="K3019" s="4" t="e">
        <f t="shared" si="619"/>
        <v>#N/A</v>
      </c>
      <c r="L3019" t="e">
        <f t="shared" si="620"/>
        <v>#N/A</v>
      </c>
      <c r="M3019" s="4" t="e">
        <f t="shared" si="621"/>
        <v>#N/A</v>
      </c>
      <c r="N3019" s="4" t="e">
        <f t="shared" si="622"/>
        <v>#N/A</v>
      </c>
    </row>
    <row r="3020" spans="1:14">
      <c r="A3020">
        <f t="shared" si="623"/>
        <v>0</v>
      </c>
      <c r="B3020">
        <f t="shared" si="624"/>
        <v>0</v>
      </c>
      <c r="C3020">
        <f t="shared" si="625"/>
        <v>0</v>
      </c>
      <c r="D3020">
        <f t="shared" si="626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7"/>
        <v>0</v>
      </c>
      <c r="G3020">
        <f t="shared" si="628"/>
        <v>0</v>
      </c>
      <c r="H3020">
        <f t="shared" si="629"/>
        <v>0</v>
      </c>
      <c r="I3020">
        <f t="shared" si="630"/>
        <v>0</v>
      </c>
      <c r="J3020">
        <f t="shared" si="631"/>
        <v>0</v>
      </c>
      <c r="K3020" s="4" t="e">
        <f t="shared" si="619"/>
        <v>#N/A</v>
      </c>
      <c r="L3020" t="e">
        <f t="shared" si="620"/>
        <v>#N/A</v>
      </c>
      <c r="M3020" s="4" t="e">
        <f t="shared" si="621"/>
        <v>#N/A</v>
      </c>
      <c r="N3020" s="4" t="e">
        <f t="shared" si="622"/>
        <v>#N/A</v>
      </c>
    </row>
    <row r="3021" spans="1:14">
      <c r="A3021">
        <f t="shared" si="623"/>
        <v>0</v>
      </c>
      <c r="B3021">
        <f t="shared" si="624"/>
        <v>0</v>
      </c>
      <c r="C3021">
        <f t="shared" si="625"/>
        <v>0</v>
      </c>
      <c r="D3021">
        <f t="shared" si="626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7"/>
        <v>0</v>
      </c>
      <c r="G3021">
        <f t="shared" si="628"/>
        <v>0</v>
      </c>
      <c r="H3021">
        <f t="shared" si="629"/>
        <v>0</v>
      </c>
      <c r="I3021">
        <f t="shared" si="630"/>
        <v>0</v>
      </c>
      <c r="J3021">
        <f t="shared" si="631"/>
        <v>0</v>
      </c>
      <c r="K3021" s="4" t="e">
        <f t="shared" si="619"/>
        <v>#N/A</v>
      </c>
      <c r="L3021" t="e">
        <f t="shared" si="620"/>
        <v>#N/A</v>
      </c>
      <c r="M3021" s="4" t="e">
        <f t="shared" si="621"/>
        <v>#N/A</v>
      </c>
      <c r="N3021" s="4" t="e">
        <f t="shared" si="622"/>
        <v>#N/A</v>
      </c>
    </row>
    <row r="3022" spans="1:14">
      <c r="A3022">
        <f t="shared" si="623"/>
        <v>0</v>
      </c>
      <c r="B3022">
        <f t="shared" si="624"/>
        <v>0</v>
      </c>
      <c r="C3022">
        <f t="shared" si="625"/>
        <v>0</v>
      </c>
      <c r="D3022">
        <f t="shared" si="626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7"/>
        <v>0</v>
      </c>
      <c r="G3022">
        <f t="shared" si="628"/>
        <v>0</v>
      </c>
      <c r="H3022">
        <f t="shared" si="629"/>
        <v>0</v>
      </c>
      <c r="I3022">
        <f t="shared" si="630"/>
        <v>0</v>
      </c>
      <c r="J3022">
        <f t="shared" si="631"/>
        <v>0</v>
      </c>
      <c r="K3022" s="4" t="e">
        <f t="shared" si="619"/>
        <v>#N/A</v>
      </c>
      <c r="L3022" t="e">
        <f t="shared" si="620"/>
        <v>#N/A</v>
      </c>
      <c r="M3022" s="4" t="e">
        <f t="shared" si="621"/>
        <v>#N/A</v>
      </c>
      <c r="N3022" s="4" t="e">
        <f t="shared" si="622"/>
        <v>#N/A</v>
      </c>
    </row>
    <row r="3023" spans="1:14">
      <c r="A3023">
        <f t="shared" si="623"/>
        <v>0</v>
      </c>
      <c r="B3023">
        <f t="shared" si="624"/>
        <v>0</v>
      </c>
      <c r="C3023">
        <f t="shared" si="625"/>
        <v>0</v>
      </c>
      <c r="D3023">
        <f t="shared" si="626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7"/>
        <v>0</v>
      </c>
      <c r="G3023">
        <f t="shared" si="628"/>
        <v>0</v>
      </c>
      <c r="H3023">
        <f t="shared" si="629"/>
        <v>0</v>
      </c>
      <c r="I3023">
        <f t="shared" si="630"/>
        <v>0</v>
      </c>
      <c r="J3023">
        <f t="shared" si="631"/>
        <v>0</v>
      </c>
      <c r="K3023" s="4" t="e">
        <f t="shared" si="619"/>
        <v>#N/A</v>
      </c>
      <c r="L3023" t="e">
        <f t="shared" si="620"/>
        <v>#N/A</v>
      </c>
      <c r="M3023" s="4" t="e">
        <f t="shared" si="621"/>
        <v>#N/A</v>
      </c>
      <c r="N3023" s="4" t="e">
        <f t="shared" si="622"/>
        <v>#N/A</v>
      </c>
    </row>
    <row r="3024" spans="1:14">
      <c r="A3024">
        <f t="shared" si="623"/>
        <v>0</v>
      </c>
      <c r="B3024">
        <f t="shared" si="624"/>
        <v>0</v>
      </c>
      <c r="C3024">
        <f t="shared" si="625"/>
        <v>0</v>
      </c>
      <c r="D3024">
        <f t="shared" si="626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7"/>
        <v>0</v>
      </c>
      <c r="G3024">
        <f t="shared" si="628"/>
        <v>0</v>
      </c>
      <c r="H3024">
        <f t="shared" si="629"/>
        <v>0</v>
      </c>
      <c r="I3024">
        <f t="shared" si="630"/>
        <v>0</v>
      </c>
      <c r="J3024">
        <f t="shared" si="631"/>
        <v>0</v>
      </c>
      <c r="K3024" s="4" t="e">
        <f t="shared" si="619"/>
        <v>#N/A</v>
      </c>
      <c r="L3024" t="e">
        <f t="shared" si="620"/>
        <v>#N/A</v>
      </c>
      <c r="M3024" s="4" t="e">
        <f t="shared" si="621"/>
        <v>#N/A</v>
      </c>
      <c r="N3024" s="4" t="e">
        <f t="shared" si="622"/>
        <v>#N/A</v>
      </c>
    </row>
    <row r="3025" spans="1:14">
      <c r="A3025">
        <f t="shared" si="623"/>
        <v>0</v>
      </c>
      <c r="B3025">
        <f t="shared" si="624"/>
        <v>0</v>
      </c>
      <c r="C3025">
        <f t="shared" si="625"/>
        <v>0</v>
      </c>
      <c r="D3025">
        <f t="shared" si="626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7"/>
        <v>0</v>
      </c>
      <c r="G3025">
        <f t="shared" si="628"/>
        <v>0</v>
      </c>
      <c r="H3025">
        <f t="shared" si="629"/>
        <v>0</v>
      </c>
      <c r="I3025">
        <f t="shared" si="630"/>
        <v>0</v>
      </c>
      <c r="J3025">
        <f t="shared" si="631"/>
        <v>0</v>
      </c>
      <c r="K3025" s="4" t="e">
        <f t="shared" si="619"/>
        <v>#N/A</v>
      </c>
      <c r="L3025" t="e">
        <f t="shared" si="620"/>
        <v>#N/A</v>
      </c>
      <c r="M3025" s="4" t="e">
        <f t="shared" si="621"/>
        <v>#N/A</v>
      </c>
      <c r="N3025" s="4" t="e">
        <f t="shared" si="622"/>
        <v>#N/A</v>
      </c>
    </row>
    <row r="3026" spans="1:14">
      <c r="A3026">
        <f t="shared" si="623"/>
        <v>0</v>
      </c>
      <c r="B3026">
        <f t="shared" si="624"/>
        <v>0</v>
      </c>
      <c r="C3026">
        <f t="shared" si="625"/>
        <v>0</v>
      </c>
      <c r="D3026">
        <f t="shared" si="626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7"/>
        <v>0</v>
      </c>
      <c r="G3026">
        <f t="shared" si="628"/>
        <v>0</v>
      </c>
      <c r="H3026">
        <f t="shared" si="629"/>
        <v>0</v>
      </c>
      <c r="I3026">
        <f t="shared" si="630"/>
        <v>0</v>
      </c>
      <c r="J3026">
        <f t="shared" si="631"/>
        <v>0</v>
      </c>
      <c r="K3026" s="4" t="e">
        <f t="shared" si="619"/>
        <v>#N/A</v>
      </c>
      <c r="L3026" t="e">
        <f t="shared" si="620"/>
        <v>#N/A</v>
      </c>
      <c r="M3026" s="4" t="e">
        <f t="shared" si="621"/>
        <v>#N/A</v>
      </c>
      <c r="N3026" s="4" t="e">
        <f t="shared" si="622"/>
        <v>#N/A</v>
      </c>
    </row>
    <row r="3027" spans="1:14">
      <c r="A3027">
        <f t="shared" si="623"/>
        <v>0</v>
      </c>
      <c r="B3027">
        <f t="shared" si="624"/>
        <v>0</v>
      </c>
      <c r="C3027">
        <f t="shared" si="625"/>
        <v>0</v>
      </c>
      <c r="D3027">
        <f t="shared" si="626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7"/>
        <v>0</v>
      </c>
      <c r="G3027">
        <f t="shared" si="628"/>
        <v>0</v>
      </c>
      <c r="H3027">
        <f t="shared" si="629"/>
        <v>0</v>
      </c>
      <c r="I3027">
        <f t="shared" si="630"/>
        <v>0</v>
      </c>
      <c r="J3027">
        <f t="shared" si="631"/>
        <v>0</v>
      </c>
      <c r="K3027" s="4" t="e">
        <f t="shared" si="619"/>
        <v>#N/A</v>
      </c>
      <c r="L3027" t="e">
        <f t="shared" si="620"/>
        <v>#N/A</v>
      </c>
      <c r="M3027" s="4" t="e">
        <f t="shared" si="621"/>
        <v>#N/A</v>
      </c>
      <c r="N3027" s="4" t="e">
        <f t="shared" si="622"/>
        <v>#N/A</v>
      </c>
    </row>
    <row r="3028" spans="1:14">
      <c r="A3028">
        <f t="shared" si="623"/>
        <v>0</v>
      </c>
      <c r="B3028">
        <f t="shared" si="624"/>
        <v>0</v>
      </c>
      <c r="C3028">
        <f t="shared" si="625"/>
        <v>0</v>
      </c>
      <c r="D3028">
        <f t="shared" si="626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7"/>
        <v>0</v>
      </c>
      <c r="G3028">
        <f t="shared" si="628"/>
        <v>0</v>
      </c>
      <c r="H3028">
        <f t="shared" si="629"/>
        <v>0</v>
      </c>
      <c r="I3028">
        <f t="shared" si="630"/>
        <v>0</v>
      </c>
      <c r="J3028">
        <f t="shared" si="631"/>
        <v>0</v>
      </c>
      <c r="K3028" s="4" t="e">
        <f t="shared" si="619"/>
        <v>#N/A</v>
      </c>
      <c r="L3028" t="e">
        <f t="shared" si="620"/>
        <v>#N/A</v>
      </c>
      <c r="M3028" s="4" t="e">
        <f t="shared" si="621"/>
        <v>#N/A</v>
      </c>
      <c r="N3028" s="4" t="e">
        <f t="shared" si="622"/>
        <v>#N/A</v>
      </c>
    </row>
    <row r="3029" spans="1:14">
      <c r="A3029">
        <f t="shared" si="623"/>
        <v>0</v>
      </c>
      <c r="B3029">
        <f t="shared" si="624"/>
        <v>0</v>
      </c>
      <c r="C3029">
        <f t="shared" si="625"/>
        <v>0</v>
      </c>
      <c r="D3029">
        <f t="shared" si="626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7"/>
        <v>0</v>
      </c>
      <c r="G3029">
        <f t="shared" si="628"/>
        <v>0</v>
      </c>
      <c r="H3029">
        <f t="shared" si="629"/>
        <v>0</v>
      </c>
      <c r="I3029">
        <f t="shared" si="630"/>
        <v>0</v>
      </c>
      <c r="J3029">
        <f t="shared" si="631"/>
        <v>0</v>
      </c>
      <c r="K3029" s="4" t="e">
        <f t="shared" si="619"/>
        <v>#N/A</v>
      </c>
      <c r="L3029" t="e">
        <f t="shared" si="620"/>
        <v>#N/A</v>
      </c>
      <c r="M3029" s="4" t="e">
        <f t="shared" si="621"/>
        <v>#N/A</v>
      </c>
      <c r="N3029" s="4" t="e">
        <f t="shared" si="622"/>
        <v>#N/A</v>
      </c>
    </row>
    <row r="3030" spans="1:14">
      <c r="A3030">
        <f t="shared" si="623"/>
        <v>0</v>
      </c>
      <c r="B3030">
        <f t="shared" si="624"/>
        <v>0</v>
      </c>
      <c r="C3030">
        <f t="shared" si="625"/>
        <v>0</v>
      </c>
      <c r="D3030">
        <f t="shared" si="626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7"/>
        <v>0</v>
      </c>
      <c r="G3030">
        <f t="shared" si="628"/>
        <v>0</v>
      </c>
      <c r="H3030">
        <f t="shared" si="629"/>
        <v>0</v>
      </c>
      <c r="I3030">
        <f t="shared" si="630"/>
        <v>0</v>
      </c>
      <c r="J3030">
        <f t="shared" si="631"/>
        <v>0</v>
      </c>
      <c r="K3030" s="4" t="e">
        <f t="shared" si="619"/>
        <v>#N/A</v>
      </c>
      <c r="L3030" t="e">
        <f t="shared" si="620"/>
        <v>#N/A</v>
      </c>
      <c r="M3030" s="4" t="e">
        <f t="shared" si="621"/>
        <v>#N/A</v>
      </c>
      <c r="N3030" s="4" t="e">
        <f t="shared" si="622"/>
        <v>#N/A</v>
      </c>
    </row>
    <row r="3031" spans="1:14">
      <c r="A3031">
        <f t="shared" si="623"/>
        <v>0</v>
      </c>
      <c r="B3031">
        <f t="shared" si="624"/>
        <v>0</v>
      </c>
      <c r="C3031">
        <f t="shared" si="625"/>
        <v>0</v>
      </c>
      <c r="D3031">
        <f t="shared" si="626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7"/>
        <v>0</v>
      </c>
      <c r="G3031">
        <f t="shared" si="628"/>
        <v>0</v>
      </c>
      <c r="H3031">
        <f t="shared" si="629"/>
        <v>0</v>
      </c>
      <c r="I3031">
        <f t="shared" si="630"/>
        <v>0</v>
      </c>
      <c r="J3031">
        <f t="shared" si="631"/>
        <v>0</v>
      </c>
      <c r="K3031" s="4" t="e">
        <f t="shared" si="619"/>
        <v>#N/A</v>
      </c>
      <c r="L3031" t="e">
        <f t="shared" si="620"/>
        <v>#N/A</v>
      </c>
      <c r="M3031" s="4" t="e">
        <f t="shared" si="621"/>
        <v>#N/A</v>
      </c>
      <c r="N3031" s="4" t="e">
        <f t="shared" si="622"/>
        <v>#N/A</v>
      </c>
    </row>
    <row r="3032" spans="1:14">
      <c r="A3032">
        <f t="shared" si="623"/>
        <v>0</v>
      </c>
      <c r="B3032">
        <f t="shared" si="624"/>
        <v>0</v>
      </c>
      <c r="C3032">
        <f t="shared" si="625"/>
        <v>0</v>
      </c>
      <c r="D3032">
        <f t="shared" si="626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7"/>
        <v>0</v>
      </c>
      <c r="G3032">
        <f t="shared" si="628"/>
        <v>0</v>
      </c>
      <c r="H3032">
        <f t="shared" si="629"/>
        <v>0</v>
      </c>
      <c r="I3032">
        <f t="shared" si="630"/>
        <v>0</v>
      </c>
      <c r="J3032">
        <f t="shared" si="631"/>
        <v>0</v>
      </c>
      <c r="K3032" s="4" t="e">
        <f t="shared" si="619"/>
        <v>#N/A</v>
      </c>
      <c r="L3032" t="e">
        <f t="shared" si="620"/>
        <v>#N/A</v>
      </c>
      <c r="M3032" s="4" t="e">
        <f t="shared" si="621"/>
        <v>#N/A</v>
      </c>
      <c r="N3032" s="4" t="e">
        <f t="shared" si="622"/>
        <v>#N/A</v>
      </c>
    </row>
    <row r="3033" spans="1:14">
      <c r="A3033">
        <f t="shared" si="623"/>
        <v>0</v>
      </c>
      <c r="B3033">
        <f t="shared" si="624"/>
        <v>0</v>
      </c>
      <c r="C3033">
        <f t="shared" si="625"/>
        <v>0</v>
      </c>
      <c r="D3033">
        <f t="shared" si="626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7"/>
        <v>0</v>
      </c>
      <c r="G3033">
        <f t="shared" si="628"/>
        <v>0</v>
      </c>
      <c r="H3033">
        <f t="shared" si="629"/>
        <v>0</v>
      </c>
      <c r="I3033">
        <f t="shared" si="630"/>
        <v>0</v>
      </c>
      <c r="J3033">
        <f t="shared" si="631"/>
        <v>0</v>
      </c>
      <c r="K3033" s="4" t="e">
        <f t="shared" si="619"/>
        <v>#N/A</v>
      </c>
      <c r="L3033" t="e">
        <f t="shared" si="620"/>
        <v>#N/A</v>
      </c>
      <c r="M3033" s="4" t="e">
        <f t="shared" si="621"/>
        <v>#N/A</v>
      </c>
      <c r="N3033" s="4" t="e">
        <f t="shared" si="622"/>
        <v>#N/A</v>
      </c>
    </row>
    <row r="3034" spans="1:14">
      <c r="A3034">
        <f t="shared" si="623"/>
        <v>0</v>
      </c>
      <c r="B3034">
        <f t="shared" si="624"/>
        <v>0</v>
      </c>
      <c r="C3034">
        <f t="shared" si="625"/>
        <v>0</v>
      </c>
      <c r="D3034">
        <f t="shared" si="626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7"/>
        <v>0</v>
      </c>
      <c r="G3034">
        <f t="shared" si="628"/>
        <v>0</v>
      </c>
      <c r="H3034">
        <f t="shared" si="629"/>
        <v>0</v>
      </c>
      <c r="I3034">
        <f t="shared" si="630"/>
        <v>0</v>
      </c>
      <c r="J3034">
        <f t="shared" si="631"/>
        <v>0</v>
      </c>
      <c r="K3034" s="4" t="e">
        <f t="shared" si="619"/>
        <v>#N/A</v>
      </c>
      <c r="L3034" t="e">
        <f t="shared" si="620"/>
        <v>#N/A</v>
      </c>
      <c r="M3034" s="4" t="e">
        <f t="shared" si="621"/>
        <v>#N/A</v>
      </c>
      <c r="N3034" s="4" t="e">
        <f t="shared" si="622"/>
        <v>#N/A</v>
      </c>
    </row>
    <row r="3035" spans="1:14">
      <c r="A3035">
        <f t="shared" si="623"/>
        <v>0</v>
      </c>
      <c r="B3035">
        <f t="shared" si="624"/>
        <v>0</v>
      </c>
      <c r="C3035">
        <f t="shared" si="625"/>
        <v>0</v>
      </c>
      <c r="D3035">
        <f t="shared" si="626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7"/>
        <v>0</v>
      </c>
      <c r="G3035">
        <f t="shared" si="628"/>
        <v>0</v>
      </c>
      <c r="H3035">
        <f t="shared" si="629"/>
        <v>0</v>
      </c>
      <c r="I3035">
        <f t="shared" si="630"/>
        <v>0</v>
      </c>
      <c r="J3035">
        <f t="shared" si="631"/>
        <v>0</v>
      </c>
      <c r="K3035" s="4" t="e">
        <f t="shared" si="619"/>
        <v>#N/A</v>
      </c>
      <c r="L3035" t="e">
        <f t="shared" si="620"/>
        <v>#N/A</v>
      </c>
      <c r="M3035" s="4" t="e">
        <f t="shared" si="621"/>
        <v>#N/A</v>
      </c>
      <c r="N3035" s="4" t="e">
        <f t="shared" si="622"/>
        <v>#N/A</v>
      </c>
    </row>
    <row r="3036" spans="1:14">
      <c r="A3036">
        <f t="shared" si="623"/>
        <v>0</v>
      </c>
      <c r="B3036">
        <f t="shared" si="624"/>
        <v>0</v>
      </c>
      <c r="C3036">
        <f t="shared" si="625"/>
        <v>0</v>
      </c>
      <c r="D3036">
        <f t="shared" si="626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7"/>
        <v>0</v>
      </c>
      <c r="G3036">
        <f t="shared" si="628"/>
        <v>0</v>
      </c>
      <c r="H3036">
        <f t="shared" si="629"/>
        <v>0</v>
      </c>
      <c r="I3036">
        <f t="shared" si="630"/>
        <v>0</v>
      </c>
      <c r="J3036">
        <f t="shared" si="631"/>
        <v>0</v>
      </c>
      <c r="K3036" s="4" t="e">
        <f t="shared" si="619"/>
        <v>#N/A</v>
      </c>
      <c r="L3036" t="e">
        <f t="shared" si="620"/>
        <v>#N/A</v>
      </c>
      <c r="M3036" s="4" t="e">
        <f t="shared" si="621"/>
        <v>#N/A</v>
      </c>
      <c r="N3036" s="4" t="e">
        <f t="shared" si="622"/>
        <v>#N/A</v>
      </c>
    </row>
    <row r="3037" spans="1:14">
      <c r="A3037">
        <f t="shared" si="623"/>
        <v>0</v>
      </c>
      <c r="B3037">
        <f t="shared" si="624"/>
        <v>0</v>
      </c>
      <c r="C3037">
        <f t="shared" si="625"/>
        <v>0</v>
      </c>
      <c r="D3037">
        <f t="shared" si="626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7"/>
        <v>0</v>
      </c>
      <c r="G3037">
        <f t="shared" si="628"/>
        <v>0</v>
      </c>
      <c r="H3037">
        <f t="shared" si="629"/>
        <v>0</v>
      </c>
      <c r="I3037">
        <f t="shared" si="630"/>
        <v>0</v>
      </c>
      <c r="J3037">
        <f t="shared" si="631"/>
        <v>0</v>
      </c>
      <c r="K3037" s="4" t="e">
        <f t="shared" si="619"/>
        <v>#N/A</v>
      </c>
      <c r="L3037" t="e">
        <f t="shared" si="620"/>
        <v>#N/A</v>
      </c>
      <c r="M3037" s="4" t="e">
        <f t="shared" si="621"/>
        <v>#N/A</v>
      </c>
      <c r="N3037" s="4" t="e">
        <f t="shared" si="622"/>
        <v>#N/A</v>
      </c>
    </row>
    <row r="3038" spans="1:14">
      <c r="A3038">
        <f t="shared" si="623"/>
        <v>0</v>
      </c>
      <c r="B3038">
        <f t="shared" si="624"/>
        <v>0</v>
      </c>
      <c r="C3038">
        <f t="shared" si="625"/>
        <v>0</v>
      </c>
      <c r="D3038">
        <f t="shared" si="626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7"/>
        <v>0</v>
      </c>
      <c r="G3038">
        <f t="shared" si="628"/>
        <v>0</v>
      </c>
      <c r="H3038">
        <f t="shared" si="629"/>
        <v>0</v>
      </c>
      <c r="I3038">
        <f t="shared" si="630"/>
        <v>0</v>
      </c>
      <c r="J3038">
        <f t="shared" si="631"/>
        <v>0</v>
      </c>
      <c r="K3038" s="4" t="e">
        <f t="shared" si="619"/>
        <v>#N/A</v>
      </c>
      <c r="L3038" t="e">
        <f t="shared" si="620"/>
        <v>#N/A</v>
      </c>
      <c r="M3038" s="4" t="e">
        <f t="shared" si="621"/>
        <v>#N/A</v>
      </c>
      <c r="N3038" s="4" t="e">
        <f t="shared" si="622"/>
        <v>#N/A</v>
      </c>
    </row>
    <row r="3039" spans="1:14">
      <c r="A3039">
        <f t="shared" si="623"/>
        <v>0</v>
      </c>
      <c r="B3039">
        <f t="shared" si="624"/>
        <v>0</v>
      </c>
      <c r="C3039">
        <f t="shared" si="625"/>
        <v>0</v>
      </c>
      <c r="D3039">
        <f t="shared" si="626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7"/>
        <v>0</v>
      </c>
      <c r="G3039">
        <f t="shared" si="628"/>
        <v>0</v>
      </c>
      <c r="H3039">
        <f t="shared" si="629"/>
        <v>0</v>
      </c>
      <c r="I3039">
        <f t="shared" si="630"/>
        <v>0</v>
      </c>
      <c r="J3039">
        <f t="shared" si="631"/>
        <v>0</v>
      </c>
      <c r="K3039" s="4" t="e">
        <f t="shared" si="619"/>
        <v>#N/A</v>
      </c>
      <c r="L3039" t="e">
        <f t="shared" si="620"/>
        <v>#N/A</v>
      </c>
      <c r="M3039" s="4" t="e">
        <f t="shared" si="621"/>
        <v>#N/A</v>
      </c>
      <c r="N3039" s="4" t="e">
        <f t="shared" si="622"/>
        <v>#N/A</v>
      </c>
    </row>
    <row r="3040" spans="1:14">
      <c r="A3040">
        <f t="shared" si="623"/>
        <v>0</v>
      </c>
      <c r="B3040">
        <f t="shared" si="624"/>
        <v>0</v>
      </c>
      <c r="C3040">
        <f t="shared" si="625"/>
        <v>0</v>
      </c>
      <c r="D3040">
        <f t="shared" si="626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7"/>
        <v>0</v>
      </c>
      <c r="G3040">
        <f t="shared" si="628"/>
        <v>0</v>
      </c>
      <c r="H3040">
        <f t="shared" si="629"/>
        <v>0</v>
      </c>
      <c r="I3040">
        <f t="shared" si="630"/>
        <v>0</v>
      </c>
      <c r="J3040">
        <f t="shared" si="631"/>
        <v>0</v>
      </c>
      <c r="K3040" s="4" t="e">
        <f t="shared" si="619"/>
        <v>#N/A</v>
      </c>
      <c r="L3040" t="e">
        <f t="shared" si="620"/>
        <v>#N/A</v>
      </c>
      <c r="M3040" s="4" t="e">
        <f t="shared" si="621"/>
        <v>#N/A</v>
      </c>
      <c r="N3040" s="4" t="e">
        <f t="shared" si="622"/>
        <v>#N/A</v>
      </c>
    </row>
    <row r="3041" spans="1:14">
      <c r="A3041">
        <f t="shared" si="623"/>
        <v>0</v>
      </c>
      <c r="B3041">
        <f t="shared" si="624"/>
        <v>0</v>
      </c>
      <c r="C3041">
        <f t="shared" si="625"/>
        <v>0</v>
      </c>
      <c r="D3041">
        <f t="shared" si="626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7"/>
        <v>0</v>
      </c>
      <c r="G3041">
        <f t="shared" si="628"/>
        <v>0</v>
      </c>
      <c r="H3041">
        <f t="shared" si="629"/>
        <v>0</v>
      </c>
      <c r="I3041">
        <f t="shared" si="630"/>
        <v>0</v>
      </c>
      <c r="J3041">
        <f t="shared" si="631"/>
        <v>0</v>
      </c>
      <c r="K3041" s="4" t="e">
        <f t="shared" si="619"/>
        <v>#N/A</v>
      </c>
      <c r="L3041" t="e">
        <f t="shared" si="620"/>
        <v>#N/A</v>
      </c>
      <c r="M3041" s="4" t="e">
        <f t="shared" si="621"/>
        <v>#N/A</v>
      </c>
      <c r="N3041" s="4" t="e">
        <f t="shared" si="622"/>
        <v>#N/A</v>
      </c>
    </row>
    <row r="3042" spans="1:14">
      <c r="A3042">
        <f t="shared" si="623"/>
        <v>0</v>
      </c>
      <c r="B3042">
        <f t="shared" si="624"/>
        <v>0</v>
      </c>
      <c r="C3042">
        <f t="shared" si="625"/>
        <v>0</v>
      </c>
      <c r="D3042">
        <f t="shared" si="626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7"/>
        <v>0</v>
      </c>
      <c r="G3042">
        <f t="shared" si="628"/>
        <v>0</v>
      </c>
      <c r="H3042">
        <f t="shared" si="629"/>
        <v>0</v>
      </c>
      <c r="I3042">
        <f t="shared" si="630"/>
        <v>0</v>
      </c>
      <c r="J3042">
        <f t="shared" si="631"/>
        <v>0</v>
      </c>
      <c r="K3042" s="4" t="e">
        <f t="shared" si="619"/>
        <v>#N/A</v>
      </c>
      <c r="L3042" t="e">
        <f t="shared" si="620"/>
        <v>#N/A</v>
      </c>
      <c r="M3042" s="4" t="e">
        <f t="shared" si="621"/>
        <v>#N/A</v>
      </c>
      <c r="N3042" s="4" t="e">
        <f t="shared" si="622"/>
        <v>#N/A</v>
      </c>
    </row>
    <row r="3043" spans="1:14">
      <c r="A3043">
        <f t="shared" si="623"/>
        <v>0</v>
      </c>
      <c r="B3043">
        <f t="shared" si="624"/>
        <v>0</v>
      </c>
      <c r="C3043">
        <f t="shared" si="625"/>
        <v>0</v>
      </c>
      <c r="D3043">
        <f t="shared" si="626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7"/>
        <v>0</v>
      </c>
      <c r="G3043">
        <f t="shared" si="628"/>
        <v>0</v>
      </c>
      <c r="H3043">
        <f t="shared" si="629"/>
        <v>0</v>
      </c>
      <c r="I3043">
        <f t="shared" si="630"/>
        <v>0</v>
      </c>
      <c r="J3043">
        <f t="shared" si="631"/>
        <v>0</v>
      </c>
      <c r="K3043" s="4" t="e">
        <f t="shared" si="619"/>
        <v>#N/A</v>
      </c>
      <c r="L3043" t="e">
        <f t="shared" si="620"/>
        <v>#N/A</v>
      </c>
      <c r="M3043" s="4" t="e">
        <f t="shared" si="621"/>
        <v>#N/A</v>
      </c>
      <c r="N3043" s="4" t="e">
        <f t="shared" si="622"/>
        <v>#N/A</v>
      </c>
    </row>
    <row r="3044" spans="1:14">
      <c r="A3044">
        <f t="shared" si="623"/>
        <v>0</v>
      </c>
      <c r="B3044">
        <f t="shared" si="624"/>
        <v>0</v>
      </c>
      <c r="C3044">
        <f t="shared" si="625"/>
        <v>0</v>
      </c>
      <c r="D3044">
        <f t="shared" si="626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7"/>
        <v>0</v>
      </c>
      <c r="G3044">
        <f t="shared" si="628"/>
        <v>0</v>
      </c>
      <c r="H3044">
        <f t="shared" si="629"/>
        <v>0</v>
      </c>
      <c r="I3044">
        <f t="shared" si="630"/>
        <v>0</v>
      </c>
      <c r="J3044">
        <f t="shared" si="631"/>
        <v>0</v>
      </c>
      <c r="K3044" s="4" t="e">
        <f t="shared" si="619"/>
        <v>#N/A</v>
      </c>
      <c r="L3044" t="e">
        <f t="shared" si="620"/>
        <v>#N/A</v>
      </c>
      <c r="M3044" s="4" t="e">
        <f t="shared" si="621"/>
        <v>#N/A</v>
      </c>
      <c r="N3044" s="4" t="e">
        <f t="shared" si="622"/>
        <v>#N/A</v>
      </c>
    </row>
    <row r="3045" spans="1:14">
      <c r="A3045">
        <f t="shared" si="623"/>
        <v>0</v>
      </c>
      <c r="B3045">
        <f t="shared" si="624"/>
        <v>0</v>
      </c>
      <c r="C3045">
        <f t="shared" si="625"/>
        <v>0</v>
      </c>
      <c r="D3045">
        <f t="shared" si="626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7"/>
        <v>0</v>
      </c>
      <c r="G3045">
        <f t="shared" si="628"/>
        <v>0</v>
      </c>
      <c r="H3045">
        <f t="shared" si="629"/>
        <v>0</v>
      </c>
      <c r="I3045">
        <f t="shared" si="630"/>
        <v>0</v>
      </c>
      <c r="J3045">
        <f t="shared" si="631"/>
        <v>0</v>
      </c>
      <c r="K3045" s="4" t="e">
        <f t="shared" si="619"/>
        <v>#N/A</v>
      </c>
      <c r="L3045" t="e">
        <f t="shared" si="620"/>
        <v>#N/A</v>
      </c>
      <c r="M3045" s="4" t="e">
        <f t="shared" si="621"/>
        <v>#N/A</v>
      </c>
      <c r="N3045" s="4" t="e">
        <f t="shared" si="622"/>
        <v>#N/A</v>
      </c>
    </row>
    <row r="3046" spans="1:14">
      <c r="A3046">
        <f t="shared" si="623"/>
        <v>0</v>
      </c>
      <c r="B3046">
        <f t="shared" si="624"/>
        <v>0</v>
      </c>
      <c r="C3046">
        <f t="shared" si="625"/>
        <v>0</v>
      </c>
      <c r="D3046">
        <f t="shared" si="626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7"/>
        <v>0</v>
      </c>
      <c r="G3046">
        <f t="shared" si="628"/>
        <v>0</v>
      </c>
      <c r="H3046">
        <f t="shared" si="629"/>
        <v>0</v>
      </c>
      <c r="I3046">
        <f t="shared" si="630"/>
        <v>0</v>
      </c>
      <c r="J3046">
        <f t="shared" si="631"/>
        <v>0</v>
      </c>
      <c r="K3046" s="4" t="e">
        <f t="shared" si="619"/>
        <v>#N/A</v>
      </c>
      <c r="L3046" t="e">
        <f t="shared" si="620"/>
        <v>#N/A</v>
      </c>
      <c r="M3046" s="4" t="e">
        <f t="shared" si="621"/>
        <v>#N/A</v>
      </c>
      <c r="N3046" s="4" t="e">
        <f t="shared" si="622"/>
        <v>#N/A</v>
      </c>
    </row>
    <row r="3047" spans="1:14">
      <c r="A3047">
        <f t="shared" si="623"/>
        <v>0</v>
      </c>
      <c r="B3047">
        <f t="shared" si="624"/>
        <v>0</v>
      </c>
      <c r="C3047">
        <f t="shared" si="625"/>
        <v>0</v>
      </c>
      <c r="D3047">
        <f t="shared" si="626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7"/>
        <v>0</v>
      </c>
      <c r="G3047">
        <f t="shared" si="628"/>
        <v>0</v>
      </c>
      <c r="H3047">
        <f t="shared" si="629"/>
        <v>0</v>
      </c>
      <c r="I3047">
        <f t="shared" si="630"/>
        <v>0</v>
      </c>
      <c r="J3047">
        <f t="shared" si="631"/>
        <v>0</v>
      </c>
      <c r="K3047" s="4" t="e">
        <f t="shared" si="619"/>
        <v>#N/A</v>
      </c>
      <c r="L3047" t="e">
        <f t="shared" si="620"/>
        <v>#N/A</v>
      </c>
      <c r="M3047" s="4" t="e">
        <f t="shared" si="621"/>
        <v>#N/A</v>
      </c>
      <c r="N3047" s="4" t="e">
        <f t="shared" si="622"/>
        <v>#N/A</v>
      </c>
    </row>
    <row r="3048" spans="1:14">
      <c r="A3048">
        <f t="shared" si="623"/>
        <v>0</v>
      </c>
      <c r="B3048">
        <f t="shared" si="624"/>
        <v>0</v>
      </c>
      <c r="C3048">
        <f t="shared" si="625"/>
        <v>0</v>
      </c>
      <c r="D3048">
        <f t="shared" si="626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7"/>
        <v>0</v>
      </c>
      <c r="G3048">
        <f t="shared" si="628"/>
        <v>0</v>
      </c>
      <c r="H3048">
        <f t="shared" si="629"/>
        <v>0</v>
      </c>
      <c r="I3048">
        <f t="shared" si="630"/>
        <v>0</v>
      </c>
      <c r="J3048">
        <f t="shared" si="631"/>
        <v>0</v>
      </c>
      <c r="K3048" s="4" t="e">
        <f t="shared" si="619"/>
        <v>#N/A</v>
      </c>
      <c r="L3048" t="e">
        <f t="shared" si="620"/>
        <v>#N/A</v>
      </c>
      <c r="M3048" s="4" t="e">
        <f t="shared" si="621"/>
        <v>#N/A</v>
      </c>
      <c r="N3048" s="4" t="e">
        <f t="shared" si="622"/>
        <v>#N/A</v>
      </c>
    </row>
    <row r="3049" spans="1:14">
      <c r="A3049">
        <f t="shared" si="623"/>
        <v>0</v>
      </c>
      <c r="B3049">
        <f t="shared" si="624"/>
        <v>0</v>
      </c>
      <c r="C3049">
        <f t="shared" si="625"/>
        <v>0</v>
      </c>
      <c r="D3049">
        <f t="shared" si="626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7"/>
        <v>0</v>
      </c>
      <c r="G3049">
        <f t="shared" si="628"/>
        <v>0</v>
      </c>
      <c r="H3049">
        <f t="shared" si="629"/>
        <v>0</v>
      </c>
      <c r="I3049">
        <f t="shared" si="630"/>
        <v>0</v>
      </c>
      <c r="J3049">
        <f t="shared" si="631"/>
        <v>0</v>
      </c>
      <c r="K3049" s="4" t="e">
        <f t="shared" si="619"/>
        <v>#N/A</v>
      </c>
      <c r="L3049" t="e">
        <f t="shared" si="620"/>
        <v>#N/A</v>
      </c>
      <c r="M3049" s="4" t="e">
        <f t="shared" si="621"/>
        <v>#N/A</v>
      </c>
      <c r="N3049" s="4" t="e">
        <f t="shared" si="622"/>
        <v>#N/A</v>
      </c>
    </row>
    <row r="3050" spans="1:14">
      <c r="A3050">
        <f t="shared" si="623"/>
        <v>0</v>
      </c>
      <c r="B3050">
        <f t="shared" si="624"/>
        <v>0</v>
      </c>
      <c r="C3050">
        <f t="shared" si="625"/>
        <v>0</v>
      </c>
      <c r="D3050">
        <f t="shared" si="626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7"/>
        <v>0</v>
      </c>
      <c r="G3050">
        <f t="shared" si="628"/>
        <v>0</v>
      </c>
      <c r="H3050">
        <f t="shared" si="629"/>
        <v>0</v>
      </c>
      <c r="I3050">
        <f t="shared" si="630"/>
        <v>0</v>
      </c>
      <c r="J3050">
        <f t="shared" si="631"/>
        <v>0</v>
      </c>
      <c r="K3050" s="4" t="e">
        <f t="shared" si="619"/>
        <v>#N/A</v>
      </c>
      <c r="L3050" t="e">
        <f t="shared" si="620"/>
        <v>#N/A</v>
      </c>
      <c r="M3050" s="4" t="e">
        <f t="shared" si="621"/>
        <v>#N/A</v>
      </c>
      <c r="N3050" s="4" t="e">
        <f t="shared" si="622"/>
        <v>#N/A</v>
      </c>
    </row>
    <row r="3051" spans="1:14">
      <c r="A3051">
        <f t="shared" si="623"/>
        <v>0</v>
      </c>
      <c r="B3051">
        <f t="shared" si="624"/>
        <v>0</v>
      </c>
      <c r="C3051">
        <f t="shared" si="625"/>
        <v>0</v>
      </c>
      <c r="D3051">
        <f t="shared" si="626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7"/>
        <v>0</v>
      </c>
      <c r="G3051">
        <f t="shared" si="628"/>
        <v>0</v>
      </c>
      <c r="H3051">
        <f t="shared" si="629"/>
        <v>0</v>
      </c>
      <c r="I3051">
        <f t="shared" si="630"/>
        <v>0</v>
      </c>
      <c r="J3051">
        <f t="shared" si="631"/>
        <v>0</v>
      </c>
      <c r="K3051" s="4" t="e">
        <f t="shared" si="619"/>
        <v>#N/A</v>
      </c>
      <c r="L3051" t="e">
        <f t="shared" si="620"/>
        <v>#N/A</v>
      </c>
      <c r="M3051" s="4" t="e">
        <f t="shared" si="621"/>
        <v>#N/A</v>
      </c>
      <c r="N3051" s="4" t="e">
        <f t="shared" si="622"/>
        <v>#N/A</v>
      </c>
    </row>
    <row r="3052" spans="1:14">
      <c r="A3052">
        <f t="shared" si="623"/>
        <v>0</v>
      </c>
      <c r="B3052">
        <f t="shared" si="624"/>
        <v>0</v>
      </c>
      <c r="C3052">
        <f t="shared" si="625"/>
        <v>0</v>
      </c>
      <c r="D3052">
        <f t="shared" si="626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7"/>
        <v>0</v>
      </c>
      <c r="G3052">
        <f t="shared" si="628"/>
        <v>0</v>
      </c>
      <c r="H3052">
        <f t="shared" si="629"/>
        <v>0</v>
      </c>
      <c r="I3052">
        <f t="shared" si="630"/>
        <v>0</v>
      </c>
      <c r="J3052">
        <f t="shared" si="631"/>
        <v>0</v>
      </c>
      <c r="K3052" s="4" t="e">
        <f t="shared" si="619"/>
        <v>#N/A</v>
      </c>
      <c r="L3052" t="e">
        <f t="shared" si="620"/>
        <v>#N/A</v>
      </c>
      <c r="M3052" s="4" t="e">
        <f t="shared" si="621"/>
        <v>#N/A</v>
      </c>
      <c r="N3052" s="4" t="e">
        <f t="shared" si="622"/>
        <v>#N/A</v>
      </c>
    </row>
    <row r="3053" spans="1:14">
      <c r="A3053">
        <f t="shared" si="623"/>
        <v>0</v>
      </c>
      <c r="B3053">
        <f t="shared" si="624"/>
        <v>0</v>
      </c>
      <c r="C3053">
        <f t="shared" si="625"/>
        <v>0</v>
      </c>
      <c r="D3053">
        <f t="shared" si="626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7"/>
        <v>0</v>
      </c>
      <c r="G3053">
        <f t="shared" si="628"/>
        <v>0</v>
      </c>
      <c r="H3053">
        <f t="shared" si="629"/>
        <v>0</v>
      </c>
      <c r="I3053">
        <f t="shared" si="630"/>
        <v>0</v>
      </c>
      <c r="J3053">
        <f t="shared" si="631"/>
        <v>0</v>
      </c>
      <c r="K3053" s="4" t="e">
        <f t="shared" si="619"/>
        <v>#N/A</v>
      </c>
      <c r="L3053" t="e">
        <f t="shared" si="620"/>
        <v>#N/A</v>
      </c>
      <c r="M3053" s="4" t="e">
        <f t="shared" si="621"/>
        <v>#N/A</v>
      </c>
      <c r="N3053" s="4" t="e">
        <f t="shared" si="622"/>
        <v>#N/A</v>
      </c>
    </row>
    <row r="3054" spans="1:14">
      <c r="A3054">
        <f t="shared" si="623"/>
        <v>0</v>
      </c>
      <c r="B3054">
        <f t="shared" si="624"/>
        <v>0</v>
      </c>
      <c r="C3054">
        <f t="shared" si="625"/>
        <v>0</v>
      </c>
      <c r="D3054">
        <f t="shared" si="626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7"/>
        <v>0</v>
      </c>
      <c r="G3054">
        <f t="shared" si="628"/>
        <v>0</v>
      </c>
      <c r="H3054">
        <f t="shared" si="629"/>
        <v>0</v>
      </c>
      <c r="I3054">
        <f t="shared" si="630"/>
        <v>0</v>
      </c>
      <c r="J3054">
        <f t="shared" si="631"/>
        <v>0</v>
      </c>
      <c r="K3054" s="4" t="e">
        <f t="shared" si="619"/>
        <v>#N/A</v>
      </c>
      <c r="L3054" t="e">
        <f t="shared" si="620"/>
        <v>#N/A</v>
      </c>
      <c r="M3054" s="4" t="e">
        <f t="shared" si="621"/>
        <v>#N/A</v>
      </c>
      <c r="N3054" s="4" t="e">
        <f t="shared" si="622"/>
        <v>#N/A</v>
      </c>
    </row>
    <row r="3055" spans="1:14">
      <c r="A3055">
        <f t="shared" si="623"/>
        <v>0</v>
      </c>
      <c r="B3055">
        <f t="shared" si="624"/>
        <v>0</v>
      </c>
      <c r="C3055">
        <f t="shared" si="625"/>
        <v>0</v>
      </c>
      <c r="D3055">
        <f t="shared" si="626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7"/>
        <v>0</v>
      </c>
      <c r="G3055">
        <f t="shared" si="628"/>
        <v>0</v>
      </c>
      <c r="H3055">
        <f t="shared" si="629"/>
        <v>0</v>
      </c>
      <c r="I3055">
        <f t="shared" si="630"/>
        <v>0</v>
      </c>
      <c r="J3055">
        <f t="shared" si="631"/>
        <v>0</v>
      </c>
      <c r="K3055" s="4" t="e">
        <f t="shared" si="619"/>
        <v>#N/A</v>
      </c>
      <c r="L3055" t="e">
        <f t="shared" si="620"/>
        <v>#N/A</v>
      </c>
      <c r="M3055" s="4" t="e">
        <f t="shared" si="621"/>
        <v>#N/A</v>
      </c>
      <c r="N3055" s="4" t="e">
        <f t="shared" si="622"/>
        <v>#N/A</v>
      </c>
    </row>
    <row r="3056" spans="1:14">
      <c r="A3056">
        <f t="shared" si="623"/>
        <v>0</v>
      </c>
      <c r="B3056">
        <f t="shared" si="624"/>
        <v>0</v>
      </c>
      <c r="C3056">
        <f t="shared" si="625"/>
        <v>0</v>
      </c>
      <c r="D3056">
        <f t="shared" si="626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7"/>
        <v>0</v>
      </c>
      <c r="G3056">
        <f t="shared" si="628"/>
        <v>0</v>
      </c>
      <c r="H3056">
        <f t="shared" si="629"/>
        <v>0</v>
      </c>
      <c r="I3056">
        <f t="shared" si="630"/>
        <v>0</v>
      </c>
      <c r="J3056">
        <f t="shared" si="631"/>
        <v>0</v>
      </c>
      <c r="K3056" s="4" t="e">
        <f t="shared" si="619"/>
        <v>#N/A</v>
      </c>
      <c r="L3056" t="e">
        <f t="shared" si="620"/>
        <v>#N/A</v>
      </c>
      <c r="M3056" s="4" t="e">
        <f t="shared" si="621"/>
        <v>#N/A</v>
      </c>
      <c r="N3056" s="4" t="e">
        <f t="shared" si="622"/>
        <v>#N/A</v>
      </c>
    </row>
    <row r="3057" spans="1:14">
      <c r="A3057">
        <f t="shared" si="623"/>
        <v>0</v>
      </c>
      <c r="B3057">
        <f t="shared" si="624"/>
        <v>0</v>
      </c>
      <c r="C3057">
        <f t="shared" si="625"/>
        <v>0</v>
      </c>
      <c r="D3057">
        <f t="shared" si="626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7"/>
        <v>0</v>
      </c>
      <c r="G3057">
        <f t="shared" si="628"/>
        <v>0</v>
      </c>
      <c r="H3057">
        <f t="shared" si="629"/>
        <v>0</v>
      </c>
      <c r="I3057">
        <f t="shared" si="630"/>
        <v>0</v>
      </c>
      <c r="J3057">
        <f t="shared" si="631"/>
        <v>0</v>
      </c>
      <c r="K3057" s="4" t="e">
        <f t="shared" si="619"/>
        <v>#N/A</v>
      </c>
      <c r="L3057" t="e">
        <f t="shared" si="620"/>
        <v>#N/A</v>
      </c>
      <c r="M3057" s="4" t="e">
        <f t="shared" si="621"/>
        <v>#N/A</v>
      </c>
      <c r="N3057" s="4" t="e">
        <f t="shared" si="622"/>
        <v>#N/A</v>
      </c>
    </row>
    <row r="3058" spans="1:14">
      <c r="A3058">
        <f t="shared" si="623"/>
        <v>0</v>
      </c>
      <c r="B3058">
        <f t="shared" si="624"/>
        <v>0</v>
      </c>
      <c r="C3058">
        <f t="shared" si="625"/>
        <v>0</v>
      </c>
      <c r="D3058">
        <f t="shared" si="626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7"/>
        <v>0</v>
      </c>
      <c r="G3058">
        <f t="shared" si="628"/>
        <v>0</v>
      </c>
      <c r="H3058">
        <f t="shared" si="629"/>
        <v>0</v>
      </c>
      <c r="I3058">
        <f t="shared" si="630"/>
        <v>0</v>
      </c>
      <c r="J3058">
        <f t="shared" si="631"/>
        <v>0</v>
      </c>
      <c r="K3058" s="4" t="e">
        <f t="shared" si="619"/>
        <v>#N/A</v>
      </c>
      <c r="L3058" t="e">
        <f t="shared" si="620"/>
        <v>#N/A</v>
      </c>
      <c r="M3058" s="4" t="e">
        <f t="shared" si="621"/>
        <v>#N/A</v>
      </c>
      <c r="N3058" s="4" t="e">
        <f t="shared" si="622"/>
        <v>#N/A</v>
      </c>
    </row>
    <row r="3059" spans="1:14">
      <c r="A3059">
        <f t="shared" si="623"/>
        <v>0</v>
      </c>
      <c r="B3059">
        <f t="shared" si="624"/>
        <v>0</v>
      </c>
      <c r="C3059">
        <f t="shared" si="625"/>
        <v>0</v>
      </c>
      <c r="D3059">
        <f t="shared" si="626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7"/>
        <v>0</v>
      </c>
      <c r="G3059">
        <f t="shared" si="628"/>
        <v>0</v>
      </c>
      <c r="H3059">
        <f t="shared" si="629"/>
        <v>0</v>
      </c>
      <c r="I3059">
        <f t="shared" si="630"/>
        <v>0</v>
      </c>
      <c r="J3059">
        <f t="shared" si="631"/>
        <v>0</v>
      </c>
      <c r="K3059" s="4" t="e">
        <f t="shared" si="619"/>
        <v>#N/A</v>
      </c>
      <c r="L3059" t="e">
        <f t="shared" si="620"/>
        <v>#N/A</v>
      </c>
      <c r="M3059" s="4" t="e">
        <f t="shared" si="621"/>
        <v>#N/A</v>
      </c>
      <c r="N3059" s="4" t="e">
        <f t="shared" si="622"/>
        <v>#N/A</v>
      </c>
    </row>
    <row r="3060" spans="1:14">
      <c r="A3060">
        <f t="shared" si="623"/>
        <v>0</v>
      </c>
      <c r="B3060">
        <f t="shared" si="624"/>
        <v>0</v>
      </c>
      <c r="C3060">
        <f t="shared" si="625"/>
        <v>0</v>
      </c>
      <c r="D3060">
        <f t="shared" si="626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7"/>
        <v>0</v>
      </c>
      <c r="G3060">
        <f t="shared" si="628"/>
        <v>0</v>
      </c>
      <c r="H3060">
        <f t="shared" si="629"/>
        <v>0</v>
      </c>
      <c r="I3060">
        <f t="shared" si="630"/>
        <v>0</v>
      </c>
      <c r="J3060">
        <f t="shared" si="631"/>
        <v>0</v>
      </c>
      <c r="K3060" s="4" t="e">
        <f t="shared" si="619"/>
        <v>#N/A</v>
      </c>
      <c r="L3060" t="e">
        <f t="shared" si="620"/>
        <v>#N/A</v>
      </c>
      <c r="M3060" s="4" t="e">
        <f t="shared" si="621"/>
        <v>#N/A</v>
      </c>
      <c r="N3060" s="4" t="e">
        <f t="shared" si="622"/>
        <v>#N/A</v>
      </c>
    </row>
    <row r="3061" spans="1:14">
      <c r="A3061">
        <f t="shared" si="623"/>
        <v>0</v>
      </c>
      <c r="B3061">
        <f t="shared" si="624"/>
        <v>0</v>
      </c>
      <c r="C3061">
        <f t="shared" si="625"/>
        <v>0</v>
      </c>
      <c r="D3061">
        <f t="shared" si="626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7"/>
        <v>0</v>
      </c>
      <c r="G3061">
        <f t="shared" si="628"/>
        <v>0</v>
      </c>
      <c r="H3061">
        <f t="shared" si="629"/>
        <v>0</v>
      </c>
      <c r="I3061">
        <f t="shared" si="630"/>
        <v>0</v>
      </c>
      <c r="J3061">
        <f t="shared" si="631"/>
        <v>0</v>
      </c>
      <c r="K3061" s="4" t="e">
        <f t="shared" si="619"/>
        <v>#N/A</v>
      </c>
      <c r="L3061" t="e">
        <f t="shared" si="620"/>
        <v>#N/A</v>
      </c>
      <c r="M3061" s="4" t="e">
        <f t="shared" si="621"/>
        <v>#N/A</v>
      </c>
      <c r="N3061" s="4" t="e">
        <f t="shared" si="622"/>
        <v>#N/A</v>
      </c>
    </row>
    <row r="3062" spans="1:14">
      <c r="A3062">
        <f t="shared" si="623"/>
        <v>0</v>
      </c>
      <c r="B3062">
        <f t="shared" si="624"/>
        <v>0</v>
      </c>
      <c r="C3062">
        <f t="shared" si="625"/>
        <v>0</v>
      </c>
      <c r="D3062">
        <f t="shared" si="626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7"/>
        <v>0</v>
      </c>
      <c r="G3062">
        <f t="shared" si="628"/>
        <v>0</v>
      </c>
      <c r="H3062">
        <f t="shared" si="629"/>
        <v>0</v>
      </c>
      <c r="I3062">
        <f t="shared" si="630"/>
        <v>0</v>
      </c>
      <c r="J3062">
        <f t="shared" si="631"/>
        <v>0</v>
      </c>
      <c r="K3062" s="4" t="e">
        <f t="shared" si="619"/>
        <v>#N/A</v>
      </c>
      <c r="L3062" t="e">
        <f t="shared" si="620"/>
        <v>#N/A</v>
      </c>
      <c r="M3062" s="4" t="e">
        <f t="shared" si="621"/>
        <v>#N/A</v>
      </c>
      <c r="N3062" s="4" t="e">
        <f t="shared" si="622"/>
        <v>#N/A</v>
      </c>
    </row>
    <row r="3063" spans="1:14">
      <c r="A3063">
        <f t="shared" si="623"/>
        <v>0</v>
      </c>
      <c r="B3063">
        <f t="shared" si="624"/>
        <v>0</v>
      </c>
      <c r="C3063">
        <f t="shared" si="625"/>
        <v>0</v>
      </c>
      <c r="D3063">
        <f t="shared" si="626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7"/>
        <v>0</v>
      </c>
      <c r="G3063">
        <f t="shared" si="628"/>
        <v>0</v>
      </c>
      <c r="H3063">
        <f t="shared" si="629"/>
        <v>0</v>
      </c>
      <c r="I3063">
        <f t="shared" si="630"/>
        <v>0</v>
      </c>
      <c r="J3063">
        <f t="shared" si="631"/>
        <v>0</v>
      </c>
      <c r="K3063" s="4" t="e">
        <f t="shared" si="619"/>
        <v>#N/A</v>
      </c>
      <c r="L3063" t="e">
        <f t="shared" si="620"/>
        <v>#N/A</v>
      </c>
      <c r="M3063" s="4" t="e">
        <f t="shared" si="621"/>
        <v>#N/A</v>
      </c>
      <c r="N3063" s="4" t="e">
        <f t="shared" si="622"/>
        <v>#N/A</v>
      </c>
    </row>
    <row r="3064" spans="1:14">
      <c r="A3064">
        <f t="shared" si="623"/>
        <v>0</v>
      </c>
      <c r="B3064">
        <f t="shared" si="624"/>
        <v>0</v>
      </c>
      <c r="C3064">
        <f t="shared" si="625"/>
        <v>0</v>
      </c>
      <c r="D3064">
        <f t="shared" si="626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7"/>
        <v>0</v>
      </c>
      <c r="G3064">
        <f t="shared" si="628"/>
        <v>0</v>
      </c>
      <c r="H3064">
        <f t="shared" si="629"/>
        <v>0</v>
      </c>
      <c r="I3064">
        <f t="shared" si="630"/>
        <v>0</v>
      </c>
      <c r="J3064">
        <f t="shared" si="631"/>
        <v>0</v>
      </c>
      <c r="K3064" s="4" t="e">
        <f t="shared" si="619"/>
        <v>#N/A</v>
      </c>
      <c r="L3064" t="e">
        <f t="shared" si="620"/>
        <v>#N/A</v>
      </c>
      <c r="M3064" s="4" t="e">
        <f t="shared" si="621"/>
        <v>#N/A</v>
      </c>
      <c r="N3064" s="4" t="e">
        <f t="shared" si="622"/>
        <v>#N/A</v>
      </c>
    </row>
    <row r="3065" spans="1:14">
      <c r="A3065">
        <f t="shared" si="623"/>
        <v>0</v>
      </c>
      <c r="B3065">
        <f t="shared" si="624"/>
        <v>0</v>
      </c>
      <c r="C3065">
        <f t="shared" si="625"/>
        <v>0</v>
      </c>
      <c r="D3065">
        <f t="shared" si="626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7"/>
        <v>0</v>
      </c>
      <c r="G3065">
        <f t="shared" si="628"/>
        <v>0</v>
      </c>
      <c r="H3065">
        <f t="shared" si="629"/>
        <v>0</v>
      </c>
      <c r="I3065">
        <f t="shared" si="630"/>
        <v>0</v>
      </c>
      <c r="J3065">
        <f t="shared" si="631"/>
        <v>0</v>
      </c>
      <c r="K3065" s="4" t="e">
        <f t="shared" si="619"/>
        <v>#N/A</v>
      </c>
      <c r="L3065" t="e">
        <f t="shared" si="620"/>
        <v>#N/A</v>
      </c>
      <c r="M3065" s="4" t="e">
        <f t="shared" si="621"/>
        <v>#N/A</v>
      </c>
      <c r="N3065" s="4" t="e">
        <f t="shared" si="622"/>
        <v>#N/A</v>
      </c>
    </row>
    <row r="3066" spans="1:14">
      <c r="A3066">
        <f t="shared" si="623"/>
        <v>0</v>
      </c>
      <c r="B3066">
        <f t="shared" si="624"/>
        <v>0</v>
      </c>
      <c r="C3066">
        <f t="shared" si="625"/>
        <v>0</v>
      </c>
      <c r="D3066">
        <f t="shared" si="626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7"/>
        <v>0</v>
      </c>
      <c r="G3066">
        <f t="shared" si="628"/>
        <v>0</v>
      </c>
      <c r="H3066">
        <f t="shared" si="629"/>
        <v>0</v>
      </c>
      <c r="I3066">
        <f t="shared" si="630"/>
        <v>0</v>
      </c>
      <c r="J3066">
        <f t="shared" si="631"/>
        <v>0</v>
      </c>
      <c r="K3066" s="4" t="e">
        <f t="shared" si="619"/>
        <v>#N/A</v>
      </c>
      <c r="L3066" t="e">
        <f t="shared" si="620"/>
        <v>#N/A</v>
      </c>
      <c r="M3066" s="4" t="e">
        <f t="shared" si="621"/>
        <v>#N/A</v>
      </c>
      <c r="N3066" s="4" t="e">
        <f t="shared" si="622"/>
        <v>#N/A</v>
      </c>
    </row>
    <row r="3067" spans="1:14">
      <c r="A3067">
        <f t="shared" si="623"/>
        <v>0</v>
      </c>
      <c r="B3067">
        <f t="shared" si="624"/>
        <v>0</v>
      </c>
      <c r="C3067">
        <f t="shared" si="625"/>
        <v>0</v>
      </c>
      <c r="D3067">
        <f t="shared" si="626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7"/>
        <v>0</v>
      </c>
      <c r="G3067">
        <f t="shared" si="628"/>
        <v>0</v>
      </c>
      <c r="H3067">
        <f t="shared" si="629"/>
        <v>0</v>
      </c>
      <c r="I3067">
        <f t="shared" si="630"/>
        <v>0</v>
      </c>
      <c r="J3067">
        <f t="shared" si="631"/>
        <v>0</v>
      </c>
      <c r="K3067" s="4" t="e">
        <f t="shared" si="619"/>
        <v>#N/A</v>
      </c>
      <c r="L3067" t="e">
        <f t="shared" si="620"/>
        <v>#N/A</v>
      </c>
      <c r="M3067" s="4" t="e">
        <f t="shared" si="621"/>
        <v>#N/A</v>
      </c>
      <c r="N3067" s="4" t="e">
        <f t="shared" si="622"/>
        <v>#N/A</v>
      </c>
    </row>
    <row r="3068" spans="1:14">
      <c r="A3068">
        <f t="shared" si="623"/>
        <v>0</v>
      </c>
      <c r="B3068">
        <f t="shared" si="624"/>
        <v>0</v>
      </c>
      <c r="C3068">
        <f t="shared" si="625"/>
        <v>0</v>
      </c>
      <c r="D3068">
        <f t="shared" si="626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7"/>
        <v>0</v>
      </c>
      <c r="G3068">
        <f t="shared" si="628"/>
        <v>0</v>
      </c>
      <c r="H3068">
        <f t="shared" si="629"/>
        <v>0</v>
      </c>
      <c r="I3068">
        <f t="shared" si="630"/>
        <v>0</v>
      </c>
      <c r="J3068">
        <f t="shared" si="631"/>
        <v>0</v>
      </c>
      <c r="K3068" s="4" t="e">
        <f t="shared" si="619"/>
        <v>#N/A</v>
      </c>
      <c r="L3068" t="e">
        <f t="shared" si="620"/>
        <v>#N/A</v>
      </c>
      <c r="M3068" s="4" t="e">
        <f t="shared" si="621"/>
        <v>#N/A</v>
      </c>
      <c r="N3068" s="4" t="e">
        <f t="shared" si="622"/>
        <v>#N/A</v>
      </c>
    </row>
    <row r="3069" spans="1:14">
      <c r="A3069">
        <f t="shared" si="623"/>
        <v>0</v>
      </c>
      <c r="B3069">
        <f t="shared" si="624"/>
        <v>0</v>
      </c>
      <c r="C3069">
        <f t="shared" si="625"/>
        <v>0</v>
      </c>
      <c r="D3069">
        <f t="shared" si="626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7"/>
        <v>0</v>
      </c>
      <c r="G3069">
        <f t="shared" si="628"/>
        <v>0</v>
      </c>
      <c r="H3069">
        <f t="shared" si="629"/>
        <v>0</v>
      </c>
      <c r="I3069">
        <f t="shared" si="630"/>
        <v>0</v>
      </c>
      <c r="J3069">
        <f t="shared" si="631"/>
        <v>0</v>
      </c>
      <c r="K3069" s="4" t="e">
        <f t="shared" ref="K3069:K3132" si="632">IF(LEFT(B3069,3)="DBM",0,VLOOKUP(E3069,tabela,2,FALSE))</f>
        <v>#N/A</v>
      </c>
      <c r="L3069" t="e">
        <f t="shared" ref="L3069:L3132" si="633">VLOOKUP(E3069,tabela,3,FALSE)</f>
        <v>#N/A</v>
      </c>
      <c r="M3069" s="4" t="e">
        <f t="shared" ref="M3069:M3132" si="634">IF(E3069="Dynamic Click",J3069*K3069,K3069*$I3069/1000)</f>
        <v>#N/A</v>
      </c>
      <c r="N3069" s="4" t="e">
        <f t="shared" ref="N3069:N3132" si="635">IF(E3069="Dynamic Click",J3069*L3069,L3069*$I3069/1000)</f>
        <v>#N/A</v>
      </c>
    </row>
    <row r="3070" spans="1:14">
      <c r="A3070">
        <f t="shared" si="623"/>
        <v>0</v>
      </c>
      <c r="B3070">
        <f t="shared" si="624"/>
        <v>0</v>
      </c>
      <c r="C3070">
        <f t="shared" si="625"/>
        <v>0</v>
      </c>
      <c r="D3070">
        <f t="shared" si="626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7"/>
        <v>0</v>
      </c>
      <c r="G3070">
        <f t="shared" si="628"/>
        <v>0</v>
      </c>
      <c r="H3070">
        <f t="shared" si="629"/>
        <v>0</v>
      </c>
      <c r="I3070">
        <f t="shared" si="630"/>
        <v>0</v>
      </c>
      <c r="J3070">
        <f t="shared" si="631"/>
        <v>0</v>
      </c>
      <c r="K3070" s="4" t="e">
        <f t="shared" si="632"/>
        <v>#N/A</v>
      </c>
      <c r="L3070" t="e">
        <f t="shared" si="633"/>
        <v>#N/A</v>
      </c>
      <c r="M3070" s="4" t="e">
        <f t="shared" si="634"/>
        <v>#N/A</v>
      </c>
      <c r="N3070" s="4" t="e">
        <f t="shared" si="635"/>
        <v>#N/A</v>
      </c>
    </row>
    <row r="3071" spans="1:14">
      <c r="A3071">
        <f t="shared" si="623"/>
        <v>0</v>
      </c>
      <c r="B3071">
        <f t="shared" si="624"/>
        <v>0</v>
      </c>
      <c r="C3071">
        <f t="shared" si="625"/>
        <v>0</v>
      </c>
      <c r="D3071">
        <f t="shared" si="626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7"/>
        <v>0</v>
      </c>
      <c r="G3071">
        <f t="shared" si="628"/>
        <v>0</v>
      </c>
      <c r="H3071">
        <f t="shared" si="629"/>
        <v>0</v>
      </c>
      <c r="I3071">
        <f t="shared" si="630"/>
        <v>0</v>
      </c>
      <c r="J3071">
        <f t="shared" si="631"/>
        <v>0</v>
      </c>
      <c r="K3071" s="4" t="e">
        <f t="shared" si="632"/>
        <v>#N/A</v>
      </c>
      <c r="L3071" t="e">
        <f t="shared" si="633"/>
        <v>#N/A</v>
      </c>
      <c r="M3071" s="4" t="e">
        <f t="shared" si="634"/>
        <v>#N/A</v>
      </c>
      <c r="N3071" s="4" t="e">
        <f t="shared" si="635"/>
        <v>#N/A</v>
      </c>
    </row>
    <row r="3072" spans="1:14">
      <c r="A3072">
        <f t="shared" si="623"/>
        <v>0</v>
      </c>
      <c r="B3072">
        <f t="shared" si="624"/>
        <v>0</v>
      </c>
      <c r="C3072">
        <f t="shared" si="625"/>
        <v>0</v>
      </c>
      <c r="D3072">
        <f t="shared" si="626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7"/>
        <v>0</v>
      </c>
      <c r="G3072">
        <f t="shared" si="628"/>
        <v>0</v>
      </c>
      <c r="H3072">
        <f t="shared" si="629"/>
        <v>0</v>
      </c>
      <c r="I3072">
        <f t="shared" si="630"/>
        <v>0</v>
      </c>
      <c r="J3072">
        <f t="shared" si="631"/>
        <v>0</v>
      </c>
      <c r="K3072" s="4" t="e">
        <f t="shared" si="632"/>
        <v>#N/A</v>
      </c>
      <c r="L3072" t="e">
        <f t="shared" si="633"/>
        <v>#N/A</v>
      </c>
      <c r="M3072" s="4" t="e">
        <f t="shared" si="634"/>
        <v>#N/A</v>
      </c>
      <c r="N3072" s="4" t="e">
        <f t="shared" si="635"/>
        <v>#N/A</v>
      </c>
    </row>
    <row r="3073" spans="1:14">
      <c r="A3073">
        <f t="shared" si="623"/>
        <v>0</v>
      </c>
      <c r="B3073">
        <f t="shared" si="624"/>
        <v>0</v>
      </c>
      <c r="C3073">
        <f t="shared" si="625"/>
        <v>0</v>
      </c>
      <c r="D3073">
        <f t="shared" si="626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7"/>
        <v>0</v>
      </c>
      <c r="G3073">
        <f t="shared" si="628"/>
        <v>0</v>
      </c>
      <c r="H3073">
        <f t="shared" si="629"/>
        <v>0</v>
      </c>
      <c r="I3073">
        <f t="shared" si="630"/>
        <v>0</v>
      </c>
      <c r="J3073">
        <f t="shared" si="631"/>
        <v>0</v>
      </c>
      <c r="K3073" s="4" t="e">
        <f t="shared" si="632"/>
        <v>#N/A</v>
      </c>
      <c r="L3073" t="e">
        <f t="shared" si="633"/>
        <v>#N/A</v>
      </c>
      <c r="M3073" s="4" t="e">
        <f t="shared" si="634"/>
        <v>#N/A</v>
      </c>
      <c r="N3073" s="4" t="e">
        <f t="shared" si="635"/>
        <v>#N/A</v>
      </c>
    </row>
    <row r="3074" spans="1:14">
      <c r="A3074">
        <f t="shared" ref="A3074:A3137" si="636">bd_campaign</f>
        <v>0</v>
      </c>
      <c r="B3074">
        <f t="shared" ref="B3074:B3137" si="637">bd_site</f>
        <v>0</v>
      </c>
      <c r="C3074">
        <f t="shared" ref="C3074:C3137" si="638">bd_placement</f>
        <v>0</v>
      </c>
      <c r="D3074">
        <f t="shared" ref="D3074:D3137" si="639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40">bd_ad</f>
        <v>0</v>
      </c>
      <c r="G3074">
        <f t="shared" ref="G3074:G3137" si="641">bd_adid</f>
        <v>0</v>
      </c>
      <c r="H3074">
        <f t="shared" ref="H3074:H3137" si="642">bd_creativetype</f>
        <v>0</v>
      </c>
      <c r="I3074">
        <f t="shared" ref="I3074:I3137" si="643">bd_impression</f>
        <v>0</v>
      </c>
      <c r="J3074">
        <f t="shared" ref="J3074:J3137" si="644">bd_clicks</f>
        <v>0</v>
      </c>
      <c r="K3074" s="4" t="e">
        <f t="shared" si="632"/>
        <v>#N/A</v>
      </c>
      <c r="L3074" t="e">
        <f t="shared" si="633"/>
        <v>#N/A</v>
      </c>
      <c r="M3074" s="4" t="e">
        <f t="shared" si="634"/>
        <v>#N/A</v>
      </c>
      <c r="N3074" s="4" t="e">
        <f t="shared" si="635"/>
        <v>#N/A</v>
      </c>
    </row>
    <row r="3075" spans="1:14">
      <c r="A3075">
        <f t="shared" si="636"/>
        <v>0</v>
      </c>
      <c r="B3075">
        <f t="shared" si="637"/>
        <v>0</v>
      </c>
      <c r="C3075">
        <f t="shared" si="638"/>
        <v>0</v>
      </c>
      <c r="D3075">
        <f t="shared" si="639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40"/>
        <v>0</v>
      </c>
      <c r="G3075">
        <f t="shared" si="641"/>
        <v>0</v>
      </c>
      <c r="H3075">
        <f t="shared" si="642"/>
        <v>0</v>
      </c>
      <c r="I3075">
        <f t="shared" si="643"/>
        <v>0</v>
      </c>
      <c r="J3075">
        <f t="shared" si="644"/>
        <v>0</v>
      </c>
      <c r="K3075" s="4" t="e">
        <f t="shared" si="632"/>
        <v>#N/A</v>
      </c>
      <c r="L3075" t="e">
        <f t="shared" si="633"/>
        <v>#N/A</v>
      </c>
      <c r="M3075" s="4" t="e">
        <f t="shared" si="634"/>
        <v>#N/A</v>
      </c>
      <c r="N3075" s="4" t="e">
        <f t="shared" si="635"/>
        <v>#N/A</v>
      </c>
    </row>
    <row r="3076" spans="1:14">
      <c r="A3076">
        <f t="shared" si="636"/>
        <v>0</v>
      </c>
      <c r="B3076">
        <f t="shared" si="637"/>
        <v>0</v>
      </c>
      <c r="C3076">
        <f t="shared" si="638"/>
        <v>0</v>
      </c>
      <c r="D3076">
        <f t="shared" si="639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40"/>
        <v>0</v>
      </c>
      <c r="G3076">
        <f t="shared" si="641"/>
        <v>0</v>
      </c>
      <c r="H3076">
        <f t="shared" si="642"/>
        <v>0</v>
      </c>
      <c r="I3076">
        <f t="shared" si="643"/>
        <v>0</v>
      </c>
      <c r="J3076">
        <f t="shared" si="644"/>
        <v>0</v>
      </c>
      <c r="K3076" s="4" t="e">
        <f t="shared" si="632"/>
        <v>#N/A</v>
      </c>
      <c r="L3076" t="e">
        <f t="shared" si="633"/>
        <v>#N/A</v>
      </c>
      <c r="M3076" s="4" t="e">
        <f t="shared" si="634"/>
        <v>#N/A</v>
      </c>
      <c r="N3076" s="4" t="e">
        <f t="shared" si="635"/>
        <v>#N/A</v>
      </c>
    </row>
    <row r="3077" spans="1:14">
      <c r="A3077">
        <f t="shared" si="636"/>
        <v>0</v>
      </c>
      <c r="B3077">
        <f t="shared" si="637"/>
        <v>0</v>
      </c>
      <c r="C3077">
        <f t="shared" si="638"/>
        <v>0</v>
      </c>
      <c r="D3077">
        <f t="shared" si="639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40"/>
        <v>0</v>
      </c>
      <c r="G3077">
        <f t="shared" si="641"/>
        <v>0</v>
      </c>
      <c r="H3077">
        <f t="shared" si="642"/>
        <v>0</v>
      </c>
      <c r="I3077">
        <f t="shared" si="643"/>
        <v>0</v>
      </c>
      <c r="J3077">
        <f t="shared" si="644"/>
        <v>0</v>
      </c>
      <c r="K3077" s="4" t="e">
        <f t="shared" si="632"/>
        <v>#N/A</v>
      </c>
      <c r="L3077" t="e">
        <f t="shared" si="633"/>
        <v>#N/A</v>
      </c>
      <c r="M3077" s="4" t="e">
        <f t="shared" si="634"/>
        <v>#N/A</v>
      </c>
      <c r="N3077" s="4" t="e">
        <f t="shared" si="635"/>
        <v>#N/A</v>
      </c>
    </row>
    <row r="3078" spans="1:14">
      <c r="A3078">
        <f t="shared" si="636"/>
        <v>0</v>
      </c>
      <c r="B3078">
        <f t="shared" si="637"/>
        <v>0</v>
      </c>
      <c r="C3078">
        <f t="shared" si="638"/>
        <v>0</v>
      </c>
      <c r="D3078">
        <f t="shared" si="639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40"/>
        <v>0</v>
      </c>
      <c r="G3078">
        <f t="shared" si="641"/>
        <v>0</v>
      </c>
      <c r="H3078">
        <f t="shared" si="642"/>
        <v>0</v>
      </c>
      <c r="I3078">
        <f t="shared" si="643"/>
        <v>0</v>
      </c>
      <c r="J3078">
        <f t="shared" si="644"/>
        <v>0</v>
      </c>
      <c r="K3078" s="4" t="e">
        <f t="shared" si="632"/>
        <v>#N/A</v>
      </c>
      <c r="L3078" t="e">
        <f t="shared" si="633"/>
        <v>#N/A</v>
      </c>
      <c r="M3078" s="4" t="e">
        <f t="shared" si="634"/>
        <v>#N/A</v>
      </c>
      <c r="N3078" s="4" t="e">
        <f t="shared" si="635"/>
        <v>#N/A</v>
      </c>
    </row>
    <row r="3079" spans="1:14">
      <c r="A3079">
        <f t="shared" si="636"/>
        <v>0</v>
      </c>
      <c r="B3079">
        <f t="shared" si="637"/>
        <v>0</v>
      </c>
      <c r="C3079">
        <f t="shared" si="638"/>
        <v>0</v>
      </c>
      <c r="D3079">
        <f t="shared" si="639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40"/>
        <v>0</v>
      </c>
      <c r="G3079">
        <f t="shared" si="641"/>
        <v>0</v>
      </c>
      <c r="H3079">
        <f t="shared" si="642"/>
        <v>0</v>
      </c>
      <c r="I3079">
        <f t="shared" si="643"/>
        <v>0</v>
      </c>
      <c r="J3079">
        <f t="shared" si="644"/>
        <v>0</v>
      </c>
      <c r="K3079" s="4" t="e">
        <f t="shared" si="632"/>
        <v>#N/A</v>
      </c>
      <c r="L3079" t="e">
        <f t="shared" si="633"/>
        <v>#N/A</v>
      </c>
      <c r="M3079" s="4" t="e">
        <f t="shared" si="634"/>
        <v>#N/A</v>
      </c>
      <c r="N3079" s="4" t="e">
        <f t="shared" si="635"/>
        <v>#N/A</v>
      </c>
    </row>
    <row r="3080" spans="1:14">
      <c r="A3080">
        <f t="shared" si="636"/>
        <v>0</v>
      </c>
      <c r="B3080">
        <f t="shared" si="637"/>
        <v>0</v>
      </c>
      <c r="C3080">
        <f t="shared" si="638"/>
        <v>0</v>
      </c>
      <c r="D3080">
        <f t="shared" si="639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40"/>
        <v>0</v>
      </c>
      <c r="G3080">
        <f t="shared" si="641"/>
        <v>0</v>
      </c>
      <c r="H3080">
        <f t="shared" si="642"/>
        <v>0</v>
      </c>
      <c r="I3080">
        <f t="shared" si="643"/>
        <v>0</v>
      </c>
      <c r="J3080">
        <f t="shared" si="644"/>
        <v>0</v>
      </c>
      <c r="K3080" s="4" t="e">
        <f t="shared" si="632"/>
        <v>#N/A</v>
      </c>
      <c r="L3080" t="e">
        <f t="shared" si="633"/>
        <v>#N/A</v>
      </c>
      <c r="M3080" s="4" t="e">
        <f t="shared" si="634"/>
        <v>#N/A</v>
      </c>
      <c r="N3080" s="4" t="e">
        <f t="shared" si="635"/>
        <v>#N/A</v>
      </c>
    </row>
    <row r="3081" spans="1:14">
      <c r="A3081">
        <f t="shared" si="636"/>
        <v>0</v>
      </c>
      <c r="B3081">
        <f t="shared" si="637"/>
        <v>0</v>
      </c>
      <c r="C3081">
        <f t="shared" si="638"/>
        <v>0</v>
      </c>
      <c r="D3081">
        <f t="shared" si="639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40"/>
        <v>0</v>
      </c>
      <c r="G3081">
        <f t="shared" si="641"/>
        <v>0</v>
      </c>
      <c r="H3081">
        <f t="shared" si="642"/>
        <v>0</v>
      </c>
      <c r="I3081">
        <f t="shared" si="643"/>
        <v>0</v>
      </c>
      <c r="J3081">
        <f t="shared" si="644"/>
        <v>0</v>
      </c>
      <c r="K3081" s="4" t="e">
        <f t="shared" si="632"/>
        <v>#N/A</v>
      </c>
      <c r="L3081" t="e">
        <f t="shared" si="633"/>
        <v>#N/A</v>
      </c>
      <c r="M3081" s="4" t="e">
        <f t="shared" si="634"/>
        <v>#N/A</v>
      </c>
      <c r="N3081" s="4" t="e">
        <f t="shared" si="635"/>
        <v>#N/A</v>
      </c>
    </row>
    <row r="3082" spans="1:14">
      <c r="A3082">
        <f t="shared" si="636"/>
        <v>0</v>
      </c>
      <c r="B3082">
        <f t="shared" si="637"/>
        <v>0</v>
      </c>
      <c r="C3082">
        <f t="shared" si="638"/>
        <v>0</v>
      </c>
      <c r="D3082">
        <f t="shared" si="639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40"/>
        <v>0</v>
      </c>
      <c r="G3082">
        <f t="shared" si="641"/>
        <v>0</v>
      </c>
      <c r="H3082">
        <f t="shared" si="642"/>
        <v>0</v>
      </c>
      <c r="I3082">
        <f t="shared" si="643"/>
        <v>0</v>
      </c>
      <c r="J3082">
        <f t="shared" si="644"/>
        <v>0</v>
      </c>
      <c r="K3082" s="4" t="e">
        <f t="shared" si="632"/>
        <v>#N/A</v>
      </c>
      <c r="L3082" t="e">
        <f t="shared" si="633"/>
        <v>#N/A</v>
      </c>
      <c r="M3082" s="4" t="e">
        <f t="shared" si="634"/>
        <v>#N/A</v>
      </c>
      <c r="N3082" s="4" t="e">
        <f t="shared" si="635"/>
        <v>#N/A</v>
      </c>
    </row>
    <row r="3083" spans="1:14">
      <c r="A3083">
        <f t="shared" si="636"/>
        <v>0</v>
      </c>
      <c r="B3083">
        <f t="shared" si="637"/>
        <v>0</v>
      </c>
      <c r="C3083">
        <f t="shared" si="638"/>
        <v>0</v>
      </c>
      <c r="D3083">
        <f t="shared" si="639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40"/>
        <v>0</v>
      </c>
      <c r="G3083">
        <f t="shared" si="641"/>
        <v>0</v>
      </c>
      <c r="H3083">
        <f t="shared" si="642"/>
        <v>0</v>
      </c>
      <c r="I3083">
        <f t="shared" si="643"/>
        <v>0</v>
      </c>
      <c r="J3083">
        <f t="shared" si="644"/>
        <v>0</v>
      </c>
      <c r="K3083" s="4" t="e">
        <f t="shared" si="632"/>
        <v>#N/A</v>
      </c>
      <c r="L3083" t="e">
        <f t="shared" si="633"/>
        <v>#N/A</v>
      </c>
      <c r="M3083" s="4" t="e">
        <f t="shared" si="634"/>
        <v>#N/A</v>
      </c>
      <c r="N3083" s="4" t="e">
        <f t="shared" si="635"/>
        <v>#N/A</v>
      </c>
    </row>
    <row r="3084" spans="1:14">
      <c r="A3084">
        <f t="shared" si="636"/>
        <v>0</v>
      </c>
      <c r="B3084">
        <f t="shared" si="637"/>
        <v>0</v>
      </c>
      <c r="C3084">
        <f t="shared" si="638"/>
        <v>0</v>
      </c>
      <c r="D3084">
        <f t="shared" si="639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40"/>
        <v>0</v>
      </c>
      <c r="G3084">
        <f t="shared" si="641"/>
        <v>0</v>
      </c>
      <c r="H3084">
        <f t="shared" si="642"/>
        <v>0</v>
      </c>
      <c r="I3084">
        <f t="shared" si="643"/>
        <v>0</v>
      </c>
      <c r="J3084">
        <f t="shared" si="644"/>
        <v>0</v>
      </c>
      <c r="K3084" s="4" t="e">
        <f t="shared" si="632"/>
        <v>#N/A</v>
      </c>
      <c r="L3084" t="e">
        <f t="shared" si="633"/>
        <v>#N/A</v>
      </c>
      <c r="M3084" s="4" t="e">
        <f t="shared" si="634"/>
        <v>#N/A</v>
      </c>
      <c r="N3084" s="4" t="e">
        <f t="shared" si="635"/>
        <v>#N/A</v>
      </c>
    </row>
    <row r="3085" spans="1:14">
      <c r="A3085">
        <f t="shared" si="636"/>
        <v>0</v>
      </c>
      <c r="B3085">
        <f t="shared" si="637"/>
        <v>0</v>
      </c>
      <c r="C3085">
        <f t="shared" si="638"/>
        <v>0</v>
      </c>
      <c r="D3085">
        <f t="shared" si="639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40"/>
        <v>0</v>
      </c>
      <c r="G3085">
        <f t="shared" si="641"/>
        <v>0</v>
      </c>
      <c r="H3085">
        <f t="shared" si="642"/>
        <v>0</v>
      </c>
      <c r="I3085">
        <f t="shared" si="643"/>
        <v>0</v>
      </c>
      <c r="J3085">
        <f t="shared" si="644"/>
        <v>0</v>
      </c>
      <c r="K3085" s="4" t="e">
        <f t="shared" si="632"/>
        <v>#N/A</v>
      </c>
      <c r="L3085" t="e">
        <f t="shared" si="633"/>
        <v>#N/A</v>
      </c>
      <c r="M3085" s="4" t="e">
        <f t="shared" si="634"/>
        <v>#N/A</v>
      </c>
      <c r="N3085" s="4" t="e">
        <f t="shared" si="635"/>
        <v>#N/A</v>
      </c>
    </row>
    <row r="3086" spans="1:14">
      <c r="A3086">
        <f t="shared" si="636"/>
        <v>0</v>
      </c>
      <c r="B3086">
        <f t="shared" si="637"/>
        <v>0</v>
      </c>
      <c r="C3086">
        <f t="shared" si="638"/>
        <v>0</v>
      </c>
      <c r="D3086">
        <f t="shared" si="639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40"/>
        <v>0</v>
      </c>
      <c r="G3086">
        <f t="shared" si="641"/>
        <v>0</v>
      </c>
      <c r="H3086">
        <f t="shared" si="642"/>
        <v>0</v>
      </c>
      <c r="I3086">
        <f t="shared" si="643"/>
        <v>0</v>
      </c>
      <c r="J3086">
        <f t="shared" si="644"/>
        <v>0</v>
      </c>
      <c r="K3086" s="4" t="e">
        <f t="shared" si="632"/>
        <v>#N/A</v>
      </c>
      <c r="L3086" t="e">
        <f t="shared" si="633"/>
        <v>#N/A</v>
      </c>
      <c r="M3086" s="4" t="e">
        <f t="shared" si="634"/>
        <v>#N/A</v>
      </c>
      <c r="N3086" s="4" t="e">
        <f t="shared" si="635"/>
        <v>#N/A</v>
      </c>
    </row>
    <row r="3087" spans="1:14">
      <c r="A3087">
        <f t="shared" si="636"/>
        <v>0</v>
      </c>
      <c r="B3087">
        <f t="shared" si="637"/>
        <v>0</v>
      </c>
      <c r="C3087">
        <f t="shared" si="638"/>
        <v>0</v>
      </c>
      <c r="D3087">
        <f t="shared" si="639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40"/>
        <v>0</v>
      </c>
      <c r="G3087">
        <f t="shared" si="641"/>
        <v>0</v>
      </c>
      <c r="H3087">
        <f t="shared" si="642"/>
        <v>0</v>
      </c>
      <c r="I3087">
        <f t="shared" si="643"/>
        <v>0</v>
      </c>
      <c r="J3087">
        <f t="shared" si="644"/>
        <v>0</v>
      </c>
      <c r="K3087" s="4" t="e">
        <f t="shared" si="632"/>
        <v>#N/A</v>
      </c>
      <c r="L3087" t="e">
        <f t="shared" si="633"/>
        <v>#N/A</v>
      </c>
      <c r="M3087" s="4" t="e">
        <f t="shared" si="634"/>
        <v>#N/A</v>
      </c>
      <c r="N3087" s="4" t="e">
        <f t="shared" si="635"/>
        <v>#N/A</v>
      </c>
    </row>
    <row r="3088" spans="1:14">
      <c r="A3088">
        <f t="shared" si="636"/>
        <v>0</v>
      </c>
      <c r="B3088">
        <f t="shared" si="637"/>
        <v>0</v>
      </c>
      <c r="C3088">
        <f t="shared" si="638"/>
        <v>0</v>
      </c>
      <c r="D3088">
        <f t="shared" si="639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40"/>
        <v>0</v>
      </c>
      <c r="G3088">
        <f t="shared" si="641"/>
        <v>0</v>
      </c>
      <c r="H3088">
        <f t="shared" si="642"/>
        <v>0</v>
      </c>
      <c r="I3088">
        <f t="shared" si="643"/>
        <v>0</v>
      </c>
      <c r="J3088">
        <f t="shared" si="644"/>
        <v>0</v>
      </c>
      <c r="K3088" s="4" t="e">
        <f t="shared" si="632"/>
        <v>#N/A</v>
      </c>
      <c r="L3088" t="e">
        <f t="shared" si="633"/>
        <v>#N/A</v>
      </c>
      <c r="M3088" s="4" t="e">
        <f t="shared" si="634"/>
        <v>#N/A</v>
      </c>
      <c r="N3088" s="4" t="e">
        <f t="shared" si="635"/>
        <v>#N/A</v>
      </c>
    </row>
    <row r="3089" spans="1:14">
      <c r="A3089">
        <f t="shared" si="636"/>
        <v>0</v>
      </c>
      <c r="B3089">
        <f t="shared" si="637"/>
        <v>0</v>
      </c>
      <c r="C3089">
        <f t="shared" si="638"/>
        <v>0</v>
      </c>
      <c r="D3089">
        <f t="shared" si="639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40"/>
        <v>0</v>
      </c>
      <c r="G3089">
        <f t="shared" si="641"/>
        <v>0</v>
      </c>
      <c r="H3089">
        <f t="shared" si="642"/>
        <v>0</v>
      </c>
      <c r="I3089">
        <f t="shared" si="643"/>
        <v>0</v>
      </c>
      <c r="J3089">
        <f t="shared" si="644"/>
        <v>0</v>
      </c>
      <c r="K3089" s="4" t="e">
        <f t="shared" si="632"/>
        <v>#N/A</v>
      </c>
      <c r="L3089" t="e">
        <f t="shared" si="633"/>
        <v>#N/A</v>
      </c>
      <c r="M3089" s="4" t="e">
        <f t="shared" si="634"/>
        <v>#N/A</v>
      </c>
      <c r="N3089" s="4" t="e">
        <f t="shared" si="635"/>
        <v>#N/A</v>
      </c>
    </row>
    <row r="3090" spans="1:14">
      <c r="A3090">
        <f t="shared" si="636"/>
        <v>0</v>
      </c>
      <c r="B3090">
        <f t="shared" si="637"/>
        <v>0</v>
      </c>
      <c r="C3090">
        <f t="shared" si="638"/>
        <v>0</v>
      </c>
      <c r="D3090">
        <f t="shared" si="639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40"/>
        <v>0</v>
      </c>
      <c r="G3090">
        <f t="shared" si="641"/>
        <v>0</v>
      </c>
      <c r="H3090">
        <f t="shared" si="642"/>
        <v>0</v>
      </c>
      <c r="I3090">
        <f t="shared" si="643"/>
        <v>0</v>
      </c>
      <c r="J3090">
        <f t="shared" si="644"/>
        <v>0</v>
      </c>
      <c r="K3090" s="4" t="e">
        <f t="shared" si="632"/>
        <v>#N/A</v>
      </c>
      <c r="L3090" t="e">
        <f t="shared" si="633"/>
        <v>#N/A</v>
      </c>
      <c r="M3090" s="4" t="e">
        <f t="shared" si="634"/>
        <v>#N/A</v>
      </c>
      <c r="N3090" s="4" t="e">
        <f t="shared" si="635"/>
        <v>#N/A</v>
      </c>
    </row>
    <row r="3091" spans="1:14">
      <c r="A3091">
        <f t="shared" si="636"/>
        <v>0</v>
      </c>
      <c r="B3091">
        <f t="shared" si="637"/>
        <v>0</v>
      </c>
      <c r="C3091">
        <f t="shared" si="638"/>
        <v>0</v>
      </c>
      <c r="D3091">
        <f t="shared" si="639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40"/>
        <v>0</v>
      </c>
      <c r="G3091">
        <f t="shared" si="641"/>
        <v>0</v>
      </c>
      <c r="H3091">
        <f t="shared" si="642"/>
        <v>0</v>
      </c>
      <c r="I3091">
        <f t="shared" si="643"/>
        <v>0</v>
      </c>
      <c r="J3091">
        <f t="shared" si="644"/>
        <v>0</v>
      </c>
      <c r="K3091" s="4" t="e">
        <f t="shared" si="632"/>
        <v>#N/A</v>
      </c>
      <c r="L3091" t="e">
        <f t="shared" si="633"/>
        <v>#N/A</v>
      </c>
      <c r="M3091" s="4" t="e">
        <f t="shared" si="634"/>
        <v>#N/A</v>
      </c>
      <c r="N3091" s="4" t="e">
        <f t="shared" si="635"/>
        <v>#N/A</v>
      </c>
    </row>
    <row r="3092" spans="1:14">
      <c r="A3092">
        <f t="shared" si="636"/>
        <v>0</v>
      </c>
      <c r="B3092">
        <f t="shared" si="637"/>
        <v>0</v>
      </c>
      <c r="C3092">
        <f t="shared" si="638"/>
        <v>0</v>
      </c>
      <c r="D3092">
        <f t="shared" si="639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40"/>
        <v>0</v>
      </c>
      <c r="G3092">
        <f t="shared" si="641"/>
        <v>0</v>
      </c>
      <c r="H3092">
        <f t="shared" si="642"/>
        <v>0</v>
      </c>
      <c r="I3092">
        <f t="shared" si="643"/>
        <v>0</v>
      </c>
      <c r="J3092">
        <f t="shared" si="644"/>
        <v>0</v>
      </c>
      <c r="K3092" s="4" t="e">
        <f t="shared" si="632"/>
        <v>#N/A</v>
      </c>
      <c r="L3092" t="e">
        <f t="shared" si="633"/>
        <v>#N/A</v>
      </c>
      <c r="M3092" s="4" t="e">
        <f t="shared" si="634"/>
        <v>#N/A</v>
      </c>
      <c r="N3092" s="4" t="e">
        <f t="shared" si="635"/>
        <v>#N/A</v>
      </c>
    </row>
    <row r="3093" spans="1:14">
      <c r="A3093">
        <f t="shared" si="636"/>
        <v>0</v>
      </c>
      <c r="B3093">
        <f t="shared" si="637"/>
        <v>0</v>
      </c>
      <c r="C3093">
        <f t="shared" si="638"/>
        <v>0</v>
      </c>
      <c r="D3093">
        <f t="shared" si="639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40"/>
        <v>0</v>
      </c>
      <c r="G3093">
        <f t="shared" si="641"/>
        <v>0</v>
      </c>
      <c r="H3093">
        <f t="shared" si="642"/>
        <v>0</v>
      </c>
      <c r="I3093">
        <f t="shared" si="643"/>
        <v>0</v>
      </c>
      <c r="J3093">
        <f t="shared" si="644"/>
        <v>0</v>
      </c>
      <c r="K3093" s="4" t="e">
        <f t="shared" si="632"/>
        <v>#N/A</v>
      </c>
      <c r="L3093" t="e">
        <f t="shared" si="633"/>
        <v>#N/A</v>
      </c>
      <c r="M3093" s="4" t="e">
        <f t="shared" si="634"/>
        <v>#N/A</v>
      </c>
      <c r="N3093" s="4" t="e">
        <f t="shared" si="635"/>
        <v>#N/A</v>
      </c>
    </row>
    <row r="3094" spans="1:14">
      <c r="A3094">
        <f t="shared" si="636"/>
        <v>0</v>
      </c>
      <c r="B3094">
        <f t="shared" si="637"/>
        <v>0</v>
      </c>
      <c r="C3094">
        <f t="shared" si="638"/>
        <v>0</v>
      </c>
      <c r="D3094">
        <f t="shared" si="639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40"/>
        <v>0</v>
      </c>
      <c r="G3094">
        <f t="shared" si="641"/>
        <v>0</v>
      </c>
      <c r="H3094">
        <f t="shared" si="642"/>
        <v>0</v>
      </c>
      <c r="I3094">
        <f t="shared" si="643"/>
        <v>0</v>
      </c>
      <c r="J3094">
        <f t="shared" si="644"/>
        <v>0</v>
      </c>
      <c r="K3094" s="4" t="e">
        <f t="shared" si="632"/>
        <v>#N/A</v>
      </c>
      <c r="L3094" t="e">
        <f t="shared" si="633"/>
        <v>#N/A</v>
      </c>
      <c r="M3094" s="4" t="e">
        <f t="shared" si="634"/>
        <v>#N/A</v>
      </c>
      <c r="N3094" s="4" t="e">
        <f t="shared" si="635"/>
        <v>#N/A</v>
      </c>
    </row>
    <row r="3095" spans="1:14">
      <c r="A3095">
        <f t="shared" si="636"/>
        <v>0</v>
      </c>
      <c r="B3095">
        <f t="shared" si="637"/>
        <v>0</v>
      </c>
      <c r="C3095">
        <f t="shared" si="638"/>
        <v>0</v>
      </c>
      <c r="D3095">
        <f t="shared" si="639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40"/>
        <v>0</v>
      </c>
      <c r="G3095">
        <f t="shared" si="641"/>
        <v>0</v>
      </c>
      <c r="H3095">
        <f t="shared" si="642"/>
        <v>0</v>
      </c>
      <c r="I3095">
        <f t="shared" si="643"/>
        <v>0</v>
      </c>
      <c r="J3095">
        <f t="shared" si="644"/>
        <v>0</v>
      </c>
      <c r="K3095" s="4" t="e">
        <f t="shared" si="632"/>
        <v>#N/A</v>
      </c>
      <c r="L3095" t="e">
        <f t="shared" si="633"/>
        <v>#N/A</v>
      </c>
      <c r="M3095" s="4" t="e">
        <f t="shared" si="634"/>
        <v>#N/A</v>
      </c>
      <c r="N3095" s="4" t="e">
        <f t="shared" si="635"/>
        <v>#N/A</v>
      </c>
    </row>
    <row r="3096" spans="1:14">
      <c r="A3096">
        <f t="shared" si="636"/>
        <v>0</v>
      </c>
      <c r="B3096">
        <f t="shared" si="637"/>
        <v>0</v>
      </c>
      <c r="C3096">
        <f t="shared" si="638"/>
        <v>0</v>
      </c>
      <c r="D3096">
        <f t="shared" si="639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40"/>
        <v>0</v>
      </c>
      <c r="G3096">
        <f t="shared" si="641"/>
        <v>0</v>
      </c>
      <c r="H3096">
        <f t="shared" si="642"/>
        <v>0</v>
      </c>
      <c r="I3096">
        <f t="shared" si="643"/>
        <v>0</v>
      </c>
      <c r="J3096">
        <f t="shared" si="644"/>
        <v>0</v>
      </c>
      <c r="K3096" s="4" t="e">
        <f t="shared" si="632"/>
        <v>#N/A</v>
      </c>
      <c r="L3096" t="e">
        <f t="shared" si="633"/>
        <v>#N/A</v>
      </c>
      <c r="M3096" s="4" t="e">
        <f t="shared" si="634"/>
        <v>#N/A</v>
      </c>
      <c r="N3096" s="4" t="e">
        <f t="shared" si="635"/>
        <v>#N/A</v>
      </c>
    </row>
    <row r="3097" spans="1:14">
      <c r="A3097">
        <f t="shared" si="636"/>
        <v>0</v>
      </c>
      <c r="B3097">
        <f t="shared" si="637"/>
        <v>0</v>
      </c>
      <c r="C3097">
        <f t="shared" si="638"/>
        <v>0</v>
      </c>
      <c r="D3097">
        <f t="shared" si="639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40"/>
        <v>0</v>
      </c>
      <c r="G3097">
        <f t="shared" si="641"/>
        <v>0</v>
      </c>
      <c r="H3097">
        <f t="shared" si="642"/>
        <v>0</v>
      </c>
      <c r="I3097">
        <f t="shared" si="643"/>
        <v>0</v>
      </c>
      <c r="J3097">
        <f t="shared" si="644"/>
        <v>0</v>
      </c>
      <c r="K3097" s="4" t="e">
        <f t="shared" si="632"/>
        <v>#N/A</v>
      </c>
      <c r="L3097" t="e">
        <f t="shared" si="633"/>
        <v>#N/A</v>
      </c>
      <c r="M3097" s="4" t="e">
        <f t="shared" si="634"/>
        <v>#N/A</v>
      </c>
      <c r="N3097" s="4" t="e">
        <f t="shared" si="635"/>
        <v>#N/A</v>
      </c>
    </row>
    <row r="3098" spans="1:14">
      <c r="A3098">
        <f t="shared" si="636"/>
        <v>0</v>
      </c>
      <c r="B3098">
        <f t="shared" si="637"/>
        <v>0</v>
      </c>
      <c r="C3098">
        <f t="shared" si="638"/>
        <v>0</v>
      </c>
      <c r="D3098">
        <f t="shared" si="639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40"/>
        <v>0</v>
      </c>
      <c r="G3098">
        <f t="shared" si="641"/>
        <v>0</v>
      </c>
      <c r="H3098">
        <f t="shared" si="642"/>
        <v>0</v>
      </c>
      <c r="I3098">
        <f t="shared" si="643"/>
        <v>0</v>
      </c>
      <c r="J3098">
        <f t="shared" si="644"/>
        <v>0</v>
      </c>
      <c r="K3098" s="4" t="e">
        <f t="shared" si="632"/>
        <v>#N/A</v>
      </c>
      <c r="L3098" t="e">
        <f t="shared" si="633"/>
        <v>#N/A</v>
      </c>
      <c r="M3098" s="4" t="e">
        <f t="shared" si="634"/>
        <v>#N/A</v>
      </c>
      <c r="N3098" s="4" t="e">
        <f t="shared" si="635"/>
        <v>#N/A</v>
      </c>
    </row>
    <row r="3099" spans="1:14">
      <c r="A3099">
        <f t="shared" si="636"/>
        <v>0</v>
      </c>
      <c r="B3099">
        <f t="shared" si="637"/>
        <v>0</v>
      </c>
      <c r="C3099">
        <f t="shared" si="638"/>
        <v>0</v>
      </c>
      <c r="D3099">
        <f t="shared" si="639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40"/>
        <v>0</v>
      </c>
      <c r="G3099">
        <f t="shared" si="641"/>
        <v>0</v>
      </c>
      <c r="H3099">
        <f t="shared" si="642"/>
        <v>0</v>
      </c>
      <c r="I3099">
        <f t="shared" si="643"/>
        <v>0</v>
      </c>
      <c r="J3099">
        <f t="shared" si="644"/>
        <v>0</v>
      </c>
      <c r="K3099" s="4" t="e">
        <f t="shared" si="632"/>
        <v>#N/A</v>
      </c>
      <c r="L3099" t="e">
        <f t="shared" si="633"/>
        <v>#N/A</v>
      </c>
      <c r="M3099" s="4" t="e">
        <f t="shared" si="634"/>
        <v>#N/A</v>
      </c>
      <c r="N3099" s="4" t="e">
        <f t="shared" si="635"/>
        <v>#N/A</v>
      </c>
    </row>
    <row r="3100" spans="1:14">
      <c r="A3100">
        <f t="shared" si="636"/>
        <v>0</v>
      </c>
      <c r="B3100">
        <f t="shared" si="637"/>
        <v>0</v>
      </c>
      <c r="C3100">
        <f t="shared" si="638"/>
        <v>0</v>
      </c>
      <c r="D3100">
        <f t="shared" si="639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40"/>
        <v>0</v>
      </c>
      <c r="G3100">
        <f t="shared" si="641"/>
        <v>0</v>
      </c>
      <c r="H3100">
        <f t="shared" si="642"/>
        <v>0</v>
      </c>
      <c r="I3100">
        <f t="shared" si="643"/>
        <v>0</v>
      </c>
      <c r="J3100">
        <f t="shared" si="644"/>
        <v>0</v>
      </c>
      <c r="K3100" s="4" t="e">
        <f t="shared" si="632"/>
        <v>#N/A</v>
      </c>
      <c r="L3100" t="e">
        <f t="shared" si="633"/>
        <v>#N/A</v>
      </c>
      <c r="M3100" s="4" t="e">
        <f t="shared" si="634"/>
        <v>#N/A</v>
      </c>
      <c r="N3100" s="4" t="e">
        <f t="shared" si="635"/>
        <v>#N/A</v>
      </c>
    </row>
    <row r="3101" spans="1:14">
      <c r="A3101">
        <f t="shared" si="636"/>
        <v>0</v>
      </c>
      <c r="B3101">
        <f t="shared" si="637"/>
        <v>0</v>
      </c>
      <c r="C3101">
        <f t="shared" si="638"/>
        <v>0</v>
      </c>
      <c r="D3101">
        <f t="shared" si="639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40"/>
        <v>0</v>
      </c>
      <c r="G3101">
        <f t="shared" si="641"/>
        <v>0</v>
      </c>
      <c r="H3101">
        <f t="shared" si="642"/>
        <v>0</v>
      </c>
      <c r="I3101">
        <f t="shared" si="643"/>
        <v>0</v>
      </c>
      <c r="J3101">
        <f t="shared" si="644"/>
        <v>0</v>
      </c>
      <c r="K3101" s="4" t="e">
        <f t="shared" si="632"/>
        <v>#N/A</v>
      </c>
      <c r="L3101" t="e">
        <f t="shared" si="633"/>
        <v>#N/A</v>
      </c>
      <c r="M3101" s="4" t="e">
        <f t="shared" si="634"/>
        <v>#N/A</v>
      </c>
      <c r="N3101" s="4" t="e">
        <f t="shared" si="635"/>
        <v>#N/A</v>
      </c>
    </row>
    <row r="3102" spans="1:14">
      <c r="A3102">
        <f t="shared" si="636"/>
        <v>0</v>
      </c>
      <c r="B3102">
        <f t="shared" si="637"/>
        <v>0</v>
      </c>
      <c r="C3102">
        <f t="shared" si="638"/>
        <v>0</v>
      </c>
      <c r="D3102">
        <f t="shared" si="639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40"/>
        <v>0</v>
      </c>
      <c r="G3102">
        <f t="shared" si="641"/>
        <v>0</v>
      </c>
      <c r="H3102">
        <f t="shared" si="642"/>
        <v>0</v>
      </c>
      <c r="I3102">
        <f t="shared" si="643"/>
        <v>0</v>
      </c>
      <c r="J3102">
        <f t="shared" si="644"/>
        <v>0</v>
      </c>
      <c r="K3102" s="4" t="e">
        <f t="shared" si="632"/>
        <v>#N/A</v>
      </c>
      <c r="L3102" t="e">
        <f t="shared" si="633"/>
        <v>#N/A</v>
      </c>
      <c r="M3102" s="4" t="e">
        <f t="shared" si="634"/>
        <v>#N/A</v>
      </c>
      <c r="N3102" s="4" t="e">
        <f t="shared" si="635"/>
        <v>#N/A</v>
      </c>
    </row>
    <row r="3103" spans="1:14">
      <c r="A3103">
        <f t="shared" si="636"/>
        <v>0</v>
      </c>
      <c r="B3103">
        <f t="shared" si="637"/>
        <v>0</v>
      </c>
      <c r="C3103">
        <f t="shared" si="638"/>
        <v>0</v>
      </c>
      <c r="D3103">
        <f t="shared" si="639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40"/>
        <v>0</v>
      </c>
      <c r="G3103">
        <f t="shared" si="641"/>
        <v>0</v>
      </c>
      <c r="H3103">
        <f t="shared" si="642"/>
        <v>0</v>
      </c>
      <c r="I3103">
        <f t="shared" si="643"/>
        <v>0</v>
      </c>
      <c r="J3103">
        <f t="shared" si="644"/>
        <v>0</v>
      </c>
      <c r="K3103" s="4" t="e">
        <f t="shared" si="632"/>
        <v>#N/A</v>
      </c>
      <c r="L3103" t="e">
        <f t="shared" si="633"/>
        <v>#N/A</v>
      </c>
      <c r="M3103" s="4" t="e">
        <f t="shared" si="634"/>
        <v>#N/A</v>
      </c>
      <c r="N3103" s="4" t="e">
        <f t="shared" si="635"/>
        <v>#N/A</v>
      </c>
    </row>
    <row r="3104" spans="1:14">
      <c r="A3104">
        <f t="shared" si="636"/>
        <v>0</v>
      </c>
      <c r="B3104">
        <f t="shared" si="637"/>
        <v>0</v>
      </c>
      <c r="C3104">
        <f t="shared" si="638"/>
        <v>0</v>
      </c>
      <c r="D3104">
        <f t="shared" si="639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40"/>
        <v>0</v>
      </c>
      <c r="G3104">
        <f t="shared" si="641"/>
        <v>0</v>
      </c>
      <c r="H3104">
        <f t="shared" si="642"/>
        <v>0</v>
      </c>
      <c r="I3104">
        <f t="shared" si="643"/>
        <v>0</v>
      </c>
      <c r="J3104">
        <f t="shared" si="644"/>
        <v>0</v>
      </c>
      <c r="K3104" s="4" t="e">
        <f t="shared" si="632"/>
        <v>#N/A</v>
      </c>
      <c r="L3104" t="e">
        <f t="shared" si="633"/>
        <v>#N/A</v>
      </c>
      <c r="M3104" s="4" t="e">
        <f t="shared" si="634"/>
        <v>#N/A</v>
      </c>
      <c r="N3104" s="4" t="e">
        <f t="shared" si="635"/>
        <v>#N/A</v>
      </c>
    </row>
    <row r="3105" spans="1:14">
      <c r="A3105">
        <f t="shared" si="636"/>
        <v>0</v>
      </c>
      <c r="B3105">
        <f t="shared" si="637"/>
        <v>0</v>
      </c>
      <c r="C3105">
        <f t="shared" si="638"/>
        <v>0</v>
      </c>
      <c r="D3105">
        <f t="shared" si="639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40"/>
        <v>0</v>
      </c>
      <c r="G3105">
        <f t="shared" si="641"/>
        <v>0</v>
      </c>
      <c r="H3105">
        <f t="shared" si="642"/>
        <v>0</v>
      </c>
      <c r="I3105">
        <f t="shared" si="643"/>
        <v>0</v>
      </c>
      <c r="J3105">
        <f t="shared" si="644"/>
        <v>0</v>
      </c>
      <c r="K3105" s="4" t="e">
        <f t="shared" si="632"/>
        <v>#N/A</v>
      </c>
      <c r="L3105" t="e">
        <f t="shared" si="633"/>
        <v>#N/A</v>
      </c>
      <c r="M3105" s="4" t="e">
        <f t="shared" si="634"/>
        <v>#N/A</v>
      </c>
      <c r="N3105" s="4" t="e">
        <f t="shared" si="635"/>
        <v>#N/A</v>
      </c>
    </row>
    <row r="3106" spans="1:14">
      <c r="A3106">
        <f t="shared" si="636"/>
        <v>0</v>
      </c>
      <c r="B3106">
        <f t="shared" si="637"/>
        <v>0</v>
      </c>
      <c r="C3106">
        <f t="shared" si="638"/>
        <v>0</v>
      </c>
      <c r="D3106">
        <f t="shared" si="639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40"/>
        <v>0</v>
      </c>
      <c r="G3106">
        <f t="shared" si="641"/>
        <v>0</v>
      </c>
      <c r="H3106">
        <f t="shared" si="642"/>
        <v>0</v>
      </c>
      <c r="I3106">
        <f t="shared" si="643"/>
        <v>0</v>
      </c>
      <c r="J3106">
        <f t="shared" si="644"/>
        <v>0</v>
      </c>
      <c r="K3106" s="4" t="e">
        <f t="shared" si="632"/>
        <v>#N/A</v>
      </c>
      <c r="L3106" t="e">
        <f t="shared" si="633"/>
        <v>#N/A</v>
      </c>
      <c r="M3106" s="4" t="e">
        <f t="shared" si="634"/>
        <v>#N/A</v>
      </c>
      <c r="N3106" s="4" t="e">
        <f t="shared" si="635"/>
        <v>#N/A</v>
      </c>
    </row>
    <row r="3107" spans="1:14">
      <c r="A3107">
        <f t="shared" si="636"/>
        <v>0</v>
      </c>
      <c r="B3107">
        <f t="shared" si="637"/>
        <v>0</v>
      </c>
      <c r="C3107">
        <f t="shared" si="638"/>
        <v>0</v>
      </c>
      <c r="D3107">
        <f t="shared" si="639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40"/>
        <v>0</v>
      </c>
      <c r="G3107">
        <f t="shared" si="641"/>
        <v>0</v>
      </c>
      <c r="H3107">
        <f t="shared" si="642"/>
        <v>0</v>
      </c>
      <c r="I3107">
        <f t="shared" si="643"/>
        <v>0</v>
      </c>
      <c r="J3107">
        <f t="shared" si="644"/>
        <v>0</v>
      </c>
      <c r="K3107" s="4" t="e">
        <f t="shared" si="632"/>
        <v>#N/A</v>
      </c>
      <c r="L3107" t="e">
        <f t="shared" si="633"/>
        <v>#N/A</v>
      </c>
      <c r="M3107" s="4" t="e">
        <f t="shared" si="634"/>
        <v>#N/A</v>
      </c>
      <c r="N3107" s="4" t="e">
        <f t="shared" si="635"/>
        <v>#N/A</v>
      </c>
    </row>
    <row r="3108" spans="1:14">
      <c r="A3108">
        <f t="shared" si="636"/>
        <v>0</v>
      </c>
      <c r="B3108">
        <f t="shared" si="637"/>
        <v>0</v>
      </c>
      <c r="C3108">
        <f t="shared" si="638"/>
        <v>0</v>
      </c>
      <c r="D3108">
        <f t="shared" si="639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40"/>
        <v>0</v>
      </c>
      <c r="G3108">
        <f t="shared" si="641"/>
        <v>0</v>
      </c>
      <c r="H3108">
        <f t="shared" si="642"/>
        <v>0</v>
      </c>
      <c r="I3108">
        <f t="shared" si="643"/>
        <v>0</v>
      </c>
      <c r="J3108">
        <f t="shared" si="644"/>
        <v>0</v>
      </c>
      <c r="K3108" s="4" t="e">
        <f t="shared" si="632"/>
        <v>#N/A</v>
      </c>
      <c r="L3108" t="e">
        <f t="shared" si="633"/>
        <v>#N/A</v>
      </c>
      <c r="M3108" s="4" t="e">
        <f t="shared" si="634"/>
        <v>#N/A</v>
      </c>
      <c r="N3108" s="4" t="e">
        <f t="shared" si="635"/>
        <v>#N/A</v>
      </c>
    </row>
    <row r="3109" spans="1:14">
      <c r="A3109">
        <f t="shared" si="636"/>
        <v>0</v>
      </c>
      <c r="B3109">
        <f t="shared" si="637"/>
        <v>0</v>
      </c>
      <c r="C3109">
        <f t="shared" si="638"/>
        <v>0</v>
      </c>
      <c r="D3109">
        <f t="shared" si="639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40"/>
        <v>0</v>
      </c>
      <c r="G3109">
        <f t="shared" si="641"/>
        <v>0</v>
      </c>
      <c r="H3109">
        <f t="shared" si="642"/>
        <v>0</v>
      </c>
      <c r="I3109">
        <f t="shared" si="643"/>
        <v>0</v>
      </c>
      <c r="J3109">
        <f t="shared" si="644"/>
        <v>0</v>
      </c>
      <c r="K3109" s="4" t="e">
        <f t="shared" si="632"/>
        <v>#N/A</v>
      </c>
      <c r="L3109" t="e">
        <f t="shared" si="633"/>
        <v>#N/A</v>
      </c>
      <c r="M3109" s="4" t="e">
        <f t="shared" si="634"/>
        <v>#N/A</v>
      </c>
      <c r="N3109" s="4" t="e">
        <f t="shared" si="635"/>
        <v>#N/A</v>
      </c>
    </row>
    <row r="3110" spans="1:14">
      <c r="A3110">
        <f t="shared" si="636"/>
        <v>0</v>
      </c>
      <c r="B3110">
        <f t="shared" si="637"/>
        <v>0</v>
      </c>
      <c r="C3110">
        <f t="shared" si="638"/>
        <v>0</v>
      </c>
      <c r="D3110">
        <f t="shared" si="639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40"/>
        <v>0</v>
      </c>
      <c r="G3110">
        <f t="shared" si="641"/>
        <v>0</v>
      </c>
      <c r="H3110">
        <f t="shared" si="642"/>
        <v>0</v>
      </c>
      <c r="I3110">
        <f t="shared" si="643"/>
        <v>0</v>
      </c>
      <c r="J3110">
        <f t="shared" si="644"/>
        <v>0</v>
      </c>
      <c r="K3110" s="4" t="e">
        <f t="shared" si="632"/>
        <v>#N/A</v>
      </c>
      <c r="L3110" t="e">
        <f t="shared" si="633"/>
        <v>#N/A</v>
      </c>
      <c r="M3110" s="4" t="e">
        <f t="shared" si="634"/>
        <v>#N/A</v>
      </c>
      <c r="N3110" s="4" t="e">
        <f t="shared" si="635"/>
        <v>#N/A</v>
      </c>
    </row>
    <row r="3111" spans="1:14">
      <c r="A3111">
        <f t="shared" si="636"/>
        <v>0</v>
      </c>
      <c r="B3111">
        <f t="shared" si="637"/>
        <v>0</v>
      </c>
      <c r="C3111">
        <f t="shared" si="638"/>
        <v>0</v>
      </c>
      <c r="D3111">
        <f t="shared" si="639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40"/>
        <v>0</v>
      </c>
      <c r="G3111">
        <f t="shared" si="641"/>
        <v>0</v>
      </c>
      <c r="H3111">
        <f t="shared" si="642"/>
        <v>0</v>
      </c>
      <c r="I3111">
        <f t="shared" si="643"/>
        <v>0</v>
      </c>
      <c r="J3111">
        <f t="shared" si="644"/>
        <v>0</v>
      </c>
      <c r="K3111" s="4" t="e">
        <f t="shared" si="632"/>
        <v>#N/A</v>
      </c>
      <c r="L3111" t="e">
        <f t="shared" si="633"/>
        <v>#N/A</v>
      </c>
      <c r="M3111" s="4" t="e">
        <f t="shared" si="634"/>
        <v>#N/A</v>
      </c>
      <c r="N3111" s="4" t="e">
        <f t="shared" si="635"/>
        <v>#N/A</v>
      </c>
    </row>
    <row r="3112" spans="1:14">
      <c r="A3112">
        <f t="shared" si="636"/>
        <v>0</v>
      </c>
      <c r="B3112">
        <f t="shared" si="637"/>
        <v>0</v>
      </c>
      <c r="C3112">
        <f t="shared" si="638"/>
        <v>0</v>
      </c>
      <c r="D3112">
        <f t="shared" si="639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40"/>
        <v>0</v>
      </c>
      <c r="G3112">
        <f t="shared" si="641"/>
        <v>0</v>
      </c>
      <c r="H3112">
        <f t="shared" si="642"/>
        <v>0</v>
      </c>
      <c r="I3112">
        <f t="shared" si="643"/>
        <v>0</v>
      </c>
      <c r="J3112">
        <f t="shared" si="644"/>
        <v>0</v>
      </c>
      <c r="K3112" s="4" t="e">
        <f t="shared" si="632"/>
        <v>#N/A</v>
      </c>
      <c r="L3112" t="e">
        <f t="shared" si="633"/>
        <v>#N/A</v>
      </c>
      <c r="M3112" s="4" t="e">
        <f t="shared" si="634"/>
        <v>#N/A</v>
      </c>
      <c r="N3112" s="4" t="e">
        <f t="shared" si="635"/>
        <v>#N/A</v>
      </c>
    </row>
    <row r="3113" spans="1:14">
      <c r="A3113">
        <f t="shared" si="636"/>
        <v>0</v>
      </c>
      <c r="B3113">
        <f t="shared" si="637"/>
        <v>0</v>
      </c>
      <c r="C3113">
        <f t="shared" si="638"/>
        <v>0</v>
      </c>
      <c r="D3113">
        <f t="shared" si="639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40"/>
        <v>0</v>
      </c>
      <c r="G3113">
        <f t="shared" si="641"/>
        <v>0</v>
      </c>
      <c r="H3113">
        <f t="shared" si="642"/>
        <v>0</v>
      </c>
      <c r="I3113">
        <f t="shared" si="643"/>
        <v>0</v>
      </c>
      <c r="J3113">
        <f t="shared" si="644"/>
        <v>0</v>
      </c>
      <c r="K3113" s="4" t="e">
        <f t="shared" si="632"/>
        <v>#N/A</v>
      </c>
      <c r="L3113" t="e">
        <f t="shared" si="633"/>
        <v>#N/A</v>
      </c>
      <c r="M3113" s="4" t="e">
        <f t="shared" si="634"/>
        <v>#N/A</v>
      </c>
      <c r="N3113" s="4" t="e">
        <f t="shared" si="635"/>
        <v>#N/A</v>
      </c>
    </row>
    <row r="3114" spans="1:14">
      <c r="A3114">
        <f t="shared" si="636"/>
        <v>0</v>
      </c>
      <c r="B3114">
        <f t="shared" si="637"/>
        <v>0</v>
      </c>
      <c r="C3114">
        <f t="shared" si="638"/>
        <v>0</v>
      </c>
      <c r="D3114">
        <f t="shared" si="639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40"/>
        <v>0</v>
      </c>
      <c r="G3114">
        <f t="shared" si="641"/>
        <v>0</v>
      </c>
      <c r="H3114">
        <f t="shared" si="642"/>
        <v>0</v>
      </c>
      <c r="I3114">
        <f t="shared" si="643"/>
        <v>0</v>
      </c>
      <c r="J3114">
        <f t="shared" si="644"/>
        <v>0</v>
      </c>
      <c r="K3114" s="4" t="e">
        <f t="shared" si="632"/>
        <v>#N/A</v>
      </c>
      <c r="L3114" t="e">
        <f t="shared" si="633"/>
        <v>#N/A</v>
      </c>
      <c r="M3114" s="4" t="e">
        <f t="shared" si="634"/>
        <v>#N/A</v>
      </c>
      <c r="N3114" s="4" t="e">
        <f t="shared" si="635"/>
        <v>#N/A</v>
      </c>
    </row>
    <row r="3115" spans="1:14">
      <c r="A3115">
        <f t="shared" si="636"/>
        <v>0</v>
      </c>
      <c r="B3115">
        <f t="shared" si="637"/>
        <v>0</v>
      </c>
      <c r="C3115">
        <f t="shared" si="638"/>
        <v>0</v>
      </c>
      <c r="D3115">
        <f t="shared" si="639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40"/>
        <v>0</v>
      </c>
      <c r="G3115">
        <f t="shared" si="641"/>
        <v>0</v>
      </c>
      <c r="H3115">
        <f t="shared" si="642"/>
        <v>0</v>
      </c>
      <c r="I3115">
        <f t="shared" si="643"/>
        <v>0</v>
      </c>
      <c r="J3115">
        <f t="shared" si="644"/>
        <v>0</v>
      </c>
      <c r="K3115" s="4" t="e">
        <f t="shared" si="632"/>
        <v>#N/A</v>
      </c>
      <c r="L3115" t="e">
        <f t="shared" si="633"/>
        <v>#N/A</v>
      </c>
      <c r="M3115" s="4" t="e">
        <f t="shared" si="634"/>
        <v>#N/A</v>
      </c>
      <c r="N3115" s="4" t="e">
        <f t="shared" si="635"/>
        <v>#N/A</v>
      </c>
    </row>
    <row r="3116" spans="1:14">
      <c r="A3116">
        <f t="shared" si="636"/>
        <v>0</v>
      </c>
      <c r="B3116">
        <f t="shared" si="637"/>
        <v>0</v>
      </c>
      <c r="C3116">
        <f t="shared" si="638"/>
        <v>0</v>
      </c>
      <c r="D3116">
        <f t="shared" si="639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40"/>
        <v>0</v>
      </c>
      <c r="G3116">
        <f t="shared" si="641"/>
        <v>0</v>
      </c>
      <c r="H3116">
        <f t="shared" si="642"/>
        <v>0</v>
      </c>
      <c r="I3116">
        <f t="shared" si="643"/>
        <v>0</v>
      </c>
      <c r="J3116">
        <f t="shared" si="644"/>
        <v>0</v>
      </c>
      <c r="K3116" s="4" t="e">
        <f t="shared" si="632"/>
        <v>#N/A</v>
      </c>
      <c r="L3116" t="e">
        <f t="shared" si="633"/>
        <v>#N/A</v>
      </c>
      <c r="M3116" s="4" t="e">
        <f t="shared" si="634"/>
        <v>#N/A</v>
      </c>
      <c r="N3116" s="4" t="e">
        <f t="shared" si="635"/>
        <v>#N/A</v>
      </c>
    </row>
    <row r="3117" spans="1:14">
      <c r="A3117">
        <f t="shared" si="636"/>
        <v>0</v>
      </c>
      <c r="B3117">
        <f t="shared" si="637"/>
        <v>0</v>
      </c>
      <c r="C3117">
        <f t="shared" si="638"/>
        <v>0</v>
      </c>
      <c r="D3117">
        <f t="shared" si="639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40"/>
        <v>0</v>
      </c>
      <c r="G3117">
        <f t="shared" si="641"/>
        <v>0</v>
      </c>
      <c r="H3117">
        <f t="shared" si="642"/>
        <v>0</v>
      </c>
      <c r="I3117">
        <f t="shared" si="643"/>
        <v>0</v>
      </c>
      <c r="J3117">
        <f t="shared" si="644"/>
        <v>0</v>
      </c>
      <c r="K3117" s="4" t="e">
        <f t="shared" si="632"/>
        <v>#N/A</v>
      </c>
      <c r="L3117" t="e">
        <f t="shared" si="633"/>
        <v>#N/A</v>
      </c>
      <c r="M3117" s="4" t="e">
        <f t="shared" si="634"/>
        <v>#N/A</v>
      </c>
      <c r="N3117" s="4" t="e">
        <f t="shared" si="635"/>
        <v>#N/A</v>
      </c>
    </row>
    <row r="3118" spans="1:14">
      <c r="A3118">
        <f t="shared" si="636"/>
        <v>0</v>
      </c>
      <c r="B3118">
        <f t="shared" si="637"/>
        <v>0</v>
      </c>
      <c r="C3118">
        <f t="shared" si="638"/>
        <v>0</v>
      </c>
      <c r="D3118">
        <f t="shared" si="639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40"/>
        <v>0</v>
      </c>
      <c r="G3118">
        <f t="shared" si="641"/>
        <v>0</v>
      </c>
      <c r="H3118">
        <f t="shared" si="642"/>
        <v>0</v>
      </c>
      <c r="I3118">
        <f t="shared" si="643"/>
        <v>0</v>
      </c>
      <c r="J3118">
        <f t="shared" si="644"/>
        <v>0</v>
      </c>
      <c r="K3118" s="4" t="e">
        <f t="shared" si="632"/>
        <v>#N/A</v>
      </c>
      <c r="L3118" t="e">
        <f t="shared" si="633"/>
        <v>#N/A</v>
      </c>
      <c r="M3118" s="4" t="e">
        <f t="shared" si="634"/>
        <v>#N/A</v>
      </c>
      <c r="N3118" s="4" t="e">
        <f t="shared" si="635"/>
        <v>#N/A</v>
      </c>
    </row>
    <row r="3119" spans="1:14">
      <c r="A3119">
        <f t="shared" si="636"/>
        <v>0</v>
      </c>
      <c r="B3119">
        <f t="shared" si="637"/>
        <v>0</v>
      </c>
      <c r="C3119">
        <f t="shared" si="638"/>
        <v>0</v>
      </c>
      <c r="D3119">
        <f t="shared" si="639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40"/>
        <v>0</v>
      </c>
      <c r="G3119">
        <f t="shared" si="641"/>
        <v>0</v>
      </c>
      <c r="H3119">
        <f t="shared" si="642"/>
        <v>0</v>
      </c>
      <c r="I3119">
        <f t="shared" si="643"/>
        <v>0</v>
      </c>
      <c r="J3119">
        <f t="shared" si="644"/>
        <v>0</v>
      </c>
      <c r="K3119" s="4" t="e">
        <f t="shared" si="632"/>
        <v>#N/A</v>
      </c>
      <c r="L3119" t="e">
        <f t="shared" si="633"/>
        <v>#N/A</v>
      </c>
      <c r="M3119" s="4" t="e">
        <f t="shared" si="634"/>
        <v>#N/A</v>
      </c>
      <c r="N3119" s="4" t="e">
        <f t="shared" si="635"/>
        <v>#N/A</v>
      </c>
    </row>
    <row r="3120" spans="1:14">
      <c r="A3120">
        <f t="shared" si="636"/>
        <v>0</v>
      </c>
      <c r="B3120">
        <f t="shared" si="637"/>
        <v>0</v>
      </c>
      <c r="C3120">
        <f t="shared" si="638"/>
        <v>0</v>
      </c>
      <c r="D3120">
        <f t="shared" si="639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40"/>
        <v>0</v>
      </c>
      <c r="G3120">
        <f t="shared" si="641"/>
        <v>0</v>
      </c>
      <c r="H3120">
        <f t="shared" si="642"/>
        <v>0</v>
      </c>
      <c r="I3120">
        <f t="shared" si="643"/>
        <v>0</v>
      </c>
      <c r="J3120">
        <f t="shared" si="644"/>
        <v>0</v>
      </c>
      <c r="K3120" s="4" t="e">
        <f t="shared" si="632"/>
        <v>#N/A</v>
      </c>
      <c r="L3120" t="e">
        <f t="shared" si="633"/>
        <v>#N/A</v>
      </c>
      <c r="M3120" s="4" t="e">
        <f t="shared" si="634"/>
        <v>#N/A</v>
      </c>
      <c r="N3120" s="4" t="e">
        <f t="shared" si="635"/>
        <v>#N/A</v>
      </c>
    </row>
    <row r="3121" spans="1:14">
      <c r="A3121">
        <f t="shared" si="636"/>
        <v>0</v>
      </c>
      <c r="B3121">
        <f t="shared" si="637"/>
        <v>0</v>
      </c>
      <c r="C3121">
        <f t="shared" si="638"/>
        <v>0</v>
      </c>
      <c r="D3121">
        <f t="shared" si="639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40"/>
        <v>0</v>
      </c>
      <c r="G3121">
        <f t="shared" si="641"/>
        <v>0</v>
      </c>
      <c r="H3121">
        <f t="shared" si="642"/>
        <v>0</v>
      </c>
      <c r="I3121">
        <f t="shared" si="643"/>
        <v>0</v>
      </c>
      <c r="J3121">
        <f t="shared" si="644"/>
        <v>0</v>
      </c>
      <c r="K3121" s="4" t="e">
        <f t="shared" si="632"/>
        <v>#N/A</v>
      </c>
      <c r="L3121" t="e">
        <f t="shared" si="633"/>
        <v>#N/A</v>
      </c>
      <c r="M3121" s="4" t="e">
        <f t="shared" si="634"/>
        <v>#N/A</v>
      </c>
      <c r="N3121" s="4" t="e">
        <f t="shared" si="635"/>
        <v>#N/A</v>
      </c>
    </row>
    <row r="3122" spans="1:14">
      <c r="A3122">
        <f t="shared" si="636"/>
        <v>0</v>
      </c>
      <c r="B3122">
        <f t="shared" si="637"/>
        <v>0</v>
      </c>
      <c r="C3122">
        <f t="shared" si="638"/>
        <v>0</v>
      </c>
      <c r="D3122">
        <f t="shared" si="639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40"/>
        <v>0</v>
      </c>
      <c r="G3122">
        <f t="shared" si="641"/>
        <v>0</v>
      </c>
      <c r="H3122">
        <f t="shared" si="642"/>
        <v>0</v>
      </c>
      <c r="I3122">
        <f t="shared" si="643"/>
        <v>0</v>
      </c>
      <c r="J3122">
        <f t="shared" si="644"/>
        <v>0</v>
      </c>
      <c r="K3122" s="4" t="e">
        <f t="shared" si="632"/>
        <v>#N/A</v>
      </c>
      <c r="L3122" t="e">
        <f t="shared" si="633"/>
        <v>#N/A</v>
      </c>
      <c r="M3122" s="4" t="e">
        <f t="shared" si="634"/>
        <v>#N/A</v>
      </c>
      <c r="N3122" s="4" t="e">
        <f t="shared" si="635"/>
        <v>#N/A</v>
      </c>
    </row>
    <row r="3123" spans="1:14">
      <c r="A3123">
        <f t="shared" si="636"/>
        <v>0</v>
      </c>
      <c r="B3123">
        <f t="shared" si="637"/>
        <v>0</v>
      </c>
      <c r="C3123">
        <f t="shared" si="638"/>
        <v>0</v>
      </c>
      <c r="D3123">
        <f t="shared" si="639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40"/>
        <v>0</v>
      </c>
      <c r="G3123">
        <f t="shared" si="641"/>
        <v>0</v>
      </c>
      <c r="H3123">
        <f t="shared" si="642"/>
        <v>0</v>
      </c>
      <c r="I3123">
        <f t="shared" si="643"/>
        <v>0</v>
      </c>
      <c r="J3123">
        <f t="shared" si="644"/>
        <v>0</v>
      </c>
      <c r="K3123" s="4" t="e">
        <f t="shared" si="632"/>
        <v>#N/A</v>
      </c>
      <c r="L3123" t="e">
        <f t="shared" si="633"/>
        <v>#N/A</v>
      </c>
      <c r="M3123" s="4" t="e">
        <f t="shared" si="634"/>
        <v>#N/A</v>
      </c>
      <c r="N3123" s="4" t="e">
        <f t="shared" si="635"/>
        <v>#N/A</v>
      </c>
    </row>
    <row r="3124" spans="1:14">
      <c r="A3124">
        <f t="shared" si="636"/>
        <v>0</v>
      </c>
      <c r="B3124">
        <f t="shared" si="637"/>
        <v>0</v>
      </c>
      <c r="C3124">
        <f t="shared" si="638"/>
        <v>0</v>
      </c>
      <c r="D3124">
        <f t="shared" si="639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40"/>
        <v>0</v>
      </c>
      <c r="G3124">
        <f t="shared" si="641"/>
        <v>0</v>
      </c>
      <c r="H3124">
        <f t="shared" si="642"/>
        <v>0</v>
      </c>
      <c r="I3124">
        <f t="shared" si="643"/>
        <v>0</v>
      </c>
      <c r="J3124">
        <f t="shared" si="644"/>
        <v>0</v>
      </c>
      <c r="K3124" s="4" t="e">
        <f t="shared" si="632"/>
        <v>#N/A</v>
      </c>
      <c r="L3124" t="e">
        <f t="shared" si="633"/>
        <v>#N/A</v>
      </c>
      <c r="M3124" s="4" t="e">
        <f t="shared" si="634"/>
        <v>#N/A</v>
      </c>
      <c r="N3124" s="4" t="e">
        <f t="shared" si="635"/>
        <v>#N/A</v>
      </c>
    </row>
    <row r="3125" spans="1:14">
      <c r="A3125">
        <f t="shared" si="636"/>
        <v>0</v>
      </c>
      <c r="B3125">
        <f t="shared" si="637"/>
        <v>0</v>
      </c>
      <c r="C3125">
        <f t="shared" si="638"/>
        <v>0</v>
      </c>
      <c r="D3125">
        <f t="shared" si="639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40"/>
        <v>0</v>
      </c>
      <c r="G3125">
        <f t="shared" si="641"/>
        <v>0</v>
      </c>
      <c r="H3125">
        <f t="shared" si="642"/>
        <v>0</v>
      </c>
      <c r="I3125">
        <f t="shared" si="643"/>
        <v>0</v>
      </c>
      <c r="J3125">
        <f t="shared" si="644"/>
        <v>0</v>
      </c>
      <c r="K3125" s="4" t="e">
        <f t="shared" si="632"/>
        <v>#N/A</v>
      </c>
      <c r="L3125" t="e">
        <f t="shared" si="633"/>
        <v>#N/A</v>
      </c>
      <c r="M3125" s="4" t="e">
        <f t="shared" si="634"/>
        <v>#N/A</v>
      </c>
      <c r="N3125" s="4" t="e">
        <f t="shared" si="635"/>
        <v>#N/A</v>
      </c>
    </row>
    <row r="3126" spans="1:14">
      <c r="A3126">
        <f t="shared" si="636"/>
        <v>0</v>
      </c>
      <c r="B3126">
        <f t="shared" si="637"/>
        <v>0</v>
      </c>
      <c r="C3126">
        <f t="shared" si="638"/>
        <v>0</v>
      </c>
      <c r="D3126">
        <f t="shared" si="639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40"/>
        <v>0</v>
      </c>
      <c r="G3126">
        <f t="shared" si="641"/>
        <v>0</v>
      </c>
      <c r="H3126">
        <f t="shared" si="642"/>
        <v>0</v>
      </c>
      <c r="I3126">
        <f t="shared" si="643"/>
        <v>0</v>
      </c>
      <c r="J3126">
        <f t="shared" si="644"/>
        <v>0</v>
      </c>
      <c r="K3126" s="4" t="e">
        <f t="shared" si="632"/>
        <v>#N/A</v>
      </c>
      <c r="L3126" t="e">
        <f t="shared" si="633"/>
        <v>#N/A</v>
      </c>
      <c r="M3126" s="4" t="e">
        <f t="shared" si="634"/>
        <v>#N/A</v>
      </c>
      <c r="N3126" s="4" t="e">
        <f t="shared" si="635"/>
        <v>#N/A</v>
      </c>
    </row>
    <row r="3127" spans="1:14">
      <c r="A3127">
        <f t="shared" si="636"/>
        <v>0</v>
      </c>
      <c r="B3127">
        <f t="shared" si="637"/>
        <v>0</v>
      </c>
      <c r="C3127">
        <f t="shared" si="638"/>
        <v>0</v>
      </c>
      <c r="D3127">
        <f t="shared" si="639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40"/>
        <v>0</v>
      </c>
      <c r="G3127">
        <f t="shared" si="641"/>
        <v>0</v>
      </c>
      <c r="H3127">
        <f t="shared" si="642"/>
        <v>0</v>
      </c>
      <c r="I3127">
        <f t="shared" si="643"/>
        <v>0</v>
      </c>
      <c r="J3127">
        <f t="shared" si="644"/>
        <v>0</v>
      </c>
      <c r="K3127" s="4" t="e">
        <f t="shared" si="632"/>
        <v>#N/A</v>
      </c>
      <c r="L3127" t="e">
        <f t="shared" si="633"/>
        <v>#N/A</v>
      </c>
      <c r="M3127" s="4" t="e">
        <f t="shared" si="634"/>
        <v>#N/A</v>
      </c>
      <c r="N3127" s="4" t="e">
        <f t="shared" si="635"/>
        <v>#N/A</v>
      </c>
    </row>
    <row r="3128" spans="1:14">
      <c r="A3128">
        <f t="shared" si="636"/>
        <v>0</v>
      </c>
      <c r="B3128">
        <f t="shared" si="637"/>
        <v>0</v>
      </c>
      <c r="C3128">
        <f t="shared" si="638"/>
        <v>0</v>
      </c>
      <c r="D3128">
        <f t="shared" si="639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40"/>
        <v>0</v>
      </c>
      <c r="G3128">
        <f t="shared" si="641"/>
        <v>0</v>
      </c>
      <c r="H3128">
        <f t="shared" si="642"/>
        <v>0</v>
      </c>
      <c r="I3128">
        <f t="shared" si="643"/>
        <v>0</v>
      </c>
      <c r="J3128">
        <f t="shared" si="644"/>
        <v>0</v>
      </c>
      <c r="K3128" s="4" t="e">
        <f t="shared" si="632"/>
        <v>#N/A</v>
      </c>
      <c r="L3128" t="e">
        <f t="shared" si="633"/>
        <v>#N/A</v>
      </c>
      <c r="M3128" s="4" t="e">
        <f t="shared" si="634"/>
        <v>#N/A</v>
      </c>
      <c r="N3128" s="4" t="e">
        <f t="shared" si="635"/>
        <v>#N/A</v>
      </c>
    </row>
    <row r="3129" spans="1:14">
      <c r="A3129">
        <f t="shared" si="636"/>
        <v>0</v>
      </c>
      <c r="B3129">
        <f t="shared" si="637"/>
        <v>0</v>
      </c>
      <c r="C3129">
        <f t="shared" si="638"/>
        <v>0</v>
      </c>
      <c r="D3129">
        <f t="shared" si="639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40"/>
        <v>0</v>
      </c>
      <c r="G3129">
        <f t="shared" si="641"/>
        <v>0</v>
      </c>
      <c r="H3129">
        <f t="shared" si="642"/>
        <v>0</v>
      </c>
      <c r="I3129">
        <f t="shared" si="643"/>
        <v>0</v>
      </c>
      <c r="J3129">
        <f t="shared" si="644"/>
        <v>0</v>
      </c>
      <c r="K3129" s="4" t="e">
        <f t="shared" si="632"/>
        <v>#N/A</v>
      </c>
      <c r="L3129" t="e">
        <f t="shared" si="633"/>
        <v>#N/A</v>
      </c>
      <c r="M3129" s="4" t="e">
        <f t="shared" si="634"/>
        <v>#N/A</v>
      </c>
      <c r="N3129" s="4" t="e">
        <f t="shared" si="635"/>
        <v>#N/A</v>
      </c>
    </row>
    <row r="3130" spans="1:14">
      <c r="A3130">
        <f t="shared" si="636"/>
        <v>0</v>
      </c>
      <c r="B3130">
        <f t="shared" si="637"/>
        <v>0</v>
      </c>
      <c r="C3130">
        <f t="shared" si="638"/>
        <v>0</v>
      </c>
      <c r="D3130">
        <f t="shared" si="639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40"/>
        <v>0</v>
      </c>
      <c r="G3130">
        <f t="shared" si="641"/>
        <v>0</v>
      </c>
      <c r="H3130">
        <f t="shared" si="642"/>
        <v>0</v>
      </c>
      <c r="I3130">
        <f t="shared" si="643"/>
        <v>0</v>
      </c>
      <c r="J3130">
        <f t="shared" si="644"/>
        <v>0</v>
      </c>
      <c r="K3130" s="4" t="e">
        <f t="shared" si="632"/>
        <v>#N/A</v>
      </c>
      <c r="L3130" t="e">
        <f t="shared" si="633"/>
        <v>#N/A</v>
      </c>
      <c r="M3130" s="4" t="e">
        <f t="shared" si="634"/>
        <v>#N/A</v>
      </c>
      <c r="N3130" s="4" t="e">
        <f t="shared" si="635"/>
        <v>#N/A</v>
      </c>
    </row>
    <row r="3131" spans="1:14">
      <c r="A3131">
        <f t="shared" si="636"/>
        <v>0</v>
      </c>
      <c r="B3131">
        <f t="shared" si="637"/>
        <v>0</v>
      </c>
      <c r="C3131">
        <f t="shared" si="638"/>
        <v>0</v>
      </c>
      <c r="D3131">
        <f t="shared" si="639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40"/>
        <v>0</v>
      </c>
      <c r="G3131">
        <f t="shared" si="641"/>
        <v>0</v>
      </c>
      <c r="H3131">
        <f t="shared" si="642"/>
        <v>0</v>
      </c>
      <c r="I3131">
        <f t="shared" si="643"/>
        <v>0</v>
      </c>
      <c r="J3131">
        <f t="shared" si="644"/>
        <v>0</v>
      </c>
      <c r="K3131" s="4" t="e">
        <f t="shared" si="632"/>
        <v>#N/A</v>
      </c>
      <c r="L3131" t="e">
        <f t="shared" si="633"/>
        <v>#N/A</v>
      </c>
      <c r="M3131" s="4" t="e">
        <f t="shared" si="634"/>
        <v>#N/A</v>
      </c>
      <c r="N3131" s="4" t="e">
        <f t="shared" si="635"/>
        <v>#N/A</v>
      </c>
    </row>
    <row r="3132" spans="1:14">
      <c r="A3132">
        <f t="shared" si="636"/>
        <v>0</v>
      </c>
      <c r="B3132">
        <f t="shared" si="637"/>
        <v>0</v>
      </c>
      <c r="C3132">
        <f t="shared" si="638"/>
        <v>0</v>
      </c>
      <c r="D3132">
        <f t="shared" si="639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40"/>
        <v>0</v>
      </c>
      <c r="G3132">
        <f t="shared" si="641"/>
        <v>0</v>
      </c>
      <c r="H3132">
        <f t="shared" si="642"/>
        <v>0</v>
      </c>
      <c r="I3132">
        <f t="shared" si="643"/>
        <v>0</v>
      </c>
      <c r="J3132">
        <f t="shared" si="644"/>
        <v>0</v>
      </c>
      <c r="K3132" s="4" t="e">
        <f t="shared" si="632"/>
        <v>#N/A</v>
      </c>
      <c r="L3132" t="e">
        <f t="shared" si="633"/>
        <v>#N/A</v>
      </c>
      <c r="M3132" s="4" t="e">
        <f t="shared" si="634"/>
        <v>#N/A</v>
      </c>
      <c r="N3132" s="4" t="e">
        <f t="shared" si="635"/>
        <v>#N/A</v>
      </c>
    </row>
    <row r="3133" spans="1:14">
      <c r="A3133">
        <f t="shared" si="636"/>
        <v>0</v>
      </c>
      <c r="B3133">
        <f t="shared" si="637"/>
        <v>0</v>
      </c>
      <c r="C3133">
        <f t="shared" si="638"/>
        <v>0</v>
      </c>
      <c r="D3133">
        <f t="shared" si="639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40"/>
        <v>0</v>
      </c>
      <c r="G3133">
        <f t="shared" si="641"/>
        <v>0</v>
      </c>
      <c r="H3133">
        <f t="shared" si="642"/>
        <v>0</v>
      </c>
      <c r="I3133">
        <f t="shared" si="643"/>
        <v>0</v>
      </c>
      <c r="J3133">
        <f t="shared" si="644"/>
        <v>0</v>
      </c>
      <c r="K3133" s="4" t="e">
        <f t="shared" ref="K3133:K3196" si="645">IF(LEFT(B3133,3)="DBM",0,VLOOKUP(E3133,tabela,2,FALSE))</f>
        <v>#N/A</v>
      </c>
      <c r="L3133" t="e">
        <f t="shared" ref="L3133:L3196" si="646">VLOOKUP(E3133,tabela,3,FALSE)</f>
        <v>#N/A</v>
      </c>
      <c r="M3133" s="4" t="e">
        <f t="shared" ref="M3133:M3196" si="647">IF(E3133="Dynamic Click",J3133*K3133,K3133*$I3133/1000)</f>
        <v>#N/A</v>
      </c>
      <c r="N3133" s="4" t="e">
        <f t="shared" ref="N3133:N3196" si="648">IF(E3133="Dynamic Click",J3133*L3133,L3133*$I3133/1000)</f>
        <v>#N/A</v>
      </c>
    </row>
    <row r="3134" spans="1:14">
      <c r="A3134">
        <f t="shared" si="636"/>
        <v>0</v>
      </c>
      <c r="B3134">
        <f t="shared" si="637"/>
        <v>0</v>
      </c>
      <c r="C3134">
        <f t="shared" si="638"/>
        <v>0</v>
      </c>
      <c r="D3134">
        <f t="shared" si="639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40"/>
        <v>0</v>
      </c>
      <c r="G3134">
        <f t="shared" si="641"/>
        <v>0</v>
      </c>
      <c r="H3134">
        <f t="shared" si="642"/>
        <v>0</v>
      </c>
      <c r="I3134">
        <f t="shared" si="643"/>
        <v>0</v>
      </c>
      <c r="J3134">
        <f t="shared" si="644"/>
        <v>0</v>
      </c>
      <c r="K3134" s="4" t="e">
        <f t="shared" si="645"/>
        <v>#N/A</v>
      </c>
      <c r="L3134" t="e">
        <f t="shared" si="646"/>
        <v>#N/A</v>
      </c>
      <c r="M3134" s="4" t="e">
        <f t="shared" si="647"/>
        <v>#N/A</v>
      </c>
      <c r="N3134" s="4" t="e">
        <f t="shared" si="648"/>
        <v>#N/A</v>
      </c>
    </row>
    <row r="3135" spans="1:14">
      <c r="A3135">
        <f t="shared" si="636"/>
        <v>0</v>
      </c>
      <c r="B3135">
        <f t="shared" si="637"/>
        <v>0</v>
      </c>
      <c r="C3135">
        <f t="shared" si="638"/>
        <v>0</v>
      </c>
      <c r="D3135">
        <f t="shared" si="639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40"/>
        <v>0</v>
      </c>
      <c r="G3135">
        <f t="shared" si="641"/>
        <v>0</v>
      </c>
      <c r="H3135">
        <f t="shared" si="642"/>
        <v>0</v>
      </c>
      <c r="I3135">
        <f t="shared" si="643"/>
        <v>0</v>
      </c>
      <c r="J3135">
        <f t="shared" si="644"/>
        <v>0</v>
      </c>
      <c r="K3135" s="4" t="e">
        <f t="shared" si="645"/>
        <v>#N/A</v>
      </c>
      <c r="L3135" t="e">
        <f t="shared" si="646"/>
        <v>#N/A</v>
      </c>
      <c r="M3135" s="4" t="e">
        <f t="shared" si="647"/>
        <v>#N/A</v>
      </c>
      <c r="N3135" s="4" t="e">
        <f t="shared" si="648"/>
        <v>#N/A</v>
      </c>
    </row>
    <row r="3136" spans="1:14">
      <c r="A3136">
        <f t="shared" si="636"/>
        <v>0</v>
      </c>
      <c r="B3136">
        <f t="shared" si="637"/>
        <v>0</v>
      </c>
      <c r="C3136">
        <f t="shared" si="638"/>
        <v>0</v>
      </c>
      <c r="D3136">
        <f t="shared" si="639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40"/>
        <v>0</v>
      </c>
      <c r="G3136">
        <f t="shared" si="641"/>
        <v>0</v>
      </c>
      <c r="H3136">
        <f t="shared" si="642"/>
        <v>0</v>
      </c>
      <c r="I3136">
        <f t="shared" si="643"/>
        <v>0</v>
      </c>
      <c r="J3136">
        <f t="shared" si="644"/>
        <v>0</v>
      </c>
      <c r="K3136" s="4" t="e">
        <f t="shared" si="645"/>
        <v>#N/A</v>
      </c>
      <c r="L3136" t="e">
        <f t="shared" si="646"/>
        <v>#N/A</v>
      </c>
      <c r="M3136" s="4" t="e">
        <f t="shared" si="647"/>
        <v>#N/A</v>
      </c>
      <c r="N3136" s="4" t="e">
        <f t="shared" si="648"/>
        <v>#N/A</v>
      </c>
    </row>
    <row r="3137" spans="1:14">
      <c r="A3137">
        <f t="shared" si="636"/>
        <v>0</v>
      </c>
      <c r="B3137">
        <f t="shared" si="637"/>
        <v>0</v>
      </c>
      <c r="C3137">
        <f t="shared" si="638"/>
        <v>0</v>
      </c>
      <c r="D3137">
        <f t="shared" si="639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40"/>
        <v>0</v>
      </c>
      <c r="G3137">
        <f t="shared" si="641"/>
        <v>0</v>
      </c>
      <c r="H3137">
        <f t="shared" si="642"/>
        <v>0</v>
      </c>
      <c r="I3137">
        <f t="shared" si="643"/>
        <v>0</v>
      </c>
      <c r="J3137">
        <f t="shared" si="644"/>
        <v>0</v>
      </c>
      <c r="K3137" s="4" t="e">
        <f t="shared" si="645"/>
        <v>#N/A</v>
      </c>
      <c r="L3137" t="e">
        <f t="shared" si="646"/>
        <v>#N/A</v>
      </c>
      <c r="M3137" s="4" t="e">
        <f t="shared" si="647"/>
        <v>#N/A</v>
      </c>
      <c r="N3137" s="4" t="e">
        <f t="shared" si="648"/>
        <v>#N/A</v>
      </c>
    </row>
    <row r="3138" spans="1:14">
      <c r="A3138">
        <f t="shared" ref="A3138:A3201" si="649">bd_campaign</f>
        <v>0</v>
      </c>
      <c r="B3138">
        <f t="shared" ref="B3138:B3201" si="650">bd_site</f>
        <v>0</v>
      </c>
      <c r="C3138">
        <f t="shared" ref="C3138:C3201" si="651">bd_placement</f>
        <v>0</v>
      </c>
      <c r="D3138">
        <f t="shared" ref="D3138:D3201" si="652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3">bd_ad</f>
        <v>0</v>
      </c>
      <c r="G3138">
        <f t="shared" ref="G3138:G3201" si="654">bd_adid</f>
        <v>0</v>
      </c>
      <c r="H3138">
        <f t="shared" ref="H3138:H3201" si="655">bd_creativetype</f>
        <v>0</v>
      </c>
      <c r="I3138">
        <f t="shared" ref="I3138:I3201" si="656">bd_impression</f>
        <v>0</v>
      </c>
      <c r="J3138">
        <f t="shared" ref="J3138:J3201" si="657">bd_clicks</f>
        <v>0</v>
      </c>
      <c r="K3138" s="4" t="e">
        <f t="shared" si="645"/>
        <v>#N/A</v>
      </c>
      <c r="L3138" t="e">
        <f t="shared" si="646"/>
        <v>#N/A</v>
      </c>
      <c r="M3138" s="4" t="e">
        <f t="shared" si="647"/>
        <v>#N/A</v>
      </c>
      <c r="N3138" s="4" t="e">
        <f t="shared" si="648"/>
        <v>#N/A</v>
      </c>
    </row>
    <row r="3139" spans="1:14">
      <c r="A3139">
        <f t="shared" si="649"/>
        <v>0</v>
      </c>
      <c r="B3139">
        <f t="shared" si="650"/>
        <v>0</v>
      </c>
      <c r="C3139">
        <f t="shared" si="651"/>
        <v>0</v>
      </c>
      <c r="D3139">
        <f t="shared" si="652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3"/>
        <v>0</v>
      </c>
      <c r="G3139">
        <f t="shared" si="654"/>
        <v>0</v>
      </c>
      <c r="H3139">
        <f t="shared" si="655"/>
        <v>0</v>
      </c>
      <c r="I3139">
        <f t="shared" si="656"/>
        <v>0</v>
      </c>
      <c r="J3139">
        <f t="shared" si="657"/>
        <v>0</v>
      </c>
      <c r="K3139" s="4" t="e">
        <f t="shared" si="645"/>
        <v>#N/A</v>
      </c>
      <c r="L3139" t="e">
        <f t="shared" si="646"/>
        <v>#N/A</v>
      </c>
      <c r="M3139" s="4" t="e">
        <f t="shared" si="647"/>
        <v>#N/A</v>
      </c>
      <c r="N3139" s="4" t="e">
        <f t="shared" si="648"/>
        <v>#N/A</v>
      </c>
    </row>
    <row r="3140" spans="1:14">
      <c r="A3140">
        <f t="shared" si="649"/>
        <v>0</v>
      </c>
      <c r="B3140">
        <f t="shared" si="650"/>
        <v>0</v>
      </c>
      <c r="C3140">
        <f t="shared" si="651"/>
        <v>0</v>
      </c>
      <c r="D3140">
        <f t="shared" si="652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3"/>
        <v>0</v>
      </c>
      <c r="G3140">
        <f t="shared" si="654"/>
        <v>0</v>
      </c>
      <c r="H3140">
        <f t="shared" si="655"/>
        <v>0</v>
      </c>
      <c r="I3140">
        <f t="shared" si="656"/>
        <v>0</v>
      </c>
      <c r="J3140">
        <f t="shared" si="657"/>
        <v>0</v>
      </c>
      <c r="K3140" s="4" t="e">
        <f t="shared" si="645"/>
        <v>#N/A</v>
      </c>
      <c r="L3140" t="e">
        <f t="shared" si="646"/>
        <v>#N/A</v>
      </c>
      <c r="M3140" s="4" t="e">
        <f t="shared" si="647"/>
        <v>#N/A</v>
      </c>
      <c r="N3140" s="4" t="e">
        <f t="shared" si="648"/>
        <v>#N/A</v>
      </c>
    </row>
    <row r="3141" spans="1:14">
      <c r="A3141">
        <f t="shared" si="649"/>
        <v>0</v>
      </c>
      <c r="B3141">
        <f t="shared" si="650"/>
        <v>0</v>
      </c>
      <c r="C3141">
        <f t="shared" si="651"/>
        <v>0</v>
      </c>
      <c r="D3141">
        <f t="shared" si="652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3"/>
        <v>0</v>
      </c>
      <c r="G3141">
        <f t="shared" si="654"/>
        <v>0</v>
      </c>
      <c r="H3141">
        <f t="shared" si="655"/>
        <v>0</v>
      </c>
      <c r="I3141">
        <f t="shared" si="656"/>
        <v>0</v>
      </c>
      <c r="J3141">
        <f t="shared" si="657"/>
        <v>0</v>
      </c>
      <c r="K3141" s="4" t="e">
        <f t="shared" si="645"/>
        <v>#N/A</v>
      </c>
      <c r="L3141" t="e">
        <f t="shared" si="646"/>
        <v>#N/A</v>
      </c>
      <c r="M3141" s="4" t="e">
        <f t="shared" si="647"/>
        <v>#N/A</v>
      </c>
      <c r="N3141" s="4" t="e">
        <f t="shared" si="648"/>
        <v>#N/A</v>
      </c>
    </row>
    <row r="3142" spans="1:14">
      <c r="A3142">
        <f t="shared" si="649"/>
        <v>0</v>
      </c>
      <c r="B3142">
        <f t="shared" si="650"/>
        <v>0</v>
      </c>
      <c r="C3142">
        <f t="shared" si="651"/>
        <v>0</v>
      </c>
      <c r="D3142">
        <f t="shared" si="652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3"/>
        <v>0</v>
      </c>
      <c r="G3142">
        <f t="shared" si="654"/>
        <v>0</v>
      </c>
      <c r="H3142">
        <f t="shared" si="655"/>
        <v>0</v>
      </c>
      <c r="I3142">
        <f t="shared" si="656"/>
        <v>0</v>
      </c>
      <c r="J3142">
        <f t="shared" si="657"/>
        <v>0</v>
      </c>
      <c r="K3142" s="4" t="e">
        <f t="shared" si="645"/>
        <v>#N/A</v>
      </c>
      <c r="L3142" t="e">
        <f t="shared" si="646"/>
        <v>#N/A</v>
      </c>
      <c r="M3142" s="4" t="e">
        <f t="shared" si="647"/>
        <v>#N/A</v>
      </c>
      <c r="N3142" s="4" t="e">
        <f t="shared" si="648"/>
        <v>#N/A</v>
      </c>
    </row>
    <row r="3143" spans="1:14">
      <c r="A3143">
        <f t="shared" si="649"/>
        <v>0</v>
      </c>
      <c r="B3143">
        <f t="shared" si="650"/>
        <v>0</v>
      </c>
      <c r="C3143">
        <f t="shared" si="651"/>
        <v>0</v>
      </c>
      <c r="D3143">
        <f t="shared" si="652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3"/>
        <v>0</v>
      </c>
      <c r="G3143">
        <f t="shared" si="654"/>
        <v>0</v>
      </c>
      <c r="H3143">
        <f t="shared" si="655"/>
        <v>0</v>
      </c>
      <c r="I3143">
        <f t="shared" si="656"/>
        <v>0</v>
      </c>
      <c r="J3143">
        <f t="shared" si="657"/>
        <v>0</v>
      </c>
      <c r="K3143" s="4" t="e">
        <f t="shared" si="645"/>
        <v>#N/A</v>
      </c>
      <c r="L3143" t="e">
        <f t="shared" si="646"/>
        <v>#N/A</v>
      </c>
      <c r="M3143" s="4" t="e">
        <f t="shared" si="647"/>
        <v>#N/A</v>
      </c>
      <c r="N3143" s="4" t="e">
        <f t="shared" si="648"/>
        <v>#N/A</v>
      </c>
    </row>
    <row r="3144" spans="1:14">
      <c r="A3144">
        <f t="shared" si="649"/>
        <v>0</v>
      </c>
      <c r="B3144">
        <f t="shared" si="650"/>
        <v>0</v>
      </c>
      <c r="C3144">
        <f t="shared" si="651"/>
        <v>0</v>
      </c>
      <c r="D3144">
        <f t="shared" si="652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3"/>
        <v>0</v>
      </c>
      <c r="G3144">
        <f t="shared" si="654"/>
        <v>0</v>
      </c>
      <c r="H3144">
        <f t="shared" si="655"/>
        <v>0</v>
      </c>
      <c r="I3144">
        <f t="shared" si="656"/>
        <v>0</v>
      </c>
      <c r="J3144">
        <f t="shared" si="657"/>
        <v>0</v>
      </c>
      <c r="K3144" s="4" t="e">
        <f t="shared" si="645"/>
        <v>#N/A</v>
      </c>
      <c r="L3144" t="e">
        <f t="shared" si="646"/>
        <v>#N/A</v>
      </c>
      <c r="M3144" s="4" t="e">
        <f t="shared" si="647"/>
        <v>#N/A</v>
      </c>
      <c r="N3144" s="4" t="e">
        <f t="shared" si="648"/>
        <v>#N/A</v>
      </c>
    </row>
    <row r="3145" spans="1:14">
      <c r="A3145">
        <f t="shared" si="649"/>
        <v>0</v>
      </c>
      <c r="B3145">
        <f t="shared" si="650"/>
        <v>0</v>
      </c>
      <c r="C3145">
        <f t="shared" si="651"/>
        <v>0</v>
      </c>
      <c r="D3145">
        <f t="shared" si="652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3"/>
        <v>0</v>
      </c>
      <c r="G3145">
        <f t="shared" si="654"/>
        <v>0</v>
      </c>
      <c r="H3145">
        <f t="shared" si="655"/>
        <v>0</v>
      </c>
      <c r="I3145">
        <f t="shared" si="656"/>
        <v>0</v>
      </c>
      <c r="J3145">
        <f t="shared" si="657"/>
        <v>0</v>
      </c>
      <c r="K3145" s="4" t="e">
        <f t="shared" si="645"/>
        <v>#N/A</v>
      </c>
      <c r="L3145" t="e">
        <f t="shared" si="646"/>
        <v>#N/A</v>
      </c>
      <c r="M3145" s="4" t="e">
        <f t="shared" si="647"/>
        <v>#N/A</v>
      </c>
      <c r="N3145" s="4" t="e">
        <f t="shared" si="648"/>
        <v>#N/A</v>
      </c>
    </row>
    <row r="3146" spans="1:14">
      <c r="A3146">
        <f t="shared" si="649"/>
        <v>0</v>
      </c>
      <c r="B3146">
        <f t="shared" si="650"/>
        <v>0</v>
      </c>
      <c r="C3146">
        <f t="shared" si="651"/>
        <v>0</v>
      </c>
      <c r="D3146">
        <f t="shared" si="652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3"/>
        <v>0</v>
      </c>
      <c r="G3146">
        <f t="shared" si="654"/>
        <v>0</v>
      </c>
      <c r="H3146">
        <f t="shared" si="655"/>
        <v>0</v>
      </c>
      <c r="I3146">
        <f t="shared" si="656"/>
        <v>0</v>
      </c>
      <c r="J3146">
        <f t="shared" si="657"/>
        <v>0</v>
      </c>
      <c r="K3146" s="4" t="e">
        <f t="shared" si="645"/>
        <v>#N/A</v>
      </c>
      <c r="L3146" t="e">
        <f t="shared" si="646"/>
        <v>#N/A</v>
      </c>
      <c r="M3146" s="4" t="e">
        <f t="shared" si="647"/>
        <v>#N/A</v>
      </c>
      <c r="N3146" s="4" t="e">
        <f t="shared" si="648"/>
        <v>#N/A</v>
      </c>
    </row>
    <row r="3147" spans="1:14">
      <c r="A3147">
        <f t="shared" si="649"/>
        <v>0</v>
      </c>
      <c r="B3147">
        <f t="shared" si="650"/>
        <v>0</v>
      </c>
      <c r="C3147">
        <f t="shared" si="651"/>
        <v>0</v>
      </c>
      <c r="D3147">
        <f t="shared" si="652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3"/>
        <v>0</v>
      </c>
      <c r="G3147">
        <f t="shared" si="654"/>
        <v>0</v>
      </c>
      <c r="H3147">
        <f t="shared" si="655"/>
        <v>0</v>
      </c>
      <c r="I3147">
        <f t="shared" si="656"/>
        <v>0</v>
      </c>
      <c r="J3147">
        <f t="shared" si="657"/>
        <v>0</v>
      </c>
      <c r="K3147" s="4" t="e">
        <f t="shared" si="645"/>
        <v>#N/A</v>
      </c>
      <c r="L3147" t="e">
        <f t="shared" si="646"/>
        <v>#N/A</v>
      </c>
      <c r="M3147" s="4" t="e">
        <f t="shared" si="647"/>
        <v>#N/A</v>
      </c>
      <c r="N3147" s="4" t="e">
        <f t="shared" si="648"/>
        <v>#N/A</v>
      </c>
    </row>
    <row r="3148" spans="1:14">
      <c r="A3148">
        <f t="shared" si="649"/>
        <v>0</v>
      </c>
      <c r="B3148">
        <f t="shared" si="650"/>
        <v>0</v>
      </c>
      <c r="C3148">
        <f t="shared" si="651"/>
        <v>0</v>
      </c>
      <c r="D3148">
        <f t="shared" si="652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3"/>
        <v>0</v>
      </c>
      <c r="G3148">
        <f t="shared" si="654"/>
        <v>0</v>
      </c>
      <c r="H3148">
        <f t="shared" si="655"/>
        <v>0</v>
      </c>
      <c r="I3148">
        <f t="shared" si="656"/>
        <v>0</v>
      </c>
      <c r="J3148">
        <f t="shared" si="657"/>
        <v>0</v>
      </c>
      <c r="K3148" s="4" t="e">
        <f t="shared" si="645"/>
        <v>#N/A</v>
      </c>
      <c r="L3148" t="e">
        <f t="shared" si="646"/>
        <v>#N/A</v>
      </c>
      <c r="M3148" s="4" t="e">
        <f t="shared" si="647"/>
        <v>#N/A</v>
      </c>
      <c r="N3148" s="4" t="e">
        <f t="shared" si="648"/>
        <v>#N/A</v>
      </c>
    </row>
    <row r="3149" spans="1:14">
      <c r="A3149">
        <f t="shared" si="649"/>
        <v>0</v>
      </c>
      <c r="B3149">
        <f t="shared" si="650"/>
        <v>0</v>
      </c>
      <c r="C3149">
        <f t="shared" si="651"/>
        <v>0</v>
      </c>
      <c r="D3149">
        <f t="shared" si="652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3"/>
        <v>0</v>
      </c>
      <c r="G3149">
        <f t="shared" si="654"/>
        <v>0</v>
      </c>
      <c r="H3149">
        <f t="shared" si="655"/>
        <v>0</v>
      </c>
      <c r="I3149">
        <f t="shared" si="656"/>
        <v>0</v>
      </c>
      <c r="J3149">
        <f t="shared" si="657"/>
        <v>0</v>
      </c>
      <c r="K3149" s="4" t="e">
        <f t="shared" si="645"/>
        <v>#N/A</v>
      </c>
      <c r="L3149" t="e">
        <f t="shared" si="646"/>
        <v>#N/A</v>
      </c>
      <c r="M3149" s="4" t="e">
        <f t="shared" si="647"/>
        <v>#N/A</v>
      </c>
      <c r="N3149" s="4" t="e">
        <f t="shared" si="648"/>
        <v>#N/A</v>
      </c>
    </row>
    <row r="3150" spans="1:14">
      <c r="A3150">
        <f t="shared" si="649"/>
        <v>0</v>
      </c>
      <c r="B3150">
        <f t="shared" si="650"/>
        <v>0</v>
      </c>
      <c r="C3150">
        <f t="shared" si="651"/>
        <v>0</v>
      </c>
      <c r="D3150">
        <f t="shared" si="652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3"/>
        <v>0</v>
      </c>
      <c r="G3150">
        <f t="shared" si="654"/>
        <v>0</v>
      </c>
      <c r="H3150">
        <f t="shared" si="655"/>
        <v>0</v>
      </c>
      <c r="I3150">
        <f t="shared" si="656"/>
        <v>0</v>
      </c>
      <c r="J3150">
        <f t="shared" si="657"/>
        <v>0</v>
      </c>
      <c r="K3150" s="4" t="e">
        <f t="shared" si="645"/>
        <v>#N/A</v>
      </c>
      <c r="L3150" t="e">
        <f t="shared" si="646"/>
        <v>#N/A</v>
      </c>
      <c r="M3150" s="4" t="e">
        <f t="shared" si="647"/>
        <v>#N/A</v>
      </c>
      <c r="N3150" s="4" t="e">
        <f t="shared" si="648"/>
        <v>#N/A</v>
      </c>
    </row>
    <row r="3151" spans="1:14">
      <c r="A3151">
        <f t="shared" si="649"/>
        <v>0</v>
      </c>
      <c r="B3151">
        <f t="shared" si="650"/>
        <v>0</v>
      </c>
      <c r="C3151">
        <f t="shared" si="651"/>
        <v>0</v>
      </c>
      <c r="D3151">
        <f t="shared" si="652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3"/>
        <v>0</v>
      </c>
      <c r="G3151">
        <f t="shared" si="654"/>
        <v>0</v>
      </c>
      <c r="H3151">
        <f t="shared" si="655"/>
        <v>0</v>
      </c>
      <c r="I3151">
        <f t="shared" si="656"/>
        <v>0</v>
      </c>
      <c r="J3151">
        <f t="shared" si="657"/>
        <v>0</v>
      </c>
      <c r="K3151" s="4" t="e">
        <f t="shared" si="645"/>
        <v>#N/A</v>
      </c>
      <c r="L3151" t="e">
        <f t="shared" si="646"/>
        <v>#N/A</v>
      </c>
      <c r="M3151" s="4" t="e">
        <f t="shared" si="647"/>
        <v>#N/A</v>
      </c>
      <c r="N3151" s="4" t="e">
        <f t="shared" si="648"/>
        <v>#N/A</v>
      </c>
    </row>
    <row r="3152" spans="1:14">
      <c r="A3152">
        <f t="shared" si="649"/>
        <v>0</v>
      </c>
      <c r="B3152">
        <f t="shared" si="650"/>
        <v>0</v>
      </c>
      <c r="C3152">
        <f t="shared" si="651"/>
        <v>0</v>
      </c>
      <c r="D3152">
        <f t="shared" si="652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3"/>
        <v>0</v>
      </c>
      <c r="G3152">
        <f t="shared" si="654"/>
        <v>0</v>
      </c>
      <c r="H3152">
        <f t="shared" si="655"/>
        <v>0</v>
      </c>
      <c r="I3152">
        <f t="shared" si="656"/>
        <v>0</v>
      </c>
      <c r="J3152">
        <f t="shared" si="657"/>
        <v>0</v>
      </c>
      <c r="K3152" s="4" t="e">
        <f t="shared" si="645"/>
        <v>#N/A</v>
      </c>
      <c r="L3152" t="e">
        <f t="shared" si="646"/>
        <v>#N/A</v>
      </c>
      <c r="M3152" s="4" t="e">
        <f t="shared" si="647"/>
        <v>#N/A</v>
      </c>
      <c r="N3152" s="4" t="e">
        <f t="shared" si="648"/>
        <v>#N/A</v>
      </c>
    </row>
    <row r="3153" spans="1:14">
      <c r="A3153">
        <f t="shared" si="649"/>
        <v>0</v>
      </c>
      <c r="B3153">
        <f t="shared" si="650"/>
        <v>0</v>
      </c>
      <c r="C3153">
        <f t="shared" si="651"/>
        <v>0</v>
      </c>
      <c r="D3153">
        <f t="shared" si="652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3"/>
        <v>0</v>
      </c>
      <c r="G3153">
        <f t="shared" si="654"/>
        <v>0</v>
      </c>
      <c r="H3153">
        <f t="shared" si="655"/>
        <v>0</v>
      </c>
      <c r="I3153">
        <f t="shared" si="656"/>
        <v>0</v>
      </c>
      <c r="J3153">
        <f t="shared" si="657"/>
        <v>0</v>
      </c>
      <c r="K3153" s="4" t="e">
        <f t="shared" si="645"/>
        <v>#N/A</v>
      </c>
      <c r="L3153" t="e">
        <f t="shared" si="646"/>
        <v>#N/A</v>
      </c>
      <c r="M3153" s="4" t="e">
        <f t="shared" si="647"/>
        <v>#N/A</v>
      </c>
      <c r="N3153" s="4" t="e">
        <f t="shared" si="648"/>
        <v>#N/A</v>
      </c>
    </row>
    <row r="3154" spans="1:14">
      <c r="A3154">
        <f t="shared" si="649"/>
        <v>0</v>
      </c>
      <c r="B3154">
        <f t="shared" si="650"/>
        <v>0</v>
      </c>
      <c r="C3154">
        <f t="shared" si="651"/>
        <v>0</v>
      </c>
      <c r="D3154">
        <f t="shared" si="652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3"/>
        <v>0</v>
      </c>
      <c r="G3154">
        <f t="shared" si="654"/>
        <v>0</v>
      </c>
      <c r="H3154">
        <f t="shared" si="655"/>
        <v>0</v>
      </c>
      <c r="I3154">
        <f t="shared" si="656"/>
        <v>0</v>
      </c>
      <c r="J3154">
        <f t="shared" si="657"/>
        <v>0</v>
      </c>
      <c r="K3154" s="4" t="e">
        <f t="shared" si="645"/>
        <v>#N/A</v>
      </c>
      <c r="L3154" t="e">
        <f t="shared" si="646"/>
        <v>#N/A</v>
      </c>
      <c r="M3154" s="4" t="e">
        <f t="shared" si="647"/>
        <v>#N/A</v>
      </c>
      <c r="N3154" s="4" t="e">
        <f t="shared" si="648"/>
        <v>#N/A</v>
      </c>
    </row>
    <row r="3155" spans="1:14">
      <c r="A3155">
        <f t="shared" si="649"/>
        <v>0</v>
      </c>
      <c r="B3155">
        <f t="shared" si="650"/>
        <v>0</v>
      </c>
      <c r="C3155">
        <f t="shared" si="651"/>
        <v>0</v>
      </c>
      <c r="D3155">
        <f t="shared" si="652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3"/>
        <v>0</v>
      </c>
      <c r="G3155">
        <f t="shared" si="654"/>
        <v>0</v>
      </c>
      <c r="H3155">
        <f t="shared" si="655"/>
        <v>0</v>
      </c>
      <c r="I3155">
        <f t="shared" si="656"/>
        <v>0</v>
      </c>
      <c r="J3155">
        <f t="shared" si="657"/>
        <v>0</v>
      </c>
      <c r="K3155" s="4" t="e">
        <f t="shared" si="645"/>
        <v>#N/A</v>
      </c>
      <c r="L3155" t="e">
        <f t="shared" si="646"/>
        <v>#N/A</v>
      </c>
      <c r="M3155" s="4" t="e">
        <f t="shared" si="647"/>
        <v>#N/A</v>
      </c>
      <c r="N3155" s="4" t="e">
        <f t="shared" si="648"/>
        <v>#N/A</v>
      </c>
    </row>
    <row r="3156" spans="1:14">
      <c r="A3156">
        <f t="shared" si="649"/>
        <v>0</v>
      </c>
      <c r="B3156">
        <f t="shared" si="650"/>
        <v>0</v>
      </c>
      <c r="C3156">
        <f t="shared" si="651"/>
        <v>0</v>
      </c>
      <c r="D3156">
        <f t="shared" si="652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3"/>
        <v>0</v>
      </c>
      <c r="G3156">
        <f t="shared" si="654"/>
        <v>0</v>
      </c>
      <c r="H3156">
        <f t="shared" si="655"/>
        <v>0</v>
      </c>
      <c r="I3156">
        <f t="shared" si="656"/>
        <v>0</v>
      </c>
      <c r="J3156">
        <f t="shared" si="657"/>
        <v>0</v>
      </c>
      <c r="K3156" s="4" t="e">
        <f t="shared" si="645"/>
        <v>#N/A</v>
      </c>
      <c r="L3156" t="e">
        <f t="shared" si="646"/>
        <v>#N/A</v>
      </c>
      <c r="M3156" s="4" t="e">
        <f t="shared" si="647"/>
        <v>#N/A</v>
      </c>
      <c r="N3156" s="4" t="e">
        <f t="shared" si="648"/>
        <v>#N/A</v>
      </c>
    </row>
    <row r="3157" spans="1:14">
      <c r="A3157">
        <f t="shared" si="649"/>
        <v>0</v>
      </c>
      <c r="B3157">
        <f t="shared" si="650"/>
        <v>0</v>
      </c>
      <c r="C3157">
        <f t="shared" si="651"/>
        <v>0</v>
      </c>
      <c r="D3157">
        <f t="shared" si="652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3"/>
        <v>0</v>
      </c>
      <c r="G3157">
        <f t="shared" si="654"/>
        <v>0</v>
      </c>
      <c r="H3157">
        <f t="shared" si="655"/>
        <v>0</v>
      </c>
      <c r="I3157">
        <f t="shared" si="656"/>
        <v>0</v>
      </c>
      <c r="J3157">
        <f t="shared" si="657"/>
        <v>0</v>
      </c>
      <c r="K3157" s="4" t="e">
        <f t="shared" si="645"/>
        <v>#N/A</v>
      </c>
      <c r="L3157" t="e">
        <f t="shared" si="646"/>
        <v>#N/A</v>
      </c>
      <c r="M3157" s="4" t="e">
        <f t="shared" si="647"/>
        <v>#N/A</v>
      </c>
      <c r="N3157" s="4" t="e">
        <f t="shared" si="648"/>
        <v>#N/A</v>
      </c>
    </row>
    <row r="3158" spans="1:14">
      <c r="A3158">
        <f t="shared" si="649"/>
        <v>0</v>
      </c>
      <c r="B3158">
        <f t="shared" si="650"/>
        <v>0</v>
      </c>
      <c r="C3158">
        <f t="shared" si="651"/>
        <v>0</v>
      </c>
      <c r="D3158">
        <f t="shared" si="652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3"/>
        <v>0</v>
      </c>
      <c r="G3158">
        <f t="shared" si="654"/>
        <v>0</v>
      </c>
      <c r="H3158">
        <f t="shared" si="655"/>
        <v>0</v>
      </c>
      <c r="I3158">
        <f t="shared" si="656"/>
        <v>0</v>
      </c>
      <c r="J3158">
        <f t="shared" si="657"/>
        <v>0</v>
      </c>
      <c r="K3158" s="4" t="e">
        <f t="shared" si="645"/>
        <v>#N/A</v>
      </c>
      <c r="L3158" t="e">
        <f t="shared" si="646"/>
        <v>#N/A</v>
      </c>
      <c r="M3158" s="4" t="e">
        <f t="shared" si="647"/>
        <v>#N/A</v>
      </c>
      <c r="N3158" s="4" t="e">
        <f t="shared" si="648"/>
        <v>#N/A</v>
      </c>
    </row>
    <row r="3159" spans="1:14">
      <c r="A3159">
        <f t="shared" si="649"/>
        <v>0</v>
      </c>
      <c r="B3159">
        <f t="shared" si="650"/>
        <v>0</v>
      </c>
      <c r="C3159">
        <f t="shared" si="651"/>
        <v>0</v>
      </c>
      <c r="D3159">
        <f t="shared" si="652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3"/>
        <v>0</v>
      </c>
      <c r="G3159">
        <f t="shared" si="654"/>
        <v>0</v>
      </c>
      <c r="H3159">
        <f t="shared" si="655"/>
        <v>0</v>
      </c>
      <c r="I3159">
        <f t="shared" si="656"/>
        <v>0</v>
      </c>
      <c r="J3159">
        <f t="shared" si="657"/>
        <v>0</v>
      </c>
      <c r="K3159" s="4" t="e">
        <f t="shared" si="645"/>
        <v>#N/A</v>
      </c>
      <c r="L3159" t="e">
        <f t="shared" si="646"/>
        <v>#N/A</v>
      </c>
      <c r="M3159" s="4" t="e">
        <f t="shared" si="647"/>
        <v>#N/A</v>
      </c>
      <c r="N3159" s="4" t="e">
        <f t="shared" si="648"/>
        <v>#N/A</v>
      </c>
    </row>
    <row r="3160" spans="1:14">
      <c r="A3160">
        <f t="shared" si="649"/>
        <v>0</v>
      </c>
      <c r="B3160">
        <f t="shared" si="650"/>
        <v>0</v>
      </c>
      <c r="C3160">
        <f t="shared" si="651"/>
        <v>0</v>
      </c>
      <c r="D3160">
        <f t="shared" si="652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3"/>
        <v>0</v>
      </c>
      <c r="G3160">
        <f t="shared" si="654"/>
        <v>0</v>
      </c>
      <c r="H3160">
        <f t="shared" si="655"/>
        <v>0</v>
      </c>
      <c r="I3160">
        <f t="shared" si="656"/>
        <v>0</v>
      </c>
      <c r="J3160">
        <f t="shared" si="657"/>
        <v>0</v>
      </c>
      <c r="K3160" s="4" t="e">
        <f t="shared" si="645"/>
        <v>#N/A</v>
      </c>
      <c r="L3160" t="e">
        <f t="shared" si="646"/>
        <v>#N/A</v>
      </c>
      <c r="M3160" s="4" t="e">
        <f t="shared" si="647"/>
        <v>#N/A</v>
      </c>
      <c r="N3160" s="4" t="e">
        <f t="shared" si="648"/>
        <v>#N/A</v>
      </c>
    </row>
    <row r="3161" spans="1:14">
      <c r="A3161">
        <f t="shared" si="649"/>
        <v>0</v>
      </c>
      <c r="B3161">
        <f t="shared" si="650"/>
        <v>0</v>
      </c>
      <c r="C3161">
        <f t="shared" si="651"/>
        <v>0</v>
      </c>
      <c r="D3161">
        <f t="shared" si="652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3"/>
        <v>0</v>
      </c>
      <c r="G3161">
        <f t="shared" si="654"/>
        <v>0</v>
      </c>
      <c r="H3161">
        <f t="shared" si="655"/>
        <v>0</v>
      </c>
      <c r="I3161">
        <f t="shared" si="656"/>
        <v>0</v>
      </c>
      <c r="J3161">
        <f t="shared" si="657"/>
        <v>0</v>
      </c>
      <c r="K3161" s="4" t="e">
        <f t="shared" si="645"/>
        <v>#N/A</v>
      </c>
      <c r="L3161" t="e">
        <f t="shared" si="646"/>
        <v>#N/A</v>
      </c>
      <c r="M3161" s="4" t="e">
        <f t="shared" si="647"/>
        <v>#N/A</v>
      </c>
      <c r="N3161" s="4" t="e">
        <f t="shared" si="648"/>
        <v>#N/A</v>
      </c>
    </row>
    <row r="3162" spans="1:14">
      <c r="A3162">
        <f t="shared" si="649"/>
        <v>0</v>
      </c>
      <c r="B3162">
        <f t="shared" si="650"/>
        <v>0</v>
      </c>
      <c r="C3162">
        <f t="shared" si="651"/>
        <v>0</v>
      </c>
      <c r="D3162">
        <f t="shared" si="652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3"/>
        <v>0</v>
      </c>
      <c r="G3162">
        <f t="shared" si="654"/>
        <v>0</v>
      </c>
      <c r="H3162">
        <f t="shared" si="655"/>
        <v>0</v>
      </c>
      <c r="I3162">
        <f t="shared" si="656"/>
        <v>0</v>
      </c>
      <c r="J3162">
        <f t="shared" si="657"/>
        <v>0</v>
      </c>
      <c r="K3162" s="4" t="e">
        <f t="shared" si="645"/>
        <v>#N/A</v>
      </c>
      <c r="L3162" t="e">
        <f t="shared" si="646"/>
        <v>#N/A</v>
      </c>
      <c r="M3162" s="4" t="e">
        <f t="shared" si="647"/>
        <v>#N/A</v>
      </c>
      <c r="N3162" s="4" t="e">
        <f t="shared" si="648"/>
        <v>#N/A</v>
      </c>
    </row>
    <row r="3163" spans="1:14">
      <c r="A3163">
        <f t="shared" si="649"/>
        <v>0</v>
      </c>
      <c r="B3163">
        <f t="shared" si="650"/>
        <v>0</v>
      </c>
      <c r="C3163">
        <f t="shared" si="651"/>
        <v>0</v>
      </c>
      <c r="D3163">
        <f t="shared" si="652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3"/>
        <v>0</v>
      </c>
      <c r="G3163">
        <f t="shared" si="654"/>
        <v>0</v>
      </c>
      <c r="H3163">
        <f t="shared" si="655"/>
        <v>0</v>
      </c>
      <c r="I3163">
        <f t="shared" si="656"/>
        <v>0</v>
      </c>
      <c r="J3163">
        <f t="shared" si="657"/>
        <v>0</v>
      </c>
      <c r="K3163" s="4" t="e">
        <f t="shared" si="645"/>
        <v>#N/A</v>
      </c>
      <c r="L3163" t="e">
        <f t="shared" si="646"/>
        <v>#N/A</v>
      </c>
      <c r="M3163" s="4" t="e">
        <f t="shared" si="647"/>
        <v>#N/A</v>
      </c>
      <c r="N3163" s="4" t="e">
        <f t="shared" si="648"/>
        <v>#N/A</v>
      </c>
    </row>
    <row r="3164" spans="1:14">
      <c r="A3164">
        <f t="shared" si="649"/>
        <v>0</v>
      </c>
      <c r="B3164">
        <f t="shared" si="650"/>
        <v>0</v>
      </c>
      <c r="C3164">
        <f t="shared" si="651"/>
        <v>0</v>
      </c>
      <c r="D3164">
        <f t="shared" si="652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3"/>
        <v>0</v>
      </c>
      <c r="G3164">
        <f t="shared" si="654"/>
        <v>0</v>
      </c>
      <c r="H3164">
        <f t="shared" si="655"/>
        <v>0</v>
      </c>
      <c r="I3164">
        <f t="shared" si="656"/>
        <v>0</v>
      </c>
      <c r="J3164">
        <f t="shared" si="657"/>
        <v>0</v>
      </c>
      <c r="K3164" s="4" t="e">
        <f t="shared" si="645"/>
        <v>#N/A</v>
      </c>
      <c r="L3164" t="e">
        <f t="shared" si="646"/>
        <v>#N/A</v>
      </c>
      <c r="M3164" s="4" t="e">
        <f t="shared" si="647"/>
        <v>#N/A</v>
      </c>
      <c r="N3164" s="4" t="e">
        <f t="shared" si="648"/>
        <v>#N/A</v>
      </c>
    </row>
    <row r="3165" spans="1:14">
      <c r="A3165">
        <f t="shared" si="649"/>
        <v>0</v>
      </c>
      <c r="B3165">
        <f t="shared" si="650"/>
        <v>0</v>
      </c>
      <c r="C3165">
        <f t="shared" si="651"/>
        <v>0</v>
      </c>
      <c r="D3165">
        <f t="shared" si="652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3"/>
        <v>0</v>
      </c>
      <c r="G3165">
        <f t="shared" si="654"/>
        <v>0</v>
      </c>
      <c r="H3165">
        <f t="shared" si="655"/>
        <v>0</v>
      </c>
      <c r="I3165">
        <f t="shared" si="656"/>
        <v>0</v>
      </c>
      <c r="J3165">
        <f t="shared" si="657"/>
        <v>0</v>
      </c>
      <c r="K3165" s="4" t="e">
        <f t="shared" si="645"/>
        <v>#N/A</v>
      </c>
      <c r="L3165" t="e">
        <f t="shared" si="646"/>
        <v>#N/A</v>
      </c>
      <c r="M3165" s="4" t="e">
        <f t="shared" si="647"/>
        <v>#N/A</v>
      </c>
      <c r="N3165" s="4" t="e">
        <f t="shared" si="648"/>
        <v>#N/A</v>
      </c>
    </row>
    <row r="3166" spans="1:14">
      <c r="A3166">
        <f t="shared" si="649"/>
        <v>0</v>
      </c>
      <c r="B3166">
        <f t="shared" si="650"/>
        <v>0</v>
      </c>
      <c r="C3166">
        <f t="shared" si="651"/>
        <v>0</v>
      </c>
      <c r="D3166">
        <f t="shared" si="652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3"/>
        <v>0</v>
      </c>
      <c r="G3166">
        <f t="shared" si="654"/>
        <v>0</v>
      </c>
      <c r="H3166">
        <f t="shared" si="655"/>
        <v>0</v>
      </c>
      <c r="I3166">
        <f t="shared" si="656"/>
        <v>0</v>
      </c>
      <c r="J3166">
        <f t="shared" si="657"/>
        <v>0</v>
      </c>
      <c r="K3166" s="4" t="e">
        <f t="shared" si="645"/>
        <v>#N/A</v>
      </c>
      <c r="L3166" t="e">
        <f t="shared" si="646"/>
        <v>#N/A</v>
      </c>
      <c r="M3166" s="4" t="e">
        <f t="shared" si="647"/>
        <v>#N/A</v>
      </c>
      <c r="N3166" s="4" t="e">
        <f t="shared" si="648"/>
        <v>#N/A</v>
      </c>
    </row>
    <row r="3167" spans="1:14">
      <c r="A3167">
        <f t="shared" si="649"/>
        <v>0</v>
      </c>
      <c r="B3167">
        <f t="shared" si="650"/>
        <v>0</v>
      </c>
      <c r="C3167">
        <f t="shared" si="651"/>
        <v>0</v>
      </c>
      <c r="D3167">
        <f t="shared" si="652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3"/>
        <v>0</v>
      </c>
      <c r="G3167">
        <f t="shared" si="654"/>
        <v>0</v>
      </c>
      <c r="H3167">
        <f t="shared" si="655"/>
        <v>0</v>
      </c>
      <c r="I3167">
        <f t="shared" si="656"/>
        <v>0</v>
      </c>
      <c r="J3167">
        <f t="shared" si="657"/>
        <v>0</v>
      </c>
      <c r="K3167" s="4" t="e">
        <f t="shared" si="645"/>
        <v>#N/A</v>
      </c>
      <c r="L3167" t="e">
        <f t="shared" si="646"/>
        <v>#N/A</v>
      </c>
      <c r="M3167" s="4" t="e">
        <f t="shared" si="647"/>
        <v>#N/A</v>
      </c>
      <c r="N3167" s="4" t="e">
        <f t="shared" si="648"/>
        <v>#N/A</v>
      </c>
    </row>
    <row r="3168" spans="1:14">
      <c r="A3168">
        <f t="shared" si="649"/>
        <v>0</v>
      </c>
      <c r="B3168">
        <f t="shared" si="650"/>
        <v>0</v>
      </c>
      <c r="C3168">
        <f t="shared" si="651"/>
        <v>0</v>
      </c>
      <c r="D3168">
        <f t="shared" si="652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3"/>
        <v>0</v>
      </c>
      <c r="G3168">
        <f t="shared" si="654"/>
        <v>0</v>
      </c>
      <c r="H3168">
        <f t="shared" si="655"/>
        <v>0</v>
      </c>
      <c r="I3168">
        <f t="shared" si="656"/>
        <v>0</v>
      </c>
      <c r="J3168">
        <f t="shared" si="657"/>
        <v>0</v>
      </c>
      <c r="K3168" s="4" t="e">
        <f t="shared" si="645"/>
        <v>#N/A</v>
      </c>
      <c r="L3168" t="e">
        <f t="shared" si="646"/>
        <v>#N/A</v>
      </c>
      <c r="M3168" s="4" t="e">
        <f t="shared" si="647"/>
        <v>#N/A</v>
      </c>
      <c r="N3168" s="4" t="e">
        <f t="shared" si="648"/>
        <v>#N/A</v>
      </c>
    </row>
    <row r="3169" spans="1:14">
      <c r="A3169">
        <f t="shared" si="649"/>
        <v>0</v>
      </c>
      <c r="B3169">
        <f t="shared" si="650"/>
        <v>0</v>
      </c>
      <c r="C3169">
        <f t="shared" si="651"/>
        <v>0</v>
      </c>
      <c r="D3169">
        <f t="shared" si="652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3"/>
        <v>0</v>
      </c>
      <c r="G3169">
        <f t="shared" si="654"/>
        <v>0</v>
      </c>
      <c r="H3169">
        <f t="shared" si="655"/>
        <v>0</v>
      </c>
      <c r="I3169">
        <f t="shared" si="656"/>
        <v>0</v>
      </c>
      <c r="J3169">
        <f t="shared" si="657"/>
        <v>0</v>
      </c>
      <c r="K3169" s="4" t="e">
        <f t="shared" si="645"/>
        <v>#N/A</v>
      </c>
      <c r="L3169" t="e">
        <f t="shared" si="646"/>
        <v>#N/A</v>
      </c>
      <c r="M3169" s="4" t="e">
        <f t="shared" si="647"/>
        <v>#N/A</v>
      </c>
      <c r="N3169" s="4" t="e">
        <f t="shared" si="648"/>
        <v>#N/A</v>
      </c>
    </row>
    <row r="3170" spans="1:14">
      <c r="A3170">
        <f t="shared" si="649"/>
        <v>0</v>
      </c>
      <c r="B3170">
        <f t="shared" si="650"/>
        <v>0</v>
      </c>
      <c r="C3170">
        <f t="shared" si="651"/>
        <v>0</v>
      </c>
      <c r="D3170">
        <f t="shared" si="652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3"/>
        <v>0</v>
      </c>
      <c r="G3170">
        <f t="shared" si="654"/>
        <v>0</v>
      </c>
      <c r="H3170">
        <f t="shared" si="655"/>
        <v>0</v>
      </c>
      <c r="I3170">
        <f t="shared" si="656"/>
        <v>0</v>
      </c>
      <c r="J3170">
        <f t="shared" si="657"/>
        <v>0</v>
      </c>
      <c r="K3170" s="4" t="e">
        <f t="shared" si="645"/>
        <v>#N/A</v>
      </c>
      <c r="L3170" t="e">
        <f t="shared" si="646"/>
        <v>#N/A</v>
      </c>
      <c r="M3170" s="4" t="e">
        <f t="shared" si="647"/>
        <v>#N/A</v>
      </c>
      <c r="N3170" s="4" t="e">
        <f t="shared" si="648"/>
        <v>#N/A</v>
      </c>
    </row>
    <row r="3171" spans="1:14">
      <c r="A3171">
        <f t="shared" si="649"/>
        <v>0</v>
      </c>
      <c r="B3171">
        <f t="shared" si="650"/>
        <v>0</v>
      </c>
      <c r="C3171">
        <f t="shared" si="651"/>
        <v>0</v>
      </c>
      <c r="D3171">
        <f t="shared" si="652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3"/>
        <v>0</v>
      </c>
      <c r="G3171">
        <f t="shared" si="654"/>
        <v>0</v>
      </c>
      <c r="H3171">
        <f t="shared" si="655"/>
        <v>0</v>
      </c>
      <c r="I3171">
        <f t="shared" si="656"/>
        <v>0</v>
      </c>
      <c r="J3171">
        <f t="shared" si="657"/>
        <v>0</v>
      </c>
      <c r="K3171" s="4" t="e">
        <f t="shared" si="645"/>
        <v>#N/A</v>
      </c>
      <c r="L3171" t="e">
        <f t="shared" si="646"/>
        <v>#N/A</v>
      </c>
      <c r="M3171" s="4" t="e">
        <f t="shared" si="647"/>
        <v>#N/A</v>
      </c>
      <c r="N3171" s="4" t="e">
        <f t="shared" si="648"/>
        <v>#N/A</v>
      </c>
    </row>
    <row r="3172" spans="1:14">
      <c r="A3172">
        <f t="shared" si="649"/>
        <v>0</v>
      </c>
      <c r="B3172">
        <f t="shared" si="650"/>
        <v>0</v>
      </c>
      <c r="C3172">
        <f t="shared" si="651"/>
        <v>0</v>
      </c>
      <c r="D3172">
        <f t="shared" si="652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3"/>
        <v>0</v>
      </c>
      <c r="G3172">
        <f t="shared" si="654"/>
        <v>0</v>
      </c>
      <c r="H3172">
        <f t="shared" si="655"/>
        <v>0</v>
      </c>
      <c r="I3172">
        <f t="shared" si="656"/>
        <v>0</v>
      </c>
      <c r="J3172">
        <f t="shared" si="657"/>
        <v>0</v>
      </c>
      <c r="K3172" s="4" t="e">
        <f t="shared" si="645"/>
        <v>#N/A</v>
      </c>
      <c r="L3172" t="e">
        <f t="shared" si="646"/>
        <v>#N/A</v>
      </c>
      <c r="M3172" s="4" t="e">
        <f t="shared" si="647"/>
        <v>#N/A</v>
      </c>
      <c r="N3172" s="4" t="e">
        <f t="shared" si="648"/>
        <v>#N/A</v>
      </c>
    </row>
    <row r="3173" spans="1:14">
      <c r="A3173">
        <f t="shared" si="649"/>
        <v>0</v>
      </c>
      <c r="B3173">
        <f t="shared" si="650"/>
        <v>0</v>
      </c>
      <c r="C3173">
        <f t="shared" si="651"/>
        <v>0</v>
      </c>
      <c r="D3173">
        <f t="shared" si="652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3"/>
        <v>0</v>
      </c>
      <c r="G3173">
        <f t="shared" si="654"/>
        <v>0</v>
      </c>
      <c r="H3173">
        <f t="shared" si="655"/>
        <v>0</v>
      </c>
      <c r="I3173">
        <f t="shared" si="656"/>
        <v>0</v>
      </c>
      <c r="J3173">
        <f t="shared" si="657"/>
        <v>0</v>
      </c>
      <c r="K3173" s="4" t="e">
        <f t="shared" si="645"/>
        <v>#N/A</v>
      </c>
      <c r="L3173" t="e">
        <f t="shared" si="646"/>
        <v>#N/A</v>
      </c>
      <c r="M3173" s="4" t="e">
        <f t="shared" si="647"/>
        <v>#N/A</v>
      </c>
      <c r="N3173" s="4" t="e">
        <f t="shared" si="648"/>
        <v>#N/A</v>
      </c>
    </row>
    <row r="3174" spans="1:14">
      <c r="A3174">
        <f t="shared" si="649"/>
        <v>0</v>
      </c>
      <c r="B3174">
        <f t="shared" si="650"/>
        <v>0</v>
      </c>
      <c r="C3174">
        <f t="shared" si="651"/>
        <v>0</v>
      </c>
      <c r="D3174">
        <f t="shared" si="652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3"/>
        <v>0</v>
      </c>
      <c r="G3174">
        <f t="shared" si="654"/>
        <v>0</v>
      </c>
      <c r="H3174">
        <f t="shared" si="655"/>
        <v>0</v>
      </c>
      <c r="I3174">
        <f t="shared" si="656"/>
        <v>0</v>
      </c>
      <c r="J3174">
        <f t="shared" si="657"/>
        <v>0</v>
      </c>
      <c r="K3174" s="4" t="e">
        <f t="shared" si="645"/>
        <v>#N/A</v>
      </c>
      <c r="L3174" t="e">
        <f t="shared" si="646"/>
        <v>#N/A</v>
      </c>
      <c r="M3174" s="4" t="e">
        <f t="shared" si="647"/>
        <v>#N/A</v>
      </c>
      <c r="N3174" s="4" t="e">
        <f t="shared" si="648"/>
        <v>#N/A</v>
      </c>
    </row>
    <row r="3175" spans="1:14">
      <c r="A3175">
        <f t="shared" si="649"/>
        <v>0</v>
      </c>
      <c r="B3175">
        <f t="shared" si="650"/>
        <v>0</v>
      </c>
      <c r="C3175">
        <f t="shared" si="651"/>
        <v>0</v>
      </c>
      <c r="D3175">
        <f t="shared" si="652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3"/>
        <v>0</v>
      </c>
      <c r="G3175">
        <f t="shared" si="654"/>
        <v>0</v>
      </c>
      <c r="H3175">
        <f t="shared" si="655"/>
        <v>0</v>
      </c>
      <c r="I3175">
        <f t="shared" si="656"/>
        <v>0</v>
      </c>
      <c r="J3175">
        <f t="shared" si="657"/>
        <v>0</v>
      </c>
      <c r="K3175" s="4" t="e">
        <f t="shared" si="645"/>
        <v>#N/A</v>
      </c>
      <c r="L3175" t="e">
        <f t="shared" si="646"/>
        <v>#N/A</v>
      </c>
      <c r="M3175" s="4" t="e">
        <f t="shared" si="647"/>
        <v>#N/A</v>
      </c>
      <c r="N3175" s="4" t="e">
        <f t="shared" si="648"/>
        <v>#N/A</v>
      </c>
    </row>
    <row r="3176" spans="1:14">
      <c r="A3176">
        <f t="shared" si="649"/>
        <v>0</v>
      </c>
      <c r="B3176">
        <f t="shared" si="650"/>
        <v>0</v>
      </c>
      <c r="C3176">
        <f t="shared" si="651"/>
        <v>0</v>
      </c>
      <c r="D3176">
        <f t="shared" si="652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3"/>
        <v>0</v>
      </c>
      <c r="G3176">
        <f t="shared" si="654"/>
        <v>0</v>
      </c>
      <c r="H3176">
        <f t="shared" si="655"/>
        <v>0</v>
      </c>
      <c r="I3176">
        <f t="shared" si="656"/>
        <v>0</v>
      </c>
      <c r="J3176">
        <f t="shared" si="657"/>
        <v>0</v>
      </c>
      <c r="K3176" s="4" t="e">
        <f t="shared" si="645"/>
        <v>#N/A</v>
      </c>
      <c r="L3176" t="e">
        <f t="shared" si="646"/>
        <v>#N/A</v>
      </c>
      <c r="M3176" s="4" t="e">
        <f t="shared" si="647"/>
        <v>#N/A</v>
      </c>
      <c r="N3176" s="4" t="e">
        <f t="shared" si="648"/>
        <v>#N/A</v>
      </c>
    </row>
    <row r="3177" spans="1:14">
      <c r="A3177">
        <f t="shared" si="649"/>
        <v>0</v>
      </c>
      <c r="B3177">
        <f t="shared" si="650"/>
        <v>0</v>
      </c>
      <c r="C3177">
        <f t="shared" si="651"/>
        <v>0</v>
      </c>
      <c r="D3177">
        <f t="shared" si="652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3"/>
        <v>0</v>
      </c>
      <c r="G3177">
        <f t="shared" si="654"/>
        <v>0</v>
      </c>
      <c r="H3177">
        <f t="shared" si="655"/>
        <v>0</v>
      </c>
      <c r="I3177">
        <f t="shared" si="656"/>
        <v>0</v>
      </c>
      <c r="J3177">
        <f t="shared" si="657"/>
        <v>0</v>
      </c>
      <c r="K3177" s="4" t="e">
        <f t="shared" si="645"/>
        <v>#N/A</v>
      </c>
      <c r="L3177" t="e">
        <f t="shared" si="646"/>
        <v>#N/A</v>
      </c>
      <c r="M3177" s="4" t="e">
        <f t="shared" si="647"/>
        <v>#N/A</v>
      </c>
      <c r="N3177" s="4" t="e">
        <f t="shared" si="648"/>
        <v>#N/A</v>
      </c>
    </row>
    <row r="3178" spans="1:14">
      <c r="A3178">
        <f t="shared" si="649"/>
        <v>0</v>
      </c>
      <c r="B3178">
        <f t="shared" si="650"/>
        <v>0</v>
      </c>
      <c r="C3178">
        <f t="shared" si="651"/>
        <v>0</v>
      </c>
      <c r="D3178">
        <f t="shared" si="652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3"/>
        <v>0</v>
      </c>
      <c r="G3178">
        <f t="shared" si="654"/>
        <v>0</v>
      </c>
      <c r="H3178">
        <f t="shared" si="655"/>
        <v>0</v>
      </c>
      <c r="I3178">
        <f t="shared" si="656"/>
        <v>0</v>
      </c>
      <c r="J3178">
        <f t="shared" si="657"/>
        <v>0</v>
      </c>
      <c r="K3178" s="4" t="e">
        <f t="shared" si="645"/>
        <v>#N/A</v>
      </c>
      <c r="L3178" t="e">
        <f t="shared" si="646"/>
        <v>#N/A</v>
      </c>
      <c r="M3178" s="4" t="e">
        <f t="shared" si="647"/>
        <v>#N/A</v>
      </c>
      <c r="N3178" s="4" t="e">
        <f t="shared" si="648"/>
        <v>#N/A</v>
      </c>
    </row>
    <row r="3179" spans="1:14">
      <c r="A3179">
        <f t="shared" si="649"/>
        <v>0</v>
      </c>
      <c r="B3179">
        <f t="shared" si="650"/>
        <v>0</v>
      </c>
      <c r="C3179">
        <f t="shared" si="651"/>
        <v>0</v>
      </c>
      <c r="D3179">
        <f t="shared" si="652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3"/>
        <v>0</v>
      </c>
      <c r="G3179">
        <f t="shared" si="654"/>
        <v>0</v>
      </c>
      <c r="H3179">
        <f t="shared" si="655"/>
        <v>0</v>
      </c>
      <c r="I3179">
        <f t="shared" si="656"/>
        <v>0</v>
      </c>
      <c r="J3179">
        <f t="shared" si="657"/>
        <v>0</v>
      </c>
      <c r="K3179" s="4" t="e">
        <f t="shared" si="645"/>
        <v>#N/A</v>
      </c>
      <c r="L3179" t="e">
        <f t="shared" si="646"/>
        <v>#N/A</v>
      </c>
      <c r="M3179" s="4" t="e">
        <f t="shared" si="647"/>
        <v>#N/A</v>
      </c>
      <c r="N3179" s="4" t="e">
        <f t="shared" si="648"/>
        <v>#N/A</v>
      </c>
    </row>
    <row r="3180" spans="1:14">
      <c r="A3180">
        <f t="shared" si="649"/>
        <v>0</v>
      </c>
      <c r="B3180">
        <f t="shared" si="650"/>
        <v>0</v>
      </c>
      <c r="C3180">
        <f t="shared" si="651"/>
        <v>0</v>
      </c>
      <c r="D3180">
        <f t="shared" si="652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3"/>
        <v>0</v>
      </c>
      <c r="G3180">
        <f t="shared" si="654"/>
        <v>0</v>
      </c>
      <c r="H3180">
        <f t="shared" si="655"/>
        <v>0</v>
      </c>
      <c r="I3180">
        <f t="shared" si="656"/>
        <v>0</v>
      </c>
      <c r="J3180">
        <f t="shared" si="657"/>
        <v>0</v>
      </c>
      <c r="K3180" s="4" t="e">
        <f t="shared" si="645"/>
        <v>#N/A</v>
      </c>
      <c r="L3180" t="e">
        <f t="shared" si="646"/>
        <v>#N/A</v>
      </c>
      <c r="M3180" s="4" t="e">
        <f t="shared" si="647"/>
        <v>#N/A</v>
      </c>
      <c r="N3180" s="4" t="e">
        <f t="shared" si="648"/>
        <v>#N/A</v>
      </c>
    </row>
    <row r="3181" spans="1:14">
      <c r="A3181">
        <f t="shared" si="649"/>
        <v>0</v>
      </c>
      <c r="B3181">
        <f t="shared" si="650"/>
        <v>0</v>
      </c>
      <c r="C3181">
        <f t="shared" si="651"/>
        <v>0</v>
      </c>
      <c r="D3181">
        <f t="shared" si="652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3"/>
        <v>0</v>
      </c>
      <c r="G3181">
        <f t="shared" si="654"/>
        <v>0</v>
      </c>
      <c r="H3181">
        <f t="shared" si="655"/>
        <v>0</v>
      </c>
      <c r="I3181">
        <f t="shared" si="656"/>
        <v>0</v>
      </c>
      <c r="J3181">
        <f t="shared" si="657"/>
        <v>0</v>
      </c>
      <c r="K3181" s="4" t="e">
        <f t="shared" si="645"/>
        <v>#N/A</v>
      </c>
      <c r="L3181" t="e">
        <f t="shared" si="646"/>
        <v>#N/A</v>
      </c>
      <c r="M3181" s="4" t="e">
        <f t="shared" si="647"/>
        <v>#N/A</v>
      </c>
      <c r="N3181" s="4" t="e">
        <f t="shared" si="648"/>
        <v>#N/A</v>
      </c>
    </row>
    <row r="3182" spans="1:14">
      <c r="A3182">
        <f t="shared" si="649"/>
        <v>0</v>
      </c>
      <c r="B3182">
        <f t="shared" si="650"/>
        <v>0</v>
      </c>
      <c r="C3182">
        <f t="shared" si="651"/>
        <v>0</v>
      </c>
      <c r="D3182">
        <f t="shared" si="652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3"/>
        <v>0</v>
      </c>
      <c r="G3182">
        <f t="shared" si="654"/>
        <v>0</v>
      </c>
      <c r="H3182">
        <f t="shared" si="655"/>
        <v>0</v>
      </c>
      <c r="I3182">
        <f t="shared" si="656"/>
        <v>0</v>
      </c>
      <c r="J3182">
        <f t="shared" si="657"/>
        <v>0</v>
      </c>
      <c r="K3182" s="4" t="e">
        <f t="shared" si="645"/>
        <v>#N/A</v>
      </c>
      <c r="L3182" t="e">
        <f t="shared" si="646"/>
        <v>#N/A</v>
      </c>
      <c r="M3182" s="4" t="e">
        <f t="shared" si="647"/>
        <v>#N/A</v>
      </c>
      <c r="N3182" s="4" t="e">
        <f t="shared" si="648"/>
        <v>#N/A</v>
      </c>
    </row>
    <row r="3183" spans="1:14">
      <c r="A3183">
        <f t="shared" si="649"/>
        <v>0</v>
      </c>
      <c r="B3183">
        <f t="shared" si="650"/>
        <v>0</v>
      </c>
      <c r="C3183">
        <f t="shared" si="651"/>
        <v>0</v>
      </c>
      <c r="D3183">
        <f t="shared" si="652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3"/>
        <v>0</v>
      </c>
      <c r="G3183">
        <f t="shared" si="654"/>
        <v>0</v>
      </c>
      <c r="H3183">
        <f t="shared" si="655"/>
        <v>0</v>
      </c>
      <c r="I3183">
        <f t="shared" si="656"/>
        <v>0</v>
      </c>
      <c r="J3183">
        <f t="shared" si="657"/>
        <v>0</v>
      </c>
      <c r="K3183" s="4" t="e">
        <f t="shared" si="645"/>
        <v>#N/A</v>
      </c>
      <c r="L3183" t="e">
        <f t="shared" si="646"/>
        <v>#N/A</v>
      </c>
      <c r="M3183" s="4" t="e">
        <f t="shared" si="647"/>
        <v>#N/A</v>
      </c>
      <c r="N3183" s="4" t="e">
        <f t="shared" si="648"/>
        <v>#N/A</v>
      </c>
    </row>
    <row r="3184" spans="1:14">
      <c r="A3184">
        <f t="shared" si="649"/>
        <v>0</v>
      </c>
      <c r="B3184">
        <f t="shared" si="650"/>
        <v>0</v>
      </c>
      <c r="C3184">
        <f t="shared" si="651"/>
        <v>0</v>
      </c>
      <c r="D3184">
        <f t="shared" si="652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3"/>
        <v>0</v>
      </c>
      <c r="G3184">
        <f t="shared" si="654"/>
        <v>0</v>
      </c>
      <c r="H3184">
        <f t="shared" si="655"/>
        <v>0</v>
      </c>
      <c r="I3184">
        <f t="shared" si="656"/>
        <v>0</v>
      </c>
      <c r="J3184">
        <f t="shared" si="657"/>
        <v>0</v>
      </c>
      <c r="K3184" s="4" t="e">
        <f t="shared" si="645"/>
        <v>#N/A</v>
      </c>
      <c r="L3184" t="e">
        <f t="shared" si="646"/>
        <v>#N/A</v>
      </c>
      <c r="M3184" s="4" t="e">
        <f t="shared" si="647"/>
        <v>#N/A</v>
      </c>
      <c r="N3184" s="4" t="e">
        <f t="shared" si="648"/>
        <v>#N/A</v>
      </c>
    </row>
    <row r="3185" spans="1:14">
      <c r="A3185">
        <f t="shared" si="649"/>
        <v>0</v>
      </c>
      <c r="B3185">
        <f t="shared" si="650"/>
        <v>0</v>
      </c>
      <c r="C3185">
        <f t="shared" si="651"/>
        <v>0</v>
      </c>
      <c r="D3185">
        <f t="shared" si="652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3"/>
        <v>0</v>
      </c>
      <c r="G3185">
        <f t="shared" si="654"/>
        <v>0</v>
      </c>
      <c r="H3185">
        <f t="shared" si="655"/>
        <v>0</v>
      </c>
      <c r="I3185">
        <f t="shared" si="656"/>
        <v>0</v>
      </c>
      <c r="J3185">
        <f t="shared" si="657"/>
        <v>0</v>
      </c>
      <c r="K3185" s="4" t="e">
        <f t="shared" si="645"/>
        <v>#N/A</v>
      </c>
      <c r="L3185" t="e">
        <f t="shared" si="646"/>
        <v>#N/A</v>
      </c>
      <c r="M3185" s="4" t="e">
        <f t="shared" si="647"/>
        <v>#N/A</v>
      </c>
      <c r="N3185" s="4" t="e">
        <f t="shared" si="648"/>
        <v>#N/A</v>
      </c>
    </row>
    <row r="3186" spans="1:14">
      <c r="A3186">
        <f t="shared" si="649"/>
        <v>0</v>
      </c>
      <c r="B3186">
        <f t="shared" si="650"/>
        <v>0</v>
      </c>
      <c r="C3186">
        <f t="shared" si="651"/>
        <v>0</v>
      </c>
      <c r="D3186">
        <f t="shared" si="652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3"/>
        <v>0</v>
      </c>
      <c r="G3186">
        <f t="shared" si="654"/>
        <v>0</v>
      </c>
      <c r="H3186">
        <f t="shared" si="655"/>
        <v>0</v>
      </c>
      <c r="I3186">
        <f t="shared" si="656"/>
        <v>0</v>
      </c>
      <c r="J3186">
        <f t="shared" si="657"/>
        <v>0</v>
      </c>
      <c r="K3186" s="4" t="e">
        <f t="shared" si="645"/>
        <v>#N/A</v>
      </c>
      <c r="L3186" t="e">
        <f t="shared" si="646"/>
        <v>#N/A</v>
      </c>
      <c r="M3186" s="4" t="e">
        <f t="shared" si="647"/>
        <v>#N/A</v>
      </c>
      <c r="N3186" s="4" t="e">
        <f t="shared" si="648"/>
        <v>#N/A</v>
      </c>
    </row>
    <row r="3187" spans="1:14">
      <c r="A3187">
        <f t="shared" si="649"/>
        <v>0</v>
      </c>
      <c r="B3187">
        <f t="shared" si="650"/>
        <v>0</v>
      </c>
      <c r="C3187">
        <f t="shared" si="651"/>
        <v>0</v>
      </c>
      <c r="D3187">
        <f t="shared" si="652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3"/>
        <v>0</v>
      </c>
      <c r="G3187">
        <f t="shared" si="654"/>
        <v>0</v>
      </c>
      <c r="H3187">
        <f t="shared" si="655"/>
        <v>0</v>
      </c>
      <c r="I3187">
        <f t="shared" si="656"/>
        <v>0</v>
      </c>
      <c r="J3187">
        <f t="shared" si="657"/>
        <v>0</v>
      </c>
      <c r="K3187" s="4" t="e">
        <f t="shared" si="645"/>
        <v>#N/A</v>
      </c>
      <c r="L3187" t="e">
        <f t="shared" si="646"/>
        <v>#N/A</v>
      </c>
      <c r="M3187" s="4" t="e">
        <f t="shared" si="647"/>
        <v>#N/A</v>
      </c>
      <c r="N3187" s="4" t="e">
        <f t="shared" si="648"/>
        <v>#N/A</v>
      </c>
    </row>
    <row r="3188" spans="1:14">
      <c r="A3188">
        <f t="shared" si="649"/>
        <v>0</v>
      </c>
      <c r="B3188">
        <f t="shared" si="650"/>
        <v>0</v>
      </c>
      <c r="C3188">
        <f t="shared" si="651"/>
        <v>0</v>
      </c>
      <c r="D3188">
        <f t="shared" si="652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3"/>
        <v>0</v>
      </c>
      <c r="G3188">
        <f t="shared" si="654"/>
        <v>0</v>
      </c>
      <c r="H3188">
        <f t="shared" si="655"/>
        <v>0</v>
      </c>
      <c r="I3188">
        <f t="shared" si="656"/>
        <v>0</v>
      </c>
      <c r="J3188">
        <f t="shared" si="657"/>
        <v>0</v>
      </c>
      <c r="K3188" s="4" t="e">
        <f t="shared" si="645"/>
        <v>#N/A</v>
      </c>
      <c r="L3188" t="e">
        <f t="shared" si="646"/>
        <v>#N/A</v>
      </c>
      <c r="M3188" s="4" t="e">
        <f t="shared" si="647"/>
        <v>#N/A</v>
      </c>
      <c r="N3188" s="4" t="e">
        <f t="shared" si="648"/>
        <v>#N/A</v>
      </c>
    </row>
    <row r="3189" spans="1:14">
      <c r="A3189">
        <f t="shared" si="649"/>
        <v>0</v>
      </c>
      <c r="B3189">
        <f t="shared" si="650"/>
        <v>0</v>
      </c>
      <c r="C3189">
        <f t="shared" si="651"/>
        <v>0</v>
      </c>
      <c r="D3189">
        <f t="shared" si="652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3"/>
        <v>0</v>
      </c>
      <c r="G3189">
        <f t="shared" si="654"/>
        <v>0</v>
      </c>
      <c r="H3189">
        <f t="shared" si="655"/>
        <v>0</v>
      </c>
      <c r="I3189">
        <f t="shared" si="656"/>
        <v>0</v>
      </c>
      <c r="J3189">
        <f t="shared" si="657"/>
        <v>0</v>
      </c>
      <c r="K3189" s="4" t="e">
        <f t="shared" si="645"/>
        <v>#N/A</v>
      </c>
      <c r="L3189" t="e">
        <f t="shared" si="646"/>
        <v>#N/A</v>
      </c>
      <c r="M3189" s="4" t="e">
        <f t="shared" si="647"/>
        <v>#N/A</v>
      </c>
      <c r="N3189" s="4" t="e">
        <f t="shared" si="648"/>
        <v>#N/A</v>
      </c>
    </row>
    <row r="3190" spans="1:14">
      <c r="A3190">
        <f t="shared" si="649"/>
        <v>0</v>
      </c>
      <c r="B3190">
        <f t="shared" si="650"/>
        <v>0</v>
      </c>
      <c r="C3190">
        <f t="shared" si="651"/>
        <v>0</v>
      </c>
      <c r="D3190">
        <f t="shared" si="652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3"/>
        <v>0</v>
      </c>
      <c r="G3190">
        <f t="shared" si="654"/>
        <v>0</v>
      </c>
      <c r="H3190">
        <f t="shared" si="655"/>
        <v>0</v>
      </c>
      <c r="I3190">
        <f t="shared" si="656"/>
        <v>0</v>
      </c>
      <c r="J3190">
        <f t="shared" si="657"/>
        <v>0</v>
      </c>
      <c r="K3190" s="4" t="e">
        <f t="shared" si="645"/>
        <v>#N/A</v>
      </c>
      <c r="L3190" t="e">
        <f t="shared" si="646"/>
        <v>#N/A</v>
      </c>
      <c r="M3190" s="4" t="e">
        <f t="shared" si="647"/>
        <v>#N/A</v>
      </c>
      <c r="N3190" s="4" t="e">
        <f t="shared" si="648"/>
        <v>#N/A</v>
      </c>
    </row>
    <row r="3191" spans="1:14">
      <c r="A3191">
        <f t="shared" si="649"/>
        <v>0</v>
      </c>
      <c r="B3191">
        <f t="shared" si="650"/>
        <v>0</v>
      </c>
      <c r="C3191">
        <f t="shared" si="651"/>
        <v>0</v>
      </c>
      <c r="D3191">
        <f t="shared" si="652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3"/>
        <v>0</v>
      </c>
      <c r="G3191">
        <f t="shared" si="654"/>
        <v>0</v>
      </c>
      <c r="H3191">
        <f t="shared" si="655"/>
        <v>0</v>
      </c>
      <c r="I3191">
        <f t="shared" si="656"/>
        <v>0</v>
      </c>
      <c r="J3191">
        <f t="shared" si="657"/>
        <v>0</v>
      </c>
      <c r="K3191" s="4" t="e">
        <f t="shared" si="645"/>
        <v>#N/A</v>
      </c>
      <c r="L3191" t="e">
        <f t="shared" si="646"/>
        <v>#N/A</v>
      </c>
      <c r="M3191" s="4" t="e">
        <f t="shared" si="647"/>
        <v>#N/A</v>
      </c>
      <c r="N3191" s="4" t="e">
        <f t="shared" si="648"/>
        <v>#N/A</v>
      </c>
    </row>
    <row r="3192" spans="1:14">
      <c r="A3192">
        <f t="shared" si="649"/>
        <v>0</v>
      </c>
      <c r="B3192">
        <f t="shared" si="650"/>
        <v>0</v>
      </c>
      <c r="C3192">
        <f t="shared" si="651"/>
        <v>0</v>
      </c>
      <c r="D3192">
        <f t="shared" si="652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3"/>
        <v>0</v>
      </c>
      <c r="G3192">
        <f t="shared" si="654"/>
        <v>0</v>
      </c>
      <c r="H3192">
        <f t="shared" si="655"/>
        <v>0</v>
      </c>
      <c r="I3192">
        <f t="shared" si="656"/>
        <v>0</v>
      </c>
      <c r="J3192">
        <f t="shared" si="657"/>
        <v>0</v>
      </c>
      <c r="K3192" s="4" t="e">
        <f t="shared" si="645"/>
        <v>#N/A</v>
      </c>
      <c r="L3192" t="e">
        <f t="shared" si="646"/>
        <v>#N/A</v>
      </c>
      <c r="M3192" s="4" t="e">
        <f t="shared" si="647"/>
        <v>#N/A</v>
      </c>
      <c r="N3192" s="4" t="e">
        <f t="shared" si="648"/>
        <v>#N/A</v>
      </c>
    </row>
    <row r="3193" spans="1:14">
      <c r="A3193">
        <f t="shared" si="649"/>
        <v>0</v>
      </c>
      <c r="B3193">
        <f t="shared" si="650"/>
        <v>0</v>
      </c>
      <c r="C3193">
        <f t="shared" si="651"/>
        <v>0</v>
      </c>
      <c r="D3193">
        <f t="shared" si="652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3"/>
        <v>0</v>
      </c>
      <c r="G3193">
        <f t="shared" si="654"/>
        <v>0</v>
      </c>
      <c r="H3193">
        <f t="shared" si="655"/>
        <v>0</v>
      </c>
      <c r="I3193">
        <f t="shared" si="656"/>
        <v>0</v>
      </c>
      <c r="J3193">
        <f t="shared" si="657"/>
        <v>0</v>
      </c>
      <c r="K3193" s="4" t="e">
        <f t="shared" si="645"/>
        <v>#N/A</v>
      </c>
      <c r="L3193" t="e">
        <f t="shared" si="646"/>
        <v>#N/A</v>
      </c>
      <c r="M3193" s="4" t="e">
        <f t="shared" si="647"/>
        <v>#N/A</v>
      </c>
      <c r="N3193" s="4" t="e">
        <f t="shared" si="648"/>
        <v>#N/A</v>
      </c>
    </row>
    <row r="3194" spans="1:14">
      <c r="A3194">
        <f t="shared" si="649"/>
        <v>0</v>
      </c>
      <c r="B3194">
        <f t="shared" si="650"/>
        <v>0</v>
      </c>
      <c r="C3194">
        <f t="shared" si="651"/>
        <v>0</v>
      </c>
      <c r="D3194">
        <f t="shared" si="652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3"/>
        <v>0</v>
      </c>
      <c r="G3194">
        <f t="shared" si="654"/>
        <v>0</v>
      </c>
      <c r="H3194">
        <f t="shared" si="655"/>
        <v>0</v>
      </c>
      <c r="I3194">
        <f t="shared" si="656"/>
        <v>0</v>
      </c>
      <c r="J3194">
        <f t="shared" si="657"/>
        <v>0</v>
      </c>
      <c r="K3194" s="4" t="e">
        <f t="shared" si="645"/>
        <v>#N/A</v>
      </c>
      <c r="L3194" t="e">
        <f t="shared" si="646"/>
        <v>#N/A</v>
      </c>
      <c r="M3194" s="4" t="e">
        <f t="shared" si="647"/>
        <v>#N/A</v>
      </c>
      <c r="N3194" s="4" t="e">
        <f t="shared" si="648"/>
        <v>#N/A</v>
      </c>
    </row>
    <row r="3195" spans="1:14">
      <c r="A3195">
        <f t="shared" si="649"/>
        <v>0</v>
      </c>
      <c r="B3195">
        <f t="shared" si="650"/>
        <v>0</v>
      </c>
      <c r="C3195">
        <f t="shared" si="651"/>
        <v>0</v>
      </c>
      <c r="D3195">
        <f t="shared" si="652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3"/>
        <v>0</v>
      </c>
      <c r="G3195">
        <f t="shared" si="654"/>
        <v>0</v>
      </c>
      <c r="H3195">
        <f t="shared" si="655"/>
        <v>0</v>
      </c>
      <c r="I3195">
        <f t="shared" si="656"/>
        <v>0</v>
      </c>
      <c r="J3195">
        <f t="shared" si="657"/>
        <v>0</v>
      </c>
      <c r="K3195" s="4" t="e">
        <f t="shared" si="645"/>
        <v>#N/A</v>
      </c>
      <c r="L3195" t="e">
        <f t="shared" si="646"/>
        <v>#N/A</v>
      </c>
      <c r="M3195" s="4" t="e">
        <f t="shared" si="647"/>
        <v>#N/A</v>
      </c>
      <c r="N3195" s="4" t="e">
        <f t="shared" si="648"/>
        <v>#N/A</v>
      </c>
    </row>
    <row r="3196" spans="1:14">
      <c r="A3196">
        <f t="shared" si="649"/>
        <v>0</v>
      </c>
      <c r="B3196">
        <f t="shared" si="650"/>
        <v>0</v>
      </c>
      <c r="C3196">
        <f t="shared" si="651"/>
        <v>0</v>
      </c>
      <c r="D3196">
        <f t="shared" si="652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3"/>
        <v>0</v>
      </c>
      <c r="G3196">
        <f t="shared" si="654"/>
        <v>0</v>
      </c>
      <c r="H3196">
        <f t="shared" si="655"/>
        <v>0</v>
      </c>
      <c r="I3196">
        <f t="shared" si="656"/>
        <v>0</v>
      </c>
      <c r="J3196">
        <f t="shared" si="657"/>
        <v>0</v>
      </c>
      <c r="K3196" s="4" t="e">
        <f t="shared" si="645"/>
        <v>#N/A</v>
      </c>
      <c r="L3196" t="e">
        <f t="shared" si="646"/>
        <v>#N/A</v>
      </c>
      <c r="M3196" s="4" t="e">
        <f t="shared" si="647"/>
        <v>#N/A</v>
      </c>
      <c r="N3196" s="4" t="e">
        <f t="shared" si="648"/>
        <v>#N/A</v>
      </c>
    </row>
    <row r="3197" spans="1:14">
      <c r="A3197">
        <f t="shared" si="649"/>
        <v>0</v>
      </c>
      <c r="B3197">
        <f t="shared" si="650"/>
        <v>0</v>
      </c>
      <c r="C3197">
        <f t="shared" si="651"/>
        <v>0</v>
      </c>
      <c r="D3197">
        <f t="shared" si="652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3"/>
        <v>0</v>
      </c>
      <c r="G3197">
        <f t="shared" si="654"/>
        <v>0</v>
      </c>
      <c r="H3197">
        <f t="shared" si="655"/>
        <v>0</v>
      </c>
      <c r="I3197">
        <f t="shared" si="656"/>
        <v>0</v>
      </c>
      <c r="J3197">
        <f t="shared" si="657"/>
        <v>0</v>
      </c>
      <c r="K3197" s="4" t="e">
        <f t="shared" ref="K3197:K3260" si="658">IF(LEFT(B3197,3)="DBM",0,VLOOKUP(E3197,tabela,2,FALSE))</f>
        <v>#N/A</v>
      </c>
      <c r="L3197" t="e">
        <f t="shared" ref="L3197:L3260" si="659">VLOOKUP(E3197,tabela,3,FALSE)</f>
        <v>#N/A</v>
      </c>
      <c r="M3197" s="4" t="e">
        <f t="shared" ref="M3197:M3260" si="660">IF(E3197="Dynamic Click",J3197*K3197,K3197*$I3197/1000)</f>
        <v>#N/A</v>
      </c>
      <c r="N3197" s="4" t="e">
        <f t="shared" ref="N3197:N3260" si="661">IF(E3197="Dynamic Click",J3197*L3197,L3197*$I3197/1000)</f>
        <v>#N/A</v>
      </c>
    </row>
    <row r="3198" spans="1:14">
      <c r="A3198">
        <f t="shared" si="649"/>
        <v>0</v>
      </c>
      <c r="B3198">
        <f t="shared" si="650"/>
        <v>0</v>
      </c>
      <c r="C3198">
        <f t="shared" si="651"/>
        <v>0</v>
      </c>
      <c r="D3198">
        <f t="shared" si="652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3"/>
        <v>0</v>
      </c>
      <c r="G3198">
        <f t="shared" si="654"/>
        <v>0</v>
      </c>
      <c r="H3198">
        <f t="shared" si="655"/>
        <v>0</v>
      </c>
      <c r="I3198">
        <f t="shared" si="656"/>
        <v>0</v>
      </c>
      <c r="J3198">
        <f t="shared" si="657"/>
        <v>0</v>
      </c>
      <c r="K3198" s="4" t="e">
        <f t="shared" si="658"/>
        <v>#N/A</v>
      </c>
      <c r="L3198" t="e">
        <f t="shared" si="659"/>
        <v>#N/A</v>
      </c>
      <c r="M3198" s="4" t="e">
        <f t="shared" si="660"/>
        <v>#N/A</v>
      </c>
      <c r="N3198" s="4" t="e">
        <f t="shared" si="661"/>
        <v>#N/A</v>
      </c>
    </row>
    <row r="3199" spans="1:14">
      <c r="A3199">
        <f t="shared" si="649"/>
        <v>0</v>
      </c>
      <c r="B3199">
        <f t="shared" si="650"/>
        <v>0</v>
      </c>
      <c r="C3199">
        <f t="shared" si="651"/>
        <v>0</v>
      </c>
      <c r="D3199">
        <f t="shared" si="652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3"/>
        <v>0</v>
      </c>
      <c r="G3199">
        <f t="shared" si="654"/>
        <v>0</v>
      </c>
      <c r="H3199">
        <f t="shared" si="655"/>
        <v>0</v>
      </c>
      <c r="I3199">
        <f t="shared" si="656"/>
        <v>0</v>
      </c>
      <c r="J3199">
        <f t="shared" si="657"/>
        <v>0</v>
      </c>
      <c r="K3199" s="4" t="e">
        <f t="shared" si="658"/>
        <v>#N/A</v>
      </c>
      <c r="L3199" t="e">
        <f t="shared" si="659"/>
        <v>#N/A</v>
      </c>
      <c r="M3199" s="4" t="e">
        <f t="shared" si="660"/>
        <v>#N/A</v>
      </c>
      <c r="N3199" s="4" t="e">
        <f t="shared" si="661"/>
        <v>#N/A</v>
      </c>
    </row>
    <row r="3200" spans="1:14">
      <c r="A3200">
        <f t="shared" si="649"/>
        <v>0</v>
      </c>
      <c r="B3200">
        <f t="shared" si="650"/>
        <v>0</v>
      </c>
      <c r="C3200">
        <f t="shared" si="651"/>
        <v>0</v>
      </c>
      <c r="D3200">
        <f t="shared" si="652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3"/>
        <v>0</v>
      </c>
      <c r="G3200">
        <f t="shared" si="654"/>
        <v>0</v>
      </c>
      <c r="H3200">
        <f t="shared" si="655"/>
        <v>0</v>
      </c>
      <c r="I3200">
        <f t="shared" si="656"/>
        <v>0</v>
      </c>
      <c r="J3200">
        <f t="shared" si="657"/>
        <v>0</v>
      </c>
      <c r="K3200" s="4" t="e">
        <f t="shared" si="658"/>
        <v>#N/A</v>
      </c>
      <c r="L3200" t="e">
        <f t="shared" si="659"/>
        <v>#N/A</v>
      </c>
      <c r="M3200" s="4" t="e">
        <f t="shared" si="660"/>
        <v>#N/A</v>
      </c>
      <c r="N3200" s="4" t="e">
        <f t="shared" si="661"/>
        <v>#N/A</v>
      </c>
    </row>
    <row r="3201" spans="1:14">
      <c r="A3201">
        <f t="shared" si="649"/>
        <v>0</v>
      </c>
      <c r="B3201">
        <f t="shared" si="650"/>
        <v>0</v>
      </c>
      <c r="C3201">
        <f t="shared" si="651"/>
        <v>0</v>
      </c>
      <c r="D3201">
        <f t="shared" si="652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3"/>
        <v>0</v>
      </c>
      <c r="G3201">
        <f t="shared" si="654"/>
        <v>0</v>
      </c>
      <c r="H3201">
        <f t="shared" si="655"/>
        <v>0</v>
      </c>
      <c r="I3201">
        <f t="shared" si="656"/>
        <v>0</v>
      </c>
      <c r="J3201">
        <f t="shared" si="657"/>
        <v>0</v>
      </c>
      <c r="K3201" s="4" t="e">
        <f t="shared" si="658"/>
        <v>#N/A</v>
      </c>
      <c r="L3201" t="e">
        <f t="shared" si="659"/>
        <v>#N/A</v>
      </c>
      <c r="M3201" s="4" t="e">
        <f t="shared" si="660"/>
        <v>#N/A</v>
      </c>
      <c r="N3201" s="4" t="e">
        <f t="shared" si="661"/>
        <v>#N/A</v>
      </c>
    </row>
    <row r="3202" spans="1:14">
      <c r="A3202">
        <f t="shared" ref="A3202:A3265" si="662">bd_campaign</f>
        <v>0</v>
      </c>
      <c r="B3202">
        <f t="shared" ref="B3202:B3265" si="663">bd_site</f>
        <v>0</v>
      </c>
      <c r="C3202">
        <f t="shared" ref="C3202:C3265" si="664">bd_placement</f>
        <v>0</v>
      </c>
      <c r="D3202">
        <f t="shared" ref="D3202:D3265" si="665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6">bd_ad</f>
        <v>0</v>
      </c>
      <c r="G3202">
        <f t="shared" ref="G3202:G3265" si="667">bd_adid</f>
        <v>0</v>
      </c>
      <c r="H3202">
        <f t="shared" ref="H3202:H3265" si="668">bd_creativetype</f>
        <v>0</v>
      </c>
      <c r="I3202">
        <f t="shared" ref="I3202:I3265" si="669">bd_impression</f>
        <v>0</v>
      </c>
      <c r="J3202">
        <f t="shared" ref="J3202:J3265" si="670">bd_clicks</f>
        <v>0</v>
      </c>
      <c r="K3202" s="4" t="e">
        <f t="shared" si="658"/>
        <v>#N/A</v>
      </c>
      <c r="L3202" t="e">
        <f t="shared" si="659"/>
        <v>#N/A</v>
      </c>
      <c r="M3202" s="4" t="e">
        <f t="shared" si="660"/>
        <v>#N/A</v>
      </c>
      <c r="N3202" s="4" t="e">
        <f t="shared" si="661"/>
        <v>#N/A</v>
      </c>
    </row>
    <row r="3203" spans="1:14">
      <c r="A3203">
        <f t="shared" si="662"/>
        <v>0</v>
      </c>
      <c r="B3203">
        <f t="shared" si="663"/>
        <v>0</v>
      </c>
      <c r="C3203">
        <f t="shared" si="664"/>
        <v>0</v>
      </c>
      <c r="D3203">
        <f t="shared" si="665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6"/>
        <v>0</v>
      </c>
      <c r="G3203">
        <f t="shared" si="667"/>
        <v>0</v>
      </c>
      <c r="H3203">
        <f t="shared" si="668"/>
        <v>0</v>
      </c>
      <c r="I3203">
        <f t="shared" si="669"/>
        <v>0</v>
      </c>
      <c r="J3203">
        <f t="shared" si="670"/>
        <v>0</v>
      </c>
      <c r="K3203" s="4" t="e">
        <f t="shared" si="658"/>
        <v>#N/A</v>
      </c>
      <c r="L3203" t="e">
        <f t="shared" si="659"/>
        <v>#N/A</v>
      </c>
      <c r="M3203" s="4" t="e">
        <f t="shared" si="660"/>
        <v>#N/A</v>
      </c>
      <c r="N3203" s="4" t="e">
        <f t="shared" si="661"/>
        <v>#N/A</v>
      </c>
    </row>
    <row r="3204" spans="1:14">
      <c r="A3204">
        <f t="shared" si="662"/>
        <v>0</v>
      </c>
      <c r="B3204">
        <f t="shared" si="663"/>
        <v>0</v>
      </c>
      <c r="C3204">
        <f t="shared" si="664"/>
        <v>0</v>
      </c>
      <c r="D3204">
        <f t="shared" si="665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6"/>
        <v>0</v>
      </c>
      <c r="G3204">
        <f t="shared" si="667"/>
        <v>0</v>
      </c>
      <c r="H3204">
        <f t="shared" si="668"/>
        <v>0</v>
      </c>
      <c r="I3204">
        <f t="shared" si="669"/>
        <v>0</v>
      </c>
      <c r="J3204">
        <f t="shared" si="670"/>
        <v>0</v>
      </c>
      <c r="K3204" s="4" t="e">
        <f t="shared" si="658"/>
        <v>#N/A</v>
      </c>
      <c r="L3204" t="e">
        <f t="shared" si="659"/>
        <v>#N/A</v>
      </c>
      <c r="M3204" s="4" t="e">
        <f t="shared" si="660"/>
        <v>#N/A</v>
      </c>
      <c r="N3204" s="4" t="e">
        <f t="shared" si="661"/>
        <v>#N/A</v>
      </c>
    </row>
    <row r="3205" spans="1:14">
      <c r="A3205">
        <f t="shared" si="662"/>
        <v>0</v>
      </c>
      <c r="B3205">
        <f t="shared" si="663"/>
        <v>0</v>
      </c>
      <c r="C3205">
        <f t="shared" si="664"/>
        <v>0</v>
      </c>
      <c r="D3205">
        <f t="shared" si="665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6"/>
        <v>0</v>
      </c>
      <c r="G3205">
        <f t="shared" si="667"/>
        <v>0</v>
      </c>
      <c r="H3205">
        <f t="shared" si="668"/>
        <v>0</v>
      </c>
      <c r="I3205">
        <f t="shared" si="669"/>
        <v>0</v>
      </c>
      <c r="J3205">
        <f t="shared" si="670"/>
        <v>0</v>
      </c>
      <c r="K3205" s="4" t="e">
        <f t="shared" si="658"/>
        <v>#N/A</v>
      </c>
      <c r="L3205" t="e">
        <f t="shared" si="659"/>
        <v>#N/A</v>
      </c>
      <c r="M3205" s="4" t="e">
        <f t="shared" si="660"/>
        <v>#N/A</v>
      </c>
      <c r="N3205" s="4" t="e">
        <f t="shared" si="661"/>
        <v>#N/A</v>
      </c>
    </row>
    <row r="3206" spans="1:14">
      <c r="A3206">
        <f t="shared" si="662"/>
        <v>0</v>
      </c>
      <c r="B3206">
        <f t="shared" si="663"/>
        <v>0</v>
      </c>
      <c r="C3206">
        <f t="shared" si="664"/>
        <v>0</v>
      </c>
      <c r="D3206">
        <f t="shared" si="665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6"/>
        <v>0</v>
      </c>
      <c r="G3206">
        <f t="shared" si="667"/>
        <v>0</v>
      </c>
      <c r="H3206">
        <f t="shared" si="668"/>
        <v>0</v>
      </c>
      <c r="I3206">
        <f t="shared" si="669"/>
        <v>0</v>
      </c>
      <c r="J3206">
        <f t="shared" si="670"/>
        <v>0</v>
      </c>
      <c r="K3206" s="4" t="e">
        <f t="shared" si="658"/>
        <v>#N/A</v>
      </c>
      <c r="L3206" t="e">
        <f t="shared" si="659"/>
        <v>#N/A</v>
      </c>
      <c r="M3206" s="4" t="e">
        <f t="shared" si="660"/>
        <v>#N/A</v>
      </c>
      <c r="N3206" s="4" t="e">
        <f t="shared" si="661"/>
        <v>#N/A</v>
      </c>
    </row>
    <row r="3207" spans="1:14">
      <c r="A3207">
        <f t="shared" si="662"/>
        <v>0</v>
      </c>
      <c r="B3207">
        <f t="shared" si="663"/>
        <v>0</v>
      </c>
      <c r="C3207">
        <f t="shared" si="664"/>
        <v>0</v>
      </c>
      <c r="D3207">
        <f t="shared" si="665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6"/>
        <v>0</v>
      </c>
      <c r="G3207">
        <f t="shared" si="667"/>
        <v>0</v>
      </c>
      <c r="H3207">
        <f t="shared" si="668"/>
        <v>0</v>
      </c>
      <c r="I3207">
        <f t="shared" si="669"/>
        <v>0</v>
      </c>
      <c r="J3207">
        <f t="shared" si="670"/>
        <v>0</v>
      </c>
      <c r="K3207" s="4" t="e">
        <f t="shared" si="658"/>
        <v>#N/A</v>
      </c>
      <c r="L3207" t="e">
        <f t="shared" si="659"/>
        <v>#N/A</v>
      </c>
      <c r="M3207" s="4" t="e">
        <f t="shared" si="660"/>
        <v>#N/A</v>
      </c>
      <c r="N3207" s="4" t="e">
        <f t="shared" si="661"/>
        <v>#N/A</v>
      </c>
    </row>
    <row r="3208" spans="1:14">
      <c r="A3208">
        <f t="shared" si="662"/>
        <v>0</v>
      </c>
      <c r="B3208">
        <f t="shared" si="663"/>
        <v>0</v>
      </c>
      <c r="C3208">
        <f t="shared" si="664"/>
        <v>0</v>
      </c>
      <c r="D3208">
        <f t="shared" si="665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6"/>
        <v>0</v>
      </c>
      <c r="G3208">
        <f t="shared" si="667"/>
        <v>0</v>
      </c>
      <c r="H3208">
        <f t="shared" si="668"/>
        <v>0</v>
      </c>
      <c r="I3208">
        <f t="shared" si="669"/>
        <v>0</v>
      </c>
      <c r="J3208">
        <f t="shared" si="670"/>
        <v>0</v>
      </c>
      <c r="K3208" s="4" t="e">
        <f t="shared" si="658"/>
        <v>#N/A</v>
      </c>
      <c r="L3208" t="e">
        <f t="shared" si="659"/>
        <v>#N/A</v>
      </c>
      <c r="M3208" s="4" t="e">
        <f t="shared" si="660"/>
        <v>#N/A</v>
      </c>
      <c r="N3208" s="4" t="e">
        <f t="shared" si="661"/>
        <v>#N/A</v>
      </c>
    </row>
    <row r="3209" spans="1:14">
      <c r="A3209">
        <f t="shared" si="662"/>
        <v>0</v>
      </c>
      <c r="B3209">
        <f t="shared" si="663"/>
        <v>0</v>
      </c>
      <c r="C3209">
        <f t="shared" si="664"/>
        <v>0</v>
      </c>
      <c r="D3209">
        <f t="shared" si="665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6"/>
        <v>0</v>
      </c>
      <c r="G3209">
        <f t="shared" si="667"/>
        <v>0</v>
      </c>
      <c r="H3209">
        <f t="shared" si="668"/>
        <v>0</v>
      </c>
      <c r="I3209">
        <f t="shared" si="669"/>
        <v>0</v>
      </c>
      <c r="J3209">
        <f t="shared" si="670"/>
        <v>0</v>
      </c>
      <c r="K3209" s="4" t="e">
        <f t="shared" si="658"/>
        <v>#N/A</v>
      </c>
      <c r="L3209" t="e">
        <f t="shared" si="659"/>
        <v>#N/A</v>
      </c>
      <c r="M3209" s="4" t="e">
        <f t="shared" si="660"/>
        <v>#N/A</v>
      </c>
      <c r="N3209" s="4" t="e">
        <f t="shared" si="661"/>
        <v>#N/A</v>
      </c>
    </row>
    <row r="3210" spans="1:14">
      <c r="A3210">
        <f t="shared" si="662"/>
        <v>0</v>
      </c>
      <c r="B3210">
        <f t="shared" si="663"/>
        <v>0</v>
      </c>
      <c r="C3210">
        <f t="shared" si="664"/>
        <v>0</v>
      </c>
      <c r="D3210">
        <f t="shared" si="665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6"/>
        <v>0</v>
      </c>
      <c r="G3210">
        <f t="shared" si="667"/>
        <v>0</v>
      </c>
      <c r="H3210">
        <f t="shared" si="668"/>
        <v>0</v>
      </c>
      <c r="I3210">
        <f t="shared" si="669"/>
        <v>0</v>
      </c>
      <c r="J3210">
        <f t="shared" si="670"/>
        <v>0</v>
      </c>
      <c r="K3210" s="4" t="e">
        <f t="shared" si="658"/>
        <v>#N/A</v>
      </c>
      <c r="L3210" t="e">
        <f t="shared" si="659"/>
        <v>#N/A</v>
      </c>
      <c r="M3210" s="4" t="e">
        <f t="shared" si="660"/>
        <v>#N/A</v>
      </c>
      <c r="N3210" s="4" t="e">
        <f t="shared" si="661"/>
        <v>#N/A</v>
      </c>
    </row>
    <row r="3211" spans="1:14">
      <c r="A3211">
        <f t="shared" si="662"/>
        <v>0</v>
      </c>
      <c r="B3211">
        <f t="shared" si="663"/>
        <v>0</v>
      </c>
      <c r="C3211">
        <f t="shared" si="664"/>
        <v>0</v>
      </c>
      <c r="D3211">
        <f t="shared" si="665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6"/>
        <v>0</v>
      </c>
      <c r="G3211">
        <f t="shared" si="667"/>
        <v>0</v>
      </c>
      <c r="H3211">
        <f t="shared" si="668"/>
        <v>0</v>
      </c>
      <c r="I3211">
        <f t="shared" si="669"/>
        <v>0</v>
      </c>
      <c r="J3211">
        <f t="shared" si="670"/>
        <v>0</v>
      </c>
      <c r="K3211" s="4" t="e">
        <f t="shared" si="658"/>
        <v>#N/A</v>
      </c>
      <c r="L3211" t="e">
        <f t="shared" si="659"/>
        <v>#N/A</v>
      </c>
      <c r="M3211" s="4" t="e">
        <f t="shared" si="660"/>
        <v>#N/A</v>
      </c>
      <c r="N3211" s="4" t="e">
        <f t="shared" si="661"/>
        <v>#N/A</v>
      </c>
    </row>
    <row r="3212" spans="1:14">
      <c r="A3212">
        <f t="shared" si="662"/>
        <v>0</v>
      </c>
      <c r="B3212">
        <f t="shared" si="663"/>
        <v>0</v>
      </c>
      <c r="C3212">
        <f t="shared" si="664"/>
        <v>0</v>
      </c>
      <c r="D3212">
        <f t="shared" si="665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6"/>
        <v>0</v>
      </c>
      <c r="G3212">
        <f t="shared" si="667"/>
        <v>0</v>
      </c>
      <c r="H3212">
        <f t="shared" si="668"/>
        <v>0</v>
      </c>
      <c r="I3212">
        <f t="shared" si="669"/>
        <v>0</v>
      </c>
      <c r="J3212">
        <f t="shared" si="670"/>
        <v>0</v>
      </c>
      <c r="K3212" s="4" t="e">
        <f t="shared" si="658"/>
        <v>#N/A</v>
      </c>
      <c r="L3212" t="e">
        <f t="shared" si="659"/>
        <v>#N/A</v>
      </c>
      <c r="M3212" s="4" t="e">
        <f t="shared" si="660"/>
        <v>#N/A</v>
      </c>
      <c r="N3212" s="4" t="e">
        <f t="shared" si="661"/>
        <v>#N/A</v>
      </c>
    </row>
    <row r="3213" spans="1:14">
      <c r="A3213">
        <f t="shared" si="662"/>
        <v>0</v>
      </c>
      <c r="B3213">
        <f t="shared" si="663"/>
        <v>0</v>
      </c>
      <c r="C3213">
        <f t="shared" si="664"/>
        <v>0</v>
      </c>
      <c r="D3213">
        <f t="shared" si="665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6"/>
        <v>0</v>
      </c>
      <c r="G3213">
        <f t="shared" si="667"/>
        <v>0</v>
      </c>
      <c r="H3213">
        <f t="shared" si="668"/>
        <v>0</v>
      </c>
      <c r="I3213">
        <f t="shared" si="669"/>
        <v>0</v>
      </c>
      <c r="J3213">
        <f t="shared" si="670"/>
        <v>0</v>
      </c>
      <c r="K3213" s="4" t="e">
        <f t="shared" si="658"/>
        <v>#N/A</v>
      </c>
      <c r="L3213" t="e">
        <f t="shared" si="659"/>
        <v>#N/A</v>
      </c>
      <c r="M3213" s="4" t="e">
        <f t="shared" si="660"/>
        <v>#N/A</v>
      </c>
      <c r="N3213" s="4" t="e">
        <f t="shared" si="661"/>
        <v>#N/A</v>
      </c>
    </row>
    <row r="3214" spans="1:14">
      <c r="A3214">
        <f t="shared" si="662"/>
        <v>0</v>
      </c>
      <c r="B3214">
        <f t="shared" si="663"/>
        <v>0</v>
      </c>
      <c r="C3214">
        <f t="shared" si="664"/>
        <v>0</v>
      </c>
      <c r="D3214">
        <f t="shared" si="665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6"/>
        <v>0</v>
      </c>
      <c r="G3214">
        <f t="shared" si="667"/>
        <v>0</v>
      </c>
      <c r="H3214">
        <f t="shared" si="668"/>
        <v>0</v>
      </c>
      <c r="I3214">
        <f t="shared" si="669"/>
        <v>0</v>
      </c>
      <c r="J3214">
        <f t="shared" si="670"/>
        <v>0</v>
      </c>
      <c r="K3214" s="4" t="e">
        <f t="shared" si="658"/>
        <v>#N/A</v>
      </c>
      <c r="L3214" t="e">
        <f t="shared" si="659"/>
        <v>#N/A</v>
      </c>
      <c r="M3214" s="4" t="e">
        <f t="shared" si="660"/>
        <v>#N/A</v>
      </c>
      <c r="N3214" s="4" t="e">
        <f t="shared" si="661"/>
        <v>#N/A</v>
      </c>
    </row>
    <row r="3215" spans="1:14">
      <c r="A3215">
        <f t="shared" si="662"/>
        <v>0</v>
      </c>
      <c r="B3215">
        <f t="shared" si="663"/>
        <v>0</v>
      </c>
      <c r="C3215">
        <f t="shared" si="664"/>
        <v>0</v>
      </c>
      <c r="D3215">
        <f t="shared" si="665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6"/>
        <v>0</v>
      </c>
      <c r="G3215">
        <f t="shared" si="667"/>
        <v>0</v>
      </c>
      <c r="H3215">
        <f t="shared" si="668"/>
        <v>0</v>
      </c>
      <c r="I3215">
        <f t="shared" si="669"/>
        <v>0</v>
      </c>
      <c r="J3215">
        <f t="shared" si="670"/>
        <v>0</v>
      </c>
      <c r="K3215" s="4" t="e">
        <f t="shared" si="658"/>
        <v>#N/A</v>
      </c>
      <c r="L3215" t="e">
        <f t="shared" si="659"/>
        <v>#N/A</v>
      </c>
      <c r="M3215" s="4" t="e">
        <f t="shared" si="660"/>
        <v>#N/A</v>
      </c>
      <c r="N3215" s="4" t="e">
        <f t="shared" si="661"/>
        <v>#N/A</v>
      </c>
    </row>
    <row r="3216" spans="1:14">
      <c r="A3216">
        <f t="shared" si="662"/>
        <v>0</v>
      </c>
      <c r="B3216">
        <f t="shared" si="663"/>
        <v>0</v>
      </c>
      <c r="C3216">
        <f t="shared" si="664"/>
        <v>0</v>
      </c>
      <c r="D3216">
        <f t="shared" si="665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6"/>
        <v>0</v>
      </c>
      <c r="G3216">
        <f t="shared" si="667"/>
        <v>0</v>
      </c>
      <c r="H3216">
        <f t="shared" si="668"/>
        <v>0</v>
      </c>
      <c r="I3216">
        <f t="shared" si="669"/>
        <v>0</v>
      </c>
      <c r="J3216">
        <f t="shared" si="670"/>
        <v>0</v>
      </c>
      <c r="K3216" s="4" t="e">
        <f t="shared" si="658"/>
        <v>#N/A</v>
      </c>
      <c r="L3216" t="e">
        <f t="shared" si="659"/>
        <v>#N/A</v>
      </c>
      <c r="M3216" s="4" t="e">
        <f t="shared" si="660"/>
        <v>#N/A</v>
      </c>
      <c r="N3216" s="4" t="e">
        <f t="shared" si="661"/>
        <v>#N/A</v>
      </c>
    </row>
    <row r="3217" spans="1:14">
      <c r="A3217">
        <f t="shared" si="662"/>
        <v>0</v>
      </c>
      <c r="B3217">
        <f t="shared" si="663"/>
        <v>0</v>
      </c>
      <c r="C3217">
        <f t="shared" si="664"/>
        <v>0</v>
      </c>
      <c r="D3217">
        <f t="shared" si="665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6"/>
        <v>0</v>
      </c>
      <c r="G3217">
        <f t="shared" si="667"/>
        <v>0</v>
      </c>
      <c r="H3217">
        <f t="shared" si="668"/>
        <v>0</v>
      </c>
      <c r="I3217">
        <f t="shared" si="669"/>
        <v>0</v>
      </c>
      <c r="J3217">
        <f t="shared" si="670"/>
        <v>0</v>
      </c>
      <c r="K3217" s="4" t="e">
        <f t="shared" si="658"/>
        <v>#N/A</v>
      </c>
      <c r="L3217" t="e">
        <f t="shared" si="659"/>
        <v>#N/A</v>
      </c>
      <c r="M3217" s="4" t="e">
        <f t="shared" si="660"/>
        <v>#N/A</v>
      </c>
      <c r="N3217" s="4" t="e">
        <f t="shared" si="661"/>
        <v>#N/A</v>
      </c>
    </row>
    <row r="3218" spans="1:14">
      <c r="A3218">
        <f t="shared" si="662"/>
        <v>0</v>
      </c>
      <c r="B3218">
        <f t="shared" si="663"/>
        <v>0</v>
      </c>
      <c r="C3218">
        <f t="shared" si="664"/>
        <v>0</v>
      </c>
      <c r="D3218">
        <f t="shared" si="665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6"/>
        <v>0</v>
      </c>
      <c r="G3218">
        <f t="shared" si="667"/>
        <v>0</v>
      </c>
      <c r="H3218">
        <f t="shared" si="668"/>
        <v>0</v>
      </c>
      <c r="I3218">
        <f t="shared" si="669"/>
        <v>0</v>
      </c>
      <c r="J3218">
        <f t="shared" si="670"/>
        <v>0</v>
      </c>
      <c r="K3218" s="4" t="e">
        <f t="shared" si="658"/>
        <v>#N/A</v>
      </c>
      <c r="L3218" t="e">
        <f t="shared" si="659"/>
        <v>#N/A</v>
      </c>
      <c r="M3218" s="4" t="e">
        <f t="shared" si="660"/>
        <v>#N/A</v>
      </c>
      <c r="N3218" s="4" t="e">
        <f t="shared" si="661"/>
        <v>#N/A</v>
      </c>
    </row>
    <row r="3219" spans="1:14">
      <c r="A3219">
        <f t="shared" si="662"/>
        <v>0</v>
      </c>
      <c r="B3219">
        <f t="shared" si="663"/>
        <v>0</v>
      </c>
      <c r="C3219">
        <f t="shared" si="664"/>
        <v>0</v>
      </c>
      <c r="D3219">
        <f t="shared" si="665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6"/>
        <v>0</v>
      </c>
      <c r="G3219">
        <f t="shared" si="667"/>
        <v>0</v>
      </c>
      <c r="H3219">
        <f t="shared" si="668"/>
        <v>0</v>
      </c>
      <c r="I3219">
        <f t="shared" si="669"/>
        <v>0</v>
      </c>
      <c r="J3219">
        <f t="shared" si="670"/>
        <v>0</v>
      </c>
      <c r="K3219" s="4" t="e">
        <f t="shared" si="658"/>
        <v>#N/A</v>
      </c>
      <c r="L3219" t="e">
        <f t="shared" si="659"/>
        <v>#N/A</v>
      </c>
      <c r="M3219" s="4" t="e">
        <f t="shared" si="660"/>
        <v>#N/A</v>
      </c>
      <c r="N3219" s="4" t="e">
        <f t="shared" si="661"/>
        <v>#N/A</v>
      </c>
    </row>
    <row r="3220" spans="1:14">
      <c r="A3220">
        <f t="shared" si="662"/>
        <v>0</v>
      </c>
      <c r="B3220">
        <f t="shared" si="663"/>
        <v>0</v>
      </c>
      <c r="C3220">
        <f t="shared" si="664"/>
        <v>0</v>
      </c>
      <c r="D3220">
        <f t="shared" si="665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6"/>
        <v>0</v>
      </c>
      <c r="G3220">
        <f t="shared" si="667"/>
        <v>0</v>
      </c>
      <c r="H3220">
        <f t="shared" si="668"/>
        <v>0</v>
      </c>
      <c r="I3220">
        <f t="shared" si="669"/>
        <v>0</v>
      </c>
      <c r="J3220">
        <f t="shared" si="670"/>
        <v>0</v>
      </c>
      <c r="K3220" s="4" t="e">
        <f t="shared" si="658"/>
        <v>#N/A</v>
      </c>
      <c r="L3220" t="e">
        <f t="shared" si="659"/>
        <v>#N/A</v>
      </c>
      <c r="M3220" s="4" t="e">
        <f t="shared" si="660"/>
        <v>#N/A</v>
      </c>
      <c r="N3220" s="4" t="e">
        <f t="shared" si="661"/>
        <v>#N/A</v>
      </c>
    </row>
    <row r="3221" spans="1:14">
      <c r="A3221">
        <f t="shared" si="662"/>
        <v>0</v>
      </c>
      <c r="B3221">
        <f t="shared" si="663"/>
        <v>0</v>
      </c>
      <c r="C3221">
        <f t="shared" si="664"/>
        <v>0</v>
      </c>
      <c r="D3221">
        <f t="shared" si="665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6"/>
        <v>0</v>
      </c>
      <c r="G3221">
        <f t="shared" si="667"/>
        <v>0</v>
      </c>
      <c r="H3221">
        <f t="shared" si="668"/>
        <v>0</v>
      </c>
      <c r="I3221">
        <f t="shared" si="669"/>
        <v>0</v>
      </c>
      <c r="J3221">
        <f t="shared" si="670"/>
        <v>0</v>
      </c>
      <c r="K3221" s="4" t="e">
        <f t="shared" si="658"/>
        <v>#N/A</v>
      </c>
      <c r="L3221" t="e">
        <f t="shared" si="659"/>
        <v>#N/A</v>
      </c>
      <c r="M3221" s="4" t="e">
        <f t="shared" si="660"/>
        <v>#N/A</v>
      </c>
      <c r="N3221" s="4" t="e">
        <f t="shared" si="661"/>
        <v>#N/A</v>
      </c>
    </row>
    <row r="3222" spans="1:14">
      <c r="A3222">
        <f t="shared" si="662"/>
        <v>0</v>
      </c>
      <c r="B3222">
        <f t="shared" si="663"/>
        <v>0</v>
      </c>
      <c r="C3222">
        <f t="shared" si="664"/>
        <v>0</v>
      </c>
      <c r="D3222">
        <f t="shared" si="665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6"/>
        <v>0</v>
      </c>
      <c r="G3222">
        <f t="shared" si="667"/>
        <v>0</v>
      </c>
      <c r="H3222">
        <f t="shared" si="668"/>
        <v>0</v>
      </c>
      <c r="I3222">
        <f t="shared" si="669"/>
        <v>0</v>
      </c>
      <c r="J3222">
        <f t="shared" si="670"/>
        <v>0</v>
      </c>
      <c r="K3222" s="4" t="e">
        <f t="shared" si="658"/>
        <v>#N/A</v>
      </c>
      <c r="L3222" t="e">
        <f t="shared" si="659"/>
        <v>#N/A</v>
      </c>
      <c r="M3222" s="4" t="e">
        <f t="shared" si="660"/>
        <v>#N/A</v>
      </c>
      <c r="N3222" s="4" t="e">
        <f t="shared" si="661"/>
        <v>#N/A</v>
      </c>
    </row>
    <row r="3223" spans="1:14">
      <c r="A3223">
        <f t="shared" si="662"/>
        <v>0</v>
      </c>
      <c r="B3223">
        <f t="shared" si="663"/>
        <v>0</v>
      </c>
      <c r="C3223">
        <f t="shared" si="664"/>
        <v>0</v>
      </c>
      <c r="D3223">
        <f t="shared" si="665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6"/>
        <v>0</v>
      </c>
      <c r="G3223">
        <f t="shared" si="667"/>
        <v>0</v>
      </c>
      <c r="H3223">
        <f t="shared" si="668"/>
        <v>0</v>
      </c>
      <c r="I3223">
        <f t="shared" si="669"/>
        <v>0</v>
      </c>
      <c r="J3223">
        <f t="shared" si="670"/>
        <v>0</v>
      </c>
      <c r="K3223" s="4" t="e">
        <f t="shared" si="658"/>
        <v>#N/A</v>
      </c>
      <c r="L3223" t="e">
        <f t="shared" si="659"/>
        <v>#N/A</v>
      </c>
      <c r="M3223" s="4" t="e">
        <f t="shared" si="660"/>
        <v>#N/A</v>
      </c>
      <c r="N3223" s="4" t="e">
        <f t="shared" si="661"/>
        <v>#N/A</v>
      </c>
    </row>
    <row r="3224" spans="1:14">
      <c r="A3224">
        <f t="shared" si="662"/>
        <v>0</v>
      </c>
      <c r="B3224">
        <f t="shared" si="663"/>
        <v>0</v>
      </c>
      <c r="C3224">
        <f t="shared" si="664"/>
        <v>0</v>
      </c>
      <c r="D3224">
        <f t="shared" si="665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6"/>
        <v>0</v>
      </c>
      <c r="G3224">
        <f t="shared" si="667"/>
        <v>0</v>
      </c>
      <c r="H3224">
        <f t="shared" si="668"/>
        <v>0</v>
      </c>
      <c r="I3224">
        <f t="shared" si="669"/>
        <v>0</v>
      </c>
      <c r="J3224">
        <f t="shared" si="670"/>
        <v>0</v>
      </c>
      <c r="K3224" s="4" t="e">
        <f t="shared" si="658"/>
        <v>#N/A</v>
      </c>
      <c r="L3224" t="e">
        <f t="shared" si="659"/>
        <v>#N/A</v>
      </c>
      <c r="M3224" s="4" t="e">
        <f t="shared" si="660"/>
        <v>#N/A</v>
      </c>
      <c r="N3224" s="4" t="e">
        <f t="shared" si="661"/>
        <v>#N/A</v>
      </c>
    </row>
    <row r="3225" spans="1:14">
      <c r="A3225">
        <f t="shared" si="662"/>
        <v>0</v>
      </c>
      <c r="B3225">
        <f t="shared" si="663"/>
        <v>0</v>
      </c>
      <c r="C3225">
        <f t="shared" si="664"/>
        <v>0</v>
      </c>
      <c r="D3225">
        <f t="shared" si="665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6"/>
        <v>0</v>
      </c>
      <c r="G3225">
        <f t="shared" si="667"/>
        <v>0</v>
      </c>
      <c r="H3225">
        <f t="shared" si="668"/>
        <v>0</v>
      </c>
      <c r="I3225">
        <f t="shared" si="669"/>
        <v>0</v>
      </c>
      <c r="J3225">
        <f t="shared" si="670"/>
        <v>0</v>
      </c>
      <c r="K3225" s="4" t="e">
        <f t="shared" si="658"/>
        <v>#N/A</v>
      </c>
      <c r="L3225" t="e">
        <f t="shared" si="659"/>
        <v>#N/A</v>
      </c>
      <c r="M3225" s="4" t="e">
        <f t="shared" si="660"/>
        <v>#N/A</v>
      </c>
      <c r="N3225" s="4" t="e">
        <f t="shared" si="661"/>
        <v>#N/A</v>
      </c>
    </row>
    <row r="3226" spans="1:14">
      <c r="A3226">
        <f t="shared" si="662"/>
        <v>0</v>
      </c>
      <c r="B3226">
        <f t="shared" si="663"/>
        <v>0</v>
      </c>
      <c r="C3226">
        <f t="shared" si="664"/>
        <v>0</v>
      </c>
      <c r="D3226">
        <f t="shared" si="665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6"/>
        <v>0</v>
      </c>
      <c r="G3226">
        <f t="shared" si="667"/>
        <v>0</v>
      </c>
      <c r="H3226">
        <f t="shared" si="668"/>
        <v>0</v>
      </c>
      <c r="I3226">
        <f t="shared" si="669"/>
        <v>0</v>
      </c>
      <c r="J3226">
        <f t="shared" si="670"/>
        <v>0</v>
      </c>
      <c r="K3226" s="4" t="e">
        <f t="shared" si="658"/>
        <v>#N/A</v>
      </c>
      <c r="L3226" t="e">
        <f t="shared" si="659"/>
        <v>#N/A</v>
      </c>
      <c r="M3226" s="4" t="e">
        <f t="shared" si="660"/>
        <v>#N/A</v>
      </c>
      <c r="N3226" s="4" t="e">
        <f t="shared" si="661"/>
        <v>#N/A</v>
      </c>
    </row>
    <row r="3227" spans="1:14">
      <c r="A3227">
        <f t="shared" si="662"/>
        <v>0</v>
      </c>
      <c r="B3227">
        <f t="shared" si="663"/>
        <v>0</v>
      </c>
      <c r="C3227">
        <f t="shared" si="664"/>
        <v>0</v>
      </c>
      <c r="D3227">
        <f t="shared" si="665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6"/>
        <v>0</v>
      </c>
      <c r="G3227">
        <f t="shared" si="667"/>
        <v>0</v>
      </c>
      <c r="H3227">
        <f t="shared" si="668"/>
        <v>0</v>
      </c>
      <c r="I3227">
        <f t="shared" si="669"/>
        <v>0</v>
      </c>
      <c r="J3227">
        <f t="shared" si="670"/>
        <v>0</v>
      </c>
      <c r="K3227" s="4" t="e">
        <f t="shared" si="658"/>
        <v>#N/A</v>
      </c>
      <c r="L3227" t="e">
        <f t="shared" si="659"/>
        <v>#N/A</v>
      </c>
      <c r="M3227" s="4" t="e">
        <f t="shared" si="660"/>
        <v>#N/A</v>
      </c>
      <c r="N3227" s="4" t="e">
        <f t="shared" si="661"/>
        <v>#N/A</v>
      </c>
    </row>
    <row r="3228" spans="1:14">
      <c r="A3228">
        <f t="shared" si="662"/>
        <v>0</v>
      </c>
      <c r="B3228">
        <f t="shared" si="663"/>
        <v>0</v>
      </c>
      <c r="C3228">
        <f t="shared" si="664"/>
        <v>0</v>
      </c>
      <c r="D3228">
        <f t="shared" si="665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6"/>
        <v>0</v>
      </c>
      <c r="G3228">
        <f t="shared" si="667"/>
        <v>0</v>
      </c>
      <c r="H3228">
        <f t="shared" si="668"/>
        <v>0</v>
      </c>
      <c r="I3228">
        <f t="shared" si="669"/>
        <v>0</v>
      </c>
      <c r="J3228">
        <f t="shared" si="670"/>
        <v>0</v>
      </c>
      <c r="K3228" s="4" t="e">
        <f t="shared" si="658"/>
        <v>#N/A</v>
      </c>
      <c r="L3228" t="e">
        <f t="shared" si="659"/>
        <v>#N/A</v>
      </c>
      <c r="M3228" s="4" t="e">
        <f t="shared" si="660"/>
        <v>#N/A</v>
      </c>
      <c r="N3228" s="4" t="e">
        <f t="shared" si="661"/>
        <v>#N/A</v>
      </c>
    </row>
    <row r="3229" spans="1:14">
      <c r="A3229">
        <f t="shared" si="662"/>
        <v>0</v>
      </c>
      <c r="B3229">
        <f t="shared" si="663"/>
        <v>0</v>
      </c>
      <c r="C3229">
        <f t="shared" si="664"/>
        <v>0</v>
      </c>
      <c r="D3229">
        <f t="shared" si="665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6"/>
        <v>0</v>
      </c>
      <c r="G3229">
        <f t="shared" si="667"/>
        <v>0</v>
      </c>
      <c r="H3229">
        <f t="shared" si="668"/>
        <v>0</v>
      </c>
      <c r="I3229">
        <f t="shared" si="669"/>
        <v>0</v>
      </c>
      <c r="J3229">
        <f t="shared" si="670"/>
        <v>0</v>
      </c>
      <c r="K3229" s="4" t="e">
        <f t="shared" si="658"/>
        <v>#N/A</v>
      </c>
      <c r="L3229" t="e">
        <f t="shared" si="659"/>
        <v>#N/A</v>
      </c>
      <c r="M3229" s="4" t="e">
        <f t="shared" si="660"/>
        <v>#N/A</v>
      </c>
      <c r="N3229" s="4" t="e">
        <f t="shared" si="661"/>
        <v>#N/A</v>
      </c>
    </row>
    <row r="3230" spans="1:14">
      <c r="A3230">
        <f t="shared" si="662"/>
        <v>0</v>
      </c>
      <c r="B3230">
        <f t="shared" si="663"/>
        <v>0</v>
      </c>
      <c r="C3230">
        <f t="shared" si="664"/>
        <v>0</v>
      </c>
      <c r="D3230">
        <f t="shared" si="665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6"/>
        <v>0</v>
      </c>
      <c r="G3230">
        <f t="shared" si="667"/>
        <v>0</v>
      </c>
      <c r="H3230">
        <f t="shared" si="668"/>
        <v>0</v>
      </c>
      <c r="I3230">
        <f t="shared" si="669"/>
        <v>0</v>
      </c>
      <c r="J3230">
        <f t="shared" si="670"/>
        <v>0</v>
      </c>
      <c r="K3230" s="4" t="e">
        <f t="shared" si="658"/>
        <v>#N/A</v>
      </c>
      <c r="L3230" t="e">
        <f t="shared" si="659"/>
        <v>#N/A</v>
      </c>
      <c r="M3230" s="4" t="e">
        <f t="shared" si="660"/>
        <v>#N/A</v>
      </c>
      <c r="N3230" s="4" t="e">
        <f t="shared" si="661"/>
        <v>#N/A</v>
      </c>
    </row>
    <row r="3231" spans="1:14">
      <c r="A3231">
        <f t="shared" si="662"/>
        <v>0</v>
      </c>
      <c r="B3231">
        <f t="shared" si="663"/>
        <v>0</v>
      </c>
      <c r="C3231">
        <f t="shared" si="664"/>
        <v>0</v>
      </c>
      <c r="D3231">
        <f t="shared" si="665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6"/>
        <v>0</v>
      </c>
      <c r="G3231">
        <f t="shared" si="667"/>
        <v>0</v>
      </c>
      <c r="H3231">
        <f t="shared" si="668"/>
        <v>0</v>
      </c>
      <c r="I3231">
        <f t="shared" si="669"/>
        <v>0</v>
      </c>
      <c r="J3231">
        <f t="shared" si="670"/>
        <v>0</v>
      </c>
      <c r="K3231" s="4" t="e">
        <f t="shared" si="658"/>
        <v>#N/A</v>
      </c>
      <c r="L3231" t="e">
        <f t="shared" si="659"/>
        <v>#N/A</v>
      </c>
      <c r="M3231" s="4" t="e">
        <f t="shared" si="660"/>
        <v>#N/A</v>
      </c>
      <c r="N3231" s="4" t="e">
        <f t="shared" si="661"/>
        <v>#N/A</v>
      </c>
    </row>
    <row r="3232" spans="1:14">
      <c r="A3232">
        <f t="shared" si="662"/>
        <v>0</v>
      </c>
      <c r="B3232">
        <f t="shared" si="663"/>
        <v>0</v>
      </c>
      <c r="C3232">
        <f t="shared" si="664"/>
        <v>0</v>
      </c>
      <c r="D3232">
        <f t="shared" si="665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6"/>
        <v>0</v>
      </c>
      <c r="G3232">
        <f t="shared" si="667"/>
        <v>0</v>
      </c>
      <c r="H3232">
        <f t="shared" si="668"/>
        <v>0</v>
      </c>
      <c r="I3232">
        <f t="shared" si="669"/>
        <v>0</v>
      </c>
      <c r="J3232">
        <f t="shared" si="670"/>
        <v>0</v>
      </c>
      <c r="K3232" s="4" t="e">
        <f t="shared" si="658"/>
        <v>#N/A</v>
      </c>
      <c r="L3232" t="e">
        <f t="shared" si="659"/>
        <v>#N/A</v>
      </c>
      <c r="M3232" s="4" t="e">
        <f t="shared" si="660"/>
        <v>#N/A</v>
      </c>
      <c r="N3232" s="4" t="e">
        <f t="shared" si="661"/>
        <v>#N/A</v>
      </c>
    </row>
    <row r="3233" spans="1:14">
      <c r="A3233">
        <f t="shared" si="662"/>
        <v>0</v>
      </c>
      <c r="B3233">
        <f t="shared" si="663"/>
        <v>0</v>
      </c>
      <c r="C3233">
        <f t="shared" si="664"/>
        <v>0</v>
      </c>
      <c r="D3233">
        <f t="shared" si="665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6"/>
        <v>0</v>
      </c>
      <c r="G3233">
        <f t="shared" si="667"/>
        <v>0</v>
      </c>
      <c r="H3233">
        <f t="shared" si="668"/>
        <v>0</v>
      </c>
      <c r="I3233">
        <f t="shared" si="669"/>
        <v>0</v>
      </c>
      <c r="J3233">
        <f t="shared" si="670"/>
        <v>0</v>
      </c>
      <c r="K3233" s="4" t="e">
        <f t="shared" si="658"/>
        <v>#N/A</v>
      </c>
      <c r="L3233" t="e">
        <f t="shared" si="659"/>
        <v>#N/A</v>
      </c>
      <c r="M3233" s="4" t="e">
        <f t="shared" si="660"/>
        <v>#N/A</v>
      </c>
      <c r="N3233" s="4" t="e">
        <f t="shared" si="661"/>
        <v>#N/A</v>
      </c>
    </row>
    <row r="3234" spans="1:14">
      <c r="A3234">
        <f t="shared" si="662"/>
        <v>0</v>
      </c>
      <c r="B3234">
        <f t="shared" si="663"/>
        <v>0</v>
      </c>
      <c r="C3234">
        <f t="shared" si="664"/>
        <v>0</v>
      </c>
      <c r="D3234">
        <f t="shared" si="665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6"/>
        <v>0</v>
      </c>
      <c r="G3234">
        <f t="shared" si="667"/>
        <v>0</v>
      </c>
      <c r="H3234">
        <f t="shared" si="668"/>
        <v>0</v>
      </c>
      <c r="I3234">
        <f t="shared" si="669"/>
        <v>0</v>
      </c>
      <c r="J3234">
        <f t="shared" si="670"/>
        <v>0</v>
      </c>
      <c r="K3234" s="4" t="e">
        <f t="shared" si="658"/>
        <v>#N/A</v>
      </c>
      <c r="L3234" t="e">
        <f t="shared" si="659"/>
        <v>#N/A</v>
      </c>
      <c r="M3234" s="4" t="e">
        <f t="shared" si="660"/>
        <v>#N/A</v>
      </c>
      <c r="N3234" s="4" t="e">
        <f t="shared" si="661"/>
        <v>#N/A</v>
      </c>
    </row>
    <row r="3235" spans="1:14">
      <c r="A3235">
        <f t="shared" si="662"/>
        <v>0</v>
      </c>
      <c r="B3235">
        <f t="shared" si="663"/>
        <v>0</v>
      </c>
      <c r="C3235">
        <f t="shared" si="664"/>
        <v>0</v>
      </c>
      <c r="D3235">
        <f t="shared" si="665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6"/>
        <v>0</v>
      </c>
      <c r="G3235">
        <f t="shared" si="667"/>
        <v>0</v>
      </c>
      <c r="H3235">
        <f t="shared" si="668"/>
        <v>0</v>
      </c>
      <c r="I3235">
        <f t="shared" si="669"/>
        <v>0</v>
      </c>
      <c r="J3235">
        <f t="shared" si="670"/>
        <v>0</v>
      </c>
      <c r="K3235" s="4" t="e">
        <f t="shared" si="658"/>
        <v>#N/A</v>
      </c>
      <c r="L3235" t="e">
        <f t="shared" si="659"/>
        <v>#N/A</v>
      </c>
      <c r="M3235" s="4" t="e">
        <f t="shared" si="660"/>
        <v>#N/A</v>
      </c>
      <c r="N3235" s="4" t="e">
        <f t="shared" si="661"/>
        <v>#N/A</v>
      </c>
    </row>
    <row r="3236" spans="1:14">
      <c r="A3236">
        <f t="shared" si="662"/>
        <v>0</v>
      </c>
      <c r="B3236">
        <f t="shared" si="663"/>
        <v>0</v>
      </c>
      <c r="C3236">
        <f t="shared" si="664"/>
        <v>0</v>
      </c>
      <c r="D3236">
        <f t="shared" si="665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6"/>
        <v>0</v>
      </c>
      <c r="G3236">
        <f t="shared" si="667"/>
        <v>0</v>
      </c>
      <c r="H3236">
        <f t="shared" si="668"/>
        <v>0</v>
      </c>
      <c r="I3236">
        <f t="shared" si="669"/>
        <v>0</v>
      </c>
      <c r="J3236">
        <f t="shared" si="670"/>
        <v>0</v>
      </c>
      <c r="K3236" s="4" t="e">
        <f t="shared" si="658"/>
        <v>#N/A</v>
      </c>
      <c r="L3236" t="e">
        <f t="shared" si="659"/>
        <v>#N/A</v>
      </c>
      <c r="M3236" s="4" t="e">
        <f t="shared" si="660"/>
        <v>#N/A</v>
      </c>
      <c r="N3236" s="4" t="e">
        <f t="shared" si="661"/>
        <v>#N/A</v>
      </c>
    </row>
    <row r="3237" spans="1:14">
      <c r="A3237">
        <f t="shared" si="662"/>
        <v>0</v>
      </c>
      <c r="B3237">
        <f t="shared" si="663"/>
        <v>0</v>
      </c>
      <c r="C3237">
        <f t="shared" si="664"/>
        <v>0</v>
      </c>
      <c r="D3237">
        <f t="shared" si="665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6"/>
        <v>0</v>
      </c>
      <c r="G3237">
        <f t="shared" si="667"/>
        <v>0</v>
      </c>
      <c r="H3237">
        <f t="shared" si="668"/>
        <v>0</v>
      </c>
      <c r="I3237">
        <f t="shared" si="669"/>
        <v>0</v>
      </c>
      <c r="J3237">
        <f t="shared" si="670"/>
        <v>0</v>
      </c>
      <c r="K3237" s="4" t="e">
        <f t="shared" si="658"/>
        <v>#N/A</v>
      </c>
      <c r="L3237" t="e">
        <f t="shared" si="659"/>
        <v>#N/A</v>
      </c>
      <c r="M3237" s="4" t="e">
        <f t="shared" si="660"/>
        <v>#N/A</v>
      </c>
      <c r="N3237" s="4" t="e">
        <f t="shared" si="661"/>
        <v>#N/A</v>
      </c>
    </row>
    <row r="3238" spans="1:14">
      <c r="A3238">
        <f t="shared" si="662"/>
        <v>0</v>
      </c>
      <c r="B3238">
        <f t="shared" si="663"/>
        <v>0</v>
      </c>
      <c r="C3238">
        <f t="shared" si="664"/>
        <v>0</v>
      </c>
      <c r="D3238">
        <f t="shared" si="665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6"/>
        <v>0</v>
      </c>
      <c r="G3238">
        <f t="shared" si="667"/>
        <v>0</v>
      </c>
      <c r="H3238">
        <f t="shared" si="668"/>
        <v>0</v>
      </c>
      <c r="I3238">
        <f t="shared" si="669"/>
        <v>0</v>
      </c>
      <c r="J3238">
        <f t="shared" si="670"/>
        <v>0</v>
      </c>
      <c r="K3238" s="4" t="e">
        <f t="shared" si="658"/>
        <v>#N/A</v>
      </c>
      <c r="L3238" t="e">
        <f t="shared" si="659"/>
        <v>#N/A</v>
      </c>
      <c r="M3238" s="4" t="e">
        <f t="shared" si="660"/>
        <v>#N/A</v>
      </c>
      <c r="N3238" s="4" t="e">
        <f t="shared" si="661"/>
        <v>#N/A</v>
      </c>
    </row>
    <row r="3239" spans="1:14">
      <c r="A3239">
        <f t="shared" si="662"/>
        <v>0</v>
      </c>
      <c r="B3239">
        <f t="shared" si="663"/>
        <v>0</v>
      </c>
      <c r="C3239">
        <f t="shared" si="664"/>
        <v>0</v>
      </c>
      <c r="D3239">
        <f t="shared" si="665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6"/>
        <v>0</v>
      </c>
      <c r="G3239">
        <f t="shared" si="667"/>
        <v>0</v>
      </c>
      <c r="H3239">
        <f t="shared" si="668"/>
        <v>0</v>
      </c>
      <c r="I3239">
        <f t="shared" si="669"/>
        <v>0</v>
      </c>
      <c r="J3239">
        <f t="shared" si="670"/>
        <v>0</v>
      </c>
      <c r="K3239" s="4" t="e">
        <f t="shared" si="658"/>
        <v>#N/A</v>
      </c>
      <c r="L3239" t="e">
        <f t="shared" si="659"/>
        <v>#N/A</v>
      </c>
      <c r="M3239" s="4" t="e">
        <f t="shared" si="660"/>
        <v>#N/A</v>
      </c>
      <c r="N3239" s="4" t="e">
        <f t="shared" si="661"/>
        <v>#N/A</v>
      </c>
    </row>
    <row r="3240" spans="1:14">
      <c r="A3240">
        <f t="shared" si="662"/>
        <v>0</v>
      </c>
      <c r="B3240">
        <f t="shared" si="663"/>
        <v>0</v>
      </c>
      <c r="C3240">
        <f t="shared" si="664"/>
        <v>0</v>
      </c>
      <c r="D3240">
        <f t="shared" si="665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6"/>
        <v>0</v>
      </c>
      <c r="G3240">
        <f t="shared" si="667"/>
        <v>0</v>
      </c>
      <c r="H3240">
        <f t="shared" si="668"/>
        <v>0</v>
      </c>
      <c r="I3240">
        <f t="shared" si="669"/>
        <v>0</v>
      </c>
      <c r="J3240">
        <f t="shared" si="670"/>
        <v>0</v>
      </c>
      <c r="K3240" s="4" t="e">
        <f t="shared" si="658"/>
        <v>#N/A</v>
      </c>
      <c r="L3240" t="e">
        <f t="shared" si="659"/>
        <v>#N/A</v>
      </c>
      <c r="M3240" s="4" t="e">
        <f t="shared" si="660"/>
        <v>#N/A</v>
      </c>
      <c r="N3240" s="4" t="e">
        <f t="shared" si="661"/>
        <v>#N/A</v>
      </c>
    </row>
    <row r="3241" spans="1:14">
      <c r="A3241">
        <f t="shared" si="662"/>
        <v>0</v>
      </c>
      <c r="B3241">
        <f t="shared" si="663"/>
        <v>0</v>
      </c>
      <c r="C3241">
        <f t="shared" si="664"/>
        <v>0</v>
      </c>
      <c r="D3241">
        <f t="shared" si="665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6"/>
        <v>0</v>
      </c>
      <c r="G3241">
        <f t="shared" si="667"/>
        <v>0</v>
      </c>
      <c r="H3241">
        <f t="shared" si="668"/>
        <v>0</v>
      </c>
      <c r="I3241">
        <f t="shared" si="669"/>
        <v>0</v>
      </c>
      <c r="J3241">
        <f t="shared" si="670"/>
        <v>0</v>
      </c>
      <c r="K3241" s="4" t="e">
        <f t="shared" si="658"/>
        <v>#N/A</v>
      </c>
      <c r="L3241" t="e">
        <f t="shared" si="659"/>
        <v>#N/A</v>
      </c>
      <c r="M3241" s="4" t="e">
        <f t="shared" si="660"/>
        <v>#N/A</v>
      </c>
      <c r="N3241" s="4" t="e">
        <f t="shared" si="661"/>
        <v>#N/A</v>
      </c>
    </row>
    <row r="3242" spans="1:14">
      <c r="A3242">
        <f t="shared" si="662"/>
        <v>0</v>
      </c>
      <c r="B3242">
        <f t="shared" si="663"/>
        <v>0</v>
      </c>
      <c r="C3242">
        <f t="shared" si="664"/>
        <v>0</v>
      </c>
      <c r="D3242">
        <f t="shared" si="665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6"/>
        <v>0</v>
      </c>
      <c r="G3242">
        <f t="shared" si="667"/>
        <v>0</v>
      </c>
      <c r="H3242">
        <f t="shared" si="668"/>
        <v>0</v>
      </c>
      <c r="I3242">
        <f t="shared" si="669"/>
        <v>0</v>
      </c>
      <c r="J3242">
        <f t="shared" si="670"/>
        <v>0</v>
      </c>
      <c r="K3242" s="4" t="e">
        <f t="shared" si="658"/>
        <v>#N/A</v>
      </c>
      <c r="L3242" t="e">
        <f t="shared" si="659"/>
        <v>#N/A</v>
      </c>
      <c r="M3242" s="4" t="e">
        <f t="shared" si="660"/>
        <v>#N/A</v>
      </c>
      <c r="N3242" s="4" t="e">
        <f t="shared" si="661"/>
        <v>#N/A</v>
      </c>
    </row>
    <row r="3243" spans="1:14">
      <c r="A3243">
        <f t="shared" si="662"/>
        <v>0</v>
      </c>
      <c r="B3243">
        <f t="shared" si="663"/>
        <v>0</v>
      </c>
      <c r="C3243">
        <f t="shared" si="664"/>
        <v>0</v>
      </c>
      <c r="D3243">
        <f t="shared" si="665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6"/>
        <v>0</v>
      </c>
      <c r="G3243">
        <f t="shared" si="667"/>
        <v>0</v>
      </c>
      <c r="H3243">
        <f t="shared" si="668"/>
        <v>0</v>
      </c>
      <c r="I3243">
        <f t="shared" si="669"/>
        <v>0</v>
      </c>
      <c r="J3243">
        <f t="shared" si="670"/>
        <v>0</v>
      </c>
      <c r="K3243" s="4" t="e">
        <f t="shared" si="658"/>
        <v>#N/A</v>
      </c>
      <c r="L3243" t="e">
        <f t="shared" si="659"/>
        <v>#N/A</v>
      </c>
      <c r="M3243" s="4" t="e">
        <f t="shared" si="660"/>
        <v>#N/A</v>
      </c>
      <c r="N3243" s="4" t="e">
        <f t="shared" si="661"/>
        <v>#N/A</v>
      </c>
    </row>
    <row r="3244" spans="1:14">
      <c r="A3244">
        <f t="shared" si="662"/>
        <v>0</v>
      </c>
      <c r="B3244">
        <f t="shared" si="663"/>
        <v>0</v>
      </c>
      <c r="C3244">
        <f t="shared" si="664"/>
        <v>0</v>
      </c>
      <c r="D3244">
        <f t="shared" si="665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6"/>
        <v>0</v>
      </c>
      <c r="G3244">
        <f t="shared" si="667"/>
        <v>0</v>
      </c>
      <c r="H3244">
        <f t="shared" si="668"/>
        <v>0</v>
      </c>
      <c r="I3244">
        <f t="shared" si="669"/>
        <v>0</v>
      </c>
      <c r="J3244">
        <f t="shared" si="670"/>
        <v>0</v>
      </c>
      <c r="K3244" s="4" t="e">
        <f t="shared" si="658"/>
        <v>#N/A</v>
      </c>
      <c r="L3244" t="e">
        <f t="shared" si="659"/>
        <v>#N/A</v>
      </c>
      <c r="M3244" s="4" t="e">
        <f t="shared" si="660"/>
        <v>#N/A</v>
      </c>
      <c r="N3244" s="4" t="e">
        <f t="shared" si="661"/>
        <v>#N/A</v>
      </c>
    </row>
    <row r="3245" spans="1:14">
      <c r="A3245">
        <f t="shared" si="662"/>
        <v>0</v>
      </c>
      <c r="B3245">
        <f t="shared" si="663"/>
        <v>0</v>
      </c>
      <c r="C3245">
        <f t="shared" si="664"/>
        <v>0</v>
      </c>
      <c r="D3245">
        <f t="shared" si="665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6"/>
        <v>0</v>
      </c>
      <c r="G3245">
        <f t="shared" si="667"/>
        <v>0</v>
      </c>
      <c r="H3245">
        <f t="shared" si="668"/>
        <v>0</v>
      </c>
      <c r="I3245">
        <f t="shared" si="669"/>
        <v>0</v>
      </c>
      <c r="J3245">
        <f t="shared" si="670"/>
        <v>0</v>
      </c>
      <c r="K3245" s="4" t="e">
        <f t="shared" si="658"/>
        <v>#N/A</v>
      </c>
      <c r="L3245" t="e">
        <f t="shared" si="659"/>
        <v>#N/A</v>
      </c>
      <c r="M3245" s="4" t="e">
        <f t="shared" si="660"/>
        <v>#N/A</v>
      </c>
      <c r="N3245" s="4" t="e">
        <f t="shared" si="661"/>
        <v>#N/A</v>
      </c>
    </row>
    <row r="3246" spans="1:14">
      <c r="A3246">
        <f t="shared" si="662"/>
        <v>0</v>
      </c>
      <c r="B3246">
        <f t="shared" si="663"/>
        <v>0</v>
      </c>
      <c r="C3246">
        <f t="shared" si="664"/>
        <v>0</v>
      </c>
      <c r="D3246">
        <f t="shared" si="665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6"/>
        <v>0</v>
      </c>
      <c r="G3246">
        <f t="shared" si="667"/>
        <v>0</v>
      </c>
      <c r="H3246">
        <f t="shared" si="668"/>
        <v>0</v>
      </c>
      <c r="I3246">
        <f t="shared" si="669"/>
        <v>0</v>
      </c>
      <c r="J3246">
        <f t="shared" si="670"/>
        <v>0</v>
      </c>
      <c r="K3246" s="4" t="e">
        <f t="shared" si="658"/>
        <v>#N/A</v>
      </c>
      <c r="L3246" t="e">
        <f t="shared" si="659"/>
        <v>#N/A</v>
      </c>
      <c r="M3246" s="4" t="e">
        <f t="shared" si="660"/>
        <v>#N/A</v>
      </c>
      <c r="N3246" s="4" t="e">
        <f t="shared" si="661"/>
        <v>#N/A</v>
      </c>
    </row>
    <row r="3247" spans="1:14">
      <c r="A3247">
        <f t="shared" si="662"/>
        <v>0</v>
      </c>
      <c r="B3247">
        <f t="shared" si="663"/>
        <v>0</v>
      </c>
      <c r="C3247">
        <f t="shared" si="664"/>
        <v>0</v>
      </c>
      <c r="D3247">
        <f t="shared" si="665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6"/>
        <v>0</v>
      </c>
      <c r="G3247">
        <f t="shared" si="667"/>
        <v>0</v>
      </c>
      <c r="H3247">
        <f t="shared" si="668"/>
        <v>0</v>
      </c>
      <c r="I3247">
        <f t="shared" si="669"/>
        <v>0</v>
      </c>
      <c r="J3247">
        <f t="shared" si="670"/>
        <v>0</v>
      </c>
      <c r="K3247" s="4" t="e">
        <f t="shared" si="658"/>
        <v>#N/A</v>
      </c>
      <c r="L3247" t="e">
        <f t="shared" si="659"/>
        <v>#N/A</v>
      </c>
      <c r="M3247" s="4" t="e">
        <f t="shared" si="660"/>
        <v>#N/A</v>
      </c>
      <c r="N3247" s="4" t="e">
        <f t="shared" si="661"/>
        <v>#N/A</v>
      </c>
    </row>
    <row r="3248" spans="1:14">
      <c r="A3248">
        <f t="shared" si="662"/>
        <v>0</v>
      </c>
      <c r="B3248">
        <f t="shared" si="663"/>
        <v>0</v>
      </c>
      <c r="C3248">
        <f t="shared" si="664"/>
        <v>0</v>
      </c>
      <c r="D3248">
        <f t="shared" si="665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6"/>
        <v>0</v>
      </c>
      <c r="G3248">
        <f t="shared" si="667"/>
        <v>0</v>
      </c>
      <c r="H3248">
        <f t="shared" si="668"/>
        <v>0</v>
      </c>
      <c r="I3248">
        <f t="shared" si="669"/>
        <v>0</v>
      </c>
      <c r="J3248">
        <f t="shared" si="670"/>
        <v>0</v>
      </c>
      <c r="K3248" s="4" t="e">
        <f t="shared" si="658"/>
        <v>#N/A</v>
      </c>
      <c r="L3248" t="e">
        <f t="shared" si="659"/>
        <v>#N/A</v>
      </c>
      <c r="M3248" s="4" t="e">
        <f t="shared" si="660"/>
        <v>#N/A</v>
      </c>
      <c r="N3248" s="4" t="e">
        <f t="shared" si="661"/>
        <v>#N/A</v>
      </c>
    </row>
    <row r="3249" spans="1:14">
      <c r="A3249">
        <f t="shared" si="662"/>
        <v>0</v>
      </c>
      <c r="B3249">
        <f t="shared" si="663"/>
        <v>0</v>
      </c>
      <c r="C3249">
        <f t="shared" si="664"/>
        <v>0</v>
      </c>
      <c r="D3249">
        <f t="shared" si="665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6"/>
        <v>0</v>
      </c>
      <c r="G3249">
        <f t="shared" si="667"/>
        <v>0</v>
      </c>
      <c r="H3249">
        <f t="shared" si="668"/>
        <v>0</v>
      </c>
      <c r="I3249">
        <f t="shared" si="669"/>
        <v>0</v>
      </c>
      <c r="J3249">
        <f t="shared" si="670"/>
        <v>0</v>
      </c>
      <c r="K3249" s="4" t="e">
        <f t="shared" si="658"/>
        <v>#N/A</v>
      </c>
      <c r="L3249" t="e">
        <f t="shared" si="659"/>
        <v>#N/A</v>
      </c>
      <c r="M3249" s="4" t="e">
        <f t="shared" si="660"/>
        <v>#N/A</v>
      </c>
      <c r="N3249" s="4" t="e">
        <f t="shared" si="661"/>
        <v>#N/A</v>
      </c>
    </row>
    <row r="3250" spans="1:14">
      <c r="A3250">
        <f t="shared" si="662"/>
        <v>0</v>
      </c>
      <c r="B3250">
        <f t="shared" si="663"/>
        <v>0</v>
      </c>
      <c r="C3250">
        <f t="shared" si="664"/>
        <v>0</v>
      </c>
      <c r="D3250">
        <f t="shared" si="665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6"/>
        <v>0</v>
      </c>
      <c r="G3250">
        <f t="shared" si="667"/>
        <v>0</v>
      </c>
      <c r="H3250">
        <f t="shared" si="668"/>
        <v>0</v>
      </c>
      <c r="I3250">
        <f t="shared" si="669"/>
        <v>0</v>
      </c>
      <c r="J3250">
        <f t="shared" si="670"/>
        <v>0</v>
      </c>
      <c r="K3250" s="4" t="e">
        <f t="shared" si="658"/>
        <v>#N/A</v>
      </c>
      <c r="L3250" t="e">
        <f t="shared" si="659"/>
        <v>#N/A</v>
      </c>
      <c r="M3250" s="4" t="e">
        <f t="shared" si="660"/>
        <v>#N/A</v>
      </c>
      <c r="N3250" s="4" t="e">
        <f t="shared" si="661"/>
        <v>#N/A</v>
      </c>
    </row>
    <row r="3251" spans="1:14">
      <c r="A3251">
        <f t="shared" si="662"/>
        <v>0</v>
      </c>
      <c r="B3251">
        <f t="shared" si="663"/>
        <v>0</v>
      </c>
      <c r="C3251">
        <f t="shared" si="664"/>
        <v>0</v>
      </c>
      <c r="D3251">
        <f t="shared" si="665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6"/>
        <v>0</v>
      </c>
      <c r="G3251">
        <f t="shared" si="667"/>
        <v>0</v>
      </c>
      <c r="H3251">
        <f t="shared" si="668"/>
        <v>0</v>
      </c>
      <c r="I3251">
        <f t="shared" si="669"/>
        <v>0</v>
      </c>
      <c r="J3251">
        <f t="shared" si="670"/>
        <v>0</v>
      </c>
      <c r="K3251" s="4" t="e">
        <f t="shared" si="658"/>
        <v>#N/A</v>
      </c>
      <c r="L3251" t="e">
        <f t="shared" si="659"/>
        <v>#N/A</v>
      </c>
      <c r="M3251" s="4" t="e">
        <f t="shared" si="660"/>
        <v>#N/A</v>
      </c>
      <c r="N3251" s="4" t="e">
        <f t="shared" si="661"/>
        <v>#N/A</v>
      </c>
    </row>
    <row r="3252" spans="1:14">
      <c r="A3252">
        <f t="shared" si="662"/>
        <v>0</v>
      </c>
      <c r="B3252">
        <f t="shared" si="663"/>
        <v>0</v>
      </c>
      <c r="C3252">
        <f t="shared" si="664"/>
        <v>0</v>
      </c>
      <c r="D3252">
        <f t="shared" si="665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6"/>
        <v>0</v>
      </c>
      <c r="G3252">
        <f t="shared" si="667"/>
        <v>0</v>
      </c>
      <c r="H3252">
        <f t="shared" si="668"/>
        <v>0</v>
      </c>
      <c r="I3252">
        <f t="shared" si="669"/>
        <v>0</v>
      </c>
      <c r="J3252">
        <f t="shared" si="670"/>
        <v>0</v>
      </c>
      <c r="K3252" s="4" t="e">
        <f t="shared" si="658"/>
        <v>#N/A</v>
      </c>
      <c r="L3252" t="e">
        <f t="shared" si="659"/>
        <v>#N/A</v>
      </c>
      <c r="M3252" s="4" t="e">
        <f t="shared" si="660"/>
        <v>#N/A</v>
      </c>
      <c r="N3252" s="4" t="e">
        <f t="shared" si="661"/>
        <v>#N/A</v>
      </c>
    </row>
    <row r="3253" spans="1:14">
      <c r="A3253">
        <f t="shared" si="662"/>
        <v>0</v>
      </c>
      <c r="B3253">
        <f t="shared" si="663"/>
        <v>0</v>
      </c>
      <c r="C3253">
        <f t="shared" si="664"/>
        <v>0</v>
      </c>
      <c r="D3253">
        <f t="shared" si="665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6"/>
        <v>0</v>
      </c>
      <c r="G3253">
        <f t="shared" si="667"/>
        <v>0</v>
      </c>
      <c r="H3253">
        <f t="shared" si="668"/>
        <v>0</v>
      </c>
      <c r="I3253">
        <f t="shared" si="669"/>
        <v>0</v>
      </c>
      <c r="J3253">
        <f t="shared" si="670"/>
        <v>0</v>
      </c>
      <c r="K3253" s="4" t="e">
        <f t="shared" si="658"/>
        <v>#N/A</v>
      </c>
      <c r="L3253" t="e">
        <f t="shared" si="659"/>
        <v>#N/A</v>
      </c>
      <c r="M3253" s="4" t="e">
        <f t="shared" si="660"/>
        <v>#N/A</v>
      </c>
      <c r="N3253" s="4" t="e">
        <f t="shared" si="661"/>
        <v>#N/A</v>
      </c>
    </row>
    <row r="3254" spans="1:14">
      <c r="A3254">
        <f t="shared" si="662"/>
        <v>0</v>
      </c>
      <c r="B3254">
        <f t="shared" si="663"/>
        <v>0</v>
      </c>
      <c r="C3254">
        <f t="shared" si="664"/>
        <v>0</v>
      </c>
      <c r="D3254">
        <f t="shared" si="665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6"/>
        <v>0</v>
      </c>
      <c r="G3254">
        <f t="shared" si="667"/>
        <v>0</v>
      </c>
      <c r="H3254">
        <f t="shared" si="668"/>
        <v>0</v>
      </c>
      <c r="I3254">
        <f t="shared" si="669"/>
        <v>0</v>
      </c>
      <c r="J3254">
        <f t="shared" si="670"/>
        <v>0</v>
      </c>
      <c r="K3254" s="4" t="e">
        <f t="shared" si="658"/>
        <v>#N/A</v>
      </c>
      <c r="L3254" t="e">
        <f t="shared" si="659"/>
        <v>#N/A</v>
      </c>
      <c r="M3254" s="4" t="e">
        <f t="shared" si="660"/>
        <v>#N/A</v>
      </c>
      <c r="N3254" s="4" t="e">
        <f t="shared" si="661"/>
        <v>#N/A</v>
      </c>
    </row>
    <row r="3255" spans="1:14">
      <c r="A3255">
        <f t="shared" si="662"/>
        <v>0</v>
      </c>
      <c r="B3255">
        <f t="shared" si="663"/>
        <v>0</v>
      </c>
      <c r="C3255">
        <f t="shared" si="664"/>
        <v>0</v>
      </c>
      <c r="D3255">
        <f t="shared" si="665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6"/>
        <v>0</v>
      </c>
      <c r="G3255">
        <f t="shared" si="667"/>
        <v>0</v>
      </c>
      <c r="H3255">
        <f t="shared" si="668"/>
        <v>0</v>
      </c>
      <c r="I3255">
        <f t="shared" si="669"/>
        <v>0</v>
      </c>
      <c r="J3255">
        <f t="shared" si="670"/>
        <v>0</v>
      </c>
      <c r="K3255" s="4" t="e">
        <f t="shared" si="658"/>
        <v>#N/A</v>
      </c>
      <c r="L3255" t="e">
        <f t="shared" si="659"/>
        <v>#N/A</v>
      </c>
      <c r="M3255" s="4" t="e">
        <f t="shared" si="660"/>
        <v>#N/A</v>
      </c>
      <c r="N3255" s="4" t="e">
        <f t="shared" si="661"/>
        <v>#N/A</v>
      </c>
    </row>
    <row r="3256" spans="1:14">
      <c r="A3256">
        <f t="shared" si="662"/>
        <v>0</v>
      </c>
      <c r="B3256">
        <f t="shared" si="663"/>
        <v>0</v>
      </c>
      <c r="C3256">
        <f t="shared" si="664"/>
        <v>0</v>
      </c>
      <c r="D3256">
        <f t="shared" si="665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6"/>
        <v>0</v>
      </c>
      <c r="G3256">
        <f t="shared" si="667"/>
        <v>0</v>
      </c>
      <c r="H3256">
        <f t="shared" si="668"/>
        <v>0</v>
      </c>
      <c r="I3256">
        <f t="shared" si="669"/>
        <v>0</v>
      </c>
      <c r="J3256">
        <f t="shared" si="670"/>
        <v>0</v>
      </c>
      <c r="K3256" s="4" t="e">
        <f t="shared" si="658"/>
        <v>#N/A</v>
      </c>
      <c r="L3256" t="e">
        <f t="shared" si="659"/>
        <v>#N/A</v>
      </c>
      <c r="M3256" s="4" t="e">
        <f t="shared" si="660"/>
        <v>#N/A</v>
      </c>
      <c r="N3256" s="4" t="e">
        <f t="shared" si="661"/>
        <v>#N/A</v>
      </c>
    </row>
    <row r="3257" spans="1:14">
      <c r="A3257">
        <f t="shared" si="662"/>
        <v>0</v>
      </c>
      <c r="B3257">
        <f t="shared" si="663"/>
        <v>0</v>
      </c>
      <c r="C3257">
        <f t="shared" si="664"/>
        <v>0</v>
      </c>
      <c r="D3257">
        <f t="shared" si="665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6"/>
        <v>0</v>
      </c>
      <c r="G3257">
        <f t="shared" si="667"/>
        <v>0</v>
      </c>
      <c r="H3257">
        <f t="shared" si="668"/>
        <v>0</v>
      </c>
      <c r="I3257">
        <f t="shared" si="669"/>
        <v>0</v>
      </c>
      <c r="J3257">
        <f t="shared" si="670"/>
        <v>0</v>
      </c>
      <c r="K3257" s="4" t="e">
        <f t="shared" si="658"/>
        <v>#N/A</v>
      </c>
      <c r="L3257" t="e">
        <f t="shared" si="659"/>
        <v>#N/A</v>
      </c>
      <c r="M3257" s="4" t="e">
        <f t="shared" si="660"/>
        <v>#N/A</v>
      </c>
      <c r="N3257" s="4" t="e">
        <f t="shared" si="661"/>
        <v>#N/A</v>
      </c>
    </row>
    <row r="3258" spans="1:14">
      <c r="A3258">
        <f t="shared" si="662"/>
        <v>0</v>
      </c>
      <c r="B3258">
        <f t="shared" si="663"/>
        <v>0</v>
      </c>
      <c r="C3258">
        <f t="shared" si="664"/>
        <v>0</v>
      </c>
      <c r="D3258">
        <f t="shared" si="665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6"/>
        <v>0</v>
      </c>
      <c r="G3258">
        <f t="shared" si="667"/>
        <v>0</v>
      </c>
      <c r="H3258">
        <f t="shared" si="668"/>
        <v>0</v>
      </c>
      <c r="I3258">
        <f t="shared" si="669"/>
        <v>0</v>
      </c>
      <c r="J3258">
        <f t="shared" si="670"/>
        <v>0</v>
      </c>
      <c r="K3258" s="4" t="e">
        <f t="shared" si="658"/>
        <v>#N/A</v>
      </c>
      <c r="L3258" t="e">
        <f t="shared" si="659"/>
        <v>#N/A</v>
      </c>
      <c r="M3258" s="4" t="e">
        <f t="shared" si="660"/>
        <v>#N/A</v>
      </c>
      <c r="N3258" s="4" t="e">
        <f t="shared" si="661"/>
        <v>#N/A</v>
      </c>
    </row>
    <row r="3259" spans="1:14">
      <c r="A3259">
        <f t="shared" si="662"/>
        <v>0</v>
      </c>
      <c r="B3259">
        <f t="shared" si="663"/>
        <v>0</v>
      </c>
      <c r="C3259">
        <f t="shared" si="664"/>
        <v>0</v>
      </c>
      <c r="D3259">
        <f t="shared" si="665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6"/>
        <v>0</v>
      </c>
      <c r="G3259">
        <f t="shared" si="667"/>
        <v>0</v>
      </c>
      <c r="H3259">
        <f t="shared" si="668"/>
        <v>0</v>
      </c>
      <c r="I3259">
        <f t="shared" si="669"/>
        <v>0</v>
      </c>
      <c r="J3259">
        <f t="shared" si="670"/>
        <v>0</v>
      </c>
      <c r="K3259" s="4" t="e">
        <f t="shared" si="658"/>
        <v>#N/A</v>
      </c>
      <c r="L3259" t="e">
        <f t="shared" si="659"/>
        <v>#N/A</v>
      </c>
      <c r="M3259" s="4" t="e">
        <f t="shared" si="660"/>
        <v>#N/A</v>
      </c>
      <c r="N3259" s="4" t="e">
        <f t="shared" si="661"/>
        <v>#N/A</v>
      </c>
    </row>
    <row r="3260" spans="1:14">
      <c r="A3260">
        <f t="shared" si="662"/>
        <v>0</v>
      </c>
      <c r="B3260">
        <f t="shared" si="663"/>
        <v>0</v>
      </c>
      <c r="C3260">
        <f t="shared" si="664"/>
        <v>0</v>
      </c>
      <c r="D3260">
        <f t="shared" si="665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6"/>
        <v>0</v>
      </c>
      <c r="G3260">
        <f t="shared" si="667"/>
        <v>0</v>
      </c>
      <c r="H3260">
        <f t="shared" si="668"/>
        <v>0</v>
      </c>
      <c r="I3260">
        <f t="shared" si="669"/>
        <v>0</v>
      </c>
      <c r="J3260">
        <f t="shared" si="670"/>
        <v>0</v>
      </c>
      <c r="K3260" s="4" t="e">
        <f t="shared" si="658"/>
        <v>#N/A</v>
      </c>
      <c r="L3260" t="e">
        <f t="shared" si="659"/>
        <v>#N/A</v>
      </c>
      <c r="M3260" s="4" t="e">
        <f t="shared" si="660"/>
        <v>#N/A</v>
      </c>
      <c r="N3260" s="4" t="e">
        <f t="shared" si="661"/>
        <v>#N/A</v>
      </c>
    </row>
    <row r="3261" spans="1:14">
      <c r="A3261">
        <f t="shared" si="662"/>
        <v>0</v>
      </c>
      <c r="B3261">
        <f t="shared" si="663"/>
        <v>0</v>
      </c>
      <c r="C3261">
        <f t="shared" si="664"/>
        <v>0</v>
      </c>
      <c r="D3261">
        <f t="shared" si="665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6"/>
        <v>0</v>
      </c>
      <c r="G3261">
        <f t="shared" si="667"/>
        <v>0</v>
      </c>
      <c r="H3261">
        <f t="shared" si="668"/>
        <v>0</v>
      </c>
      <c r="I3261">
        <f t="shared" si="669"/>
        <v>0</v>
      </c>
      <c r="J3261">
        <f t="shared" si="670"/>
        <v>0</v>
      </c>
      <c r="K3261" s="4" t="e">
        <f t="shared" ref="K3261:K3324" si="671">IF(LEFT(B3261,3)="DBM",0,VLOOKUP(E3261,tabela,2,FALSE))</f>
        <v>#N/A</v>
      </c>
      <c r="L3261" t="e">
        <f t="shared" ref="L3261:L3324" si="672">VLOOKUP(E3261,tabela,3,FALSE)</f>
        <v>#N/A</v>
      </c>
      <c r="M3261" s="4" t="e">
        <f t="shared" ref="M3261:M3324" si="673">IF(E3261="Dynamic Click",J3261*K3261,K3261*$I3261/1000)</f>
        <v>#N/A</v>
      </c>
      <c r="N3261" s="4" t="e">
        <f t="shared" ref="N3261:N3324" si="674">IF(E3261="Dynamic Click",J3261*L3261,L3261*$I3261/1000)</f>
        <v>#N/A</v>
      </c>
    </row>
    <row r="3262" spans="1:14">
      <c r="A3262">
        <f t="shared" si="662"/>
        <v>0</v>
      </c>
      <c r="B3262">
        <f t="shared" si="663"/>
        <v>0</v>
      </c>
      <c r="C3262">
        <f t="shared" si="664"/>
        <v>0</v>
      </c>
      <c r="D3262">
        <f t="shared" si="665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6"/>
        <v>0</v>
      </c>
      <c r="G3262">
        <f t="shared" si="667"/>
        <v>0</v>
      </c>
      <c r="H3262">
        <f t="shared" si="668"/>
        <v>0</v>
      </c>
      <c r="I3262">
        <f t="shared" si="669"/>
        <v>0</v>
      </c>
      <c r="J3262">
        <f t="shared" si="670"/>
        <v>0</v>
      </c>
      <c r="K3262" s="4" t="e">
        <f t="shared" si="671"/>
        <v>#N/A</v>
      </c>
      <c r="L3262" t="e">
        <f t="shared" si="672"/>
        <v>#N/A</v>
      </c>
      <c r="M3262" s="4" t="e">
        <f t="shared" si="673"/>
        <v>#N/A</v>
      </c>
      <c r="N3262" s="4" t="e">
        <f t="shared" si="674"/>
        <v>#N/A</v>
      </c>
    </row>
    <row r="3263" spans="1:14">
      <c r="A3263">
        <f t="shared" si="662"/>
        <v>0</v>
      </c>
      <c r="B3263">
        <f t="shared" si="663"/>
        <v>0</v>
      </c>
      <c r="C3263">
        <f t="shared" si="664"/>
        <v>0</v>
      </c>
      <c r="D3263">
        <f t="shared" si="665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6"/>
        <v>0</v>
      </c>
      <c r="G3263">
        <f t="shared" si="667"/>
        <v>0</v>
      </c>
      <c r="H3263">
        <f t="shared" si="668"/>
        <v>0</v>
      </c>
      <c r="I3263">
        <f t="shared" si="669"/>
        <v>0</v>
      </c>
      <c r="J3263">
        <f t="shared" si="670"/>
        <v>0</v>
      </c>
      <c r="K3263" s="4" t="e">
        <f t="shared" si="671"/>
        <v>#N/A</v>
      </c>
      <c r="L3263" t="e">
        <f t="shared" si="672"/>
        <v>#N/A</v>
      </c>
      <c r="M3263" s="4" t="e">
        <f t="shared" si="673"/>
        <v>#N/A</v>
      </c>
      <c r="N3263" s="4" t="e">
        <f t="shared" si="674"/>
        <v>#N/A</v>
      </c>
    </row>
    <row r="3264" spans="1:14">
      <c r="A3264">
        <f t="shared" si="662"/>
        <v>0</v>
      </c>
      <c r="B3264">
        <f t="shared" si="663"/>
        <v>0</v>
      </c>
      <c r="C3264">
        <f t="shared" si="664"/>
        <v>0</v>
      </c>
      <c r="D3264">
        <f t="shared" si="665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6"/>
        <v>0</v>
      </c>
      <c r="G3264">
        <f t="shared" si="667"/>
        <v>0</v>
      </c>
      <c r="H3264">
        <f t="shared" si="668"/>
        <v>0</v>
      </c>
      <c r="I3264">
        <f t="shared" si="669"/>
        <v>0</v>
      </c>
      <c r="J3264">
        <f t="shared" si="670"/>
        <v>0</v>
      </c>
      <c r="K3264" s="4" t="e">
        <f t="shared" si="671"/>
        <v>#N/A</v>
      </c>
      <c r="L3264" t="e">
        <f t="shared" si="672"/>
        <v>#N/A</v>
      </c>
      <c r="M3264" s="4" t="e">
        <f t="shared" si="673"/>
        <v>#N/A</v>
      </c>
      <c r="N3264" s="4" t="e">
        <f t="shared" si="674"/>
        <v>#N/A</v>
      </c>
    </row>
    <row r="3265" spans="1:14">
      <c r="A3265">
        <f t="shared" si="662"/>
        <v>0</v>
      </c>
      <c r="B3265">
        <f t="shared" si="663"/>
        <v>0</v>
      </c>
      <c r="C3265">
        <f t="shared" si="664"/>
        <v>0</v>
      </c>
      <c r="D3265">
        <f t="shared" si="665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6"/>
        <v>0</v>
      </c>
      <c r="G3265">
        <f t="shared" si="667"/>
        <v>0</v>
      </c>
      <c r="H3265">
        <f t="shared" si="668"/>
        <v>0</v>
      </c>
      <c r="I3265">
        <f t="shared" si="669"/>
        <v>0</v>
      </c>
      <c r="J3265">
        <f t="shared" si="670"/>
        <v>0</v>
      </c>
      <c r="K3265" s="4" t="e">
        <f t="shared" si="671"/>
        <v>#N/A</v>
      </c>
      <c r="L3265" t="e">
        <f t="shared" si="672"/>
        <v>#N/A</v>
      </c>
      <c r="M3265" s="4" t="e">
        <f t="shared" si="673"/>
        <v>#N/A</v>
      </c>
      <c r="N3265" s="4" t="e">
        <f t="shared" si="674"/>
        <v>#N/A</v>
      </c>
    </row>
    <row r="3266" spans="1:14">
      <c r="A3266">
        <f t="shared" ref="A3266:A3329" si="675">bd_campaign</f>
        <v>0</v>
      </c>
      <c r="B3266">
        <f t="shared" ref="B3266:B3329" si="676">bd_site</f>
        <v>0</v>
      </c>
      <c r="C3266">
        <f t="shared" ref="C3266:C3329" si="677">bd_placement</f>
        <v>0</v>
      </c>
      <c r="D3266">
        <f t="shared" ref="D3266:D3329" si="678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9">bd_ad</f>
        <v>0</v>
      </c>
      <c r="G3266">
        <f t="shared" ref="G3266:G3329" si="680">bd_adid</f>
        <v>0</v>
      </c>
      <c r="H3266">
        <f t="shared" ref="H3266:H3329" si="681">bd_creativetype</f>
        <v>0</v>
      </c>
      <c r="I3266">
        <f t="shared" ref="I3266:I3329" si="682">bd_impression</f>
        <v>0</v>
      </c>
      <c r="J3266">
        <f t="shared" ref="J3266:J3329" si="683">bd_clicks</f>
        <v>0</v>
      </c>
      <c r="K3266" s="4" t="e">
        <f t="shared" si="671"/>
        <v>#N/A</v>
      </c>
      <c r="L3266" t="e">
        <f t="shared" si="672"/>
        <v>#N/A</v>
      </c>
      <c r="M3266" s="4" t="e">
        <f t="shared" si="673"/>
        <v>#N/A</v>
      </c>
      <c r="N3266" s="4" t="e">
        <f t="shared" si="674"/>
        <v>#N/A</v>
      </c>
    </row>
    <row r="3267" spans="1:14">
      <c r="A3267">
        <f t="shared" si="675"/>
        <v>0</v>
      </c>
      <c r="B3267">
        <f t="shared" si="676"/>
        <v>0</v>
      </c>
      <c r="C3267">
        <f t="shared" si="677"/>
        <v>0</v>
      </c>
      <c r="D3267">
        <f t="shared" si="678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9"/>
        <v>0</v>
      </c>
      <c r="G3267">
        <f t="shared" si="680"/>
        <v>0</v>
      </c>
      <c r="H3267">
        <f t="shared" si="681"/>
        <v>0</v>
      </c>
      <c r="I3267">
        <f t="shared" si="682"/>
        <v>0</v>
      </c>
      <c r="J3267">
        <f t="shared" si="683"/>
        <v>0</v>
      </c>
      <c r="K3267" s="4" t="e">
        <f t="shared" si="671"/>
        <v>#N/A</v>
      </c>
      <c r="L3267" t="e">
        <f t="shared" si="672"/>
        <v>#N/A</v>
      </c>
      <c r="M3267" s="4" t="e">
        <f t="shared" si="673"/>
        <v>#N/A</v>
      </c>
      <c r="N3267" s="4" t="e">
        <f t="shared" si="674"/>
        <v>#N/A</v>
      </c>
    </row>
    <row r="3268" spans="1:14">
      <c r="A3268">
        <f t="shared" si="675"/>
        <v>0</v>
      </c>
      <c r="B3268">
        <f t="shared" si="676"/>
        <v>0</v>
      </c>
      <c r="C3268">
        <f t="shared" si="677"/>
        <v>0</v>
      </c>
      <c r="D3268">
        <f t="shared" si="678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9"/>
        <v>0</v>
      </c>
      <c r="G3268">
        <f t="shared" si="680"/>
        <v>0</v>
      </c>
      <c r="H3268">
        <f t="shared" si="681"/>
        <v>0</v>
      </c>
      <c r="I3268">
        <f t="shared" si="682"/>
        <v>0</v>
      </c>
      <c r="J3268">
        <f t="shared" si="683"/>
        <v>0</v>
      </c>
      <c r="K3268" s="4" t="e">
        <f t="shared" si="671"/>
        <v>#N/A</v>
      </c>
      <c r="L3268" t="e">
        <f t="shared" si="672"/>
        <v>#N/A</v>
      </c>
      <c r="M3268" s="4" t="e">
        <f t="shared" si="673"/>
        <v>#N/A</v>
      </c>
      <c r="N3268" s="4" t="e">
        <f t="shared" si="674"/>
        <v>#N/A</v>
      </c>
    </row>
    <row r="3269" spans="1:14">
      <c r="A3269">
        <f t="shared" si="675"/>
        <v>0</v>
      </c>
      <c r="B3269">
        <f t="shared" si="676"/>
        <v>0</v>
      </c>
      <c r="C3269">
        <f t="shared" si="677"/>
        <v>0</v>
      </c>
      <c r="D3269">
        <f t="shared" si="678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9"/>
        <v>0</v>
      </c>
      <c r="G3269">
        <f t="shared" si="680"/>
        <v>0</v>
      </c>
      <c r="H3269">
        <f t="shared" si="681"/>
        <v>0</v>
      </c>
      <c r="I3269">
        <f t="shared" si="682"/>
        <v>0</v>
      </c>
      <c r="J3269">
        <f t="shared" si="683"/>
        <v>0</v>
      </c>
      <c r="K3269" s="4" t="e">
        <f t="shared" si="671"/>
        <v>#N/A</v>
      </c>
      <c r="L3269" t="e">
        <f t="shared" si="672"/>
        <v>#N/A</v>
      </c>
      <c r="M3269" s="4" t="e">
        <f t="shared" si="673"/>
        <v>#N/A</v>
      </c>
      <c r="N3269" s="4" t="e">
        <f t="shared" si="674"/>
        <v>#N/A</v>
      </c>
    </row>
    <row r="3270" spans="1:14">
      <c r="A3270">
        <f t="shared" si="675"/>
        <v>0</v>
      </c>
      <c r="B3270">
        <f t="shared" si="676"/>
        <v>0</v>
      </c>
      <c r="C3270">
        <f t="shared" si="677"/>
        <v>0</v>
      </c>
      <c r="D3270">
        <f t="shared" si="678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9"/>
        <v>0</v>
      </c>
      <c r="G3270">
        <f t="shared" si="680"/>
        <v>0</v>
      </c>
      <c r="H3270">
        <f t="shared" si="681"/>
        <v>0</v>
      </c>
      <c r="I3270">
        <f t="shared" si="682"/>
        <v>0</v>
      </c>
      <c r="J3270">
        <f t="shared" si="683"/>
        <v>0</v>
      </c>
      <c r="K3270" s="4" t="e">
        <f t="shared" si="671"/>
        <v>#N/A</v>
      </c>
      <c r="L3270" t="e">
        <f t="shared" si="672"/>
        <v>#N/A</v>
      </c>
      <c r="M3270" s="4" t="e">
        <f t="shared" si="673"/>
        <v>#N/A</v>
      </c>
      <c r="N3270" s="4" t="e">
        <f t="shared" si="674"/>
        <v>#N/A</v>
      </c>
    </row>
    <row r="3271" spans="1:14">
      <c r="A3271">
        <f t="shared" si="675"/>
        <v>0</v>
      </c>
      <c r="B3271">
        <f t="shared" si="676"/>
        <v>0</v>
      </c>
      <c r="C3271">
        <f t="shared" si="677"/>
        <v>0</v>
      </c>
      <c r="D3271">
        <f t="shared" si="678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9"/>
        <v>0</v>
      </c>
      <c r="G3271">
        <f t="shared" si="680"/>
        <v>0</v>
      </c>
      <c r="H3271">
        <f t="shared" si="681"/>
        <v>0</v>
      </c>
      <c r="I3271">
        <f t="shared" si="682"/>
        <v>0</v>
      </c>
      <c r="J3271">
        <f t="shared" si="683"/>
        <v>0</v>
      </c>
      <c r="K3271" s="4" t="e">
        <f t="shared" si="671"/>
        <v>#N/A</v>
      </c>
      <c r="L3271" t="e">
        <f t="shared" si="672"/>
        <v>#N/A</v>
      </c>
      <c r="M3271" s="4" t="e">
        <f t="shared" si="673"/>
        <v>#N/A</v>
      </c>
      <c r="N3271" s="4" t="e">
        <f t="shared" si="674"/>
        <v>#N/A</v>
      </c>
    </row>
    <row r="3272" spans="1:14">
      <c r="A3272">
        <f t="shared" si="675"/>
        <v>0</v>
      </c>
      <c r="B3272">
        <f t="shared" si="676"/>
        <v>0</v>
      </c>
      <c r="C3272">
        <f t="shared" si="677"/>
        <v>0</v>
      </c>
      <c r="D3272">
        <f t="shared" si="678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9"/>
        <v>0</v>
      </c>
      <c r="G3272">
        <f t="shared" si="680"/>
        <v>0</v>
      </c>
      <c r="H3272">
        <f t="shared" si="681"/>
        <v>0</v>
      </c>
      <c r="I3272">
        <f t="shared" si="682"/>
        <v>0</v>
      </c>
      <c r="J3272">
        <f t="shared" si="683"/>
        <v>0</v>
      </c>
      <c r="K3272" s="4" t="e">
        <f t="shared" si="671"/>
        <v>#N/A</v>
      </c>
      <c r="L3272" t="e">
        <f t="shared" si="672"/>
        <v>#N/A</v>
      </c>
      <c r="M3272" s="4" t="e">
        <f t="shared" si="673"/>
        <v>#N/A</v>
      </c>
      <c r="N3272" s="4" t="e">
        <f t="shared" si="674"/>
        <v>#N/A</v>
      </c>
    </row>
    <row r="3273" spans="1:14">
      <c r="A3273">
        <f t="shared" si="675"/>
        <v>0</v>
      </c>
      <c r="B3273">
        <f t="shared" si="676"/>
        <v>0</v>
      </c>
      <c r="C3273">
        <f t="shared" si="677"/>
        <v>0</v>
      </c>
      <c r="D3273">
        <f t="shared" si="678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9"/>
        <v>0</v>
      </c>
      <c r="G3273">
        <f t="shared" si="680"/>
        <v>0</v>
      </c>
      <c r="H3273">
        <f t="shared" si="681"/>
        <v>0</v>
      </c>
      <c r="I3273">
        <f t="shared" si="682"/>
        <v>0</v>
      </c>
      <c r="J3273">
        <f t="shared" si="683"/>
        <v>0</v>
      </c>
      <c r="K3273" s="4" t="e">
        <f t="shared" si="671"/>
        <v>#N/A</v>
      </c>
      <c r="L3273" t="e">
        <f t="shared" si="672"/>
        <v>#N/A</v>
      </c>
      <c r="M3273" s="4" t="e">
        <f t="shared" si="673"/>
        <v>#N/A</v>
      </c>
      <c r="N3273" s="4" t="e">
        <f t="shared" si="674"/>
        <v>#N/A</v>
      </c>
    </row>
    <row r="3274" spans="1:14">
      <c r="A3274">
        <f t="shared" si="675"/>
        <v>0</v>
      </c>
      <c r="B3274">
        <f t="shared" si="676"/>
        <v>0</v>
      </c>
      <c r="C3274">
        <f t="shared" si="677"/>
        <v>0</v>
      </c>
      <c r="D3274">
        <f t="shared" si="678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9"/>
        <v>0</v>
      </c>
      <c r="G3274">
        <f t="shared" si="680"/>
        <v>0</v>
      </c>
      <c r="H3274">
        <f t="shared" si="681"/>
        <v>0</v>
      </c>
      <c r="I3274">
        <f t="shared" si="682"/>
        <v>0</v>
      </c>
      <c r="J3274">
        <f t="shared" si="683"/>
        <v>0</v>
      </c>
      <c r="K3274" s="4" t="e">
        <f t="shared" si="671"/>
        <v>#N/A</v>
      </c>
      <c r="L3274" t="e">
        <f t="shared" si="672"/>
        <v>#N/A</v>
      </c>
      <c r="M3274" s="4" t="e">
        <f t="shared" si="673"/>
        <v>#N/A</v>
      </c>
      <c r="N3274" s="4" t="e">
        <f t="shared" si="674"/>
        <v>#N/A</v>
      </c>
    </row>
    <row r="3275" spans="1:14">
      <c r="A3275">
        <f t="shared" si="675"/>
        <v>0</v>
      </c>
      <c r="B3275">
        <f t="shared" si="676"/>
        <v>0</v>
      </c>
      <c r="C3275">
        <f t="shared" si="677"/>
        <v>0</v>
      </c>
      <c r="D3275">
        <f t="shared" si="678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9"/>
        <v>0</v>
      </c>
      <c r="G3275">
        <f t="shared" si="680"/>
        <v>0</v>
      </c>
      <c r="H3275">
        <f t="shared" si="681"/>
        <v>0</v>
      </c>
      <c r="I3275">
        <f t="shared" si="682"/>
        <v>0</v>
      </c>
      <c r="J3275">
        <f t="shared" si="683"/>
        <v>0</v>
      </c>
      <c r="K3275" s="4" t="e">
        <f t="shared" si="671"/>
        <v>#N/A</v>
      </c>
      <c r="L3275" t="e">
        <f t="shared" si="672"/>
        <v>#N/A</v>
      </c>
      <c r="M3275" s="4" t="e">
        <f t="shared" si="673"/>
        <v>#N/A</v>
      </c>
      <c r="N3275" s="4" t="e">
        <f t="shared" si="674"/>
        <v>#N/A</v>
      </c>
    </row>
    <row r="3276" spans="1:14">
      <c r="A3276">
        <f t="shared" si="675"/>
        <v>0</v>
      </c>
      <c r="B3276">
        <f t="shared" si="676"/>
        <v>0</v>
      </c>
      <c r="C3276">
        <f t="shared" si="677"/>
        <v>0</v>
      </c>
      <c r="D3276">
        <f t="shared" si="678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9"/>
        <v>0</v>
      </c>
      <c r="G3276">
        <f t="shared" si="680"/>
        <v>0</v>
      </c>
      <c r="H3276">
        <f t="shared" si="681"/>
        <v>0</v>
      </c>
      <c r="I3276">
        <f t="shared" si="682"/>
        <v>0</v>
      </c>
      <c r="J3276">
        <f t="shared" si="683"/>
        <v>0</v>
      </c>
      <c r="K3276" s="4" t="e">
        <f t="shared" si="671"/>
        <v>#N/A</v>
      </c>
      <c r="L3276" t="e">
        <f t="shared" si="672"/>
        <v>#N/A</v>
      </c>
      <c r="M3276" s="4" t="e">
        <f t="shared" si="673"/>
        <v>#N/A</v>
      </c>
      <c r="N3276" s="4" t="e">
        <f t="shared" si="674"/>
        <v>#N/A</v>
      </c>
    </row>
    <row r="3277" spans="1:14">
      <c r="A3277">
        <f t="shared" si="675"/>
        <v>0</v>
      </c>
      <c r="B3277">
        <f t="shared" si="676"/>
        <v>0</v>
      </c>
      <c r="C3277">
        <f t="shared" si="677"/>
        <v>0</v>
      </c>
      <c r="D3277">
        <f t="shared" si="678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9"/>
        <v>0</v>
      </c>
      <c r="G3277">
        <f t="shared" si="680"/>
        <v>0</v>
      </c>
      <c r="H3277">
        <f t="shared" si="681"/>
        <v>0</v>
      </c>
      <c r="I3277">
        <f t="shared" si="682"/>
        <v>0</v>
      </c>
      <c r="J3277">
        <f t="shared" si="683"/>
        <v>0</v>
      </c>
      <c r="K3277" s="4" t="e">
        <f t="shared" si="671"/>
        <v>#N/A</v>
      </c>
      <c r="L3277" t="e">
        <f t="shared" si="672"/>
        <v>#N/A</v>
      </c>
      <c r="M3277" s="4" t="e">
        <f t="shared" si="673"/>
        <v>#N/A</v>
      </c>
      <c r="N3277" s="4" t="e">
        <f t="shared" si="674"/>
        <v>#N/A</v>
      </c>
    </row>
    <row r="3278" spans="1:14">
      <c r="A3278">
        <f t="shared" si="675"/>
        <v>0</v>
      </c>
      <c r="B3278">
        <f t="shared" si="676"/>
        <v>0</v>
      </c>
      <c r="C3278">
        <f t="shared" si="677"/>
        <v>0</v>
      </c>
      <c r="D3278">
        <f t="shared" si="678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9"/>
        <v>0</v>
      </c>
      <c r="G3278">
        <f t="shared" si="680"/>
        <v>0</v>
      </c>
      <c r="H3278">
        <f t="shared" si="681"/>
        <v>0</v>
      </c>
      <c r="I3278">
        <f t="shared" si="682"/>
        <v>0</v>
      </c>
      <c r="J3278">
        <f t="shared" si="683"/>
        <v>0</v>
      </c>
      <c r="K3278" s="4" t="e">
        <f t="shared" si="671"/>
        <v>#N/A</v>
      </c>
      <c r="L3278" t="e">
        <f t="shared" si="672"/>
        <v>#N/A</v>
      </c>
      <c r="M3278" s="4" t="e">
        <f t="shared" si="673"/>
        <v>#N/A</v>
      </c>
      <c r="N3278" s="4" t="e">
        <f t="shared" si="674"/>
        <v>#N/A</v>
      </c>
    </row>
    <row r="3279" spans="1:14">
      <c r="A3279">
        <f t="shared" si="675"/>
        <v>0</v>
      </c>
      <c r="B3279">
        <f t="shared" si="676"/>
        <v>0</v>
      </c>
      <c r="C3279">
        <f t="shared" si="677"/>
        <v>0</v>
      </c>
      <c r="D3279">
        <f t="shared" si="678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9"/>
        <v>0</v>
      </c>
      <c r="G3279">
        <f t="shared" si="680"/>
        <v>0</v>
      </c>
      <c r="H3279">
        <f t="shared" si="681"/>
        <v>0</v>
      </c>
      <c r="I3279">
        <f t="shared" si="682"/>
        <v>0</v>
      </c>
      <c r="J3279">
        <f t="shared" si="683"/>
        <v>0</v>
      </c>
      <c r="K3279" s="4" t="e">
        <f t="shared" si="671"/>
        <v>#N/A</v>
      </c>
      <c r="L3279" t="e">
        <f t="shared" si="672"/>
        <v>#N/A</v>
      </c>
      <c r="M3279" s="4" t="e">
        <f t="shared" si="673"/>
        <v>#N/A</v>
      </c>
      <c r="N3279" s="4" t="e">
        <f t="shared" si="674"/>
        <v>#N/A</v>
      </c>
    </row>
    <row r="3280" spans="1:14">
      <c r="A3280">
        <f t="shared" si="675"/>
        <v>0</v>
      </c>
      <c r="B3280">
        <f t="shared" si="676"/>
        <v>0</v>
      </c>
      <c r="C3280">
        <f t="shared" si="677"/>
        <v>0</v>
      </c>
      <c r="D3280">
        <f t="shared" si="678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9"/>
        <v>0</v>
      </c>
      <c r="G3280">
        <f t="shared" si="680"/>
        <v>0</v>
      </c>
      <c r="H3280">
        <f t="shared" si="681"/>
        <v>0</v>
      </c>
      <c r="I3280">
        <f t="shared" si="682"/>
        <v>0</v>
      </c>
      <c r="J3280">
        <f t="shared" si="683"/>
        <v>0</v>
      </c>
      <c r="K3280" s="4" t="e">
        <f t="shared" si="671"/>
        <v>#N/A</v>
      </c>
      <c r="L3280" t="e">
        <f t="shared" si="672"/>
        <v>#N/A</v>
      </c>
      <c r="M3280" s="4" t="e">
        <f t="shared" si="673"/>
        <v>#N/A</v>
      </c>
      <c r="N3280" s="4" t="e">
        <f t="shared" si="674"/>
        <v>#N/A</v>
      </c>
    </row>
    <row r="3281" spans="1:14">
      <c r="A3281">
        <f t="shared" si="675"/>
        <v>0</v>
      </c>
      <c r="B3281">
        <f t="shared" si="676"/>
        <v>0</v>
      </c>
      <c r="C3281">
        <f t="shared" si="677"/>
        <v>0</v>
      </c>
      <c r="D3281">
        <f t="shared" si="678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9"/>
        <v>0</v>
      </c>
      <c r="G3281">
        <f t="shared" si="680"/>
        <v>0</v>
      </c>
      <c r="H3281">
        <f t="shared" si="681"/>
        <v>0</v>
      </c>
      <c r="I3281">
        <f t="shared" si="682"/>
        <v>0</v>
      </c>
      <c r="J3281">
        <f t="shared" si="683"/>
        <v>0</v>
      </c>
      <c r="K3281" s="4" t="e">
        <f t="shared" si="671"/>
        <v>#N/A</v>
      </c>
      <c r="L3281" t="e">
        <f t="shared" si="672"/>
        <v>#N/A</v>
      </c>
      <c r="M3281" s="4" t="e">
        <f t="shared" si="673"/>
        <v>#N/A</v>
      </c>
      <c r="N3281" s="4" t="e">
        <f t="shared" si="674"/>
        <v>#N/A</v>
      </c>
    </row>
    <row r="3282" spans="1:14">
      <c r="A3282">
        <f t="shared" si="675"/>
        <v>0</v>
      </c>
      <c r="B3282">
        <f t="shared" si="676"/>
        <v>0</v>
      </c>
      <c r="C3282">
        <f t="shared" si="677"/>
        <v>0</v>
      </c>
      <c r="D3282">
        <f t="shared" si="678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9"/>
        <v>0</v>
      </c>
      <c r="G3282">
        <f t="shared" si="680"/>
        <v>0</v>
      </c>
      <c r="H3282">
        <f t="shared" si="681"/>
        <v>0</v>
      </c>
      <c r="I3282">
        <f t="shared" si="682"/>
        <v>0</v>
      </c>
      <c r="J3282">
        <f t="shared" si="683"/>
        <v>0</v>
      </c>
      <c r="K3282" s="4" t="e">
        <f t="shared" si="671"/>
        <v>#N/A</v>
      </c>
      <c r="L3282" t="e">
        <f t="shared" si="672"/>
        <v>#N/A</v>
      </c>
      <c r="M3282" s="4" t="e">
        <f t="shared" si="673"/>
        <v>#N/A</v>
      </c>
      <c r="N3282" s="4" t="e">
        <f t="shared" si="674"/>
        <v>#N/A</v>
      </c>
    </row>
    <row r="3283" spans="1:14">
      <c r="A3283">
        <f t="shared" si="675"/>
        <v>0</v>
      </c>
      <c r="B3283">
        <f t="shared" si="676"/>
        <v>0</v>
      </c>
      <c r="C3283">
        <f t="shared" si="677"/>
        <v>0</v>
      </c>
      <c r="D3283">
        <f t="shared" si="678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9"/>
        <v>0</v>
      </c>
      <c r="G3283">
        <f t="shared" si="680"/>
        <v>0</v>
      </c>
      <c r="H3283">
        <f t="shared" si="681"/>
        <v>0</v>
      </c>
      <c r="I3283">
        <f t="shared" si="682"/>
        <v>0</v>
      </c>
      <c r="J3283">
        <f t="shared" si="683"/>
        <v>0</v>
      </c>
      <c r="K3283" s="4" t="e">
        <f t="shared" si="671"/>
        <v>#N/A</v>
      </c>
      <c r="L3283" t="e">
        <f t="shared" si="672"/>
        <v>#N/A</v>
      </c>
      <c r="M3283" s="4" t="e">
        <f t="shared" si="673"/>
        <v>#N/A</v>
      </c>
      <c r="N3283" s="4" t="e">
        <f t="shared" si="674"/>
        <v>#N/A</v>
      </c>
    </row>
    <row r="3284" spans="1:14">
      <c r="A3284">
        <f t="shared" si="675"/>
        <v>0</v>
      </c>
      <c r="B3284">
        <f t="shared" si="676"/>
        <v>0</v>
      </c>
      <c r="C3284">
        <f t="shared" si="677"/>
        <v>0</v>
      </c>
      <c r="D3284">
        <f t="shared" si="678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9"/>
        <v>0</v>
      </c>
      <c r="G3284">
        <f t="shared" si="680"/>
        <v>0</v>
      </c>
      <c r="H3284">
        <f t="shared" si="681"/>
        <v>0</v>
      </c>
      <c r="I3284">
        <f t="shared" si="682"/>
        <v>0</v>
      </c>
      <c r="J3284">
        <f t="shared" si="683"/>
        <v>0</v>
      </c>
      <c r="K3284" s="4" t="e">
        <f t="shared" si="671"/>
        <v>#N/A</v>
      </c>
      <c r="L3284" t="e">
        <f t="shared" si="672"/>
        <v>#N/A</v>
      </c>
      <c r="M3284" s="4" t="e">
        <f t="shared" si="673"/>
        <v>#N/A</v>
      </c>
      <c r="N3284" s="4" t="e">
        <f t="shared" si="674"/>
        <v>#N/A</v>
      </c>
    </row>
    <row r="3285" spans="1:14">
      <c r="A3285">
        <f t="shared" si="675"/>
        <v>0</v>
      </c>
      <c r="B3285">
        <f t="shared" si="676"/>
        <v>0</v>
      </c>
      <c r="C3285">
        <f t="shared" si="677"/>
        <v>0</v>
      </c>
      <c r="D3285">
        <f t="shared" si="678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9"/>
        <v>0</v>
      </c>
      <c r="G3285">
        <f t="shared" si="680"/>
        <v>0</v>
      </c>
      <c r="H3285">
        <f t="shared" si="681"/>
        <v>0</v>
      </c>
      <c r="I3285">
        <f t="shared" si="682"/>
        <v>0</v>
      </c>
      <c r="J3285">
        <f t="shared" si="683"/>
        <v>0</v>
      </c>
      <c r="K3285" s="4" t="e">
        <f t="shared" si="671"/>
        <v>#N/A</v>
      </c>
      <c r="L3285" t="e">
        <f t="shared" si="672"/>
        <v>#N/A</v>
      </c>
      <c r="M3285" s="4" t="e">
        <f t="shared" si="673"/>
        <v>#N/A</v>
      </c>
      <c r="N3285" s="4" t="e">
        <f t="shared" si="674"/>
        <v>#N/A</v>
      </c>
    </row>
    <row r="3286" spans="1:14">
      <c r="A3286">
        <f t="shared" si="675"/>
        <v>0</v>
      </c>
      <c r="B3286">
        <f t="shared" si="676"/>
        <v>0</v>
      </c>
      <c r="C3286">
        <f t="shared" si="677"/>
        <v>0</v>
      </c>
      <c r="D3286">
        <f t="shared" si="678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9"/>
        <v>0</v>
      </c>
      <c r="G3286">
        <f t="shared" si="680"/>
        <v>0</v>
      </c>
      <c r="H3286">
        <f t="shared" si="681"/>
        <v>0</v>
      </c>
      <c r="I3286">
        <f t="shared" si="682"/>
        <v>0</v>
      </c>
      <c r="J3286">
        <f t="shared" si="683"/>
        <v>0</v>
      </c>
      <c r="K3286" s="4" t="e">
        <f t="shared" si="671"/>
        <v>#N/A</v>
      </c>
      <c r="L3286" t="e">
        <f t="shared" si="672"/>
        <v>#N/A</v>
      </c>
      <c r="M3286" s="4" t="e">
        <f t="shared" si="673"/>
        <v>#N/A</v>
      </c>
      <c r="N3286" s="4" t="e">
        <f t="shared" si="674"/>
        <v>#N/A</v>
      </c>
    </row>
    <row r="3287" spans="1:14">
      <c r="A3287">
        <f t="shared" si="675"/>
        <v>0</v>
      </c>
      <c r="B3287">
        <f t="shared" si="676"/>
        <v>0</v>
      </c>
      <c r="C3287">
        <f t="shared" si="677"/>
        <v>0</v>
      </c>
      <c r="D3287">
        <f t="shared" si="678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9"/>
        <v>0</v>
      </c>
      <c r="G3287">
        <f t="shared" si="680"/>
        <v>0</v>
      </c>
      <c r="H3287">
        <f t="shared" si="681"/>
        <v>0</v>
      </c>
      <c r="I3287">
        <f t="shared" si="682"/>
        <v>0</v>
      </c>
      <c r="J3287">
        <f t="shared" si="683"/>
        <v>0</v>
      </c>
      <c r="K3287" s="4" t="e">
        <f t="shared" si="671"/>
        <v>#N/A</v>
      </c>
      <c r="L3287" t="e">
        <f t="shared" si="672"/>
        <v>#N/A</v>
      </c>
      <c r="M3287" s="4" t="e">
        <f t="shared" si="673"/>
        <v>#N/A</v>
      </c>
      <c r="N3287" s="4" t="e">
        <f t="shared" si="674"/>
        <v>#N/A</v>
      </c>
    </row>
    <row r="3288" spans="1:14">
      <c r="A3288">
        <f t="shared" si="675"/>
        <v>0</v>
      </c>
      <c r="B3288">
        <f t="shared" si="676"/>
        <v>0</v>
      </c>
      <c r="C3288">
        <f t="shared" si="677"/>
        <v>0</v>
      </c>
      <c r="D3288">
        <f t="shared" si="678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9"/>
        <v>0</v>
      </c>
      <c r="G3288">
        <f t="shared" si="680"/>
        <v>0</v>
      </c>
      <c r="H3288">
        <f t="shared" si="681"/>
        <v>0</v>
      </c>
      <c r="I3288">
        <f t="shared" si="682"/>
        <v>0</v>
      </c>
      <c r="J3288">
        <f t="shared" si="683"/>
        <v>0</v>
      </c>
      <c r="K3288" s="4" t="e">
        <f t="shared" si="671"/>
        <v>#N/A</v>
      </c>
      <c r="L3288" t="e">
        <f t="shared" si="672"/>
        <v>#N/A</v>
      </c>
      <c r="M3288" s="4" t="e">
        <f t="shared" si="673"/>
        <v>#N/A</v>
      </c>
      <c r="N3288" s="4" t="e">
        <f t="shared" si="674"/>
        <v>#N/A</v>
      </c>
    </row>
    <row r="3289" spans="1:14">
      <c r="A3289">
        <f t="shared" si="675"/>
        <v>0</v>
      </c>
      <c r="B3289">
        <f t="shared" si="676"/>
        <v>0</v>
      </c>
      <c r="C3289">
        <f t="shared" si="677"/>
        <v>0</v>
      </c>
      <c r="D3289">
        <f t="shared" si="678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9"/>
        <v>0</v>
      </c>
      <c r="G3289">
        <f t="shared" si="680"/>
        <v>0</v>
      </c>
      <c r="H3289">
        <f t="shared" si="681"/>
        <v>0</v>
      </c>
      <c r="I3289">
        <f t="shared" si="682"/>
        <v>0</v>
      </c>
      <c r="J3289">
        <f t="shared" si="683"/>
        <v>0</v>
      </c>
      <c r="K3289" s="4" t="e">
        <f t="shared" si="671"/>
        <v>#N/A</v>
      </c>
      <c r="L3289" t="e">
        <f t="shared" si="672"/>
        <v>#N/A</v>
      </c>
      <c r="M3289" s="4" t="e">
        <f t="shared" si="673"/>
        <v>#N/A</v>
      </c>
      <c r="N3289" s="4" t="e">
        <f t="shared" si="674"/>
        <v>#N/A</v>
      </c>
    </row>
    <row r="3290" spans="1:14">
      <c r="A3290">
        <f t="shared" si="675"/>
        <v>0</v>
      </c>
      <c r="B3290">
        <f t="shared" si="676"/>
        <v>0</v>
      </c>
      <c r="C3290">
        <f t="shared" si="677"/>
        <v>0</v>
      </c>
      <c r="D3290">
        <f t="shared" si="678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9"/>
        <v>0</v>
      </c>
      <c r="G3290">
        <f t="shared" si="680"/>
        <v>0</v>
      </c>
      <c r="H3290">
        <f t="shared" si="681"/>
        <v>0</v>
      </c>
      <c r="I3290">
        <f t="shared" si="682"/>
        <v>0</v>
      </c>
      <c r="J3290">
        <f t="shared" si="683"/>
        <v>0</v>
      </c>
      <c r="K3290" s="4" t="e">
        <f t="shared" si="671"/>
        <v>#N/A</v>
      </c>
      <c r="L3290" t="e">
        <f t="shared" si="672"/>
        <v>#N/A</v>
      </c>
      <c r="M3290" s="4" t="e">
        <f t="shared" si="673"/>
        <v>#N/A</v>
      </c>
      <c r="N3290" s="4" t="e">
        <f t="shared" si="674"/>
        <v>#N/A</v>
      </c>
    </row>
    <row r="3291" spans="1:14">
      <c r="A3291">
        <f t="shared" si="675"/>
        <v>0</v>
      </c>
      <c r="B3291">
        <f t="shared" si="676"/>
        <v>0</v>
      </c>
      <c r="C3291">
        <f t="shared" si="677"/>
        <v>0</v>
      </c>
      <c r="D3291">
        <f t="shared" si="678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9"/>
        <v>0</v>
      </c>
      <c r="G3291">
        <f t="shared" si="680"/>
        <v>0</v>
      </c>
      <c r="H3291">
        <f t="shared" si="681"/>
        <v>0</v>
      </c>
      <c r="I3291">
        <f t="shared" si="682"/>
        <v>0</v>
      </c>
      <c r="J3291">
        <f t="shared" si="683"/>
        <v>0</v>
      </c>
      <c r="K3291" s="4" t="e">
        <f t="shared" si="671"/>
        <v>#N/A</v>
      </c>
      <c r="L3291" t="e">
        <f t="shared" si="672"/>
        <v>#N/A</v>
      </c>
      <c r="M3291" s="4" t="e">
        <f t="shared" si="673"/>
        <v>#N/A</v>
      </c>
      <c r="N3291" s="4" t="e">
        <f t="shared" si="674"/>
        <v>#N/A</v>
      </c>
    </row>
    <row r="3292" spans="1:14">
      <c r="A3292">
        <f t="shared" si="675"/>
        <v>0</v>
      </c>
      <c r="B3292">
        <f t="shared" si="676"/>
        <v>0</v>
      </c>
      <c r="C3292">
        <f t="shared" si="677"/>
        <v>0</v>
      </c>
      <c r="D3292">
        <f t="shared" si="678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9"/>
        <v>0</v>
      </c>
      <c r="G3292">
        <f t="shared" si="680"/>
        <v>0</v>
      </c>
      <c r="H3292">
        <f t="shared" si="681"/>
        <v>0</v>
      </c>
      <c r="I3292">
        <f t="shared" si="682"/>
        <v>0</v>
      </c>
      <c r="J3292">
        <f t="shared" si="683"/>
        <v>0</v>
      </c>
      <c r="K3292" s="4" t="e">
        <f t="shared" si="671"/>
        <v>#N/A</v>
      </c>
      <c r="L3292" t="e">
        <f t="shared" si="672"/>
        <v>#N/A</v>
      </c>
      <c r="M3292" s="4" t="e">
        <f t="shared" si="673"/>
        <v>#N/A</v>
      </c>
      <c r="N3292" s="4" t="e">
        <f t="shared" si="674"/>
        <v>#N/A</v>
      </c>
    </row>
    <row r="3293" spans="1:14">
      <c r="A3293">
        <f t="shared" si="675"/>
        <v>0</v>
      </c>
      <c r="B3293">
        <f t="shared" si="676"/>
        <v>0</v>
      </c>
      <c r="C3293">
        <f t="shared" si="677"/>
        <v>0</v>
      </c>
      <c r="D3293">
        <f t="shared" si="678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9"/>
        <v>0</v>
      </c>
      <c r="G3293">
        <f t="shared" si="680"/>
        <v>0</v>
      </c>
      <c r="H3293">
        <f t="shared" si="681"/>
        <v>0</v>
      </c>
      <c r="I3293">
        <f t="shared" si="682"/>
        <v>0</v>
      </c>
      <c r="J3293">
        <f t="shared" si="683"/>
        <v>0</v>
      </c>
      <c r="K3293" s="4" t="e">
        <f t="shared" si="671"/>
        <v>#N/A</v>
      </c>
      <c r="L3293" t="e">
        <f t="shared" si="672"/>
        <v>#N/A</v>
      </c>
      <c r="M3293" s="4" t="e">
        <f t="shared" si="673"/>
        <v>#N/A</v>
      </c>
      <c r="N3293" s="4" t="e">
        <f t="shared" si="674"/>
        <v>#N/A</v>
      </c>
    </row>
    <row r="3294" spans="1:14">
      <c r="A3294">
        <f t="shared" si="675"/>
        <v>0</v>
      </c>
      <c r="B3294">
        <f t="shared" si="676"/>
        <v>0</v>
      </c>
      <c r="C3294">
        <f t="shared" si="677"/>
        <v>0</v>
      </c>
      <c r="D3294">
        <f t="shared" si="678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9"/>
        <v>0</v>
      </c>
      <c r="G3294">
        <f t="shared" si="680"/>
        <v>0</v>
      </c>
      <c r="H3294">
        <f t="shared" si="681"/>
        <v>0</v>
      </c>
      <c r="I3294">
        <f t="shared" si="682"/>
        <v>0</v>
      </c>
      <c r="J3294">
        <f t="shared" si="683"/>
        <v>0</v>
      </c>
      <c r="K3294" s="4" t="e">
        <f t="shared" si="671"/>
        <v>#N/A</v>
      </c>
      <c r="L3294" t="e">
        <f t="shared" si="672"/>
        <v>#N/A</v>
      </c>
      <c r="M3294" s="4" t="e">
        <f t="shared" si="673"/>
        <v>#N/A</v>
      </c>
      <c r="N3294" s="4" t="e">
        <f t="shared" si="674"/>
        <v>#N/A</v>
      </c>
    </row>
    <row r="3295" spans="1:14">
      <c r="A3295">
        <f t="shared" si="675"/>
        <v>0</v>
      </c>
      <c r="B3295">
        <f t="shared" si="676"/>
        <v>0</v>
      </c>
      <c r="C3295">
        <f t="shared" si="677"/>
        <v>0</v>
      </c>
      <c r="D3295">
        <f t="shared" si="678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9"/>
        <v>0</v>
      </c>
      <c r="G3295">
        <f t="shared" si="680"/>
        <v>0</v>
      </c>
      <c r="H3295">
        <f t="shared" si="681"/>
        <v>0</v>
      </c>
      <c r="I3295">
        <f t="shared" si="682"/>
        <v>0</v>
      </c>
      <c r="J3295">
        <f t="shared" si="683"/>
        <v>0</v>
      </c>
      <c r="K3295" s="4" t="e">
        <f t="shared" si="671"/>
        <v>#N/A</v>
      </c>
      <c r="L3295" t="e">
        <f t="shared" si="672"/>
        <v>#N/A</v>
      </c>
      <c r="M3295" s="4" t="e">
        <f t="shared" si="673"/>
        <v>#N/A</v>
      </c>
      <c r="N3295" s="4" t="e">
        <f t="shared" si="674"/>
        <v>#N/A</v>
      </c>
    </row>
    <row r="3296" spans="1:14">
      <c r="A3296">
        <f t="shared" si="675"/>
        <v>0</v>
      </c>
      <c r="B3296">
        <f t="shared" si="676"/>
        <v>0</v>
      </c>
      <c r="C3296">
        <f t="shared" si="677"/>
        <v>0</v>
      </c>
      <c r="D3296">
        <f t="shared" si="678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9"/>
        <v>0</v>
      </c>
      <c r="G3296">
        <f t="shared" si="680"/>
        <v>0</v>
      </c>
      <c r="H3296">
        <f t="shared" si="681"/>
        <v>0</v>
      </c>
      <c r="I3296">
        <f t="shared" si="682"/>
        <v>0</v>
      </c>
      <c r="J3296">
        <f t="shared" si="683"/>
        <v>0</v>
      </c>
      <c r="K3296" s="4" t="e">
        <f t="shared" si="671"/>
        <v>#N/A</v>
      </c>
      <c r="L3296" t="e">
        <f t="shared" si="672"/>
        <v>#N/A</v>
      </c>
      <c r="M3296" s="4" t="e">
        <f t="shared" si="673"/>
        <v>#N/A</v>
      </c>
      <c r="N3296" s="4" t="e">
        <f t="shared" si="674"/>
        <v>#N/A</v>
      </c>
    </row>
    <row r="3297" spans="1:14">
      <c r="A3297">
        <f t="shared" si="675"/>
        <v>0</v>
      </c>
      <c r="B3297">
        <f t="shared" si="676"/>
        <v>0</v>
      </c>
      <c r="C3297">
        <f t="shared" si="677"/>
        <v>0</v>
      </c>
      <c r="D3297">
        <f t="shared" si="678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9"/>
        <v>0</v>
      </c>
      <c r="G3297">
        <f t="shared" si="680"/>
        <v>0</v>
      </c>
      <c r="H3297">
        <f t="shared" si="681"/>
        <v>0</v>
      </c>
      <c r="I3297">
        <f t="shared" si="682"/>
        <v>0</v>
      </c>
      <c r="J3297">
        <f t="shared" si="683"/>
        <v>0</v>
      </c>
      <c r="K3297" s="4" t="e">
        <f t="shared" si="671"/>
        <v>#N/A</v>
      </c>
      <c r="L3297" t="e">
        <f t="shared" si="672"/>
        <v>#N/A</v>
      </c>
      <c r="M3297" s="4" t="e">
        <f t="shared" si="673"/>
        <v>#N/A</v>
      </c>
      <c r="N3297" s="4" t="e">
        <f t="shared" si="674"/>
        <v>#N/A</v>
      </c>
    </row>
    <row r="3298" spans="1:14">
      <c r="A3298">
        <f t="shared" si="675"/>
        <v>0</v>
      </c>
      <c r="B3298">
        <f t="shared" si="676"/>
        <v>0</v>
      </c>
      <c r="C3298">
        <f t="shared" si="677"/>
        <v>0</v>
      </c>
      <c r="D3298">
        <f t="shared" si="678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9"/>
        <v>0</v>
      </c>
      <c r="G3298">
        <f t="shared" si="680"/>
        <v>0</v>
      </c>
      <c r="H3298">
        <f t="shared" si="681"/>
        <v>0</v>
      </c>
      <c r="I3298">
        <f t="shared" si="682"/>
        <v>0</v>
      </c>
      <c r="J3298">
        <f t="shared" si="683"/>
        <v>0</v>
      </c>
      <c r="K3298" s="4" t="e">
        <f t="shared" si="671"/>
        <v>#N/A</v>
      </c>
      <c r="L3298" t="e">
        <f t="shared" si="672"/>
        <v>#N/A</v>
      </c>
      <c r="M3298" s="4" t="e">
        <f t="shared" si="673"/>
        <v>#N/A</v>
      </c>
      <c r="N3298" s="4" t="e">
        <f t="shared" si="674"/>
        <v>#N/A</v>
      </c>
    </row>
    <row r="3299" spans="1:14">
      <c r="A3299">
        <f t="shared" si="675"/>
        <v>0</v>
      </c>
      <c r="B3299">
        <f t="shared" si="676"/>
        <v>0</v>
      </c>
      <c r="C3299">
        <f t="shared" si="677"/>
        <v>0</v>
      </c>
      <c r="D3299">
        <f t="shared" si="678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9"/>
        <v>0</v>
      </c>
      <c r="G3299">
        <f t="shared" si="680"/>
        <v>0</v>
      </c>
      <c r="H3299">
        <f t="shared" si="681"/>
        <v>0</v>
      </c>
      <c r="I3299">
        <f t="shared" si="682"/>
        <v>0</v>
      </c>
      <c r="J3299">
        <f t="shared" si="683"/>
        <v>0</v>
      </c>
      <c r="K3299" s="4" t="e">
        <f t="shared" si="671"/>
        <v>#N/A</v>
      </c>
      <c r="L3299" t="e">
        <f t="shared" si="672"/>
        <v>#N/A</v>
      </c>
      <c r="M3299" s="4" t="e">
        <f t="shared" si="673"/>
        <v>#N/A</v>
      </c>
      <c r="N3299" s="4" t="e">
        <f t="shared" si="674"/>
        <v>#N/A</v>
      </c>
    </row>
    <row r="3300" spans="1:14">
      <c r="A3300">
        <f t="shared" si="675"/>
        <v>0</v>
      </c>
      <c r="B3300">
        <f t="shared" si="676"/>
        <v>0</v>
      </c>
      <c r="C3300">
        <f t="shared" si="677"/>
        <v>0</v>
      </c>
      <c r="D3300">
        <f t="shared" si="678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9"/>
        <v>0</v>
      </c>
      <c r="G3300">
        <f t="shared" si="680"/>
        <v>0</v>
      </c>
      <c r="H3300">
        <f t="shared" si="681"/>
        <v>0</v>
      </c>
      <c r="I3300">
        <f t="shared" si="682"/>
        <v>0</v>
      </c>
      <c r="J3300">
        <f t="shared" si="683"/>
        <v>0</v>
      </c>
      <c r="K3300" s="4" t="e">
        <f t="shared" si="671"/>
        <v>#N/A</v>
      </c>
      <c r="L3300" t="e">
        <f t="shared" si="672"/>
        <v>#N/A</v>
      </c>
      <c r="M3300" s="4" t="e">
        <f t="shared" si="673"/>
        <v>#N/A</v>
      </c>
      <c r="N3300" s="4" t="e">
        <f t="shared" si="674"/>
        <v>#N/A</v>
      </c>
    </row>
    <row r="3301" spans="1:14">
      <c r="A3301">
        <f t="shared" si="675"/>
        <v>0</v>
      </c>
      <c r="B3301">
        <f t="shared" si="676"/>
        <v>0</v>
      </c>
      <c r="C3301">
        <f t="shared" si="677"/>
        <v>0</v>
      </c>
      <c r="D3301">
        <f t="shared" si="678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9"/>
        <v>0</v>
      </c>
      <c r="G3301">
        <f t="shared" si="680"/>
        <v>0</v>
      </c>
      <c r="H3301">
        <f t="shared" si="681"/>
        <v>0</v>
      </c>
      <c r="I3301">
        <f t="shared" si="682"/>
        <v>0</v>
      </c>
      <c r="J3301">
        <f t="shared" si="683"/>
        <v>0</v>
      </c>
      <c r="K3301" s="4" t="e">
        <f t="shared" si="671"/>
        <v>#N/A</v>
      </c>
      <c r="L3301" t="e">
        <f t="shared" si="672"/>
        <v>#N/A</v>
      </c>
      <c r="M3301" s="4" t="e">
        <f t="shared" si="673"/>
        <v>#N/A</v>
      </c>
      <c r="N3301" s="4" t="e">
        <f t="shared" si="674"/>
        <v>#N/A</v>
      </c>
    </row>
    <row r="3302" spans="1:14">
      <c r="A3302">
        <f t="shared" si="675"/>
        <v>0</v>
      </c>
      <c r="B3302">
        <f t="shared" si="676"/>
        <v>0</v>
      </c>
      <c r="C3302">
        <f t="shared" si="677"/>
        <v>0</v>
      </c>
      <c r="D3302">
        <f t="shared" si="678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9"/>
        <v>0</v>
      </c>
      <c r="G3302">
        <f t="shared" si="680"/>
        <v>0</v>
      </c>
      <c r="H3302">
        <f t="shared" si="681"/>
        <v>0</v>
      </c>
      <c r="I3302">
        <f t="shared" si="682"/>
        <v>0</v>
      </c>
      <c r="J3302">
        <f t="shared" si="683"/>
        <v>0</v>
      </c>
      <c r="K3302" s="4" t="e">
        <f t="shared" si="671"/>
        <v>#N/A</v>
      </c>
      <c r="L3302" t="e">
        <f t="shared" si="672"/>
        <v>#N/A</v>
      </c>
      <c r="M3302" s="4" t="e">
        <f t="shared" si="673"/>
        <v>#N/A</v>
      </c>
      <c r="N3302" s="4" t="e">
        <f t="shared" si="674"/>
        <v>#N/A</v>
      </c>
    </row>
    <row r="3303" spans="1:14">
      <c r="A3303">
        <f t="shared" si="675"/>
        <v>0</v>
      </c>
      <c r="B3303">
        <f t="shared" si="676"/>
        <v>0</v>
      </c>
      <c r="C3303">
        <f t="shared" si="677"/>
        <v>0</v>
      </c>
      <c r="D3303">
        <f t="shared" si="678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9"/>
        <v>0</v>
      </c>
      <c r="G3303">
        <f t="shared" si="680"/>
        <v>0</v>
      </c>
      <c r="H3303">
        <f t="shared" si="681"/>
        <v>0</v>
      </c>
      <c r="I3303">
        <f t="shared" si="682"/>
        <v>0</v>
      </c>
      <c r="J3303">
        <f t="shared" si="683"/>
        <v>0</v>
      </c>
      <c r="K3303" s="4" t="e">
        <f t="shared" si="671"/>
        <v>#N/A</v>
      </c>
      <c r="L3303" t="e">
        <f t="shared" si="672"/>
        <v>#N/A</v>
      </c>
      <c r="M3303" s="4" t="e">
        <f t="shared" si="673"/>
        <v>#N/A</v>
      </c>
      <c r="N3303" s="4" t="e">
        <f t="shared" si="674"/>
        <v>#N/A</v>
      </c>
    </row>
    <row r="3304" spans="1:14">
      <c r="A3304">
        <f t="shared" si="675"/>
        <v>0</v>
      </c>
      <c r="B3304">
        <f t="shared" si="676"/>
        <v>0</v>
      </c>
      <c r="C3304">
        <f t="shared" si="677"/>
        <v>0</v>
      </c>
      <c r="D3304">
        <f t="shared" si="678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9"/>
        <v>0</v>
      </c>
      <c r="G3304">
        <f t="shared" si="680"/>
        <v>0</v>
      </c>
      <c r="H3304">
        <f t="shared" si="681"/>
        <v>0</v>
      </c>
      <c r="I3304">
        <f t="shared" si="682"/>
        <v>0</v>
      </c>
      <c r="J3304">
        <f t="shared" si="683"/>
        <v>0</v>
      </c>
      <c r="K3304" s="4" t="e">
        <f t="shared" si="671"/>
        <v>#N/A</v>
      </c>
      <c r="L3304" t="e">
        <f t="shared" si="672"/>
        <v>#N/A</v>
      </c>
      <c r="M3304" s="4" t="e">
        <f t="shared" si="673"/>
        <v>#N/A</v>
      </c>
      <c r="N3304" s="4" t="e">
        <f t="shared" si="674"/>
        <v>#N/A</v>
      </c>
    </row>
    <row r="3305" spans="1:14">
      <c r="A3305">
        <f t="shared" si="675"/>
        <v>0</v>
      </c>
      <c r="B3305">
        <f t="shared" si="676"/>
        <v>0</v>
      </c>
      <c r="C3305">
        <f t="shared" si="677"/>
        <v>0</v>
      </c>
      <c r="D3305">
        <f t="shared" si="678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9"/>
        <v>0</v>
      </c>
      <c r="G3305">
        <f t="shared" si="680"/>
        <v>0</v>
      </c>
      <c r="H3305">
        <f t="shared" si="681"/>
        <v>0</v>
      </c>
      <c r="I3305">
        <f t="shared" si="682"/>
        <v>0</v>
      </c>
      <c r="J3305">
        <f t="shared" si="683"/>
        <v>0</v>
      </c>
      <c r="K3305" s="4" t="e">
        <f t="shared" si="671"/>
        <v>#N/A</v>
      </c>
      <c r="L3305" t="e">
        <f t="shared" si="672"/>
        <v>#N/A</v>
      </c>
      <c r="M3305" s="4" t="e">
        <f t="shared" si="673"/>
        <v>#N/A</v>
      </c>
      <c r="N3305" s="4" t="e">
        <f t="shared" si="674"/>
        <v>#N/A</v>
      </c>
    </row>
    <row r="3306" spans="1:14">
      <c r="A3306">
        <f t="shared" si="675"/>
        <v>0</v>
      </c>
      <c r="B3306">
        <f t="shared" si="676"/>
        <v>0</v>
      </c>
      <c r="C3306">
        <f t="shared" si="677"/>
        <v>0</v>
      </c>
      <c r="D3306">
        <f t="shared" si="678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9"/>
        <v>0</v>
      </c>
      <c r="G3306">
        <f t="shared" si="680"/>
        <v>0</v>
      </c>
      <c r="H3306">
        <f t="shared" si="681"/>
        <v>0</v>
      </c>
      <c r="I3306">
        <f t="shared" si="682"/>
        <v>0</v>
      </c>
      <c r="J3306">
        <f t="shared" si="683"/>
        <v>0</v>
      </c>
      <c r="K3306" s="4" t="e">
        <f t="shared" si="671"/>
        <v>#N/A</v>
      </c>
      <c r="L3306" t="e">
        <f t="shared" si="672"/>
        <v>#N/A</v>
      </c>
      <c r="M3306" s="4" t="e">
        <f t="shared" si="673"/>
        <v>#N/A</v>
      </c>
      <c r="N3306" s="4" t="e">
        <f t="shared" si="674"/>
        <v>#N/A</v>
      </c>
    </row>
    <row r="3307" spans="1:14">
      <c r="A3307">
        <f t="shared" si="675"/>
        <v>0</v>
      </c>
      <c r="B3307">
        <f t="shared" si="676"/>
        <v>0</v>
      </c>
      <c r="C3307">
        <f t="shared" si="677"/>
        <v>0</v>
      </c>
      <c r="D3307">
        <f t="shared" si="678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9"/>
        <v>0</v>
      </c>
      <c r="G3307">
        <f t="shared" si="680"/>
        <v>0</v>
      </c>
      <c r="H3307">
        <f t="shared" si="681"/>
        <v>0</v>
      </c>
      <c r="I3307">
        <f t="shared" si="682"/>
        <v>0</v>
      </c>
      <c r="J3307">
        <f t="shared" si="683"/>
        <v>0</v>
      </c>
      <c r="K3307" s="4" t="e">
        <f t="shared" si="671"/>
        <v>#N/A</v>
      </c>
      <c r="L3307" t="e">
        <f t="shared" si="672"/>
        <v>#N/A</v>
      </c>
      <c r="M3307" s="4" t="e">
        <f t="shared" si="673"/>
        <v>#N/A</v>
      </c>
      <c r="N3307" s="4" t="e">
        <f t="shared" si="674"/>
        <v>#N/A</v>
      </c>
    </row>
    <row r="3308" spans="1:14">
      <c r="A3308">
        <f t="shared" si="675"/>
        <v>0</v>
      </c>
      <c r="B3308">
        <f t="shared" si="676"/>
        <v>0</v>
      </c>
      <c r="C3308">
        <f t="shared" si="677"/>
        <v>0</v>
      </c>
      <c r="D3308">
        <f t="shared" si="678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9"/>
        <v>0</v>
      </c>
      <c r="G3308">
        <f t="shared" si="680"/>
        <v>0</v>
      </c>
      <c r="H3308">
        <f t="shared" si="681"/>
        <v>0</v>
      </c>
      <c r="I3308">
        <f t="shared" si="682"/>
        <v>0</v>
      </c>
      <c r="J3308">
        <f t="shared" si="683"/>
        <v>0</v>
      </c>
      <c r="K3308" s="4" t="e">
        <f t="shared" si="671"/>
        <v>#N/A</v>
      </c>
      <c r="L3308" t="e">
        <f t="shared" si="672"/>
        <v>#N/A</v>
      </c>
      <c r="M3308" s="4" t="e">
        <f t="shared" si="673"/>
        <v>#N/A</v>
      </c>
      <c r="N3308" s="4" t="e">
        <f t="shared" si="674"/>
        <v>#N/A</v>
      </c>
    </row>
    <row r="3309" spans="1:14">
      <c r="A3309">
        <f t="shared" si="675"/>
        <v>0</v>
      </c>
      <c r="B3309">
        <f t="shared" si="676"/>
        <v>0</v>
      </c>
      <c r="C3309">
        <f t="shared" si="677"/>
        <v>0</v>
      </c>
      <c r="D3309">
        <f t="shared" si="678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9"/>
        <v>0</v>
      </c>
      <c r="G3309">
        <f t="shared" si="680"/>
        <v>0</v>
      </c>
      <c r="H3309">
        <f t="shared" si="681"/>
        <v>0</v>
      </c>
      <c r="I3309">
        <f t="shared" si="682"/>
        <v>0</v>
      </c>
      <c r="J3309">
        <f t="shared" si="683"/>
        <v>0</v>
      </c>
      <c r="K3309" s="4" t="e">
        <f t="shared" si="671"/>
        <v>#N/A</v>
      </c>
      <c r="L3309" t="e">
        <f t="shared" si="672"/>
        <v>#N/A</v>
      </c>
      <c r="M3309" s="4" t="e">
        <f t="shared" si="673"/>
        <v>#N/A</v>
      </c>
      <c r="N3309" s="4" t="e">
        <f t="shared" si="674"/>
        <v>#N/A</v>
      </c>
    </row>
    <row r="3310" spans="1:14">
      <c r="A3310">
        <f t="shared" si="675"/>
        <v>0</v>
      </c>
      <c r="B3310">
        <f t="shared" si="676"/>
        <v>0</v>
      </c>
      <c r="C3310">
        <f t="shared" si="677"/>
        <v>0</v>
      </c>
      <c r="D3310">
        <f t="shared" si="678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9"/>
        <v>0</v>
      </c>
      <c r="G3310">
        <f t="shared" si="680"/>
        <v>0</v>
      </c>
      <c r="H3310">
        <f t="shared" si="681"/>
        <v>0</v>
      </c>
      <c r="I3310">
        <f t="shared" si="682"/>
        <v>0</v>
      </c>
      <c r="J3310">
        <f t="shared" si="683"/>
        <v>0</v>
      </c>
      <c r="K3310" s="4" t="e">
        <f t="shared" si="671"/>
        <v>#N/A</v>
      </c>
      <c r="L3310" t="e">
        <f t="shared" si="672"/>
        <v>#N/A</v>
      </c>
      <c r="M3310" s="4" t="e">
        <f t="shared" si="673"/>
        <v>#N/A</v>
      </c>
      <c r="N3310" s="4" t="e">
        <f t="shared" si="674"/>
        <v>#N/A</v>
      </c>
    </row>
    <row r="3311" spans="1:14">
      <c r="A3311">
        <f t="shared" si="675"/>
        <v>0</v>
      </c>
      <c r="B3311">
        <f t="shared" si="676"/>
        <v>0</v>
      </c>
      <c r="C3311">
        <f t="shared" si="677"/>
        <v>0</v>
      </c>
      <c r="D3311">
        <f t="shared" si="678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9"/>
        <v>0</v>
      </c>
      <c r="G3311">
        <f t="shared" si="680"/>
        <v>0</v>
      </c>
      <c r="H3311">
        <f t="shared" si="681"/>
        <v>0</v>
      </c>
      <c r="I3311">
        <f t="shared" si="682"/>
        <v>0</v>
      </c>
      <c r="J3311">
        <f t="shared" si="683"/>
        <v>0</v>
      </c>
      <c r="K3311" s="4" t="e">
        <f t="shared" si="671"/>
        <v>#N/A</v>
      </c>
      <c r="L3311" t="e">
        <f t="shared" si="672"/>
        <v>#N/A</v>
      </c>
      <c r="M3311" s="4" t="e">
        <f t="shared" si="673"/>
        <v>#N/A</v>
      </c>
      <c r="N3311" s="4" t="e">
        <f t="shared" si="674"/>
        <v>#N/A</v>
      </c>
    </row>
    <row r="3312" spans="1:14">
      <c r="A3312">
        <f t="shared" si="675"/>
        <v>0</v>
      </c>
      <c r="B3312">
        <f t="shared" si="676"/>
        <v>0</v>
      </c>
      <c r="C3312">
        <f t="shared" si="677"/>
        <v>0</v>
      </c>
      <c r="D3312">
        <f t="shared" si="678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9"/>
        <v>0</v>
      </c>
      <c r="G3312">
        <f t="shared" si="680"/>
        <v>0</v>
      </c>
      <c r="H3312">
        <f t="shared" si="681"/>
        <v>0</v>
      </c>
      <c r="I3312">
        <f t="shared" si="682"/>
        <v>0</v>
      </c>
      <c r="J3312">
        <f t="shared" si="683"/>
        <v>0</v>
      </c>
      <c r="K3312" s="4" t="e">
        <f t="shared" si="671"/>
        <v>#N/A</v>
      </c>
      <c r="L3312" t="e">
        <f t="shared" si="672"/>
        <v>#N/A</v>
      </c>
      <c r="M3312" s="4" t="e">
        <f t="shared" si="673"/>
        <v>#N/A</v>
      </c>
      <c r="N3312" s="4" t="e">
        <f t="shared" si="674"/>
        <v>#N/A</v>
      </c>
    </row>
    <row r="3313" spans="1:14">
      <c r="A3313">
        <f t="shared" si="675"/>
        <v>0</v>
      </c>
      <c r="B3313">
        <f t="shared" si="676"/>
        <v>0</v>
      </c>
      <c r="C3313">
        <f t="shared" si="677"/>
        <v>0</v>
      </c>
      <c r="D3313">
        <f t="shared" si="678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9"/>
        <v>0</v>
      </c>
      <c r="G3313">
        <f t="shared" si="680"/>
        <v>0</v>
      </c>
      <c r="H3313">
        <f t="shared" si="681"/>
        <v>0</v>
      </c>
      <c r="I3313">
        <f t="shared" si="682"/>
        <v>0</v>
      </c>
      <c r="J3313">
        <f t="shared" si="683"/>
        <v>0</v>
      </c>
      <c r="K3313" s="4" t="e">
        <f t="shared" si="671"/>
        <v>#N/A</v>
      </c>
      <c r="L3313" t="e">
        <f t="shared" si="672"/>
        <v>#N/A</v>
      </c>
      <c r="M3313" s="4" t="e">
        <f t="shared" si="673"/>
        <v>#N/A</v>
      </c>
      <c r="N3313" s="4" t="e">
        <f t="shared" si="674"/>
        <v>#N/A</v>
      </c>
    </row>
    <row r="3314" spans="1:14">
      <c r="A3314">
        <f t="shared" si="675"/>
        <v>0</v>
      </c>
      <c r="B3314">
        <f t="shared" si="676"/>
        <v>0</v>
      </c>
      <c r="C3314">
        <f t="shared" si="677"/>
        <v>0</v>
      </c>
      <c r="D3314">
        <f t="shared" si="678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9"/>
        <v>0</v>
      </c>
      <c r="G3314">
        <f t="shared" si="680"/>
        <v>0</v>
      </c>
      <c r="H3314">
        <f t="shared" si="681"/>
        <v>0</v>
      </c>
      <c r="I3314">
        <f t="shared" si="682"/>
        <v>0</v>
      </c>
      <c r="J3314">
        <f t="shared" si="683"/>
        <v>0</v>
      </c>
      <c r="K3314" s="4" t="e">
        <f t="shared" si="671"/>
        <v>#N/A</v>
      </c>
      <c r="L3314" t="e">
        <f t="shared" si="672"/>
        <v>#N/A</v>
      </c>
      <c r="M3314" s="4" t="e">
        <f t="shared" si="673"/>
        <v>#N/A</v>
      </c>
      <c r="N3314" s="4" t="e">
        <f t="shared" si="674"/>
        <v>#N/A</v>
      </c>
    </row>
    <row r="3315" spans="1:14">
      <c r="A3315">
        <f t="shared" si="675"/>
        <v>0</v>
      </c>
      <c r="B3315">
        <f t="shared" si="676"/>
        <v>0</v>
      </c>
      <c r="C3315">
        <f t="shared" si="677"/>
        <v>0</v>
      </c>
      <c r="D3315">
        <f t="shared" si="678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9"/>
        <v>0</v>
      </c>
      <c r="G3315">
        <f t="shared" si="680"/>
        <v>0</v>
      </c>
      <c r="H3315">
        <f t="shared" si="681"/>
        <v>0</v>
      </c>
      <c r="I3315">
        <f t="shared" si="682"/>
        <v>0</v>
      </c>
      <c r="J3315">
        <f t="shared" si="683"/>
        <v>0</v>
      </c>
      <c r="K3315" s="4" t="e">
        <f t="shared" si="671"/>
        <v>#N/A</v>
      </c>
      <c r="L3315" t="e">
        <f t="shared" si="672"/>
        <v>#N/A</v>
      </c>
      <c r="M3315" s="4" t="e">
        <f t="shared" si="673"/>
        <v>#N/A</v>
      </c>
      <c r="N3315" s="4" t="e">
        <f t="shared" si="674"/>
        <v>#N/A</v>
      </c>
    </row>
    <row r="3316" spans="1:14">
      <c r="A3316">
        <f t="shared" si="675"/>
        <v>0</v>
      </c>
      <c r="B3316">
        <f t="shared" si="676"/>
        <v>0</v>
      </c>
      <c r="C3316">
        <f t="shared" si="677"/>
        <v>0</v>
      </c>
      <c r="D3316">
        <f t="shared" si="678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9"/>
        <v>0</v>
      </c>
      <c r="G3316">
        <f t="shared" si="680"/>
        <v>0</v>
      </c>
      <c r="H3316">
        <f t="shared" si="681"/>
        <v>0</v>
      </c>
      <c r="I3316">
        <f t="shared" si="682"/>
        <v>0</v>
      </c>
      <c r="J3316">
        <f t="shared" si="683"/>
        <v>0</v>
      </c>
      <c r="K3316" s="4" t="e">
        <f t="shared" si="671"/>
        <v>#N/A</v>
      </c>
      <c r="L3316" t="e">
        <f t="shared" si="672"/>
        <v>#N/A</v>
      </c>
      <c r="M3316" s="4" t="e">
        <f t="shared" si="673"/>
        <v>#N/A</v>
      </c>
      <c r="N3316" s="4" t="e">
        <f t="shared" si="674"/>
        <v>#N/A</v>
      </c>
    </row>
    <row r="3317" spans="1:14">
      <c r="A3317">
        <f t="shared" si="675"/>
        <v>0</v>
      </c>
      <c r="B3317">
        <f t="shared" si="676"/>
        <v>0</v>
      </c>
      <c r="C3317">
        <f t="shared" si="677"/>
        <v>0</v>
      </c>
      <c r="D3317">
        <f t="shared" si="678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9"/>
        <v>0</v>
      </c>
      <c r="G3317">
        <f t="shared" si="680"/>
        <v>0</v>
      </c>
      <c r="H3317">
        <f t="shared" si="681"/>
        <v>0</v>
      </c>
      <c r="I3317">
        <f t="shared" si="682"/>
        <v>0</v>
      </c>
      <c r="J3317">
        <f t="shared" si="683"/>
        <v>0</v>
      </c>
      <c r="K3317" s="4" t="e">
        <f t="shared" si="671"/>
        <v>#N/A</v>
      </c>
      <c r="L3317" t="e">
        <f t="shared" si="672"/>
        <v>#N/A</v>
      </c>
      <c r="M3317" s="4" t="e">
        <f t="shared" si="673"/>
        <v>#N/A</v>
      </c>
      <c r="N3317" s="4" t="e">
        <f t="shared" si="674"/>
        <v>#N/A</v>
      </c>
    </row>
    <row r="3318" spans="1:14">
      <c r="A3318">
        <f t="shared" si="675"/>
        <v>0</v>
      </c>
      <c r="B3318">
        <f t="shared" si="676"/>
        <v>0</v>
      </c>
      <c r="C3318">
        <f t="shared" si="677"/>
        <v>0</v>
      </c>
      <c r="D3318">
        <f t="shared" si="678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9"/>
        <v>0</v>
      </c>
      <c r="G3318">
        <f t="shared" si="680"/>
        <v>0</v>
      </c>
      <c r="H3318">
        <f t="shared" si="681"/>
        <v>0</v>
      </c>
      <c r="I3318">
        <f t="shared" si="682"/>
        <v>0</v>
      </c>
      <c r="J3318">
        <f t="shared" si="683"/>
        <v>0</v>
      </c>
      <c r="K3318" s="4" t="e">
        <f t="shared" si="671"/>
        <v>#N/A</v>
      </c>
      <c r="L3318" t="e">
        <f t="shared" si="672"/>
        <v>#N/A</v>
      </c>
      <c r="M3318" s="4" t="e">
        <f t="shared" si="673"/>
        <v>#N/A</v>
      </c>
      <c r="N3318" s="4" t="e">
        <f t="shared" si="674"/>
        <v>#N/A</v>
      </c>
    </row>
    <row r="3319" spans="1:14">
      <c r="A3319">
        <f t="shared" si="675"/>
        <v>0</v>
      </c>
      <c r="B3319">
        <f t="shared" si="676"/>
        <v>0</v>
      </c>
      <c r="C3319">
        <f t="shared" si="677"/>
        <v>0</v>
      </c>
      <c r="D3319">
        <f t="shared" si="678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9"/>
        <v>0</v>
      </c>
      <c r="G3319">
        <f t="shared" si="680"/>
        <v>0</v>
      </c>
      <c r="H3319">
        <f t="shared" si="681"/>
        <v>0</v>
      </c>
      <c r="I3319">
        <f t="shared" si="682"/>
        <v>0</v>
      </c>
      <c r="J3319">
        <f t="shared" si="683"/>
        <v>0</v>
      </c>
      <c r="K3319" s="4" t="e">
        <f t="shared" si="671"/>
        <v>#N/A</v>
      </c>
      <c r="L3319" t="e">
        <f t="shared" si="672"/>
        <v>#N/A</v>
      </c>
      <c r="M3319" s="4" t="e">
        <f t="shared" si="673"/>
        <v>#N/A</v>
      </c>
      <c r="N3319" s="4" t="e">
        <f t="shared" si="674"/>
        <v>#N/A</v>
      </c>
    </row>
    <row r="3320" spans="1:14">
      <c r="A3320">
        <f t="shared" si="675"/>
        <v>0</v>
      </c>
      <c r="B3320">
        <f t="shared" si="676"/>
        <v>0</v>
      </c>
      <c r="C3320">
        <f t="shared" si="677"/>
        <v>0</v>
      </c>
      <c r="D3320">
        <f t="shared" si="678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9"/>
        <v>0</v>
      </c>
      <c r="G3320">
        <f t="shared" si="680"/>
        <v>0</v>
      </c>
      <c r="H3320">
        <f t="shared" si="681"/>
        <v>0</v>
      </c>
      <c r="I3320">
        <f t="shared" si="682"/>
        <v>0</v>
      </c>
      <c r="J3320">
        <f t="shared" si="683"/>
        <v>0</v>
      </c>
      <c r="K3320" s="4" t="e">
        <f t="shared" si="671"/>
        <v>#N/A</v>
      </c>
      <c r="L3320" t="e">
        <f t="shared" si="672"/>
        <v>#N/A</v>
      </c>
      <c r="M3320" s="4" t="e">
        <f t="shared" si="673"/>
        <v>#N/A</v>
      </c>
      <c r="N3320" s="4" t="e">
        <f t="shared" si="674"/>
        <v>#N/A</v>
      </c>
    </row>
    <row r="3321" spans="1:14">
      <c r="A3321">
        <f t="shared" si="675"/>
        <v>0</v>
      </c>
      <c r="B3321">
        <f t="shared" si="676"/>
        <v>0</v>
      </c>
      <c r="C3321">
        <f t="shared" si="677"/>
        <v>0</v>
      </c>
      <c r="D3321">
        <f t="shared" si="678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9"/>
        <v>0</v>
      </c>
      <c r="G3321">
        <f t="shared" si="680"/>
        <v>0</v>
      </c>
      <c r="H3321">
        <f t="shared" si="681"/>
        <v>0</v>
      </c>
      <c r="I3321">
        <f t="shared" si="682"/>
        <v>0</v>
      </c>
      <c r="J3321">
        <f t="shared" si="683"/>
        <v>0</v>
      </c>
      <c r="K3321" s="4" t="e">
        <f t="shared" si="671"/>
        <v>#N/A</v>
      </c>
      <c r="L3321" t="e">
        <f t="shared" si="672"/>
        <v>#N/A</v>
      </c>
      <c r="M3321" s="4" t="e">
        <f t="shared" si="673"/>
        <v>#N/A</v>
      </c>
      <c r="N3321" s="4" t="e">
        <f t="shared" si="674"/>
        <v>#N/A</v>
      </c>
    </row>
    <row r="3322" spans="1:14">
      <c r="A3322">
        <f t="shared" si="675"/>
        <v>0</v>
      </c>
      <c r="B3322">
        <f t="shared" si="676"/>
        <v>0</v>
      </c>
      <c r="C3322">
        <f t="shared" si="677"/>
        <v>0</v>
      </c>
      <c r="D3322">
        <f t="shared" si="678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9"/>
        <v>0</v>
      </c>
      <c r="G3322">
        <f t="shared" si="680"/>
        <v>0</v>
      </c>
      <c r="H3322">
        <f t="shared" si="681"/>
        <v>0</v>
      </c>
      <c r="I3322">
        <f t="shared" si="682"/>
        <v>0</v>
      </c>
      <c r="J3322">
        <f t="shared" si="683"/>
        <v>0</v>
      </c>
      <c r="K3322" s="4" t="e">
        <f t="shared" si="671"/>
        <v>#N/A</v>
      </c>
      <c r="L3322" t="e">
        <f t="shared" si="672"/>
        <v>#N/A</v>
      </c>
      <c r="M3322" s="4" t="e">
        <f t="shared" si="673"/>
        <v>#N/A</v>
      </c>
      <c r="N3322" s="4" t="e">
        <f t="shared" si="674"/>
        <v>#N/A</v>
      </c>
    </row>
    <row r="3323" spans="1:14">
      <c r="A3323">
        <f t="shared" si="675"/>
        <v>0</v>
      </c>
      <c r="B3323">
        <f t="shared" si="676"/>
        <v>0</v>
      </c>
      <c r="C3323">
        <f t="shared" si="677"/>
        <v>0</v>
      </c>
      <c r="D3323">
        <f t="shared" si="678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9"/>
        <v>0</v>
      </c>
      <c r="G3323">
        <f t="shared" si="680"/>
        <v>0</v>
      </c>
      <c r="H3323">
        <f t="shared" si="681"/>
        <v>0</v>
      </c>
      <c r="I3323">
        <f t="shared" si="682"/>
        <v>0</v>
      </c>
      <c r="J3323">
        <f t="shared" si="683"/>
        <v>0</v>
      </c>
      <c r="K3323" s="4" t="e">
        <f t="shared" si="671"/>
        <v>#N/A</v>
      </c>
      <c r="L3323" t="e">
        <f t="shared" si="672"/>
        <v>#N/A</v>
      </c>
      <c r="M3323" s="4" t="e">
        <f t="shared" si="673"/>
        <v>#N/A</v>
      </c>
      <c r="N3323" s="4" t="e">
        <f t="shared" si="674"/>
        <v>#N/A</v>
      </c>
    </row>
    <row r="3324" spans="1:14">
      <c r="A3324">
        <f t="shared" si="675"/>
        <v>0</v>
      </c>
      <c r="B3324">
        <f t="shared" si="676"/>
        <v>0</v>
      </c>
      <c r="C3324">
        <f t="shared" si="677"/>
        <v>0</v>
      </c>
      <c r="D3324">
        <f t="shared" si="678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9"/>
        <v>0</v>
      </c>
      <c r="G3324">
        <f t="shared" si="680"/>
        <v>0</v>
      </c>
      <c r="H3324">
        <f t="shared" si="681"/>
        <v>0</v>
      </c>
      <c r="I3324">
        <f t="shared" si="682"/>
        <v>0</v>
      </c>
      <c r="J3324">
        <f t="shared" si="683"/>
        <v>0</v>
      </c>
      <c r="K3324" s="4" t="e">
        <f t="shared" si="671"/>
        <v>#N/A</v>
      </c>
      <c r="L3324" t="e">
        <f t="shared" si="672"/>
        <v>#N/A</v>
      </c>
      <c r="M3324" s="4" t="e">
        <f t="shared" si="673"/>
        <v>#N/A</v>
      </c>
      <c r="N3324" s="4" t="e">
        <f t="shared" si="674"/>
        <v>#N/A</v>
      </c>
    </row>
    <row r="3325" spans="1:14">
      <c r="A3325">
        <f t="shared" si="675"/>
        <v>0</v>
      </c>
      <c r="B3325">
        <f t="shared" si="676"/>
        <v>0</v>
      </c>
      <c r="C3325">
        <f t="shared" si="677"/>
        <v>0</v>
      </c>
      <c r="D3325">
        <f t="shared" si="678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9"/>
        <v>0</v>
      </c>
      <c r="G3325">
        <f t="shared" si="680"/>
        <v>0</v>
      </c>
      <c r="H3325">
        <f t="shared" si="681"/>
        <v>0</v>
      </c>
      <c r="I3325">
        <f t="shared" si="682"/>
        <v>0</v>
      </c>
      <c r="J3325">
        <f t="shared" si="683"/>
        <v>0</v>
      </c>
      <c r="K3325" s="4" t="e">
        <f t="shared" ref="K3325:K3388" si="684">IF(LEFT(B3325,3)="DBM",0,VLOOKUP(E3325,tabela,2,FALSE))</f>
        <v>#N/A</v>
      </c>
      <c r="L3325" t="e">
        <f t="shared" ref="L3325:L3388" si="685">VLOOKUP(E3325,tabela,3,FALSE)</f>
        <v>#N/A</v>
      </c>
      <c r="M3325" s="4" t="e">
        <f t="shared" ref="M3325:M3388" si="686">IF(E3325="Dynamic Click",J3325*K3325,K3325*$I3325/1000)</f>
        <v>#N/A</v>
      </c>
      <c r="N3325" s="4" t="e">
        <f t="shared" ref="N3325:N3388" si="687">IF(E3325="Dynamic Click",J3325*L3325,L3325*$I3325/1000)</f>
        <v>#N/A</v>
      </c>
    </row>
    <row r="3326" spans="1:14">
      <c r="A3326">
        <f t="shared" si="675"/>
        <v>0</v>
      </c>
      <c r="B3326">
        <f t="shared" si="676"/>
        <v>0</v>
      </c>
      <c r="C3326">
        <f t="shared" si="677"/>
        <v>0</v>
      </c>
      <c r="D3326">
        <f t="shared" si="678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9"/>
        <v>0</v>
      </c>
      <c r="G3326">
        <f t="shared" si="680"/>
        <v>0</v>
      </c>
      <c r="H3326">
        <f t="shared" si="681"/>
        <v>0</v>
      </c>
      <c r="I3326">
        <f t="shared" si="682"/>
        <v>0</v>
      </c>
      <c r="J3326">
        <f t="shared" si="683"/>
        <v>0</v>
      </c>
      <c r="K3326" s="4" t="e">
        <f t="shared" si="684"/>
        <v>#N/A</v>
      </c>
      <c r="L3326" t="e">
        <f t="shared" si="685"/>
        <v>#N/A</v>
      </c>
      <c r="M3326" s="4" t="e">
        <f t="shared" si="686"/>
        <v>#N/A</v>
      </c>
      <c r="N3326" s="4" t="e">
        <f t="shared" si="687"/>
        <v>#N/A</v>
      </c>
    </row>
    <row r="3327" spans="1:14">
      <c r="A3327">
        <f t="shared" si="675"/>
        <v>0</v>
      </c>
      <c r="B3327">
        <f t="shared" si="676"/>
        <v>0</v>
      </c>
      <c r="C3327">
        <f t="shared" si="677"/>
        <v>0</v>
      </c>
      <c r="D3327">
        <f t="shared" si="678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9"/>
        <v>0</v>
      </c>
      <c r="G3327">
        <f t="shared" si="680"/>
        <v>0</v>
      </c>
      <c r="H3327">
        <f t="shared" si="681"/>
        <v>0</v>
      </c>
      <c r="I3327">
        <f t="shared" si="682"/>
        <v>0</v>
      </c>
      <c r="J3327">
        <f t="shared" si="683"/>
        <v>0</v>
      </c>
      <c r="K3327" s="4" t="e">
        <f t="shared" si="684"/>
        <v>#N/A</v>
      </c>
      <c r="L3327" t="e">
        <f t="shared" si="685"/>
        <v>#N/A</v>
      </c>
      <c r="M3327" s="4" t="e">
        <f t="shared" si="686"/>
        <v>#N/A</v>
      </c>
      <c r="N3327" s="4" t="e">
        <f t="shared" si="687"/>
        <v>#N/A</v>
      </c>
    </row>
    <row r="3328" spans="1:14">
      <c r="A3328">
        <f t="shared" si="675"/>
        <v>0</v>
      </c>
      <c r="B3328">
        <f t="shared" si="676"/>
        <v>0</v>
      </c>
      <c r="C3328">
        <f t="shared" si="677"/>
        <v>0</v>
      </c>
      <c r="D3328">
        <f t="shared" si="678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9"/>
        <v>0</v>
      </c>
      <c r="G3328">
        <f t="shared" si="680"/>
        <v>0</v>
      </c>
      <c r="H3328">
        <f t="shared" si="681"/>
        <v>0</v>
      </c>
      <c r="I3328">
        <f t="shared" si="682"/>
        <v>0</v>
      </c>
      <c r="J3328">
        <f t="shared" si="683"/>
        <v>0</v>
      </c>
      <c r="K3328" s="4" t="e">
        <f t="shared" si="684"/>
        <v>#N/A</v>
      </c>
      <c r="L3328" t="e">
        <f t="shared" si="685"/>
        <v>#N/A</v>
      </c>
      <c r="M3328" s="4" t="e">
        <f t="shared" si="686"/>
        <v>#N/A</v>
      </c>
      <c r="N3328" s="4" t="e">
        <f t="shared" si="687"/>
        <v>#N/A</v>
      </c>
    </row>
    <row r="3329" spans="1:14">
      <c r="A3329">
        <f t="shared" si="675"/>
        <v>0</v>
      </c>
      <c r="B3329">
        <f t="shared" si="676"/>
        <v>0</v>
      </c>
      <c r="C3329">
        <f t="shared" si="677"/>
        <v>0</v>
      </c>
      <c r="D3329">
        <f t="shared" si="678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9"/>
        <v>0</v>
      </c>
      <c r="G3329">
        <f t="shared" si="680"/>
        <v>0</v>
      </c>
      <c r="H3329">
        <f t="shared" si="681"/>
        <v>0</v>
      </c>
      <c r="I3329">
        <f t="shared" si="682"/>
        <v>0</v>
      </c>
      <c r="J3329">
        <f t="shared" si="683"/>
        <v>0</v>
      </c>
      <c r="K3329" s="4" t="e">
        <f t="shared" si="684"/>
        <v>#N/A</v>
      </c>
      <c r="L3329" t="e">
        <f t="shared" si="685"/>
        <v>#N/A</v>
      </c>
      <c r="M3329" s="4" t="e">
        <f t="shared" si="686"/>
        <v>#N/A</v>
      </c>
      <c r="N3329" s="4" t="e">
        <f t="shared" si="687"/>
        <v>#N/A</v>
      </c>
    </row>
    <row r="3330" spans="1:14">
      <c r="A3330">
        <f t="shared" ref="A3330:A3393" si="688">bd_campaign</f>
        <v>0</v>
      </c>
      <c r="B3330">
        <f t="shared" ref="B3330:B3393" si="689">bd_site</f>
        <v>0</v>
      </c>
      <c r="C3330">
        <f t="shared" ref="C3330:C3393" si="690">bd_placement</f>
        <v>0</v>
      </c>
      <c r="D3330">
        <f t="shared" ref="D3330:D3393" si="691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2">bd_ad</f>
        <v>0</v>
      </c>
      <c r="G3330">
        <f t="shared" ref="G3330:G3393" si="693">bd_adid</f>
        <v>0</v>
      </c>
      <c r="H3330">
        <f t="shared" ref="H3330:H3393" si="694">bd_creativetype</f>
        <v>0</v>
      </c>
      <c r="I3330">
        <f t="shared" ref="I3330:I3393" si="695">bd_impression</f>
        <v>0</v>
      </c>
      <c r="J3330">
        <f t="shared" ref="J3330:J3393" si="696">bd_clicks</f>
        <v>0</v>
      </c>
      <c r="K3330" s="4" t="e">
        <f t="shared" si="684"/>
        <v>#N/A</v>
      </c>
      <c r="L3330" t="e">
        <f t="shared" si="685"/>
        <v>#N/A</v>
      </c>
      <c r="M3330" s="4" t="e">
        <f t="shared" si="686"/>
        <v>#N/A</v>
      </c>
      <c r="N3330" s="4" t="e">
        <f t="shared" si="687"/>
        <v>#N/A</v>
      </c>
    </row>
    <row r="3331" spans="1:14">
      <c r="A3331">
        <f t="shared" si="688"/>
        <v>0</v>
      </c>
      <c r="B3331">
        <f t="shared" si="689"/>
        <v>0</v>
      </c>
      <c r="C3331">
        <f t="shared" si="690"/>
        <v>0</v>
      </c>
      <c r="D3331">
        <f t="shared" si="691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2"/>
        <v>0</v>
      </c>
      <c r="G3331">
        <f t="shared" si="693"/>
        <v>0</v>
      </c>
      <c r="H3331">
        <f t="shared" si="694"/>
        <v>0</v>
      </c>
      <c r="I3331">
        <f t="shared" si="695"/>
        <v>0</v>
      </c>
      <c r="J3331">
        <f t="shared" si="696"/>
        <v>0</v>
      </c>
      <c r="K3331" s="4" t="e">
        <f t="shared" si="684"/>
        <v>#N/A</v>
      </c>
      <c r="L3331" t="e">
        <f t="shared" si="685"/>
        <v>#N/A</v>
      </c>
      <c r="M3331" s="4" t="e">
        <f t="shared" si="686"/>
        <v>#N/A</v>
      </c>
      <c r="N3331" s="4" t="e">
        <f t="shared" si="687"/>
        <v>#N/A</v>
      </c>
    </row>
    <row r="3332" spans="1:14">
      <c r="A3332">
        <f t="shared" si="688"/>
        <v>0</v>
      </c>
      <c r="B3332">
        <f t="shared" si="689"/>
        <v>0</v>
      </c>
      <c r="C3332">
        <f t="shared" si="690"/>
        <v>0</v>
      </c>
      <c r="D3332">
        <f t="shared" si="691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2"/>
        <v>0</v>
      </c>
      <c r="G3332">
        <f t="shared" si="693"/>
        <v>0</v>
      </c>
      <c r="H3332">
        <f t="shared" si="694"/>
        <v>0</v>
      </c>
      <c r="I3332">
        <f t="shared" si="695"/>
        <v>0</v>
      </c>
      <c r="J3332">
        <f t="shared" si="696"/>
        <v>0</v>
      </c>
      <c r="K3332" s="4" t="e">
        <f t="shared" si="684"/>
        <v>#N/A</v>
      </c>
      <c r="L3332" t="e">
        <f t="shared" si="685"/>
        <v>#N/A</v>
      </c>
      <c r="M3332" s="4" t="e">
        <f t="shared" si="686"/>
        <v>#N/A</v>
      </c>
      <c r="N3332" s="4" t="e">
        <f t="shared" si="687"/>
        <v>#N/A</v>
      </c>
    </row>
    <row r="3333" spans="1:14">
      <c r="A3333">
        <f t="shared" si="688"/>
        <v>0</v>
      </c>
      <c r="B3333">
        <f t="shared" si="689"/>
        <v>0</v>
      </c>
      <c r="C3333">
        <f t="shared" si="690"/>
        <v>0</v>
      </c>
      <c r="D3333">
        <f t="shared" si="691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2"/>
        <v>0</v>
      </c>
      <c r="G3333">
        <f t="shared" si="693"/>
        <v>0</v>
      </c>
      <c r="H3333">
        <f t="shared" si="694"/>
        <v>0</v>
      </c>
      <c r="I3333">
        <f t="shared" si="695"/>
        <v>0</v>
      </c>
      <c r="J3333">
        <f t="shared" si="696"/>
        <v>0</v>
      </c>
      <c r="K3333" s="4" t="e">
        <f t="shared" si="684"/>
        <v>#N/A</v>
      </c>
      <c r="L3333" t="e">
        <f t="shared" si="685"/>
        <v>#N/A</v>
      </c>
      <c r="M3333" s="4" t="e">
        <f t="shared" si="686"/>
        <v>#N/A</v>
      </c>
      <c r="N3333" s="4" t="e">
        <f t="shared" si="687"/>
        <v>#N/A</v>
      </c>
    </row>
    <row r="3334" spans="1:14">
      <c r="A3334">
        <f t="shared" si="688"/>
        <v>0</v>
      </c>
      <c r="B3334">
        <f t="shared" si="689"/>
        <v>0</v>
      </c>
      <c r="C3334">
        <f t="shared" si="690"/>
        <v>0</v>
      </c>
      <c r="D3334">
        <f t="shared" si="691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2"/>
        <v>0</v>
      </c>
      <c r="G3334">
        <f t="shared" si="693"/>
        <v>0</v>
      </c>
      <c r="H3334">
        <f t="shared" si="694"/>
        <v>0</v>
      </c>
      <c r="I3334">
        <f t="shared" si="695"/>
        <v>0</v>
      </c>
      <c r="J3334">
        <f t="shared" si="696"/>
        <v>0</v>
      </c>
      <c r="K3334" s="4" t="e">
        <f t="shared" si="684"/>
        <v>#N/A</v>
      </c>
      <c r="L3334" t="e">
        <f t="shared" si="685"/>
        <v>#N/A</v>
      </c>
      <c r="M3334" s="4" t="e">
        <f t="shared" si="686"/>
        <v>#N/A</v>
      </c>
      <c r="N3334" s="4" t="e">
        <f t="shared" si="687"/>
        <v>#N/A</v>
      </c>
    </row>
    <row r="3335" spans="1:14">
      <c r="A3335">
        <f t="shared" si="688"/>
        <v>0</v>
      </c>
      <c r="B3335">
        <f t="shared" si="689"/>
        <v>0</v>
      </c>
      <c r="C3335">
        <f t="shared" si="690"/>
        <v>0</v>
      </c>
      <c r="D3335">
        <f t="shared" si="691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2"/>
        <v>0</v>
      </c>
      <c r="G3335">
        <f t="shared" si="693"/>
        <v>0</v>
      </c>
      <c r="H3335">
        <f t="shared" si="694"/>
        <v>0</v>
      </c>
      <c r="I3335">
        <f t="shared" si="695"/>
        <v>0</v>
      </c>
      <c r="J3335">
        <f t="shared" si="696"/>
        <v>0</v>
      </c>
      <c r="K3335" s="4" t="e">
        <f t="shared" si="684"/>
        <v>#N/A</v>
      </c>
      <c r="L3335" t="e">
        <f t="shared" si="685"/>
        <v>#N/A</v>
      </c>
      <c r="M3335" s="4" t="e">
        <f t="shared" si="686"/>
        <v>#N/A</v>
      </c>
      <c r="N3335" s="4" t="e">
        <f t="shared" si="687"/>
        <v>#N/A</v>
      </c>
    </row>
    <row r="3336" spans="1:14">
      <c r="A3336">
        <f t="shared" si="688"/>
        <v>0</v>
      </c>
      <c r="B3336">
        <f t="shared" si="689"/>
        <v>0</v>
      </c>
      <c r="C3336">
        <f t="shared" si="690"/>
        <v>0</v>
      </c>
      <c r="D3336">
        <f t="shared" si="691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2"/>
        <v>0</v>
      </c>
      <c r="G3336">
        <f t="shared" si="693"/>
        <v>0</v>
      </c>
      <c r="H3336">
        <f t="shared" si="694"/>
        <v>0</v>
      </c>
      <c r="I3336">
        <f t="shared" si="695"/>
        <v>0</v>
      </c>
      <c r="J3336">
        <f t="shared" si="696"/>
        <v>0</v>
      </c>
      <c r="K3336" s="4" t="e">
        <f t="shared" si="684"/>
        <v>#N/A</v>
      </c>
      <c r="L3336" t="e">
        <f t="shared" si="685"/>
        <v>#N/A</v>
      </c>
      <c r="M3336" s="4" t="e">
        <f t="shared" si="686"/>
        <v>#N/A</v>
      </c>
      <c r="N3336" s="4" t="e">
        <f t="shared" si="687"/>
        <v>#N/A</v>
      </c>
    </row>
    <row r="3337" spans="1:14">
      <c r="A3337">
        <f t="shared" si="688"/>
        <v>0</v>
      </c>
      <c r="B3337">
        <f t="shared" si="689"/>
        <v>0</v>
      </c>
      <c r="C3337">
        <f t="shared" si="690"/>
        <v>0</v>
      </c>
      <c r="D3337">
        <f t="shared" si="691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2"/>
        <v>0</v>
      </c>
      <c r="G3337">
        <f t="shared" si="693"/>
        <v>0</v>
      </c>
      <c r="H3337">
        <f t="shared" si="694"/>
        <v>0</v>
      </c>
      <c r="I3337">
        <f t="shared" si="695"/>
        <v>0</v>
      </c>
      <c r="J3337">
        <f t="shared" si="696"/>
        <v>0</v>
      </c>
      <c r="K3337" s="4" t="e">
        <f t="shared" si="684"/>
        <v>#N/A</v>
      </c>
      <c r="L3337" t="e">
        <f t="shared" si="685"/>
        <v>#N/A</v>
      </c>
      <c r="M3337" s="4" t="e">
        <f t="shared" si="686"/>
        <v>#N/A</v>
      </c>
      <c r="N3337" s="4" t="e">
        <f t="shared" si="687"/>
        <v>#N/A</v>
      </c>
    </row>
    <row r="3338" spans="1:14">
      <c r="A3338">
        <f t="shared" si="688"/>
        <v>0</v>
      </c>
      <c r="B3338">
        <f t="shared" si="689"/>
        <v>0</v>
      </c>
      <c r="C3338">
        <f t="shared" si="690"/>
        <v>0</v>
      </c>
      <c r="D3338">
        <f t="shared" si="691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2"/>
        <v>0</v>
      </c>
      <c r="G3338">
        <f t="shared" si="693"/>
        <v>0</v>
      </c>
      <c r="H3338">
        <f t="shared" si="694"/>
        <v>0</v>
      </c>
      <c r="I3338">
        <f t="shared" si="695"/>
        <v>0</v>
      </c>
      <c r="J3338">
        <f t="shared" si="696"/>
        <v>0</v>
      </c>
      <c r="K3338" s="4" t="e">
        <f t="shared" si="684"/>
        <v>#N/A</v>
      </c>
      <c r="L3338" t="e">
        <f t="shared" si="685"/>
        <v>#N/A</v>
      </c>
      <c r="M3338" s="4" t="e">
        <f t="shared" si="686"/>
        <v>#N/A</v>
      </c>
      <c r="N3338" s="4" t="e">
        <f t="shared" si="687"/>
        <v>#N/A</v>
      </c>
    </row>
    <row r="3339" spans="1:14">
      <c r="A3339">
        <f t="shared" si="688"/>
        <v>0</v>
      </c>
      <c r="B3339">
        <f t="shared" si="689"/>
        <v>0</v>
      </c>
      <c r="C3339">
        <f t="shared" si="690"/>
        <v>0</v>
      </c>
      <c r="D3339">
        <f t="shared" si="691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2"/>
        <v>0</v>
      </c>
      <c r="G3339">
        <f t="shared" si="693"/>
        <v>0</v>
      </c>
      <c r="H3339">
        <f t="shared" si="694"/>
        <v>0</v>
      </c>
      <c r="I3339">
        <f t="shared" si="695"/>
        <v>0</v>
      </c>
      <c r="J3339">
        <f t="shared" si="696"/>
        <v>0</v>
      </c>
      <c r="K3339" s="4" t="e">
        <f t="shared" si="684"/>
        <v>#N/A</v>
      </c>
      <c r="L3339" t="e">
        <f t="shared" si="685"/>
        <v>#N/A</v>
      </c>
      <c r="M3339" s="4" t="e">
        <f t="shared" si="686"/>
        <v>#N/A</v>
      </c>
      <c r="N3339" s="4" t="e">
        <f t="shared" si="687"/>
        <v>#N/A</v>
      </c>
    </row>
    <row r="3340" spans="1:14">
      <c r="A3340">
        <f t="shared" si="688"/>
        <v>0</v>
      </c>
      <c r="B3340">
        <f t="shared" si="689"/>
        <v>0</v>
      </c>
      <c r="C3340">
        <f t="shared" si="690"/>
        <v>0</v>
      </c>
      <c r="D3340">
        <f t="shared" si="691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2"/>
        <v>0</v>
      </c>
      <c r="G3340">
        <f t="shared" si="693"/>
        <v>0</v>
      </c>
      <c r="H3340">
        <f t="shared" si="694"/>
        <v>0</v>
      </c>
      <c r="I3340">
        <f t="shared" si="695"/>
        <v>0</v>
      </c>
      <c r="J3340">
        <f t="shared" si="696"/>
        <v>0</v>
      </c>
      <c r="K3340" s="4" t="e">
        <f t="shared" si="684"/>
        <v>#N/A</v>
      </c>
      <c r="L3340" t="e">
        <f t="shared" si="685"/>
        <v>#N/A</v>
      </c>
      <c r="M3340" s="4" t="e">
        <f t="shared" si="686"/>
        <v>#N/A</v>
      </c>
      <c r="N3340" s="4" t="e">
        <f t="shared" si="687"/>
        <v>#N/A</v>
      </c>
    </row>
    <row r="3341" spans="1:14">
      <c r="A3341">
        <f t="shared" si="688"/>
        <v>0</v>
      </c>
      <c r="B3341">
        <f t="shared" si="689"/>
        <v>0</v>
      </c>
      <c r="C3341">
        <f t="shared" si="690"/>
        <v>0</v>
      </c>
      <c r="D3341">
        <f t="shared" si="691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2"/>
        <v>0</v>
      </c>
      <c r="G3341">
        <f t="shared" si="693"/>
        <v>0</v>
      </c>
      <c r="H3341">
        <f t="shared" si="694"/>
        <v>0</v>
      </c>
      <c r="I3341">
        <f t="shared" si="695"/>
        <v>0</v>
      </c>
      <c r="J3341">
        <f t="shared" si="696"/>
        <v>0</v>
      </c>
      <c r="K3341" s="4" t="e">
        <f t="shared" si="684"/>
        <v>#N/A</v>
      </c>
      <c r="L3341" t="e">
        <f t="shared" si="685"/>
        <v>#N/A</v>
      </c>
      <c r="M3341" s="4" t="e">
        <f t="shared" si="686"/>
        <v>#N/A</v>
      </c>
      <c r="N3341" s="4" t="e">
        <f t="shared" si="687"/>
        <v>#N/A</v>
      </c>
    </row>
    <row r="3342" spans="1:14">
      <c r="A3342">
        <f t="shared" si="688"/>
        <v>0</v>
      </c>
      <c r="B3342">
        <f t="shared" si="689"/>
        <v>0</v>
      </c>
      <c r="C3342">
        <f t="shared" si="690"/>
        <v>0</v>
      </c>
      <c r="D3342">
        <f t="shared" si="691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2"/>
        <v>0</v>
      </c>
      <c r="G3342">
        <f t="shared" si="693"/>
        <v>0</v>
      </c>
      <c r="H3342">
        <f t="shared" si="694"/>
        <v>0</v>
      </c>
      <c r="I3342">
        <f t="shared" si="695"/>
        <v>0</v>
      </c>
      <c r="J3342">
        <f t="shared" si="696"/>
        <v>0</v>
      </c>
      <c r="K3342" s="4" t="e">
        <f t="shared" si="684"/>
        <v>#N/A</v>
      </c>
      <c r="L3342" t="e">
        <f t="shared" si="685"/>
        <v>#N/A</v>
      </c>
      <c r="M3342" s="4" t="e">
        <f t="shared" si="686"/>
        <v>#N/A</v>
      </c>
      <c r="N3342" s="4" t="e">
        <f t="shared" si="687"/>
        <v>#N/A</v>
      </c>
    </row>
    <row r="3343" spans="1:14">
      <c r="A3343">
        <f t="shared" si="688"/>
        <v>0</v>
      </c>
      <c r="B3343">
        <f t="shared" si="689"/>
        <v>0</v>
      </c>
      <c r="C3343">
        <f t="shared" si="690"/>
        <v>0</v>
      </c>
      <c r="D3343">
        <f t="shared" si="691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2"/>
        <v>0</v>
      </c>
      <c r="G3343">
        <f t="shared" si="693"/>
        <v>0</v>
      </c>
      <c r="H3343">
        <f t="shared" si="694"/>
        <v>0</v>
      </c>
      <c r="I3343">
        <f t="shared" si="695"/>
        <v>0</v>
      </c>
      <c r="J3343">
        <f t="shared" si="696"/>
        <v>0</v>
      </c>
      <c r="K3343" s="4" t="e">
        <f t="shared" si="684"/>
        <v>#N/A</v>
      </c>
      <c r="L3343" t="e">
        <f t="shared" si="685"/>
        <v>#N/A</v>
      </c>
      <c r="M3343" s="4" t="e">
        <f t="shared" si="686"/>
        <v>#N/A</v>
      </c>
      <c r="N3343" s="4" t="e">
        <f t="shared" si="687"/>
        <v>#N/A</v>
      </c>
    </row>
    <row r="3344" spans="1:14">
      <c r="A3344">
        <f t="shared" si="688"/>
        <v>0</v>
      </c>
      <c r="B3344">
        <f t="shared" si="689"/>
        <v>0</v>
      </c>
      <c r="C3344">
        <f t="shared" si="690"/>
        <v>0</v>
      </c>
      <c r="D3344">
        <f t="shared" si="691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2"/>
        <v>0</v>
      </c>
      <c r="G3344">
        <f t="shared" si="693"/>
        <v>0</v>
      </c>
      <c r="H3344">
        <f t="shared" si="694"/>
        <v>0</v>
      </c>
      <c r="I3344">
        <f t="shared" si="695"/>
        <v>0</v>
      </c>
      <c r="J3344">
        <f t="shared" si="696"/>
        <v>0</v>
      </c>
      <c r="K3344" s="4" t="e">
        <f t="shared" si="684"/>
        <v>#N/A</v>
      </c>
      <c r="L3344" t="e">
        <f t="shared" si="685"/>
        <v>#N/A</v>
      </c>
      <c r="M3344" s="4" t="e">
        <f t="shared" si="686"/>
        <v>#N/A</v>
      </c>
      <c r="N3344" s="4" t="e">
        <f t="shared" si="687"/>
        <v>#N/A</v>
      </c>
    </row>
    <row r="3345" spans="1:14">
      <c r="A3345">
        <f t="shared" si="688"/>
        <v>0</v>
      </c>
      <c r="B3345">
        <f t="shared" si="689"/>
        <v>0</v>
      </c>
      <c r="C3345">
        <f t="shared" si="690"/>
        <v>0</v>
      </c>
      <c r="D3345">
        <f t="shared" si="691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2"/>
        <v>0</v>
      </c>
      <c r="G3345">
        <f t="shared" si="693"/>
        <v>0</v>
      </c>
      <c r="H3345">
        <f t="shared" si="694"/>
        <v>0</v>
      </c>
      <c r="I3345">
        <f t="shared" si="695"/>
        <v>0</v>
      </c>
      <c r="J3345">
        <f t="shared" si="696"/>
        <v>0</v>
      </c>
      <c r="K3345" s="4" t="e">
        <f t="shared" si="684"/>
        <v>#N/A</v>
      </c>
      <c r="L3345" t="e">
        <f t="shared" si="685"/>
        <v>#N/A</v>
      </c>
      <c r="M3345" s="4" t="e">
        <f t="shared" si="686"/>
        <v>#N/A</v>
      </c>
      <c r="N3345" s="4" t="e">
        <f t="shared" si="687"/>
        <v>#N/A</v>
      </c>
    </row>
    <row r="3346" spans="1:14">
      <c r="A3346">
        <f t="shared" si="688"/>
        <v>0</v>
      </c>
      <c r="B3346">
        <f t="shared" si="689"/>
        <v>0</v>
      </c>
      <c r="C3346">
        <f t="shared" si="690"/>
        <v>0</v>
      </c>
      <c r="D3346">
        <f t="shared" si="691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2"/>
        <v>0</v>
      </c>
      <c r="G3346">
        <f t="shared" si="693"/>
        <v>0</v>
      </c>
      <c r="H3346">
        <f t="shared" si="694"/>
        <v>0</v>
      </c>
      <c r="I3346">
        <f t="shared" si="695"/>
        <v>0</v>
      </c>
      <c r="J3346">
        <f t="shared" si="696"/>
        <v>0</v>
      </c>
      <c r="K3346" s="4" t="e">
        <f t="shared" si="684"/>
        <v>#N/A</v>
      </c>
      <c r="L3346" t="e">
        <f t="shared" si="685"/>
        <v>#N/A</v>
      </c>
      <c r="M3346" s="4" t="e">
        <f t="shared" si="686"/>
        <v>#N/A</v>
      </c>
      <c r="N3346" s="4" t="e">
        <f t="shared" si="687"/>
        <v>#N/A</v>
      </c>
    </row>
    <row r="3347" spans="1:14">
      <c r="A3347">
        <f t="shared" si="688"/>
        <v>0</v>
      </c>
      <c r="B3347">
        <f t="shared" si="689"/>
        <v>0</v>
      </c>
      <c r="C3347">
        <f t="shared" si="690"/>
        <v>0</v>
      </c>
      <c r="D3347">
        <f t="shared" si="691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2"/>
        <v>0</v>
      </c>
      <c r="G3347">
        <f t="shared" si="693"/>
        <v>0</v>
      </c>
      <c r="H3347">
        <f t="shared" si="694"/>
        <v>0</v>
      </c>
      <c r="I3347">
        <f t="shared" si="695"/>
        <v>0</v>
      </c>
      <c r="J3347">
        <f t="shared" si="696"/>
        <v>0</v>
      </c>
      <c r="K3347" s="4" t="e">
        <f t="shared" si="684"/>
        <v>#N/A</v>
      </c>
      <c r="L3347" t="e">
        <f t="shared" si="685"/>
        <v>#N/A</v>
      </c>
      <c r="M3347" s="4" t="e">
        <f t="shared" si="686"/>
        <v>#N/A</v>
      </c>
      <c r="N3347" s="4" t="e">
        <f t="shared" si="687"/>
        <v>#N/A</v>
      </c>
    </row>
    <row r="3348" spans="1:14">
      <c r="A3348">
        <f t="shared" si="688"/>
        <v>0</v>
      </c>
      <c r="B3348">
        <f t="shared" si="689"/>
        <v>0</v>
      </c>
      <c r="C3348">
        <f t="shared" si="690"/>
        <v>0</v>
      </c>
      <c r="D3348">
        <f t="shared" si="691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2"/>
        <v>0</v>
      </c>
      <c r="G3348">
        <f t="shared" si="693"/>
        <v>0</v>
      </c>
      <c r="H3348">
        <f t="shared" si="694"/>
        <v>0</v>
      </c>
      <c r="I3348">
        <f t="shared" si="695"/>
        <v>0</v>
      </c>
      <c r="J3348">
        <f t="shared" si="696"/>
        <v>0</v>
      </c>
      <c r="K3348" s="4" t="e">
        <f t="shared" si="684"/>
        <v>#N/A</v>
      </c>
      <c r="L3348" t="e">
        <f t="shared" si="685"/>
        <v>#N/A</v>
      </c>
      <c r="M3348" s="4" t="e">
        <f t="shared" si="686"/>
        <v>#N/A</v>
      </c>
      <c r="N3348" s="4" t="e">
        <f t="shared" si="687"/>
        <v>#N/A</v>
      </c>
    </row>
    <row r="3349" spans="1:14">
      <c r="A3349">
        <f t="shared" si="688"/>
        <v>0</v>
      </c>
      <c r="B3349">
        <f t="shared" si="689"/>
        <v>0</v>
      </c>
      <c r="C3349">
        <f t="shared" si="690"/>
        <v>0</v>
      </c>
      <c r="D3349">
        <f t="shared" si="691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2"/>
        <v>0</v>
      </c>
      <c r="G3349">
        <f t="shared" si="693"/>
        <v>0</v>
      </c>
      <c r="H3349">
        <f t="shared" si="694"/>
        <v>0</v>
      </c>
      <c r="I3349">
        <f t="shared" si="695"/>
        <v>0</v>
      </c>
      <c r="J3349">
        <f t="shared" si="696"/>
        <v>0</v>
      </c>
      <c r="K3349" s="4" t="e">
        <f t="shared" si="684"/>
        <v>#N/A</v>
      </c>
      <c r="L3349" t="e">
        <f t="shared" si="685"/>
        <v>#N/A</v>
      </c>
      <c r="M3349" s="4" t="e">
        <f t="shared" si="686"/>
        <v>#N/A</v>
      </c>
      <c r="N3349" s="4" t="e">
        <f t="shared" si="687"/>
        <v>#N/A</v>
      </c>
    </row>
    <row r="3350" spans="1:14">
      <c r="A3350">
        <f t="shared" si="688"/>
        <v>0</v>
      </c>
      <c r="B3350">
        <f t="shared" si="689"/>
        <v>0</v>
      </c>
      <c r="C3350">
        <f t="shared" si="690"/>
        <v>0</v>
      </c>
      <c r="D3350">
        <f t="shared" si="691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2"/>
        <v>0</v>
      </c>
      <c r="G3350">
        <f t="shared" si="693"/>
        <v>0</v>
      </c>
      <c r="H3350">
        <f t="shared" si="694"/>
        <v>0</v>
      </c>
      <c r="I3350">
        <f t="shared" si="695"/>
        <v>0</v>
      </c>
      <c r="J3350">
        <f t="shared" si="696"/>
        <v>0</v>
      </c>
      <c r="K3350" s="4" t="e">
        <f t="shared" si="684"/>
        <v>#N/A</v>
      </c>
      <c r="L3350" t="e">
        <f t="shared" si="685"/>
        <v>#N/A</v>
      </c>
      <c r="M3350" s="4" t="e">
        <f t="shared" si="686"/>
        <v>#N/A</v>
      </c>
      <c r="N3350" s="4" t="e">
        <f t="shared" si="687"/>
        <v>#N/A</v>
      </c>
    </row>
    <row r="3351" spans="1:14">
      <c r="A3351">
        <f t="shared" si="688"/>
        <v>0</v>
      </c>
      <c r="B3351">
        <f t="shared" si="689"/>
        <v>0</v>
      </c>
      <c r="C3351">
        <f t="shared" si="690"/>
        <v>0</v>
      </c>
      <c r="D3351">
        <f t="shared" si="691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2"/>
        <v>0</v>
      </c>
      <c r="G3351">
        <f t="shared" si="693"/>
        <v>0</v>
      </c>
      <c r="H3351">
        <f t="shared" si="694"/>
        <v>0</v>
      </c>
      <c r="I3351">
        <f t="shared" si="695"/>
        <v>0</v>
      </c>
      <c r="J3351">
        <f t="shared" si="696"/>
        <v>0</v>
      </c>
      <c r="K3351" s="4" t="e">
        <f t="shared" si="684"/>
        <v>#N/A</v>
      </c>
      <c r="L3351" t="e">
        <f t="shared" si="685"/>
        <v>#N/A</v>
      </c>
      <c r="M3351" s="4" t="e">
        <f t="shared" si="686"/>
        <v>#N/A</v>
      </c>
      <c r="N3351" s="4" t="e">
        <f t="shared" si="687"/>
        <v>#N/A</v>
      </c>
    </row>
    <row r="3352" spans="1:14">
      <c r="A3352">
        <f t="shared" si="688"/>
        <v>0</v>
      </c>
      <c r="B3352">
        <f t="shared" si="689"/>
        <v>0</v>
      </c>
      <c r="C3352">
        <f t="shared" si="690"/>
        <v>0</v>
      </c>
      <c r="D3352">
        <f t="shared" si="691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2"/>
        <v>0</v>
      </c>
      <c r="G3352">
        <f t="shared" si="693"/>
        <v>0</v>
      </c>
      <c r="H3352">
        <f t="shared" si="694"/>
        <v>0</v>
      </c>
      <c r="I3352">
        <f t="shared" si="695"/>
        <v>0</v>
      </c>
      <c r="J3352">
        <f t="shared" si="696"/>
        <v>0</v>
      </c>
      <c r="K3352" s="4" t="e">
        <f t="shared" si="684"/>
        <v>#N/A</v>
      </c>
      <c r="L3352" t="e">
        <f t="shared" si="685"/>
        <v>#N/A</v>
      </c>
      <c r="M3352" s="4" t="e">
        <f t="shared" si="686"/>
        <v>#N/A</v>
      </c>
      <c r="N3352" s="4" t="e">
        <f t="shared" si="687"/>
        <v>#N/A</v>
      </c>
    </row>
    <row r="3353" spans="1:14">
      <c r="A3353">
        <f t="shared" si="688"/>
        <v>0</v>
      </c>
      <c r="B3353">
        <f t="shared" si="689"/>
        <v>0</v>
      </c>
      <c r="C3353">
        <f t="shared" si="690"/>
        <v>0</v>
      </c>
      <c r="D3353">
        <f t="shared" si="691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2"/>
        <v>0</v>
      </c>
      <c r="G3353">
        <f t="shared" si="693"/>
        <v>0</v>
      </c>
      <c r="H3353">
        <f t="shared" si="694"/>
        <v>0</v>
      </c>
      <c r="I3353">
        <f t="shared" si="695"/>
        <v>0</v>
      </c>
      <c r="J3353">
        <f t="shared" si="696"/>
        <v>0</v>
      </c>
      <c r="K3353" s="4" t="e">
        <f t="shared" si="684"/>
        <v>#N/A</v>
      </c>
      <c r="L3353" t="e">
        <f t="shared" si="685"/>
        <v>#N/A</v>
      </c>
      <c r="M3353" s="4" t="e">
        <f t="shared" si="686"/>
        <v>#N/A</v>
      </c>
      <c r="N3353" s="4" t="e">
        <f t="shared" si="687"/>
        <v>#N/A</v>
      </c>
    </row>
    <row r="3354" spans="1:14">
      <c r="A3354">
        <f t="shared" si="688"/>
        <v>0</v>
      </c>
      <c r="B3354">
        <f t="shared" si="689"/>
        <v>0</v>
      </c>
      <c r="C3354">
        <f t="shared" si="690"/>
        <v>0</v>
      </c>
      <c r="D3354">
        <f t="shared" si="691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2"/>
        <v>0</v>
      </c>
      <c r="G3354">
        <f t="shared" si="693"/>
        <v>0</v>
      </c>
      <c r="H3354">
        <f t="shared" si="694"/>
        <v>0</v>
      </c>
      <c r="I3354">
        <f t="shared" si="695"/>
        <v>0</v>
      </c>
      <c r="J3354">
        <f t="shared" si="696"/>
        <v>0</v>
      </c>
      <c r="K3354" s="4" t="e">
        <f t="shared" si="684"/>
        <v>#N/A</v>
      </c>
      <c r="L3354" t="e">
        <f t="shared" si="685"/>
        <v>#N/A</v>
      </c>
      <c r="M3354" s="4" t="e">
        <f t="shared" si="686"/>
        <v>#N/A</v>
      </c>
      <c r="N3354" s="4" t="e">
        <f t="shared" si="687"/>
        <v>#N/A</v>
      </c>
    </row>
    <row r="3355" spans="1:14">
      <c r="A3355">
        <f t="shared" si="688"/>
        <v>0</v>
      </c>
      <c r="B3355">
        <f t="shared" si="689"/>
        <v>0</v>
      </c>
      <c r="C3355">
        <f t="shared" si="690"/>
        <v>0</v>
      </c>
      <c r="D3355">
        <f t="shared" si="691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2"/>
        <v>0</v>
      </c>
      <c r="G3355">
        <f t="shared" si="693"/>
        <v>0</v>
      </c>
      <c r="H3355">
        <f t="shared" si="694"/>
        <v>0</v>
      </c>
      <c r="I3355">
        <f t="shared" si="695"/>
        <v>0</v>
      </c>
      <c r="J3355">
        <f t="shared" si="696"/>
        <v>0</v>
      </c>
      <c r="K3355" s="4" t="e">
        <f t="shared" si="684"/>
        <v>#N/A</v>
      </c>
      <c r="L3355" t="e">
        <f t="shared" si="685"/>
        <v>#N/A</v>
      </c>
      <c r="M3355" s="4" t="e">
        <f t="shared" si="686"/>
        <v>#N/A</v>
      </c>
      <c r="N3355" s="4" t="e">
        <f t="shared" si="687"/>
        <v>#N/A</v>
      </c>
    </row>
    <row r="3356" spans="1:14">
      <c r="A3356">
        <f t="shared" si="688"/>
        <v>0</v>
      </c>
      <c r="B3356">
        <f t="shared" si="689"/>
        <v>0</v>
      </c>
      <c r="C3356">
        <f t="shared" si="690"/>
        <v>0</v>
      </c>
      <c r="D3356">
        <f t="shared" si="691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2"/>
        <v>0</v>
      </c>
      <c r="G3356">
        <f t="shared" si="693"/>
        <v>0</v>
      </c>
      <c r="H3356">
        <f t="shared" si="694"/>
        <v>0</v>
      </c>
      <c r="I3356">
        <f t="shared" si="695"/>
        <v>0</v>
      </c>
      <c r="J3356">
        <f t="shared" si="696"/>
        <v>0</v>
      </c>
      <c r="K3356" s="4" t="e">
        <f t="shared" si="684"/>
        <v>#N/A</v>
      </c>
      <c r="L3356" t="e">
        <f t="shared" si="685"/>
        <v>#N/A</v>
      </c>
      <c r="M3356" s="4" t="e">
        <f t="shared" si="686"/>
        <v>#N/A</v>
      </c>
      <c r="N3356" s="4" t="e">
        <f t="shared" si="687"/>
        <v>#N/A</v>
      </c>
    </row>
    <row r="3357" spans="1:14">
      <c r="A3357">
        <f t="shared" si="688"/>
        <v>0</v>
      </c>
      <c r="B3357">
        <f t="shared" si="689"/>
        <v>0</v>
      </c>
      <c r="C3357">
        <f t="shared" si="690"/>
        <v>0</v>
      </c>
      <c r="D3357">
        <f t="shared" si="691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2"/>
        <v>0</v>
      </c>
      <c r="G3357">
        <f t="shared" si="693"/>
        <v>0</v>
      </c>
      <c r="H3357">
        <f t="shared" si="694"/>
        <v>0</v>
      </c>
      <c r="I3357">
        <f t="shared" si="695"/>
        <v>0</v>
      </c>
      <c r="J3357">
        <f t="shared" si="696"/>
        <v>0</v>
      </c>
      <c r="K3357" s="4" t="e">
        <f t="shared" si="684"/>
        <v>#N/A</v>
      </c>
      <c r="L3357" t="e">
        <f t="shared" si="685"/>
        <v>#N/A</v>
      </c>
      <c r="M3357" s="4" t="e">
        <f t="shared" si="686"/>
        <v>#N/A</v>
      </c>
      <c r="N3357" s="4" t="e">
        <f t="shared" si="687"/>
        <v>#N/A</v>
      </c>
    </row>
    <row r="3358" spans="1:14">
      <c r="A3358">
        <f t="shared" si="688"/>
        <v>0</v>
      </c>
      <c r="B3358">
        <f t="shared" si="689"/>
        <v>0</v>
      </c>
      <c r="C3358">
        <f t="shared" si="690"/>
        <v>0</v>
      </c>
      <c r="D3358">
        <f t="shared" si="691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2"/>
        <v>0</v>
      </c>
      <c r="G3358">
        <f t="shared" si="693"/>
        <v>0</v>
      </c>
      <c r="H3358">
        <f t="shared" si="694"/>
        <v>0</v>
      </c>
      <c r="I3358">
        <f t="shared" si="695"/>
        <v>0</v>
      </c>
      <c r="J3358">
        <f t="shared" si="696"/>
        <v>0</v>
      </c>
      <c r="K3358" s="4" t="e">
        <f t="shared" si="684"/>
        <v>#N/A</v>
      </c>
      <c r="L3358" t="e">
        <f t="shared" si="685"/>
        <v>#N/A</v>
      </c>
      <c r="M3358" s="4" t="e">
        <f t="shared" si="686"/>
        <v>#N/A</v>
      </c>
      <c r="N3358" s="4" t="e">
        <f t="shared" si="687"/>
        <v>#N/A</v>
      </c>
    </row>
    <row r="3359" spans="1:14">
      <c r="A3359">
        <f t="shared" si="688"/>
        <v>0</v>
      </c>
      <c r="B3359">
        <f t="shared" si="689"/>
        <v>0</v>
      </c>
      <c r="C3359">
        <f t="shared" si="690"/>
        <v>0</v>
      </c>
      <c r="D3359">
        <f t="shared" si="691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2"/>
        <v>0</v>
      </c>
      <c r="G3359">
        <f t="shared" si="693"/>
        <v>0</v>
      </c>
      <c r="H3359">
        <f t="shared" si="694"/>
        <v>0</v>
      </c>
      <c r="I3359">
        <f t="shared" si="695"/>
        <v>0</v>
      </c>
      <c r="J3359">
        <f t="shared" si="696"/>
        <v>0</v>
      </c>
      <c r="K3359" s="4" t="e">
        <f t="shared" si="684"/>
        <v>#N/A</v>
      </c>
      <c r="L3359" t="e">
        <f t="shared" si="685"/>
        <v>#N/A</v>
      </c>
      <c r="M3359" s="4" t="e">
        <f t="shared" si="686"/>
        <v>#N/A</v>
      </c>
      <c r="N3359" s="4" t="e">
        <f t="shared" si="687"/>
        <v>#N/A</v>
      </c>
    </row>
    <row r="3360" spans="1:14">
      <c r="A3360">
        <f t="shared" si="688"/>
        <v>0</v>
      </c>
      <c r="B3360">
        <f t="shared" si="689"/>
        <v>0</v>
      </c>
      <c r="C3360">
        <f t="shared" si="690"/>
        <v>0</v>
      </c>
      <c r="D3360">
        <f t="shared" si="691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2"/>
        <v>0</v>
      </c>
      <c r="G3360">
        <f t="shared" si="693"/>
        <v>0</v>
      </c>
      <c r="H3360">
        <f t="shared" si="694"/>
        <v>0</v>
      </c>
      <c r="I3360">
        <f t="shared" si="695"/>
        <v>0</v>
      </c>
      <c r="J3360">
        <f t="shared" si="696"/>
        <v>0</v>
      </c>
      <c r="K3360" s="4" t="e">
        <f t="shared" si="684"/>
        <v>#N/A</v>
      </c>
      <c r="L3360" t="e">
        <f t="shared" si="685"/>
        <v>#N/A</v>
      </c>
      <c r="M3360" s="4" t="e">
        <f t="shared" si="686"/>
        <v>#N/A</v>
      </c>
      <c r="N3360" s="4" t="e">
        <f t="shared" si="687"/>
        <v>#N/A</v>
      </c>
    </row>
    <row r="3361" spans="1:14">
      <c r="A3361">
        <f t="shared" si="688"/>
        <v>0</v>
      </c>
      <c r="B3361">
        <f t="shared" si="689"/>
        <v>0</v>
      </c>
      <c r="C3361">
        <f t="shared" si="690"/>
        <v>0</v>
      </c>
      <c r="D3361">
        <f t="shared" si="691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2"/>
        <v>0</v>
      </c>
      <c r="G3361">
        <f t="shared" si="693"/>
        <v>0</v>
      </c>
      <c r="H3361">
        <f t="shared" si="694"/>
        <v>0</v>
      </c>
      <c r="I3361">
        <f t="shared" si="695"/>
        <v>0</v>
      </c>
      <c r="J3361">
        <f t="shared" si="696"/>
        <v>0</v>
      </c>
      <c r="K3361" s="4" t="e">
        <f t="shared" si="684"/>
        <v>#N/A</v>
      </c>
      <c r="L3361" t="e">
        <f t="shared" si="685"/>
        <v>#N/A</v>
      </c>
      <c r="M3361" s="4" t="e">
        <f t="shared" si="686"/>
        <v>#N/A</v>
      </c>
      <c r="N3361" s="4" t="e">
        <f t="shared" si="687"/>
        <v>#N/A</v>
      </c>
    </row>
    <row r="3362" spans="1:14">
      <c r="A3362">
        <f t="shared" si="688"/>
        <v>0</v>
      </c>
      <c r="B3362">
        <f t="shared" si="689"/>
        <v>0</v>
      </c>
      <c r="C3362">
        <f t="shared" si="690"/>
        <v>0</v>
      </c>
      <c r="D3362">
        <f t="shared" si="691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2"/>
        <v>0</v>
      </c>
      <c r="G3362">
        <f t="shared" si="693"/>
        <v>0</v>
      </c>
      <c r="H3362">
        <f t="shared" si="694"/>
        <v>0</v>
      </c>
      <c r="I3362">
        <f t="shared" si="695"/>
        <v>0</v>
      </c>
      <c r="J3362">
        <f t="shared" si="696"/>
        <v>0</v>
      </c>
      <c r="K3362" s="4" t="e">
        <f t="shared" si="684"/>
        <v>#N/A</v>
      </c>
      <c r="L3362" t="e">
        <f t="shared" si="685"/>
        <v>#N/A</v>
      </c>
      <c r="M3362" s="4" t="e">
        <f t="shared" si="686"/>
        <v>#N/A</v>
      </c>
      <c r="N3362" s="4" t="e">
        <f t="shared" si="687"/>
        <v>#N/A</v>
      </c>
    </row>
    <row r="3363" spans="1:14">
      <c r="A3363">
        <f t="shared" si="688"/>
        <v>0</v>
      </c>
      <c r="B3363">
        <f t="shared" si="689"/>
        <v>0</v>
      </c>
      <c r="C3363">
        <f t="shared" si="690"/>
        <v>0</v>
      </c>
      <c r="D3363">
        <f t="shared" si="691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2"/>
        <v>0</v>
      </c>
      <c r="G3363">
        <f t="shared" si="693"/>
        <v>0</v>
      </c>
      <c r="H3363">
        <f t="shared" si="694"/>
        <v>0</v>
      </c>
      <c r="I3363">
        <f t="shared" si="695"/>
        <v>0</v>
      </c>
      <c r="J3363">
        <f t="shared" si="696"/>
        <v>0</v>
      </c>
      <c r="K3363" s="4" t="e">
        <f t="shared" si="684"/>
        <v>#N/A</v>
      </c>
      <c r="L3363" t="e">
        <f t="shared" si="685"/>
        <v>#N/A</v>
      </c>
      <c r="M3363" s="4" t="e">
        <f t="shared" si="686"/>
        <v>#N/A</v>
      </c>
      <c r="N3363" s="4" t="e">
        <f t="shared" si="687"/>
        <v>#N/A</v>
      </c>
    </row>
    <row r="3364" spans="1:14">
      <c r="A3364">
        <f t="shared" si="688"/>
        <v>0</v>
      </c>
      <c r="B3364">
        <f t="shared" si="689"/>
        <v>0</v>
      </c>
      <c r="C3364">
        <f t="shared" si="690"/>
        <v>0</v>
      </c>
      <c r="D3364">
        <f t="shared" si="691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2"/>
        <v>0</v>
      </c>
      <c r="G3364">
        <f t="shared" si="693"/>
        <v>0</v>
      </c>
      <c r="H3364">
        <f t="shared" si="694"/>
        <v>0</v>
      </c>
      <c r="I3364">
        <f t="shared" si="695"/>
        <v>0</v>
      </c>
      <c r="J3364">
        <f t="shared" si="696"/>
        <v>0</v>
      </c>
      <c r="K3364" s="4" t="e">
        <f t="shared" si="684"/>
        <v>#N/A</v>
      </c>
      <c r="L3364" t="e">
        <f t="shared" si="685"/>
        <v>#N/A</v>
      </c>
      <c r="M3364" s="4" t="e">
        <f t="shared" si="686"/>
        <v>#N/A</v>
      </c>
      <c r="N3364" s="4" t="e">
        <f t="shared" si="687"/>
        <v>#N/A</v>
      </c>
    </row>
    <row r="3365" spans="1:14">
      <c r="A3365">
        <f t="shared" si="688"/>
        <v>0</v>
      </c>
      <c r="B3365">
        <f t="shared" si="689"/>
        <v>0</v>
      </c>
      <c r="C3365">
        <f t="shared" si="690"/>
        <v>0</v>
      </c>
      <c r="D3365">
        <f t="shared" si="691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2"/>
        <v>0</v>
      </c>
      <c r="G3365">
        <f t="shared" si="693"/>
        <v>0</v>
      </c>
      <c r="H3365">
        <f t="shared" si="694"/>
        <v>0</v>
      </c>
      <c r="I3365">
        <f t="shared" si="695"/>
        <v>0</v>
      </c>
      <c r="J3365">
        <f t="shared" si="696"/>
        <v>0</v>
      </c>
      <c r="K3365" s="4" t="e">
        <f t="shared" si="684"/>
        <v>#N/A</v>
      </c>
      <c r="L3365" t="e">
        <f t="shared" si="685"/>
        <v>#N/A</v>
      </c>
      <c r="M3365" s="4" t="e">
        <f t="shared" si="686"/>
        <v>#N/A</v>
      </c>
      <c r="N3365" s="4" t="e">
        <f t="shared" si="687"/>
        <v>#N/A</v>
      </c>
    </row>
    <row r="3366" spans="1:14">
      <c r="A3366">
        <f t="shared" si="688"/>
        <v>0</v>
      </c>
      <c r="B3366">
        <f t="shared" si="689"/>
        <v>0</v>
      </c>
      <c r="C3366">
        <f t="shared" si="690"/>
        <v>0</v>
      </c>
      <c r="D3366">
        <f t="shared" si="691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2"/>
        <v>0</v>
      </c>
      <c r="G3366">
        <f t="shared" si="693"/>
        <v>0</v>
      </c>
      <c r="H3366">
        <f t="shared" si="694"/>
        <v>0</v>
      </c>
      <c r="I3366">
        <f t="shared" si="695"/>
        <v>0</v>
      </c>
      <c r="J3366">
        <f t="shared" si="696"/>
        <v>0</v>
      </c>
      <c r="K3366" s="4" t="e">
        <f t="shared" si="684"/>
        <v>#N/A</v>
      </c>
      <c r="L3366" t="e">
        <f t="shared" si="685"/>
        <v>#N/A</v>
      </c>
      <c r="M3366" s="4" t="e">
        <f t="shared" si="686"/>
        <v>#N/A</v>
      </c>
      <c r="N3366" s="4" t="e">
        <f t="shared" si="687"/>
        <v>#N/A</v>
      </c>
    </row>
    <row r="3367" spans="1:14">
      <c r="A3367">
        <f t="shared" si="688"/>
        <v>0</v>
      </c>
      <c r="B3367">
        <f t="shared" si="689"/>
        <v>0</v>
      </c>
      <c r="C3367">
        <f t="shared" si="690"/>
        <v>0</v>
      </c>
      <c r="D3367">
        <f t="shared" si="691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2"/>
        <v>0</v>
      </c>
      <c r="G3367">
        <f t="shared" si="693"/>
        <v>0</v>
      </c>
      <c r="H3367">
        <f t="shared" si="694"/>
        <v>0</v>
      </c>
      <c r="I3367">
        <f t="shared" si="695"/>
        <v>0</v>
      </c>
      <c r="J3367">
        <f t="shared" si="696"/>
        <v>0</v>
      </c>
      <c r="K3367" s="4" t="e">
        <f t="shared" si="684"/>
        <v>#N/A</v>
      </c>
      <c r="L3367" t="e">
        <f t="shared" si="685"/>
        <v>#N/A</v>
      </c>
      <c r="M3367" s="4" t="e">
        <f t="shared" si="686"/>
        <v>#N/A</v>
      </c>
      <c r="N3367" s="4" t="e">
        <f t="shared" si="687"/>
        <v>#N/A</v>
      </c>
    </row>
    <row r="3368" spans="1:14">
      <c r="A3368">
        <f t="shared" si="688"/>
        <v>0</v>
      </c>
      <c r="B3368">
        <f t="shared" si="689"/>
        <v>0</v>
      </c>
      <c r="C3368">
        <f t="shared" si="690"/>
        <v>0</v>
      </c>
      <c r="D3368">
        <f t="shared" si="691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2"/>
        <v>0</v>
      </c>
      <c r="G3368">
        <f t="shared" si="693"/>
        <v>0</v>
      </c>
      <c r="H3368">
        <f t="shared" si="694"/>
        <v>0</v>
      </c>
      <c r="I3368">
        <f t="shared" si="695"/>
        <v>0</v>
      </c>
      <c r="J3368">
        <f t="shared" si="696"/>
        <v>0</v>
      </c>
      <c r="K3368" s="4" t="e">
        <f t="shared" si="684"/>
        <v>#N/A</v>
      </c>
      <c r="L3368" t="e">
        <f t="shared" si="685"/>
        <v>#N/A</v>
      </c>
      <c r="M3368" s="4" t="e">
        <f t="shared" si="686"/>
        <v>#N/A</v>
      </c>
      <c r="N3368" s="4" t="e">
        <f t="shared" si="687"/>
        <v>#N/A</v>
      </c>
    </row>
    <row r="3369" spans="1:14">
      <c r="A3369">
        <f t="shared" si="688"/>
        <v>0</v>
      </c>
      <c r="B3369">
        <f t="shared" si="689"/>
        <v>0</v>
      </c>
      <c r="C3369">
        <f t="shared" si="690"/>
        <v>0</v>
      </c>
      <c r="D3369">
        <f t="shared" si="691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2"/>
        <v>0</v>
      </c>
      <c r="G3369">
        <f t="shared" si="693"/>
        <v>0</v>
      </c>
      <c r="H3369">
        <f t="shared" si="694"/>
        <v>0</v>
      </c>
      <c r="I3369">
        <f t="shared" si="695"/>
        <v>0</v>
      </c>
      <c r="J3369">
        <f t="shared" si="696"/>
        <v>0</v>
      </c>
      <c r="K3369" s="4" t="e">
        <f t="shared" si="684"/>
        <v>#N/A</v>
      </c>
      <c r="L3369" t="e">
        <f t="shared" si="685"/>
        <v>#N/A</v>
      </c>
      <c r="M3369" s="4" t="e">
        <f t="shared" si="686"/>
        <v>#N/A</v>
      </c>
      <c r="N3369" s="4" t="e">
        <f t="shared" si="687"/>
        <v>#N/A</v>
      </c>
    </row>
    <row r="3370" spans="1:14">
      <c r="A3370">
        <f t="shared" si="688"/>
        <v>0</v>
      </c>
      <c r="B3370">
        <f t="shared" si="689"/>
        <v>0</v>
      </c>
      <c r="C3370">
        <f t="shared" si="690"/>
        <v>0</v>
      </c>
      <c r="D3370">
        <f t="shared" si="691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2"/>
        <v>0</v>
      </c>
      <c r="G3370">
        <f t="shared" si="693"/>
        <v>0</v>
      </c>
      <c r="H3370">
        <f t="shared" si="694"/>
        <v>0</v>
      </c>
      <c r="I3370">
        <f t="shared" si="695"/>
        <v>0</v>
      </c>
      <c r="J3370">
        <f t="shared" si="696"/>
        <v>0</v>
      </c>
      <c r="K3370" s="4" t="e">
        <f t="shared" si="684"/>
        <v>#N/A</v>
      </c>
      <c r="L3370" t="e">
        <f t="shared" si="685"/>
        <v>#N/A</v>
      </c>
      <c r="M3370" s="4" t="e">
        <f t="shared" si="686"/>
        <v>#N/A</v>
      </c>
      <c r="N3370" s="4" t="e">
        <f t="shared" si="687"/>
        <v>#N/A</v>
      </c>
    </row>
    <row r="3371" spans="1:14">
      <c r="A3371">
        <f t="shared" si="688"/>
        <v>0</v>
      </c>
      <c r="B3371">
        <f t="shared" si="689"/>
        <v>0</v>
      </c>
      <c r="C3371">
        <f t="shared" si="690"/>
        <v>0</v>
      </c>
      <c r="D3371">
        <f t="shared" si="691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2"/>
        <v>0</v>
      </c>
      <c r="G3371">
        <f t="shared" si="693"/>
        <v>0</v>
      </c>
      <c r="H3371">
        <f t="shared" si="694"/>
        <v>0</v>
      </c>
      <c r="I3371">
        <f t="shared" si="695"/>
        <v>0</v>
      </c>
      <c r="J3371">
        <f t="shared" si="696"/>
        <v>0</v>
      </c>
      <c r="K3371" s="4" t="e">
        <f t="shared" si="684"/>
        <v>#N/A</v>
      </c>
      <c r="L3371" t="e">
        <f t="shared" si="685"/>
        <v>#N/A</v>
      </c>
      <c r="M3371" s="4" t="e">
        <f t="shared" si="686"/>
        <v>#N/A</v>
      </c>
      <c r="N3371" s="4" t="e">
        <f t="shared" si="687"/>
        <v>#N/A</v>
      </c>
    </row>
    <row r="3372" spans="1:14">
      <c r="A3372">
        <f t="shared" si="688"/>
        <v>0</v>
      </c>
      <c r="B3372">
        <f t="shared" si="689"/>
        <v>0</v>
      </c>
      <c r="C3372">
        <f t="shared" si="690"/>
        <v>0</v>
      </c>
      <c r="D3372">
        <f t="shared" si="691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2"/>
        <v>0</v>
      </c>
      <c r="G3372">
        <f t="shared" si="693"/>
        <v>0</v>
      </c>
      <c r="H3372">
        <f t="shared" si="694"/>
        <v>0</v>
      </c>
      <c r="I3372">
        <f t="shared" si="695"/>
        <v>0</v>
      </c>
      <c r="J3372">
        <f t="shared" si="696"/>
        <v>0</v>
      </c>
      <c r="K3372" s="4" t="e">
        <f t="shared" si="684"/>
        <v>#N/A</v>
      </c>
      <c r="L3372" t="e">
        <f t="shared" si="685"/>
        <v>#N/A</v>
      </c>
      <c r="M3372" s="4" t="e">
        <f t="shared" si="686"/>
        <v>#N/A</v>
      </c>
      <c r="N3372" s="4" t="e">
        <f t="shared" si="687"/>
        <v>#N/A</v>
      </c>
    </row>
    <row r="3373" spans="1:14">
      <c r="A3373">
        <f t="shared" si="688"/>
        <v>0</v>
      </c>
      <c r="B3373">
        <f t="shared" si="689"/>
        <v>0</v>
      </c>
      <c r="C3373">
        <f t="shared" si="690"/>
        <v>0</v>
      </c>
      <c r="D3373">
        <f t="shared" si="691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2"/>
        <v>0</v>
      </c>
      <c r="G3373">
        <f t="shared" si="693"/>
        <v>0</v>
      </c>
      <c r="H3373">
        <f t="shared" si="694"/>
        <v>0</v>
      </c>
      <c r="I3373">
        <f t="shared" si="695"/>
        <v>0</v>
      </c>
      <c r="J3373">
        <f t="shared" si="696"/>
        <v>0</v>
      </c>
      <c r="K3373" s="4" t="e">
        <f t="shared" si="684"/>
        <v>#N/A</v>
      </c>
      <c r="L3373" t="e">
        <f t="shared" si="685"/>
        <v>#N/A</v>
      </c>
      <c r="M3373" s="4" t="e">
        <f t="shared" si="686"/>
        <v>#N/A</v>
      </c>
      <c r="N3373" s="4" t="e">
        <f t="shared" si="687"/>
        <v>#N/A</v>
      </c>
    </row>
    <row r="3374" spans="1:14">
      <c r="A3374">
        <f t="shared" si="688"/>
        <v>0</v>
      </c>
      <c r="B3374">
        <f t="shared" si="689"/>
        <v>0</v>
      </c>
      <c r="C3374">
        <f t="shared" si="690"/>
        <v>0</v>
      </c>
      <c r="D3374">
        <f t="shared" si="691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2"/>
        <v>0</v>
      </c>
      <c r="G3374">
        <f t="shared" si="693"/>
        <v>0</v>
      </c>
      <c r="H3374">
        <f t="shared" si="694"/>
        <v>0</v>
      </c>
      <c r="I3374">
        <f t="shared" si="695"/>
        <v>0</v>
      </c>
      <c r="J3374">
        <f t="shared" si="696"/>
        <v>0</v>
      </c>
      <c r="K3374" s="4" t="e">
        <f t="shared" si="684"/>
        <v>#N/A</v>
      </c>
      <c r="L3374" t="e">
        <f t="shared" si="685"/>
        <v>#N/A</v>
      </c>
      <c r="M3374" s="4" t="e">
        <f t="shared" si="686"/>
        <v>#N/A</v>
      </c>
      <c r="N3374" s="4" t="e">
        <f t="shared" si="687"/>
        <v>#N/A</v>
      </c>
    </row>
    <row r="3375" spans="1:14">
      <c r="A3375">
        <f t="shared" si="688"/>
        <v>0</v>
      </c>
      <c r="B3375">
        <f t="shared" si="689"/>
        <v>0</v>
      </c>
      <c r="C3375">
        <f t="shared" si="690"/>
        <v>0</v>
      </c>
      <c r="D3375">
        <f t="shared" si="691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2"/>
        <v>0</v>
      </c>
      <c r="G3375">
        <f t="shared" si="693"/>
        <v>0</v>
      </c>
      <c r="H3375">
        <f t="shared" si="694"/>
        <v>0</v>
      </c>
      <c r="I3375">
        <f t="shared" si="695"/>
        <v>0</v>
      </c>
      <c r="J3375">
        <f t="shared" si="696"/>
        <v>0</v>
      </c>
      <c r="K3375" s="4" t="e">
        <f t="shared" si="684"/>
        <v>#N/A</v>
      </c>
      <c r="L3375" t="e">
        <f t="shared" si="685"/>
        <v>#N/A</v>
      </c>
      <c r="M3375" s="4" t="e">
        <f t="shared" si="686"/>
        <v>#N/A</v>
      </c>
      <c r="N3375" s="4" t="e">
        <f t="shared" si="687"/>
        <v>#N/A</v>
      </c>
    </row>
    <row r="3376" spans="1:14">
      <c r="A3376">
        <f t="shared" si="688"/>
        <v>0</v>
      </c>
      <c r="B3376">
        <f t="shared" si="689"/>
        <v>0</v>
      </c>
      <c r="C3376">
        <f t="shared" si="690"/>
        <v>0</v>
      </c>
      <c r="D3376">
        <f t="shared" si="691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2"/>
        <v>0</v>
      </c>
      <c r="G3376">
        <f t="shared" si="693"/>
        <v>0</v>
      </c>
      <c r="H3376">
        <f t="shared" si="694"/>
        <v>0</v>
      </c>
      <c r="I3376">
        <f t="shared" si="695"/>
        <v>0</v>
      </c>
      <c r="J3376">
        <f t="shared" si="696"/>
        <v>0</v>
      </c>
      <c r="K3376" s="4" t="e">
        <f t="shared" si="684"/>
        <v>#N/A</v>
      </c>
      <c r="L3376" t="e">
        <f t="shared" si="685"/>
        <v>#N/A</v>
      </c>
      <c r="M3376" s="4" t="e">
        <f t="shared" si="686"/>
        <v>#N/A</v>
      </c>
      <c r="N3376" s="4" t="e">
        <f t="shared" si="687"/>
        <v>#N/A</v>
      </c>
    </row>
    <row r="3377" spans="1:14">
      <c r="A3377">
        <f t="shared" si="688"/>
        <v>0</v>
      </c>
      <c r="B3377">
        <f t="shared" si="689"/>
        <v>0</v>
      </c>
      <c r="C3377">
        <f t="shared" si="690"/>
        <v>0</v>
      </c>
      <c r="D3377">
        <f t="shared" si="691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2"/>
        <v>0</v>
      </c>
      <c r="G3377">
        <f t="shared" si="693"/>
        <v>0</v>
      </c>
      <c r="H3377">
        <f t="shared" si="694"/>
        <v>0</v>
      </c>
      <c r="I3377">
        <f t="shared" si="695"/>
        <v>0</v>
      </c>
      <c r="J3377">
        <f t="shared" si="696"/>
        <v>0</v>
      </c>
      <c r="K3377" s="4" t="e">
        <f t="shared" si="684"/>
        <v>#N/A</v>
      </c>
      <c r="L3377" t="e">
        <f t="shared" si="685"/>
        <v>#N/A</v>
      </c>
      <c r="M3377" s="4" t="e">
        <f t="shared" si="686"/>
        <v>#N/A</v>
      </c>
      <c r="N3377" s="4" t="e">
        <f t="shared" si="687"/>
        <v>#N/A</v>
      </c>
    </row>
    <row r="3378" spans="1:14">
      <c r="A3378">
        <f t="shared" si="688"/>
        <v>0</v>
      </c>
      <c r="B3378">
        <f t="shared" si="689"/>
        <v>0</v>
      </c>
      <c r="C3378">
        <f t="shared" si="690"/>
        <v>0</v>
      </c>
      <c r="D3378">
        <f t="shared" si="691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2"/>
        <v>0</v>
      </c>
      <c r="G3378">
        <f t="shared" si="693"/>
        <v>0</v>
      </c>
      <c r="H3378">
        <f t="shared" si="694"/>
        <v>0</v>
      </c>
      <c r="I3378">
        <f t="shared" si="695"/>
        <v>0</v>
      </c>
      <c r="J3378">
        <f t="shared" si="696"/>
        <v>0</v>
      </c>
      <c r="K3378" s="4" t="e">
        <f t="shared" si="684"/>
        <v>#N/A</v>
      </c>
      <c r="L3378" t="e">
        <f t="shared" si="685"/>
        <v>#N/A</v>
      </c>
      <c r="M3378" s="4" t="e">
        <f t="shared" si="686"/>
        <v>#N/A</v>
      </c>
      <c r="N3378" s="4" t="e">
        <f t="shared" si="687"/>
        <v>#N/A</v>
      </c>
    </row>
    <row r="3379" spans="1:14">
      <c r="A3379">
        <f t="shared" si="688"/>
        <v>0</v>
      </c>
      <c r="B3379">
        <f t="shared" si="689"/>
        <v>0</v>
      </c>
      <c r="C3379">
        <f t="shared" si="690"/>
        <v>0</v>
      </c>
      <c r="D3379">
        <f t="shared" si="691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2"/>
        <v>0</v>
      </c>
      <c r="G3379">
        <f t="shared" si="693"/>
        <v>0</v>
      </c>
      <c r="H3379">
        <f t="shared" si="694"/>
        <v>0</v>
      </c>
      <c r="I3379">
        <f t="shared" si="695"/>
        <v>0</v>
      </c>
      <c r="J3379">
        <f t="shared" si="696"/>
        <v>0</v>
      </c>
      <c r="K3379" s="4" t="e">
        <f t="shared" si="684"/>
        <v>#N/A</v>
      </c>
      <c r="L3379" t="e">
        <f t="shared" si="685"/>
        <v>#N/A</v>
      </c>
      <c r="M3379" s="4" t="e">
        <f t="shared" si="686"/>
        <v>#N/A</v>
      </c>
      <c r="N3379" s="4" t="e">
        <f t="shared" si="687"/>
        <v>#N/A</v>
      </c>
    </row>
    <row r="3380" spans="1:14">
      <c r="A3380">
        <f t="shared" si="688"/>
        <v>0</v>
      </c>
      <c r="B3380">
        <f t="shared" si="689"/>
        <v>0</v>
      </c>
      <c r="C3380">
        <f t="shared" si="690"/>
        <v>0</v>
      </c>
      <c r="D3380">
        <f t="shared" si="691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2"/>
        <v>0</v>
      </c>
      <c r="G3380">
        <f t="shared" si="693"/>
        <v>0</v>
      </c>
      <c r="H3380">
        <f t="shared" si="694"/>
        <v>0</v>
      </c>
      <c r="I3380">
        <f t="shared" si="695"/>
        <v>0</v>
      </c>
      <c r="J3380">
        <f t="shared" si="696"/>
        <v>0</v>
      </c>
      <c r="K3380" s="4" t="e">
        <f t="shared" si="684"/>
        <v>#N/A</v>
      </c>
      <c r="L3380" t="e">
        <f t="shared" si="685"/>
        <v>#N/A</v>
      </c>
      <c r="M3380" s="4" t="e">
        <f t="shared" si="686"/>
        <v>#N/A</v>
      </c>
      <c r="N3380" s="4" t="e">
        <f t="shared" si="687"/>
        <v>#N/A</v>
      </c>
    </row>
    <row r="3381" spans="1:14">
      <c r="A3381">
        <f t="shared" si="688"/>
        <v>0</v>
      </c>
      <c r="B3381">
        <f t="shared" si="689"/>
        <v>0</v>
      </c>
      <c r="C3381">
        <f t="shared" si="690"/>
        <v>0</v>
      </c>
      <c r="D3381">
        <f t="shared" si="691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2"/>
        <v>0</v>
      </c>
      <c r="G3381">
        <f t="shared" si="693"/>
        <v>0</v>
      </c>
      <c r="H3381">
        <f t="shared" si="694"/>
        <v>0</v>
      </c>
      <c r="I3381">
        <f t="shared" si="695"/>
        <v>0</v>
      </c>
      <c r="J3381">
        <f t="shared" si="696"/>
        <v>0</v>
      </c>
      <c r="K3381" s="4" t="e">
        <f t="shared" si="684"/>
        <v>#N/A</v>
      </c>
      <c r="L3381" t="e">
        <f t="shared" si="685"/>
        <v>#N/A</v>
      </c>
      <c r="M3381" s="4" t="e">
        <f t="shared" si="686"/>
        <v>#N/A</v>
      </c>
      <c r="N3381" s="4" t="e">
        <f t="shared" si="687"/>
        <v>#N/A</v>
      </c>
    </row>
    <row r="3382" spans="1:14">
      <c r="A3382">
        <f t="shared" si="688"/>
        <v>0</v>
      </c>
      <c r="B3382">
        <f t="shared" si="689"/>
        <v>0</v>
      </c>
      <c r="C3382">
        <f t="shared" si="690"/>
        <v>0</v>
      </c>
      <c r="D3382">
        <f t="shared" si="691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2"/>
        <v>0</v>
      </c>
      <c r="G3382">
        <f t="shared" si="693"/>
        <v>0</v>
      </c>
      <c r="H3382">
        <f t="shared" si="694"/>
        <v>0</v>
      </c>
      <c r="I3382">
        <f t="shared" si="695"/>
        <v>0</v>
      </c>
      <c r="J3382">
        <f t="shared" si="696"/>
        <v>0</v>
      </c>
      <c r="K3382" s="4" t="e">
        <f t="shared" si="684"/>
        <v>#N/A</v>
      </c>
      <c r="L3382" t="e">
        <f t="shared" si="685"/>
        <v>#N/A</v>
      </c>
      <c r="M3382" s="4" t="e">
        <f t="shared" si="686"/>
        <v>#N/A</v>
      </c>
      <c r="N3382" s="4" t="e">
        <f t="shared" si="687"/>
        <v>#N/A</v>
      </c>
    </row>
    <row r="3383" spans="1:14">
      <c r="A3383">
        <f t="shared" si="688"/>
        <v>0</v>
      </c>
      <c r="B3383">
        <f t="shared" si="689"/>
        <v>0</v>
      </c>
      <c r="C3383">
        <f t="shared" si="690"/>
        <v>0</v>
      </c>
      <c r="D3383">
        <f t="shared" si="691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2"/>
        <v>0</v>
      </c>
      <c r="G3383">
        <f t="shared" si="693"/>
        <v>0</v>
      </c>
      <c r="H3383">
        <f t="shared" si="694"/>
        <v>0</v>
      </c>
      <c r="I3383">
        <f t="shared" si="695"/>
        <v>0</v>
      </c>
      <c r="J3383">
        <f t="shared" si="696"/>
        <v>0</v>
      </c>
      <c r="K3383" s="4" t="e">
        <f t="shared" si="684"/>
        <v>#N/A</v>
      </c>
      <c r="L3383" t="e">
        <f t="shared" si="685"/>
        <v>#N/A</v>
      </c>
      <c r="M3383" s="4" t="e">
        <f t="shared" si="686"/>
        <v>#N/A</v>
      </c>
      <c r="N3383" s="4" t="e">
        <f t="shared" si="687"/>
        <v>#N/A</v>
      </c>
    </row>
    <row r="3384" spans="1:14">
      <c r="A3384">
        <f t="shared" si="688"/>
        <v>0</v>
      </c>
      <c r="B3384">
        <f t="shared" si="689"/>
        <v>0</v>
      </c>
      <c r="C3384">
        <f t="shared" si="690"/>
        <v>0</v>
      </c>
      <c r="D3384">
        <f t="shared" si="691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2"/>
        <v>0</v>
      </c>
      <c r="G3384">
        <f t="shared" si="693"/>
        <v>0</v>
      </c>
      <c r="H3384">
        <f t="shared" si="694"/>
        <v>0</v>
      </c>
      <c r="I3384">
        <f t="shared" si="695"/>
        <v>0</v>
      </c>
      <c r="J3384">
        <f t="shared" si="696"/>
        <v>0</v>
      </c>
      <c r="K3384" s="4" t="e">
        <f t="shared" si="684"/>
        <v>#N/A</v>
      </c>
      <c r="L3384" t="e">
        <f t="shared" si="685"/>
        <v>#N/A</v>
      </c>
      <c r="M3384" s="4" t="e">
        <f t="shared" si="686"/>
        <v>#N/A</v>
      </c>
      <c r="N3384" s="4" t="e">
        <f t="shared" si="687"/>
        <v>#N/A</v>
      </c>
    </row>
    <row r="3385" spans="1:14">
      <c r="A3385">
        <f t="shared" si="688"/>
        <v>0</v>
      </c>
      <c r="B3385">
        <f t="shared" si="689"/>
        <v>0</v>
      </c>
      <c r="C3385">
        <f t="shared" si="690"/>
        <v>0</v>
      </c>
      <c r="D3385">
        <f t="shared" si="691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2"/>
        <v>0</v>
      </c>
      <c r="G3385">
        <f t="shared" si="693"/>
        <v>0</v>
      </c>
      <c r="H3385">
        <f t="shared" si="694"/>
        <v>0</v>
      </c>
      <c r="I3385">
        <f t="shared" si="695"/>
        <v>0</v>
      </c>
      <c r="J3385">
        <f t="shared" si="696"/>
        <v>0</v>
      </c>
      <c r="K3385" s="4" t="e">
        <f t="shared" si="684"/>
        <v>#N/A</v>
      </c>
      <c r="L3385" t="e">
        <f t="shared" si="685"/>
        <v>#N/A</v>
      </c>
      <c r="M3385" s="4" t="e">
        <f t="shared" si="686"/>
        <v>#N/A</v>
      </c>
      <c r="N3385" s="4" t="e">
        <f t="shared" si="687"/>
        <v>#N/A</v>
      </c>
    </row>
    <row r="3386" spans="1:14">
      <c r="A3386">
        <f t="shared" si="688"/>
        <v>0</v>
      </c>
      <c r="B3386">
        <f t="shared" si="689"/>
        <v>0</v>
      </c>
      <c r="C3386">
        <f t="shared" si="690"/>
        <v>0</v>
      </c>
      <c r="D3386">
        <f t="shared" si="691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2"/>
        <v>0</v>
      </c>
      <c r="G3386">
        <f t="shared" si="693"/>
        <v>0</v>
      </c>
      <c r="H3386">
        <f t="shared" si="694"/>
        <v>0</v>
      </c>
      <c r="I3386">
        <f t="shared" si="695"/>
        <v>0</v>
      </c>
      <c r="J3386">
        <f t="shared" si="696"/>
        <v>0</v>
      </c>
      <c r="K3386" s="4" t="e">
        <f t="shared" si="684"/>
        <v>#N/A</v>
      </c>
      <c r="L3386" t="e">
        <f t="shared" si="685"/>
        <v>#N/A</v>
      </c>
      <c r="M3386" s="4" t="e">
        <f t="shared" si="686"/>
        <v>#N/A</v>
      </c>
      <c r="N3386" s="4" t="e">
        <f t="shared" si="687"/>
        <v>#N/A</v>
      </c>
    </row>
    <row r="3387" spans="1:14">
      <c r="A3387">
        <f t="shared" si="688"/>
        <v>0</v>
      </c>
      <c r="B3387">
        <f t="shared" si="689"/>
        <v>0</v>
      </c>
      <c r="C3387">
        <f t="shared" si="690"/>
        <v>0</v>
      </c>
      <c r="D3387">
        <f t="shared" si="691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2"/>
        <v>0</v>
      </c>
      <c r="G3387">
        <f t="shared" si="693"/>
        <v>0</v>
      </c>
      <c r="H3387">
        <f t="shared" si="694"/>
        <v>0</v>
      </c>
      <c r="I3387">
        <f t="shared" si="695"/>
        <v>0</v>
      </c>
      <c r="J3387">
        <f t="shared" si="696"/>
        <v>0</v>
      </c>
      <c r="K3387" s="4" t="e">
        <f t="shared" si="684"/>
        <v>#N/A</v>
      </c>
      <c r="L3387" t="e">
        <f t="shared" si="685"/>
        <v>#N/A</v>
      </c>
      <c r="M3387" s="4" t="e">
        <f t="shared" si="686"/>
        <v>#N/A</v>
      </c>
      <c r="N3387" s="4" t="e">
        <f t="shared" si="687"/>
        <v>#N/A</v>
      </c>
    </row>
    <row r="3388" spans="1:14">
      <c r="A3388">
        <f t="shared" si="688"/>
        <v>0</v>
      </c>
      <c r="B3388">
        <f t="shared" si="689"/>
        <v>0</v>
      </c>
      <c r="C3388">
        <f t="shared" si="690"/>
        <v>0</v>
      </c>
      <c r="D3388">
        <f t="shared" si="691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2"/>
        <v>0</v>
      </c>
      <c r="G3388">
        <f t="shared" si="693"/>
        <v>0</v>
      </c>
      <c r="H3388">
        <f t="shared" si="694"/>
        <v>0</v>
      </c>
      <c r="I3388">
        <f t="shared" si="695"/>
        <v>0</v>
      </c>
      <c r="J3388">
        <f t="shared" si="696"/>
        <v>0</v>
      </c>
      <c r="K3388" s="4" t="e">
        <f t="shared" si="684"/>
        <v>#N/A</v>
      </c>
      <c r="L3388" t="e">
        <f t="shared" si="685"/>
        <v>#N/A</v>
      </c>
      <c r="M3388" s="4" t="e">
        <f t="shared" si="686"/>
        <v>#N/A</v>
      </c>
      <c r="N3388" s="4" t="e">
        <f t="shared" si="687"/>
        <v>#N/A</v>
      </c>
    </row>
    <row r="3389" spans="1:14">
      <c r="A3389">
        <f t="shared" si="688"/>
        <v>0</v>
      </c>
      <c r="B3389">
        <f t="shared" si="689"/>
        <v>0</v>
      </c>
      <c r="C3389">
        <f t="shared" si="690"/>
        <v>0</v>
      </c>
      <c r="D3389">
        <f t="shared" si="691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2"/>
        <v>0</v>
      </c>
      <c r="G3389">
        <f t="shared" si="693"/>
        <v>0</v>
      </c>
      <c r="H3389">
        <f t="shared" si="694"/>
        <v>0</v>
      </c>
      <c r="I3389">
        <f t="shared" si="695"/>
        <v>0</v>
      </c>
      <c r="J3389">
        <f t="shared" si="696"/>
        <v>0</v>
      </c>
      <c r="K3389" s="4" t="e">
        <f t="shared" ref="K3389:K3452" si="697">IF(LEFT(B3389,3)="DBM",0,VLOOKUP(E3389,tabela,2,FALSE))</f>
        <v>#N/A</v>
      </c>
      <c r="L3389" t="e">
        <f t="shared" ref="L3389:L3452" si="698">VLOOKUP(E3389,tabela,3,FALSE)</f>
        <v>#N/A</v>
      </c>
      <c r="M3389" s="4" t="e">
        <f t="shared" ref="M3389:M3452" si="699">IF(E3389="Dynamic Click",J3389*K3389,K3389*$I3389/1000)</f>
        <v>#N/A</v>
      </c>
      <c r="N3389" s="4" t="e">
        <f t="shared" ref="N3389:N3452" si="700">IF(E3389="Dynamic Click",J3389*L3389,L3389*$I3389/1000)</f>
        <v>#N/A</v>
      </c>
    </row>
    <row r="3390" spans="1:14">
      <c r="A3390">
        <f t="shared" si="688"/>
        <v>0</v>
      </c>
      <c r="B3390">
        <f t="shared" si="689"/>
        <v>0</v>
      </c>
      <c r="C3390">
        <f t="shared" si="690"/>
        <v>0</v>
      </c>
      <c r="D3390">
        <f t="shared" si="691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2"/>
        <v>0</v>
      </c>
      <c r="G3390">
        <f t="shared" si="693"/>
        <v>0</v>
      </c>
      <c r="H3390">
        <f t="shared" si="694"/>
        <v>0</v>
      </c>
      <c r="I3390">
        <f t="shared" si="695"/>
        <v>0</v>
      </c>
      <c r="J3390">
        <f t="shared" si="696"/>
        <v>0</v>
      </c>
      <c r="K3390" s="4" t="e">
        <f t="shared" si="697"/>
        <v>#N/A</v>
      </c>
      <c r="L3390" t="e">
        <f t="shared" si="698"/>
        <v>#N/A</v>
      </c>
      <c r="M3390" s="4" t="e">
        <f t="shared" si="699"/>
        <v>#N/A</v>
      </c>
      <c r="N3390" s="4" t="e">
        <f t="shared" si="700"/>
        <v>#N/A</v>
      </c>
    </row>
    <row r="3391" spans="1:14">
      <c r="A3391">
        <f t="shared" si="688"/>
        <v>0</v>
      </c>
      <c r="B3391">
        <f t="shared" si="689"/>
        <v>0</v>
      </c>
      <c r="C3391">
        <f t="shared" si="690"/>
        <v>0</v>
      </c>
      <c r="D3391">
        <f t="shared" si="691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2"/>
        <v>0</v>
      </c>
      <c r="G3391">
        <f t="shared" si="693"/>
        <v>0</v>
      </c>
      <c r="H3391">
        <f t="shared" si="694"/>
        <v>0</v>
      </c>
      <c r="I3391">
        <f t="shared" si="695"/>
        <v>0</v>
      </c>
      <c r="J3391">
        <f t="shared" si="696"/>
        <v>0</v>
      </c>
      <c r="K3391" s="4" t="e">
        <f t="shared" si="697"/>
        <v>#N/A</v>
      </c>
      <c r="L3391" t="e">
        <f t="shared" si="698"/>
        <v>#N/A</v>
      </c>
      <c r="M3391" s="4" t="e">
        <f t="shared" si="699"/>
        <v>#N/A</v>
      </c>
      <c r="N3391" s="4" t="e">
        <f t="shared" si="700"/>
        <v>#N/A</v>
      </c>
    </row>
    <row r="3392" spans="1:14">
      <c r="A3392">
        <f t="shared" si="688"/>
        <v>0</v>
      </c>
      <c r="B3392">
        <f t="shared" si="689"/>
        <v>0</v>
      </c>
      <c r="C3392">
        <f t="shared" si="690"/>
        <v>0</v>
      </c>
      <c r="D3392">
        <f t="shared" si="691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2"/>
        <v>0</v>
      </c>
      <c r="G3392">
        <f t="shared" si="693"/>
        <v>0</v>
      </c>
      <c r="H3392">
        <f t="shared" si="694"/>
        <v>0</v>
      </c>
      <c r="I3392">
        <f t="shared" si="695"/>
        <v>0</v>
      </c>
      <c r="J3392">
        <f t="shared" si="696"/>
        <v>0</v>
      </c>
      <c r="K3392" s="4" t="e">
        <f t="shared" si="697"/>
        <v>#N/A</v>
      </c>
      <c r="L3392" t="e">
        <f t="shared" si="698"/>
        <v>#N/A</v>
      </c>
      <c r="M3392" s="4" t="e">
        <f t="shared" si="699"/>
        <v>#N/A</v>
      </c>
      <c r="N3392" s="4" t="e">
        <f t="shared" si="700"/>
        <v>#N/A</v>
      </c>
    </row>
    <row r="3393" spans="1:14">
      <c r="A3393">
        <f t="shared" si="688"/>
        <v>0</v>
      </c>
      <c r="B3393">
        <f t="shared" si="689"/>
        <v>0</v>
      </c>
      <c r="C3393">
        <f t="shared" si="690"/>
        <v>0</v>
      </c>
      <c r="D3393">
        <f t="shared" si="691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2"/>
        <v>0</v>
      </c>
      <c r="G3393">
        <f t="shared" si="693"/>
        <v>0</v>
      </c>
      <c r="H3393">
        <f t="shared" si="694"/>
        <v>0</v>
      </c>
      <c r="I3393">
        <f t="shared" si="695"/>
        <v>0</v>
      </c>
      <c r="J3393">
        <f t="shared" si="696"/>
        <v>0</v>
      </c>
      <c r="K3393" s="4" t="e">
        <f t="shared" si="697"/>
        <v>#N/A</v>
      </c>
      <c r="L3393" t="e">
        <f t="shared" si="698"/>
        <v>#N/A</v>
      </c>
      <c r="M3393" s="4" t="e">
        <f t="shared" si="699"/>
        <v>#N/A</v>
      </c>
      <c r="N3393" s="4" t="e">
        <f t="shared" si="700"/>
        <v>#N/A</v>
      </c>
    </row>
    <row r="3394" spans="1:14">
      <c r="A3394">
        <f t="shared" ref="A3394:A3457" si="701">bd_campaign</f>
        <v>0</v>
      </c>
      <c r="B3394">
        <f t="shared" ref="B3394:B3457" si="702">bd_site</f>
        <v>0</v>
      </c>
      <c r="C3394">
        <f t="shared" ref="C3394:C3457" si="703">bd_placement</f>
        <v>0</v>
      </c>
      <c r="D3394">
        <f t="shared" ref="D3394:D3457" si="704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5">bd_ad</f>
        <v>0</v>
      </c>
      <c r="G3394">
        <f t="shared" ref="G3394:G3457" si="706">bd_adid</f>
        <v>0</v>
      </c>
      <c r="H3394">
        <f t="shared" ref="H3394:H3457" si="707">bd_creativetype</f>
        <v>0</v>
      </c>
      <c r="I3394">
        <f t="shared" ref="I3394:I3457" si="708">bd_impression</f>
        <v>0</v>
      </c>
      <c r="J3394">
        <f t="shared" ref="J3394:J3457" si="709">bd_clicks</f>
        <v>0</v>
      </c>
      <c r="K3394" s="4" t="e">
        <f t="shared" si="697"/>
        <v>#N/A</v>
      </c>
      <c r="L3394" t="e">
        <f t="shared" si="698"/>
        <v>#N/A</v>
      </c>
      <c r="M3394" s="4" t="e">
        <f t="shared" si="699"/>
        <v>#N/A</v>
      </c>
      <c r="N3394" s="4" t="e">
        <f t="shared" si="700"/>
        <v>#N/A</v>
      </c>
    </row>
    <row r="3395" spans="1:14">
      <c r="A3395">
        <f t="shared" si="701"/>
        <v>0</v>
      </c>
      <c r="B3395">
        <f t="shared" si="702"/>
        <v>0</v>
      </c>
      <c r="C3395">
        <f t="shared" si="703"/>
        <v>0</v>
      </c>
      <c r="D3395">
        <f t="shared" si="704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5"/>
        <v>0</v>
      </c>
      <c r="G3395">
        <f t="shared" si="706"/>
        <v>0</v>
      </c>
      <c r="H3395">
        <f t="shared" si="707"/>
        <v>0</v>
      </c>
      <c r="I3395">
        <f t="shared" si="708"/>
        <v>0</v>
      </c>
      <c r="J3395">
        <f t="shared" si="709"/>
        <v>0</v>
      </c>
      <c r="K3395" s="4" t="e">
        <f t="shared" si="697"/>
        <v>#N/A</v>
      </c>
      <c r="L3395" t="e">
        <f t="shared" si="698"/>
        <v>#N/A</v>
      </c>
      <c r="M3395" s="4" t="e">
        <f t="shared" si="699"/>
        <v>#N/A</v>
      </c>
      <c r="N3395" s="4" t="e">
        <f t="shared" si="700"/>
        <v>#N/A</v>
      </c>
    </row>
    <row r="3396" spans="1:14">
      <c r="A3396">
        <f t="shared" si="701"/>
        <v>0</v>
      </c>
      <c r="B3396">
        <f t="shared" si="702"/>
        <v>0</v>
      </c>
      <c r="C3396">
        <f t="shared" si="703"/>
        <v>0</v>
      </c>
      <c r="D3396">
        <f t="shared" si="704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5"/>
        <v>0</v>
      </c>
      <c r="G3396">
        <f t="shared" si="706"/>
        <v>0</v>
      </c>
      <c r="H3396">
        <f t="shared" si="707"/>
        <v>0</v>
      </c>
      <c r="I3396">
        <f t="shared" si="708"/>
        <v>0</v>
      </c>
      <c r="J3396">
        <f t="shared" si="709"/>
        <v>0</v>
      </c>
      <c r="K3396" s="4" t="e">
        <f t="shared" si="697"/>
        <v>#N/A</v>
      </c>
      <c r="L3396" t="e">
        <f t="shared" si="698"/>
        <v>#N/A</v>
      </c>
      <c r="M3396" s="4" t="e">
        <f t="shared" si="699"/>
        <v>#N/A</v>
      </c>
      <c r="N3396" s="4" t="e">
        <f t="shared" si="700"/>
        <v>#N/A</v>
      </c>
    </row>
    <row r="3397" spans="1:14">
      <c r="A3397">
        <f t="shared" si="701"/>
        <v>0</v>
      </c>
      <c r="B3397">
        <f t="shared" si="702"/>
        <v>0</v>
      </c>
      <c r="C3397">
        <f t="shared" si="703"/>
        <v>0</v>
      </c>
      <c r="D3397">
        <f t="shared" si="704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5"/>
        <v>0</v>
      </c>
      <c r="G3397">
        <f t="shared" si="706"/>
        <v>0</v>
      </c>
      <c r="H3397">
        <f t="shared" si="707"/>
        <v>0</v>
      </c>
      <c r="I3397">
        <f t="shared" si="708"/>
        <v>0</v>
      </c>
      <c r="J3397">
        <f t="shared" si="709"/>
        <v>0</v>
      </c>
      <c r="K3397" s="4" t="e">
        <f t="shared" si="697"/>
        <v>#N/A</v>
      </c>
      <c r="L3397" t="e">
        <f t="shared" si="698"/>
        <v>#N/A</v>
      </c>
      <c r="M3397" s="4" t="e">
        <f t="shared" si="699"/>
        <v>#N/A</v>
      </c>
      <c r="N3397" s="4" t="e">
        <f t="shared" si="700"/>
        <v>#N/A</v>
      </c>
    </row>
    <row r="3398" spans="1:14">
      <c r="A3398">
        <f t="shared" si="701"/>
        <v>0</v>
      </c>
      <c r="B3398">
        <f t="shared" si="702"/>
        <v>0</v>
      </c>
      <c r="C3398">
        <f t="shared" si="703"/>
        <v>0</v>
      </c>
      <c r="D3398">
        <f t="shared" si="704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5"/>
        <v>0</v>
      </c>
      <c r="G3398">
        <f t="shared" si="706"/>
        <v>0</v>
      </c>
      <c r="H3398">
        <f t="shared" si="707"/>
        <v>0</v>
      </c>
      <c r="I3398">
        <f t="shared" si="708"/>
        <v>0</v>
      </c>
      <c r="J3398">
        <f t="shared" si="709"/>
        <v>0</v>
      </c>
      <c r="K3398" s="4" t="e">
        <f t="shared" si="697"/>
        <v>#N/A</v>
      </c>
      <c r="L3398" t="e">
        <f t="shared" si="698"/>
        <v>#N/A</v>
      </c>
      <c r="M3398" s="4" t="e">
        <f t="shared" si="699"/>
        <v>#N/A</v>
      </c>
      <c r="N3398" s="4" t="e">
        <f t="shared" si="700"/>
        <v>#N/A</v>
      </c>
    </row>
    <row r="3399" spans="1:14">
      <c r="A3399">
        <f t="shared" si="701"/>
        <v>0</v>
      </c>
      <c r="B3399">
        <f t="shared" si="702"/>
        <v>0</v>
      </c>
      <c r="C3399">
        <f t="shared" si="703"/>
        <v>0</v>
      </c>
      <c r="D3399">
        <f t="shared" si="704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5"/>
        <v>0</v>
      </c>
      <c r="G3399">
        <f t="shared" si="706"/>
        <v>0</v>
      </c>
      <c r="H3399">
        <f t="shared" si="707"/>
        <v>0</v>
      </c>
      <c r="I3399">
        <f t="shared" si="708"/>
        <v>0</v>
      </c>
      <c r="J3399">
        <f t="shared" si="709"/>
        <v>0</v>
      </c>
      <c r="K3399" s="4" t="e">
        <f t="shared" si="697"/>
        <v>#N/A</v>
      </c>
      <c r="L3399" t="e">
        <f t="shared" si="698"/>
        <v>#N/A</v>
      </c>
      <c r="M3399" s="4" t="e">
        <f t="shared" si="699"/>
        <v>#N/A</v>
      </c>
      <c r="N3399" s="4" t="e">
        <f t="shared" si="700"/>
        <v>#N/A</v>
      </c>
    </row>
    <row r="3400" spans="1:14">
      <c r="A3400">
        <f t="shared" si="701"/>
        <v>0</v>
      </c>
      <c r="B3400">
        <f t="shared" si="702"/>
        <v>0</v>
      </c>
      <c r="C3400">
        <f t="shared" si="703"/>
        <v>0</v>
      </c>
      <c r="D3400">
        <f t="shared" si="704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5"/>
        <v>0</v>
      </c>
      <c r="G3400">
        <f t="shared" si="706"/>
        <v>0</v>
      </c>
      <c r="H3400">
        <f t="shared" si="707"/>
        <v>0</v>
      </c>
      <c r="I3400">
        <f t="shared" si="708"/>
        <v>0</v>
      </c>
      <c r="J3400">
        <f t="shared" si="709"/>
        <v>0</v>
      </c>
      <c r="K3400" s="4" t="e">
        <f t="shared" si="697"/>
        <v>#N/A</v>
      </c>
      <c r="L3400" t="e">
        <f t="shared" si="698"/>
        <v>#N/A</v>
      </c>
      <c r="M3400" s="4" t="e">
        <f t="shared" si="699"/>
        <v>#N/A</v>
      </c>
      <c r="N3400" s="4" t="e">
        <f t="shared" si="700"/>
        <v>#N/A</v>
      </c>
    </row>
    <row r="3401" spans="1:14">
      <c r="A3401">
        <f t="shared" si="701"/>
        <v>0</v>
      </c>
      <c r="B3401">
        <f t="shared" si="702"/>
        <v>0</v>
      </c>
      <c r="C3401">
        <f t="shared" si="703"/>
        <v>0</v>
      </c>
      <c r="D3401">
        <f t="shared" si="704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5"/>
        <v>0</v>
      </c>
      <c r="G3401">
        <f t="shared" si="706"/>
        <v>0</v>
      </c>
      <c r="H3401">
        <f t="shared" si="707"/>
        <v>0</v>
      </c>
      <c r="I3401">
        <f t="shared" si="708"/>
        <v>0</v>
      </c>
      <c r="J3401">
        <f t="shared" si="709"/>
        <v>0</v>
      </c>
      <c r="K3401" s="4" t="e">
        <f t="shared" si="697"/>
        <v>#N/A</v>
      </c>
      <c r="L3401" t="e">
        <f t="shared" si="698"/>
        <v>#N/A</v>
      </c>
      <c r="M3401" s="4" t="e">
        <f t="shared" si="699"/>
        <v>#N/A</v>
      </c>
      <c r="N3401" s="4" t="e">
        <f t="shared" si="700"/>
        <v>#N/A</v>
      </c>
    </row>
    <row r="3402" spans="1:14">
      <c r="A3402">
        <f t="shared" si="701"/>
        <v>0</v>
      </c>
      <c r="B3402">
        <f t="shared" si="702"/>
        <v>0</v>
      </c>
      <c r="C3402">
        <f t="shared" si="703"/>
        <v>0</v>
      </c>
      <c r="D3402">
        <f t="shared" si="704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5"/>
        <v>0</v>
      </c>
      <c r="G3402">
        <f t="shared" si="706"/>
        <v>0</v>
      </c>
      <c r="H3402">
        <f t="shared" si="707"/>
        <v>0</v>
      </c>
      <c r="I3402">
        <f t="shared" si="708"/>
        <v>0</v>
      </c>
      <c r="J3402">
        <f t="shared" si="709"/>
        <v>0</v>
      </c>
      <c r="K3402" s="4" t="e">
        <f t="shared" si="697"/>
        <v>#N/A</v>
      </c>
      <c r="L3402" t="e">
        <f t="shared" si="698"/>
        <v>#N/A</v>
      </c>
      <c r="M3402" s="4" t="e">
        <f t="shared" si="699"/>
        <v>#N/A</v>
      </c>
      <c r="N3402" s="4" t="e">
        <f t="shared" si="700"/>
        <v>#N/A</v>
      </c>
    </row>
    <row r="3403" spans="1:14">
      <c r="A3403">
        <f t="shared" si="701"/>
        <v>0</v>
      </c>
      <c r="B3403">
        <f t="shared" si="702"/>
        <v>0</v>
      </c>
      <c r="C3403">
        <f t="shared" si="703"/>
        <v>0</v>
      </c>
      <c r="D3403">
        <f t="shared" si="704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5"/>
        <v>0</v>
      </c>
      <c r="G3403">
        <f t="shared" si="706"/>
        <v>0</v>
      </c>
      <c r="H3403">
        <f t="shared" si="707"/>
        <v>0</v>
      </c>
      <c r="I3403">
        <f t="shared" si="708"/>
        <v>0</v>
      </c>
      <c r="J3403">
        <f t="shared" si="709"/>
        <v>0</v>
      </c>
      <c r="K3403" s="4" t="e">
        <f t="shared" si="697"/>
        <v>#N/A</v>
      </c>
      <c r="L3403" t="e">
        <f t="shared" si="698"/>
        <v>#N/A</v>
      </c>
      <c r="M3403" s="4" t="e">
        <f t="shared" si="699"/>
        <v>#N/A</v>
      </c>
      <c r="N3403" s="4" t="e">
        <f t="shared" si="700"/>
        <v>#N/A</v>
      </c>
    </row>
    <row r="3404" spans="1:14">
      <c r="A3404">
        <f t="shared" si="701"/>
        <v>0</v>
      </c>
      <c r="B3404">
        <f t="shared" si="702"/>
        <v>0</v>
      </c>
      <c r="C3404">
        <f t="shared" si="703"/>
        <v>0</v>
      </c>
      <c r="D3404">
        <f t="shared" si="704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5"/>
        <v>0</v>
      </c>
      <c r="G3404">
        <f t="shared" si="706"/>
        <v>0</v>
      </c>
      <c r="H3404">
        <f t="shared" si="707"/>
        <v>0</v>
      </c>
      <c r="I3404">
        <f t="shared" si="708"/>
        <v>0</v>
      </c>
      <c r="J3404">
        <f t="shared" si="709"/>
        <v>0</v>
      </c>
      <c r="K3404" s="4" t="e">
        <f t="shared" si="697"/>
        <v>#N/A</v>
      </c>
      <c r="L3404" t="e">
        <f t="shared" si="698"/>
        <v>#N/A</v>
      </c>
      <c r="M3404" s="4" t="e">
        <f t="shared" si="699"/>
        <v>#N/A</v>
      </c>
      <c r="N3404" s="4" t="e">
        <f t="shared" si="700"/>
        <v>#N/A</v>
      </c>
    </row>
    <row r="3405" spans="1:14">
      <c r="A3405">
        <f t="shared" si="701"/>
        <v>0</v>
      </c>
      <c r="B3405">
        <f t="shared" si="702"/>
        <v>0</v>
      </c>
      <c r="C3405">
        <f t="shared" si="703"/>
        <v>0</v>
      </c>
      <c r="D3405">
        <f t="shared" si="704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5"/>
        <v>0</v>
      </c>
      <c r="G3405">
        <f t="shared" si="706"/>
        <v>0</v>
      </c>
      <c r="H3405">
        <f t="shared" si="707"/>
        <v>0</v>
      </c>
      <c r="I3405">
        <f t="shared" si="708"/>
        <v>0</v>
      </c>
      <c r="J3405">
        <f t="shared" si="709"/>
        <v>0</v>
      </c>
      <c r="K3405" s="4" t="e">
        <f t="shared" si="697"/>
        <v>#N/A</v>
      </c>
      <c r="L3405" t="e">
        <f t="shared" si="698"/>
        <v>#N/A</v>
      </c>
      <c r="M3405" s="4" t="e">
        <f t="shared" si="699"/>
        <v>#N/A</v>
      </c>
      <c r="N3405" s="4" t="e">
        <f t="shared" si="700"/>
        <v>#N/A</v>
      </c>
    </row>
    <row r="3406" spans="1:14">
      <c r="A3406">
        <f t="shared" si="701"/>
        <v>0</v>
      </c>
      <c r="B3406">
        <f t="shared" si="702"/>
        <v>0</v>
      </c>
      <c r="C3406">
        <f t="shared" si="703"/>
        <v>0</v>
      </c>
      <c r="D3406">
        <f t="shared" si="704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5"/>
        <v>0</v>
      </c>
      <c r="G3406">
        <f t="shared" si="706"/>
        <v>0</v>
      </c>
      <c r="H3406">
        <f t="shared" si="707"/>
        <v>0</v>
      </c>
      <c r="I3406">
        <f t="shared" si="708"/>
        <v>0</v>
      </c>
      <c r="J3406">
        <f t="shared" si="709"/>
        <v>0</v>
      </c>
      <c r="K3406" s="4" t="e">
        <f t="shared" si="697"/>
        <v>#N/A</v>
      </c>
      <c r="L3406" t="e">
        <f t="shared" si="698"/>
        <v>#N/A</v>
      </c>
      <c r="M3406" s="4" t="e">
        <f t="shared" si="699"/>
        <v>#N/A</v>
      </c>
      <c r="N3406" s="4" t="e">
        <f t="shared" si="700"/>
        <v>#N/A</v>
      </c>
    </row>
    <row r="3407" spans="1:14">
      <c r="A3407">
        <f t="shared" si="701"/>
        <v>0</v>
      </c>
      <c r="B3407">
        <f t="shared" si="702"/>
        <v>0</v>
      </c>
      <c r="C3407">
        <f t="shared" si="703"/>
        <v>0</v>
      </c>
      <c r="D3407">
        <f t="shared" si="704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5"/>
        <v>0</v>
      </c>
      <c r="G3407">
        <f t="shared" si="706"/>
        <v>0</v>
      </c>
      <c r="H3407">
        <f t="shared" si="707"/>
        <v>0</v>
      </c>
      <c r="I3407">
        <f t="shared" si="708"/>
        <v>0</v>
      </c>
      <c r="J3407">
        <f t="shared" si="709"/>
        <v>0</v>
      </c>
      <c r="K3407" s="4" t="e">
        <f t="shared" si="697"/>
        <v>#N/A</v>
      </c>
      <c r="L3407" t="e">
        <f t="shared" si="698"/>
        <v>#N/A</v>
      </c>
      <c r="M3407" s="4" t="e">
        <f t="shared" si="699"/>
        <v>#N/A</v>
      </c>
      <c r="N3407" s="4" t="e">
        <f t="shared" si="700"/>
        <v>#N/A</v>
      </c>
    </row>
    <row r="3408" spans="1:14">
      <c r="A3408">
        <f t="shared" si="701"/>
        <v>0</v>
      </c>
      <c r="B3408">
        <f t="shared" si="702"/>
        <v>0</v>
      </c>
      <c r="C3408">
        <f t="shared" si="703"/>
        <v>0</v>
      </c>
      <c r="D3408">
        <f t="shared" si="704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5"/>
        <v>0</v>
      </c>
      <c r="G3408">
        <f t="shared" si="706"/>
        <v>0</v>
      </c>
      <c r="H3408">
        <f t="shared" si="707"/>
        <v>0</v>
      </c>
      <c r="I3408">
        <f t="shared" si="708"/>
        <v>0</v>
      </c>
      <c r="J3408">
        <f t="shared" si="709"/>
        <v>0</v>
      </c>
      <c r="K3408" s="4" t="e">
        <f t="shared" si="697"/>
        <v>#N/A</v>
      </c>
      <c r="L3408" t="e">
        <f t="shared" si="698"/>
        <v>#N/A</v>
      </c>
      <c r="M3408" s="4" t="e">
        <f t="shared" si="699"/>
        <v>#N/A</v>
      </c>
      <c r="N3408" s="4" t="e">
        <f t="shared" si="700"/>
        <v>#N/A</v>
      </c>
    </row>
    <row r="3409" spans="1:14">
      <c r="A3409">
        <f t="shared" si="701"/>
        <v>0</v>
      </c>
      <c r="B3409">
        <f t="shared" si="702"/>
        <v>0</v>
      </c>
      <c r="C3409">
        <f t="shared" si="703"/>
        <v>0</v>
      </c>
      <c r="D3409">
        <f t="shared" si="704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5"/>
        <v>0</v>
      </c>
      <c r="G3409">
        <f t="shared" si="706"/>
        <v>0</v>
      </c>
      <c r="H3409">
        <f t="shared" si="707"/>
        <v>0</v>
      </c>
      <c r="I3409">
        <f t="shared" si="708"/>
        <v>0</v>
      </c>
      <c r="J3409">
        <f t="shared" si="709"/>
        <v>0</v>
      </c>
      <c r="K3409" s="4" t="e">
        <f t="shared" si="697"/>
        <v>#N/A</v>
      </c>
      <c r="L3409" t="e">
        <f t="shared" si="698"/>
        <v>#N/A</v>
      </c>
      <c r="M3409" s="4" t="e">
        <f t="shared" si="699"/>
        <v>#N/A</v>
      </c>
      <c r="N3409" s="4" t="e">
        <f t="shared" si="700"/>
        <v>#N/A</v>
      </c>
    </row>
    <row r="3410" spans="1:14">
      <c r="A3410">
        <f t="shared" si="701"/>
        <v>0</v>
      </c>
      <c r="B3410">
        <f t="shared" si="702"/>
        <v>0</v>
      </c>
      <c r="C3410">
        <f t="shared" si="703"/>
        <v>0</v>
      </c>
      <c r="D3410">
        <f t="shared" si="704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5"/>
        <v>0</v>
      </c>
      <c r="G3410">
        <f t="shared" si="706"/>
        <v>0</v>
      </c>
      <c r="H3410">
        <f t="shared" si="707"/>
        <v>0</v>
      </c>
      <c r="I3410">
        <f t="shared" si="708"/>
        <v>0</v>
      </c>
      <c r="J3410">
        <f t="shared" si="709"/>
        <v>0</v>
      </c>
      <c r="K3410" s="4" t="e">
        <f t="shared" si="697"/>
        <v>#N/A</v>
      </c>
      <c r="L3410" t="e">
        <f t="shared" si="698"/>
        <v>#N/A</v>
      </c>
      <c r="M3410" s="4" t="e">
        <f t="shared" si="699"/>
        <v>#N/A</v>
      </c>
      <c r="N3410" s="4" t="e">
        <f t="shared" si="700"/>
        <v>#N/A</v>
      </c>
    </row>
    <row r="3411" spans="1:14">
      <c r="A3411">
        <f t="shared" si="701"/>
        <v>0</v>
      </c>
      <c r="B3411">
        <f t="shared" si="702"/>
        <v>0</v>
      </c>
      <c r="C3411">
        <f t="shared" si="703"/>
        <v>0</v>
      </c>
      <c r="D3411">
        <f t="shared" si="704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5"/>
        <v>0</v>
      </c>
      <c r="G3411">
        <f t="shared" si="706"/>
        <v>0</v>
      </c>
      <c r="H3411">
        <f t="shared" si="707"/>
        <v>0</v>
      </c>
      <c r="I3411">
        <f t="shared" si="708"/>
        <v>0</v>
      </c>
      <c r="J3411">
        <f t="shared" si="709"/>
        <v>0</v>
      </c>
      <c r="K3411" s="4" t="e">
        <f t="shared" si="697"/>
        <v>#N/A</v>
      </c>
      <c r="L3411" t="e">
        <f t="shared" si="698"/>
        <v>#N/A</v>
      </c>
      <c r="M3411" s="4" t="e">
        <f t="shared" si="699"/>
        <v>#N/A</v>
      </c>
      <c r="N3411" s="4" t="e">
        <f t="shared" si="700"/>
        <v>#N/A</v>
      </c>
    </row>
    <row r="3412" spans="1:14">
      <c r="A3412">
        <f t="shared" si="701"/>
        <v>0</v>
      </c>
      <c r="B3412">
        <f t="shared" si="702"/>
        <v>0</v>
      </c>
      <c r="C3412">
        <f t="shared" si="703"/>
        <v>0</v>
      </c>
      <c r="D3412">
        <f t="shared" si="704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5"/>
        <v>0</v>
      </c>
      <c r="G3412">
        <f t="shared" si="706"/>
        <v>0</v>
      </c>
      <c r="H3412">
        <f t="shared" si="707"/>
        <v>0</v>
      </c>
      <c r="I3412">
        <f t="shared" si="708"/>
        <v>0</v>
      </c>
      <c r="J3412">
        <f t="shared" si="709"/>
        <v>0</v>
      </c>
      <c r="K3412" s="4" t="e">
        <f t="shared" si="697"/>
        <v>#N/A</v>
      </c>
      <c r="L3412" t="e">
        <f t="shared" si="698"/>
        <v>#N/A</v>
      </c>
      <c r="M3412" s="4" t="e">
        <f t="shared" si="699"/>
        <v>#N/A</v>
      </c>
      <c r="N3412" s="4" t="e">
        <f t="shared" si="700"/>
        <v>#N/A</v>
      </c>
    </row>
    <row r="3413" spans="1:14">
      <c r="A3413">
        <f t="shared" si="701"/>
        <v>0</v>
      </c>
      <c r="B3413">
        <f t="shared" si="702"/>
        <v>0</v>
      </c>
      <c r="C3413">
        <f t="shared" si="703"/>
        <v>0</v>
      </c>
      <c r="D3413">
        <f t="shared" si="704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5"/>
        <v>0</v>
      </c>
      <c r="G3413">
        <f t="shared" si="706"/>
        <v>0</v>
      </c>
      <c r="H3413">
        <f t="shared" si="707"/>
        <v>0</v>
      </c>
      <c r="I3413">
        <f t="shared" si="708"/>
        <v>0</v>
      </c>
      <c r="J3413">
        <f t="shared" si="709"/>
        <v>0</v>
      </c>
      <c r="K3413" s="4" t="e">
        <f t="shared" si="697"/>
        <v>#N/A</v>
      </c>
      <c r="L3413" t="e">
        <f t="shared" si="698"/>
        <v>#N/A</v>
      </c>
      <c r="M3413" s="4" t="e">
        <f t="shared" si="699"/>
        <v>#N/A</v>
      </c>
      <c r="N3413" s="4" t="e">
        <f t="shared" si="700"/>
        <v>#N/A</v>
      </c>
    </row>
    <row r="3414" spans="1:14">
      <c r="A3414">
        <f t="shared" si="701"/>
        <v>0</v>
      </c>
      <c r="B3414">
        <f t="shared" si="702"/>
        <v>0</v>
      </c>
      <c r="C3414">
        <f t="shared" si="703"/>
        <v>0</v>
      </c>
      <c r="D3414">
        <f t="shared" si="704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5"/>
        <v>0</v>
      </c>
      <c r="G3414">
        <f t="shared" si="706"/>
        <v>0</v>
      </c>
      <c r="H3414">
        <f t="shared" si="707"/>
        <v>0</v>
      </c>
      <c r="I3414">
        <f t="shared" si="708"/>
        <v>0</v>
      </c>
      <c r="J3414">
        <f t="shared" si="709"/>
        <v>0</v>
      </c>
      <c r="K3414" s="4" t="e">
        <f t="shared" si="697"/>
        <v>#N/A</v>
      </c>
      <c r="L3414" t="e">
        <f t="shared" si="698"/>
        <v>#N/A</v>
      </c>
      <c r="M3414" s="4" t="e">
        <f t="shared" si="699"/>
        <v>#N/A</v>
      </c>
      <c r="N3414" s="4" t="e">
        <f t="shared" si="700"/>
        <v>#N/A</v>
      </c>
    </row>
    <row r="3415" spans="1:14">
      <c r="A3415">
        <f t="shared" si="701"/>
        <v>0</v>
      </c>
      <c r="B3415">
        <f t="shared" si="702"/>
        <v>0</v>
      </c>
      <c r="C3415">
        <f t="shared" si="703"/>
        <v>0</v>
      </c>
      <c r="D3415">
        <f t="shared" si="704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5"/>
        <v>0</v>
      </c>
      <c r="G3415">
        <f t="shared" si="706"/>
        <v>0</v>
      </c>
      <c r="H3415">
        <f t="shared" si="707"/>
        <v>0</v>
      </c>
      <c r="I3415">
        <f t="shared" si="708"/>
        <v>0</v>
      </c>
      <c r="J3415">
        <f t="shared" si="709"/>
        <v>0</v>
      </c>
      <c r="K3415" s="4" t="e">
        <f t="shared" si="697"/>
        <v>#N/A</v>
      </c>
      <c r="L3415" t="e">
        <f t="shared" si="698"/>
        <v>#N/A</v>
      </c>
      <c r="M3415" s="4" t="e">
        <f t="shared" si="699"/>
        <v>#N/A</v>
      </c>
      <c r="N3415" s="4" t="e">
        <f t="shared" si="700"/>
        <v>#N/A</v>
      </c>
    </row>
    <row r="3416" spans="1:14">
      <c r="A3416">
        <f t="shared" si="701"/>
        <v>0</v>
      </c>
      <c r="B3416">
        <f t="shared" si="702"/>
        <v>0</v>
      </c>
      <c r="C3416">
        <f t="shared" si="703"/>
        <v>0</v>
      </c>
      <c r="D3416">
        <f t="shared" si="704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5"/>
        <v>0</v>
      </c>
      <c r="G3416">
        <f t="shared" si="706"/>
        <v>0</v>
      </c>
      <c r="H3416">
        <f t="shared" si="707"/>
        <v>0</v>
      </c>
      <c r="I3416">
        <f t="shared" si="708"/>
        <v>0</v>
      </c>
      <c r="J3416">
        <f t="shared" si="709"/>
        <v>0</v>
      </c>
      <c r="K3416" s="4" t="e">
        <f t="shared" si="697"/>
        <v>#N/A</v>
      </c>
      <c r="L3416" t="e">
        <f t="shared" si="698"/>
        <v>#N/A</v>
      </c>
      <c r="M3416" s="4" t="e">
        <f t="shared" si="699"/>
        <v>#N/A</v>
      </c>
      <c r="N3416" s="4" t="e">
        <f t="shared" si="700"/>
        <v>#N/A</v>
      </c>
    </row>
    <row r="3417" spans="1:14">
      <c r="A3417">
        <f t="shared" si="701"/>
        <v>0</v>
      </c>
      <c r="B3417">
        <f t="shared" si="702"/>
        <v>0</v>
      </c>
      <c r="C3417">
        <f t="shared" si="703"/>
        <v>0</v>
      </c>
      <c r="D3417">
        <f t="shared" si="704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5"/>
        <v>0</v>
      </c>
      <c r="G3417">
        <f t="shared" si="706"/>
        <v>0</v>
      </c>
      <c r="H3417">
        <f t="shared" si="707"/>
        <v>0</v>
      </c>
      <c r="I3417">
        <f t="shared" si="708"/>
        <v>0</v>
      </c>
      <c r="J3417">
        <f t="shared" si="709"/>
        <v>0</v>
      </c>
      <c r="K3417" s="4" t="e">
        <f t="shared" si="697"/>
        <v>#N/A</v>
      </c>
      <c r="L3417" t="e">
        <f t="shared" si="698"/>
        <v>#N/A</v>
      </c>
      <c r="M3417" s="4" t="e">
        <f t="shared" si="699"/>
        <v>#N/A</v>
      </c>
      <c r="N3417" s="4" t="e">
        <f t="shared" si="700"/>
        <v>#N/A</v>
      </c>
    </row>
    <row r="3418" spans="1:14">
      <c r="A3418">
        <f t="shared" si="701"/>
        <v>0</v>
      </c>
      <c r="B3418">
        <f t="shared" si="702"/>
        <v>0</v>
      </c>
      <c r="C3418">
        <f t="shared" si="703"/>
        <v>0</v>
      </c>
      <c r="D3418">
        <f t="shared" si="704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5"/>
        <v>0</v>
      </c>
      <c r="G3418">
        <f t="shared" si="706"/>
        <v>0</v>
      </c>
      <c r="H3418">
        <f t="shared" si="707"/>
        <v>0</v>
      </c>
      <c r="I3418">
        <f t="shared" si="708"/>
        <v>0</v>
      </c>
      <c r="J3418">
        <f t="shared" si="709"/>
        <v>0</v>
      </c>
      <c r="K3418" s="4" t="e">
        <f t="shared" si="697"/>
        <v>#N/A</v>
      </c>
      <c r="L3418" t="e">
        <f t="shared" si="698"/>
        <v>#N/A</v>
      </c>
      <c r="M3418" s="4" t="e">
        <f t="shared" si="699"/>
        <v>#N/A</v>
      </c>
      <c r="N3418" s="4" t="e">
        <f t="shared" si="700"/>
        <v>#N/A</v>
      </c>
    </row>
    <row r="3419" spans="1:14">
      <c r="A3419">
        <f t="shared" si="701"/>
        <v>0</v>
      </c>
      <c r="B3419">
        <f t="shared" si="702"/>
        <v>0</v>
      </c>
      <c r="C3419">
        <f t="shared" si="703"/>
        <v>0</v>
      </c>
      <c r="D3419">
        <f t="shared" si="704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5"/>
        <v>0</v>
      </c>
      <c r="G3419">
        <f t="shared" si="706"/>
        <v>0</v>
      </c>
      <c r="H3419">
        <f t="shared" si="707"/>
        <v>0</v>
      </c>
      <c r="I3419">
        <f t="shared" si="708"/>
        <v>0</v>
      </c>
      <c r="J3419">
        <f t="shared" si="709"/>
        <v>0</v>
      </c>
      <c r="K3419" s="4" t="e">
        <f t="shared" si="697"/>
        <v>#N/A</v>
      </c>
      <c r="L3419" t="e">
        <f t="shared" si="698"/>
        <v>#N/A</v>
      </c>
      <c r="M3419" s="4" t="e">
        <f t="shared" si="699"/>
        <v>#N/A</v>
      </c>
      <c r="N3419" s="4" t="e">
        <f t="shared" si="700"/>
        <v>#N/A</v>
      </c>
    </row>
    <row r="3420" spans="1:14">
      <c r="A3420">
        <f t="shared" si="701"/>
        <v>0</v>
      </c>
      <c r="B3420">
        <f t="shared" si="702"/>
        <v>0</v>
      </c>
      <c r="C3420">
        <f t="shared" si="703"/>
        <v>0</v>
      </c>
      <c r="D3420">
        <f t="shared" si="704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5"/>
        <v>0</v>
      </c>
      <c r="G3420">
        <f t="shared" si="706"/>
        <v>0</v>
      </c>
      <c r="H3420">
        <f t="shared" si="707"/>
        <v>0</v>
      </c>
      <c r="I3420">
        <f t="shared" si="708"/>
        <v>0</v>
      </c>
      <c r="J3420">
        <f t="shared" si="709"/>
        <v>0</v>
      </c>
      <c r="K3420" s="4" t="e">
        <f t="shared" si="697"/>
        <v>#N/A</v>
      </c>
      <c r="L3420" t="e">
        <f t="shared" si="698"/>
        <v>#N/A</v>
      </c>
      <c r="M3420" s="4" t="e">
        <f t="shared" si="699"/>
        <v>#N/A</v>
      </c>
      <c r="N3420" s="4" t="e">
        <f t="shared" si="700"/>
        <v>#N/A</v>
      </c>
    </row>
    <row r="3421" spans="1:14">
      <c r="A3421">
        <f t="shared" si="701"/>
        <v>0</v>
      </c>
      <c r="B3421">
        <f t="shared" si="702"/>
        <v>0</v>
      </c>
      <c r="C3421">
        <f t="shared" si="703"/>
        <v>0</v>
      </c>
      <c r="D3421">
        <f t="shared" si="704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5"/>
        <v>0</v>
      </c>
      <c r="G3421">
        <f t="shared" si="706"/>
        <v>0</v>
      </c>
      <c r="H3421">
        <f t="shared" si="707"/>
        <v>0</v>
      </c>
      <c r="I3421">
        <f t="shared" si="708"/>
        <v>0</v>
      </c>
      <c r="J3421">
        <f t="shared" si="709"/>
        <v>0</v>
      </c>
      <c r="K3421" s="4" t="e">
        <f t="shared" si="697"/>
        <v>#N/A</v>
      </c>
      <c r="L3421" t="e">
        <f t="shared" si="698"/>
        <v>#N/A</v>
      </c>
      <c r="M3421" s="4" t="e">
        <f t="shared" si="699"/>
        <v>#N/A</v>
      </c>
      <c r="N3421" s="4" t="e">
        <f t="shared" si="700"/>
        <v>#N/A</v>
      </c>
    </row>
    <row r="3422" spans="1:14">
      <c r="A3422">
        <f t="shared" si="701"/>
        <v>0</v>
      </c>
      <c r="B3422">
        <f t="shared" si="702"/>
        <v>0</v>
      </c>
      <c r="C3422">
        <f t="shared" si="703"/>
        <v>0</v>
      </c>
      <c r="D3422">
        <f t="shared" si="704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5"/>
        <v>0</v>
      </c>
      <c r="G3422">
        <f t="shared" si="706"/>
        <v>0</v>
      </c>
      <c r="H3422">
        <f t="shared" si="707"/>
        <v>0</v>
      </c>
      <c r="I3422">
        <f t="shared" si="708"/>
        <v>0</v>
      </c>
      <c r="J3422">
        <f t="shared" si="709"/>
        <v>0</v>
      </c>
      <c r="K3422" s="4" t="e">
        <f t="shared" si="697"/>
        <v>#N/A</v>
      </c>
      <c r="L3422" t="e">
        <f t="shared" si="698"/>
        <v>#N/A</v>
      </c>
      <c r="M3422" s="4" t="e">
        <f t="shared" si="699"/>
        <v>#N/A</v>
      </c>
      <c r="N3422" s="4" t="e">
        <f t="shared" si="700"/>
        <v>#N/A</v>
      </c>
    </row>
    <row r="3423" spans="1:14">
      <c r="A3423">
        <f t="shared" si="701"/>
        <v>0</v>
      </c>
      <c r="B3423">
        <f t="shared" si="702"/>
        <v>0</v>
      </c>
      <c r="C3423">
        <f t="shared" si="703"/>
        <v>0</v>
      </c>
      <c r="D3423">
        <f t="shared" si="704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5"/>
        <v>0</v>
      </c>
      <c r="G3423">
        <f t="shared" si="706"/>
        <v>0</v>
      </c>
      <c r="H3423">
        <f t="shared" si="707"/>
        <v>0</v>
      </c>
      <c r="I3423">
        <f t="shared" si="708"/>
        <v>0</v>
      </c>
      <c r="J3423">
        <f t="shared" si="709"/>
        <v>0</v>
      </c>
      <c r="K3423" s="4" t="e">
        <f t="shared" si="697"/>
        <v>#N/A</v>
      </c>
      <c r="L3423" t="e">
        <f t="shared" si="698"/>
        <v>#N/A</v>
      </c>
      <c r="M3423" s="4" t="e">
        <f t="shared" si="699"/>
        <v>#N/A</v>
      </c>
      <c r="N3423" s="4" t="e">
        <f t="shared" si="700"/>
        <v>#N/A</v>
      </c>
    </row>
    <row r="3424" spans="1:14">
      <c r="A3424">
        <f t="shared" si="701"/>
        <v>0</v>
      </c>
      <c r="B3424">
        <f t="shared" si="702"/>
        <v>0</v>
      </c>
      <c r="C3424">
        <f t="shared" si="703"/>
        <v>0</v>
      </c>
      <c r="D3424">
        <f t="shared" si="704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5"/>
        <v>0</v>
      </c>
      <c r="G3424">
        <f t="shared" si="706"/>
        <v>0</v>
      </c>
      <c r="H3424">
        <f t="shared" si="707"/>
        <v>0</v>
      </c>
      <c r="I3424">
        <f t="shared" si="708"/>
        <v>0</v>
      </c>
      <c r="J3424">
        <f t="shared" si="709"/>
        <v>0</v>
      </c>
      <c r="K3424" s="4" t="e">
        <f t="shared" si="697"/>
        <v>#N/A</v>
      </c>
      <c r="L3424" t="e">
        <f t="shared" si="698"/>
        <v>#N/A</v>
      </c>
      <c r="M3424" s="4" t="e">
        <f t="shared" si="699"/>
        <v>#N/A</v>
      </c>
      <c r="N3424" s="4" t="e">
        <f t="shared" si="700"/>
        <v>#N/A</v>
      </c>
    </row>
    <row r="3425" spans="1:14">
      <c r="A3425">
        <f t="shared" si="701"/>
        <v>0</v>
      </c>
      <c r="B3425">
        <f t="shared" si="702"/>
        <v>0</v>
      </c>
      <c r="C3425">
        <f t="shared" si="703"/>
        <v>0</v>
      </c>
      <c r="D3425">
        <f t="shared" si="704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5"/>
        <v>0</v>
      </c>
      <c r="G3425">
        <f t="shared" si="706"/>
        <v>0</v>
      </c>
      <c r="H3425">
        <f t="shared" si="707"/>
        <v>0</v>
      </c>
      <c r="I3425">
        <f t="shared" si="708"/>
        <v>0</v>
      </c>
      <c r="J3425">
        <f t="shared" si="709"/>
        <v>0</v>
      </c>
      <c r="K3425" s="4" t="e">
        <f t="shared" si="697"/>
        <v>#N/A</v>
      </c>
      <c r="L3425" t="e">
        <f t="shared" si="698"/>
        <v>#N/A</v>
      </c>
      <c r="M3425" s="4" t="e">
        <f t="shared" si="699"/>
        <v>#N/A</v>
      </c>
      <c r="N3425" s="4" t="e">
        <f t="shared" si="700"/>
        <v>#N/A</v>
      </c>
    </row>
    <row r="3426" spans="1:14">
      <c r="A3426">
        <f t="shared" si="701"/>
        <v>0</v>
      </c>
      <c r="B3426">
        <f t="shared" si="702"/>
        <v>0</v>
      </c>
      <c r="C3426">
        <f t="shared" si="703"/>
        <v>0</v>
      </c>
      <c r="D3426">
        <f t="shared" si="704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5"/>
        <v>0</v>
      </c>
      <c r="G3426">
        <f t="shared" si="706"/>
        <v>0</v>
      </c>
      <c r="H3426">
        <f t="shared" si="707"/>
        <v>0</v>
      </c>
      <c r="I3426">
        <f t="shared" si="708"/>
        <v>0</v>
      </c>
      <c r="J3426">
        <f t="shared" si="709"/>
        <v>0</v>
      </c>
      <c r="K3426" s="4" t="e">
        <f t="shared" si="697"/>
        <v>#N/A</v>
      </c>
      <c r="L3426" t="e">
        <f t="shared" si="698"/>
        <v>#N/A</v>
      </c>
      <c r="M3426" s="4" t="e">
        <f t="shared" si="699"/>
        <v>#N/A</v>
      </c>
      <c r="N3426" s="4" t="e">
        <f t="shared" si="700"/>
        <v>#N/A</v>
      </c>
    </row>
    <row r="3427" spans="1:14">
      <c r="A3427">
        <f t="shared" si="701"/>
        <v>0</v>
      </c>
      <c r="B3427">
        <f t="shared" si="702"/>
        <v>0</v>
      </c>
      <c r="C3427">
        <f t="shared" si="703"/>
        <v>0</v>
      </c>
      <c r="D3427">
        <f t="shared" si="704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5"/>
        <v>0</v>
      </c>
      <c r="G3427">
        <f t="shared" si="706"/>
        <v>0</v>
      </c>
      <c r="H3427">
        <f t="shared" si="707"/>
        <v>0</v>
      </c>
      <c r="I3427">
        <f t="shared" si="708"/>
        <v>0</v>
      </c>
      <c r="J3427">
        <f t="shared" si="709"/>
        <v>0</v>
      </c>
      <c r="K3427" s="4" t="e">
        <f t="shared" si="697"/>
        <v>#N/A</v>
      </c>
      <c r="L3427" t="e">
        <f t="shared" si="698"/>
        <v>#N/A</v>
      </c>
      <c r="M3427" s="4" t="e">
        <f t="shared" si="699"/>
        <v>#N/A</v>
      </c>
      <c r="N3427" s="4" t="e">
        <f t="shared" si="700"/>
        <v>#N/A</v>
      </c>
    </row>
    <row r="3428" spans="1:14">
      <c r="A3428">
        <f t="shared" si="701"/>
        <v>0</v>
      </c>
      <c r="B3428">
        <f t="shared" si="702"/>
        <v>0</v>
      </c>
      <c r="C3428">
        <f t="shared" si="703"/>
        <v>0</v>
      </c>
      <c r="D3428">
        <f t="shared" si="704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5"/>
        <v>0</v>
      </c>
      <c r="G3428">
        <f t="shared" si="706"/>
        <v>0</v>
      </c>
      <c r="H3428">
        <f t="shared" si="707"/>
        <v>0</v>
      </c>
      <c r="I3428">
        <f t="shared" si="708"/>
        <v>0</v>
      </c>
      <c r="J3428">
        <f t="shared" si="709"/>
        <v>0</v>
      </c>
      <c r="K3428" s="4" t="e">
        <f t="shared" si="697"/>
        <v>#N/A</v>
      </c>
      <c r="L3428" t="e">
        <f t="shared" si="698"/>
        <v>#N/A</v>
      </c>
      <c r="M3428" s="4" t="e">
        <f t="shared" si="699"/>
        <v>#N/A</v>
      </c>
      <c r="N3428" s="4" t="e">
        <f t="shared" si="700"/>
        <v>#N/A</v>
      </c>
    </row>
    <row r="3429" spans="1:14">
      <c r="A3429">
        <f t="shared" si="701"/>
        <v>0</v>
      </c>
      <c r="B3429">
        <f t="shared" si="702"/>
        <v>0</v>
      </c>
      <c r="C3429">
        <f t="shared" si="703"/>
        <v>0</v>
      </c>
      <c r="D3429">
        <f t="shared" si="704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5"/>
        <v>0</v>
      </c>
      <c r="G3429">
        <f t="shared" si="706"/>
        <v>0</v>
      </c>
      <c r="H3429">
        <f t="shared" si="707"/>
        <v>0</v>
      </c>
      <c r="I3429">
        <f t="shared" si="708"/>
        <v>0</v>
      </c>
      <c r="J3429">
        <f t="shared" si="709"/>
        <v>0</v>
      </c>
      <c r="K3429" s="4" t="e">
        <f t="shared" si="697"/>
        <v>#N/A</v>
      </c>
      <c r="L3429" t="e">
        <f t="shared" si="698"/>
        <v>#N/A</v>
      </c>
      <c r="M3429" s="4" t="e">
        <f t="shared" si="699"/>
        <v>#N/A</v>
      </c>
      <c r="N3429" s="4" t="e">
        <f t="shared" si="700"/>
        <v>#N/A</v>
      </c>
    </row>
    <row r="3430" spans="1:14">
      <c r="A3430">
        <f t="shared" si="701"/>
        <v>0</v>
      </c>
      <c r="B3430">
        <f t="shared" si="702"/>
        <v>0</v>
      </c>
      <c r="C3430">
        <f t="shared" si="703"/>
        <v>0</v>
      </c>
      <c r="D3430">
        <f t="shared" si="704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5"/>
        <v>0</v>
      </c>
      <c r="G3430">
        <f t="shared" si="706"/>
        <v>0</v>
      </c>
      <c r="H3430">
        <f t="shared" si="707"/>
        <v>0</v>
      </c>
      <c r="I3430">
        <f t="shared" si="708"/>
        <v>0</v>
      </c>
      <c r="J3430">
        <f t="shared" si="709"/>
        <v>0</v>
      </c>
      <c r="K3430" s="4" t="e">
        <f t="shared" si="697"/>
        <v>#N/A</v>
      </c>
      <c r="L3430" t="e">
        <f t="shared" si="698"/>
        <v>#N/A</v>
      </c>
      <c r="M3430" s="4" t="e">
        <f t="shared" si="699"/>
        <v>#N/A</v>
      </c>
      <c r="N3430" s="4" t="e">
        <f t="shared" si="700"/>
        <v>#N/A</v>
      </c>
    </row>
    <row r="3431" spans="1:14">
      <c r="A3431">
        <f t="shared" si="701"/>
        <v>0</v>
      </c>
      <c r="B3431">
        <f t="shared" si="702"/>
        <v>0</v>
      </c>
      <c r="C3431">
        <f t="shared" si="703"/>
        <v>0</v>
      </c>
      <c r="D3431">
        <f t="shared" si="704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5"/>
        <v>0</v>
      </c>
      <c r="G3431">
        <f t="shared" si="706"/>
        <v>0</v>
      </c>
      <c r="H3431">
        <f t="shared" si="707"/>
        <v>0</v>
      </c>
      <c r="I3431">
        <f t="shared" si="708"/>
        <v>0</v>
      </c>
      <c r="J3431">
        <f t="shared" si="709"/>
        <v>0</v>
      </c>
      <c r="K3431" s="4" t="e">
        <f t="shared" si="697"/>
        <v>#N/A</v>
      </c>
      <c r="L3431" t="e">
        <f t="shared" si="698"/>
        <v>#N/A</v>
      </c>
      <c r="M3431" s="4" t="e">
        <f t="shared" si="699"/>
        <v>#N/A</v>
      </c>
      <c r="N3431" s="4" t="e">
        <f t="shared" si="700"/>
        <v>#N/A</v>
      </c>
    </row>
    <row r="3432" spans="1:14">
      <c r="A3432">
        <f t="shared" si="701"/>
        <v>0</v>
      </c>
      <c r="B3432">
        <f t="shared" si="702"/>
        <v>0</v>
      </c>
      <c r="C3432">
        <f t="shared" si="703"/>
        <v>0</v>
      </c>
      <c r="D3432">
        <f t="shared" si="704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5"/>
        <v>0</v>
      </c>
      <c r="G3432">
        <f t="shared" si="706"/>
        <v>0</v>
      </c>
      <c r="H3432">
        <f t="shared" si="707"/>
        <v>0</v>
      </c>
      <c r="I3432">
        <f t="shared" si="708"/>
        <v>0</v>
      </c>
      <c r="J3432">
        <f t="shared" si="709"/>
        <v>0</v>
      </c>
      <c r="K3432" s="4" t="e">
        <f t="shared" si="697"/>
        <v>#N/A</v>
      </c>
      <c r="L3432" t="e">
        <f t="shared" si="698"/>
        <v>#N/A</v>
      </c>
      <c r="M3432" s="4" t="e">
        <f t="shared" si="699"/>
        <v>#N/A</v>
      </c>
      <c r="N3432" s="4" t="e">
        <f t="shared" si="700"/>
        <v>#N/A</v>
      </c>
    </row>
    <row r="3433" spans="1:14">
      <c r="A3433">
        <f t="shared" si="701"/>
        <v>0</v>
      </c>
      <c r="B3433">
        <f t="shared" si="702"/>
        <v>0</v>
      </c>
      <c r="C3433">
        <f t="shared" si="703"/>
        <v>0</v>
      </c>
      <c r="D3433">
        <f t="shared" si="704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5"/>
        <v>0</v>
      </c>
      <c r="G3433">
        <f t="shared" si="706"/>
        <v>0</v>
      </c>
      <c r="H3433">
        <f t="shared" si="707"/>
        <v>0</v>
      </c>
      <c r="I3433">
        <f t="shared" si="708"/>
        <v>0</v>
      </c>
      <c r="J3433">
        <f t="shared" si="709"/>
        <v>0</v>
      </c>
      <c r="K3433" s="4" t="e">
        <f t="shared" si="697"/>
        <v>#N/A</v>
      </c>
      <c r="L3433" t="e">
        <f t="shared" si="698"/>
        <v>#N/A</v>
      </c>
      <c r="M3433" s="4" t="e">
        <f t="shared" si="699"/>
        <v>#N/A</v>
      </c>
      <c r="N3433" s="4" t="e">
        <f t="shared" si="700"/>
        <v>#N/A</v>
      </c>
    </row>
    <row r="3434" spans="1:14">
      <c r="A3434">
        <f t="shared" si="701"/>
        <v>0</v>
      </c>
      <c r="B3434">
        <f t="shared" si="702"/>
        <v>0</v>
      </c>
      <c r="C3434">
        <f t="shared" si="703"/>
        <v>0</v>
      </c>
      <c r="D3434">
        <f t="shared" si="704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5"/>
        <v>0</v>
      </c>
      <c r="G3434">
        <f t="shared" si="706"/>
        <v>0</v>
      </c>
      <c r="H3434">
        <f t="shared" si="707"/>
        <v>0</v>
      </c>
      <c r="I3434">
        <f t="shared" si="708"/>
        <v>0</v>
      </c>
      <c r="J3434">
        <f t="shared" si="709"/>
        <v>0</v>
      </c>
      <c r="K3434" s="4" t="e">
        <f t="shared" si="697"/>
        <v>#N/A</v>
      </c>
      <c r="L3434" t="e">
        <f t="shared" si="698"/>
        <v>#N/A</v>
      </c>
      <c r="M3434" s="4" t="e">
        <f t="shared" si="699"/>
        <v>#N/A</v>
      </c>
      <c r="N3434" s="4" t="e">
        <f t="shared" si="700"/>
        <v>#N/A</v>
      </c>
    </row>
    <row r="3435" spans="1:14">
      <c r="A3435">
        <f t="shared" si="701"/>
        <v>0</v>
      </c>
      <c r="B3435">
        <f t="shared" si="702"/>
        <v>0</v>
      </c>
      <c r="C3435">
        <f t="shared" si="703"/>
        <v>0</v>
      </c>
      <c r="D3435">
        <f t="shared" si="704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5"/>
        <v>0</v>
      </c>
      <c r="G3435">
        <f t="shared" si="706"/>
        <v>0</v>
      </c>
      <c r="H3435">
        <f t="shared" si="707"/>
        <v>0</v>
      </c>
      <c r="I3435">
        <f t="shared" si="708"/>
        <v>0</v>
      </c>
      <c r="J3435">
        <f t="shared" si="709"/>
        <v>0</v>
      </c>
      <c r="K3435" s="4" t="e">
        <f t="shared" si="697"/>
        <v>#N/A</v>
      </c>
      <c r="L3435" t="e">
        <f t="shared" si="698"/>
        <v>#N/A</v>
      </c>
      <c r="M3435" s="4" t="e">
        <f t="shared" si="699"/>
        <v>#N/A</v>
      </c>
      <c r="N3435" s="4" t="e">
        <f t="shared" si="700"/>
        <v>#N/A</v>
      </c>
    </row>
    <row r="3436" spans="1:14">
      <c r="A3436">
        <f t="shared" si="701"/>
        <v>0</v>
      </c>
      <c r="B3436">
        <f t="shared" si="702"/>
        <v>0</v>
      </c>
      <c r="C3436">
        <f t="shared" si="703"/>
        <v>0</v>
      </c>
      <c r="D3436">
        <f t="shared" si="704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5"/>
        <v>0</v>
      </c>
      <c r="G3436">
        <f t="shared" si="706"/>
        <v>0</v>
      </c>
      <c r="H3436">
        <f t="shared" si="707"/>
        <v>0</v>
      </c>
      <c r="I3436">
        <f t="shared" si="708"/>
        <v>0</v>
      </c>
      <c r="J3436">
        <f t="shared" si="709"/>
        <v>0</v>
      </c>
      <c r="K3436" s="4" t="e">
        <f t="shared" si="697"/>
        <v>#N/A</v>
      </c>
      <c r="L3436" t="e">
        <f t="shared" si="698"/>
        <v>#N/A</v>
      </c>
      <c r="M3436" s="4" t="e">
        <f t="shared" si="699"/>
        <v>#N/A</v>
      </c>
      <c r="N3436" s="4" t="e">
        <f t="shared" si="700"/>
        <v>#N/A</v>
      </c>
    </row>
    <row r="3437" spans="1:14">
      <c r="A3437">
        <f t="shared" si="701"/>
        <v>0</v>
      </c>
      <c r="B3437">
        <f t="shared" si="702"/>
        <v>0</v>
      </c>
      <c r="C3437">
        <f t="shared" si="703"/>
        <v>0</v>
      </c>
      <c r="D3437">
        <f t="shared" si="704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5"/>
        <v>0</v>
      </c>
      <c r="G3437">
        <f t="shared" si="706"/>
        <v>0</v>
      </c>
      <c r="H3437">
        <f t="shared" si="707"/>
        <v>0</v>
      </c>
      <c r="I3437">
        <f t="shared" si="708"/>
        <v>0</v>
      </c>
      <c r="J3437">
        <f t="shared" si="709"/>
        <v>0</v>
      </c>
      <c r="K3437" s="4" t="e">
        <f t="shared" si="697"/>
        <v>#N/A</v>
      </c>
      <c r="L3437" t="e">
        <f t="shared" si="698"/>
        <v>#N/A</v>
      </c>
      <c r="M3437" s="4" t="e">
        <f t="shared" si="699"/>
        <v>#N/A</v>
      </c>
      <c r="N3437" s="4" t="e">
        <f t="shared" si="700"/>
        <v>#N/A</v>
      </c>
    </row>
    <row r="3438" spans="1:14">
      <c r="A3438">
        <f t="shared" si="701"/>
        <v>0</v>
      </c>
      <c r="B3438">
        <f t="shared" si="702"/>
        <v>0</v>
      </c>
      <c r="C3438">
        <f t="shared" si="703"/>
        <v>0</v>
      </c>
      <c r="D3438">
        <f t="shared" si="704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5"/>
        <v>0</v>
      </c>
      <c r="G3438">
        <f t="shared" si="706"/>
        <v>0</v>
      </c>
      <c r="H3438">
        <f t="shared" si="707"/>
        <v>0</v>
      </c>
      <c r="I3438">
        <f t="shared" si="708"/>
        <v>0</v>
      </c>
      <c r="J3438">
        <f t="shared" si="709"/>
        <v>0</v>
      </c>
      <c r="K3438" s="4" t="e">
        <f t="shared" si="697"/>
        <v>#N/A</v>
      </c>
      <c r="L3438" t="e">
        <f t="shared" si="698"/>
        <v>#N/A</v>
      </c>
      <c r="M3438" s="4" t="e">
        <f t="shared" si="699"/>
        <v>#N/A</v>
      </c>
      <c r="N3438" s="4" t="e">
        <f t="shared" si="700"/>
        <v>#N/A</v>
      </c>
    </row>
    <row r="3439" spans="1:14">
      <c r="A3439">
        <f t="shared" si="701"/>
        <v>0</v>
      </c>
      <c r="B3439">
        <f t="shared" si="702"/>
        <v>0</v>
      </c>
      <c r="C3439">
        <f t="shared" si="703"/>
        <v>0</v>
      </c>
      <c r="D3439">
        <f t="shared" si="704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5"/>
        <v>0</v>
      </c>
      <c r="G3439">
        <f t="shared" si="706"/>
        <v>0</v>
      </c>
      <c r="H3439">
        <f t="shared" si="707"/>
        <v>0</v>
      </c>
      <c r="I3439">
        <f t="shared" si="708"/>
        <v>0</v>
      </c>
      <c r="J3439">
        <f t="shared" si="709"/>
        <v>0</v>
      </c>
      <c r="K3439" s="4" t="e">
        <f t="shared" si="697"/>
        <v>#N/A</v>
      </c>
      <c r="L3439" t="e">
        <f t="shared" si="698"/>
        <v>#N/A</v>
      </c>
      <c r="M3439" s="4" t="e">
        <f t="shared" si="699"/>
        <v>#N/A</v>
      </c>
      <c r="N3439" s="4" t="e">
        <f t="shared" si="700"/>
        <v>#N/A</v>
      </c>
    </row>
    <row r="3440" spans="1:14">
      <c r="A3440">
        <f t="shared" si="701"/>
        <v>0</v>
      </c>
      <c r="B3440">
        <f t="shared" si="702"/>
        <v>0</v>
      </c>
      <c r="C3440">
        <f t="shared" si="703"/>
        <v>0</v>
      </c>
      <c r="D3440">
        <f t="shared" si="704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5"/>
        <v>0</v>
      </c>
      <c r="G3440">
        <f t="shared" si="706"/>
        <v>0</v>
      </c>
      <c r="H3440">
        <f t="shared" si="707"/>
        <v>0</v>
      </c>
      <c r="I3440">
        <f t="shared" si="708"/>
        <v>0</v>
      </c>
      <c r="J3440">
        <f t="shared" si="709"/>
        <v>0</v>
      </c>
      <c r="K3440" s="4" t="e">
        <f t="shared" si="697"/>
        <v>#N/A</v>
      </c>
      <c r="L3440" t="e">
        <f t="shared" si="698"/>
        <v>#N/A</v>
      </c>
      <c r="M3440" s="4" t="e">
        <f t="shared" si="699"/>
        <v>#N/A</v>
      </c>
      <c r="N3440" s="4" t="e">
        <f t="shared" si="700"/>
        <v>#N/A</v>
      </c>
    </row>
    <row r="3441" spans="1:14">
      <c r="A3441">
        <f t="shared" si="701"/>
        <v>0</v>
      </c>
      <c r="B3441">
        <f t="shared" si="702"/>
        <v>0</v>
      </c>
      <c r="C3441">
        <f t="shared" si="703"/>
        <v>0</v>
      </c>
      <c r="D3441">
        <f t="shared" si="704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5"/>
        <v>0</v>
      </c>
      <c r="G3441">
        <f t="shared" si="706"/>
        <v>0</v>
      </c>
      <c r="H3441">
        <f t="shared" si="707"/>
        <v>0</v>
      </c>
      <c r="I3441">
        <f t="shared" si="708"/>
        <v>0</v>
      </c>
      <c r="J3441">
        <f t="shared" si="709"/>
        <v>0</v>
      </c>
      <c r="K3441" s="4" t="e">
        <f t="shared" si="697"/>
        <v>#N/A</v>
      </c>
      <c r="L3441" t="e">
        <f t="shared" si="698"/>
        <v>#N/A</v>
      </c>
      <c r="M3441" s="4" t="e">
        <f t="shared" si="699"/>
        <v>#N/A</v>
      </c>
      <c r="N3441" s="4" t="e">
        <f t="shared" si="700"/>
        <v>#N/A</v>
      </c>
    </row>
    <row r="3442" spans="1:14">
      <c r="A3442">
        <f t="shared" si="701"/>
        <v>0</v>
      </c>
      <c r="B3442">
        <f t="shared" si="702"/>
        <v>0</v>
      </c>
      <c r="C3442">
        <f t="shared" si="703"/>
        <v>0</v>
      </c>
      <c r="D3442">
        <f t="shared" si="704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5"/>
        <v>0</v>
      </c>
      <c r="G3442">
        <f t="shared" si="706"/>
        <v>0</v>
      </c>
      <c r="H3442">
        <f t="shared" si="707"/>
        <v>0</v>
      </c>
      <c r="I3442">
        <f t="shared" si="708"/>
        <v>0</v>
      </c>
      <c r="J3442">
        <f t="shared" si="709"/>
        <v>0</v>
      </c>
      <c r="K3442" s="4" t="e">
        <f t="shared" si="697"/>
        <v>#N/A</v>
      </c>
      <c r="L3442" t="e">
        <f t="shared" si="698"/>
        <v>#N/A</v>
      </c>
      <c r="M3442" s="4" t="e">
        <f t="shared" si="699"/>
        <v>#N/A</v>
      </c>
      <c r="N3442" s="4" t="e">
        <f t="shared" si="700"/>
        <v>#N/A</v>
      </c>
    </row>
    <row r="3443" spans="1:14">
      <c r="A3443">
        <f t="shared" si="701"/>
        <v>0</v>
      </c>
      <c r="B3443">
        <f t="shared" si="702"/>
        <v>0</v>
      </c>
      <c r="C3443">
        <f t="shared" si="703"/>
        <v>0</v>
      </c>
      <c r="D3443">
        <f t="shared" si="704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5"/>
        <v>0</v>
      </c>
      <c r="G3443">
        <f t="shared" si="706"/>
        <v>0</v>
      </c>
      <c r="H3443">
        <f t="shared" si="707"/>
        <v>0</v>
      </c>
      <c r="I3443">
        <f t="shared" si="708"/>
        <v>0</v>
      </c>
      <c r="J3443">
        <f t="shared" si="709"/>
        <v>0</v>
      </c>
      <c r="K3443" s="4" t="e">
        <f t="shared" si="697"/>
        <v>#N/A</v>
      </c>
      <c r="L3443" t="e">
        <f t="shared" si="698"/>
        <v>#N/A</v>
      </c>
      <c r="M3443" s="4" t="e">
        <f t="shared" si="699"/>
        <v>#N/A</v>
      </c>
      <c r="N3443" s="4" t="e">
        <f t="shared" si="700"/>
        <v>#N/A</v>
      </c>
    </row>
    <row r="3444" spans="1:14">
      <c r="A3444">
        <f t="shared" si="701"/>
        <v>0</v>
      </c>
      <c r="B3444">
        <f t="shared" si="702"/>
        <v>0</v>
      </c>
      <c r="C3444">
        <f t="shared" si="703"/>
        <v>0</v>
      </c>
      <c r="D3444">
        <f t="shared" si="704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5"/>
        <v>0</v>
      </c>
      <c r="G3444">
        <f t="shared" si="706"/>
        <v>0</v>
      </c>
      <c r="H3444">
        <f t="shared" si="707"/>
        <v>0</v>
      </c>
      <c r="I3444">
        <f t="shared" si="708"/>
        <v>0</v>
      </c>
      <c r="J3444">
        <f t="shared" si="709"/>
        <v>0</v>
      </c>
      <c r="K3444" s="4" t="e">
        <f t="shared" si="697"/>
        <v>#N/A</v>
      </c>
      <c r="L3444" t="e">
        <f t="shared" si="698"/>
        <v>#N/A</v>
      </c>
      <c r="M3444" s="4" t="e">
        <f t="shared" si="699"/>
        <v>#N/A</v>
      </c>
      <c r="N3444" s="4" t="e">
        <f t="shared" si="700"/>
        <v>#N/A</v>
      </c>
    </row>
    <row r="3445" spans="1:14">
      <c r="A3445">
        <f t="shared" si="701"/>
        <v>0</v>
      </c>
      <c r="B3445">
        <f t="shared" si="702"/>
        <v>0</v>
      </c>
      <c r="C3445">
        <f t="shared" si="703"/>
        <v>0</v>
      </c>
      <c r="D3445">
        <f t="shared" si="704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5"/>
        <v>0</v>
      </c>
      <c r="G3445">
        <f t="shared" si="706"/>
        <v>0</v>
      </c>
      <c r="H3445">
        <f t="shared" si="707"/>
        <v>0</v>
      </c>
      <c r="I3445">
        <f t="shared" si="708"/>
        <v>0</v>
      </c>
      <c r="J3445">
        <f t="shared" si="709"/>
        <v>0</v>
      </c>
      <c r="K3445" s="4" t="e">
        <f t="shared" si="697"/>
        <v>#N/A</v>
      </c>
      <c r="L3445" t="e">
        <f t="shared" si="698"/>
        <v>#N/A</v>
      </c>
      <c r="M3445" s="4" t="e">
        <f t="shared" si="699"/>
        <v>#N/A</v>
      </c>
      <c r="N3445" s="4" t="e">
        <f t="shared" si="700"/>
        <v>#N/A</v>
      </c>
    </row>
    <row r="3446" spans="1:14">
      <c r="A3446">
        <f t="shared" si="701"/>
        <v>0</v>
      </c>
      <c r="B3446">
        <f t="shared" si="702"/>
        <v>0</v>
      </c>
      <c r="C3446">
        <f t="shared" si="703"/>
        <v>0</v>
      </c>
      <c r="D3446">
        <f t="shared" si="704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5"/>
        <v>0</v>
      </c>
      <c r="G3446">
        <f t="shared" si="706"/>
        <v>0</v>
      </c>
      <c r="H3446">
        <f t="shared" si="707"/>
        <v>0</v>
      </c>
      <c r="I3446">
        <f t="shared" si="708"/>
        <v>0</v>
      </c>
      <c r="J3446">
        <f t="shared" si="709"/>
        <v>0</v>
      </c>
      <c r="K3446" s="4" t="e">
        <f t="shared" si="697"/>
        <v>#N/A</v>
      </c>
      <c r="L3446" t="e">
        <f t="shared" si="698"/>
        <v>#N/A</v>
      </c>
      <c r="M3446" s="4" t="e">
        <f t="shared" si="699"/>
        <v>#N/A</v>
      </c>
      <c r="N3446" s="4" t="e">
        <f t="shared" si="700"/>
        <v>#N/A</v>
      </c>
    </row>
    <row r="3447" spans="1:14">
      <c r="A3447">
        <f t="shared" si="701"/>
        <v>0</v>
      </c>
      <c r="B3447">
        <f t="shared" si="702"/>
        <v>0</v>
      </c>
      <c r="C3447">
        <f t="shared" si="703"/>
        <v>0</v>
      </c>
      <c r="D3447">
        <f t="shared" si="704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5"/>
        <v>0</v>
      </c>
      <c r="G3447">
        <f t="shared" si="706"/>
        <v>0</v>
      </c>
      <c r="H3447">
        <f t="shared" si="707"/>
        <v>0</v>
      </c>
      <c r="I3447">
        <f t="shared" si="708"/>
        <v>0</v>
      </c>
      <c r="J3447">
        <f t="shared" si="709"/>
        <v>0</v>
      </c>
      <c r="K3447" s="4" t="e">
        <f t="shared" si="697"/>
        <v>#N/A</v>
      </c>
      <c r="L3447" t="e">
        <f t="shared" si="698"/>
        <v>#N/A</v>
      </c>
      <c r="M3447" s="4" t="e">
        <f t="shared" si="699"/>
        <v>#N/A</v>
      </c>
      <c r="N3447" s="4" t="e">
        <f t="shared" si="700"/>
        <v>#N/A</v>
      </c>
    </row>
    <row r="3448" spans="1:14">
      <c r="A3448">
        <f t="shared" si="701"/>
        <v>0</v>
      </c>
      <c r="B3448">
        <f t="shared" si="702"/>
        <v>0</v>
      </c>
      <c r="C3448">
        <f t="shared" si="703"/>
        <v>0</v>
      </c>
      <c r="D3448">
        <f t="shared" si="704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5"/>
        <v>0</v>
      </c>
      <c r="G3448">
        <f t="shared" si="706"/>
        <v>0</v>
      </c>
      <c r="H3448">
        <f t="shared" si="707"/>
        <v>0</v>
      </c>
      <c r="I3448">
        <f t="shared" si="708"/>
        <v>0</v>
      </c>
      <c r="J3448">
        <f t="shared" si="709"/>
        <v>0</v>
      </c>
      <c r="K3448" s="4" t="e">
        <f t="shared" si="697"/>
        <v>#N/A</v>
      </c>
      <c r="L3448" t="e">
        <f t="shared" si="698"/>
        <v>#N/A</v>
      </c>
      <c r="M3448" s="4" t="e">
        <f t="shared" si="699"/>
        <v>#N/A</v>
      </c>
      <c r="N3448" s="4" t="e">
        <f t="shared" si="700"/>
        <v>#N/A</v>
      </c>
    </row>
    <row r="3449" spans="1:14">
      <c r="A3449">
        <f t="shared" si="701"/>
        <v>0</v>
      </c>
      <c r="B3449">
        <f t="shared" si="702"/>
        <v>0</v>
      </c>
      <c r="C3449">
        <f t="shared" si="703"/>
        <v>0</v>
      </c>
      <c r="D3449">
        <f t="shared" si="704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5"/>
        <v>0</v>
      </c>
      <c r="G3449">
        <f t="shared" si="706"/>
        <v>0</v>
      </c>
      <c r="H3449">
        <f t="shared" si="707"/>
        <v>0</v>
      </c>
      <c r="I3449">
        <f t="shared" si="708"/>
        <v>0</v>
      </c>
      <c r="J3449">
        <f t="shared" si="709"/>
        <v>0</v>
      </c>
      <c r="K3449" s="4" t="e">
        <f t="shared" si="697"/>
        <v>#N/A</v>
      </c>
      <c r="L3449" t="e">
        <f t="shared" si="698"/>
        <v>#N/A</v>
      </c>
      <c r="M3449" s="4" t="e">
        <f t="shared" si="699"/>
        <v>#N/A</v>
      </c>
      <c r="N3449" s="4" t="e">
        <f t="shared" si="700"/>
        <v>#N/A</v>
      </c>
    </row>
    <row r="3450" spans="1:14">
      <c r="A3450">
        <f t="shared" si="701"/>
        <v>0</v>
      </c>
      <c r="B3450">
        <f t="shared" si="702"/>
        <v>0</v>
      </c>
      <c r="C3450">
        <f t="shared" si="703"/>
        <v>0</v>
      </c>
      <c r="D3450">
        <f t="shared" si="704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5"/>
        <v>0</v>
      </c>
      <c r="G3450">
        <f t="shared" si="706"/>
        <v>0</v>
      </c>
      <c r="H3450">
        <f t="shared" si="707"/>
        <v>0</v>
      </c>
      <c r="I3450">
        <f t="shared" si="708"/>
        <v>0</v>
      </c>
      <c r="J3450">
        <f t="shared" si="709"/>
        <v>0</v>
      </c>
      <c r="K3450" s="4" t="e">
        <f t="shared" si="697"/>
        <v>#N/A</v>
      </c>
      <c r="L3450" t="e">
        <f t="shared" si="698"/>
        <v>#N/A</v>
      </c>
      <c r="M3450" s="4" t="e">
        <f t="shared" si="699"/>
        <v>#N/A</v>
      </c>
      <c r="N3450" s="4" t="e">
        <f t="shared" si="700"/>
        <v>#N/A</v>
      </c>
    </row>
    <row r="3451" spans="1:14">
      <c r="A3451">
        <f t="shared" si="701"/>
        <v>0</v>
      </c>
      <c r="B3451">
        <f t="shared" si="702"/>
        <v>0</v>
      </c>
      <c r="C3451">
        <f t="shared" si="703"/>
        <v>0</v>
      </c>
      <c r="D3451">
        <f t="shared" si="704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5"/>
        <v>0</v>
      </c>
      <c r="G3451">
        <f t="shared" si="706"/>
        <v>0</v>
      </c>
      <c r="H3451">
        <f t="shared" si="707"/>
        <v>0</v>
      </c>
      <c r="I3451">
        <f t="shared" si="708"/>
        <v>0</v>
      </c>
      <c r="J3451">
        <f t="shared" si="709"/>
        <v>0</v>
      </c>
      <c r="K3451" s="4" t="e">
        <f t="shared" si="697"/>
        <v>#N/A</v>
      </c>
      <c r="L3451" t="e">
        <f t="shared" si="698"/>
        <v>#N/A</v>
      </c>
      <c r="M3451" s="4" t="e">
        <f t="shared" si="699"/>
        <v>#N/A</v>
      </c>
      <c r="N3451" s="4" t="e">
        <f t="shared" si="700"/>
        <v>#N/A</v>
      </c>
    </row>
    <row r="3452" spans="1:14">
      <c r="A3452">
        <f t="shared" si="701"/>
        <v>0</v>
      </c>
      <c r="B3452">
        <f t="shared" si="702"/>
        <v>0</v>
      </c>
      <c r="C3452">
        <f t="shared" si="703"/>
        <v>0</v>
      </c>
      <c r="D3452">
        <f t="shared" si="704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5"/>
        <v>0</v>
      </c>
      <c r="G3452">
        <f t="shared" si="706"/>
        <v>0</v>
      </c>
      <c r="H3452">
        <f t="shared" si="707"/>
        <v>0</v>
      </c>
      <c r="I3452">
        <f t="shared" si="708"/>
        <v>0</v>
      </c>
      <c r="J3452">
        <f t="shared" si="709"/>
        <v>0</v>
      </c>
      <c r="K3452" s="4" t="e">
        <f t="shared" si="697"/>
        <v>#N/A</v>
      </c>
      <c r="L3452" t="e">
        <f t="shared" si="698"/>
        <v>#N/A</v>
      </c>
      <c r="M3452" s="4" t="e">
        <f t="shared" si="699"/>
        <v>#N/A</v>
      </c>
      <c r="N3452" s="4" t="e">
        <f t="shared" si="700"/>
        <v>#N/A</v>
      </c>
    </row>
    <row r="3453" spans="1:14">
      <c r="A3453">
        <f t="shared" si="701"/>
        <v>0</v>
      </c>
      <c r="B3453">
        <f t="shared" si="702"/>
        <v>0</v>
      </c>
      <c r="C3453">
        <f t="shared" si="703"/>
        <v>0</v>
      </c>
      <c r="D3453">
        <f t="shared" si="704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5"/>
        <v>0</v>
      </c>
      <c r="G3453">
        <f t="shared" si="706"/>
        <v>0</v>
      </c>
      <c r="H3453">
        <f t="shared" si="707"/>
        <v>0</v>
      </c>
      <c r="I3453">
        <f t="shared" si="708"/>
        <v>0</v>
      </c>
      <c r="J3453">
        <f t="shared" si="709"/>
        <v>0</v>
      </c>
      <c r="K3453" s="4" t="e">
        <f t="shared" ref="K3453:K3516" si="710">IF(LEFT(B3453,3)="DBM",0,VLOOKUP(E3453,tabela,2,FALSE))</f>
        <v>#N/A</v>
      </c>
      <c r="L3453" t="e">
        <f t="shared" ref="L3453:L3516" si="711">VLOOKUP(E3453,tabela,3,FALSE)</f>
        <v>#N/A</v>
      </c>
      <c r="M3453" s="4" t="e">
        <f t="shared" ref="M3453:M3516" si="712">IF(E3453="Dynamic Click",J3453*K3453,K3453*$I3453/1000)</f>
        <v>#N/A</v>
      </c>
      <c r="N3453" s="4" t="e">
        <f t="shared" ref="N3453:N3516" si="713">IF(E3453="Dynamic Click",J3453*L3453,L3453*$I3453/1000)</f>
        <v>#N/A</v>
      </c>
    </row>
    <row r="3454" spans="1:14">
      <c r="A3454">
        <f t="shared" si="701"/>
        <v>0</v>
      </c>
      <c r="B3454">
        <f t="shared" si="702"/>
        <v>0</v>
      </c>
      <c r="C3454">
        <f t="shared" si="703"/>
        <v>0</v>
      </c>
      <c r="D3454">
        <f t="shared" si="704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5"/>
        <v>0</v>
      </c>
      <c r="G3454">
        <f t="shared" si="706"/>
        <v>0</v>
      </c>
      <c r="H3454">
        <f t="shared" si="707"/>
        <v>0</v>
      </c>
      <c r="I3454">
        <f t="shared" si="708"/>
        <v>0</v>
      </c>
      <c r="J3454">
        <f t="shared" si="709"/>
        <v>0</v>
      </c>
      <c r="K3454" s="4" t="e">
        <f t="shared" si="710"/>
        <v>#N/A</v>
      </c>
      <c r="L3454" t="e">
        <f t="shared" si="711"/>
        <v>#N/A</v>
      </c>
      <c r="M3454" s="4" t="e">
        <f t="shared" si="712"/>
        <v>#N/A</v>
      </c>
      <c r="N3454" s="4" t="e">
        <f t="shared" si="713"/>
        <v>#N/A</v>
      </c>
    </row>
    <row r="3455" spans="1:14">
      <c r="A3455">
        <f t="shared" si="701"/>
        <v>0</v>
      </c>
      <c r="B3455">
        <f t="shared" si="702"/>
        <v>0</v>
      </c>
      <c r="C3455">
        <f t="shared" si="703"/>
        <v>0</v>
      </c>
      <c r="D3455">
        <f t="shared" si="704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5"/>
        <v>0</v>
      </c>
      <c r="G3455">
        <f t="shared" si="706"/>
        <v>0</v>
      </c>
      <c r="H3455">
        <f t="shared" si="707"/>
        <v>0</v>
      </c>
      <c r="I3455">
        <f t="shared" si="708"/>
        <v>0</v>
      </c>
      <c r="J3455">
        <f t="shared" si="709"/>
        <v>0</v>
      </c>
      <c r="K3455" s="4" t="e">
        <f t="shared" si="710"/>
        <v>#N/A</v>
      </c>
      <c r="L3455" t="e">
        <f t="shared" si="711"/>
        <v>#N/A</v>
      </c>
      <c r="M3455" s="4" t="e">
        <f t="shared" si="712"/>
        <v>#N/A</v>
      </c>
      <c r="N3455" s="4" t="e">
        <f t="shared" si="713"/>
        <v>#N/A</v>
      </c>
    </row>
    <row r="3456" spans="1:14">
      <c r="A3456">
        <f t="shared" si="701"/>
        <v>0</v>
      </c>
      <c r="B3456">
        <f t="shared" si="702"/>
        <v>0</v>
      </c>
      <c r="C3456">
        <f t="shared" si="703"/>
        <v>0</v>
      </c>
      <c r="D3456">
        <f t="shared" si="704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5"/>
        <v>0</v>
      </c>
      <c r="G3456">
        <f t="shared" si="706"/>
        <v>0</v>
      </c>
      <c r="H3456">
        <f t="shared" si="707"/>
        <v>0</v>
      </c>
      <c r="I3456">
        <f t="shared" si="708"/>
        <v>0</v>
      </c>
      <c r="J3456">
        <f t="shared" si="709"/>
        <v>0</v>
      </c>
      <c r="K3456" s="4" t="e">
        <f t="shared" si="710"/>
        <v>#N/A</v>
      </c>
      <c r="L3456" t="e">
        <f t="shared" si="711"/>
        <v>#N/A</v>
      </c>
      <c r="M3456" s="4" t="e">
        <f t="shared" si="712"/>
        <v>#N/A</v>
      </c>
      <c r="N3456" s="4" t="e">
        <f t="shared" si="713"/>
        <v>#N/A</v>
      </c>
    </row>
    <row r="3457" spans="1:14">
      <c r="A3457">
        <f t="shared" si="701"/>
        <v>0</v>
      </c>
      <c r="B3457">
        <f t="shared" si="702"/>
        <v>0</v>
      </c>
      <c r="C3457">
        <f t="shared" si="703"/>
        <v>0</v>
      </c>
      <c r="D3457">
        <f t="shared" si="704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5"/>
        <v>0</v>
      </c>
      <c r="G3457">
        <f t="shared" si="706"/>
        <v>0</v>
      </c>
      <c r="H3457">
        <f t="shared" si="707"/>
        <v>0</v>
      </c>
      <c r="I3457">
        <f t="shared" si="708"/>
        <v>0</v>
      </c>
      <c r="J3457">
        <f t="shared" si="709"/>
        <v>0</v>
      </c>
      <c r="K3457" s="4" t="e">
        <f t="shared" si="710"/>
        <v>#N/A</v>
      </c>
      <c r="L3457" t="e">
        <f t="shared" si="711"/>
        <v>#N/A</v>
      </c>
      <c r="M3457" s="4" t="e">
        <f t="shared" si="712"/>
        <v>#N/A</v>
      </c>
      <c r="N3457" s="4" t="e">
        <f t="shared" si="713"/>
        <v>#N/A</v>
      </c>
    </row>
    <row r="3458" spans="1:14">
      <c r="A3458">
        <f t="shared" ref="A3458:A3521" si="714">bd_campaign</f>
        <v>0</v>
      </c>
      <c r="B3458">
        <f t="shared" ref="B3458:B3521" si="715">bd_site</f>
        <v>0</v>
      </c>
      <c r="C3458">
        <f t="shared" ref="C3458:C3521" si="716">bd_placement</f>
        <v>0</v>
      </c>
      <c r="D3458">
        <f t="shared" ref="D3458:D3521" si="717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8">bd_ad</f>
        <v>0</v>
      </c>
      <c r="G3458">
        <f t="shared" ref="G3458:G3521" si="719">bd_adid</f>
        <v>0</v>
      </c>
      <c r="H3458">
        <f t="shared" ref="H3458:H3521" si="720">bd_creativetype</f>
        <v>0</v>
      </c>
      <c r="I3458">
        <f t="shared" ref="I3458:I3521" si="721">bd_impression</f>
        <v>0</v>
      </c>
      <c r="J3458">
        <f t="shared" ref="J3458:J3521" si="722">bd_clicks</f>
        <v>0</v>
      </c>
      <c r="K3458" s="4" t="e">
        <f t="shared" si="710"/>
        <v>#N/A</v>
      </c>
      <c r="L3458" t="e">
        <f t="shared" si="711"/>
        <v>#N/A</v>
      </c>
      <c r="M3458" s="4" t="e">
        <f t="shared" si="712"/>
        <v>#N/A</v>
      </c>
      <c r="N3458" s="4" t="e">
        <f t="shared" si="713"/>
        <v>#N/A</v>
      </c>
    </row>
    <row r="3459" spans="1:14">
      <c r="A3459">
        <f t="shared" si="714"/>
        <v>0</v>
      </c>
      <c r="B3459">
        <f t="shared" si="715"/>
        <v>0</v>
      </c>
      <c r="C3459">
        <f t="shared" si="716"/>
        <v>0</v>
      </c>
      <c r="D3459">
        <f t="shared" si="717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8"/>
        <v>0</v>
      </c>
      <c r="G3459">
        <f t="shared" si="719"/>
        <v>0</v>
      </c>
      <c r="H3459">
        <f t="shared" si="720"/>
        <v>0</v>
      </c>
      <c r="I3459">
        <f t="shared" si="721"/>
        <v>0</v>
      </c>
      <c r="J3459">
        <f t="shared" si="722"/>
        <v>0</v>
      </c>
      <c r="K3459" s="4" t="e">
        <f t="shared" si="710"/>
        <v>#N/A</v>
      </c>
      <c r="L3459" t="e">
        <f t="shared" si="711"/>
        <v>#N/A</v>
      </c>
      <c r="M3459" s="4" t="e">
        <f t="shared" si="712"/>
        <v>#N/A</v>
      </c>
      <c r="N3459" s="4" t="e">
        <f t="shared" si="713"/>
        <v>#N/A</v>
      </c>
    </row>
    <row r="3460" spans="1:14">
      <c r="A3460">
        <f t="shared" si="714"/>
        <v>0</v>
      </c>
      <c r="B3460">
        <f t="shared" si="715"/>
        <v>0</v>
      </c>
      <c r="C3460">
        <f t="shared" si="716"/>
        <v>0</v>
      </c>
      <c r="D3460">
        <f t="shared" si="717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8"/>
        <v>0</v>
      </c>
      <c r="G3460">
        <f t="shared" si="719"/>
        <v>0</v>
      </c>
      <c r="H3460">
        <f t="shared" si="720"/>
        <v>0</v>
      </c>
      <c r="I3460">
        <f t="shared" si="721"/>
        <v>0</v>
      </c>
      <c r="J3460">
        <f t="shared" si="722"/>
        <v>0</v>
      </c>
      <c r="K3460" s="4" t="e">
        <f t="shared" si="710"/>
        <v>#N/A</v>
      </c>
      <c r="L3460" t="e">
        <f t="shared" si="711"/>
        <v>#N/A</v>
      </c>
      <c r="M3460" s="4" t="e">
        <f t="shared" si="712"/>
        <v>#N/A</v>
      </c>
      <c r="N3460" s="4" t="e">
        <f t="shared" si="713"/>
        <v>#N/A</v>
      </c>
    </row>
    <row r="3461" spans="1:14">
      <c r="A3461">
        <f t="shared" si="714"/>
        <v>0</v>
      </c>
      <c r="B3461">
        <f t="shared" si="715"/>
        <v>0</v>
      </c>
      <c r="C3461">
        <f t="shared" si="716"/>
        <v>0</v>
      </c>
      <c r="D3461">
        <f t="shared" si="717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8"/>
        <v>0</v>
      </c>
      <c r="G3461">
        <f t="shared" si="719"/>
        <v>0</v>
      </c>
      <c r="H3461">
        <f t="shared" si="720"/>
        <v>0</v>
      </c>
      <c r="I3461">
        <f t="shared" si="721"/>
        <v>0</v>
      </c>
      <c r="J3461">
        <f t="shared" si="722"/>
        <v>0</v>
      </c>
      <c r="K3461" s="4" t="e">
        <f t="shared" si="710"/>
        <v>#N/A</v>
      </c>
      <c r="L3461" t="e">
        <f t="shared" si="711"/>
        <v>#N/A</v>
      </c>
      <c r="M3461" s="4" t="e">
        <f t="shared" si="712"/>
        <v>#N/A</v>
      </c>
      <c r="N3461" s="4" t="e">
        <f t="shared" si="713"/>
        <v>#N/A</v>
      </c>
    </row>
    <row r="3462" spans="1:14">
      <c r="A3462">
        <f t="shared" si="714"/>
        <v>0</v>
      </c>
      <c r="B3462">
        <f t="shared" si="715"/>
        <v>0</v>
      </c>
      <c r="C3462">
        <f t="shared" si="716"/>
        <v>0</v>
      </c>
      <c r="D3462">
        <f t="shared" si="717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8"/>
        <v>0</v>
      </c>
      <c r="G3462">
        <f t="shared" si="719"/>
        <v>0</v>
      </c>
      <c r="H3462">
        <f t="shared" si="720"/>
        <v>0</v>
      </c>
      <c r="I3462">
        <f t="shared" si="721"/>
        <v>0</v>
      </c>
      <c r="J3462">
        <f t="shared" si="722"/>
        <v>0</v>
      </c>
      <c r="K3462" s="4" t="e">
        <f t="shared" si="710"/>
        <v>#N/A</v>
      </c>
      <c r="L3462" t="e">
        <f t="shared" si="711"/>
        <v>#N/A</v>
      </c>
      <c r="M3462" s="4" t="e">
        <f t="shared" si="712"/>
        <v>#N/A</v>
      </c>
      <c r="N3462" s="4" t="e">
        <f t="shared" si="713"/>
        <v>#N/A</v>
      </c>
    </row>
    <row r="3463" spans="1:14">
      <c r="A3463">
        <f t="shared" si="714"/>
        <v>0</v>
      </c>
      <c r="B3463">
        <f t="shared" si="715"/>
        <v>0</v>
      </c>
      <c r="C3463">
        <f t="shared" si="716"/>
        <v>0</v>
      </c>
      <c r="D3463">
        <f t="shared" si="717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8"/>
        <v>0</v>
      </c>
      <c r="G3463">
        <f t="shared" si="719"/>
        <v>0</v>
      </c>
      <c r="H3463">
        <f t="shared" si="720"/>
        <v>0</v>
      </c>
      <c r="I3463">
        <f t="shared" si="721"/>
        <v>0</v>
      </c>
      <c r="J3463">
        <f t="shared" si="722"/>
        <v>0</v>
      </c>
      <c r="K3463" s="4" t="e">
        <f t="shared" si="710"/>
        <v>#N/A</v>
      </c>
      <c r="L3463" t="e">
        <f t="shared" si="711"/>
        <v>#N/A</v>
      </c>
      <c r="M3463" s="4" t="e">
        <f t="shared" si="712"/>
        <v>#N/A</v>
      </c>
      <c r="N3463" s="4" t="e">
        <f t="shared" si="713"/>
        <v>#N/A</v>
      </c>
    </row>
    <row r="3464" spans="1:14">
      <c r="A3464">
        <f t="shared" si="714"/>
        <v>0</v>
      </c>
      <c r="B3464">
        <f t="shared" si="715"/>
        <v>0</v>
      </c>
      <c r="C3464">
        <f t="shared" si="716"/>
        <v>0</v>
      </c>
      <c r="D3464">
        <f t="shared" si="717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8"/>
        <v>0</v>
      </c>
      <c r="G3464">
        <f t="shared" si="719"/>
        <v>0</v>
      </c>
      <c r="H3464">
        <f t="shared" si="720"/>
        <v>0</v>
      </c>
      <c r="I3464">
        <f t="shared" si="721"/>
        <v>0</v>
      </c>
      <c r="J3464">
        <f t="shared" si="722"/>
        <v>0</v>
      </c>
      <c r="K3464" s="4" t="e">
        <f t="shared" si="710"/>
        <v>#N/A</v>
      </c>
      <c r="L3464" t="e">
        <f t="shared" si="711"/>
        <v>#N/A</v>
      </c>
      <c r="M3464" s="4" t="e">
        <f t="shared" si="712"/>
        <v>#N/A</v>
      </c>
      <c r="N3464" s="4" t="e">
        <f t="shared" si="713"/>
        <v>#N/A</v>
      </c>
    </row>
    <row r="3465" spans="1:14">
      <c r="A3465">
        <f t="shared" si="714"/>
        <v>0</v>
      </c>
      <c r="B3465">
        <f t="shared" si="715"/>
        <v>0</v>
      </c>
      <c r="C3465">
        <f t="shared" si="716"/>
        <v>0</v>
      </c>
      <c r="D3465">
        <f t="shared" si="717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8"/>
        <v>0</v>
      </c>
      <c r="G3465">
        <f t="shared" si="719"/>
        <v>0</v>
      </c>
      <c r="H3465">
        <f t="shared" si="720"/>
        <v>0</v>
      </c>
      <c r="I3465">
        <f t="shared" si="721"/>
        <v>0</v>
      </c>
      <c r="J3465">
        <f t="shared" si="722"/>
        <v>0</v>
      </c>
      <c r="K3465" s="4" t="e">
        <f t="shared" si="710"/>
        <v>#N/A</v>
      </c>
      <c r="L3465" t="e">
        <f t="shared" si="711"/>
        <v>#N/A</v>
      </c>
      <c r="M3465" s="4" t="e">
        <f t="shared" si="712"/>
        <v>#N/A</v>
      </c>
      <c r="N3465" s="4" t="e">
        <f t="shared" si="713"/>
        <v>#N/A</v>
      </c>
    </row>
    <row r="3466" spans="1:14">
      <c r="A3466">
        <f t="shared" si="714"/>
        <v>0</v>
      </c>
      <c r="B3466">
        <f t="shared" si="715"/>
        <v>0</v>
      </c>
      <c r="C3466">
        <f t="shared" si="716"/>
        <v>0</v>
      </c>
      <c r="D3466">
        <f t="shared" si="717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8"/>
        <v>0</v>
      </c>
      <c r="G3466">
        <f t="shared" si="719"/>
        <v>0</v>
      </c>
      <c r="H3466">
        <f t="shared" si="720"/>
        <v>0</v>
      </c>
      <c r="I3466">
        <f t="shared" si="721"/>
        <v>0</v>
      </c>
      <c r="J3466">
        <f t="shared" si="722"/>
        <v>0</v>
      </c>
      <c r="K3466" s="4" t="e">
        <f t="shared" si="710"/>
        <v>#N/A</v>
      </c>
      <c r="L3466" t="e">
        <f t="shared" si="711"/>
        <v>#N/A</v>
      </c>
      <c r="M3466" s="4" t="e">
        <f t="shared" si="712"/>
        <v>#N/A</v>
      </c>
      <c r="N3466" s="4" t="e">
        <f t="shared" si="713"/>
        <v>#N/A</v>
      </c>
    </row>
    <row r="3467" spans="1:14">
      <c r="A3467">
        <f t="shared" si="714"/>
        <v>0</v>
      </c>
      <c r="B3467">
        <f t="shared" si="715"/>
        <v>0</v>
      </c>
      <c r="C3467">
        <f t="shared" si="716"/>
        <v>0</v>
      </c>
      <c r="D3467">
        <f t="shared" si="717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8"/>
        <v>0</v>
      </c>
      <c r="G3467">
        <f t="shared" si="719"/>
        <v>0</v>
      </c>
      <c r="H3467">
        <f t="shared" si="720"/>
        <v>0</v>
      </c>
      <c r="I3467">
        <f t="shared" si="721"/>
        <v>0</v>
      </c>
      <c r="J3467">
        <f t="shared" si="722"/>
        <v>0</v>
      </c>
      <c r="K3467" s="4" t="e">
        <f t="shared" si="710"/>
        <v>#N/A</v>
      </c>
      <c r="L3467" t="e">
        <f t="shared" si="711"/>
        <v>#N/A</v>
      </c>
      <c r="M3467" s="4" t="e">
        <f t="shared" si="712"/>
        <v>#N/A</v>
      </c>
      <c r="N3467" s="4" t="e">
        <f t="shared" si="713"/>
        <v>#N/A</v>
      </c>
    </row>
    <row r="3468" spans="1:14">
      <c r="A3468">
        <f t="shared" si="714"/>
        <v>0</v>
      </c>
      <c r="B3468">
        <f t="shared" si="715"/>
        <v>0</v>
      </c>
      <c r="C3468">
        <f t="shared" si="716"/>
        <v>0</v>
      </c>
      <c r="D3468">
        <f t="shared" si="717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8"/>
        <v>0</v>
      </c>
      <c r="G3468">
        <f t="shared" si="719"/>
        <v>0</v>
      </c>
      <c r="H3468">
        <f t="shared" si="720"/>
        <v>0</v>
      </c>
      <c r="I3468">
        <f t="shared" si="721"/>
        <v>0</v>
      </c>
      <c r="J3468">
        <f t="shared" si="722"/>
        <v>0</v>
      </c>
      <c r="K3468" s="4" t="e">
        <f t="shared" si="710"/>
        <v>#N/A</v>
      </c>
      <c r="L3468" t="e">
        <f t="shared" si="711"/>
        <v>#N/A</v>
      </c>
      <c r="M3468" s="4" t="e">
        <f t="shared" si="712"/>
        <v>#N/A</v>
      </c>
      <c r="N3468" s="4" t="e">
        <f t="shared" si="713"/>
        <v>#N/A</v>
      </c>
    </row>
    <row r="3469" spans="1:14">
      <c r="A3469">
        <f t="shared" si="714"/>
        <v>0</v>
      </c>
      <c r="B3469">
        <f t="shared" si="715"/>
        <v>0</v>
      </c>
      <c r="C3469">
        <f t="shared" si="716"/>
        <v>0</v>
      </c>
      <c r="D3469">
        <f t="shared" si="717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8"/>
        <v>0</v>
      </c>
      <c r="G3469">
        <f t="shared" si="719"/>
        <v>0</v>
      </c>
      <c r="H3469">
        <f t="shared" si="720"/>
        <v>0</v>
      </c>
      <c r="I3469">
        <f t="shared" si="721"/>
        <v>0</v>
      </c>
      <c r="J3469">
        <f t="shared" si="722"/>
        <v>0</v>
      </c>
      <c r="K3469" s="4" t="e">
        <f t="shared" si="710"/>
        <v>#N/A</v>
      </c>
      <c r="L3469" t="e">
        <f t="shared" si="711"/>
        <v>#N/A</v>
      </c>
      <c r="M3469" s="4" t="e">
        <f t="shared" si="712"/>
        <v>#N/A</v>
      </c>
      <c r="N3469" s="4" t="e">
        <f t="shared" si="713"/>
        <v>#N/A</v>
      </c>
    </row>
    <row r="3470" spans="1:14">
      <c r="A3470">
        <f t="shared" si="714"/>
        <v>0</v>
      </c>
      <c r="B3470">
        <f t="shared" si="715"/>
        <v>0</v>
      </c>
      <c r="C3470">
        <f t="shared" si="716"/>
        <v>0</v>
      </c>
      <c r="D3470">
        <f t="shared" si="717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8"/>
        <v>0</v>
      </c>
      <c r="G3470">
        <f t="shared" si="719"/>
        <v>0</v>
      </c>
      <c r="H3470">
        <f t="shared" si="720"/>
        <v>0</v>
      </c>
      <c r="I3470">
        <f t="shared" si="721"/>
        <v>0</v>
      </c>
      <c r="J3470">
        <f t="shared" si="722"/>
        <v>0</v>
      </c>
      <c r="K3470" s="4" t="e">
        <f t="shared" si="710"/>
        <v>#N/A</v>
      </c>
      <c r="L3470" t="e">
        <f t="shared" si="711"/>
        <v>#N/A</v>
      </c>
      <c r="M3470" s="4" t="e">
        <f t="shared" si="712"/>
        <v>#N/A</v>
      </c>
      <c r="N3470" s="4" t="e">
        <f t="shared" si="713"/>
        <v>#N/A</v>
      </c>
    </row>
    <row r="3471" spans="1:14">
      <c r="A3471">
        <f t="shared" si="714"/>
        <v>0</v>
      </c>
      <c r="B3471">
        <f t="shared" si="715"/>
        <v>0</v>
      </c>
      <c r="C3471">
        <f t="shared" si="716"/>
        <v>0</v>
      </c>
      <c r="D3471">
        <f t="shared" si="717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8"/>
        <v>0</v>
      </c>
      <c r="G3471">
        <f t="shared" si="719"/>
        <v>0</v>
      </c>
      <c r="H3471">
        <f t="shared" si="720"/>
        <v>0</v>
      </c>
      <c r="I3471">
        <f t="shared" si="721"/>
        <v>0</v>
      </c>
      <c r="J3471">
        <f t="shared" si="722"/>
        <v>0</v>
      </c>
      <c r="K3471" s="4" t="e">
        <f t="shared" si="710"/>
        <v>#N/A</v>
      </c>
      <c r="L3471" t="e">
        <f t="shared" si="711"/>
        <v>#N/A</v>
      </c>
      <c r="M3471" s="4" t="e">
        <f t="shared" si="712"/>
        <v>#N/A</v>
      </c>
      <c r="N3471" s="4" t="e">
        <f t="shared" si="713"/>
        <v>#N/A</v>
      </c>
    </row>
    <row r="3472" spans="1:14">
      <c r="A3472">
        <f t="shared" si="714"/>
        <v>0</v>
      </c>
      <c r="B3472">
        <f t="shared" si="715"/>
        <v>0</v>
      </c>
      <c r="C3472">
        <f t="shared" si="716"/>
        <v>0</v>
      </c>
      <c r="D3472">
        <f t="shared" si="717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8"/>
        <v>0</v>
      </c>
      <c r="G3472">
        <f t="shared" si="719"/>
        <v>0</v>
      </c>
      <c r="H3472">
        <f t="shared" si="720"/>
        <v>0</v>
      </c>
      <c r="I3472">
        <f t="shared" si="721"/>
        <v>0</v>
      </c>
      <c r="J3472">
        <f t="shared" si="722"/>
        <v>0</v>
      </c>
      <c r="K3472" s="4" t="e">
        <f t="shared" si="710"/>
        <v>#N/A</v>
      </c>
      <c r="L3472" t="e">
        <f t="shared" si="711"/>
        <v>#N/A</v>
      </c>
      <c r="M3472" s="4" t="e">
        <f t="shared" si="712"/>
        <v>#N/A</v>
      </c>
      <c r="N3472" s="4" t="e">
        <f t="shared" si="713"/>
        <v>#N/A</v>
      </c>
    </row>
    <row r="3473" spans="1:14">
      <c r="A3473">
        <f t="shared" si="714"/>
        <v>0</v>
      </c>
      <c r="B3473">
        <f t="shared" si="715"/>
        <v>0</v>
      </c>
      <c r="C3473">
        <f t="shared" si="716"/>
        <v>0</v>
      </c>
      <c r="D3473">
        <f t="shared" si="717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8"/>
        <v>0</v>
      </c>
      <c r="G3473">
        <f t="shared" si="719"/>
        <v>0</v>
      </c>
      <c r="H3473">
        <f t="shared" si="720"/>
        <v>0</v>
      </c>
      <c r="I3473">
        <f t="shared" si="721"/>
        <v>0</v>
      </c>
      <c r="J3473">
        <f t="shared" si="722"/>
        <v>0</v>
      </c>
      <c r="K3473" s="4" t="e">
        <f t="shared" si="710"/>
        <v>#N/A</v>
      </c>
      <c r="L3473" t="e">
        <f t="shared" si="711"/>
        <v>#N/A</v>
      </c>
      <c r="M3473" s="4" t="e">
        <f t="shared" si="712"/>
        <v>#N/A</v>
      </c>
      <c r="N3473" s="4" t="e">
        <f t="shared" si="713"/>
        <v>#N/A</v>
      </c>
    </row>
    <row r="3474" spans="1:14">
      <c r="A3474">
        <f t="shared" si="714"/>
        <v>0</v>
      </c>
      <c r="B3474">
        <f t="shared" si="715"/>
        <v>0</v>
      </c>
      <c r="C3474">
        <f t="shared" si="716"/>
        <v>0</v>
      </c>
      <c r="D3474">
        <f t="shared" si="717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8"/>
        <v>0</v>
      </c>
      <c r="G3474">
        <f t="shared" si="719"/>
        <v>0</v>
      </c>
      <c r="H3474">
        <f t="shared" si="720"/>
        <v>0</v>
      </c>
      <c r="I3474">
        <f t="shared" si="721"/>
        <v>0</v>
      </c>
      <c r="J3474">
        <f t="shared" si="722"/>
        <v>0</v>
      </c>
      <c r="K3474" s="4" t="e">
        <f t="shared" si="710"/>
        <v>#N/A</v>
      </c>
      <c r="L3474" t="e">
        <f t="shared" si="711"/>
        <v>#N/A</v>
      </c>
      <c r="M3474" s="4" t="e">
        <f t="shared" si="712"/>
        <v>#N/A</v>
      </c>
      <c r="N3474" s="4" t="e">
        <f t="shared" si="713"/>
        <v>#N/A</v>
      </c>
    </row>
    <row r="3475" spans="1:14">
      <c r="A3475">
        <f t="shared" si="714"/>
        <v>0</v>
      </c>
      <c r="B3475">
        <f t="shared" si="715"/>
        <v>0</v>
      </c>
      <c r="C3475">
        <f t="shared" si="716"/>
        <v>0</v>
      </c>
      <c r="D3475">
        <f t="shared" si="717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8"/>
        <v>0</v>
      </c>
      <c r="G3475">
        <f t="shared" si="719"/>
        <v>0</v>
      </c>
      <c r="H3475">
        <f t="shared" si="720"/>
        <v>0</v>
      </c>
      <c r="I3475">
        <f t="shared" si="721"/>
        <v>0</v>
      </c>
      <c r="J3475">
        <f t="shared" si="722"/>
        <v>0</v>
      </c>
      <c r="K3475" s="4" t="e">
        <f t="shared" si="710"/>
        <v>#N/A</v>
      </c>
      <c r="L3475" t="e">
        <f t="shared" si="711"/>
        <v>#N/A</v>
      </c>
      <c r="M3475" s="4" t="e">
        <f t="shared" si="712"/>
        <v>#N/A</v>
      </c>
      <c r="N3475" s="4" t="e">
        <f t="shared" si="713"/>
        <v>#N/A</v>
      </c>
    </row>
    <row r="3476" spans="1:14">
      <c r="A3476">
        <f t="shared" si="714"/>
        <v>0</v>
      </c>
      <c r="B3476">
        <f t="shared" si="715"/>
        <v>0</v>
      </c>
      <c r="C3476">
        <f t="shared" si="716"/>
        <v>0</v>
      </c>
      <c r="D3476">
        <f t="shared" si="717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8"/>
        <v>0</v>
      </c>
      <c r="G3476">
        <f t="shared" si="719"/>
        <v>0</v>
      </c>
      <c r="H3476">
        <f t="shared" si="720"/>
        <v>0</v>
      </c>
      <c r="I3476">
        <f t="shared" si="721"/>
        <v>0</v>
      </c>
      <c r="J3476">
        <f t="shared" si="722"/>
        <v>0</v>
      </c>
      <c r="K3476" s="4" t="e">
        <f t="shared" si="710"/>
        <v>#N/A</v>
      </c>
      <c r="L3476" t="e">
        <f t="shared" si="711"/>
        <v>#N/A</v>
      </c>
      <c r="M3476" s="4" t="e">
        <f t="shared" si="712"/>
        <v>#N/A</v>
      </c>
      <c r="N3476" s="4" t="e">
        <f t="shared" si="713"/>
        <v>#N/A</v>
      </c>
    </row>
    <row r="3477" spans="1:14">
      <c r="A3477">
        <f t="shared" si="714"/>
        <v>0</v>
      </c>
      <c r="B3477">
        <f t="shared" si="715"/>
        <v>0</v>
      </c>
      <c r="C3477">
        <f t="shared" si="716"/>
        <v>0</v>
      </c>
      <c r="D3477">
        <f t="shared" si="717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8"/>
        <v>0</v>
      </c>
      <c r="G3477">
        <f t="shared" si="719"/>
        <v>0</v>
      </c>
      <c r="H3477">
        <f t="shared" si="720"/>
        <v>0</v>
      </c>
      <c r="I3477">
        <f t="shared" si="721"/>
        <v>0</v>
      </c>
      <c r="J3477">
        <f t="shared" si="722"/>
        <v>0</v>
      </c>
      <c r="K3477" s="4" t="e">
        <f t="shared" si="710"/>
        <v>#N/A</v>
      </c>
      <c r="L3477" t="e">
        <f t="shared" si="711"/>
        <v>#N/A</v>
      </c>
      <c r="M3477" s="4" t="e">
        <f t="shared" si="712"/>
        <v>#N/A</v>
      </c>
      <c r="N3477" s="4" t="e">
        <f t="shared" si="713"/>
        <v>#N/A</v>
      </c>
    </row>
    <row r="3478" spans="1:14">
      <c r="A3478">
        <f t="shared" si="714"/>
        <v>0</v>
      </c>
      <c r="B3478">
        <f t="shared" si="715"/>
        <v>0</v>
      </c>
      <c r="C3478">
        <f t="shared" si="716"/>
        <v>0</v>
      </c>
      <c r="D3478">
        <f t="shared" si="717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8"/>
        <v>0</v>
      </c>
      <c r="G3478">
        <f t="shared" si="719"/>
        <v>0</v>
      </c>
      <c r="H3478">
        <f t="shared" si="720"/>
        <v>0</v>
      </c>
      <c r="I3478">
        <f t="shared" si="721"/>
        <v>0</v>
      </c>
      <c r="J3478">
        <f t="shared" si="722"/>
        <v>0</v>
      </c>
      <c r="K3478" s="4" t="e">
        <f t="shared" si="710"/>
        <v>#N/A</v>
      </c>
      <c r="L3478" t="e">
        <f t="shared" si="711"/>
        <v>#N/A</v>
      </c>
      <c r="M3478" s="4" t="e">
        <f t="shared" si="712"/>
        <v>#N/A</v>
      </c>
      <c r="N3478" s="4" t="e">
        <f t="shared" si="713"/>
        <v>#N/A</v>
      </c>
    </row>
    <row r="3479" spans="1:14">
      <c r="A3479">
        <f t="shared" si="714"/>
        <v>0</v>
      </c>
      <c r="B3479">
        <f t="shared" si="715"/>
        <v>0</v>
      </c>
      <c r="C3479">
        <f t="shared" si="716"/>
        <v>0</v>
      </c>
      <c r="D3479">
        <f t="shared" si="717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8"/>
        <v>0</v>
      </c>
      <c r="G3479">
        <f t="shared" si="719"/>
        <v>0</v>
      </c>
      <c r="H3479">
        <f t="shared" si="720"/>
        <v>0</v>
      </c>
      <c r="I3479">
        <f t="shared" si="721"/>
        <v>0</v>
      </c>
      <c r="J3479">
        <f t="shared" si="722"/>
        <v>0</v>
      </c>
      <c r="K3479" s="4" t="e">
        <f t="shared" si="710"/>
        <v>#N/A</v>
      </c>
      <c r="L3479" t="e">
        <f t="shared" si="711"/>
        <v>#N/A</v>
      </c>
      <c r="M3479" s="4" t="e">
        <f t="shared" si="712"/>
        <v>#N/A</v>
      </c>
      <c r="N3479" s="4" t="e">
        <f t="shared" si="713"/>
        <v>#N/A</v>
      </c>
    </row>
    <row r="3480" spans="1:14">
      <c r="A3480">
        <f t="shared" si="714"/>
        <v>0</v>
      </c>
      <c r="B3480">
        <f t="shared" si="715"/>
        <v>0</v>
      </c>
      <c r="C3480">
        <f t="shared" si="716"/>
        <v>0</v>
      </c>
      <c r="D3480">
        <f t="shared" si="717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8"/>
        <v>0</v>
      </c>
      <c r="G3480">
        <f t="shared" si="719"/>
        <v>0</v>
      </c>
      <c r="H3480">
        <f t="shared" si="720"/>
        <v>0</v>
      </c>
      <c r="I3480">
        <f t="shared" si="721"/>
        <v>0</v>
      </c>
      <c r="J3480">
        <f t="shared" si="722"/>
        <v>0</v>
      </c>
      <c r="K3480" s="4" t="e">
        <f t="shared" si="710"/>
        <v>#N/A</v>
      </c>
      <c r="L3480" t="e">
        <f t="shared" si="711"/>
        <v>#N/A</v>
      </c>
      <c r="M3480" s="4" t="e">
        <f t="shared" si="712"/>
        <v>#N/A</v>
      </c>
      <c r="N3480" s="4" t="e">
        <f t="shared" si="713"/>
        <v>#N/A</v>
      </c>
    </row>
    <row r="3481" spans="1:14">
      <c r="A3481">
        <f t="shared" si="714"/>
        <v>0</v>
      </c>
      <c r="B3481">
        <f t="shared" si="715"/>
        <v>0</v>
      </c>
      <c r="C3481">
        <f t="shared" si="716"/>
        <v>0</v>
      </c>
      <c r="D3481">
        <f t="shared" si="717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8"/>
        <v>0</v>
      </c>
      <c r="G3481">
        <f t="shared" si="719"/>
        <v>0</v>
      </c>
      <c r="H3481">
        <f t="shared" si="720"/>
        <v>0</v>
      </c>
      <c r="I3481">
        <f t="shared" si="721"/>
        <v>0</v>
      </c>
      <c r="J3481">
        <f t="shared" si="722"/>
        <v>0</v>
      </c>
      <c r="K3481" s="4" t="e">
        <f t="shared" si="710"/>
        <v>#N/A</v>
      </c>
      <c r="L3481" t="e">
        <f t="shared" si="711"/>
        <v>#N/A</v>
      </c>
      <c r="M3481" s="4" t="e">
        <f t="shared" si="712"/>
        <v>#N/A</v>
      </c>
      <c r="N3481" s="4" t="e">
        <f t="shared" si="713"/>
        <v>#N/A</v>
      </c>
    </row>
    <row r="3482" spans="1:14">
      <c r="A3482">
        <f t="shared" si="714"/>
        <v>0</v>
      </c>
      <c r="B3482">
        <f t="shared" si="715"/>
        <v>0</v>
      </c>
      <c r="C3482">
        <f t="shared" si="716"/>
        <v>0</v>
      </c>
      <c r="D3482">
        <f t="shared" si="717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8"/>
        <v>0</v>
      </c>
      <c r="G3482">
        <f t="shared" si="719"/>
        <v>0</v>
      </c>
      <c r="H3482">
        <f t="shared" si="720"/>
        <v>0</v>
      </c>
      <c r="I3482">
        <f t="shared" si="721"/>
        <v>0</v>
      </c>
      <c r="J3482">
        <f t="shared" si="722"/>
        <v>0</v>
      </c>
      <c r="K3482" s="4" t="e">
        <f t="shared" si="710"/>
        <v>#N/A</v>
      </c>
      <c r="L3482" t="e">
        <f t="shared" si="711"/>
        <v>#N/A</v>
      </c>
      <c r="M3482" s="4" t="e">
        <f t="shared" si="712"/>
        <v>#N/A</v>
      </c>
      <c r="N3482" s="4" t="e">
        <f t="shared" si="713"/>
        <v>#N/A</v>
      </c>
    </row>
    <row r="3483" spans="1:14">
      <c r="A3483">
        <f t="shared" si="714"/>
        <v>0</v>
      </c>
      <c r="B3483">
        <f t="shared" si="715"/>
        <v>0</v>
      </c>
      <c r="C3483">
        <f t="shared" si="716"/>
        <v>0</v>
      </c>
      <c r="D3483">
        <f t="shared" si="717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8"/>
        <v>0</v>
      </c>
      <c r="G3483">
        <f t="shared" si="719"/>
        <v>0</v>
      </c>
      <c r="H3483">
        <f t="shared" si="720"/>
        <v>0</v>
      </c>
      <c r="I3483">
        <f t="shared" si="721"/>
        <v>0</v>
      </c>
      <c r="J3483">
        <f t="shared" si="722"/>
        <v>0</v>
      </c>
      <c r="K3483" s="4" t="e">
        <f t="shared" si="710"/>
        <v>#N/A</v>
      </c>
      <c r="L3483" t="e">
        <f t="shared" si="711"/>
        <v>#N/A</v>
      </c>
      <c r="M3483" s="4" t="e">
        <f t="shared" si="712"/>
        <v>#N/A</v>
      </c>
      <c r="N3483" s="4" t="e">
        <f t="shared" si="713"/>
        <v>#N/A</v>
      </c>
    </row>
    <row r="3484" spans="1:14">
      <c r="A3484">
        <f t="shared" si="714"/>
        <v>0</v>
      </c>
      <c r="B3484">
        <f t="shared" si="715"/>
        <v>0</v>
      </c>
      <c r="C3484">
        <f t="shared" si="716"/>
        <v>0</v>
      </c>
      <c r="D3484">
        <f t="shared" si="717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8"/>
        <v>0</v>
      </c>
      <c r="G3484">
        <f t="shared" si="719"/>
        <v>0</v>
      </c>
      <c r="H3484">
        <f t="shared" si="720"/>
        <v>0</v>
      </c>
      <c r="I3484">
        <f t="shared" si="721"/>
        <v>0</v>
      </c>
      <c r="J3484">
        <f t="shared" si="722"/>
        <v>0</v>
      </c>
      <c r="K3484" s="4" t="e">
        <f t="shared" si="710"/>
        <v>#N/A</v>
      </c>
      <c r="L3484" t="e">
        <f t="shared" si="711"/>
        <v>#N/A</v>
      </c>
      <c r="M3484" s="4" t="e">
        <f t="shared" si="712"/>
        <v>#N/A</v>
      </c>
      <c r="N3484" s="4" t="e">
        <f t="shared" si="713"/>
        <v>#N/A</v>
      </c>
    </row>
    <row r="3485" spans="1:14">
      <c r="A3485">
        <f t="shared" si="714"/>
        <v>0</v>
      </c>
      <c r="B3485">
        <f t="shared" si="715"/>
        <v>0</v>
      </c>
      <c r="C3485">
        <f t="shared" si="716"/>
        <v>0</v>
      </c>
      <c r="D3485">
        <f t="shared" si="717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8"/>
        <v>0</v>
      </c>
      <c r="G3485">
        <f t="shared" si="719"/>
        <v>0</v>
      </c>
      <c r="H3485">
        <f t="shared" si="720"/>
        <v>0</v>
      </c>
      <c r="I3485">
        <f t="shared" si="721"/>
        <v>0</v>
      </c>
      <c r="J3485">
        <f t="shared" si="722"/>
        <v>0</v>
      </c>
      <c r="K3485" s="4" t="e">
        <f t="shared" si="710"/>
        <v>#N/A</v>
      </c>
      <c r="L3485" t="e">
        <f t="shared" si="711"/>
        <v>#N/A</v>
      </c>
      <c r="M3485" s="4" t="e">
        <f t="shared" si="712"/>
        <v>#N/A</v>
      </c>
      <c r="N3485" s="4" t="e">
        <f t="shared" si="713"/>
        <v>#N/A</v>
      </c>
    </row>
    <row r="3486" spans="1:14">
      <c r="A3486">
        <f t="shared" si="714"/>
        <v>0</v>
      </c>
      <c r="B3486">
        <f t="shared" si="715"/>
        <v>0</v>
      </c>
      <c r="C3486">
        <f t="shared" si="716"/>
        <v>0</v>
      </c>
      <c r="D3486">
        <f t="shared" si="717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8"/>
        <v>0</v>
      </c>
      <c r="G3486">
        <f t="shared" si="719"/>
        <v>0</v>
      </c>
      <c r="H3486">
        <f t="shared" si="720"/>
        <v>0</v>
      </c>
      <c r="I3486">
        <f t="shared" si="721"/>
        <v>0</v>
      </c>
      <c r="J3486">
        <f t="shared" si="722"/>
        <v>0</v>
      </c>
      <c r="K3486" s="4" t="e">
        <f t="shared" si="710"/>
        <v>#N/A</v>
      </c>
      <c r="L3486" t="e">
        <f t="shared" si="711"/>
        <v>#N/A</v>
      </c>
      <c r="M3486" s="4" t="e">
        <f t="shared" si="712"/>
        <v>#N/A</v>
      </c>
      <c r="N3486" s="4" t="e">
        <f t="shared" si="713"/>
        <v>#N/A</v>
      </c>
    </row>
    <row r="3487" spans="1:14">
      <c r="A3487">
        <f t="shared" si="714"/>
        <v>0</v>
      </c>
      <c r="B3487">
        <f t="shared" si="715"/>
        <v>0</v>
      </c>
      <c r="C3487">
        <f t="shared" si="716"/>
        <v>0</v>
      </c>
      <c r="D3487">
        <f t="shared" si="717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8"/>
        <v>0</v>
      </c>
      <c r="G3487">
        <f t="shared" si="719"/>
        <v>0</v>
      </c>
      <c r="H3487">
        <f t="shared" si="720"/>
        <v>0</v>
      </c>
      <c r="I3487">
        <f t="shared" si="721"/>
        <v>0</v>
      </c>
      <c r="J3487">
        <f t="shared" si="722"/>
        <v>0</v>
      </c>
      <c r="K3487" s="4" t="e">
        <f t="shared" si="710"/>
        <v>#N/A</v>
      </c>
      <c r="L3487" t="e">
        <f t="shared" si="711"/>
        <v>#N/A</v>
      </c>
      <c r="M3487" s="4" t="e">
        <f t="shared" si="712"/>
        <v>#N/A</v>
      </c>
      <c r="N3487" s="4" t="e">
        <f t="shared" si="713"/>
        <v>#N/A</v>
      </c>
    </row>
    <row r="3488" spans="1:14">
      <c r="A3488">
        <f t="shared" si="714"/>
        <v>0</v>
      </c>
      <c r="B3488">
        <f t="shared" si="715"/>
        <v>0</v>
      </c>
      <c r="C3488">
        <f t="shared" si="716"/>
        <v>0</v>
      </c>
      <c r="D3488">
        <f t="shared" si="717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8"/>
        <v>0</v>
      </c>
      <c r="G3488">
        <f t="shared" si="719"/>
        <v>0</v>
      </c>
      <c r="H3488">
        <f t="shared" si="720"/>
        <v>0</v>
      </c>
      <c r="I3488">
        <f t="shared" si="721"/>
        <v>0</v>
      </c>
      <c r="J3488">
        <f t="shared" si="722"/>
        <v>0</v>
      </c>
      <c r="K3488" s="4" t="e">
        <f t="shared" si="710"/>
        <v>#N/A</v>
      </c>
      <c r="L3488" t="e">
        <f t="shared" si="711"/>
        <v>#N/A</v>
      </c>
      <c r="M3488" s="4" t="e">
        <f t="shared" si="712"/>
        <v>#N/A</v>
      </c>
      <c r="N3488" s="4" t="e">
        <f t="shared" si="713"/>
        <v>#N/A</v>
      </c>
    </row>
    <row r="3489" spans="1:14">
      <c r="A3489">
        <f t="shared" si="714"/>
        <v>0</v>
      </c>
      <c r="B3489">
        <f t="shared" si="715"/>
        <v>0</v>
      </c>
      <c r="C3489">
        <f t="shared" si="716"/>
        <v>0</v>
      </c>
      <c r="D3489">
        <f t="shared" si="717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8"/>
        <v>0</v>
      </c>
      <c r="G3489">
        <f t="shared" si="719"/>
        <v>0</v>
      </c>
      <c r="H3489">
        <f t="shared" si="720"/>
        <v>0</v>
      </c>
      <c r="I3489">
        <f t="shared" si="721"/>
        <v>0</v>
      </c>
      <c r="J3489">
        <f t="shared" si="722"/>
        <v>0</v>
      </c>
      <c r="K3489" s="4" t="e">
        <f t="shared" si="710"/>
        <v>#N/A</v>
      </c>
      <c r="L3489" t="e">
        <f t="shared" si="711"/>
        <v>#N/A</v>
      </c>
      <c r="M3489" s="4" t="e">
        <f t="shared" si="712"/>
        <v>#N/A</v>
      </c>
      <c r="N3489" s="4" t="e">
        <f t="shared" si="713"/>
        <v>#N/A</v>
      </c>
    </row>
    <row r="3490" spans="1:14">
      <c r="A3490">
        <f t="shared" si="714"/>
        <v>0</v>
      </c>
      <c r="B3490">
        <f t="shared" si="715"/>
        <v>0</v>
      </c>
      <c r="C3490">
        <f t="shared" si="716"/>
        <v>0</v>
      </c>
      <c r="D3490">
        <f t="shared" si="717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8"/>
        <v>0</v>
      </c>
      <c r="G3490">
        <f t="shared" si="719"/>
        <v>0</v>
      </c>
      <c r="H3490">
        <f t="shared" si="720"/>
        <v>0</v>
      </c>
      <c r="I3490">
        <f t="shared" si="721"/>
        <v>0</v>
      </c>
      <c r="J3490">
        <f t="shared" si="722"/>
        <v>0</v>
      </c>
      <c r="K3490" s="4" t="e">
        <f t="shared" si="710"/>
        <v>#N/A</v>
      </c>
      <c r="L3490" t="e">
        <f t="shared" si="711"/>
        <v>#N/A</v>
      </c>
      <c r="M3490" s="4" t="e">
        <f t="shared" si="712"/>
        <v>#N/A</v>
      </c>
      <c r="N3490" s="4" t="e">
        <f t="shared" si="713"/>
        <v>#N/A</v>
      </c>
    </row>
    <row r="3491" spans="1:14">
      <c r="A3491">
        <f t="shared" si="714"/>
        <v>0</v>
      </c>
      <c r="B3491">
        <f t="shared" si="715"/>
        <v>0</v>
      </c>
      <c r="C3491">
        <f t="shared" si="716"/>
        <v>0</v>
      </c>
      <c r="D3491">
        <f t="shared" si="717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8"/>
        <v>0</v>
      </c>
      <c r="G3491">
        <f t="shared" si="719"/>
        <v>0</v>
      </c>
      <c r="H3491">
        <f t="shared" si="720"/>
        <v>0</v>
      </c>
      <c r="I3491">
        <f t="shared" si="721"/>
        <v>0</v>
      </c>
      <c r="J3491">
        <f t="shared" si="722"/>
        <v>0</v>
      </c>
      <c r="K3491" s="4" t="e">
        <f t="shared" si="710"/>
        <v>#N/A</v>
      </c>
      <c r="L3491" t="e">
        <f t="shared" si="711"/>
        <v>#N/A</v>
      </c>
      <c r="M3491" s="4" t="e">
        <f t="shared" si="712"/>
        <v>#N/A</v>
      </c>
      <c r="N3491" s="4" t="e">
        <f t="shared" si="713"/>
        <v>#N/A</v>
      </c>
    </row>
    <row r="3492" spans="1:14">
      <c r="A3492">
        <f t="shared" si="714"/>
        <v>0</v>
      </c>
      <c r="B3492">
        <f t="shared" si="715"/>
        <v>0</v>
      </c>
      <c r="C3492">
        <f t="shared" si="716"/>
        <v>0</v>
      </c>
      <c r="D3492">
        <f t="shared" si="717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8"/>
        <v>0</v>
      </c>
      <c r="G3492">
        <f t="shared" si="719"/>
        <v>0</v>
      </c>
      <c r="H3492">
        <f t="shared" si="720"/>
        <v>0</v>
      </c>
      <c r="I3492">
        <f t="shared" si="721"/>
        <v>0</v>
      </c>
      <c r="J3492">
        <f t="shared" si="722"/>
        <v>0</v>
      </c>
      <c r="K3492" s="4" t="e">
        <f t="shared" si="710"/>
        <v>#N/A</v>
      </c>
      <c r="L3492" t="e">
        <f t="shared" si="711"/>
        <v>#N/A</v>
      </c>
      <c r="M3492" s="4" t="e">
        <f t="shared" si="712"/>
        <v>#N/A</v>
      </c>
      <c r="N3492" s="4" t="e">
        <f t="shared" si="713"/>
        <v>#N/A</v>
      </c>
    </row>
    <row r="3493" spans="1:14">
      <c r="A3493">
        <f t="shared" si="714"/>
        <v>0</v>
      </c>
      <c r="B3493">
        <f t="shared" si="715"/>
        <v>0</v>
      </c>
      <c r="C3493">
        <f t="shared" si="716"/>
        <v>0</v>
      </c>
      <c r="D3493">
        <f t="shared" si="717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8"/>
        <v>0</v>
      </c>
      <c r="G3493">
        <f t="shared" si="719"/>
        <v>0</v>
      </c>
      <c r="H3493">
        <f t="shared" si="720"/>
        <v>0</v>
      </c>
      <c r="I3493">
        <f t="shared" si="721"/>
        <v>0</v>
      </c>
      <c r="J3493">
        <f t="shared" si="722"/>
        <v>0</v>
      </c>
      <c r="K3493" s="4" t="e">
        <f t="shared" si="710"/>
        <v>#N/A</v>
      </c>
      <c r="L3493" t="e">
        <f t="shared" si="711"/>
        <v>#N/A</v>
      </c>
      <c r="M3493" s="4" t="e">
        <f t="shared" si="712"/>
        <v>#N/A</v>
      </c>
      <c r="N3493" s="4" t="e">
        <f t="shared" si="713"/>
        <v>#N/A</v>
      </c>
    </row>
    <row r="3494" spans="1:14">
      <c r="A3494">
        <f t="shared" si="714"/>
        <v>0</v>
      </c>
      <c r="B3494">
        <f t="shared" si="715"/>
        <v>0</v>
      </c>
      <c r="C3494">
        <f t="shared" si="716"/>
        <v>0</v>
      </c>
      <c r="D3494">
        <f t="shared" si="717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8"/>
        <v>0</v>
      </c>
      <c r="G3494">
        <f t="shared" si="719"/>
        <v>0</v>
      </c>
      <c r="H3494">
        <f t="shared" si="720"/>
        <v>0</v>
      </c>
      <c r="I3494">
        <f t="shared" si="721"/>
        <v>0</v>
      </c>
      <c r="J3494">
        <f t="shared" si="722"/>
        <v>0</v>
      </c>
      <c r="K3494" s="4" t="e">
        <f t="shared" si="710"/>
        <v>#N/A</v>
      </c>
      <c r="L3494" t="e">
        <f t="shared" si="711"/>
        <v>#N/A</v>
      </c>
      <c r="M3494" s="4" t="e">
        <f t="shared" si="712"/>
        <v>#N/A</v>
      </c>
      <c r="N3494" s="4" t="e">
        <f t="shared" si="713"/>
        <v>#N/A</v>
      </c>
    </row>
    <row r="3495" spans="1:14">
      <c r="A3495">
        <f t="shared" si="714"/>
        <v>0</v>
      </c>
      <c r="B3495">
        <f t="shared" si="715"/>
        <v>0</v>
      </c>
      <c r="C3495">
        <f t="shared" si="716"/>
        <v>0</v>
      </c>
      <c r="D3495">
        <f t="shared" si="717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8"/>
        <v>0</v>
      </c>
      <c r="G3495">
        <f t="shared" si="719"/>
        <v>0</v>
      </c>
      <c r="H3495">
        <f t="shared" si="720"/>
        <v>0</v>
      </c>
      <c r="I3495">
        <f t="shared" si="721"/>
        <v>0</v>
      </c>
      <c r="J3495">
        <f t="shared" si="722"/>
        <v>0</v>
      </c>
      <c r="K3495" s="4" t="e">
        <f t="shared" si="710"/>
        <v>#N/A</v>
      </c>
      <c r="L3495" t="e">
        <f t="shared" si="711"/>
        <v>#N/A</v>
      </c>
      <c r="M3495" s="4" t="e">
        <f t="shared" si="712"/>
        <v>#N/A</v>
      </c>
      <c r="N3495" s="4" t="e">
        <f t="shared" si="713"/>
        <v>#N/A</v>
      </c>
    </row>
    <row r="3496" spans="1:14">
      <c r="A3496">
        <f t="shared" si="714"/>
        <v>0</v>
      </c>
      <c r="B3496">
        <f t="shared" si="715"/>
        <v>0</v>
      </c>
      <c r="C3496">
        <f t="shared" si="716"/>
        <v>0</v>
      </c>
      <c r="D3496">
        <f t="shared" si="717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8"/>
        <v>0</v>
      </c>
      <c r="G3496">
        <f t="shared" si="719"/>
        <v>0</v>
      </c>
      <c r="H3496">
        <f t="shared" si="720"/>
        <v>0</v>
      </c>
      <c r="I3496">
        <f t="shared" si="721"/>
        <v>0</v>
      </c>
      <c r="J3496">
        <f t="shared" si="722"/>
        <v>0</v>
      </c>
      <c r="K3496" s="4" t="e">
        <f t="shared" si="710"/>
        <v>#N/A</v>
      </c>
      <c r="L3496" t="e">
        <f t="shared" si="711"/>
        <v>#N/A</v>
      </c>
      <c r="M3496" s="4" t="e">
        <f t="shared" si="712"/>
        <v>#N/A</v>
      </c>
      <c r="N3496" s="4" t="e">
        <f t="shared" si="713"/>
        <v>#N/A</v>
      </c>
    </row>
    <row r="3497" spans="1:14">
      <c r="A3497">
        <f t="shared" si="714"/>
        <v>0</v>
      </c>
      <c r="B3497">
        <f t="shared" si="715"/>
        <v>0</v>
      </c>
      <c r="C3497">
        <f t="shared" si="716"/>
        <v>0</v>
      </c>
      <c r="D3497">
        <f t="shared" si="717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8"/>
        <v>0</v>
      </c>
      <c r="G3497">
        <f t="shared" si="719"/>
        <v>0</v>
      </c>
      <c r="H3497">
        <f t="shared" si="720"/>
        <v>0</v>
      </c>
      <c r="I3497">
        <f t="shared" si="721"/>
        <v>0</v>
      </c>
      <c r="J3497">
        <f t="shared" si="722"/>
        <v>0</v>
      </c>
      <c r="K3497" s="4" t="e">
        <f t="shared" si="710"/>
        <v>#N/A</v>
      </c>
      <c r="L3497" t="e">
        <f t="shared" si="711"/>
        <v>#N/A</v>
      </c>
      <c r="M3497" s="4" t="e">
        <f t="shared" si="712"/>
        <v>#N/A</v>
      </c>
      <c r="N3497" s="4" t="e">
        <f t="shared" si="713"/>
        <v>#N/A</v>
      </c>
    </row>
    <row r="3498" spans="1:14">
      <c r="A3498">
        <f t="shared" si="714"/>
        <v>0</v>
      </c>
      <c r="B3498">
        <f t="shared" si="715"/>
        <v>0</v>
      </c>
      <c r="C3498">
        <f t="shared" si="716"/>
        <v>0</v>
      </c>
      <c r="D3498">
        <f t="shared" si="717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8"/>
        <v>0</v>
      </c>
      <c r="G3498">
        <f t="shared" si="719"/>
        <v>0</v>
      </c>
      <c r="H3498">
        <f t="shared" si="720"/>
        <v>0</v>
      </c>
      <c r="I3498">
        <f t="shared" si="721"/>
        <v>0</v>
      </c>
      <c r="J3498">
        <f t="shared" si="722"/>
        <v>0</v>
      </c>
      <c r="K3498" s="4" t="e">
        <f t="shared" si="710"/>
        <v>#N/A</v>
      </c>
      <c r="L3498" t="e">
        <f t="shared" si="711"/>
        <v>#N/A</v>
      </c>
      <c r="M3498" s="4" t="e">
        <f t="shared" si="712"/>
        <v>#N/A</v>
      </c>
      <c r="N3498" s="4" t="e">
        <f t="shared" si="713"/>
        <v>#N/A</v>
      </c>
    </row>
    <row r="3499" spans="1:14">
      <c r="A3499">
        <f t="shared" si="714"/>
        <v>0</v>
      </c>
      <c r="B3499">
        <f t="shared" si="715"/>
        <v>0</v>
      </c>
      <c r="C3499">
        <f t="shared" si="716"/>
        <v>0</v>
      </c>
      <c r="D3499">
        <f t="shared" si="717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8"/>
        <v>0</v>
      </c>
      <c r="G3499">
        <f t="shared" si="719"/>
        <v>0</v>
      </c>
      <c r="H3499">
        <f t="shared" si="720"/>
        <v>0</v>
      </c>
      <c r="I3499">
        <f t="shared" si="721"/>
        <v>0</v>
      </c>
      <c r="J3499">
        <f t="shared" si="722"/>
        <v>0</v>
      </c>
      <c r="K3499" s="4" t="e">
        <f t="shared" si="710"/>
        <v>#N/A</v>
      </c>
      <c r="L3499" t="e">
        <f t="shared" si="711"/>
        <v>#N/A</v>
      </c>
      <c r="M3499" s="4" t="e">
        <f t="shared" si="712"/>
        <v>#N/A</v>
      </c>
      <c r="N3499" s="4" t="e">
        <f t="shared" si="713"/>
        <v>#N/A</v>
      </c>
    </row>
    <row r="3500" spans="1:14">
      <c r="A3500">
        <f t="shared" si="714"/>
        <v>0</v>
      </c>
      <c r="B3500">
        <f t="shared" si="715"/>
        <v>0</v>
      </c>
      <c r="C3500">
        <f t="shared" si="716"/>
        <v>0</v>
      </c>
      <c r="D3500">
        <f t="shared" si="717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8"/>
        <v>0</v>
      </c>
      <c r="G3500">
        <f t="shared" si="719"/>
        <v>0</v>
      </c>
      <c r="H3500">
        <f t="shared" si="720"/>
        <v>0</v>
      </c>
      <c r="I3500">
        <f t="shared" si="721"/>
        <v>0</v>
      </c>
      <c r="J3500">
        <f t="shared" si="722"/>
        <v>0</v>
      </c>
      <c r="K3500" s="4" t="e">
        <f t="shared" si="710"/>
        <v>#N/A</v>
      </c>
      <c r="L3500" t="e">
        <f t="shared" si="711"/>
        <v>#N/A</v>
      </c>
      <c r="M3500" s="4" t="e">
        <f t="shared" si="712"/>
        <v>#N/A</v>
      </c>
      <c r="N3500" s="4" t="e">
        <f t="shared" si="713"/>
        <v>#N/A</v>
      </c>
    </row>
    <row r="3501" spans="1:14">
      <c r="A3501">
        <f t="shared" si="714"/>
        <v>0</v>
      </c>
      <c r="B3501">
        <f t="shared" si="715"/>
        <v>0</v>
      </c>
      <c r="C3501">
        <f t="shared" si="716"/>
        <v>0</v>
      </c>
      <c r="D3501">
        <f t="shared" si="717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8"/>
        <v>0</v>
      </c>
      <c r="G3501">
        <f t="shared" si="719"/>
        <v>0</v>
      </c>
      <c r="H3501">
        <f t="shared" si="720"/>
        <v>0</v>
      </c>
      <c r="I3501">
        <f t="shared" si="721"/>
        <v>0</v>
      </c>
      <c r="J3501">
        <f t="shared" si="722"/>
        <v>0</v>
      </c>
      <c r="K3501" s="4" t="e">
        <f t="shared" si="710"/>
        <v>#N/A</v>
      </c>
      <c r="L3501" t="e">
        <f t="shared" si="711"/>
        <v>#N/A</v>
      </c>
      <c r="M3501" s="4" t="e">
        <f t="shared" si="712"/>
        <v>#N/A</v>
      </c>
      <c r="N3501" s="4" t="e">
        <f t="shared" si="713"/>
        <v>#N/A</v>
      </c>
    </row>
    <row r="3502" spans="1:14">
      <c r="A3502">
        <f t="shared" si="714"/>
        <v>0</v>
      </c>
      <c r="B3502">
        <f t="shared" si="715"/>
        <v>0</v>
      </c>
      <c r="C3502">
        <f t="shared" si="716"/>
        <v>0</v>
      </c>
      <c r="D3502">
        <f t="shared" si="717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8"/>
        <v>0</v>
      </c>
      <c r="G3502">
        <f t="shared" si="719"/>
        <v>0</v>
      </c>
      <c r="H3502">
        <f t="shared" si="720"/>
        <v>0</v>
      </c>
      <c r="I3502">
        <f t="shared" si="721"/>
        <v>0</v>
      </c>
      <c r="J3502">
        <f t="shared" si="722"/>
        <v>0</v>
      </c>
      <c r="K3502" s="4" t="e">
        <f t="shared" si="710"/>
        <v>#N/A</v>
      </c>
      <c r="L3502" t="e">
        <f t="shared" si="711"/>
        <v>#N/A</v>
      </c>
      <c r="M3502" s="4" t="e">
        <f t="shared" si="712"/>
        <v>#N/A</v>
      </c>
      <c r="N3502" s="4" t="e">
        <f t="shared" si="713"/>
        <v>#N/A</v>
      </c>
    </row>
    <row r="3503" spans="1:14">
      <c r="A3503">
        <f t="shared" si="714"/>
        <v>0</v>
      </c>
      <c r="B3503">
        <f t="shared" si="715"/>
        <v>0</v>
      </c>
      <c r="C3503">
        <f t="shared" si="716"/>
        <v>0</v>
      </c>
      <c r="D3503">
        <f t="shared" si="717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8"/>
        <v>0</v>
      </c>
      <c r="G3503">
        <f t="shared" si="719"/>
        <v>0</v>
      </c>
      <c r="H3503">
        <f t="shared" si="720"/>
        <v>0</v>
      </c>
      <c r="I3503">
        <f t="shared" si="721"/>
        <v>0</v>
      </c>
      <c r="J3503">
        <f t="shared" si="722"/>
        <v>0</v>
      </c>
      <c r="K3503" s="4" t="e">
        <f t="shared" si="710"/>
        <v>#N/A</v>
      </c>
      <c r="L3503" t="e">
        <f t="shared" si="711"/>
        <v>#N/A</v>
      </c>
      <c r="M3503" s="4" t="e">
        <f t="shared" si="712"/>
        <v>#N/A</v>
      </c>
      <c r="N3503" s="4" t="e">
        <f t="shared" si="713"/>
        <v>#N/A</v>
      </c>
    </row>
    <row r="3504" spans="1:14">
      <c r="A3504">
        <f t="shared" si="714"/>
        <v>0</v>
      </c>
      <c r="B3504">
        <f t="shared" si="715"/>
        <v>0</v>
      </c>
      <c r="C3504">
        <f t="shared" si="716"/>
        <v>0</v>
      </c>
      <c r="D3504">
        <f t="shared" si="717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8"/>
        <v>0</v>
      </c>
      <c r="G3504">
        <f t="shared" si="719"/>
        <v>0</v>
      </c>
      <c r="H3504">
        <f t="shared" si="720"/>
        <v>0</v>
      </c>
      <c r="I3504">
        <f t="shared" si="721"/>
        <v>0</v>
      </c>
      <c r="J3504">
        <f t="shared" si="722"/>
        <v>0</v>
      </c>
      <c r="K3504" s="4" t="e">
        <f t="shared" si="710"/>
        <v>#N/A</v>
      </c>
      <c r="L3504" t="e">
        <f t="shared" si="711"/>
        <v>#N/A</v>
      </c>
      <c r="M3504" s="4" t="e">
        <f t="shared" si="712"/>
        <v>#N/A</v>
      </c>
      <c r="N3504" s="4" t="e">
        <f t="shared" si="713"/>
        <v>#N/A</v>
      </c>
    </row>
    <row r="3505" spans="1:14">
      <c r="A3505">
        <f t="shared" si="714"/>
        <v>0</v>
      </c>
      <c r="B3505">
        <f t="shared" si="715"/>
        <v>0</v>
      </c>
      <c r="C3505">
        <f t="shared" si="716"/>
        <v>0</v>
      </c>
      <c r="D3505">
        <f t="shared" si="717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8"/>
        <v>0</v>
      </c>
      <c r="G3505">
        <f t="shared" si="719"/>
        <v>0</v>
      </c>
      <c r="H3505">
        <f t="shared" si="720"/>
        <v>0</v>
      </c>
      <c r="I3505">
        <f t="shared" si="721"/>
        <v>0</v>
      </c>
      <c r="J3505">
        <f t="shared" si="722"/>
        <v>0</v>
      </c>
      <c r="K3505" s="4" t="e">
        <f t="shared" si="710"/>
        <v>#N/A</v>
      </c>
      <c r="L3505" t="e">
        <f t="shared" si="711"/>
        <v>#N/A</v>
      </c>
      <c r="M3505" s="4" t="e">
        <f t="shared" si="712"/>
        <v>#N/A</v>
      </c>
      <c r="N3505" s="4" t="e">
        <f t="shared" si="713"/>
        <v>#N/A</v>
      </c>
    </row>
    <row r="3506" spans="1:14">
      <c r="A3506">
        <f t="shared" si="714"/>
        <v>0</v>
      </c>
      <c r="B3506">
        <f t="shared" si="715"/>
        <v>0</v>
      </c>
      <c r="C3506">
        <f t="shared" si="716"/>
        <v>0</v>
      </c>
      <c r="D3506">
        <f t="shared" si="717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8"/>
        <v>0</v>
      </c>
      <c r="G3506">
        <f t="shared" si="719"/>
        <v>0</v>
      </c>
      <c r="H3506">
        <f t="shared" si="720"/>
        <v>0</v>
      </c>
      <c r="I3506">
        <f t="shared" si="721"/>
        <v>0</v>
      </c>
      <c r="J3506">
        <f t="shared" si="722"/>
        <v>0</v>
      </c>
      <c r="K3506" s="4" t="e">
        <f t="shared" si="710"/>
        <v>#N/A</v>
      </c>
      <c r="L3506" t="e">
        <f t="shared" si="711"/>
        <v>#N/A</v>
      </c>
      <c r="M3506" s="4" t="e">
        <f t="shared" si="712"/>
        <v>#N/A</v>
      </c>
      <c r="N3506" s="4" t="e">
        <f t="shared" si="713"/>
        <v>#N/A</v>
      </c>
    </row>
    <row r="3507" spans="1:14">
      <c r="A3507">
        <f t="shared" si="714"/>
        <v>0</v>
      </c>
      <c r="B3507">
        <f t="shared" si="715"/>
        <v>0</v>
      </c>
      <c r="C3507">
        <f t="shared" si="716"/>
        <v>0</v>
      </c>
      <c r="D3507">
        <f t="shared" si="717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8"/>
        <v>0</v>
      </c>
      <c r="G3507">
        <f t="shared" si="719"/>
        <v>0</v>
      </c>
      <c r="H3507">
        <f t="shared" si="720"/>
        <v>0</v>
      </c>
      <c r="I3507">
        <f t="shared" si="721"/>
        <v>0</v>
      </c>
      <c r="J3507">
        <f t="shared" si="722"/>
        <v>0</v>
      </c>
      <c r="K3507" s="4" t="e">
        <f t="shared" si="710"/>
        <v>#N/A</v>
      </c>
      <c r="L3507" t="e">
        <f t="shared" si="711"/>
        <v>#N/A</v>
      </c>
      <c r="M3507" s="4" t="e">
        <f t="shared" si="712"/>
        <v>#N/A</v>
      </c>
      <c r="N3507" s="4" t="e">
        <f t="shared" si="713"/>
        <v>#N/A</v>
      </c>
    </row>
    <row r="3508" spans="1:14">
      <c r="A3508">
        <f t="shared" si="714"/>
        <v>0</v>
      </c>
      <c r="B3508">
        <f t="shared" si="715"/>
        <v>0</v>
      </c>
      <c r="C3508">
        <f t="shared" si="716"/>
        <v>0</v>
      </c>
      <c r="D3508">
        <f t="shared" si="717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8"/>
        <v>0</v>
      </c>
      <c r="G3508">
        <f t="shared" si="719"/>
        <v>0</v>
      </c>
      <c r="H3508">
        <f t="shared" si="720"/>
        <v>0</v>
      </c>
      <c r="I3508">
        <f t="shared" si="721"/>
        <v>0</v>
      </c>
      <c r="J3508">
        <f t="shared" si="722"/>
        <v>0</v>
      </c>
      <c r="K3508" s="4" t="e">
        <f t="shared" si="710"/>
        <v>#N/A</v>
      </c>
      <c r="L3508" t="e">
        <f t="shared" si="711"/>
        <v>#N/A</v>
      </c>
      <c r="M3508" s="4" t="e">
        <f t="shared" si="712"/>
        <v>#N/A</v>
      </c>
      <c r="N3508" s="4" t="e">
        <f t="shared" si="713"/>
        <v>#N/A</v>
      </c>
    </row>
    <row r="3509" spans="1:14">
      <c r="A3509">
        <f t="shared" si="714"/>
        <v>0</v>
      </c>
      <c r="B3509">
        <f t="shared" si="715"/>
        <v>0</v>
      </c>
      <c r="C3509">
        <f t="shared" si="716"/>
        <v>0</v>
      </c>
      <c r="D3509">
        <f t="shared" si="717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8"/>
        <v>0</v>
      </c>
      <c r="G3509">
        <f t="shared" si="719"/>
        <v>0</v>
      </c>
      <c r="H3509">
        <f t="shared" si="720"/>
        <v>0</v>
      </c>
      <c r="I3509">
        <f t="shared" si="721"/>
        <v>0</v>
      </c>
      <c r="J3509">
        <f t="shared" si="722"/>
        <v>0</v>
      </c>
      <c r="K3509" s="4" t="e">
        <f t="shared" si="710"/>
        <v>#N/A</v>
      </c>
      <c r="L3509" t="e">
        <f t="shared" si="711"/>
        <v>#N/A</v>
      </c>
      <c r="M3509" s="4" t="e">
        <f t="shared" si="712"/>
        <v>#N/A</v>
      </c>
      <c r="N3509" s="4" t="e">
        <f t="shared" si="713"/>
        <v>#N/A</v>
      </c>
    </row>
    <row r="3510" spans="1:14">
      <c r="A3510">
        <f t="shared" si="714"/>
        <v>0</v>
      </c>
      <c r="B3510">
        <f t="shared" si="715"/>
        <v>0</v>
      </c>
      <c r="C3510">
        <f t="shared" si="716"/>
        <v>0</v>
      </c>
      <c r="D3510">
        <f t="shared" si="717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8"/>
        <v>0</v>
      </c>
      <c r="G3510">
        <f t="shared" si="719"/>
        <v>0</v>
      </c>
      <c r="H3510">
        <f t="shared" si="720"/>
        <v>0</v>
      </c>
      <c r="I3510">
        <f t="shared" si="721"/>
        <v>0</v>
      </c>
      <c r="J3510">
        <f t="shared" si="722"/>
        <v>0</v>
      </c>
      <c r="K3510" s="4" t="e">
        <f t="shared" si="710"/>
        <v>#N/A</v>
      </c>
      <c r="L3510" t="e">
        <f t="shared" si="711"/>
        <v>#N/A</v>
      </c>
      <c r="M3510" s="4" t="e">
        <f t="shared" si="712"/>
        <v>#N/A</v>
      </c>
      <c r="N3510" s="4" t="e">
        <f t="shared" si="713"/>
        <v>#N/A</v>
      </c>
    </row>
    <row r="3511" spans="1:14">
      <c r="A3511">
        <f t="shared" si="714"/>
        <v>0</v>
      </c>
      <c r="B3511">
        <f t="shared" si="715"/>
        <v>0</v>
      </c>
      <c r="C3511">
        <f t="shared" si="716"/>
        <v>0</v>
      </c>
      <c r="D3511">
        <f t="shared" si="717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8"/>
        <v>0</v>
      </c>
      <c r="G3511">
        <f t="shared" si="719"/>
        <v>0</v>
      </c>
      <c r="H3511">
        <f t="shared" si="720"/>
        <v>0</v>
      </c>
      <c r="I3511">
        <f t="shared" si="721"/>
        <v>0</v>
      </c>
      <c r="J3511">
        <f t="shared" si="722"/>
        <v>0</v>
      </c>
      <c r="K3511" s="4" t="e">
        <f t="shared" si="710"/>
        <v>#N/A</v>
      </c>
      <c r="L3511" t="e">
        <f t="shared" si="711"/>
        <v>#N/A</v>
      </c>
      <c r="M3511" s="4" t="e">
        <f t="shared" si="712"/>
        <v>#N/A</v>
      </c>
      <c r="N3511" s="4" t="e">
        <f t="shared" si="713"/>
        <v>#N/A</v>
      </c>
    </row>
    <row r="3512" spans="1:14">
      <c r="A3512">
        <f t="shared" si="714"/>
        <v>0</v>
      </c>
      <c r="B3512">
        <f t="shared" si="715"/>
        <v>0</v>
      </c>
      <c r="C3512">
        <f t="shared" si="716"/>
        <v>0</v>
      </c>
      <c r="D3512">
        <f t="shared" si="717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8"/>
        <v>0</v>
      </c>
      <c r="G3512">
        <f t="shared" si="719"/>
        <v>0</v>
      </c>
      <c r="H3512">
        <f t="shared" si="720"/>
        <v>0</v>
      </c>
      <c r="I3512">
        <f t="shared" si="721"/>
        <v>0</v>
      </c>
      <c r="J3512">
        <f t="shared" si="722"/>
        <v>0</v>
      </c>
      <c r="K3512" s="4" t="e">
        <f t="shared" si="710"/>
        <v>#N/A</v>
      </c>
      <c r="L3512" t="e">
        <f t="shared" si="711"/>
        <v>#N/A</v>
      </c>
      <c r="M3512" s="4" t="e">
        <f t="shared" si="712"/>
        <v>#N/A</v>
      </c>
      <c r="N3512" s="4" t="e">
        <f t="shared" si="713"/>
        <v>#N/A</v>
      </c>
    </row>
    <row r="3513" spans="1:14">
      <c r="A3513">
        <f t="shared" si="714"/>
        <v>0</v>
      </c>
      <c r="B3513">
        <f t="shared" si="715"/>
        <v>0</v>
      </c>
      <c r="C3513">
        <f t="shared" si="716"/>
        <v>0</v>
      </c>
      <c r="D3513">
        <f t="shared" si="717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8"/>
        <v>0</v>
      </c>
      <c r="G3513">
        <f t="shared" si="719"/>
        <v>0</v>
      </c>
      <c r="H3513">
        <f t="shared" si="720"/>
        <v>0</v>
      </c>
      <c r="I3513">
        <f t="shared" si="721"/>
        <v>0</v>
      </c>
      <c r="J3513">
        <f t="shared" si="722"/>
        <v>0</v>
      </c>
      <c r="K3513" s="4" t="e">
        <f t="shared" si="710"/>
        <v>#N/A</v>
      </c>
      <c r="L3513" t="e">
        <f t="shared" si="711"/>
        <v>#N/A</v>
      </c>
      <c r="M3513" s="4" t="e">
        <f t="shared" si="712"/>
        <v>#N/A</v>
      </c>
      <c r="N3513" s="4" t="e">
        <f t="shared" si="713"/>
        <v>#N/A</v>
      </c>
    </row>
    <row r="3514" spans="1:14">
      <c r="A3514">
        <f t="shared" si="714"/>
        <v>0</v>
      </c>
      <c r="B3514">
        <f t="shared" si="715"/>
        <v>0</v>
      </c>
      <c r="C3514">
        <f t="shared" si="716"/>
        <v>0</v>
      </c>
      <c r="D3514">
        <f t="shared" si="717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8"/>
        <v>0</v>
      </c>
      <c r="G3514">
        <f t="shared" si="719"/>
        <v>0</v>
      </c>
      <c r="H3514">
        <f t="shared" si="720"/>
        <v>0</v>
      </c>
      <c r="I3514">
        <f t="shared" si="721"/>
        <v>0</v>
      </c>
      <c r="J3514">
        <f t="shared" si="722"/>
        <v>0</v>
      </c>
      <c r="K3514" s="4" t="e">
        <f t="shared" si="710"/>
        <v>#N/A</v>
      </c>
      <c r="L3514" t="e">
        <f t="shared" si="711"/>
        <v>#N/A</v>
      </c>
      <c r="M3514" s="4" t="e">
        <f t="shared" si="712"/>
        <v>#N/A</v>
      </c>
      <c r="N3514" s="4" t="e">
        <f t="shared" si="713"/>
        <v>#N/A</v>
      </c>
    </row>
    <row r="3515" spans="1:14">
      <c r="A3515">
        <f t="shared" si="714"/>
        <v>0</v>
      </c>
      <c r="B3515">
        <f t="shared" si="715"/>
        <v>0</v>
      </c>
      <c r="C3515">
        <f t="shared" si="716"/>
        <v>0</v>
      </c>
      <c r="D3515">
        <f t="shared" si="717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8"/>
        <v>0</v>
      </c>
      <c r="G3515">
        <f t="shared" si="719"/>
        <v>0</v>
      </c>
      <c r="H3515">
        <f t="shared" si="720"/>
        <v>0</v>
      </c>
      <c r="I3515">
        <f t="shared" si="721"/>
        <v>0</v>
      </c>
      <c r="J3515">
        <f t="shared" si="722"/>
        <v>0</v>
      </c>
      <c r="K3515" s="4" t="e">
        <f t="shared" si="710"/>
        <v>#N/A</v>
      </c>
      <c r="L3515" t="e">
        <f t="shared" si="711"/>
        <v>#N/A</v>
      </c>
      <c r="M3515" s="4" t="e">
        <f t="shared" si="712"/>
        <v>#N/A</v>
      </c>
      <c r="N3515" s="4" t="e">
        <f t="shared" si="713"/>
        <v>#N/A</v>
      </c>
    </row>
    <row r="3516" spans="1:14">
      <c r="A3516">
        <f t="shared" si="714"/>
        <v>0</v>
      </c>
      <c r="B3516">
        <f t="shared" si="715"/>
        <v>0</v>
      </c>
      <c r="C3516">
        <f t="shared" si="716"/>
        <v>0</v>
      </c>
      <c r="D3516">
        <f t="shared" si="717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8"/>
        <v>0</v>
      </c>
      <c r="G3516">
        <f t="shared" si="719"/>
        <v>0</v>
      </c>
      <c r="H3516">
        <f t="shared" si="720"/>
        <v>0</v>
      </c>
      <c r="I3516">
        <f t="shared" si="721"/>
        <v>0</v>
      </c>
      <c r="J3516">
        <f t="shared" si="722"/>
        <v>0</v>
      </c>
      <c r="K3516" s="4" t="e">
        <f t="shared" si="710"/>
        <v>#N/A</v>
      </c>
      <c r="L3516" t="e">
        <f t="shared" si="711"/>
        <v>#N/A</v>
      </c>
      <c r="M3516" s="4" t="e">
        <f t="shared" si="712"/>
        <v>#N/A</v>
      </c>
      <c r="N3516" s="4" t="e">
        <f t="shared" si="713"/>
        <v>#N/A</v>
      </c>
    </row>
    <row r="3517" spans="1:14">
      <c r="A3517">
        <f t="shared" si="714"/>
        <v>0</v>
      </c>
      <c r="B3517">
        <f t="shared" si="715"/>
        <v>0</v>
      </c>
      <c r="C3517">
        <f t="shared" si="716"/>
        <v>0</v>
      </c>
      <c r="D3517">
        <f t="shared" si="717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8"/>
        <v>0</v>
      </c>
      <c r="G3517">
        <f t="shared" si="719"/>
        <v>0</v>
      </c>
      <c r="H3517">
        <f t="shared" si="720"/>
        <v>0</v>
      </c>
      <c r="I3517">
        <f t="shared" si="721"/>
        <v>0</v>
      </c>
      <c r="J3517">
        <f t="shared" si="722"/>
        <v>0</v>
      </c>
      <c r="K3517" s="4" t="e">
        <f t="shared" ref="K3517:K3580" si="723">IF(LEFT(B3517,3)="DBM",0,VLOOKUP(E3517,tabela,2,FALSE))</f>
        <v>#N/A</v>
      </c>
      <c r="L3517" t="e">
        <f t="shared" ref="L3517:L3580" si="724">VLOOKUP(E3517,tabela,3,FALSE)</f>
        <v>#N/A</v>
      </c>
      <c r="M3517" s="4" t="e">
        <f t="shared" ref="M3517:M3580" si="725">IF(E3517="Dynamic Click",J3517*K3517,K3517*$I3517/1000)</f>
        <v>#N/A</v>
      </c>
      <c r="N3517" s="4" t="e">
        <f t="shared" ref="N3517:N3580" si="726">IF(E3517="Dynamic Click",J3517*L3517,L3517*$I3517/1000)</f>
        <v>#N/A</v>
      </c>
    </row>
    <row r="3518" spans="1:14">
      <c r="A3518">
        <f t="shared" si="714"/>
        <v>0</v>
      </c>
      <c r="B3518">
        <f t="shared" si="715"/>
        <v>0</v>
      </c>
      <c r="C3518">
        <f t="shared" si="716"/>
        <v>0</v>
      </c>
      <c r="D3518">
        <f t="shared" si="717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8"/>
        <v>0</v>
      </c>
      <c r="G3518">
        <f t="shared" si="719"/>
        <v>0</v>
      </c>
      <c r="H3518">
        <f t="shared" si="720"/>
        <v>0</v>
      </c>
      <c r="I3518">
        <f t="shared" si="721"/>
        <v>0</v>
      </c>
      <c r="J3518">
        <f t="shared" si="722"/>
        <v>0</v>
      </c>
      <c r="K3518" s="4" t="e">
        <f t="shared" si="723"/>
        <v>#N/A</v>
      </c>
      <c r="L3518" t="e">
        <f t="shared" si="724"/>
        <v>#N/A</v>
      </c>
      <c r="M3518" s="4" t="e">
        <f t="shared" si="725"/>
        <v>#N/A</v>
      </c>
      <c r="N3518" s="4" t="e">
        <f t="shared" si="726"/>
        <v>#N/A</v>
      </c>
    </row>
    <row r="3519" spans="1:14">
      <c r="A3519">
        <f t="shared" si="714"/>
        <v>0</v>
      </c>
      <c r="B3519">
        <f t="shared" si="715"/>
        <v>0</v>
      </c>
      <c r="C3519">
        <f t="shared" si="716"/>
        <v>0</v>
      </c>
      <c r="D3519">
        <f t="shared" si="717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8"/>
        <v>0</v>
      </c>
      <c r="G3519">
        <f t="shared" si="719"/>
        <v>0</v>
      </c>
      <c r="H3519">
        <f t="shared" si="720"/>
        <v>0</v>
      </c>
      <c r="I3519">
        <f t="shared" si="721"/>
        <v>0</v>
      </c>
      <c r="J3519">
        <f t="shared" si="722"/>
        <v>0</v>
      </c>
      <c r="K3519" s="4" t="e">
        <f t="shared" si="723"/>
        <v>#N/A</v>
      </c>
      <c r="L3519" t="e">
        <f t="shared" si="724"/>
        <v>#N/A</v>
      </c>
      <c r="M3519" s="4" t="e">
        <f t="shared" si="725"/>
        <v>#N/A</v>
      </c>
      <c r="N3519" s="4" t="e">
        <f t="shared" si="726"/>
        <v>#N/A</v>
      </c>
    </row>
    <row r="3520" spans="1:14">
      <c r="A3520">
        <f t="shared" si="714"/>
        <v>0</v>
      </c>
      <c r="B3520">
        <f t="shared" si="715"/>
        <v>0</v>
      </c>
      <c r="C3520">
        <f t="shared" si="716"/>
        <v>0</v>
      </c>
      <c r="D3520">
        <f t="shared" si="717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8"/>
        <v>0</v>
      </c>
      <c r="G3520">
        <f t="shared" si="719"/>
        <v>0</v>
      </c>
      <c r="H3520">
        <f t="shared" si="720"/>
        <v>0</v>
      </c>
      <c r="I3520">
        <f t="shared" si="721"/>
        <v>0</v>
      </c>
      <c r="J3520">
        <f t="shared" si="722"/>
        <v>0</v>
      </c>
      <c r="K3520" s="4" t="e">
        <f t="shared" si="723"/>
        <v>#N/A</v>
      </c>
      <c r="L3520" t="e">
        <f t="shared" si="724"/>
        <v>#N/A</v>
      </c>
      <c r="M3520" s="4" t="e">
        <f t="shared" si="725"/>
        <v>#N/A</v>
      </c>
      <c r="N3520" s="4" t="e">
        <f t="shared" si="726"/>
        <v>#N/A</v>
      </c>
    </row>
    <row r="3521" spans="1:14">
      <c r="A3521">
        <f t="shared" si="714"/>
        <v>0</v>
      </c>
      <c r="B3521">
        <f t="shared" si="715"/>
        <v>0</v>
      </c>
      <c r="C3521">
        <f t="shared" si="716"/>
        <v>0</v>
      </c>
      <c r="D3521">
        <f t="shared" si="717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8"/>
        <v>0</v>
      </c>
      <c r="G3521">
        <f t="shared" si="719"/>
        <v>0</v>
      </c>
      <c r="H3521">
        <f t="shared" si="720"/>
        <v>0</v>
      </c>
      <c r="I3521">
        <f t="shared" si="721"/>
        <v>0</v>
      </c>
      <c r="J3521">
        <f t="shared" si="722"/>
        <v>0</v>
      </c>
      <c r="K3521" s="4" t="e">
        <f t="shared" si="723"/>
        <v>#N/A</v>
      </c>
      <c r="L3521" t="e">
        <f t="shared" si="724"/>
        <v>#N/A</v>
      </c>
      <c r="M3521" s="4" t="e">
        <f t="shared" si="725"/>
        <v>#N/A</v>
      </c>
      <c r="N3521" s="4" t="e">
        <f t="shared" si="726"/>
        <v>#N/A</v>
      </c>
    </row>
    <row r="3522" spans="1:14">
      <c r="A3522">
        <f t="shared" ref="A3522:A3585" si="727">bd_campaign</f>
        <v>0</v>
      </c>
      <c r="B3522">
        <f t="shared" ref="B3522:B3585" si="728">bd_site</f>
        <v>0</v>
      </c>
      <c r="C3522">
        <f t="shared" ref="C3522:C3585" si="729">bd_placement</f>
        <v>0</v>
      </c>
      <c r="D3522">
        <f t="shared" ref="D3522:D3585" si="730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31">bd_ad</f>
        <v>0</v>
      </c>
      <c r="G3522">
        <f t="shared" ref="G3522:G3585" si="732">bd_adid</f>
        <v>0</v>
      </c>
      <c r="H3522">
        <f t="shared" ref="H3522:H3585" si="733">bd_creativetype</f>
        <v>0</v>
      </c>
      <c r="I3522">
        <f t="shared" ref="I3522:I3585" si="734">bd_impression</f>
        <v>0</v>
      </c>
      <c r="J3522">
        <f t="shared" ref="J3522:J3585" si="735">bd_clicks</f>
        <v>0</v>
      </c>
      <c r="K3522" s="4" t="e">
        <f t="shared" si="723"/>
        <v>#N/A</v>
      </c>
      <c r="L3522" t="e">
        <f t="shared" si="724"/>
        <v>#N/A</v>
      </c>
      <c r="M3522" s="4" t="e">
        <f t="shared" si="725"/>
        <v>#N/A</v>
      </c>
      <c r="N3522" s="4" t="e">
        <f t="shared" si="726"/>
        <v>#N/A</v>
      </c>
    </row>
    <row r="3523" spans="1:14">
      <c r="A3523">
        <f t="shared" si="727"/>
        <v>0</v>
      </c>
      <c r="B3523">
        <f t="shared" si="728"/>
        <v>0</v>
      </c>
      <c r="C3523">
        <f t="shared" si="729"/>
        <v>0</v>
      </c>
      <c r="D3523">
        <f t="shared" si="730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31"/>
        <v>0</v>
      </c>
      <c r="G3523">
        <f t="shared" si="732"/>
        <v>0</v>
      </c>
      <c r="H3523">
        <f t="shared" si="733"/>
        <v>0</v>
      </c>
      <c r="I3523">
        <f t="shared" si="734"/>
        <v>0</v>
      </c>
      <c r="J3523">
        <f t="shared" si="735"/>
        <v>0</v>
      </c>
      <c r="K3523" s="4" t="e">
        <f t="shared" si="723"/>
        <v>#N/A</v>
      </c>
      <c r="L3523" t="e">
        <f t="shared" si="724"/>
        <v>#N/A</v>
      </c>
      <c r="M3523" s="4" t="e">
        <f t="shared" si="725"/>
        <v>#N/A</v>
      </c>
      <c r="N3523" s="4" t="e">
        <f t="shared" si="726"/>
        <v>#N/A</v>
      </c>
    </row>
    <row r="3524" spans="1:14">
      <c r="A3524">
        <f t="shared" si="727"/>
        <v>0</v>
      </c>
      <c r="B3524">
        <f t="shared" si="728"/>
        <v>0</v>
      </c>
      <c r="C3524">
        <f t="shared" si="729"/>
        <v>0</v>
      </c>
      <c r="D3524">
        <f t="shared" si="730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31"/>
        <v>0</v>
      </c>
      <c r="G3524">
        <f t="shared" si="732"/>
        <v>0</v>
      </c>
      <c r="H3524">
        <f t="shared" si="733"/>
        <v>0</v>
      </c>
      <c r="I3524">
        <f t="shared" si="734"/>
        <v>0</v>
      </c>
      <c r="J3524">
        <f t="shared" si="735"/>
        <v>0</v>
      </c>
      <c r="K3524" s="4" t="e">
        <f t="shared" si="723"/>
        <v>#N/A</v>
      </c>
      <c r="L3524" t="e">
        <f t="shared" si="724"/>
        <v>#N/A</v>
      </c>
      <c r="M3524" s="4" t="e">
        <f t="shared" si="725"/>
        <v>#N/A</v>
      </c>
      <c r="N3524" s="4" t="e">
        <f t="shared" si="726"/>
        <v>#N/A</v>
      </c>
    </row>
    <row r="3525" spans="1:14">
      <c r="A3525">
        <f t="shared" si="727"/>
        <v>0</v>
      </c>
      <c r="B3525">
        <f t="shared" si="728"/>
        <v>0</v>
      </c>
      <c r="C3525">
        <f t="shared" si="729"/>
        <v>0</v>
      </c>
      <c r="D3525">
        <f t="shared" si="730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31"/>
        <v>0</v>
      </c>
      <c r="G3525">
        <f t="shared" si="732"/>
        <v>0</v>
      </c>
      <c r="H3525">
        <f t="shared" si="733"/>
        <v>0</v>
      </c>
      <c r="I3525">
        <f t="shared" si="734"/>
        <v>0</v>
      </c>
      <c r="J3525">
        <f t="shared" si="735"/>
        <v>0</v>
      </c>
      <c r="K3525" s="4" t="e">
        <f t="shared" si="723"/>
        <v>#N/A</v>
      </c>
      <c r="L3525" t="e">
        <f t="shared" si="724"/>
        <v>#N/A</v>
      </c>
      <c r="M3525" s="4" t="e">
        <f t="shared" si="725"/>
        <v>#N/A</v>
      </c>
      <c r="N3525" s="4" t="e">
        <f t="shared" si="726"/>
        <v>#N/A</v>
      </c>
    </row>
    <row r="3526" spans="1:14">
      <c r="A3526">
        <f t="shared" si="727"/>
        <v>0</v>
      </c>
      <c r="B3526">
        <f t="shared" si="728"/>
        <v>0</v>
      </c>
      <c r="C3526">
        <f t="shared" si="729"/>
        <v>0</v>
      </c>
      <c r="D3526">
        <f t="shared" si="730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31"/>
        <v>0</v>
      </c>
      <c r="G3526">
        <f t="shared" si="732"/>
        <v>0</v>
      </c>
      <c r="H3526">
        <f t="shared" si="733"/>
        <v>0</v>
      </c>
      <c r="I3526">
        <f t="shared" si="734"/>
        <v>0</v>
      </c>
      <c r="J3526">
        <f t="shared" si="735"/>
        <v>0</v>
      </c>
      <c r="K3526" s="4" t="e">
        <f t="shared" si="723"/>
        <v>#N/A</v>
      </c>
      <c r="L3526" t="e">
        <f t="shared" si="724"/>
        <v>#N/A</v>
      </c>
      <c r="M3526" s="4" t="e">
        <f t="shared" si="725"/>
        <v>#N/A</v>
      </c>
      <c r="N3526" s="4" t="e">
        <f t="shared" si="726"/>
        <v>#N/A</v>
      </c>
    </row>
    <row r="3527" spans="1:14">
      <c r="A3527">
        <f t="shared" si="727"/>
        <v>0</v>
      </c>
      <c r="B3527">
        <f t="shared" si="728"/>
        <v>0</v>
      </c>
      <c r="C3527">
        <f t="shared" si="729"/>
        <v>0</v>
      </c>
      <c r="D3527">
        <f t="shared" si="730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31"/>
        <v>0</v>
      </c>
      <c r="G3527">
        <f t="shared" si="732"/>
        <v>0</v>
      </c>
      <c r="H3527">
        <f t="shared" si="733"/>
        <v>0</v>
      </c>
      <c r="I3527">
        <f t="shared" si="734"/>
        <v>0</v>
      </c>
      <c r="J3527">
        <f t="shared" si="735"/>
        <v>0</v>
      </c>
      <c r="K3527" s="4" t="e">
        <f t="shared" si="723"/>
        <v>#N/A</v>
      </c>
      <c r="L3527" t="e">
        <f t="shared" si="724"/>
        <v>#N/A</v>
      </c>
      <c r="M3527" s="4" t="e">
        <f t="shared" si="725"/>
        <v>#N/A</v>
      </c>
      <c r="N3527" s="4" t="e">
        <f t="shared" si="726"/>
        <v>#N/A</v>
      </c>
    </row>
    <row r="3528" spans="1:14">
      <c r="A3528">
        <f t="shared" si="727"/>
        <v>0</v>
      </c>
      <c r="B3528">
        <f t="shared" si="728"/>
        <v>0</v>
      </c>
      <c r="C3528">
        <f t="shared" si="729"/>
        <v>0</v>
      </c>
      <c r="D3528">
        <f t="shared" si="730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31"/>
        <v>0</v>
      </c>
      <c r="G3528">
        <f t="shared" si="732"/>
        <v>0</v>
      </c>
      <c r="H3528">
        <f t="shared" si="733"/>
        <v>0</v>
      </c>
      <c r="I3528">
        <f t="shared" si="734"/>
        <v>0</v>
      </c>
      <c r="J3528">
        <f t="shared" si="735"/>
        <v>0</v>
      </c>
      <c r="K3528" s="4" t="e">
        <f t="shared" si="723"/>
        <v>#N/A</v>
      </c>
      <c r="L3528" t="e">
        <f t="shared" si="724"/>
        <v>#N/A</v>
      </c>
      <c r="M3528" s="4" t="e">
        <f t="shared" si="725"/>
        <v>#N/A</v>
      </c>
      <c r="N3528" s="4" t="e">
        <f t="shared" si="726"/>
        <v>#N/A</v>
      </c>
    </row>
    <row r="3529" spans="1:14">
      <c r="A3529">
        <f t="shared" si="727"/>
        <v>0</v>
      </c>
      <c r="B3529">
        <f t="shared" si="728"/>
        <v>0</v>
      </c>
      <c r="C3529">
        <f t="shared" si="729"/>
        <v>0</v>
      </c>
      <c r="D3529">
        <f t="shared" si="730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31"/>
        <v>0</v>
      </c>
      <c r="G3529">
        <f t="shared" si="732"/>
        <v>0</v>
      </c>
      <c r="H3529">
        <f t="shared" si="733"/>
        <v>0</v>
      </c>
      <c r="I3529">
        <f t="shared" si="734"/>
        <v>0</v>
      </c>
      <c r="J3529">
        <f t="shared" si="735"/>
        <v>0</v>
      </c>
      <c r="K3529" s="4" t="e">
        <f t="shared" si="723"/>
        <v>#N/A</v>
      </c>
      <c r="L3529" t="e">
        <f t="shared" si="724"/>
        <v>#N/A</v>
      </c>
      <c r="M3529" s="4" t="e">
        <f t="shared" si="725"/>
        <v>#N/A</v>
      </c>
      <c r="N3529" s="4" t="e">
        <f t="shared" si="726"/>
        <v>#N/A</v>
      </c>
    </row>
    <row r="3530" spans="1:14">
      <c r="A3530">
        <f t="shared" si="727"/>
        <v>0</v>
      </c>
      <c r="B3530">
        <f t="shared" si="728"/>
        <v>0</v>
      </c>
      <c r="C3530">
        <f t="shared" si="729"/>
        <v>0</v>
      </c>
      <c r="D3530">
        <f t="shared" si="730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31"/>
        <v>0</v>
      </c>
      <c r="G3530">
        <f t="shared" si="732"/>
        <v>0</v>
      </c>
      <c r="H3530">
        <f t="shared" si="733"/>
        <v>0</v>
      </c>
      <c r="I3530">
        <f t="shared" si="734"/>
        <v>0</v>
      </c>
      <c r="J3530">
        <f t="shared" si="735"/>
        <v>0</v>
      </c>
      <c r="K3530" s="4" t="e">
        <f t="shared" si="723"/>
        <v>#N/A</v>
      </c>
      <c r="L3530" t="e">
        <f t="shared" si="724"/>
        <v>#N/A</v>
      </c>
      <c r="M3530" s="4" t="e">
        <f t="shared" si="725"/>
        <v>#N/A</v>
      </c>
      <c r="N3530" s="4" t="e">
        <f t="shared" si="726"/>
        <v>#N/A</v>
      </c>
    </row>
    <row r="3531" spans="1:14">
      <c r="A3531">
        <f t="shared" si="727"/>
        <v>0</v>
      </c>
      <c r="B3531">
        <f t="shared" si="728"/>
        <v>0</v>
      </c>
      <c r="C3531">
        <f t="shared" si="729"/>
        <v>0</v>
      </c>
      <c r="D3531">
        <f t="shared" si="730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31"/>
        <v>0</v>
      </c>
      <c r="G3531">
        <f t="shared" si="732"/>
        <v>0</v>
      </c>
      <c r="H3531">
        <f t="shared" si="733"/>
        <v>0</v>
      </c>
      <c r="I3531">
        <f t="shared" si="734"/>
        <v>0</v>
      </c>
      <c r="J3531">
        <f t="shared" si="735"/>
        <v>0</v>
      </c>
      <c r="K3531" s="4" t="e">
        <f t="shared" si="723"/>
        <v>#N/A</v>
      </c>
      <c r="L3531" t="e">
        <f t="shared" si="724"/>
        <v>#N/A</v>
      </c>
      <c r="M3531" s="4" t="e">
        <f t="shared" si="725"/>
        <v>#N/A</v>
      </c>
      <c r="N3531" s="4" t="e">
        <f t="shared" si="726"/>
        <v>#N/A</v>
      </c>
    </row>
    <row r="3532" spans="1:14">
      <c r="A3532">
        <f t="shared" si="727"/>
        <v>0</v>
      </c>
      <c r="B3532">
        <f t="shared" si="728"/>
        <v>0</v>
      </c>
      <c r="C3532">
        <f t="shared" si="729"/>
        <v>0</v>
      </c>
      <c r="D3532">
        <f t="shared" si="730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31"/>
        <v>0</v>
      </c>
      <c r="G3532">
        <f t="shared" si="732"/>
        <v>0</v>
      </c>
      <c r="H3532">
        <f t="shared" si="733"/>
        <v>0</v>
      </c>
      <c r="I3532">
        <f t="shared" si="734"/>
        <v>0</v>
      </c>
      <c r="J3532">
        <f t="shared" si="735"/>
        <v>0</v>
      </c>
      <c r="K3532" s="4" t="e">
        <f t="shared" si="723"/>
        <v>#N/A</v>
      </c>
      <c r="L3532" t="e">
        <f t="shared" si="724"/>
        <v>#N/A</v>
      </c>
      <c r="M3532" s="4" t="e">
        <f t="shared" si="725"/>
        <v>#N/A</v>
      </c>
      <c r="N3532" s="4" t="e">
        <f t="shared" si="726"/>
        <v>#N/A</v>
      </c>
    </row>
    <row r="3533" spans="1:14">
      <c r="A3533">
        <f t="shared" si="727"/>
        <v>0</v>
      </c>
      <c r="B3533">
        <f t="shared" si="728"/>
        <v>0</v>
      </c>
      <c r="C3533">
        <f t="shared" si="729"/>
        <v>0</v>
      </c>
      <c r="D3533">
        <f t="shared" si="730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31"/>
        <v>0</v>
      </c>
      <c r="G3533">
        <f t="shared" si="732"/>
        <v>0</v>
      </c>
      <c r="H3533">
        <f t="shared" si="733"/>
        <v>0</v>
      </c>
      <c r="I3533">
        <f t="shared" si="734"/>
        <v>0</v>
      </c>
      <c r="J3533">
        <f t="shared" si="735"/>
        <v>0</v>
      </c>
      <c r="K3533" s="4" t="e">
        <f t="shared" si="723"/>
        <v>#N/A</v>
      </c>
      <c r="L3533" t="e">
        <f t="shared" si="724"/>
        <v>#N/A</v>
      </c>
      <c r="M3533" s="4" t="e">
        <f t="shared" si="725"/>
        <v>#N/A</v>
      </c>
      <c r="N3533" s="4" t="e">
        <f t="shared" si="726"/>
        <v>#N/A</v>
      </c>
    </row>
    <row r="3534" spans="1:14">
      <c r="A3534">
        <f t="shared" si="727"/>
        <v>0</v>
      </c>
      <c r="B3534">
        <f t="shared" si="728"/>
        <v>0</v>
      </c>
      <c r="C3534">
        <f t="shared" si="729"/>
        <v>0</v>
      </c>
      <c r="D3534">
        <f t="shared" si="730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31"/>
        <v>0</v>
      </c>
      <c r="G3534">
        <f t="shared" si="732"/>
        <v>0</v>
      </c>
      <c r="H3534">
        <f t="shared" si="733"/>
        <v>0</v>
      </c>
      <c r="I3534">
        <f t="shared" si="734"/>
        <v>0</v>
      </c>
      <c r="J3534">
        <f t="shared" si="735"/>
        <v>0</v>
      </c>
      <c r="K3534" s="4" t="e">
        <f t="shared" si="723"/>
        <v>#N/A</v>
      </c>
      <c r="L3534" t="e">
        <f t="shared" si="724"/>
        <v>#N/A</v>
      </c>
      <c r="M3534" s="4" t="e">
        <f t="shared" si="725"/>
        <v>#N/A</v>
      </c>
      <c r="N3534" s="4" t="e">
        <f t="shared" si="726"/>
        <v>#N/A</v>
      </c>
    </row>
    <row r="3535" spans="1:14">
      <c r="A3535">
        <f t="shared" si="727"/>
        <v>0</v>
      </c>
      <c r="B3535">
        <f t="shared" si="728"/>
        <v>0</v>
      </c>
      <c r="C3535">
        <f t="shared" si="729"/>
        <v>0</v>
      </c>
      <c r="D3535">
        <f t="shared" si="730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31"/>
        <v>0</v>
      </c>
      <c r="G3535">
        <f t="shared" si="732"/>
        <v>0</v>
      </c>
      <c r="H3535">
        <f t="shared" si="733"/>
        <v>0</v>
      </c>
      <c r="I3535">
        <f t="shared" si="734"/>
        <v>0</v>
      </c>
      <c r="J3535">
        <f t="shared" si="735"/>
        <v>0</v>
      </c>
      <c r="K3535" s="4" t="e">
        <f t="shared" si="723"/>
        <v>#N/A</v>
      </c>
      <c r="L3535" t="e">
        <f t="shared" si="724"/>
        <v>#N/A</v>
      </c>
      <c r="M3535" s="4" t="e">
        <f t="shared" si="725"/>
        <v>#N/A</v>
      </c>
      <c r="N3535" s="4" t="e">
        <f t="shared" si="726"/>
        <v>#N/A</v>
      </c>
    </row>
    <row r="3536" spans="1:14">
      <c r="A3536">
        <f t="shared" si="727"/>
        <v>0</v>
      </c>
      <c r="B3536">
        <f t="shared" si="728"/>
        <v>0</v>
      </c>
      <c r="C3536">
        <f t="shared" si="729"/>
        <v>0</v>
      </c>
      <c r="D3536">
        <f t="shared" si="730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31"/>
        <v>0</v>
      </c>
      <c r="G3536">
        <f t="shared" si="732"/>
        <v>0</v>
      </c>
      <c r="H3536">
        <f t="shared" si="733"/>
        <v>0</v>
      </c>
      <c r="I3536">
        <f t="shared" si="734"/>
        <v>0</v>
      </c>
      <c r="J3536">
        <f t="shared" si="735"/>
        <v>0</v>
      </c>
      <c r="K3536" s="4" t="e">
        <f t="shared" si="723"/>
        <v>#N/A</v>
      </c>
      <c r="L3536" t="e">
        <f t="shared" si="724"/>
        <v>#N/A</v>
      </c>
      <c r="M3536" s="4" t="e">
        <f t="shared" si="725"/>
        <v>#N/A</v>
      </c>
      <c r="N3536" s="4" t="e">
        <f t="shared" si="726"/>
        <v>#N/A</v>
      </c>
    </row>
    <row r="3537" spans="1:14">
      <c r="A3537">
        <f t="shared" si="727"/>
        <v>0</v>
      </c>
      <c r="B3537">
        <f t="shared" si="728"/>
        <v>0</v>
      </c>
      <c r="C3537">
        <f t="shared" si="729"/>
        <v>0</v>
      </c>
      <c r="D3537">
        <f t="shared" si="730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31"/>
        <v>0</v>
      </c>
      <c r="G3537">
        <f t="shared" si="732"/>
        <v>0</v>
      </c>
      <c r="H3537">
        <f t="shared" si="733"/>
        <v>0</v>
      </c>
      <c r="I3537">
        <f t="shared" si="734"/>
        <v>0</v>
      </c>
      <c r="J3537">
        <f t="shared" si="735"/>
        <v>0</v>
      </c>
      <c r="K3537" s="4" t="e">
        <f t="shared" si="723"/>
        <v>#N/A</v>
      </c>
      <c r="L3537" t="e">
        <f t="shared" si="724"/>
        <v>#N/A</v>
      </c>
      <c r="M3537" s="4" t="e">
        <f t="shared" si="725"/>
        <v>#N/A</v>
      </c>
      <c r="N3537" s="4" t="e">
        <f t="shared" si="726"/>
        <v>#N/A</v>
      </c>
    </row>
    <row r="3538" spans="1:14">
      <c r="A3538">
        <f t="shared" si="727"/>
        <v>0</v>
      </c>
      <c r="B3538">
        <f t="shared" si="728"/>
        <v>0</v>
      </c>
      <c r="C3538">
        <f t="shared" si="729"/>
        <v>0</v>
      </c>
      <c r="D3538">
        <f t="shared" si="730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31"/>
        <v>0</v>
      </c>
      <c r="G3538">
        <f t="shared" si="732"/>
        <v>0</v>
      </c>
      <c r="H3538">
        <f t="shared" si="733"/>
        <v>0</v>
      </c>
      <c r="I3538">
        <f t="shared" si="734"/>
        <v>0</v>
      </c>
      <c r="J3538">
        <f t="shared" si="735"/>
        <v>0</v>
      </c>
      <c r="K3538" s="4" t="e">
        <f t="shared" si="723"/>
        <v>#N/A</v>
      </c>
      <c r="L3538" t="e">
        <f t="shared" si="724"/>
        <v>#N/A</v>
      </c>
      <c r="M3538" s="4" t="e">
        <f t="shared" si="725"/>
        <v>#N/A</v>
      </c>
      <c r="N3538" s="4" t="e">
        <f t="shared" si="726"/>
        <v>#N/A</v>
      </c>
    </row>
    <row r="3539" spans="1:14">
      <c r="A3539">
        <f t="shared" si="727"/>
        <v>0</v>
      </c>
      <c r="B3539">
        <f t="shared" si="728"/>
        <v>0</v>
      </c>
      <c r="C3539">
        <f t="shared" si="729"/>
        <v>0</v>
      </c>
      <c r="D3539">
        <f t="shared" si="730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31"/>
        <v>0</v>
      </c>
      <c r="G3539">
        <f t="shared" si="732"/>
        <v>0</v>
      </c>
      <c r="H3539">
        <f t="shared" si="733"/>
        <v>0</v>
      </c>
      <c r="I3539">
        <f t="shared" si="734"/>
        <v>0</v>
      </c>
      <c r="J3539">
        <f t="shared" si="735"/>
        <v>0</v>
      </c>
      <c r="K3539" s="4" t="e">
        <f t="shared" si="723"/>
        <v>#N/A</v>
      </c>
      <c r="L3539" t="e">
        <f t="shared" si="724"/>
        <v>#N/A</v>
      </c>
      <c r="M3539" s="4" t="e">
        <f t="shared" si="725"/>
        <v>#N/A</v>
      </c>
      <c r="N3539" s="4" t="e">
        <f t="shared" si="726"/>
        <v>#N/A</v>
      </c>
    </row>
    <row r="3540" spans="1:14">
      <c r="A3540">
        <f t="shared" si="727"/>
        <v>0</v>
      </c>
      <c r="B3540">
        <f t="shared" si="728"/>
        <v>0</v>
      </c>
      <c r="C3540">
        <f t="shared" si="729"/>
        <v>0</v>
      </c>
      <c r="D3540">
        <f t="shared" si="730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31"/>
        <v>0</v>
      </c>
      <c r="G3540">
        <f t="shared" si="732"/>
        <v>0</v>
      </c>
      <c r="H3540">
        <f t="shared" si="733"/>
        <v>0</v>
      </c>
      <c r="I3540">
        <f t="shared" si="734"/>
        <v>0</v>
      </c>
      <c r="J3540">
        <f t="shared" si="735"/>
        <v>0</v>
      </c>
      <c r="K3540" s="4" t="e">
        <f t="shared" si="723"/>
        <v>#N/A</v>
      </c>
      <c r="L3540" t="e">
        <f t="shared" si="724"/>
        <v>#N/A</v>
      </c>
      <c r="M3540" s="4" t="e">
        <f t="shared" si="725"/>
        <v>#N/A</v>
      </c>
      <c r="N3540" s="4" t="e">
        <f t="shared" si="726"/>
        <v>#N/A</v>
      </c>
    </row>
    <row r="3541" spans="1:14">
      <c r="A3541">
        <f t="shared" si="727"/>
        <v>0</v>
      </c>
      <c r="B3541">
        <f t="shared" si="728"/>
        <v>0</v>
      </c>
      <c r="C3541">
        <f t="shared" si="729"/>
        <v>0</v>
      </c>
      <c r="D3541">
        <f t="shared" si="730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31"/>
        <v>0</v>
      </c>
      <c r="G3541">
        <f t="shared" si="732"/>
        <v>0</v>
      </c>
      <c r="H3541">
        <f t="shared" si="733"/>
        <v>0</v>
      </c>
      <c r="I3541">
        <f t="shared" si="734"/>
        <v>0</v>
      </c>
      <c r="J3541">
        <f t="shared" si="735"/>
        <v>0</v>
      </c>
      <c r="K3541" s="4" t="e">
        <f t="shared" si="723"/>
        <v>#N/A</v>
      </c>
      <c r="L3541" t="e">
        <f t="shared" si="724"/>
        <v>#N/A</v>
      </c>
      <c r="M3541" s="4" t="e">
        <f t="shared" si="725"/>
        <v>#N/A</v>
      </c>
      <c r="N3541" s="4" t="e">
        <f t="shared" si="726"/>
        <v>#N/A</v>
      </c>
    </row>
    <row r="3542" spans="1:14">
      <c r="A3542">
        <f t="shared" si="727"/>
        <v>0</v>
      </c>
      <c r="B3542">
        <f t="shared" si="728"/>
        <v>0</v>
      </c>
      <c r="C3542">
        <f t="shared" si="729"/>
        <v>0</v>
      </c>
      <c r="D3542">
        <f t="shared" si="730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31"/>
        <v>0</v>
      </c>
      <c r="G3542">
        <f t="shared" si="732"/>
        <v>0</v>
      </c>
      <c r="H3542">
        <f t="shared" si="733"/>
        <v>0</v>
      </c>
      <c r="I3542">
        <f t="shared" si="734"/>
        <v>0</v>
      </c>
      <c r="J3542">
        <f t="shared" si="735"/>
        <v>0</v>
      </c>
      <c r="K3542" s="4" t="e">
        <f t="shared" si="723"/>
        <v>#N/A</v>
      </c>
      <c r="L3542" t="e">
        <f t="shared" si="724"/>
        <v>#N/A</v>
      </c>
      <c r="M3542" s="4" t="e">
        <f t="shared" si="725"/>
        <v>#N/A</v>
      </c>
      <c r="N3542" s="4" t="e">
        <f t="shared" si="726"/>
        <v>#N/A</v>
      </c>
    </row>
    <row r="3543" spans="1:14">
      <c r="A3543">
        <f t="shared" si="727"/>
        <v>0</v>
      </c>
      <c r="B3543">
        <f t="shared" si="728"/>
        <v>0</v>
      </c>
      <c r="C3543">
        <f t="shared" si="729"/>
        <v>0</v>
      </c>
      <c r="D3543">
        <f t="shared" si="730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31"/>
        <v>0</v>
      </c>
      <c r="G3543">
        <f t="shared" si="732"/>
        <v>0</v>
      </c>
      <c r="H3543">
        <f t="shared" si="733"/>
        <v>0</v>
      </c>
      <c r="I3543">
        <f t="shared" si="734"/>
        <v>0</v>
      </c>
      <c r="J3543">
        <f t="shared" si="735"/>
        <v>0</v>
      </c>
      <c r="K3543" s="4" t="e">
        <f t="shared" si="723"/>
        <v>#N/A</v>
      </c>
      <c r="L3543" t="e">
        <f t="shared" si="724"/>
        <v>#N/A</v>
      </c>
      <c r="M3543" s="4" t="e">
        <f t="shared" si="725"/>
        <v>#N/A</v>
      </c>
      <c r="N3543" s="4" t="e">
        <f t="shared" si="726"/>
        <v>#N/A</v>
      </c>
    </row>
    <row r="3544" spans="1:14">
      <c r="A3544">
        <f t="shared" si="727"/>
        <v>0</v>
      </c>
      <c r="B3544">
        <f t="shared" si="728"/>
        <v>0</v>
      </c>
      <c r="C3544">
        <f t="shared" si="729"/>
        <v>0</v>
      </c>
      <c r="D3544">
        <f t="shared" si="730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31"/>
        <v>0</v>
      </c>
      <c r="G3544">
        <f t="shared" si="732"/>
        <v>0</v>
      </c>
      <c r="H3544">
        <f t="shared" si="733"/>
        <v>0</v>
      </c>
      <c r="I3544">
        <f t="shared" si="734"/>
        <v>0</v>
      </c>
      <c r="J3544">
        <f t="shared" si="735"/>
        <v>0</v>
      </c>
      <c r="K3544" s="4" t="e">
        <f t="shared" si="723"/>
        <v>#N/A</v>
      </c>
      <c r="L3544" t="e">
        <f t="shared" si="724"/>
        <v>#N/A</v>
      </c>
      <c r="M3544" s="4" t="e">
        <f t="shared" si="725"/>
        <v>#N/A</v>
      </c>
      <c r="N3544" s="4" t="e">
        <f t="shared" si="726"/>
        <v>#N/A</v>
      </c>
    </row>
    <row r="3545" spans="1:14">
      <c r="A3545">
        <f t="shared" si="727"/>
        <v>0</v>
      </c>
      <c r="B3545">
        <f t="shared" si="728"/>
        <v>0</v>
      </c>
      <c r="C3545">
        <f t="shared" si="729"/>
        <v>0</v>
      </c>
      <c r="D3545">
        <f t="shared" si="730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31"/>
        <v>0</v>
      </c>
      <c r="G3545">
        <f t="shared" si="732"/>
        <v>0</v>
      </c>
      <c r="H3545">
        <f t="shared" si="733"/>
        <v>0</v>
      </c>
      <c r="I3545">
        <f t="shared" si="734"/>
        <v>0</v>
      </c>
      <c r="J3545">
        <f t="shared" si="735"/>
        <v>0</v>
      </c>
      <c r="K3545" s="4" t="e">
        <f t="shared" si="723"/>
        <v>#N/A</v>
      </c>
      <c r="L3545" t="e">
        <f t="shared" si="724"/>
        <v>#N/A</v>
      </c>
      <c r="M3545" s="4" t="e">
        <f t="shared" si="725"/>
        <v>#N/A</v>
      </c>
      <c r="N3545" s="4" t="e">
        <f t="shared" si="726"/>
        <v>#N/A</v>
      </c>
    </row>
    <row r="3546" spans="1:14">
      <c r="A3546">
        <f t="shared" si="727"/>
        <v>0</v>
      </c>
      <c r="B3546">
        <f t="shared" si="728"/>
        <v>0</v>
      </c>
      <c r="C3546">
        <f t="shared" si="729"/>
        <v>0</v>
      </c>
      <c r="D3546">
        <f t="shared" si="730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31"/>
        <v>0</v>
      </c>
      <c r="G3546">
        <f t="shared" si="732"/>
        <v>0</v>
      </c>
      <c r="H3546">
        <f t="shared" si="733"/>
        <v>0</v>
      </c>
      <c r="I3546">
        <f t="shared" si="734"/>
        <v>0</v>
      </c>
      <c r="J3546">
        <f t="shared" si="735"/>
        <v>0</v>
      </c>
      <c r="K3546" s="4" t="e">
        <f t="shared" si="723"/>
        <v>#N/A</v>
      </c>
      <c r="L3546" t="e">
        <f t="shared" si="724"/>
        <v>#N/A</v>
      </c>
      <c r="M3546" s="4" t="e">
        <f t="shared" si="725"/>
        <v>#N/A</v>
      </c>
      <c r="N3546" s="4" t="e">
        <f t="shared" si="726"/>
        <v>#N/A</v>
      </c>
    </row>
    <row r="3547" spans="1:14">
      <c r="A3547">
        <f t="shared" si="727"/>
        <v>0</v>
      </c>
      <c r="B3547">
        <f t="shared" si="728"/>
        <v>0</v>
      </c>
      <c r="C3547">
        <f t="shared" si="729"/>
        <v>0</v>
      </c>
      <c r="D3547">
        <f t="shared" si="730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31"/>
        <v>0</v>
      </c>
      <c r="G3547">
        <f t="shared" si="732"/>
        <v>0</v>
      </c>
      <c r="H3547">
        <f t="shared" si="733"/>
        <v>0</v>
      </c>
      <c r="I3547">
        <f t="shared" si="734"/>
        <v>0</v>
      </c>
      <c r="J3547">
        <f t="shared" si="735"/>
        <v>0</v>
      </c>
      <c r="K3547" s="4" t="e">
        <f t="shared" si="723"/>
        <v>#N/A</v>
      </c>
      <c r="L3547" t="e">
        <f t="shared" si="724"/>
        <v>#N/A</v>
      </c>
      <c r="M3547" s="4" t="e">
        <f t="shared" si="725"/>
        <v>#N/A</v>
      </c>
      <c r="N3547" s="4" t="e">
        <f t="shared" si="726"/>
        <v>#N/A</v>
      </c>
    </row>
    <row r="3548" spans="1:14">
      <c r="A3548">
        <f t="shared" si="727"/>
        <v>0</v>
      </c>
      <c r="B3548">
        <f t="shared" si="728"/>
        <v>0</v>
      </c>
      <c r="C3548">
        <f t="shared" si="729"/>
        <v>0</v>
      </c>
      <c r="D3548">
        <f t="shared" si="730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31"/>
        <v>0</v>
      </c>
      <c r="G3548">
        <f t="shared" si="732"/>
        <v>0</v>
      </c>
      <c r="H3548">
        <f t="shared" si="733"/>
        <v>0</v>
      </c>
      <c r="I3548">
        <f t="shared" si="734"/>
        <v>0</v>
      </c>
      <c r="J3548">
        <f t="shared" si="735"/>
        <v>0</v>
      </c>
      <c r="K3548" s="4" t="e">
        <f t="shared" si="723"/>
        <v>#N/A</v>
      </c>
      <c r="L3548" t="e">
        <f t="shared" si="724"/>
        <v>#N/A</v>
      </c>
      <c r="M3548" s="4" t="e">
        <f t="shared" si="725"/>
        <v>#N/A</v>
      </c>
      <c r="N3548" s="4" t="e">
        <f t="shared" si="726"/>
        <v>#N/A</v>
      </c>
    </row>
    <row r="3549" spans="1:14">
      <c r="A3549">
        <f t="shared" si="727"/>
        <v>0</v>
      </c>
      <c r="B3549">
        <f t="shared" si="728"/>
        <v>0</v>
      </c>
      <c r="C3549">
        <f t="shared" si="729"/>
        <v>0</v>
      </c>
      <c r="D3549">
        <f t="shared" si="730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31"/>
        <v>0</v>
      </c>
      <c r="G3549">
        <f t="shared" si="732"/>
        <v>0</v>
      </c>
      <c r="H3549">
        <f t="shared" si="733"/>
        <v>0</v>
      </c>
      <c r="I3549">
        <f t="shared" si="734"/>
        <v>0</v>
      </c>
      <c r="J3549">
        <f t="shared" si="735"/>
        <v>0</v>
      </c>
      <c r="K3549" s="4" t="e">
        <f t="shared" si="723"/>
        <v>#N/A</v>
      </c>
      <c r="L3549" t="e">
        <f t="shared" si="724"/>
        <v>#N/A</v>
      </c>
      <c r="M3549" s="4" t="e">
        <f t="shared" si="725"/>
        <v>#N/A</v>
      </c>
      <c r="N3549" s="4" t="e">
        <f t="shared" si="726"/>
        <v>#N/A</v>
      </c>
    </row>
    <row r="3550" spans="1:14">
      <c r="A3550">
        <f t="shared" si="727"/>
        <v>0</v>
      </c>
      <c r="B3550">
        <f t="shared" si="728"/>
        <v>0</v>
      </c>
      <c r="C3550">
        <f t="shared" si="729"/>
        <v>0</v>
      </c>
      <c r="D3550">
        <f t="shared" si="730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31"/>
        <v>0</v>
      </c>
      <c r="G3550">
        <f t="shared" si="732"/>
        <v>0</v>
      </c>
      <c r="H3550">
        <f t="shared" si="733"/>
        <v>0</v>
      </c>
      <c r="I3550">
        <f t="shared" si="734"/>
        <v>0</v>
      </c>
      <c r="J3550">
        <f t="shared" si="735"/>
        <v>0</v>
      </c>
      <c r="K3550" s="4" t="e">
        <f t="shared" si="723"/>
        <v>#N/A</v>
      </c>
      <c r="L3550" t="e">
        <f t="shared" si="724"/>
        <v>#N/A</v>
      </c>
      <c r="M3550" s="4" t="e">
        <f t="shared" si="725"/>
        <v>#N/A</v>
      </c>
      <c r="N3550" s="4" t="e">
        <f t="shared" si="726"/>
        <v>#N/A</v>
      </c>
    </row>
    <row r="3551" spans="1:14">
      <c r="A3551">
        <f t="shared" si="727"/>
        <v>0</v>
      </c>
      <c r="B3551">
        <f t="shared" si="728"/>
        <v>0</v>
      </c>
      <c r="C3551">
        <f t="shared" si="729"/>
        <v>0</v>
      </c>
      <c r="D3551">
        <f t="shared" si="730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31"/>
        <v>0</v>
      </c>
      <c r="G3551">
        <f t="shared" si="732"/>
        <v>0</v>
      </c>
      <c r="H3551">
        <f t="shared" si="733"/>
        <v>0</v>
      </c>
      <c r="I3551">
        <f t="shared" si="734"/>
        <v>0</v>
      </c>
      <c r="J3551">
        <f t="shared" si="735"/>
        <v>0</v>
      </c>
      <c r="K3551" s="4" t="e">
        <f t="shared" si="723"/>
        <v>#N/A</v>
      </c>
      <c r="L3551" t="e">
        <f t="shared" si="724"/>
        <v>#N/A</v>
      </c>
      <c r="M3551" s="4" t="e">
        <f t="shared" si="725"/>
        <v>#N/A</v>
      </c>
      <c r="N3551" s="4" t="e">
        <f t="shared" si="726"/>
        <v>#N/A</v>
      </c>
    </row>
    <row r="3552" spans="1:14">
      <c r="A3552">
        <f t="shared" si="727"/>
        <v>0</v>
      </c>
      <c r="B3552">
        <f t="shared" si="728"/>
        <v>0</v>
      </c>
      <c r="C3552">
        <f t="shared" si="729"/>
        <v>0</v>
      </c>
      <c r="D3552">
        <f t="shared" si="730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31"/>
        <v>0</v>
      </c>
      <c r="G3552">
        <f t="shared" si="732"/>
        <v>0</v>
      </c>
      <c r="H3552">
        <f t="shared" si="733"/>
        <v>0</v>
      </c>
      <c r="I3552">
        <f t="shared" si="734"/>
        <v>0</v>
      </c>
      <c r="J3552">
        <f t="shared" si="735"/>
        <v>0</v>
      </c>
      <c r="K3552" s="4" t="e">
        <f t="shared" si="723"/>
        <v>#N/A</v>
      </c>
      <c r="L3552" t="e">
        <f t="shared" si="724"/>
        <v>#N/A</v>
      </c>
      <c r="M3552" s="4" t="e">
        <f t="shared" si="725"/>
        <v>#N/A</v>
      </c>
      <c r="N3552" s="4" t="e">
        <f t="shared" si="726"/>
        <v>#N/A</v>
      </c>
    </row>
    <row r="3553" spans="1:14">
      <c r="A3553">
        <f t="shared" si="727"/>
        <v>0</v>
      </c>
      <c r="B3553">
        <f t="shared" si="728"/>
        <v>0</v>
      </c>
      <c r="C3553">
        <f t="shared" si="729"/>
        <v>0</v>
      </c>
      <c r="D3553">
        <f t="shared" si="730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31"/>
        <v>0</v>
      </c>
      <c r="G3553">
        <f t="shared" si="732"/>
        <v>0</v>
      </c>
      <c r="H3553">
        <f t="shared" si="733"/>
        <v>0</v>
      </c>
      <c r="I3553">
        <f t="shared" si="734"/>
        <v>0</v>
      </c>
      <c r="J3553">
        <f t="shared" si="735"/>
        <v>0</v>
      </c>
      <c r="K3553" s="4" t="e">
        <f t="shared" si="723"/>
        <v>#N/A</v>
      </c>
      <c r="L3553" t="e">
        <f t="shared" si="724"/>
        <v>#N/A</v>
      </c>
      <c r="M3553" s="4" t="e">
        <f t="shared" si="725"/>
        <v>#N/A</v>
      </c>
      <c r="N3553" s="4" t="e">
        <f t="shared" si="726"/>
        <v>#N/A</v>
      </c>
    </row>
    <row r="3554" spans="1:14">
      <c r="A3554">
        <f t="shared" si="727"/>
        <v>0</v>
      </c>
      <c r="B3554">
        <f t="shared" si="728"/>
        <v>0</v>
      </c>
      <c r="C3554">
        <f t="shared" si="729"/>
        <v>0</v>
      </c>
      <c r="D3554">
        <f t="shared" si="730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31"/>
        <v>0</v>
      </c>
      <c r="G3554">
        <f t="shared" si="732"/>
        <v>0</v>
      </c>
      <c r="H3554">
        <f t="shared" si="733"/>
        <v>0</v>
      </c>
      <c r="I3554">
        <f t="shared" si="734"/>
        <v>0</v>
      </c>
      <c r="J3554">
        <f t="shared" si="735"/>
        <v>0</v>
      </c>
      <c r="K3554" s="4" t="e">
        <f t="shared" si="723"/>
        <v>#N/A</v>
      </c>
      <c r="L3554" t="e">
        <f t="shared" si="724"/>
        <v>#N/A</v>
      </c>
      <c r="M3554" s="4" t="e">
        <f t="shared" si="725"/>
        <v>#N/A</v>
      </c>
      <c r="N3554" s="4" t="e">
        <f t="shared" si="726"/>
        <v>#N/A</v>
      </c>
    </row>
    <row r="3555" spans="1:14">
      <c r="A3555">
        <f t="shared" si="727"/>
        <v>0</v>
      </c>
      <c r="B3555">
        <f t="shared" si="728"/>
        <v>0</v>
      </c>
      <c r="C3555">
        <f t="shared" si="729"/>
        <v>0</v>
      </c>
      <c r="D3555">
        <f t="shared" si="730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31"/>
        <v>0</v>
      </c>
      <c r="G3555">
        <f t="shared" si="732"/>
        <v>0</v>
      </c>
      <c r="H3555">
        <f t="shared" si="733"/>
        <v>0</v>
      </c>
      <c r="I3555">
        <f t="shared" si="734"/>
        <v>0</v>
      </c>
      <c r="J3555">
        <f t="shared" si="735"/>
        <v>0</v>
      </c>
      <c r="K3555" s="4" t="e">
        <f t="shared" si="723"/>
        <v>#N/A</v>
      </c>
      <c r="L3555" t="e">
        <f t="shared" si="724"/>
        <v>#N/A</v>
      </c>
      <c r="M3555" s="4" t="e">
        <f t="shared" si="725"/>
        <v>#N/A</v>
      </c>
      <c r="N3555" s="4" t="e">
        <f t="shared" si="726"/>
        <v>#N/A</v>
      </c>
    </row>
    <row r="3556" spans="1:14">
      <c r="A3556">
        <f t="shared" si="727"/>
        <v>0</v>
      </c>
      <c r="B3556">
        <f t="shared" si="728"/>
        <v>0</v>
      </c>
      <c r="C3556">
        <f t="shared" si="729"/>
        <v>0</v>
      </c>
      <c r="D3556">
        <f t="shared" si="730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31"/>
        <v>0</v>
      </c>
      <c r="G3556">
        <f t="shared" si="732"/>
        <v>0</v>
      </c>
      <c r="H3556">
        <f t="shared" si="733"/>
        <v>0</v>
      </c>
      <c r="I3556">
        <f t="shared" si="734"/>
        <v>0</v>
      </c>
      <c r="J3556">
        <f t="shared" si="735"/>
        <v>0</v>
      </c>
      <c r="K3556" s="4" t="e">
        <f t="shared" si="723"/>
        <v>#N/A</v>
      </c>
      <c r="L3556" t="e">
        <f t="shared" si="724"/>
        <v>#N/A</v>
      </c>
      <c r="M3556" s="4" t="e">
        <f t="shared" si="725"/>
        <v>#N/A</v>
      </c>
      <c r="N3556" s="4" t="e">
        <f t="shared" si="726"/>
        <v>#N/A</v>
      </c>
    </row>
    <row r="3557" spans="1:14">
      <c r="A3557">
        <f t="shared" si="727"/>
        <v>0</v>
      </c>
      <c r="B3557">
        <f t="shared" si="728"/>
        <v>0</v>
      </c>
      <c r="C3557">
        <f t="shared" si="729"/>
        <v>0</v>
      </c>
      <c r="D3557">
        <f t="shared" si="730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31"/>
        <v>0</v>
      </c>
      <c r="G3557">
        <f t="shared" si="732"/>
        <v>0</v>
      </c>
      <c r="H3557">
        <f t="shared" si="733"/>
        <v>0</v>
      </c>
      <c r="I3557">
        <f t="shared" si="734"/>
        <v>0</v>
      </c>
      <c r="J3557">
        <f t="shared" si="735"/>
        <v>0</v>
      </c>
      <c r="K3557" s="4" t="e">
        <f t="shared" si="723"/>
        <v>#N/A</v>
      </c>
      <c r="L3557" t="e">
        <f t="shared" si="724"/>
        <v>#N/A</v>
      </c>
      <c r="M3557" s="4" t="e">
        <f t="shared" si="725"/>
        <v>#N/A</v>
      </c>
      <c r="N3557" s="4" t="e">
        <f t="shared" si="726"/>
        <v>#N/A</v>
      </c>
    </row>
    <row r="3558" spans="1:14">
      <c r="A3558">
        <f t="shared" si="727"/>
        <v>0</v>
      </c>
      <c r="B3558">
        <f t="shared" si="728"/>
        <v>0</v>
      </c>
      <c r="C3558">
        <f t="shared" si="729"/>
        <v>0</v>
      </c>
      <c r="D3558">
        <f t="shared" si="730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31"/>
        <v>0</v>
      </c>
      <c r="G3558">
        <f t="shared" si="732"/>
        <v>0</v>
      </c>
      <c r="H3558">
        <f t="shared" si="733"/>
        <v>0</v>
      </c>
      <c r="I3558">
        <f t="shared" si="734"/>
        <v>0</v>
      </c>
      <c r="J3558">
        <f t="shared" si="735"/>
        <v>0</v>
      </c>
      <c r="K3558" s="4" t="e">
        <f t="shared" si="723"/>
        <v>#N/A</v>
      </c>
      <c r="L3558" t="e">
        <f t="shared" si="724"/>
        <v>#N/A</v>
      </c>
      <c r="M3558" s="4" t="e">
        <f t="shared" si="725"/>
        <v>#N/A</v>
      </c>
      <c r="N3558" s="4" t="e">
        <f t="shared" si="726"/>
        <v>#N/A</v>
      </c>
    </row>
    <row r="3559" spans="1:14">
      <c r="A3559">
        <f t="shared" si="727"/>
        <v>0</v>
      </c>
      <c r="B3559">
        <f t="shared" si="728"/>
        <v>0</v>
      </c>
      <c r="C3559">
        <f t="shared" si="729"/>
        <v>0</v>
      </c>
      <c r="D3559">
        <f t="shared" si="730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31"/>
        <v>0</v>
      </c>
      <c r="G3559">
        <f t="shared" si="732"/>
        <v>0</v>
      </c>
      <c r="H3559">
        <f t="shared" si="733"/>
        <v>0</v>
      </c>
      <c r="I3559">
        <f t="shared" si="734"/>
        <v>0</v>
      </c>
      <c r="J3559">
        <f t="shared" si="735"/>
        <v>0</v>
      </c>
      <c r="K3559" s="4" t="e">
        <f t="shared" si="723"/>
        <v>#N/A</v>
      </c>
      <c r="L3559" t="e">
        <f t="shared" si="724"/>
        <v>#N/A</v>
      </c>
      <c r="M3559" s="4" t="e">
        <f t="shared" si="725"/>
        <v>#N/A</v>
      </c>
      <c r="N3559" s="4" t="e">
        <f t="shared" si="726"/>
        <v>#N/A</v>
      </c>
    </row>
    <row r="3560" spans="1:14">
      <c r="A3560">
        <f t="shared" si="727"/>
        <v>0</v>
      </c>
      <c r="B3560">
        <f t="shared" si="728"/>
        <v>0</v>
      </c>
      <c r="C3560">
        <f t="shared" si="729"/>
        <v>0</v>
      </c>
      <c r="D3560">
        <f t="shared" si="730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31"/>
        <v>0</v>
      </c>
      <c r="G3560">
        <f t="shared" si="732"/>
        <v>0</v>
      </c>
      <c r="H3560">
        <f t="shared" si="733"/>
        <v>0</v>
      </c>
      <c r="I3560">
        <f t="shared" si="734"/>
        <v>0</v>
      </c>
      <c r="J3560">
        <f t="shared" si="735"/>
        <v>0</v>
      </c>
      <c r="K3560" s="4" t="e">
        <f t="shared" si="723"/>
        <v>#N/A</v>
      </c>
      <c r="L3560" t="e">
        <f t="shared" si="724"/>
        <v>#N/A</v>
      </c>
      <c r="M3560" s="4" t="e">
        <f t="shared" si="725"/>
        <v>#N/A</v>
      </c>
      <c r="N3560" s="4" t="e">
        <f t="shared" si="726"/>
        <v>#N/A</v>
      </c>
    </row>
    <row r="3561" spans="1:14">
      <c r="A3561">
        <f t="shared" si="727"/>
        <v>0</v>
      </c>
      <c r="B3561">
        <f t="shared" si="728"/>
        <v>0</v>
      </c>
      <c r="C3561">
        <f t="shared" si="729"/>
        <v>0</v>
      </c>
      <c r="D3561">
        <f t="shared" si="730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31"/>
        <v>0</v>
      </c>
      <c r="G3561">
        <f t="shared" si="732"/>
        <v>0</v>
      </c>
      <c r="H3561">
        <f t="shared" si="733"/>
        <v>0</v>
      </c>
      <c r="I3561">
        <f t="shared" si="734"/>
        <v>0</v>
      </c>
      <c r="J3561">
        <f t="shared" si="735"/>
        <v>0</v>
      </c>
      <c r="K3561" s="4" t="e">
        <f t="shared" si="723"/>
        <v>#N/A</v>
      </c>
      <c r="L3561" t="e">
        <f t="shared" si="724"/>
        <v>#N/A</v>
      </c>
      <c r="M3561" s="4" t="e">
        <f t="shared" si="725"/>
        <v>#N/A</v>
      </c>
      <c r="N3561" s="4" t="e">
        <f t="shared" si="726"/>
        <v>#N/A</v>
      </c>
    </row>
    <row r="3562" spans="1:14">
      <c r="A3562">
        <f t="shared" si="727"/>
        <v>0</v>
      </c>
      <c r="B3562">
        <f t="shared" si="728"/>
        <v>0</v>
      </c>
      <c r="C3562">
        <f t="shared" si="729"/>
        <v>0</v>
      </c>
      <c r="D3562">
        <f t="shared" si="730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31"/>
        <v>0</v>
      </c>
      <c r="G3562">
        <f t="shared" si="732"/>
        <v>0</v>
      </c>
      <c r="H3562">
        <f t="shared" si="733"/>
        <v>0</v>
      </c>
      <c r="I3562">
        <f t="shared" si="734"/>
        <v>0</v>
      </c>
      <c r="J3562">
        <f t="shared" si="735"/>
        <v>0</v>
      </c>
      <c r="K3562" s="4" t="e">
        <f t="shared" si="723"/>
        <v>#N/A</v>
      </c>
      <c r="L3562" t="e">
        <f t="shared" si="724"/>
        <v>#N/A</v>
      </c>
      <c r="M3562" s="4" t="e">
        <f t="shared" si="725"/>
        <v>#N/A</v>
      </c>
      <c r="N3562" s="4" t="e">
        <f t="shared" si="726"/>
        <v>#N/A</v>
      </c>
    </row>
    <row r="3563" spans="1:14">
      <c r="A3563">
        <f t="shared" si="727"/>
        <v>0</v>
      </c>
      <c r="B3563">
        <f t="shared" si="728"/>
        <v>0</v>
      </c>
      <c r="C3563">
        <f t="shared" si="729"/>
        <v>0</v>
      </c>
      <c r="D3563">
        <f t="shared" si="730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31"/>
        <v>0</v>
      </c>
      <c r="G3563">
        <f t="shared" si="732"/>
        <v>0</v>
      </c>
      <c r="H3563">
        <f t="shared" si="733"/>
        <v>0</v>
      </c>
      <c r="I3563">
        <f t="shared" si="734"/>
        <v>0</v>
      </c>
      <c r="J3563">
        <f t="shared" si="735"/>
        <v>0</v>
      </c>
      <c r="K3563" s="4" t="e">
        <f t="shared" si="723"/>
        <v>#N/A</v>
      </c>
      <c r="L3563" t="e">
        <f t="shared" si="724"/>
        <v>#N/A</v>
      </c>
      <c r="M3563" s="4" t="e">
        <f t="shared" si="725"/>
        <v>#N/A</v>
      </c>
      <c r="N3563" s="4" t="e">
        <f t="shared" si="726"/>
        <v>#N/A</v>
      </c>
    </row>
    <row r="3564" spans="1:14">
      <c r="A3564">
        <f t="shared" si="727"/>
        <v>0</v>
      </c>
      <c r="B3564">
        <f t="shared" si="728"/>
        <v>0</v>
      </c>
      <c r="C3564">
        <f t="shared" si="729"/>
        <v>0</v>
      </c>
      <c r="D3564">
        <f t="shared" si="730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31"/>
        <v>0</v>
      </c>
      <c r="G3564">
        <f t="shared" si="732"/>
        <v>0</v>
      </c>
      <c r="H3564">
        <f t="shared" si="733"/>
        <v>0</v>
      </c>
      <c r="I3564">
        <f t="shared" si="734"/>
        <v>0</v>
      </c>
      <c r="J3564">
        <f t="shared" si="735"/>
        <v>0</v>
      </c>
      <c r="K3564" s="4" t="e">
        <f t="shared" si="723"/>
        <v>#N/A</v>
      </c>
      <c r="L3564" t="e">
        <f t="shared" si="724"/>
        <v>#N/A</v>
      </c>
      <c r="M3564" s="4" t="e">
        <f t="shared" si="725"/>
        <v>#N/A</v>
      </c>
      <c r="N3564" s="4" t="e">
        <f t="shared" si="726"/>
        <v>#N/A</v>
      </c>
    </row>
    <row r="3565" spans="1:14">
      <c r="A3565">
        <f t="shared" si="727"/>
        <v>0</v>
      </c>
      <c r="B3565">
        <f t="shared" si="728"/>
        <v>0</v>
      </c>
      <c r="C3565">
        <f t="shared" si="729"/>
        <v>0</v>
      </c>
      <c r="D3565">
        <f t="shared" si="730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31"/>
        <v>0</v>
      </c>
      <c r="G3565">
        <f t="shared" si="732"/>
        <v>0</v>
      </c>
      <c r="H3565">
        <f t="shared" si="733"/>
        <v>0</v>
      </c>
      <c r="I3565">
        <f t="shared" si="734"/>
        <v>0</v>
      </c>
      <c r="J3565">
        <f t="shared" si="735"/>
        <v>0</v>
      </c>
      <c r="K3565" s="4" t="e">
        <f t="shared" si="723"/>
        <v>#N/A</v>
      </c>
      <c r="L3565" t="e">
        <f t="shared" si="724"/>
        <v>#N/A</v>
      </c>
      <c r="M3565" s="4" t="e">
        <f t="shared" si="725"/>
        <v>#N/A</v>
      </c>
      <c r="N3565" s="4" t="e">
        <f t="shared" si="726"/>
        <v>#N/A</v>
      </c>
    </row>
    <row r="3566" spans="1:14">
      <c r="A3566">
        <f t="shared" si="727"/>
        <v>0</v>
      </c>
      <c r="B3566">
        <f t="shared" si="728"/>
        <v>0</v>
      </c>
      <c r="C3566">
        <f t="shared" si="729"/>
        <v>0</v>
      </c>
      <c r="D3566">
        <f t="shared" si="730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31"/>
        <v>0</v>
      </c>
      <c r="G3566">
        <f t="shared" si="732"/>
        <v>0</v>
      </c>
      <c r="H3566">
        <f t="shared" si="733"/>
        <v>0</v>
      </c>
      <c r="I3566">
        <f t="shared" si="734"/>
        <v>0</v>
      </c>
      <c r="J3566">
        <f t="shared" si="735"/>
        <v>0</v>
      </c>
      <c r="K3566" s="4" t="e">
        <f t="shared" si="723"/>
        <v>#N/A</v>
      </c>
      <c r="L3566" t="e">
        <f t="shared" si="724"/>
        <v>#N/A</v>
      </c>
      <c r="M3566" s="4" t="e">
        <f t="shared" si="725"/>
        <v>#N/A</v>
      </c>
      <c r="N3566" s="4" t="e">
        <f t="shared" si="726"/>
        <v>#N/A</v>
      </c>
    </row>
    <row r="3567" spans="1:14">
      <c r="A3567">
        <f t="shared" si="727"/>
        <v>0</v>
      </c>
      <c r="B3567">
        <f t="shared" si="728"/>
        <v>0</v>
      </c>
      <c r="C3567">
        <f t="shared" si="729"/>
        <v>0</v>
      </c>
      <c r="D3567">
        <f t="shared" si="730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31"/>
        <v>0</v>
      </c>
      <c r="G3567">
        <f t="shared" si="732"/>
        <v>0</v>
      </c>
      <c r="H3567">
        <f t="shared" si="733"/>
        <v>0</v>
      </c>
      <c r="I3567">
        <f t="shared" si="734"/>
        <v>0</v>
      </c>
      <c r="J3567">
        <f t="shared" si="735"/>
        <v>0</v>
      </c>
      <c r="K3567" s="4" t="e">
        <f t="shared" si="723"/>
        <v>#N/A</v>
      </c>
      <c r="L3567" t="e">
        <f t="shared" si="724"/>
        <v>#N/A</v>
      </c>
      <c r="M3567" s="4" t="e">
        <f t="shared" si="725"/>
        <v>#N/A</v>
      </c>
      <c r="N3567" s="4" t="e">
        <f t="shared" si="726"/>
        <v>#N/A</v>
      </c>
    </row>
    <row r="3568" spans="1:14">
      <c r="A3568">
        <f t="shared" si="727"/>
        <v>0</v>
      </c>
      <c r="B3568">
        <f t="shared" si="728"/>
        <v>0</v>
      </c>
      <c r="C3568">
        <f t="shared" si="729"/>
        <v>0</v>
      </c>
      <c r="D3568">
        <f t="shared" si="730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31"/>
        <v>0</v>
      </c>
      <c r="G3568">
        <f t="shared" si="732"/>
        <v>0</v>
      </c>
      <c r="H3568">
        <f t="shared" si="733"/>
        <v>0</v>
      </c>
      <c r="I3568">
        <f t="shared" si="734"/>
        <v>0</v>
      </c>
      <c r="J3568">
        <f t="shared" si="735"/>
        <v>0</v>
      </c>
      <c r="K3568" s="4" t="e">
        <f t="shared" si="723"/>
        <v>#N/A</v>
      </c>
      <c r="L3568" t="e">
        <f t="shared" si="724"/>
        <v>#N/A</v>
      </c>
      <c r="M3568" s="4" t="e">
        <f t="shared" si="725"/>
        <v>#N/A</v>
      </c>
      <c r="N3568" s="4" t="e">
        <f t="shared" si="726"/>
        <v>#N/A</v>
      </c>
    </row>
    <row r="3569" spans="1:14">
      <c r="A3569">
        <f t="shared" si="727"/>
        <v>0</v>
      </c>
      <c r="B3569">
        <f t="shared" si="728"/>
        <v>0</v>
      </c>
      <c r="C3569">
        <f t="shared" si="729"/>
        <v>0</v>
      </c>
      <c r="D3569">
        <f t="shared" si="730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31"/>
        <v>0</v>
      </c>
      <c r="G3569">
        <f t="shared" si="732"/>
        <v>0</v>
      </c>
      <c r="H3569">
        <f t="shared" si="733"/>
        <v>0</v>
      </c>
      <c r="I3569">
        <f t="shared" si="734"/>
        <v>0</v>
      </c>
      <c r="J3569">
        <f t="shared" si="735"/>
        <v>0</v>
      </c>
      <c r="K3569" s="4" t="e">
        <f t="shared" si="723"/>
        <v>#N/A</v>
      </c>
      <c r="L3569" t="e">
        <f t="shared" si="724"/>
        <v>#N/A</v>
      </c>
      <c r="M3569" s="4" t="e">
        <f t="shared" si="725"/>
        <v>#N/A</v>
      </c>
      <c r="N3569" s="4" t="e">
        <f t="shared" si="726"/>
        <v>#N/A</v>
      </c>
    </row>
    <row r="3570" spans="1:14">
      <c r="A3570">
        <f t="shared" si="727"/>
        <v>0</v>
      </c>
      <c r="B3570">
        <f t="shared" si="728"/>
        <v>0</v>
      </c>
      <c r="C3570">
        <f t="shared" si="729"/>
        <v>0</v>
      </c>
      <c r="D3570">
        <f t="shared" si="730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31"/>
        <v>0</v>
      </c>
      <c r="G3570">
        <f t="shared" si="732"/>
        <v>0</v>
      </c>
      <c r="H3570">
        <f t="shared" si="733"/>
        <v>0</v>
      </c>
      <c r="I3570">
        <f t="shared" si="734"/>
        <v>0</v>
      </c>
      <c r="J3570">
        <f t="shared" si="735"/>
        <v>0</v>
      </c>
      <c r="K3570" s="4" t="e">
        <f t="shared" si="723"/>
        <v>#N/A</v>
      </c>
      <c r="L3570" t="e">
        <f t="shared" si="724"/>
        <v>#N/A</v>
      </c>
      <c r="M3570" s="4" t="e">
        <f t="shared" si="725"/>
        <v>#N/A</v>
      </c>
      <c r="N3570" s="4" t="e">
        <f t="shared" si="726"/>
        <v>#N/A</v>
      </c>
    </row>
    <row r="3571" spans="1:14">
      <c r="A3571">
        <f t="shared" si="727"/>
        <v>0</v>
      </c>
      <c r="B3571">
        <f t="shared" si="728"/>
        <v>0</v>
      </c>
      <c r="C3571">
        <f t="shared" si="729"/>
        <v>0</v>
      </c>
      <c r="D3571">
        <f t="shared" si="730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31"/>
        <v>0</v>
      </c>
      <c r="G3571">
        <f t="shared" si="732"/>
        <v>0</v>
      </c>
      <c r="H3571">
        <f t="shared" si="733"/>
        <v>0</v>
      </c>
      <c r="I3571">
        <f t="shared" si="734"/>
        <v>0</v>
      </c>
      <c r="J3571">
        <f t="shared" si="735"/>
        <v>0</v>
      </c>
      <c r="K3571" s="4" t="e">
        <f t="shared" si="723"/>
        <v>#N/A</v>
      </c>
      <c r="L3571" t="e">
        <f t="shared" si="724"/>
        <v>#N/A</v>
      </c>
      <c r="M3571" s="4" t="e">
        <f t="shared" si="725"/>
        <v>#N/A</v>
      </c>
      <c r="N3571" s="4" t="e">
        <f t="shared" si="726"/>
        <v>#N/A</v>
      </c>
    </row>
    <row r="3572" spans="1:14">
      <c r="A3572">
        <f t="shared" si="727"/>
        <v>0</v>
      </c>
      <c r="B3572">
        <f t="shared" si="728"/>
        <v>0</v>
      </c>
      <c r="C3572">
        <f t="shared" si="729"/>
        <v>0</v>
      </c>
      <c r="D3572">
        <f t="shared" si="730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31"/>
        <v>0</v>
      </c>
      <c r="G3572">
        <f t="shared" si="732"/>
        <v>0</v>
      </c>
      <c r="H3572">
        <f t="shared" si="733"/>
        <v>0</v>
      </c>
      <c r="I3572">
        <f t="shared" si="734"/>
        <v>0</v>
      </c>
      <c r="J3572">
        <f t="shared" si="735"/>
        <v>0</v>
      </c>
      <c r="K3572" s="4" t="e">
        <f t="shared" si="723"/>
        <v>#N/A</v>
      </c>
      <c r="L3572" t="e">
        <f t="shared" si="724"/>
        <v>#N/A</v>
      </c>
      <c r="M3572" s="4" t="e">
        <f t="shared" si="725"/>
        <v>#N/A</v>
      </c>
      <c r="N3572" s="4" t="e">
        <f t="shared" si="726"/>
        <v>#N/A</v>
      </c>
    </row>
    <row r="3573" spans="1:14">
      <c r="A3573">
        <f t="shared" si="727"/>
        <v>0</v>
      </c>
      <c r="B3573">
        <f t="shared" si="728"/>
        <v>0</v>
      </c>
      <c r="C3573">
        <f t="shared" si="729"/>
        <v>0</v>
      </c>
      <c r="D3573">
        <f t="shared" si="730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31"/>
        <v>0</v>
      </c>
      <c r="G3573">
        <f t="shared" si="732"/>
        <v>0</v>
      </c>
      <c r="H3573">
        <f t="shared" si="733"/>
        <v>0</v>
      </c>
      <c r="I3573">
        <f t="shared" si="734"/>
        <v>0</v>
      </c>
      <c r="J3573">
        <f t="shared" si="735"/>
        <v>0</v>
      </c>
      <c r="K3573" s="4" t="e">
        <f t="shared" si="723"/>
        <v>#N/A</v>
      </c>
      <c r="L3573" t="e">
        <f t="shared" si="724"/>
        <v>#N/A</v>
      </c>
      <c r="M3573" s="4" t="e">
        <f t="shared" si="725"/>
        <v>#N/A</v>
      </c>
      <c r="N3573" s="4" t="e">
        <f t="shared" si="726"/>
        <v>#N/A</v>
      </c>
    </row>
    <row r="3574" spans="1:14">
      <c r="A3574">
        <f t="shared" si="727"/>
        <v>0</v>
      </c>
      <c r="B3574">
        <f t="shared" si="728"/>
        <v>0</v>
      </c>
      <c r="C3574">
        <f t="shared" si="729"/>
        <v>0</v>
      </c>
      <c r="D3574">
        <f t="shared" si="730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31"/>
        <v>0</v>
      </c>
      <c r="G3574">
        <f t="shared" si="732"/>
        <v>0</v>
      </c>
      <c r="H3574">
        <f t="shared" si="733"/>
        <v>0</v>
      </c>
      <c r="I3574">
        <f t="shared" si="734"/>
        <v>0</v>
      </c>
      <c r="J3574">
        <f t="shared" si="735"/>
        <v>0</v>
      </c>
      <c r="K3574" s="4" t="e">
        <f t="shared" si="723"/>
        <v>#N/A</v>
      </c>
      <c r="L3574" t="e">
        <f t="shared" si="724"/>
        <v>#N/A</v>
      </c>
      <c r="M3574" s="4" t="e">
        <f t="shared" si="725"/>
        <v>#N/A</v>
      </c>
      <c r="N3574" s="4" t="e">
        <f t="shared" si="726"/>
        <v>#N/A</v>
      </c>
    </row>
    <row r="3575" spans="1:14">
      <c r="A3575">
        <f t="shared" si="727"/>
        <v>0</v>
      </c>
      <c r="B3575">
        <f t="shared" si="728"/>
        <v>0</v>
      </c>
      <c r="C3575">
        <f t="shared" si="729"/>
        <v>0</v>
      </c>
      <c r="D3575">
        <f t="shared" si="730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31"/>
        <v>0</v>
      </c>
      <c r="G3575">
        <f t="shared" si="732"/>
        <v>0</v>
      </c>
      <c r="H3575">
        <f t="shared" si="733"/>
        <v>0</v>
      </c>
      <c r="I3575">
        <f t="shared" si="734"/>
        <v>0</v>
      </c>
      <c r="J3575">
        <f t="shared" si="735"/>
        <v>0</v>
      </c>
      <c r="K3575" s="4" t="e">
        <f t="shared" si="723"/>
        <v>#N/A</v>
      </c>
      <c r="L3575" t="e">
        <f t="shared" si="724"/>
        <v>#N/A</v>
      </c>
      <c r="M3575" s="4" t="e">
        <f t="shared" si="725"/>
        <v>#N/A</v>
      </c>
      <c r="N3575" s="4" t="e">
        <f t="shared" si="726"/>
        <v>#N/A</v>
      </c>
    </row>
    <row r="3576" spans="1:14">
      <c r="A3576">
        <f t="shared" si="727"/>
        <v>0</v>
      </c>
      <c r="B3576">
        <f t="shared" si="728"/>
        <v>0</v>
      </c>
      <c r="C3576">
        <f t="shared" si="729"/>
        <v>0</v>
      </c>
      <c r="D3576">
        <f t="shared" si="730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31"/>
        <v>0</v>
      </c>
      <c r="G3576">
        <f t="shared" si="732"/>
        <v>0</v>
      </c>
      <c r="H3576">
        <f t="shared" si="733"/>
        <v>0</v>
      </c>
      <c r="I3576">
        <f t="shared" si="734"/>
        <v>0</v>
      </c>
      <c r="J3576">
        <f t="shared" si="735"/>
        <v>0</v>
      </c>
      <c r="K3576" s="4" t="e">
        <f t="shared" si="723"/>
        <v>#N/A</v>
      </c>
      <c r="L3576" t="e">
        <f t="shared" si="724"/>
        <v>#N/A</v>
      </c>
      <c r="M3576" s="4" t="e">
        <f t="shared" si="725"/>
        <v>#N/A</v>
      </c>
      <c r="N3576" s="4" t="e">
        <f t="shared" si="726"/>
        <v>#N/A</v>
      </c>
    </row>
    <row r="3577" spans="1:14">
      <c r="A3577">
        <f t="shared" si="727"/>
        <v>0</v>
      </c>
      <c r="B3577">
        <f t="shared" si="728"/>
        <v>0</v>
      </c>
      <c r="C3577">
        <f t="shared" si="729"/>
        <v>0</v>
      </c>
      <c r="D3577">
        <f t="shared" si="730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31"/>
        <v>0</v>
      </c>
      <c r="G3577">
        <f t="shared" si="732"/>
        <v>0</v>
      </c>
      <c r="H3577">
        <f t="shared" si="733"/>
        <v>0</v>
      </c>
      <c r="I3577">
        <f t="shared" si="734"/>
        <v>0</v>
      </c>
      <c r="J3577">
        <f t="shared" si="735"/>
        <v>0</v>
      </c>
      <c r="K3577" s="4" t="e">
        <f t="shared" si="723"/>
        <v>#N/A</v>
      </c>
      <c r="L3577" t="e">
        <f t="shared" si="724"/>
        <v>#N/A</v>
      </c>
      <c r="M3577" s="4" t="e">
        <f t="shared" si="725"/>
        <v>#N/A</v>
      </c>
      <c r="N3577" s="4" t="e">
        <f t="shared" si="726"/>
        <v>#N/A</v>
      </c>
    </row>
    <row r="3578" spans="1:14">
      <c r="A3578">
        <f t="shared" si="727"/>
        <v>0</v>
      </c>
      <c r="B3578">
        <f t="shared" si="728"/>
        <v>0</v>
      </c>
      <c r="C3578">
        <f t="shared" si="729"/>
        <v>0</v>
      </c>
      <c r="D3578">
        <f t="shared" si="730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31"/>
        <v>0</v>
      </c>
      <c r="G3578">
        <f t="shared" si="732"/>
        <v>0</v>
      </c>
      <c r="H3578">
        <f t="shared" si="733"/>
        <v>0</v>
      </c>
      <c r="I3578">
        <f t="shared" si="734"/>
        <v>0</v>
      </c>
      <c r="J3578">
        <f t="shared" si="735"/>
        <v>0</v>
      </c>
      <c r="K3578" s="4" t="e">
        <f t="shared" si="723"/>
        <v>#N/A</v>
      </c>
      <c r="L3578" t="e">
        <f t="shared" si="724"/>
        <v>#N/A</v>
      </c>
      <c r="M3578" s="4" t="e">
        <f t="shared" si="725"/>
        <v>#N/A</v>
      </c>
      <c r="N3578" s="4" t="e">
        <f t="shared" si="726"/>
        <v>#N/A</v>
      </c>
    </row>
    <row r="3579" spans="1:14">
      <c r="A3579">
        <f t="shared" si="727"/>
        <v>0</v>
      </c>
      <c r="B3579">
        <f t="shared" si="728"/>
        <v>0</v>
      </c>
      <c r="C3579">
        <f t="shared" si="729"/>
        <v>0</v>
      </c>
      <c r="D3579">
        <f t="shared" si="730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31"/>
        <v>0</v>
      </c>
      <c r="G3579">
        <f t="shared" si="732"/>
        <v>0</v>
      </c>
      <c r="H3579">
        <f t="shared" si="733"/>
        <v>0</v>
      </c>
      <c r="I3579">
        <f t="shared" si="734"/>
        <v>0</v>
      </c>
      <c r="J3579">
        <f t="shared" si="735"/>
        <v>0</v>
      </c>
      <c r="K3579" s="4" t="e">
        <f t="shared" si="723"/>
        <v>#N/A</v>
      </c>
      <c r="L3579" t="e">
        <f t="shared" si="724"/>
        <v>#N/A</v>
      </c>
      <c r="M3579" s="4" t="e">
        <f t="shared" si="725"/>
        <v>#N/A</v>
      </c>
      <c r="N3579" s="4" t="e">
        <f t="shared" si="726"/>
        <v>#N/A</v>
      </c>
    </row>
    <row r="3580" spans="1:14">
      <c r="A3580">
        <f t="shared" si="727"/>
        <v>0</v>
      </c>
      <c r="B3580">
        <f t="shared" si="728"/>
        <v>0</v>
      </c>
      <c r="C3580">
        <f t="shared" si="729"/>
        <v>0</v>
      </c>
      <c r="D3580">
        <f t="shared" si="730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31"/>
        <v>0</v>
      </c>
      <c r="G3580">
        <f t="shared" si="732"/>
        <v>0</v>
      </c>
      <c r="H3580">
        <f t="shared" si="733"/>
        <v>0</v>
      </c>
      <c r="I3580">
        <f t="shared" si="734"/>
        <v>0</v>
      </c>
      <c r="J3580">
        <f t="shared" si="735"/>
        <v>0</v>
      </c>
      <c r="K3580" s="4" t="e">
        <f t="shared" si="723"/>
        <v>#N/A</v>
      </c>
      <c r="L3580" t="e">
        <f t="shared" si="724"/>
        <v>#N/A</v>
      </c>
      <c r="M3580" s="4" t="e">
        <f t="shared" si="725"/>
        <v>#N/A</v>
      </c>
      <c r="N3580" s="4" t="e">
        <f t="shared" si="726"/>
        <v>#N/A</v>
      </c>
    </row>
    <row r="3581" spans="1:14">
      <c r="A3581">
        <f t="shared" si="727"/>
        <v>0</v>
      </c>
      <c r="B3581">
        <f t="shared" si="728"/>
        <v>0</v>
      </c>
      <c r="C3581">
        <f t="shared" si="729"/>
        <v>0</v>
      </c>
      <c r="D3581">
        <f t="shared" si="730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31"/>
        <v>0</v>
      </c>
      <c r="G3581">
        <f t="shared" si="732"/>
        <v>0</v>
      </c>
      <c r="H3581">
        <f t="shared" si="733"/>
        <v>0</v>
      </c>
      <c r="I3581">
        <f t="shared" si="734"/>
        <v>0</v>
      </c>
      <c r="J3581">
        <f t="shared" si="735"/>
        <v>0</v>
      </c>
      <c r="K3581" s="4" t="e">
        <f t="shared" ref="K3581:K3644" si="736">IF(LEFT(B3581,3)="DBM",0,VLOOKUP(E3581,tabela,2,FALSE))</f>
        <v>#N/A</v>
      </c>
      <c r="L3581" t="e">
        <f t="shared" ref="L3581:L3644" si="737">VLOOKUP(E3581,tabela,3,FALSE)</f>
        <v>#N/A</v>
      </c>
      <c r="M3581" s="4" t="e">
        <f t="shared" ref="M3581:M3644" si="738">IF(E3581="Dynamic Click",J3581*K3581,K3581*$I3581/1000)</f>
        <v>#N/A</v>
      </c>
      <c r="N3581" s="4" t="e">
        <f t="shared" ref="N3581:N3644" si="739">IF(E3581="Dynamic Click",J3581*L3581,L3581*$I3581/1000)</f>
        <v>#N/A</v>
      </c>
    </row>
    <row r="3582" spans="1:14">
      <c r="A3582">
        <f t="shared" si="727"/>
        <v>0</v>
      </c>
      <c r="B3582">
        <f t="shared" si="728"/>
        <v>0</v>
      </c>
      <c r="C3582">
        <f t="shared" si="729"/>
        <v>0</v>
      </c>
      <c r="D3582">
        <f t="shared" si="730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31"/>
        <v>0</v>
      </c>
      <c r="G3582">
        <f t="shared" si="732"/>
        <v>0</v>
      </c>
      <c r="H3582">
        <f t="shared" si="733"/>
        <v>0</v>
      </c>
      <c r="I3582">
        <f t="shared" si="734"/>
        <v>0</v>
      </c>
      <c r="J3582">
        <f t="shared" si="735"/>
        <v>0</v>
      </c>
      <c r="K3582" s="4" t="e">
        <f t="shared" si="736"/>
        <v>#N/A</v>
      </c>
      <c r="L3582" t="e">
        <f t="shared" si="737"/>
        <v>#N/A</v>
      </c>
      <c r="M3582" s="4" t="e">
        <f t="shared" si="738"/>
        <v>#N/A</v>
      </c>
      <c r="N3582" s="4" t="e">
        <f t="shared" si="739"/>
        <v>#N/A</v>
      </c>
    </row>
    <row r="3583" spans="1:14">
      <c r="A3583">
        <f t="shared" si="727"/>
        <v>0</v>
      </c>
      <c r="B3583">
        <f t="shared" si="728"/>
        <v>0</v>
      </c>
      <c r="C3583">
        <f t="shared" si="729"/>
        <v>0</v>
      </c>
      <c r="D3583">
        <f t="shared" si="730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31"/>
        <v>0</v>
      </c>
      <c r="G3583">
        <f t="shared" si="732"/>
        <v>0</v>
      </c>
      <c r="H3583">
        <f t="shared" si="733"/>
        <v>0</v>
      </c>
      <c r="I3583">
        <f t="shared" si="734"/>
        <v>0</v>
      </c>
      <c r="J3583">
        <f t="shared" si="735"/>
        <v>0</v>
      </c>
      <c r="K3583" s="4" t="e">
        <f t="shared" si="736"/>
        <v>#N/A</v>
      </c>
      <c r="L3583" t="e">
        <f t="shared" si="737"/>
        <v>#N/A</v>
      </c>
      <c r="M3583" s="4" t="e">
        <f t="shared" si="738"/>
        <v>#N/A</v>
      </c>
      <c r="N3583" s="4" t="e">
        <f t="shared" si="739"/>
        <v>#N/A</v>
      </c>
    </row>
    <row r="3584" spans="1:14">
      <c r="A3584">
        <f t="shared" si="727"/>
        <v>0</v>
      </c>
      <c r="B3584">
        <f t="shared" si="728"/>
        <v>0</v>
      </c>
      <c r="C3584">
        <f t="shared" si="729"/>
        <v>0</v>
      </c>
      <c r="D3584">
        <f t="shared" si="730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31"/>
        <v>0</v>
      </c>
      <c r="G3584">
        <f t="shared" si="732"/>
        <v>0</v>
      </c>
      <c r="H3584">
        <f t="shared" si="733"/>
        <v>0</v>
      </c>
      <c r="I3584">
        <f t="shared" si="734"/>
        <v>0</v>
      </c>
      <c r="J3584">
        <f t="shared" si="735"/>
        <v>0</v>
      </c>
      <c r="K3584" s="4" t="e">
        <f t="shared" si="736"/>
        <v>#N/A</v>
      </c>
      <c r="L3584" t="e">
        <f t="shared" si="737"/>
        <v>#N/A</v>
      </c>
      <c r="M3584" s="4" t="e">
        <f t="shared" si="738"/>
        <v>#N/A</v>
      </c>
      <c r="N3584" s="4" t="e">
        <f t="shared" si="739"/>
        <v>#N/A</v>
      </c>
    </row>
    <row r="3585" spans="1:14">
      <c r="A3585">
        <f t="shared" si="727"/>
        <v>0</v>
      </c>
      <c r="B3585">
        <f t="shared" si="728"/>
        <v>0</v>
      </c>
      <c r="C3585">
        <f t="shared" si="729"/>
        <v>0</v>
      </c>
      <c r="D3585">
        <f t="shared" si="730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31"/>
        <v>0</v>
      </c>
      <c r="G3585">
        <f t="shared" si="732"/>
        <v>0</v>
      </c>
      <c r="H3585">
        <f t="shared" si="733"/>
        <v>0</v>
      </c>
      <c r="I3585">
        <f t="shared" si="734"/>
        <v>0</v>
      </c>
      <c r="J3585">
        <f t="shared" si="735"/>
        <v>0</v>
      </c>
      <c r="K3585" s="4" t="e">
        <f t="shared" si="736"/>
        <v>#N/A</v>
      </c>
      <c r="L3585" t="e">
        <f t="shared" si="737"/>
        <v>#N/A</v>
      </c>
      <c r="M3585" s="4" t="e">
        <f t="shared" si="738"/>
        <v>#N/A</v>
      </c>
      <c r="N3585" s="4" t="e">
        <f t="shared" si="739"/>
        <v>#N/A</v>
      </c>
    </row>
    <row r="3586" spans="1:14">
      <c r="A3586">
        <f t="shared" ref="A3586:A3649" si="740">bd_campaign</f>
        <v>0</v>
      </c>
      <c r="B3586">
        <f t="shared" ref="B3586:B3649" si="741">bd_site</f>
        <v>0</v>
      </c>
      <c r="C3586">
        <f t="shared" ref="C3586:C3649" si="742">bd_placement</f>
        <v>0</v>
      </c>
      <c r="D3586">
        <f t="shared" ref="D3586:D3649" si="743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4">bd_ad</f>
        <v>0</v>
      </c>
      <c r="G3586">
        <f t="shared" ref="G3586:G3649" si="745">bd_adid</f>
        <v>0</v>
      </c>
      <c r="H3586">
        <f t="shared" ref="H3586:H3649" si="746">bd_creativetype</f>
        <v>0</v>
      </c>
      <c r="I3586">
        <f t="shared" ref="I3586:I3649" si="747">bd_impression</f>
        <v>0</v>
      </c>
      <c r="J3586">
        <f t="shared" ref="J3586:J3649" si="748">bd_clicks</f>
        <v>0</v>
      </c>
      <c r="K3586" s="4" t="e">
        <f t="shared" si="736"/>
        <v>#N/A</v>
      </c>
      <c r="L3586" t="e">
        <f t="shared" si="737"/>
        <v>#N/A</v>
      </c>
      <c r="M3586" s="4" t="e">
        <f t="shared" si="738"/>
        <v>#N/A</v>
      </c>
      <c r="N3586" s="4" t="e">
        <f t="shared" si="739"/>
        <v>#N/A</v>
      </c>
    </row>
    <row r="3587" spans="1:14">
      <c r="A3587">
        <f t="shared" si="740"/>
        <v>0</v>
      </c>
      <c r="B3587">
        <f t="shared" si="741"/>
        <v>0</v>
      </c>
      <c r="C3587">
        <f t="shared" si="742"/>
        <v>0</v>
      </c>
      <c r="D3587">
        <f t="shared" si="743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4"/>
        <v>0</v>
      </c>
      <c r="G3587">
        <f t="shared" si="745"/>
        <v>0</v>
      </c>
      <c r="H3587">
        <f t="shared" si="746"/>
        <v>0</v>
      </c>
      <c r="I3587">
        <f t="shared" si="747"/>
        <v>0</v>
      </c>
      <c r="J3587">
        <f t="shared" si="748"/>
        <v>0</v>
      </c>
      <c r="K3587" s="4" t="e">
        <f t="shared" si="736"/>
        <v>#N/A</v>
      </c>
      <c r="L3587" t="e">
        <f t="shared" si="737"/>
        <v>#N/A</v>
      </c>
      <c r="M3587" s="4" t="e">
        <f t="shared" si="738"/>
        <v>#N/A</v>
      </c>
      <c r="N3587" s="4" t="e">
        <f t="shared" si="739"/>
        <v>#N/A</v>
      </c>
    </row>
    <row r="3588" spans="1:14">
      <c r="A3588">
        <f t="shared" si="740"/>
        <v>0</v>
      </c>
      <c r="B3588">
        <f t="shared" si="741"/>
        <v>0</v>
      </c>
      <c r="C3588">
        <f t="shared" si="742"/>
        <v>0</v>
      </c>
      <c r="D3588">
        <f t="shared" si="743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4"/>
        <v>0</v>
      </c>
      <c r="G3588">
        <f t="shared" si="745"/>
        <v>0</v>
      </c>
      <c r="H3588">
        <f t="shared" si="746"/>
        <v>0</v>
      </c>
      <c r="I3588">
        <f t="shared" si="747"/>
        <v>0</v>
      </c>
      <c r="J3588">
        <f t="shared" si="748"/>
        <v>0</v>
      </c>
      <c r="K3588" s="4" t="e">
        <f t="shared" si="736"/>
        <v>#N/A</v>
      </c>
      <c r="L3588" t="e">
        <f t="shared" si="737"/>
        <v>#N/A</v>
      </c>
      <c r="M3588" s="4" t="e">
        <f t="shared" si="738"/>
        <v>#N/A</v>
      </c>
      <c r="N3588" s="4" t="e">
        <f t="shared" si="739"/>
        <v>#N/A</v>
      </c>
    </row>
    <row r="3589" spans="1:14">
      <c r="A3589">
        <f t="shared" si="740"/>
        <v>0</v>
      </c>
      <c r="B3589">
        <f t="shared" si="741"/>
        <v>0</v>
      </c>
      <c r="C3589">
        <f t="shared" si="742"/>
        <v>0</v>
      </c>
      <c r="D3589">
        <f t="shared" si="743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4"/>
        <v>0</v>
      </c>
      <c r="G3589">
        <f t="shared" si="745"/>
        <v>0</v>
      </c>
      <c r="H3589">
        <f t="shared" si="746"/>
        <v>0</v>
      </c>
      <c r="I3589">
        <f t="shared" si="747"/>
        <v>0</v>
      </c>
      <c r="J3589">
        <f t="shared" si="748"/>
        <v>0</v>
      </c>
      <c r="K3589" s="4" t="e">
        <f t="shared" si="736"/>
        <v>#N/A</v>
      </c>
      <c r="L3589" t="e">
        <f t="shared" si="737"/>
        <v>#N/A</v>
      </c>
      <c r="M3589" s="4" t="e">
        <f t="shared" si="738"/>
        <v>#N/A</v>
      </c>
      <c r="N3589" s="4" t="e">
        <f t="shared" si="739"/>
        <v>#N/A</v>
      </c>
    </row>
    <row r="3590" spans="1:14">
      <c r="A3590">
        <f t="shared" si="740"/>
        <v>0</v>
      </c>
      <c r="B3590">
        <f t="shared" si="741"/>
        <v>0</v>
      </c>
      <c r="C3590">
        <f t="shared" si="742"/>
        <v>0</v>
      </c>
      <c r="D3590">
        <f t="shared" si="743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4"/>
        <v>0</v>
      </c>
      <c r="G3590">
        <f t="shared" si="745"/>
        <v>0</v>
      </c>
      <c r="H3590">
        <f t="shared" si="746"/>
        <v>0</v>
      </c>
      <c r="I3590">
        <f t="shared" si="747"/>
        <v>0</v>
      </c>
      <c r="J3590">
        <f t="shared" si="748"/>
        <v>0</v>
      </c>
      <c r="K3590" s="4" t="e">
        <f t="shared" si="736"/>
        <v>#N/A</v>
      </c>
      <c r="L3590" t="e">
        <f t="shared" si="737"/>
        <v>#N/A</v>
      </c>
      <c r="M3590" s="4" t="e">
        <f t="shared" si="738"/>
        <v>#N/A</v>
      </c>
      <c r="N3590" s="4" t="e">
        <f t="shared" si="739"/>
        <v>#N/A</v>
      </c>
    </row>
    <row r="3591" spans="1:14">
      <c r="A3591">
        <f t="shared" si="740"/>
        <v>0</v>
      </c>
      <c r="B3591">
        <f t="shared" si="741"/>
        <v>0</v>
      </c>
      <c r="C3591">
        <f t="shared" si="742"/>
        <v>0</v>
      </c>
      <c r="D3591">
        <f t="shared" si="743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4"/>
        <v>0</v>
      </c>
      <c r="G3591">
        <f t="shared" si="745"/>
        <v>0</v>
      </c>
      <c r="H3591">
        <f t="shared" si="746"/>
        <v>0</v>
      </c>
      <c r="I3591">
        <f t="shared" si="747"/>
        <v>0</v>
      </c>
      <c r="J3591">
        <f t="shared" si="748"/>
        <v>0</v>
      </c>
      <c r="K3591" s="4" t="e">
        <f t="shared" si="736"/>
        <v>#N/A</v>
      </c>
      <c r="L3591" t="e">
        <f t="shared" si="737"/>
        <v>#N/A</v>
      </c>
      <c r="M3591" s="4" t="e">
        <f t="shared" si="738"/>
        <v>#N/A</v>
      </c>
      <c r="N3591" s="4" t="e">
        <f t="shared" si="739"/>
        <v>#N/A</v>
      </c>
    </row>
    <row r="3592" spans="1:14">
      <c r="A3592">
        <f t="shared" si="740"/>
        <v>0</v>
      </c>
      <c r="B3592">
        <f t="shared" si="741"/>
        <v>0</v>
      </c>
      <c r="C3592">
        <f t="shared" si="742"/>
        <v>0</v>
      </c>
      <c r="D3592">
        <f t="shared" si="743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4"/>
        <v>0</v>
      </c>
      <c r="G3592">
        <f t="shared" si="745"/>
        <v>0</v>
      </c>
      <c r="H3592">
        <f t="shared" si="746"/>
        <v>0</v>
      </c>
      <c r="I3592">
        <f t="shared" si="747"/>
        <v>0</v>
      </c>
      <c r="J3592">
        <f t="shared" si="748"/>
        <v>0</v>
      </c>
      <c r="K3592" s="4" t="e">
        <f t="shared" si="736"/>
        <v>#N/A</v>
      </c>
      <c r="L3592" t="e">
        <f t="shared" si="737"/>
        <v>#N/A</v>
      </c>
      <c r="M3592" s="4" t="e">
        <f t="shared" si="738"/>
        <v>#N/A</v>
      </c>
      <c r="N3592" s="4" t="e">
        <f t="shared" si="739"/>
        <v>#N/A</v>
      </c>
    </row>
    <row r="3593" spans="1:14">
      <c r="A3593">
        <f t="shared" si="740"/>
        <v>0</v>
      </c>
      <c r="B3593">
        <f t="shared" si="741"/>
        <v>0</v>
      </c>
      <c r="C3593">
        <f t="shared" si="742"/>
        <v>0</v>
      </c>
      <c r="D3593">
        <f t="shared" si="743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4"/>
        <v>0</v>
      </c>
      <c r="G3593">
        <f t="shared" si="745"/>
        <v>0</v>
      </c>
      <c r="H3593">
        <f t="shared" si="746"/>
        <v>0</v>
      </c>
      <c r="I3593">
        <f t="shared" si="747"/>
        <v>0</v>
      </c>
      <c r="J3593">
        <f t="shared" si="748"/>
        <v>0</v>
      </c>
      <c r="K3593" s="4" t="e">
        <f t="shared" si="736"/>
        <v>#N/A</v>
      </c>
      <c r="L3593" t="e">
        <f t="shared" si="737"/>
        <v>#N/A</v>
      </c>
      <c r="M3593" s="4" t="e">
        <f t="shared" si="738"/>
        <v>#N/A</v>
      </c>
      <c r="N3593" s="4" t="e">
        <f t="shared" si="739"/>
        <v>#N/A</v>
      </c>
    </row>
    <row r="3594" spans="1:14">
      <c r="A3594">
        <f t="shared" si="740"/>
        <v>0</v>
      </c>
      <c r="B3594">
        <f t="shared" si="741"/>
        <v>0</v>
      </c>
      <c r="C3594">
        <f t="shared" si="742"/>
        <v>0</v>
      </c>
      <c r="D3594">
        <f t="shared" si="743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4"/>
        <v>0</v>
      </c>
      <c r="G3594">
        <f t="shared" si="745"/>
        <v>0</v>
      </c>
      <c r="H3594">
        <f t="shared" si="746"/>
        <v>0</v>
      </c>
      <c r="I3594">
        <f t="shared" si="747"/>
        <v>0</v>
      </c>
      <c r="J3594">
        <f t="shared" si="748"/>
        <v>0</v>
      </c>
      <c r="K3594" s="4" t="e">
        <f t="shared" si="736"/>
        <v>#N/A</v>
      </c>
      <c r="L3594" t="e">
        <f t="shared" si="737"/>
        <v>#N/A</v>
      </c>
      <c r="M3594" s="4" t="e">
        <f t="shared" si="738"/>
        <v>#N/A</v>
      </c>
      <c r="N3594" s="4" t="e">
        <f t="shared" si="739"/>
        <v>#N/A</v>
      </c>
    </row>
    <row r="3595" spans="1:14">
      <c r="A3595">
        <f t="shared" si="740"/>
        <v>0</v>
      </c>
      <c r="B3595">
        <f t="shared" si="741"/>
        <v>0</v>
      </c>
      <c r="C3595">
        <f t="shared" si="742"/>
        <v>0</v>
      </c>
      <c r="D3595">
        <f t="shared" si="743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4"/>
        <v>0</v>
      </c>
      <c r="G3595">
        <f t="shared" si="745"/>
        <v>0</v>
      </c>
      <c r="H3595">
        <f t="shared" si="746"/>
        <v>0</v>
      </c>
      <c r="I3595">
        <f t="shared" si="747"/>
        <v>0</v>
      </c>
      <c r="J3595">
        <f t="shared" si="748"/>
        <v>0</v>
      </c>
      <c r="K3595" s="4" t="e">
        <f t="shared" si="736"/>
        <v>#N/A</v>
      </c>
      <c r="L3595" t="e">
        <f t="shared" si="737"/>
        <v>#N/A</v>
      </c>
      <c r="M3595" s="4" t="e">
        <f t="shared" si="738"/>
        <v>#N/A</v>
      </c>
      <c r="N3595" s="4" t="e">
        <f t="shared" si="739"/>
        <v>#N/A</v>
      </c>
    </row>
    <row r="3596" spans="1:14">
      <c r="A3596">
        <f t="shared" si="740"/>
        <v>0</v>
      </c>
      <c r="B3596">
        <f t="shared" si="741"/>
        <v>0</v>
      </c>
      <c r="C3596">
        <f t="shared" si="742"/>
        <v>0</v>
      </c>
      <c r="D3596">
        <f t="shared" si="743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4"/>
        <v>0</v>
      </c>
      <c r="G3596">
        <f t="shared" si="745"/>
        <v>0</v>
      </c>
      <c r="H3596">
        <f t="shared" si="746"/>
        <v>0</v>
      </c>
      <c r="I3596">
        <f t="shared" si="747"/>
        <v>0</v>
      </c>
      <c r="J3596">
        <f t="shared" si="748"/>
        <v>0</v>
      </c>
      <c r="K3596" s="4" t="e">
        <f t="shared" si="736"/>
        <v>#N/A</v>
      </c>
      <c r="L3596" t="e">
        <f t="shared" si="737"/>
        <v>#N/A</v>
      </c>
      <c r="M3596" s="4" t="e">
        <f t="shared" si="738"/>
        <v>#N/A</v>
      </c>
      <c r="N3596" s="4" t="e">
        <f t="shared" si="739"/>
        <v>#N/A</v>
      </c>
    </row>
    <row r="3597" spans="1:14">
      <c r="A3597">
        <f t="shared" si="740"/>
        <v>0</v>
      </c>
      <c r="B3597">
        <f t="shared" si="741"/>
        <v>0</v>
      </c>
      <c r="C3597">
        <f t="shared" si="742"/>
        <v>0</v>
      </c>
      <c r="D3597">
        <f t="shared" si="743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4"/>
        <v>0</v>
      </c>
      <c r="G3597">
        <f t="shared" si="745"/>
        <v>0</v>
      </c>
      <c r="H3597">
        <f t="shared" si="746"/>
        <v>0</v>
      </c>
      <c r="I3597">
        <f t="shared" si="747"/>
        <v>0</v>
      </c>
      <c r="J3597">
        <f t="shared" si="748"/>
        <v>0</v>
      </c>
      <c r="K3597" s="4" t="e">
        <f t="shared" si="736"/>
        <v>#N/A</v>
      </c>
      <c r="L3597" t="e">
        <f t="shared" si="737"/>
        <v>#N/A</v>
      </c>
      <c r="M3597" s="4" t="e">
        <f t="shared" si="738"/>
        <v>#N/A</v>
      </c>
      <c r="N3597" s="4" t="e">
        <f t="shared" si="739"/>
        <v>#N/A</v>
      </c>
    </row>
    <row r="3598" spans="1:14">
      <c r="A3598">
        <f t="shared" si="740"/>
        <v>0</v>
      </c>
      <c r="B3598">
        <f t="shared" si="741"/>
        <v>0</v>
      </c>
      <c r="C3598">
        <f t="shared" si="742"/>
        <v>0</v>
      </c>
      <c r="D3598">
        <f t="shared" si="743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4"/>
        <v>0</v>
      </c>
      <c r="G3598">
        <f t="shared" si="745"/>
        <v>0</v>
      </c>
      <c r="H3598">
        <f t="shared" si="746"/>
        <v>0</v>
      </c>
      <c r="I3598">
        <f t="shared" si="747"/>
        <v>0</v>
      </c>
      <c r="J3598">
        <f t="shared" si="748"/>
        <v>0</v>
      </c>
      <c r="K3598" s="4" t="e">
        <f t="shared" si="736"/>
        <v>#N/A</v>
      </c>
      <c r="L3598" t="e">
        <f t="shared" si="737"/>
        <v>#N/A</v>
      </c>
      <c r="M3598" s="4" t="e">
        <f t="shared" si="738"/>
        <v>#N/A</v>
      </c>
      <c r="N3598" s="4" t="e">
        <f t="shared" si="739"/>
        <v>#N/A</v>
      </c>
    </row>
    <row r="3599" spans="1:14">
      <c r="A3599">
        <f t="shared" si="740"/>
        <v>0</v>
      </c>
      <c r="B3599">
        <f t="shared" si="741"/>
        <v>0</v>
      </c>
      <c r="C3599">
        <f t="shared" si="742"/>
        <v>0</v>
      </c>
      <c r="D3599">
        <f t="shared" si="743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4"/>
        <v>0</v>
      </c>
      <c r="G3599">
        <f t="shared" si="745"/>
        <v>0</v>
      </c>
      <c r="H3599">
        <f t="shared" si="746"/>
        <v>0</v>
      </c>
      <c r="I3599">
        <f t="shared" si="747"/>
        <v>0</v>
      </c>
      <c r="J3599">
        <f t="shared" si="748"/>
        <v>0</v>
      </c>
      <c r="K3599" s="4" t="e">
        <f t="shared" si="736"/>
        <v>#N/A</v>
      </c>
      <c r="L3599" t="e">
        <f t="shared" si="737"/>
        <v>#N/A</v>
      </c>
      <c r="M3599" s="4" t="e">
        <f t="shared" si="738"/>
        <v>#N/A</v>
      </c>
      <c r="N3599" s="4" t="e">
        <f t="shared" si="739"/>
        <v>#N/A</v>
      </c>
    </row>
    <row r="3600" spans="1:14">
      <c r="A3600">
        <f t="shared" si="740"/>
        <v>0</v>
      </c>
      <c r="B3600">
        <f t="shared" si="741"/>
        <v>0</v>
      </c>
      <c r="C3600">
        <f t="shared" si="742"/>
        <v>0</v>
      </c>
      <c r="D3600">
        <f t="shared" si="743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4"/>
        <v>0</v>
      </c>
      <c r="G3600">
        <f t="shared" si="745"/>
        <v>0</v>
      </c>
      <c r="H3600">
        <f t="shared" si="746"/>
        <v>0</v>
      </c>
      <c r="I3600">
        <f t="shared" si="747"/>
        <v>0</v>
      </c>
      <c r="J3600">
        <f t="shared" si="748"/>
        <v>0</v>
      </c>
      <c r="K3600" s="4" t="e">
        <f t="shared" si="736"/>
        <v>#N/A</v>
      </c>
      <c r="L3600" t="e">
        <f t="shared" si="737"/>
        <v>#N/A</v>
      </c>
      <c r="M3600" s="4" t="e">
        <f t="shared" si="738"/>
        <v>#N/A</v>
      </c>
      <c r="N3600" s="4" t="e">
        <f t="shared" si="739"/>
        <v>#N/A</v>
      </c>
    </row>
    <row r="3601" spans="1:14">
      <c r="A3601">
        <f t="shared" si="740"/>
        <v>0</v>
      </c>
      <c r="B3601">
        <f t="shared" si="741"/>
        <v>0</v>
      </c>
      <c r="C3601">
        <f t="shared" si="742"/>
        <v>0</v>
      </c>
      <c r="D3601">
        <f t="shared" si="743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4"/>
        <v>0</v>
      </c>
      <c r="G3601">
        <f t="shared" si="745"/>
        <v>0</v>
      </c>
      <c r="H3601">
        <f t="shared" si="746"/>
        <v>0</v>
      </c>
      <c r="I3601">
        <f t="shared" si="747"/>
        <v>0</v>
      </c>
      <c r="J3601">
        <f t="shared" si="748"/>
        <v>0</v>
      </c>
      <c r="K3601" s="4" t="e">
        <f t="shared" si="736"/>
        <v>#N/A</v>
      </c>
      <c r="L3601" t="e">
        <f t="shared" si="737"/>
        <v>#N/A</v>
      </c>
      <c r="M3601" s="4" t="e">
        <f t="shared" si="738"/>
        <v>#N/A</v>
      </c>
      <c r="N3601" s="4" t="e">
        <f t="shared" si="739"/>
        <v>#N/A</v>
      </c>
    </row>
    <row r="3602" spans="1:14">
      <c r="A3602">
        <f t="shared" si="740"/>
        <v>0</v>
      </c>
      <c r="B3602">
        <f t="shared" si="741"/>
        <v>0</v>
      </c>
      <c r="C3602">
        <f t="shared" si="742"/>
        <v>0</v>
      </c>
      <c r="D3602">
        <f t="shared" si="743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4"/>
        <v>0</v>
      </c>
      <c r="G3602">
        <f t="shared" si="745"/>
        <v>0</v>
      </c>
      <c r="H3602">
        <f t="shared" si="746"/>
        <v>0</v>
      </c>
      <c r="I3602">
        <f t="shared" si="747"/>
        <v>0</v>
      </c>
      <c r="J3602">
        <f t="shared" si="748"/>
        <v>0</v>
      </c>
      <c r="K3602" s="4" t="e">
        <f t="shared" si="736"/>
        <v>#N/A</v>
      </c>
      <c r="L3602" t="e">
        <f t="shared" si="737"/>
        <v>#N/A</v>
      </c>
      <c r="M3602" s="4" t="e">
        <f t="shared" si="738"/>
        <v>#N/A</v>
      </c>
      <c r="N3602" s="4" t="e">
        <f t="shared" si="739"/>
        <v>#N/A</v>
      </c>
    </row>
    <row r="3603" spans="1:14">
      <c r="A3603">
        <f t="shared" si="740"/>
        <v>0</v>
      </c>
      <c r="B3603">
        <f t="shared" si="741"/>
        <v>0</v>
      </c>
      <c r="C3603">
        <f t="shared" si="742"/>
        <v>0</v>
      </c>
      <c r="D3603">
        <f t="shared" si="743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4"/>
        <v>0</v>
      </c>
      <c r="G3603">
        <f t="shared" si="745"/>
        <v>0</v>
      </c>
      <c r="H3603">
        <f t="shared" si="746"/>
        <v>0</v>
      </c>
      <c r="I3603">
        <f t="shared" si="747"/>
        <v>0</v>
      </c>
      <c r="J3603">
        <f t="shared" si="748"/>
        <v>0</v>
      </c>
      <c r="K3603" s="4" t="e">
        <f t="shared" si="736"/>
        <v>#N/A</v>
      </c>
      <c r="L3603" t="e">
        <f t="shared" si="737"/>
        <v>#N/A</v>
      </c>
      <c r="M3603" s="4" t="e">
        <f t="shared" si="738"/>
        <v>#N/A</v>
      </c>
      <c r="N3603" s="4" t="e">
        <f t="shared" si="739"/>
        <v>#N/A</v>
      </c>
    </row>
    <row r="3604" spans="1:14">
      <c r="A3604">
        <f t="shared" si="740"/>
        <v>0</v>
      </c>
      <c r="B3604">
        <f t="shared" si="741"/>
        <v>0</v>
      </c>
      <c r="C3604">
        <f t="shared" si="742"/>
        <v>0</v>
      </c>
      <c r="D3604">
        <f t="shared" si="743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4"/>
        <v>0</v>
      </c>
      <c r="G3604">
        <f t="shared" si="745"/>
        <v>0</v>
      </c>
      <c r="H3604">
        <f t="shared" si="746"/>
        <v>0</v>
      </c>
      <c r="I3604">
        <f t="shared" si="747"/>
        <v>0</v>
      </c>
      <c r="J3604">
        <f t="shared" si="748"/>
        <v>0</v>
      </c>
      <c r="K3604" s="4" t="e">
        <f t="shared" si="736"/>
        <v>#N/A</v>
      </c>
      <c r="L3604" t="e">
        <f t="shared" si="737"/>
        <v>#N/A</v>
      </c>
      <c r="M3604" s="4" t="e">
        <f t="shared" si="738"/>
        <v>#N/A</v>
      </c>
      <c r="N3604" s="4" t="e">
        <f t="shared" si="739"/>
        <v>#N/A</v>
      </c>
    </row>
    <row r="3605" spans="1:14">
      <c r="A3605">
        <f t="shared" si="740"/>
        <v>0</v>
      </c>
      <c r="B3605">
        <f t="shared" si="741"/>
        <v>0</v>
      </c>
      <c r="C3605">
        <f t="shared" si="742"/>
        <v>0</v>
      </c>
      <c r="D3605">
        <f t="shared" si="743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4"/>
        <v>0</v>
      </c>
      <c r="G3605">
        <f t="shared" si="745"/>
        <v>0</v>
      </c>
      <c r="H3605">
        <f t="shared" si="746"/>
        <v>0</v>
      </c>
      <c r="I3605">
        <f t="shared" si="747"/>
        <v>0</v>
      </c>
      <c r="J3605">
        <f t="shared" si="748"/>
        <v>0</v>
      </c>
      <c r="K3605" s="4" t="e">
        <f t="shared" si="736"/>
        <v>#N/A</v>
      </c>
      <c r="L3605" t="e">
        <f t="shared" si="737"/>
        <v>#N/A</v>
      </c>
      <c r="M3605" s="4" t="e">
        <f t="shared" si="738"/>
        <v>#N/A</v>
      </c>
      <c r="N3605" s="4" t="e">
        <f t="shared" si="739"/>
        <v>#N/A</v>
      </c>
    </row>
    <row r="3606" spans="1:14">
      <c r="A3606">
        <f t="shared" si="740"/>
        <v>0</v>
      </c>
      <c r="B3606">
        <f t="shared" si="741"/>
        <v>0</v>
      </c>
      <c r="C3606">
        <f t="shared" si="742"/>
        <v>0</v>
      </c>
      <c r="D3606">
        <f t="shared" si="743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4"/>
        <v>0</v>
      </c>
      <c r="G3606">
        <f t="shared" si="745"/>
        <v>0</v>
      </c>
      <c r="H3606">
        <f t="shared" si="746"/>
        <v>0</v>
      </c>
      <c r="I3606">
        <f t="shared" si="747"/>
        <v>0</v>
      </c>
      <c r="J3606">
        <f t="shared" si="748"/>
        <v>0</v>
      </c>
      <c r="K3606" s="4" t="e">
        <f t="shared" si="736"/>
        <v>#N/A</v>
      </c>
      <c r="L3606" t="e">
        <f t="shared" si="737"/>
        <v>#N/A</v>
      </c>
      <c r="M3606" s="4" t="e">
        <f t="shared" si="738"/>
        <v>#N/A</v>
      </c>
      <c r="N3606" s="4" t="e">
        <f t="shared" si="739"/>
        <v>#N/A</v>
      </c>
    </row>
    <row r="3607" spans="1:14">
      <c r="A3607">
        <f t="shared" si="740"/>
        <v>0</v>
      </c>
      <c r="B3607">
        <f t="shared" si="741"/>
        <v>0</v>
      </c>
      <c r="C3607">
        <f t="shared" si="742"/>
        <v>0</v>
      </c>
      <c r="D3607">
        <f t="shared" si="743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4"/>
        <v>0</v>
      </c>
      <c r="G3607">
        <f t="shared" si="745"/>
        <v>0</v>
      </c>
      <c r="H3607">
        <f t="shared" si="746"/>
        <v>0</v>
      </c>
      <c r="I3607">
        <f t="shared" si="747"/>
        <v>0</v>
      </c>
      <c r="J3607">
        <f t="shared" si="748"/>
        <v>0</v>
      </c>
      <c r="K3607" s="4" t="e">
        <f t="shared" si="736"/>
        <v>#N/A</v>
      </c>
      <c r="L3607" t="e">
        <f t="shared" si="737"/>
        <v>#N/A</v>
      </c>
      <c r="M3607" s="4" t="e">
        <f t="shared" si="738"/>
        <v>#N/A</v>
      </c>
      <c r="N3607" s="4" t="e">
        <f t="shared" si="739"/>
        <v>#N/A</v>
      </c>
    </row>
    <row r="3608" spans="1:14">
      <c r="A3608">
        <f t="shared" si="740"/>
        <v>0</v>
      </c>
      <c r="B3608">
        <f t="shared" si="741"/>
        <v>0</v>
      </c>
      <c r="C3608">
        <f t="shared" si="742"/>
        <v>0</v>
      </c>
      <c r="D3608">
        <f t="shared" si="743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4"/>
        <v>0</v>
      </c>
      <c r="G3608">
        <f t="shared" si="745"/>
        <v>0</v>
      </c>
      <c r="H3608">
        <f t="shared" si="746"/>
        <v>0</v>
      </c>
      <c r="I3608">
        <f t="shared" si="747"/>
        <v>0</v>
      </c>
      <c r="J3608">
        <f t="shared" si="748"/>
        <v>0</v>
      </c>
      <c r="K3608" s="4" t="e">
        <f t="shared" si="736"/>
        <v>#N/A</v>
      </c>
      <c r="L3608" t="e">
        <f t="shared" si="737"/>
        <v>#N/A</v>
      </c>
      <c r="M3608" s="4" t="e">
        <f t="shared" si="738"/>
        <v>#N/A</v>
      </c>
      <c r="N3608" s="4" t="e">
        <f t="shared" si="739"/>
        <v>#N/A</v>
      </c>
    </row>
    <row r="3609" spans="1:14">
      <c r="A3609">
        <f t="shared" si="740"/>
        <v>0</v>
      </c>
      <c r="B3609">
        <f t="shared" si="741"/>
        <v>0</v>
      </c>
      <c r="C3609">
        <f t="shared" si="742"/>
        <v>0</v>
      </c>
      <c r="D3609">
        <f t="shared" si="743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4"/>
        <v>0</v>
      </c>
      <c r="G3609">
        <f t="shared" si="745"/>
        <v>0</v>
      </c>
      <c r="H3609">
        <f t="shared" si="746"/>
        <v>0</v>
      </c>
      <c r="I3609">
        <f t="shared" si="747"/>
        <v>0</v>
      </c>
      <c r="J3609">
        <f t="shared" si="748"/>
        <v>0</v>
      </c>
      <c r="K3609" s="4" t="e">
        <f t="shared" si="736"/>
        <v>#N/A</v>
      </c>
      <c r="L3609" t="e">
        <f t="shared" si="737"/>
        <v>#N/A</v>
      </c>
      <c r="M3609" s="4" t="e">
        <f t="shared" si="738"/>
        <v>#N/A</v>
      </c>
      <c r="N3609" s="4" t="e">
        <f t="shared" si="739"/>
        <v>#N/A</v>
      </c>
    </row>
    <row r="3610" spans="1:14">
      <c r="A3610">
        <f t="shared" si="740"/>
        <v>0</v>
      </c>
      <c r="B3610">
        <f t="shared" si="741"/>
        <v>0</v>
      </c>
      <c r="C3610">
        <f t="shared" si="742"/>
        <v>0</v>
      </c>
      <c r="D3610">
        <f t="shared" si="743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4"/>
        <v>0</v>
      </c>
      <c r="G3610">
        <f t="shared" si="745"/>
        <v>0</v>
      </c>
      <c r="H3610">
        <f t="shared" si="746"/>
        <v>0</v>
      </c>
      <c r="I3610">
        <f t="shared" si="747"/>
        <v>0</v>
      </c>
      <c r="J3610">
        <f t="shared" si="748"/>
        <v>0</v>
      </c>
      <c r="K3610" s="4" t="e">
        <f t="shared" si="736"/>
        <v>#N/A</v>
      </c>
      <c r="L3610" t="e">
        <f t="shared" si="737"/>
        <v>#N/A</v>
      </c>
      <c r="M3610" s="4" t="e">
        <f t="shared" si="738"/>
        <v>#N/A</v>
      </c>
      <c r="N3610" s="4" t="e">
        <f t="shared" si="739"/>
        <v>#N/A</v>
      </c>
    </row>
    <row r="3611" spans="1:14">
      <c r="A3611">
        <f t="shared" si="740"/>
        <v>0</v>
      </c>
      <c r="B3611">
        <f t="shared" si="741"/>
        <v>0</v>
      </c>
      <c r="C3611">
        <f t="shared" si="742"/>
        <v>0</v>
      </c>
      <c r="D3611">
        <f t="shared" si="743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4"/>
        <v>0</v>
      </c>
      <c r="G3611">
        <f t="shared" si="745"/>
        <v>0</v>
      </c>
      <c r="H3611">
        <f t="shared" si="746"/>
        <v>0</v>
      </c>
      <c r="I3611">
        <f t="shared" si="747"/>
        <v>0</v>
      </c>
      <c r="J3611">
        <f t="shared" si="748"/>
        <v>0</v>
      </c>
      <c r="K3611" s="4" t="e">
        <f t="shared" si="736"/>
        <v>#N/A</v>
      </c>
      <c r="L3611" t="e">
        <f t="shared" si="737"/>
        <v>#N/A</v>
      </c>
      <c r="M3611" s="4" t="e">
        <f t="shared" si="738"/>
        <v>#N/A</v>
      </c>
      <c r="N3611" s="4" t="e">
        <f t="shared" si="739"/>
        <v>#N/A</v>
      </c>
    </row>
    <row r="3612" spans="1:14">
      <c r="A3612">
        <f t="shared" si="740"/>
        <v>0</v>
      </c>
      <c r="B3612">
        <f t="shared" si="741"/>
        <v>0</v>
      </c>
      <c r="C3612">
        <f t="shared" si="742"/>
        <v>0</v>
      </c>
      <c r="D3612">
        <f t="shared" si="743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4"/>
        <v>0</v>
      </c>
      <c r="G3612">
        <f t="shared" si="745"/>
        <v>0</v>
      </c>
      <c r="H3612">
        <f t="shared" si="746"/>
        <v>0</v>
      </c>
      <c r="I3612">
        <f t="shared" si="747"/>
        <v>0</v>
      </c>
      <c r="J3612">
        <f t="shared" si="748"/>
        <v>0</v>
      </c>
      <c r="K3612" s="4" t="e">
        <f t="shared" si="736"/>
        <v>#N/A</v>
      </c>
      <c r="L3612" t="e">
        <f t="shared" si="737"/>
        <v>#N/A</v>
      </c>
      <c r="M3612" s="4" t="e">
        <f t="shared" si="738"/>
        <v>#N/A</v>
      </c>
      <c r="N3612" s="4" t="e">
        <f t="shared" si="739"/>
        <v>#N/A</v>
      </c>
    </row>
    <row r="3613" spans="1:14">
      <c r="A3613">
        <f t="shared" si="740"/>
        <v>0</v>
      </c>
      <c r="B3613">
        <f t="shared" si="741"/>
        <v>0</v>
      </c>
      <c r="C3613">
        <f t="shared" si="742"/>
        <v>0</v>
      </c>
      <c r="D3613">
        <f t="shared" si="743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4"/>
        <v>0</v>
      </c>
      <c r="G3613">
        <f t="shared" si="745"/>
        <v>0</v>
      </c>
      <c r="H3613">
        <f t="shared" si="746"/>
        <v>0</v>
      </c>
      <c r="I3613">
        <f t="shared" si="747"/>
        <v>0</v>
      </c>
      <c r="J3613">
        <f t="shared" si="748"/>
        <v>0</v>
      </c>
      <c r="K3613" s="4" t="e">
        <f t="shared" si="736"/>
        <v>#N/A</v>
      </c>
      <c r="L3613" t="e">
        <f t="shared" si="737"/>
        <v>#N/A</v>
      </c>
      <c r="M3613" s="4" t="e">
        <f t="shared" si="738"/>
        <v>#N/A</v>
      </c>
      <c r="N3613" s="4" t="e">
        <f t="shared" si="739"/>
        <v>#N/A</v>
      </c>
    </row>
    <row r="3614" spans="1:14">
      <c r="A3614">
        <f t="shared" si="740"/>
        <v>0</v>
      </c>
      <c r="B3614">
        <f t="shared" si="741"/>
        <v>0</v>
      </c>
      <c r="C3614">
        <f t="shared" si="742"/>
        <v>0</v>
      </c>
      <c r="D3614">
        <f t="shared" si="743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4"/>
        <v>0</v>
      </c>
      <c r="G3614">
        <f t="shared" si="745"/>
        <v>0</v>
      </c>
      <c r="H3614">
        <f t="shared" si="746"/>
        <v>0</v>
      </c>
      <c r="I3614">
        <f t="shared" si="747"/>
        <v>0</v>
      </c>
      <c r="J3614">
        <f t="shared" si="748"/>
        <v>0</v>
      </c>
      <c r="K3614" s="4" t="e">
        <f t="shared" si="736"/>
        <v>#N/A</v>
      </c>
      <c r="L3614" t="e">
        <f t="shared" si="737"/>
        <v>#N/A</v>
      </c>
      <c r="M3614" s="4" t="e">
        <f t="shared" si="738"/>
        <v>#N/A</v>
      </c>
      <c r="N3614" s="4" t="e">
        <f t="shared" si="739"/>
        <v>#N/A</v>
      </c>
    </row>
    <row r="3615" spans="1:14">
      <c r="A3615">
        <f t="shared" si="740"/>
        <v>0</v>
      </c>
      <c r="B3615">
        <f t="shared" si="741"/>
        <v>0</v>
      </c>
      <c r="C3615">
        <f t="shared" si="742"/>
        <v>0</v>
      </c>
      <c r="D3615">
        <f t="shared" si="743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4"/>
        <v>0</v>
      </c>
      <c r="G3615">
        <f t="shared" si="745"/>
        <v>0</v>
      </c>
      <c r="H3615">
        <f t="shared" si="746"/>
        <v>0</v>
      </c>
      <c r="I3615">
        <f t="shared" si="747"/>
        <v>0</v>
      </c>
      <c r="J3615">
        <f t="shared" si="748"/>
        <v>0</v>
      </c>
      <c r="K3615" s="4" t="e">
        <f t="shared" si="736"/>
        <v>#N/A</v>
      </c>
      <c r="L3615" t="e">
        <f t="shared" si="737"/>
        <v>#N/A</v>
      </c>
      <c r="M3615" s="4" t="e">
        <f t="shared" si="738"/>
        <v>#N/A</v>
      </c>
      <c r="N3615" s="4" t="e">
        <f t="shared" si="739"/>
        <v>#N/A</v>
      </c>
    </row>
    <row r="3616" spans="1:14">
      <c r="A3616">
        <f t="shared" si="740"/>
        <v>0</v>
      </c>
      <c r="B3616">
        <f t="shared" si="741"/>
        <v>0</v>
      </c>
      <c r="C3616">
        <f t="shared" si="742"/>
        <v>0</v>
      </c>
      <c r="D3616">
        <f t="shared" si="743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4"/>
        <v>0</v>
      </c>
      <c r="G3616">
        <f t="shared" si="745"/>
        <v>0</v>
      </c>
      <c r="H3616">
        <f t="shared" si="746"/>
        <v>0</v>
      </c>
      <c r="I3616">
        <f t="shared" si="747"/>
        <v>0</v>
      </c>
      <c r="J3616">
        <f t="shared" si="748"/>
        <v>0</v>
      </c>
      <c r="K3616" s="4" t="e">
        <f t="shared" si="736"/>
        <v>#N/A</v>
      </c>
      <c r="L3616" t="e">
        <f t="shared" si="737"/>
        <v>#N/A</v>
      </c>
      <c r="M3616" s="4" t="e">
        <f t="shared" si="738"/>
        <v>#N/A</v>
      </c>
      <c r="N3616" s="4" t="e">
        <f t="shared" si="739"/>
        <v>#N/A</v>
      </c>
    </row>
    <row r="3617" spans="1:14">
      <c r="A3617">
        <f t="shared" si="740"/>
        <v>0</v>
      </c>
      <c r="B3617">
        <f t="shared" si="741"/>
        <v>0</v>
      </c>
      <c r="C3617">
        <f t="shared" si="742"/>
        <v>0</v>
      </c>
      <c r="D3617">
        <f t="shared" si="743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4"/>
        <v>0</v>
      </c>
      <c r="G3617">
        <f t="shared" si="745"/>
        <v>0</v>
      </c>
      <c r="H3617">
        <f t="shared" si="746"/>
        <v>0</v>
      </c>
      <c r="I3617">
        <f t="shared" si="747"/>
        <v>0</v>
      </c>
      <c r="J3617">
        <f t="shared" si="748"/>
        <v>0</v>
      </c>
      <c r="K3617" s="4" t="e">
        <f t="shared" si="736"/>
        <v>#N/A</v>
      </c>
      <c r="L3617" t="e">
        <f t="shared" si="737"/>
        <v>#N/A</v>
      </c>
      <c r="M3617" s="4" t="e">
        <f t="shared" si="738"/>
        <v>#N/A</v>
      </c>
      <c r="N3617" s="4" t="e">
        <f t="shared" si="739"/>
        <v>#N/A</v>
      </c>
    </row>
    <row r="3618" spans="1:14">
      <c r="A3618">
        <f t="shared" si="740"/>
        <v>0</v>
      </c>
      <c r="B3618">
        <f t="shared" si="741"/>
        <v>0</v>
      </c>
      <c r="C3618">
        <f t="shared" si="742"/>
        <v>0</v>
      </c>
      <c r="D3618">
        <f t="shared" si="743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4"/>
        <v>0</v>
      </c>
      <c r="G3618">
        <f t="shared" si="745"/>
        <v>0</v>
      </c>
      <c r="H3618">
        <f t="shared" si="746"/>
        <v>0</v>
      </c>
      <c r="I3618">
        <f t="shared" si="747"/>
        <v>0</v>
      </c>
      <c r="J3618">
        <f t="shared" si="748"/>
        <v>0</v>
      </c>
      <c r="K3618" s="4" t="e">
        <f t="shared" si="736"/>
        <v>#N/A</v>
      </c>
      <c r="L3618" t="e">
        <f t="shared" si="737"/>
        <v>#N/A</v>
      </c>
      <c r="M3618" s="4" t="e">
        <f t="shared" si="738"/>
        <v>#N/A</v>
      </c>
      <c r="N3618" s="4" t="e">
        <f t="shared" si="739"/>
        <v>#N/A</v>
      </c>
    </row>
    <row r="3619" spans="1:14">
      <c r="A3619">
        <f t="shared" si="740"/>
        <v>0</v>
      </c>
      <c r="B3619">
        <f t="shared" si="741"/>
        <v>0</v>
      </c>
      <c r="C3619">
        <f t="shared" si="742"/>
        <v>0</v>
      </c>
      <c r="D3619">
        <f t="shared" si="743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4"/>
        <v>0</v>
      </c>
      <c r="G3619">
        <f t="shared" si="745"/>
        <v>0</v>
      </c>
      <c r="H3619">
        <f t="shared" si="746"/>
        <v>0</v>
      </c>
      <c r="I3619">
        <f t="shared" si="747"/>
        <v>0</v>
      </c>
      <c r="J3619">
        <f t="shared" si="748"/>
        <v>0</v>
      </c>
      <c r="K3619" s="4" t="e">
        <f t="shared" si="736"/>
        <v>#N/A</v>
      </c>
      <c r="L3619" t="e">
        <f t="shared" si="737"/>
        <v>#N/A</v>
      </c>
      <c r="M3619" s="4" t="e">
        <f t="shared" si="738"/>
        <v>#N/A</v>
      </c>
      <c r="N3619" s="4" t="e">
        <f t="shared" si="739"/>
        <v>#N/A</v>
      </c>
    </row>
    <row r="3620" spans="1:14">
      <c r="A3620">
        <f t="shared" si="740"/>
        <v>0</v>
      </c>
      <c r="B3620">
        <f t="shared" si="741"/>
        <v>0</v>
      </c>
      <c r="C3620">
        <f t="shared" si="742"/>
        <v>0</v>
      </c>
      <c r="D3620">
        <f t="shared" si="743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4"/>
        <v>0</v>
      </c>
      <c r="G3620">
        <f t="shared" si="745"/>
        <v>0</v>
      </c>
      <c r="H3620">
        <f t="shared" si="746"/>
        <v>0</v>
      </c>
      <c r="I3620">
        <f t="shared" si="747"/>
        <v>0</v>
      </c>
      <c r="J3620">
        <f t="shared" si="748"/>
        <v>0</v>
      </c>
      <c r="K3620" s="4" t="e">
        <f t="shared" si="736"/>
        <v>#N/A</v>
      </c>
      <c r="L3620" t="e">
        <f t="shared" si="737"/>
        <v>#N/A</v>
      </c>
      <c r="M3620" s="4" t="e">
        <f t="shared" si="738"/>
        <v>#N/A</v>
      </c>
      <c r="N3620" s="4" t="e">
        <f t="shared" si="739"/>
        <v>#N/A</v>
      </c>
    </row>
    <row r="3621" spans="1:14">
      <c r="A3621">
        <f t="shared" si="740"/>
        <v>0</v>
      </c>
      <c r="B3621">
        <f t="shared" si="741"/>
        <v>0</v>
      </c>
      <c r="C3621">
        <f t="shared" si="742"/>
        <v>0</v>
      </c>
      <c r="D3621">
        <f t="shared" si="743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4"/>
        <v>0</v>
      </c>
      <c r="G3621">
        <f t="shared" si="745"/>
        <v>0</v>
      </c>
      <c r="H3621">
        <f t="shared" si="746"/>
        <v>0</v>
      </c>
      <c r="I3621">
        <f t="shared" si="747"/>
        <v>0</v>
      </c>
      <c r="J3621">
        <f t="shared" si="748"/>
        <v>0</v>
      </c>
      <c r="K3621" s="4" t="e">
        <f t="shared" si="736"/>
        <v>#N/A</v>
      </c>
      <c r="L3621" t="e">
        <f t="shared" si="737"/>
        <v>#N/A</v>
      </c>
      <c r="M3621" s="4" t="e">
        <f t="shared" si="738"/>
        <v>#N/A</v>
      </c>
      <c r="N3621" s="4" t="e">
        <f t="shared" si="739"/>
        <v>#N/A</v>
      </c>
    </row>
    <row r="3622" spans="1:14">
      <c r="A3622">
        <f t="shared" si="740"/>
        <v>0</v>
      </c>
      <c r="B3622">
        <f t="shared" si="741"/>
        <v>0</v>
      </c>
      <c r="C3622">
        <f t="shared" si="742"/>
        <v>0</v>
      </c>
      <c r="D3622">
        <f t="shared" si="743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4"/>
        <v>0</v>
      </c>
      <c r="G3622">
        <f t="shared" si="745"/>
        <v>0</v>
      </c>
      <c r="H3622">
        <f t="shared" si="746"/>
        <v>0</v>
      </c>
      <c r="I3622">
        <f t="shared" si="747"/>
        <v>0</v>
      </c>
      <c r="J3622">
        <f t="shared" si="748"/>
        <v>0</v>
      </c>
      <c r="K3622" s="4" t="e">
        <f t="shared" si="736"/>
        <v>#N/A</v>
      </c>
      <c r="L3622" t="e">
        <f t="shared" si="737"/>
        <v>#N/A</v>
      </c>
      <c r="M3622" s="4" t="e">
        <f t="shared" si="738"/>
        <v>#N/A</v>
      </c>
      <c r="N3622" s="4" t="e">
        <f t="shared" si="739"/>
        <v>#N/A</v>
      </c>
    </row>
    <row r="3623" spans="1:14">
      <c r="A3623">
        <f t="shared" si="740"/>
        <v>0</v>
      </c>
      <c r="B3623">
        <f t="shared" si="741"/>
        <v>0</v>
      </c>
      <c r="C3623">
        <f t="shared" si="742"/>
        <v>0</v>
      </c>
      <c r="D3623">
        <f t="shared" si="743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4"/>
        <v>0</v>
      </c>
      <c r="G3623">
        <f t="shared" si="745"/>
        <v>0</v>
      </c>
      <c r="H3623">
        <f t="shared" si="746"/>
        <v>0</v>
      </c>
      <c r="I3623">
        <f t="shared" si="747"/>
        <v>0</v>
      </c>
      <c r="J3623">
        <f t="shared" si="748"/>
        <v>0</v>
      </c>
      <c r="K3623" s="4" t="e">
        <f t="shared" si="736"/>
        <v>#N/A</v>
      </c>
      <c r="L3623" t="e">
        <f t="shared" si="737"/>
        <v>#N/A</v>
      </c>
      <c r="M3623" s="4" t="e">
        <f t="shared" si="738"/>
        <v>#N/A</v>
      </c>
      <c r="N3623" s="4" t="e">
        <f t="shared" si="739"/>
        <v>#N/A</v>
      </c>
    </row>
    <row r="3624" spans="1:14">
      <c r="A3624">
        <f t="shared" si="740"/>
        <v>0</v>
      </c>
      <c r="B3624">
        <f t="shared" si="741"/>
        <v>0</v>
      </c>
      <c r="C3624">
        <f t="shared" si="742"/>
        <v>0</v>
      </c>
      <c r="D3624">
        <f t="shared" si="743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4"/>
        <v>0</v>
      </c>
      <c r="G3624">
        <f t="shared" si="745"/>
        <v>0</v>
      </c>
      <c r="H3624">
        <f t="shared" si="746"/>
        <v>0</v>
      </c>
      <c r="I3624">
        <f t="shared" si="747"/>
        <v>0</v>
      </c>
      <c r="J3624">
        <f t="shared" si="748"/>
        <v>0</v>
      </c>
      <c r="K3624" s="4" t="e">
        <f t="shared" si="736"/>
        <v>#N/A</v>
      </c>
      <c r="L3624" t="e">
        <f t="shared" si="737"/>
        <v>#N/A</v>
      </c>
      <c r="M3624" s="4" t="e">
        <f t="shared" si="738"/>
        <v>#N/A</v>
      </c>
      <c r="N3624" s="4" t="e">
        <f t="shared" si="739"/>
        <v>#N/A</v>
      </c>
    </row>
    <row r="3625" spans="1:14">
      <c r="A3625">
        <f t="shared" si="740"/>
        <v>0</v>
      </c>
      <c r="B3625">
        <f t="shared" si="741"/>
        <v>0</v>
      </c>
      <c r="C3625">
        <f t="shared" si="742"/>
        <v>0</v>
      </c>
      <c r="D3625">
        <f t="shared" si="743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4"/>
        <v>0</v>
      </c>
      <c r="G3625">
        <f t="shared" si="745"/>
        <v>0</v>
      </c>
      <c r="H3625">
        <f t="shared" si="746"/>
        <v>0</v>
      </c>
      <c r="I3625">
        <f t="shared" si="747"/>
        <v>0</v>
      </c>
      <c r="J3625">
        <f t="shared" si="748"/>
        <v>0</v>
      </c>
      <c r="K3625" s="4" t="e">
        <f t="shared" si="736"/>
        <v>#N/A</v>
      </c>
      <c r="L3625" t="e">
        <f t="shared" si="737"/>
        <v>#N/A</v>
      </c>
      <c r="M3625" s="4" t="e">
        <f t="shared" si="738"/>
        <v>#N/A</v>
      </c>
      <c r="N3625" s="4" t="e">
        <f t="shared" si="739"/>
        <v>#N/A</v>
      </c>
    </row>
    <row r="3626" spans="1:14">
      <c r="A3626">
        <f t="shared" si="740"/>
        <v>0</v>
      </c>
      <c r="B3626">
        <f t="shared" si="741"/>
        <v>0</v>
      </c>
      <c r="C3626">
        <f t="shared" si="742"/>
        <v>0</v>
      </c>
      <c r="D3626">
        <f t="shared" si="743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4"/>
        <v>0</v>
      </c>
      <c r="G3626">
        <f t="shared" si="745"/>
        <v>0</v>
      </c>
      <c r="H3626">
        <f t="shared" si="746"/>
        <v>0</v>
      </c>
      <c r="I3626">
        <f t="shared" si="747"/>
        <v>0</v>
      </c>
      <c r="J3626">
        <f t="shared" si="748"/>
        <v>0</v>
      </c>
      <c r="K3626" s="4" t="e">
        <f t="shared" si="736"/>
        <v>#N/A</v>
      </c>
      <c r="L3626" t="e">
        <f t="shared" si="737"/>
        <v>#N/A</v>
      </c>
      <c r="M3626" s="4" t="e">
        <f t="shared" si="738"/>
        <v>#N/A</v>
      </c>
      <c r="N3626" s="4" t="e">
        <f t="shared" si="739"/>
        <v>#N/A</v>
      </c>
    </row>
    <row r="3627" spans="1:14">
      <c r="A3627">
        <f t="shared" si="740"/>
        <v>0</v>
      </c>
      <c r="B3627">
        <f t="shared" si="741"/>
        <v>0</v>
      </c>
      <c r="C3627">
        <f t="shared" si="742"/>
        <v>0</v>
      </c>
      <c r="D3627">
        <f t="shared" si="743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4"/>
        <v>0</v>
      </c>
      <c r="G3627">
        <f t="shared" si="745"/>
        <v>0</v>
      </c>
      <c r="H3627">
        <f t="shared" si="746"/>
        <v>0</v>
      </c>
      <c r="I3627">
        <f t="shared" si="747"/>
        <v>0</v>
      </c>
      <c r="J3627">
        <f t="shared" si="748"/>
        <v>0</v>
      </c>
      <c r="K3627" s="4" t="e">
        <f t="shared" si="736"/>
        <v>#N/A</v>
      </c>
      <c r="L3627" t="e">
        <f t="shared" si="737"/>
        <v>#N/A</v>
      </c>
      <c r="M3627" s="4" t="e">
        <f t="shared" si="738"/>
        <v>#N/A</v>
      </c>
      <c r="N3627" s="4" t="e">
        <f t="shared" si="739"/>
        <v>#N/A</v>
      </c>
    </row>
    <row r="3628" spans="1:14">
      <c r="A3628">
        <f t="shared" si="740"/>
        <v>0</v>
      </c>
      <c r="B3628">
        <f t="shared" si="741"/>
        <v>0</v>
      </c>
      <c r="C3628">
        <f t="shared" si="742"/>
        <v>0</v>
      </c>
      <c r="D3628">
        <f t="shared" si="743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4"/>
        <v>0</v>
      </c>
      <c r="G3628">
        <f t="shared" si="745"/>
        <v>0</v>
      </c>
      <c r="H3628">
        <f t="shared" si="746"/>
        <v>0</v>
      </c>
      <c r="I3628">
        <f t="shared" si="747"/>
        <v>0</v>
      </c>
      <c r="J3628">
        <f t="shared" si="748"/>
        <v>0</v>
      </c>
      <c r="K3628" s="4" t="e">
        <f t="shared" si="736"/>
        <v>#N/A</v>
      </c>
      <c r="L3628" t="e">
        <f t="shared" si="737"/>
        <v>#N/A</v>
      </c>
      <c r="M3628" s="4" t="e">
        <f t="shared" si="738"/>
        <v>#N/A</v>
      </c>
      <c r="N3628" s="4" t="e">
        <f t="shared" si="739"/>
        <v>#N/A</v>
      </c>
    </row>
    <row r="3629" spans="1:14">
      <c r="A3629">
        <f t="shared" si="740"/>
        <v>0</v>
      </c>
      <c r="B3629">
        <f t="shared" si="741"/>
        <v>0</v>
      </c>
      <c r="C3629">
        <f t="shared" si="742"/>
        <v>0</v>
      </c>
      <c r="D3629">
        <f t="shared" si="743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4"/>
        <v>0</v>
      </c>
      <c r="G3629">
        <f t="shared" si="745"/>
        <v>0</v>
      </c>
      <c r="H3629">
        <f t="shared" si="746"/>
        <v>0</v>
      </c>
      <c r="I3629">
        <f t="shared" si="747"/>
        <v>0</v>
      </c>
      <c r="J3629">
        <f t="shared" si="748"/>
        <v>0</v>
      </c>
      <c r="K3629" s="4" t="e">
        <f t="shared" si="736"/>
        <v>#N/A</v>
      </c>
      <c r="L3629" t="e">
        <f t="shared" si="737"/>
        <v>#N/A</v>
      </c>
      <c r="M3629" s="4" t="e">
        <f t="shared" si="738"/>
        <v>#N/A</v>
      </c>
      <c r="N3629" s="4" t="e">
        <f t="shared" si="739"/>
        <v>#N/A</v>
      </c>
    </row>
    <row r="3630" spans="1:14">
      <c r="A3630">
        <f t="shared" si="740"/>
        <v>0</v>
      </c>
      <c r="B3630">
        <f t="shared" si="741"/>
        <v>0</v>
      </c>
      <c r="C3630">
        <f t="shared" si="742"/>
        <v>0</v>
      </c>
      <c r="D3630">
        <f t="shared" si="743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4"/>
        <v>0</v>
      </c>
      <c r="G3630">
        <f t="shared" si="745"/>
        <v>0</v>
      </c>
      <c r="H3630">
        <f t="shared" si="746"/>
        <v>0</v>
      </c>
      <c r="I3630">
        <f t="shared" si="747"/>
        <v>0</v>
      </c>
      <c r="J3630">
        <f t="shared" si="748"/>
        <v>0</v>
      </c>
      <c r="K3630" s="4" t="e">
        <f t="shared" si="736"/>
        <v>#N/A</v>
      </c>
      <c r="L3630" t="e">
        <f t="shared" si="737"/>
        <v>#N/A</v>
      </c>
      <c r="M3630" s="4" t="e">
        <f t="shared" si="738"/>
        <v>#N/A</v>
      </c>
      <c r="N3630" s="4" t="e">
        <f t="shared" si="739"/>
        <v>#N/A</v>
      </c>
    </row>
    <row r="3631" spans="1:14">
      <c r="A3631">
        <f t="shared" si="740"/>
        <v>0</v>
      </c>
      <c r="B3631">
        <f t="shared" si="741"/>
        <v>0</v>
      </c>
      <c r="C3631">
        <f t="shared" si="742"/>
        <v>0</v>
      </c>
      <c r="D3631">
        <f t="shared" si="743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4"/>
        <v>0</v>
      </c>
      <c r="G3631">
        <f t="shared" si="745"/>
        <v>0</v>
      </c>
      <c r="H3631">
        <f t="shared" si="746"/>
        <v>0</v>
      </c>
      <c r="I3631">
        <f t="shared" si="747"/>
        <v>0</v>
      </c>
      <c r="J3631">
        <f t="shared" si="748"/>
        <v>0</v>
      </c>
      <c r="K3631" s="4" t="e">
        <f t="shared" si="736"/>
        <v>#N/A</v>
      </c>
      <c r="L3631" t="e">
        <f t="shared" si="737"/>
        <v>#N/A</v>
      </c>
      <c r="M3631" s="4" t="e">
        <f t="shared" si="738"/>
        <v>#N/A</v>
      </c>
      <c r="N3631" s="4" t="e">
        <f t="shared" si="739"/>
        <v>#N/A</v>
      </c>
    </row>
    <row r="3632" spans="1:14">
      <c r="A3632">
        <f t="shared" si="740"/>
        <v>0</v>
      </c>
      <c r="B3632">
        <f t="shared" si="741"/>
        <v>0</v>
      </c>
      <c r="C3632">
        <f t="shared" si="742"/>
        <v>0</v>
      </c>
      <c r="D3632">
        <f t="shared" si="743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4"/>
        <v>0</v>
      </c>
      <c r="G3632">
        <f t="shared" si="745"/>
        <v>0</v>
      </c>
      <c r="H3632">
        <f t="shared" si="746"/>
        <v>0</v>
      </c>
      <c r="I3632">
        <f t="shared" si="747"/>
        <v>0</v>
      </c>
      <c r="J3632">
        <f t="shared" si="748"/>
        <v>0</v>
      </c>
      <c r="K3632" s="4" t="e">
        <f t="shared" si="736"/>
        <v>#N/A</v>
      </c>
      <c r="L3632" t="e">
        <f t="shared" si="737"/>
        <v>#N/A</v>
      </c>
      <c r="M3632" s="4" t="e">
        <f t="shared" si="738"/>
        <v>#N/A</v>
      </c>
      <c r="N3632" s="4" t="e">
        <f t="shared" si="739"/>
        <v>#N/A</v>
      </c>
    </row>
    <row r="3633" spans="1:14">
      <c r="A3633">
        <f t="shared" si="740"/>
        <v>0</v>
      </c>
      <c r="B3633">
        <f t="shared" si="741"/>
        <v>0</v>
      </c>
      <c r="C3633">
        <f t="shared" si="742"/>
        <v>0</v>
      </c>
      <c r="D3633">
        <f t="shared" si="743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4"/>
        <v>0</v>
      </c>
      <c r="G3633">
        <f t="shared" si="745"/>
        <v>0</v>
      </c>
      <c r="H3633">
        <f t="shared" si="746"/>
        <v>0</v>
      </c>
      <c r="I3633">
        <f t="shared" si="747"/>
        <v>0</v>
      </c>
      <c r="J3633">
        <f t="shared" si="748"/>
        <v>0</v>
      </c>
      <c r="K3633" s="4" t="e">
        <f t="shared" si="736"/>
        <v>#N/A</v>
      </c>
      <c r="L3633" t="e">
        <f t="shared" si="737"/>
        <v>#N/A</v>
      </c>
      <c r="M3633" s="4" t="e">
        <f t="shared" si="738"/>
        <v>#N/A</v>
      </c>
      <c r="N3633" s="4" t="e">
        <f t="shared" si="739"/>
        <v>#N/A</v>
      </c>
    </row>
    <row r="3634" spans="1:14">
      <c r="A3634">
        <f t="shared" si="740"/>
        <v>0</v>
      </c>
      <c r="B3634">
        <f t="shared" si="741"/>
        <v>0</v>
      </c>
      <c r="C3634">
        <f t="shared" si="742"/>
        <v>0</v>
      </c>
      <c r="D3634">
        <f t="shared" si="743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4"/>
        <v>0</v>
      </c>
      <c r="G3634">
        <f t="shared" si="745"/>
        <v>0</v>
      </c>
      <c r="H3634">
        <f t="shared" si="746"/>
        <v>0</v>
      </c>
      <c r="I3634">
        <f t="shared" si="747"/>
        <v>0</v>
      </c>
      <c r="J3634">
        <f t="shared" si="748"/>
        <v>0</v>
      </c>
      <c r="K3634" s="4" t="e">
        <f t="shared" si="736"/>
        <v>#N/A</v>
      </c>
      <c r="L3634" t="e">
        <f t="shared" si="737"/>
        <v>#N/A</v>
      </c>
      <c r="M3634" s="4" t="e">
        <f t="shared" si="738"/>
        <v>#N/A</v>
      </c>
      <c r="N3634" s="4" t="e">
        <f t="shared" si="739"/>
        <v>#N/A</v>
      </c>
    </row>
    <row r="3635" spans="1:14">
      <c r="A3635">
        <f t="shared" si="740"/>
        <v>0</v>
      </c>
      <c r="B3635">
        <f t="shared" si="741"/>
        <v>0</v>
      </c>
      <c r="C3635">
        <f t="shared" si="742"/>
        <v>0</v>
      </c>
      <c r="D3635">
        <f t="shared" si="743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4"/>
        <v>0</v>
      </c>
      <c r="G3635">
        <f t="shared" si="745"/>
        <v>0</v>
      </c>
      <c r="H3635">
        <f t="shared" si="746"/>
        <v>0</v>
      </c>
      <c r="I3635">
        <f t="shared" si="747"/>
        <v>0</v>
      </c>
      <c r="J3635">
        <f t="shared" si="748"/>
        <v>0</v>
      </c>
      <c r="K3635" s="4" t="e">
        <f t="shared" si="736"/>
        <v>#N/A</v>
      </c>
      <c r="L3635" t="e">
        <f t="shared" si="737"/>
        <v>#N/A</v>
      </c>
      <c r="M3635" s="4" t="e">
        <f t="shared" si="738"/>
        <v>#N/A</v>
      </c>
      <c r="N3635" s="4" t="e">
        <f t="shared" si="739"/>
        <v>#N/A</v>
      </c>
    </row>
    <row r="3636" spans="1:14">
      <c r="A3636">
        <f t="shared" si="740"/>
        <v>0</v>
      </c>
      <c r="B3636">
        <f t="shared" si="741"/>
        <v>0</v>
      </c>
      <c r="C3636">
        <f t="shared" si="742"/>
        <v>0</v>
      </c>
      <c r="D3636">
        <f t="shared" si="743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4"/>
        <v>0</v>
      </c>
      <c r="G3636">
        <f t="shared" si="745"/>
        <v>0</v>
      </c>
      <c r="H3636">
        <f t="shared" si="746"/>
        <v>0</v>
      </c>
      <c r="I3636">
        <f t="shared" si="747"/>
        <v>0</v>
      </c>
      <c r="J3636">
        <f t="shared" si="748"/>
        <v>0</v>
      </c>
      <c r="K3636" s="4" t="e">
        <f t="shared" si="736"/>
        <v>#N/A</v>
      </c>
      <c r="L3636" t="e">
        <f t="shared" si="737"/>
        <v>#N/A</v>
      </c>
      <c r="M3636" s="4" t="e">
        <f t="shared" si="738"/>
        <v>#N/A</v>
      </c>
      <c r="N3636" s="4" t="e">
        <f t="shared" si="739"/>
        <v>#N/A</v>
      </c>
    </row>
    <row r="3637" spans="1:14">
      <c r="A3637">
        <f t="shared" si="740"/>
        <v>0</v>
      </c>
      <c r="B3637">
        <f t="shared" si="741"/>
        <v>0</v>
      </c>
      <c r="C3637">
        <f t="shared" si="742"/>
        <v>0</v>
      </c>
      <c r="D3637">
        <f t="shared" si="743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4"/>
        <v>0</v>
      </c>
      <c r="G3637">
        <f t="shared" si="745"/>
        <v>0</v>
      </c>
      <c r="H3637">
        <f t="shared" si="746"/>
        <v>0</v>
      </c>
      <c r="I3637">
        <f t="shared" si="747"/>
        <v>0</v>
      </c>
      <c r="J3637">
        <f t="shared" si="748"/>
        <v>0</v>
      </c>
      <c r="K3637" s="4" t="e">
        <f t="shared" si="736"/>
        <v>#N/A</v>
      </c>
      <c r="L3637" t="e">
        <f t="shared" si="737"/>
        <v>#N/A</v>
      </c>
      <c r="M3637" s="4" t="e">
        <f t="shared" si="738"/>
        <v>#N/A</v>
      </c>
      <c r="N3637" s="4" t="e">
        <f t="shared" si="739"/>
        <v>#N/A</v>
      </c>
    </row>
    <row r="3638" spans="1:14">
      <c r="A3638">
        <f t="shared" si="740"/>
        <v>0</v>
      </c>
      <c r="B3638">
        <f t="shared" si="741"/>
        <v>0</v>
      </c>
      <c r="C3638">
        <f t="shared" si="742"/>
        <v>0</v>
      </c>
      <c r="D3638">
        <f t="shared" si="743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4"/>
        <v>0</v>
      </c>
      <c r="G3638">
        <f t="shared" si="745"/>
        <v>0</v>
      </c>
      <c r="H3638">
        <f t="shared" si="746"/>
        <v>0</v>
      </c>
      <c r="I3638">
        <f t="shared" si="747"/>
        <v>0</v>
      </c>
      <c r="J3638">
        <f t="shared" si="748"/>
        <v>0</v>
      </c>
      <c r="K3638" s="4" t="e">
        <f t="shared" si="736"/>
        <v>#N/A</v>
      </c>
      <c r="L3638" t="e">
        <f t="shared" si="737"/>
        <v>#N/A</v>
      </c>
      <c r="M3638" s="4" t="e">
        <f t="shared" si="738"/>
        <v>#N/A</v>
      </c>
      <c r="N3638" s="4" t="e">
        <f t="shared" si="739"/>
        <v>#N/A</v>
      </c>
    </row>
    <row r="3639" spans="1:14">
      <c r="A3639">
        <f t="shared" si="740"/>
        <v>0</v>
      </c>
      <c r="B3639">
        <f t="shared" si="741"/>
        <v>0</v>
      </c>
      <c r="C3639">
        <f t="shared" si="742"/>
        <v>0</v>
      </c>
      <c r="D3639">
        <f t="shared" si="743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4"/>
        <v>0</v>
      </c>
      <c r="G3639">
        <f t="shared" si="745"/>
        <v>0</v>
      </c>
      <c r="H3639">
        <f t="shared" si="746"/>
        <v>0</v>
      </c>
      <c r="I3639">
        <f t="shared" si="747"/>
        <v>0</v>
      </c>
      <c r="J3639">
        <f t="shared" si="748"/>
        <v>0</v>
      </c>
      <c r="K3639" s="4" t="e">
        <f t="shared" si="736"/>
        <v>#N/A</v>
      </c>
      <c r="L3639" t="e">
        <f t="shared" si="737"/>
        <v>#N/A</v>
      </c>
      <c r="M3639" s="4" t="e">
        <f t="shared" si="738"/>
        <v>#N/A</v>
      </c>
      <c r="N3639" s="4" t="e">
        <f t="shared" si="739"/>
        <v>#N/A</v>
      </c>
    </row>
    <row r="3640" spans="1:14">
      <c r="A3640">
        <f t="shared" si="740"/>
        <v>0</v>
      </c>
      <c r="B3640">
        <f t="shared" si="741"/>
        <v>0</v>
      </c>
      <c r="C3640">
        <f t="shared" si="742"/>
        <v>0</v>
      </c>
      <c r="D3640">
        <f t="shared" si="743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4"/>
        <v>0</v>
      </c>
      <c r="G3640">
        <f t="shared" si="745"/>
        <v>0</v>
      </c>
      <c r="H3640">
        <f t="shared" si="746"/>
        <v>0</v>
      </c>
      <c r="I3640">
        <f t="shared" si="747"/>
        <v>0</v>
      </c>
      <c r="J3640">
        <f t="shared" si="748"/>
        <v>0</v>
      </c>
      <c r="K3640" s="4" t="e">
        <f t="shared" si="736"/>
        <v>#N/A</v>
      </c>
      <c r="L3640" t="e">
        <f t="shared" si="737"/>
        <v>#N/A</v>
      </c>
      <c r="M3640" s="4" t="e">
        <f t="shared" si="738"/>
        <v>#N/A</v>
      </c>
      <c r="N3640" s="4" t="e">
        <f t="shared" si="739"/>
        <v>#N/A</v>
      </c>
    </row>
    <row r="3641" spans="1:14">
      <c r="A3641">
        <f t="shared" si="740"/>
        <v>0</v>
      </c>
      <c r="B3641">
        <f t="shared" si="741"/>
        <v>0</v>
      </c>
      <c r="C3641">
        <f t="shared" si="742"/>
        <v>0</v>
      </c>
      <c r="D3641">
        <f t="shared" si="743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4"/>
        <v>0</v>
      </c>
      <c r="G3641">
        <f t="shared" si="745"/>
        <v>0</v>
      </c>
      <c r="H3641">
        <f t="shared" si="746"/>
        <v>0</v>
      </c>
      <c r="I3641">
        <f t="shared" si="747"/>
        <v>0</v>
      </c>
      <c r="J3641">
        <f t="shared" si="748"/>
        <v>0</v>
      </c>
      <c r="K3641" s="4" t="e">
        <f t="shared" si="736"/>
        <v>#N/A</v>
      </c>
      <c r="L3641" t="e">
        <f t="shared" si="737"/>
        <v>#N/A</v>
      </c>
      <c r="M3641" s="4" t="e">
        <f t="shared" si="738"/>
        <v>#N/A</v>
      </c>
      <c r="N3641" s="4" t="e">
        <f t="shared" si="739"/>
        <v>#N/A</v>
      </c>
    </row>
    <row r="3642" spans="1:14">
      <c r="A3642">
        <f t="shared" si="740"/>
        <v>0</v>
      </c>
      <c r="B3642">
        <f t="shared" si="741"/>
        <v>0</v>
      </c>
      <c r="C3642">
        <f t="shared" si="742"/>
        <v>0</v>
      </c>
      <c r="D3642">
        <f t="shared" si="743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4"/>
        <v>0</v>
      </c>
      <c r="G3642">
        <f t="shared" si="745"/>
        <v>0</v>
      </c>
      <c r="H3642">
        <f t="shared" si="746"/>
        <v>0</v>
      </c>
      <c r="I3642">
        <f t="shared" si="747"/>
        <v>0</v>
      </c>
      <c r="J3642">
        <f t="shared" si="748"/>
        <v>0</v>
      </c>
      <c r="K3642" s="4" t="e">
        <f t="shared" si="736"/>
        <v>#N/A</v>
      </c>
      <c r="L3642" t="e">
        <f t="shared" si="737"/>
        <v>#N/A</v>
      </c>
      <c r="M3642" s="4" t="e">
        <f t="shared" si="738"/>
        <v>#N/A</v>
      </c>
      <c r="N3642" s="4" t="e">
        <f t="shared" si="739"/>
        <v>#N/A</v>
      </c>
    </row>
    <row r="3643" spans="1:14">
      <c r="A3643">
        <f t="shared" si="740"/>
        <v>0</v>
      </c>
      <c r="B3643">
        <f t="shared" si="741"/>
        <v>0</v>
      </c>
      <c r="C3643">
        <f t="shared" si="742"/>
        <v>0</v>
      </c>
      <c r="D3643">
        <f t="shared" si="743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4"/>
        <v>0</v>
      </c>
      <c r="G3643">
        <f t="shared" si="745"/>
        <v>0</v>
      </c>
      <c r="H3643">
        <f t="shared" si="746"/>
        <v>0</v>
      </c>
      <c r="I3643">
        <f t="shared" si="747"/>
        <v>0</v>
      </c>
      <c r="J3643">
        <f t="shared" si="748"/>
        <v>0</v>
      </c>
      <c r="K3643" s="4" t="e">
        <f t="shared" si="736"/>
        <v>#N/A</v>
      </c>
      <c r="L3643" t="e">
        <f t="shared" si="737"/>
        <v>#N/A</v>
      </c>
      <c r="M3643" s="4" t="e">
        <f t="shared" si="738"/>
        <v>#N/A</v>
      </c>
      <c r="N3643" s="4" t="e">
        <f t="shared" si="739"/>
        <v>#N/A</v>
      </c>
    </row>
    <row r="3644" spans="1:14">
      <c r="A3644">
        <f t="shared" si="740"/>
        <v>0</v>
      </c>
      <c r="B3644">
        <f t="shared" si="741"/>
        <v>0</v>
      </c>
      <c r="C3644">
        <f t="shared" si="742"/>
        <v>0</v>
      </c>
      <c r="D3644">
        <f t="shared" si="743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4"/>
        <v>0</v>
      </c>
      <c r="G3644">
        <f t="shared" si="745"/>
        <v>0</v>
      </c>
      <c r="H3644">
        <f t="shared" si="746"/>
        <v>0</v>
      </c>
      <c r="I3644">
        <f t="shared" si="747"/>
        <v>0</v>
      </c>
      <c r="J3644">
        <f t="shared" si="748"/>
        <v>0</v>
      </c>
      <c r="K3644" s="4" t="e">
        <f t="shared" si="736"/>
        <v>#N/A</v>
      </c>
      <c r="L3644" t="e">
        <f t="shared" si="737"/>
        <v>#N/A</v>
      </c>
      <c r="M3644" s="4" t="e">
        <f t="shared" si="738"/>
        <v>#N/A</v>
      </c>
      <c r="N3644" s="4" t="e">
        <f t="shared" si="739"/>
        <v>#N/A</v>
      </c>
    </row>
    <row r="3645" spans="1:14">
      <c r="A3645">
        <f t="shared" si="740"/>
        <v>0</v>
      </c>
      <c r="B3645">
        <f t="shared" si="741"/>
        <v>0</v>
      </c>
      <c r="C3645">
        <f t="shared" si="742"/>
        <v>0</v>
      </c>
      <c r="D3645">
        <f t="shared" si="743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4"/>
        <v>0</v>
      </c>
      <c r="G3645">
        <f t="shared" si="745"/>
        <v>0</v>
      </c>
      <c r="H3645">
        <f t="shared" si="746"/>
        <v>0</v>
      </c>
      <c r="I3645">
        <f t="shared" si="747"/>
        <v>0</v>
      </c>
      <c r="J3645">
        <f t="shared" si="748"/>
        <v>0</v>
      </c>
      <c r="K3645" s="4" t="e">
        <f t="shared" ref="K3645:K3708" si="749">IF(LEFT(B3645,3)="DBM",0,VLOOKUP(E3645,tabela,2,FALSE))</f>
        <v>#N/A</v>
      </c>
      <c r="L3645" t="e">
        <f t="shared" ref="L3645:L3708" si="750">VLOOKUP(E3645,tabela,3,FALSE)</f>
        <v>#N/A</v>
      </c>
      <c r="M3645" s="4" t="e">
        <f t="shared" ref="M3645:M3708" si="751">IF(E3645="Dynamic Click",J3645*K3645,K3645*$I3645/1000)</f>
        <v>#N/A</v>
      </c>
      <c r="N3645" s="4" t="e">
        <f t="shared" ref="N3645:N3708" si="752">IF(E3645="Dynamic Click",J3645*L3645,L3645*$I3645/1000)</f>
        <v>#N/A</v>
      </c>
    </row>
    <row r="3646" spans="1:14">
      <c r="A3646">
        <f t="shared" si="740"/>
        <v>0</v>
      </c>
      <c r="B3646">
        <f t="shared" si="741"/>
        <v>0</v>
      </c>
      <c r="C3646">
        <f t="shared" si="742"/>
        <v>0</v>
      </c>
      <c r="D3646">
        <f t="shared" si="743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4"/>
        <v>0</v>
      </c>
      <c r="G3646">
        <f t="shared" si="745"/>
        <v>0</v>
      </c>
      <c r="H3646">
        <f t="shared" si="746"/>
        <v>0</v>
      </c>
      <c r="I3646">
        <f t="shared" si="747"/>
        <v>0</v>
      </c>
      <c r="J3646">
        <f t="shared" si="748"/>
        <v>0</v>
      </c>
      <c r="K3646" s="4" t="e">
        <f t="shared" si="749"/>
        <v>#N/A</v>
      </c>
      <c r="L3646" t="e">
        <f t="shared" si="750"/>
        <v>#N/A</v>
      </c>
      <c r="M3646" s="4" t="e">
        <f t="shared" si="751"/>
        <v>#N/A</v>
      </c>
      <c r="N3646" s="4" t="e">
        <f t="shared" si="752"/>
        <v>#N/A</v>
      </c>
    </row>
    <row r="3647" spans="1:14">
      <c r="A3647">
        <f t="shared" si="740"/>
        <v>0</v>
      </c>
      <c r="B3647">
        <f t="shared" si="741"/>
        <v>0</v>
      </c>
      <c r="C3647">
        <f t="shared" si="742"/>
        <v>0</v>
      </c>
      <c r="D3647">
        <f t="shared" si="743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4"/>
        <v>0</v>
      </c>
      <c r="G3647">
        <f t="shared" si="745"/>
        <v>0</v>
      </c>
      <c r="H3647">
        <f t="shared" si="746"/>
        <v>0</v>
      </c>
      <c r="I3647">
        <f t="shared" si="747"/>
        <v>0</v>
      </c>
      <c r="J3647">
        <f t="shared" si="748"/>
        <v>0</v>
      </c>
      <c r="K3647" s="4" t="e">
        <f t="shared" si="749"/>
        <v>#N/A</v>
      </c>
      <c r="L3647" t="e">
        <f t="shared" si="750"/>
        <v>#N/A</v>
      </c>
      <c r="M3647" s="4" t="e">
        <f t="shared" si="751"/>
        <v>#N/A</v>
      </c>
      <c r="N3647" s="4" t="e">
        <f t="shared" si="752"/>
        <v>#N/A</v>
      </c>
    </row>
    <row r="3648" spans="1:14">
      <c r="A3648">
        <f t="shared" si="740"/>
        <v>0</v>
      </c>
      <c r="B3648">
        <f t="shared" si="741"/>
        <v>0</v>
      </c>
      <c r="C3648">
        <f t="shared" si="742"/>
        <v>0</v>
      </c>
      <c r="D3648">
        <f t="shared" si="743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4"/>
        <v>0</v>
      </c>
      <c r="G3648">
        <f t="shared" si="745"/>
        <v>0</v>
      </c>
      <c r="H3648">
        <f t="shared" si="746"/>
        <v>0</v>
      </c>
      <c r="I3648">
        <f t="shared" si="747"/>
        <v>0</v>
      </c>
      <c r="J3648">
        <f t="shared" si="748"/>
        <v>0</v>
      </c>
      <c r="K3648" s="4" t="e">
        <f t="shared" si="749"/>
        <v>#N/A</v>
      </c>
      <c r="L3648" t="e">
        <f t="shared" si="750"/>
        <v>#N/A</v>
      </c>
      <c r="M3648" s="4" t="e">
        <f t="shared" si="751"/>
        <v>#N/A</v>
      </c>
      <c r="N3648" s="4" t="e">
        <f t="shared" si="752"/>
        <v>#N/A</v>
      </c>
    </row>
    <row r="3649" spans="1:14">
      <c r="A3649">
        <f t="shared" si="740"/>
        <v>0</v>
      </c>
      <c r="B3649">
        <f t="shared" si="741"/>
        <v>0</v>
      </c>
      <c r="C3649">
        <f t="shared" si="742"/>
        <v>0</v>
      </c>
      <c r="D3649">
        <f t="shared" si="743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4"/>
        <v>0</v>
      </c>
      <c r="G3649">
        <f t="shared" si="745"/>
        <v>0</v>
      </c>
      <c r="H3649">
        <f t="shared" si="746"/>
        <v>0</v>
      </c>
      <c r="I3649">
        <f t="shared" si="747"/>
        <v>0</v>
      </c>
      <c r="J3649">
        <f t="shared" si="748"/>
        <v>0</v>
      </c>
      <c r="K3649" s="4" t="e">
        <f t="shared" si="749"/>
        <v>#N/A</v>
      </c>
      <c r="L3649" t="e">
        <f t="shared" si="750"/>
        <v>#N/A</v>
      </c>
      <c r="M3649" s="4" t="e">
        <f t="shared" si="751"/>
        <v>#N/A</v>
      </c>
      <c r="N3649" s="4" t="e">
        <f t="shared" si="752"/>
        <v>#N/A</v>
      </c>
    </row>
    <row r="3650" spans="1:14">
      <c r="A3650">
        <f t="shared" ref="A3650:A3713" si="753">bd_campaign</f>
        <v>0</v>
      </c>
      <c r="B3650">
        <f t="shared" ref="B3650:B3713" si="754">bd_site</f>
        <v>0</v>
      </c>
      <c r="C3650">
        <f t="shared" ref="C3650:C3713" si="755">bd_placement</f>
        <v>0</v>
      </c>
      <c r="D3650">
        <f t="shared" ref="D3650:D3713" si="756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7">bd_ad</f>
        <v>0</v>
      </c>
      <c r="G3650">
        <f t="shared" ref="G3650:G3713" si="758">bd_adid</f>
        <v>0</v>
      </c>
      <c r="H3650">
        <f t="shared" ref="H3650:H3713" si="759">bd_creativetype</f>
        <v>0</v>
      </c>
      <c r="I3650">
        <f t="shared" ref="I3650:I3713" si="760">bd_impression</f>
        <v>0</v>
      </c>
      <c r="J3650">
        <f t="shared" ref="J3650:J3713" si="761">bd_clicks</f>
        <v>0</v>
      </c>
      <c r="K3650" s="4" t="e">
        <f t="shared" si="749"/>
        <v>#N/A</v>
      </c>
      <c r="L3650" t="e">
        <f t="shared" si="750"/>
        <v>#N/A</v>
      </c>
      <c r="M3650" s="4" t="e">
        <f t="shared" si="751"/>
        <v>#N/A</v>
      </c>
      <c r="N3650" s="4" t="e">
        <f t="shared" si="752"/>
        <v>#N/A</v>
      </c>
    </row>
    <row r="3651" spans="1:14">
      <c r="A3651">
        <f t="shared" si="753"/>
        <v>0</v>
      </c>
      <c r="B3651">
        <f t="shared" si="754"/>
        <v>0</v>
      </c>
      <c r="C3651">
        <f t="shared" si="755"/>
        <v>0</v>
      </c>
      <c r="D3651">
        <f t="shared" si="756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7"/>
        <v>0</v>
      </c>
      <c r="G3651">
        <f t="shared" si="758"/>
        <v>0</v>
      </c>
      <c r="H3651">
        <f t="shared" si="759"/>
        <v>0</v>
      </c>
      <c r="I3651">
        <f t="shared" si="760"/>
        <v>0</v>
      </c>
      <c r="J3651">
        <f t="shared" si="761"/>
        <v>0</v>
      </c>
      <c r="K3651" s="4" t="e">
        <f t="shared" si="749"/>
        <v>#N/A</v>
      </c>
      <c r="L3651" t="e">
        <f t="shared" si="750"/>
        <v>#N/A</v>
      </c>
      <c r="M3651" s="4" t="e">
        <f t="shared" si="751"/>
        <v>#N/A</v>
      </c>
      <c r="N3651" s="4" t="e">
        <f t="shared" si="752"/>
        <v>#N/A</v>
      </c>
    </row>
    <row r="3652" spans="1:14">
      <c r="A3652">
        <f t="shared" si="753"/>
        <v>0</v>
      </c>
      <c r="B3652">
        <f t="shared" si="754"/>
        <v>0</v>
      </c>
      <c r="C3652">
        <f t="shared" si="755"/>
        <v>0</v>
      </c>
      <c r="D3652">
        <f t="shared" si="756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7"/>
        <v>0</v>
      </c>
      <c r="G3652">
        <f t="shared" si="758"/>
        <v>0</v>
      </c>
      <c r="H3652">
        <f t="shared" si="759"/>
        <v>0</v>
      </c>
      <c r="I3652">
        <f t="shared" si="760"/>
        <v>0</v>
      </c>
      <c r="J3652">
        <f t="shared" si="761"/>
        <v>0</v>
      </c>
      <c r="K3652" s="4" t="e">
        <f t="shared" si="749"/>
        <v>#N/A</v>
      </c>
      <c r="L3652" t="e">
        <f t="shared" si="750"/>
        <v>#N/A</v>
      </c>
      <c r="M3652" s="4" t="e">
        <f t="shared" si="751"/>
        <v>#N/A</v>
      </c>
      <c r="N3652" s="4" t="e">
        <f t="shared" si="752"/>
        <v>#N/A</v>
      </c>
    </row>
    <row r="3653" spans="1:14">
      <c r="A3653">
        <f t="shared" si="753"/>
        <v>0</v>
      </c>
      <c r="B3653">
        <f t="shared" si="754"/>
        <v>0</v>
      </c>
      <c r="C3653">
        <f t="shared" si="755"/>
        <v>0</v>
      </c>
      <c r="D3653">
        <f t="shared" si="756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7"/>
        <v>0</v>
      </c>
      <c r="G3653">
        <f t="shared" si="758"/>
        <v>0</v>
      </c>
      <c r="H3653">
        <f t="shared" si="759"/>
        <v>0</v>
      </c>
      <c r="I3653">
        <f t="shared" si="760"/>
        <v>0</v>
      </c>
      <c r="J3653">
        <f t="shared" si="761"/>
        <v>0</v>
      </c>
      <c r="K3653" s="4" t="e">
        <f t="shared" si="749"/>
        <v>#N/A</v>
      </c>
      <c r="L3653" t="e">
        <f t="shared" si="750"/>
        <v>#N/A</v>
      </c>
      <c r="M3653" s="4" t="e">
        <f t="shared" si="751"/>
        <v>#N/A</v>
      </c>
      <c r="N3653" s="4" t="e">
        <f t="shared" si="752"/>
        <v>#N/A</v>
      </c>
    </row>
    <row r="3654" spans="1:14">
      <c r="A3654">
        <f t="shared" si="753"/>
        <v>0</v>
      </c>
      <c r="B3654">
        <f t="shared" si="754"/>
        <v>0</v>
      </c>
      <c r="C3654">
        <f t="shared" si="755"/>
        <v>0</v>
      </c>
      <c r="D3654">
        <f t="shared" si="756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7"/>
        <v>0</v>
      </c>
      <c r="G3654">
        <f t="shared" si="758"/>
        <v>0</v>
      </c>
      <c r="H3654">
        <f t="shared" si="759"/>
        <v>0</v>
      </c>
      <c r="I3654">
        <f t="shared" si="760"/>
        <v>0</v>
      </c>
      <c r="J3654">
        <f t="shared" si="761"/>
        <v>0</v>
      </c>
      <c r="K3654" s="4" t="e">
        <f t="shared" si="749"/>
        <v>#N/A</v>
      </c>
      <c r="L3654" t="e">
        <f t="shared" si="750"/>
        <v>#N/A</v>
      </c>
      <c r="M3654" s="4" t="e">
        <f t="shared" si="751"/>
        <v>#N/A</v>
      </c>
      <c r="N3654" s="4" t="e">
        <f t="shared" si="752"/>
        <v>#N/A</v>
      </c>
    </row>
    <row r="3655" spans="1:14">
      <c r="A3655">
        <f t="shared" si="753"/>
        <v>0</v>
      </c>
      <c r="B3655">
        <f t="shared" si="754"/>
        <v>0</v>
      </c>
      <c r="C3655">
        <f t="shared" si="755"/>
        <v>0</v>
      </c>
      <c r="D3655">
        <f t="shared" si="756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7"/>
        <v>0</v>
      </c>
      <c r="G3655">
        <f t="shared" si="758"/>
        <v>0</v>
      </c>
      <c r="H3655">
        <f t="shared" si="759"/>
        <v>0</v>
      </c>
      <c r="I3655">
        <f t="shared" si="760"/>
        <v>0</v>
      </c>
      <c r="J3655">
        <f t="shared" si="761"/>
        <v>0</v>
      </c>
      <c r="K3655" s="4" t="e">
        <f t="shared" si="749"/>
        <v>#N/A</v>
      </c>
      <c r="L3655" t="e">
        <f t="shared" si="750"/>
        <v>#N/A</v>
      </c>
      <c r="M3655" s="4" t="e">
        <f t="shared" si="751"/>
        <v>#N/A</v>
      </c>
      <c r="N3655" s="4" t="e">
        <f t="shared" si="752"/>
        <v>#N/A</v>
      </c>
    </row>
    <row r="3656" spans="1:14">
      <c r="A3656">
        <f t="shared" si="753"/>
        <v>0</v>
      </c>
      <c r="B3656">
        <f t="shared" si="754"/>
        <v>0</v>
      </c>
      <c r="C3656">
        <f t="shared" si="755"/>
        <v>0</v>
      </c>
      <c r="D3656">
        <f t="shared" si="756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7"/>
        <v>0</v>
      </c>
      <c r="G3656">
        <f t="shared" si="758"/>
        <v>0</v>
      </c>
      <c r="H3656">
        <f t="shared" si="759"/>
        <v>0</v>
      </c>
      <c r="I3656">
        <f t="shared" si="760"/>
        <v>0</v>
      </c>
      <c r="J3656">
        <f t="shared" si="761"/>
        <v>0</v>
      </c>
      <c r="K3656" s="4" t="e">
        <f t="shared" si="749"/>
        <v>#N/A</v>
      </c>
      <c r="L3656" t="e">
        <f t="shared" si="750"/>
        <v>#N/A</v>
      </c>
      <c r="M3656" s="4" t="e">
        <f t="shared" si="751"/>
        <v>#N/A</v>
      </c>
      <c r="N3656" s="4" t="e">
        <f t="shared" si="752"/>
        <v>#N/A</v>
      </c>
    </row>
    <row r="3657" spans="1:14">
      <c r="A3657">
        <f t="shared" si="753"/>
        <v>0</v>
      </c>
      <c r="B3657">
        <f t="shared" si="754"/>
        <v>0</v>
      </c>
      <c r="C3657">
        <f t="shared" si="755"/>
        <v>0</v>
      </c>
      <c r="D3657">
        <f t="shared" si="756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7"/>
        <v>0</v>
      </c>
      <c r="G3657">
        <f t="shared" si="758"/>
        <v>0</v>
      </c>
      <c r="H3657">
        <f t="shared" si="759"/>
        <v>0</v>
      </c>
      <c r="I3657">
        <f t="shared" si="760"/>
        <v>0</v>
      </c>
      <c r="J3657">
        <f t="shared" si="761"/>
        <v>0</v>
      </c>
      <c r="K3657" s="4" t="e">
        <f t="shared" si="749"/>
        <v>#N/A</v>
      </c>
      <c r="L3657" t="e">
        <f t="shared" si="750"/>
        <v>#N/A</v>
      </c>
      <c r="M3657" s="4" t="e">
        <f t="shared" si="751"/>
        <v>#N/A</v>
      </c>
      <c r="N3657" s="4" t="e">
        <f t="shared" si="752"/>
        <v>#N/A</v>
      </c>
    </row>
    <row r="3658" spans="1:14">
      <c r="A3658">
        <f t="shared" si="753"/>
        <v>0</v>
      </c>
      <c r="B3658">
        <f t="shared" si="754"/>
        <v>0</v>
      </c>
      <c r="C3658">
        <f t="shared" si="755"/>
        <v>0</v>
      </c>
      <c r="D3658">
        <f t="shared" si="756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7"/>
        <v>0</v>
      </c>
      <c r="G3658">
        <f t="shared" si="758"/>
        <v>0</v>
      </c>
      <c r="H3658">
        <f t="shared" si="759"/>
        <v>0</v>
      </c>
      <c r="I3658">
        <f t="shared" si="760"/>
        <v>0</v>
      </c>
      <c r="J3658">
        <f t="shared" si="761"/>
        <v>0</v>
      </c>
      <c r="K3658" s="4" t="e">
        <f t="shared" si="749"/>
        <v>#N/A</v>
      </c>
      <c r="L3658" t="e">
        <f t="shared" si="750"/>
        <v>#N/A</v>
      </c>
      <c r="M3658" s="4" t="e">
        <f t="shared" si="751"/>
        <v>#N/A</v>
      </c>
      <c r="N3658" s="4" t="e">
        <f t="shared" si="752"/>
        <v>#N/A</v>
      </c>
    </row>
    <row r="3659" spans="1:14">
      <c r="A3659">
        <f t="shared" si="753"/>
        <v>0</v>
      </c>
      <c r="B3659">
        <f t="shared" si="754"/>
        <v>0</v>
      </c>
      <c r="C3659">
        <f t="shared" si="755"/>
        <v>0</v>
      </c>
      <c r="D3659">
        <f t="shared" si="756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7"/>
        <v>0</v>
      </c>
      <c r="G3659">
        <f t="shared" si="758"/>
        <v>0</v>
      </c>
      <c r="H3659">
        <f t="shared" si="759"/>
        <v>0</v>
      </c>
      <c r="I3659">
        <f t="shared" si="760"/>
        <v>0</v>
      </c>
      <c r="J3659">
        <f t="shared" si="761"/>
        <v>0</v>
      </c>
      <c r="K3659" s="4" t="e">
        <f t="shared" si="749"/>
        <v>#N/A</v>
      </c>
      <c r="L3659" t="e">
        <f t="shared" si="750"/>
        <v>#N/A</v>
      </c>
      <c r="M3659" s="4" t="e">
        <f t="shared" si="751"/>
        <v>#N/A</v>
      </c>
      <c r="N3659" s="4" t="e">
        <f t="shared" si="752"/>
        <v>#N/A</v>
      </c>
    </row>
    <row r="3660" spans="1:14">
      <c r="A3660">
        <f t="shared" si="753"/>
        <v>0</v>
      </c>
      <c r="B3660">
        <f t="shared" si="754"/>
        <v>0</v>
      </c>
      <c r="C3660">
        <f t="shared" si="755"/>
        <v>0</v>
      </c>
      <c r="D3660">
        <f t="shared" si="756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7"/>
        <v>0</v>
      </c>
      <c r="G3660">
        <f t="shared" si="758"/>
        <v>0</v>
      </c>
      <c r="H3660">
        <f t="shared" si="759"/>
        <v>0</v>
      </c>
      <c r="I3660">
        <f t="shared" si="760"/>
        <v>0</v>
      </c>
      <c r="J3660">
        <f t="shared" si="761"/>
        <v>0</v>
      </c>
      <c r="K3660" s="4" t="e">
        <f t="shared" si="749"/>
        <v>#N/A</v>
      </c>
      <c r="L3660" t="e">
        <f t="shared" si="750"/>
        <v>#N/A</v>
      </c>
      <c r="M3660" s="4" t="e">
        <f t="shared" si="751"/>
        <v>#N/A</v>
      </c>
      <c r="N3660" s="4" t="e">
        <f t="shared" si="752"/>
        <v>#N/A</v>
      </c>
    </row>
    <row r="3661" spans="1:14">
      <c r="A3661">
        <f t="shared" si="753"/>
        <v>0</v>
      </c>
      <c r="B3661">
        <f t="shared" si="754"/>
        <v>0</v>
      </c>
      <c r="C3661">
        <f t="shared" si="755"/>
        <v>0</v>
      </c>
      <c r="D3661">
        <f t="shared" si="756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7"/>
        <v>0</v>
      </c>
      <c r="G3661">
        <f t="shared" si="758"/>
        <v>0</v>
      </c>
      <c r="H3661">
        <f t="shared" si="759"/>
        <v>0</v>
      </c>
      <c r="I3661">
        <f t="shared" si="760"/>
        <v>0</v>
      </c>
      <c r="J3661">
        <f t="shared" si="761"/>
        <v>0</v>
      </c>
      <c r="K3661" s="4" t="e">
        <f t="shared" si="749"/>
        <v>#N/A</v>
      </c>
      <c r="L3661" t="e">
        <f t="shared" si="750"/>
        <v>#N/A</v>
      </c>
      <c r="M3661" s="4" t="e">
        <f t="shared" si="751"/>
        <v>#N/A</v>
      </c>
      <c r="N3661" s="4" t="e">
        <f t="shared" si="752"/>
        <v>#N/A</v>
      </c>
    </row>
    <row r="3662" spans="1:14">
      <c r="A3662">
        <f t="shared" si="753"/>
        <v>0</v>
      </c>
      <c r="B3662">
        <f t="shared" si="754"/>
        <v>0</v>
      </c>
      <c r="C3662">
        <f t="shared" si="755"/>
        <v>0</v>
      </c>
      <c r="D3662">
        <f t="shared" si="756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7"/>
        <v>0</v>
      </c>
      <c r="G3662">
        <f t="shared" si="758"/>
        <v>0</v>
      </c>
      <c r="H3662">
        <f t="shared" si="759"/>
        <v>0</v>
      </c>
      <c r="I3662">
        <f t="shared" si="760"/>
        <v>0</v>
      </c>
      <c r="J3662">
        <f t="shared" si="761"/>
        <v>0</v>
      </c>
      <c r="K3662" s="4" t="e">
        <f t="shared" si="749"/>
        <v>#N/A</v>
      </c>
      <c r="L3662" t="e">
        <f t="shared" si="750"/>
        <v>#N/A</v>
      </c>
      <c r="M3662" s="4" t="e">
        <f t="shared" si="751"/>
        <v>#N/A</v>
      </c>
      <c r="N3662" s="4" t="e">
        <f t="shared" si="752"/>
        <v>#N/A</v>
      </c>
    </row>
    <row r="3663" spans="1:14">
      <c r="A3663">
        <f t="shared" si="753"/>
        <v>0</v>
      </c>
      <c r="B3663">
        <f t="shared" si="754"/>
        <v>0</v>
      </c>
      <c r="C3663">
        <f t="shared" si="755"/>
        <v>0</v>
      </c>
      <c r="D3663">
        <f t="shared" si="756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7"/>
        <v>0</v>
      </c>
      <c r="G3663">
        <f t="shared" si="758"/>
        <v>0</v>
      </c>
      <c r="H3663">
        <f t="shared" si="759"/>
        <v>0</v>
      </c>
      <c r="I3663">
        <f t="shared" si="760"/>
        <v>0</v>
      </c>
      <c r="J3663">
        <f t="shared" si="761"/>
        <v>0</v>
      </c>
      <c r="K3663" s="4" t="e">
        <f t="shared" si="749"/>
        <v>#N/A</v>
      </c>
      <c r="L3663" t="e">
        <f t="shared" si="750"/>
        <v>#N/A</v>
      </c>
      <c r="M3663" s="4" t="e">
        <f t="shared" si="751"/>
        <v>#N/A</v>
      </c>
      <c r="N3663" s="4" t="e">
        <f t="shared" si="752"/>
        <v>#N/A</v>
      </c>
    </row>
    <row r="3664" spans="1:14">
      <c r="A3664">
        <f t="shared" si="753"/>
        <v>0</v>
      </c>
      <c r="B3664">
        <f t="shared" si="754"/>
        <v>0</v>
      </c>
      <c r="C3664">
        <f t="shared" si="755"/>
        <v>0</v>
      </c>
      <c r="D3664">
        <f t="shared" si="756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7"/>
        <v>0</v>
      </c>
      <c r="G3664">
        <f t="shared" si="758"/>
        <v>0</v>
      </c>
      <c r="H3664">
        <f t="shared" si="759"/>
        <v>0</v>
      </c>
      <c r="I3664">
        <f t="shared" si="760"/>
        <v>0</v>
      </c>
      <c r="J3664">
        <f t="shared" si="761"/>
        <v>0</v>
      </c>
      <c r="K3664" s="4" t="e">
        <f t="shared" si="749"/>
        <v>#N/A</v>
      </c>
      <c r="L3664" t="e">
        <f t="shared" si="750"/>
        <v>#N/A</v>
      </c>
      <c r="M3664" s="4" t="e">
        <f t="shared" si="751"/>
        <v>#N/A</v>
      </c>
      <c r="N3664" s="4" t="e">
        <f t="shared" si="752"/>
        <v>#N/A</v>
      </c>
    </row>
    <row r="3665" spans="1:14">
      <c r="A3665">
        <f t="shared" si="753"/>
        <v>0</v>
      </c>
      <c r="B3665">
        <f t="shared" si="754"/>
        <v>0</v>
      </c>
      <c r="C3665">
        <f t="shared" si="755"/>
        <v>0</v>
      </c>
      <c r="D3665">
        <f t="shared" si="756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7"/>
        <v>0</v>
      </c>
      <c r="G3665">
        <f t="shared" si="758"/>
        <v>0</v>
      </c>
      <c r="H3665">
        <f t="shared" si="759"/>
        <v>0</v>
      </c>
      <c r="I3665">
        <f t="shared" si="760"/>
        <v>0</v>
      </c>
      <c r="J3665">
        <f t="shared" si="761"/>
        <v>0</v>
      </c>
      <c r="K3665" s="4" t="e">
        <f t="shared" si="749"/>
        <v>#N/A</v>
      </c>
      <c r="L3665" t="e">
        <f t="shared" si="750"/>
        <v>#N/A</v>
      </c>
      <c r="M3665" s="4" t="e">
        <f t="shared" si="751"/>
        <v>#N/A</v>
      </c>
      <c r="N3665" s="4" t="e">
        <f t="shared" si="752"/>
        <v>#N/A</v>
      </c>
    </row>
    <row r="3666" spans="1:14">
      <c r="A3666">
        <f t="shared" si="753"/>
        <v>0</v>
      </c>
      <c r="B3666">
        <f t="shared" si="754"/>
        <v>0</v>
      </c>
      <c r="C3666">
        <f t="shared" si="755"/>
        <v>0</v>
      </c>
      <c r="D3666">
        <f t="shared" si="756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7"/>
        <v>0</v>
      </c>
      <c r="G3666">
        <f t="shared" si="758"/>
        <v>0</v>
      </c>
      <c r="H3666">
        <f t="shared" si="759"/>
        <v>0</v>
      </c>
      <c r="I3666">
        <f t="shared" si="760"/>
        <v>0</v>
      </c>
      <c r="J3666">
        <f t="shared" si="761"/>
        <v>0</v>
      </c>
      <c r="K3666" s="4" t="e">
        <f t="shared" si="749"/>
        <v>#N/A</v>
      </c>
      <c r="L3666" t="e">
        <f t="shared" si="750"/>
        <v>#N/A</v>
      </c>
      <c r="M3666" s="4" t="e">
        <f t="shared" si="751"/>
        <v>#N/A</v>
      </c>
      <c r="N3666" s="4" t="e">
        <f t="shared" si="752"/>
        <v>#N/A</v>
      </c>
    </row>
    <row r="3667" spans="1:14">
      <c r="A3667">
        <f t="shared" si="753"/>
        <v>0</v>
      </c>
      <c r="B3667">
        <f t="shared" si="754"/>
        <v>0</v>
      </c>
      <c r="C3667">
        <f t="shared" si="755"/>
        <v>0</v>
      </c>
      <c r="D3667">
        <f t="shared" si="756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7"/>
        <v>0</v>
      </c>
      <c r="G3667">
        <f t="shared" si="758"/>
        <v>0</v>
      </c>
      <c r="H3667">
        <f t="shared" si="759"/>
        <v>0</v>
      </c>
      <c r="I3667">
        <f t="shared" si="760"/>
        <v>0</v>
      </c>
      <c r="J3667">
        <f t="shared" si="761"/>
        <v>0</v>
      </c>
      <c r="K3667" s="4" t="e">
        <f t="shared" si="749"/>
        <v>#N/A</v>
      </c>
      <c r="L3667" t="e">
        <f t="shared" si="750"/>
        <v>#N/A</v>
      </c>
      <c r="M3667" s="4" t="e">
        <f t="shared" si="751"/>
        <v>#N/A</v>
      </c>
      <c r="N3667" s="4" t="e">
        <f t="shared" si="752"/>
        <v>#N/A</v>
      </c>
    </row>
    <row r="3668" spans="1:14">
      <c r="A3668">
        <f t="shared" si="753"/>
        <v>0</v>
      </c>
      <c r="B3668">
        <f t="shared" si="754"/>
        <v>0</v>
      </c>
      <c r="C3668">
        <f t="shared" si="755"/>
        <v>0</v>
      </c>
      <c r="D3668">
        <f t="shared" si="756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7"/>
        <v>0</v>
      </c>
      <c r="G3668">
        <f t="shared" si="758"/>
        <v>0</v>
      </c>
      <c r="H3668">
        <f t="shared" si="759"/>
        <v>0</v>
      </c>
      <c r="I3668">
        <f t="shared" si="760"/>
        <v>0</v>
      </c>
      <c r="J3668">
        <f t="shared" si="761"/>
        <v>0</v>
      </c>
      <c r="K3668" s="4" t="e">
        <f t="shared" si="749"/>
        <v>#N/A</v>
      </c>
      <c r="L3668" t="e">
        <f t="shared" si="750"/>
        <v>#N/A</v>
      </c>
      <c r="M3668" s="4" t="e">
        <f t="shared" si="751"/>
        <v>#N/A</v>
      </c>
      <c r="N3668" s="4" t="e">
        <f t="shared" si="752"/>
        <v>#N/A</v>
      </c>
    </row>
    <row r="3669" spans="1:14">
      <c r="A3669">
        <f t="shared" si="753"/>
        <v>0</v>
      </c>
      <c r="B3669">
        <f t="shared" si="754"/>
        <v>0</v>
      </c>
      <c r="C3669">
        <f t="shared" si="755"/>
        <v>0</v>
      </c>
      <c r="D3669">
        <f t="shared" si="756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7"/>
        <v>0</v>
      </c>
      <c r="G3669">
        <f t="shared" si="758"/>
        <v>0</v>
      </c>
      <c r="H3669">
        <f t="shared" si="759"/>
        <v>0</v>
      </c>
      <c r="I3669">
        <f t="shared" si="760"/>
        <v>0</v>
      </c>
      <c r="J3669">
        <f t="shared" si="761"/>
        <v>0</v>
      </c>
      <c r="K3669" s="4" t="e">
        <f t="shared" si="749"/>
        <v>#N/A</v>
      </c>
      <c r="L3669" t="e">
        <f t="shared" si="750"/>
        <v>#N/A</v>
      </c>
      <c r="M3669" s="4" t="e">
        <f t="shared" si="751"/>
        <v>#N/A</v>
      </c>
      <c r="N3669" s="4" t="e">
        <f t="shared" si="752"/>
        <v>#N/A</v>
      </c>
    </row>
    <row r="3670" spans="1:14">
      <c r="A3670">
        <f t="shared" si="753"/>
        <v>0</v>
      </c>
      <c r="B3670">
        <f t="shared" si="754"/>
        <v>0</v>
      </c>
      <c r="C3670">
        <f t="shared" si="755"/>
        <v>0</v>
      </c>
      <c r="D3670">
        <f t="shared" si="756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7"/>
        <v>0</v>
      </c>
      <c r="G3670">
        <f t="shared" si="758"/>
        <v>0</v>
      </c>
      <c r="H3670">
        <f t="shared" si="759"/>
        <v>0</v>
      </c>
      <c r="I3670">
        <f t="shared" si="760"/>
        <v>0</v>
      </c>
      <c r="J3670">
        <f t="shared" si="761"/>
        <v>0</v>
      </c>
      <c r="K3670" s="4" t="e">
        <f t="shared" si="749"/>
        <v>#N/A</v>
      </c>
      <c r="L3670" t="e">
        <f t="shared" si="750"/>
        <v>#N/A</v>
      </c>
      <c r="M3670" s="4" t="e">
        <f t="shared" si="751"/>
        <v>#N/A</v>
      </c>
      <c r="N3670" s="4" t="e">
        <f t="shared" si="752"/>
        <v>#N/A</v>
      </c>
    </row>
    <row r="3671" spans="1:14">
      <c r="A3671">
        <f t="shared" si="753"/>
        <v>0</v>
      </c>
      <c r="B3671">
        <f t="shared" si="754"/>
        <v>0</v>
      </c>
      <c r="C3671">
        <f t="shared" si="755"/>
        <v>0</v>
      </c>
      <c r="D3671">
        <f t="shared" si="756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7"/>
        <v>0</v>
      </c>
      <c r="G3671">
        <f t="shared" si="758"/>
        <v>0</v>
      </c>
      <c r="H3671">
        <f t="shared" si="759"/>
        <v>0</v>
      </c>
      <c r="I3671">
        <f t="shared" si="760"/>
        <v>0</v>
      </c>
      <c r="J3671">
        <f t="shared" si="761"/>
        <v>0</v>
      </c>
      <c r="K3671" s="4" t="e">
        <f t="shared" si="749"/>
        <v>#N/A</v>
      </c>
      <c r="L3671" t="e">
        <f t="shared" si="750"/>
        <v>#N/A</v>
      </c>
      <c r="M3671" s="4" t="e">
        <f t="shared" si="751"/>
        <v>#N/A</v>
      </c>
      <c r="N3671" s="4" t="e">
        <f t="shared" si="752"/>
        <v>#N/A</v>
      </c>
    </row>
    <row r="3672" spans="1:14">
      <c r="A3672">
        <f t="shared" si="753"/>
        <v>0</v>
      </c>
      <c r="B3672">
        <f t="shared" si="754"/>
        <v>0</v>
      </c>
      <c r="C3672">
        <f t="shared" si="755"/>
        <v>0</v>
      </c>
      <c r="D3672">
        <f t="shared" si="756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7"/>
        <v>0</v>
      </c>
      <c r="G3672">
        <f t="shared" si="758"/>
        <v>0</v>
      </c>
      <c r="H3672">
        <f t="shared" si="759"/>
        <v>0</v>
      </c>
      <c r="I3672">
        <f t="shared" si="760"/>
        <v>0</v>
      </c>
      <c r="J3672">
        <f t="shared" si="761"/>
        <v>0</v>
      </c>
      <c r="K3672" s="4" t="e">
        <f t="shared" si="749"/>
        <v>#N/A</v>
      </c>
      <c r="L3672" t="e">
        <f t="shared" si="750"/>
        <v>#N/A</v>
      </c>
      <c r="M3672" s="4" t="e">
        <f t="shared" si="751"/>
        <v>#N/A</v>
      </c>
      <c r="N3672" s="4" t="e">
        <f t="shared" si="752"/>
        <v>#N/A</v>
      </c>
    </row>
    <row r="3673" spans="1:14">
      <c r="A3673">
        <f t="shared" si="753"/>
        <v>0</v>
      </c>
      <c r="B3673">
        <f t="shared" si="754"/>
        <v>0</v>
      </c>
      <c r="C3673">
        <f t="shared" si="755"/>
        <v>0</v>
      </c>
      <c r="D3673">
        <f t="shared" si="756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7"/>
        <v>0</v>
      </c>
      <c r="G3673">
        <f t="shared" si="758"/>
        <v>0</v>
      </c>
      <c r="H3673">
        <f t="shared" si="759"/>
        <v>0</v>
      </c>
      <c r="I3673">
        <f t="shared" si="760"/>
        <v>0</v>
      </c>
      <c r="J3673">
        <f t="shared" si="761"/>
        <v>0</v>
      </c>
      <c r="K3673" s="4" t="e">
        <f t="shared" si="749"/>
        <v>#N/A</v>
      </c>
      <c r="L3673" t="e">
        <f t="shared" si="750"/>
        <v>#N/A</v>
      </c>
      <c r="M3673" s="4" t="e">
        <f t="shared" si="751"/>
        <v>#N/A</v>
      </c>
      <c r="N3673" s="4" t="e">
        <f t="shared" si="752"/>
        <v>#N/A</v>
      </c>
    </row>
    <row r="3674" spans="1:14">
      <c r="A3674">
        <f t="shared" si="753"/>
        <v>0</v>
      </c>
      <c r="B3674">
        <f t="shared" si="754"/>
        <v>0</v>
      </c>
      <c r="C3674">
        <f t="shared" si="755"/>
        <v>0</v>
      </c>
      <c r="D3674">
        <f t="shared" si="756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7"/>
        <v>0</v>
      </c>
      <c r="G3674">
        <f t="shared" si="758"/>
        <v>0</v>
      </c>
      <c r="H3674">
        <f t="shared" si="759"/>
        <v>0</v>
      </c>
      <c r="I3674">
        <f t="shared" si="760"/>
        <v>0</v>
      </c>
      <c r="J3674">
        <f t="shared" si="761"/>
        <v>0</v>
      </c>
      <c r="K3674" s="4" t="e">
        <f t="shared" si="749"/>
        <v>#N/A</v>
      </c>
      <c r="L3674" t="e">
        <f t="shared" si="750"/>
        <v>#N/A</v>
      </c>
      <c r="M3674" s="4" t="e">
        <f t="shared" si="751"/>
        <v>#N/A</v>
      </c>
      <c r="N3674" s="4" t="e">
        <f t="shared" si="752"/>
        <v>#N/A</v>
      </c>
    </row>
    <row r="3675" spans="1:14">
      <c r="A3675">
        <f t="shared" si="753"/>
        <v>0</v>
      </c>
      <c r="B3675">
        <f t="shared" si="754"/>
        <v>0</v>
      </c>
      <c r="C3675">
        <f t="shared" si="755"/>
        <v>0</v>
      </c>
      <c r="D3675">
        <f t="shared" si="756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7"/>
        <v>0</v>
      </c>
      <c r="G3675">
        <f t="shared" si="758"/>
        <v>0</v>
      </c>
      <c r="H3675">
        <f t="shared" si="759"/>
        <v>0</v>
      </c>
      <c r="I3675">
        <f t="shared" si="760"/>
        <v>0</v>
      </c>
      <c r="J3675">
        <f t="shared" si="761"/>
        <v>0</v>
      </c>
      <c r="K3675" s="4" t="e">
        <f t="shared" si="749"/>
        <v>#N/A</v>
      </c>
      <c r="L3675" t="e">
        <f t="shared" si="750"/>
        <v>#N/A</v>
      </c>
      <c r="M3675" s="4" t="e">
        <f t="shared" si="751"/>
        <v>#N/A</v>
      </c>
      <c r="N3675" s="4" t="e">
        <f t="shared" si="752"/>
        <v>#N/A</v>
      </c>
    </row>
    <row r="3676" spans="1:14">
      <c r="A3676">
        <f t="shared" si="753"/>
        <v>0</v>
      </c>
      <c r="B3676">
        <f t="shared" si="754"/>
        <v>0</v>
      </c>
      <c r="C3676">
        <f t="shared" si="755"/>
        <v>0</v>
      </c>
      <c r="D3676">
        <f t="shared" si="756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7"/>
        <v>0</v>
      </c>
      <c r="G3676">
        <f t="shared" si="758"/>
        <v>0</v>
      </c>
      <c r="H3676">
        <f t="shared" si="759"/>
        <v>0</v>
      </c>
      <c r="I3676">
        <f t="shared" si="760"/>
        <v>0</v>
      </c>
      <c r="J3676">
        <f t="shared" si="761"/>
        <v>0</v>
      </c>
      <c r="K3676" s="4" t="e">
        <f t="shared" si="749"/>
        <v>#N/A</v>
      </c>
      <c r="L3676" t="e">
        <f t="shared" si="750"/>
        <v>#N/A</v>
      </c>
      <c r="M3676" s="4" t="e">
        <f t="shared" si="751"/>
        <v>#N/A</v>
      </c>
      <c r="N3676" s="4" t="e">
        <f t="shared" si="752"/>
        <v>#N/A</v>
      </c>
    </row>
    <row r="3677" spans="1:14">
      <c r="A3677">
        <f t="shared" si="753"/>
        <v>0</v>
      </c>
      <c r="B3677">
        <f t="shared" si="754"/>
        <v>0</v>
      </c>
      <c r="C3677">
        <f t="shared" si="755"/>
        <v>0</v>
      </c>
      <c r="D3677">
        <f t="shared" si="756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7"/>
        <v>0</v>
      </c>
      <c r="G3677">
        <f t="shared" si="758"/>
        <v>0</v>
      </c>
      <c r="H3677">
        <f t="shared" si="759"/>
        <v>0</v>
      </c>
      <c r="I3677">
        <f t="shared" si="760"/>
        <v>0</v>
      </c>
      <c r="J3677">
        <f t="shared" si="761"/>
        <v>0</v>
      </c>
      <c r="K3677" s="4" t="e">
        <f t="shared" si="749"/>
        <v>#N/A</v>
      </c>
      <c r="L3677" t="e">
        <f t="shared" si="750"/>
        <v>#N/A</v>
      </c>
      <c r="M3677" s="4" t="e">
        <f t="shared" si="751"/>
        <v>#N/A</v>
      </c>
      <c r="N3677" s="4" t="e">
        <f t="shared" si="752"/>
        <v>#N/A</v>
      </c>
    </row>
    <row r="3678" spans="1:14">
      <c r="A3678">
        <f t="shared" si="753"/>
        <v>0</v>
      </c>
      <c r="B3678">
        <f t="shared" si="754"/>
        <v>0</v>
      </c>
      <c r="C3678">
        <f t="shared" si="755"/>
        <v>0</v>
      </c>
      <c r="D3678">
        <f t="shared" si="756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7"/>
        <v>0</v>
      </c>
      <c r="G3678">
        <f t="shared" si="758"/>
        <v>0</v>
      </c>
      <c r="H3678">
        <f t="shared" si="759"/>
        <v>0</v>
      </c>
      <c r="I3678">
        <f t="shared" si="760"/>
        <v>0</v>
      </c>
      <c r="J3678">
        <f t="shared" si="761"/>
        <v>0</v>
      </c>
      <c r="K3678" s="4" t="e">
        <f t="shared" si="749"/>
        <v>#N/A</v>
      </c>
      <c r="L3678" t="e">
        <f t="shared" si="750"/>
        <v>#N/A</v>
      </c>
      <c r="M3678" s="4" t="e">
        <f t="shared" si="751"/>
        <v>#N/A</v>
      </c>
      <c r="N3678" s="4" t="e">
        <f t="shared" si="752"/>
        <v>#N/A</v>
      </c>
    </row>
    <row r="3679" spans="1:14">
      <c r="A3679">
        <f t="shared" si="753"/>
        <v>0</v>
      </c>
      <c r="B3679">
        <f t="shared" si="754"/>
        <v>0</v>
      </c>
      <c r="C3679">
        <f t="shared" si="755"/>
        <v>0</v>
      </c>
      <c r="D3679">
        <f t="shared" si="756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7"/>
        <v>0</v>
      </c>
      <c r="G3679">
        <f t="shared" si="758"/>
        <v>0</v>
      </c>
      <c r="H3679">
        <f t="shared" si="759"/>
        <v>0</v>
      </c>
      <c r="I3679">
        <f t="shared" si="760"/>
        <v>0</v>
      </c>
      <c r="J3679">
        <f t="shared" si="761"/>
        <v>0</v>
      </c>
      <c r="K3679" s="4" t="e">
        <f t="shared" si="749"/>
        <v>#N/A</v>
      </c>
      <c r="L3679" t="e">
        <f t="shared" si="750"/>
        <v>#N/A</v>
      </c>
      <c r="M3679" s="4" t="e">
        <f t="shared" si="751"/>
        <v>#N/A</v>
      </c>
      <c r="N3679" s="4" t="e">
        <f t="shared" si="752"/>
        <v>#N/A</v>
      </c>
    </row>
    <row r="3680" spans="1:14">
      <c r="A3680">
        <f t="shared" si="753"/>
        <v>0</v>
      </c>
      <c r="B3680">
        <f t="shared" si="754"/>
        <v>0</v>
      </c>
      <c r="C3680">
        <f t="shared" si="755"/>
        <v>0</v>
      </c>
      <c r="D3680">
        <f t="shared" si="756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7"/>
        <v>0</v>
      </c>
      <c r="G3680">
        <f t="shared" si="758"/>
        <v>0</v>
      </c>
      <c r="H3680">
        <f t="shared" si="759"/>
        <v>0</v>
      </c>
      <c r="I3680">
        <f t="shared" si="760"/>
        <v>0</v>
      </c>
      <c r="J3680">
        <f t="shared" si="761"/>
        <v>0</v>
      </c>
      <c r="K3680" s="4" t="e">
        <f t="shared" si="749"/>
        <v>#N/A</v>
      </c>
      <c r="L3680" t="e">
        <f t="shared" si="750"/>
        <v>#N/A</v>
      </c>
      <c r="M3680" s="4" t="e">
        <f t="shared" si="751"/>
        <v>#N/A</v>
      </c>
      <c r="N3680" s="4" t="e">
        <f t="shared" si="752"/>
        <v>#N/A</v>
      </c>
    </row>
    <row r="3681" spans="1:14">
      <c r="A3681">
        <f t="shared" si="753"/>
        <v>0</v>
      </c>
      <c r="B3681">
        <f t="shared" si="754"/>
        <v>0</v>
      </c>
      <c r="C3681">
        <f t="shared" si="755"/>
        <v>0</v>
      </c>
      <c r="D3681">
        <f t="shared" si="756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7"/>
        <v>0</v>
      </c>
      <c r="G3681">
        <f t="shared" si="758"/>
        <v>0</v>
      </c>
      <c r="H3681">
        <f t="shared" si="759"/>
        <v>0</v>
      </c>
      <c r="I3681">
        <f t="shared" si="760"/>
        <v>0</v>
      </c>
      <c r="J3681">
        <f t="shared" si="761"/>
        <v>0</v>
      </c>
      <c r="K3681" s="4" t="e">
        <f t="shared" si="749"/>
        <v>#N/A</v>
      </c>
      <c r="L3681" t="e">
        <f t="shared" si="750"/>
        <v>#N/A</v>
      </c>
      <c r="M3681" s="4" t="e">
        <f t="shared" si="751"/>
        <v>#N/A</v>
      </c>
      <c r="N3681" s="4" t="e">
        <f t="shared" si="752"/>
        <v>#N/A</v>
      </c>
    </row>
    <row r="3682" spans="1:14">
      <c r="A3682">
        <f t="shared" si="753"/>
        <v>0</v>
      </c>
      <c r="B3682">
        <f t="shared" si="754"/>
        <v>0</v>
      </c>
      <c r="C3682">
        <f t="shared" si="755"/>
        <v>0</v>
      </c>
      <c r="D3682">
        <f t="shared" si="756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7"/>
        <v>0</v>
      </c>
      <c r="G3682">
        <f t="shared" si="758"/>
        <v>0</v>
      </c>
      <c r="H3682">
        <f t="shared" si="759"/>
        <v>0</v>
      </c>
      <c r="I3682">
        <f t="shared" si="760"/>
        <v>0</v>
      </c>
      <c r="J3682">
        <f t="shared" si="761"/>
        <v>0</v>
      </c>
      <c r="K3682" s="4" t="e">
        <f t="shared" si="749"/>
        <v>#N/A</v>
      </c>
      <c r="L3682" t="e">
        <f t="shared" si="750"/>
        <v>#N/A</v>
      </c>
      <c r="M3682" s="4" t="e">
        <f t="shared" si="751"/>
        <v>#N/A</v>
      </c>
      <c r="N3682" s="4" t="e">
        <f t="shared" si="752"/>
        <v>#N/A</v>
      </c>
    </row>
    <row r="3683" spans="1:14">
      <c r="A3683">
        <f t="shared" si="753"/>
        <v>0</v>
      </c>
      <c r="B3683">
        <f t="shared" si="754"/>
        <v>0</v>
      </c>
      <c r="C3683">
        <f t="shared" si="755"/>
        <v>0</v>
      </c>
      <c r="D3683">
        <f t="shared" si="756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7"/>
        <v>0</v>
      </c>
      <c r="G3683">
        <f t="shared" si="758"/>
        <v>0</v>
      </c>
      <c r="H3683">
        <f t="shared" si="759"/>
        <v>0</v>
      </c>
      <c r="I3683">
        <f t="shared" si="760"/>
        <v>0</v>
      </c>
      <c r="J3683">
        <f t="shared" si="761"/>
        <v>0</v>
      </c>
      <c r="K3683" s="4" t="e">
        <f t="shared" si="749"/>
        <v>#N/A</v>
      </c>
      <c r="L3683" t="e">
        <f t="shared" si="750"/>
        <v>#N/A</v>
      </c>
      <c r="M3683" s="4" t="e">
        <f t="shared" si="751"/>
        <v>#N/A</v>
      </c>
      <c r="N3683" s="4" t="e">
        <f t="shared" si="752"/>
        <v>#N/A</v>
      </c>
    </row>
    <row r="3684" spans="1:14">
      <c r="A3684">
        <f t="shared" si="753"/>
        <v>0</v>
      </c>
      <c r="B3684">
        <f t="shared" si="754"/>
        <v>0</v>
      </c>
      <c r="C3684">
        <f t="shared" si="755"/>
        <v>0</v>
      </c>
      <c r="D3684">
        <f t="shared" si="756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7"/>
        <v>0</v>
      </c>
      <c r="G3684">
        <f t="shared" si="758"/>
        <v>0</v>
      </c>
      <c r="H3684">
        <f t="shared" si="759"/>
        <v>0</v>
      </c>
      <c r="I3684">
        <f t="shared" si="760"/>
        <v>0</v>
      </c>
      <c r="J3684">
        <f t="shared" si="761"/>
        <v>0</v>
      </c>
      <c r="K3684" s="4" t="e">
        <f t="shared" si="749"/>
        <v>#N/A</v>
      </c>
      <c r="L3684" t="e">
        <f t="shared" si="750"/>
        <v>#N/A</v>
      </c>
      <c r="M3684" s="4" t="e">
        <f t="shared" si="751"/>
        <v>#N/A</v>
      </c>
      <c r="N3684" s="4" t="e">
        <f t="shared" si="752"/>
        <v>#N/A</v>
      </c>
    </row>
    <row r="3685" spans="1:14">
      <c r="A3685">
        <f t="shared" si="753"/>
        <v>0</v>
      </c>
      <c r="B3685">
        <f t="shared" si="754"/>
        <v>0</v>
      </c>
      <c r="C3685">
        <f t="shared" si="755"/>
        <v>0</v>
      </c>
      <c r="D3685">
        <f t="shared" si="756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7"/>
        <v>0</v>
      </c>
      <c r="G3685">
        <f t="shared" si="758"/>
        <v>0</v>
      </c>
      <c r="H3685">
        <f t="shared" si="759"/>
        <v>0</v>
      </c>
      <c r="I3685">
        <f t="shared" si="760"/>
        <v>0</v>
      </c>
      <c r="J3685">
        <f t="shared" si="761"/>
        <v>0</v>
      </c>
      <c r="K3685" s="4" t="e">
        <f t="shared" si="749"/>
        <v>#N/A</v>
      </c>
      <c r="L3685" t="e">
        <f t="shared" si="750"/>
        <v>#N/A</v>
      </c>
      <c r="M3685" s="4" t="e">
        <f t="shared" si="751"/>
        <v>#N/A</v>
      </c>
      <c r="N3685" s="4" t="e">
        <f t="shared" si="752"/>
        <v>#N/A</v>
      </c>
    </row>
    <row r="3686" spans="1:14">
      <c r="A3686">
        <f t="shared" si="753"/>
        <v>0</v>
      </c>
      <c r="B3686">
        <f t="shared" si="754"/>
        <v>0</v>
      </c>
      <c r="C3686">
        <f t="shared" si="755"/>
        <v>0</v>
      </c>
      <c r="D3686">
        <f t="shared" si="756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7"/>
        <v>0</v>
      </c>
      <c r="G3686">
        <f t="shared" si="758"/>
        <v>0</v>
      </c>
      <c r="H3686">
        <f t="shared" si="759"/>
        <v>0</v>
      </c>
      <c r="I3686">
        <f t="shared" si="760"/>
        <v>0</v>
      </c>
      <c r="J3686">
        <f t="shared" si="761"/>
        <v>0</v>
      </c>
      <c r="K3686" s="4" t="e">
        <f t="shared" si="749"/>
        <v>#N/A</v>
      </c>
      <c r="L3686" t="e">
        <f t="shared" si="750"/>
        <v>#N/A</v>
      </c>
      <c r="M3686" s="4" t="e">
        <f t="shared" si="751"/>
        <v>#N/A</v>
      </c>
      <c r="N3686" s="4" t="e">
        <f t="shared" si="752"/>
        <v>#N/A</v>
      </c>
    </row>
    <row r="3687" spans="1:14">
      <c r="A3687">
        <f t="shared" si="753"/>
        <v>0</v>
      </c>
      <c r="B3687">
        <f t="shared" si="754"/>
        <v>0</v>
      </c>
      <c r="C3687">
        <f t="shared" si="755"/>
        <v>0</v>
      </c>
      <c r="D3687">
        <f t="shared" si="756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7"/>
        <v>0</v>
      </c>
      <c r="G3687">
        <f t="shared" si="758"/>
        <v>0</v>
      </c>
      <c r="H3687">
        <f t="shared" si="759"/>
        <v>0</v>
      </c>
      <c r="I3687">
        <f t="shared" si="760"/>
        <v>0</v>
      </c>
      <c r="J3687">
        <f t="shared" si="761"/>
        <v>0</v>
      </c>
      <c r="K3687" s="4" t="e">
        <f t="shared" si="749"/>
        <v>#N/A</v>
      </c>
      <c r="L3687" t="e">
        <f t="shared" si="750"/>
        <v>#N/A</v>
      </c>
      <c r="M3687" s="4" t="e">
        <f t="shared" si="751"/>
        <v>#N/A</v>
      </c>
      <c r="N3687" s="4" t="e">
        <f t="shared" si="752"/>
        <v>#N/A</v>
      </c>
    </row>
    <row r="3688" spans="1:14">
      <c r="A3688">
        <f t="shared" si="753"/>
        <v>0</v>
      </c>
      <c r="B3688">
        <f t="shared" si="754"/>
        <v>0</v>
      </c>
      <c r="C3688">
        <f t="shared" si="755"/>
        <v>0</v>
      </c>
      <c r="D3688">
        <f t="shared" si="756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7"/>
        <v>0</v>
      </c>
      <c r="G3688">
        <f t="shared" si="758"/>
        <v>0</v>
      </c>
      <c r="H3688">
        <f t="shared" si="759"/>
        <v>0</v>
      </c>
      <c r="I3688">
        <f t="shared" si="760"/>
        <v>0</v>
      </c>
      <c r="J3688">
        <f t="shared" si="761"/>
        <v>0</v>
      </c>
      <c r="K3688" s="4" t="e">
        <f t="shared" si="749"/>
        <v>#N/A</v>
      </c>
      <c r="L3688" t="e">
        <f t="shared" si="750"/>
        <v>#N/A</v>
      </c>
      <c r="M3688" s="4" t="e">
        <f t="shared" si="751"/>
        <v>#N/A</v>
      </c>
      <c r="N3688" s="4" t="e">
        <f t="shared" si="752"/>
        <v>#N/A</v>
      </c>
    </row>
    <row r="3689" spans="1:14">
      <c r="A3689">
        <f t="shared" si="753"/>
        <v>0</v>
      </c>
      <c r="B3689">
        <f t="shared" si="754"/>
        <v>0</v>
      </c>
      <c r="C3689">
        <f t="shared" si="755"/>
        <v>0</v>
      </c>
      <c r="D3689">
        <f t="shared" si="756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7"/>
        <v>0</v>
      </c>
      <c r="G3689">
        <f t="shared" si="758"/>
        <v>0</v>
      </c>
      <c r="H3689">
        <f t="shared" si="759"/>
        <v>0</v>
      </c>
      <c r="I3689">
        <f t="shared" si="760"/>
        <v>0</v>
      </c>
      <c r="J3689">
        <f t="shared" si="761"/>
        <v>0</v>
      </c>
      <c r="K3689" s="4" t="e">
        <f t="shared" si="749"/>
        <v>#N/A</v>
      </c>
      <c r="L3689" t="e">
        <f t="shared" si="750"/>
        <v>#N/A</v>
      </c>
      <c r="M3689" s="4" t="e">
        <f t="shared" si="751"/>
        <v>#N/A</v>
      </c>
      <c r="N3689" s="4" t="e">
        <f t="shared" si="752"/>
        <v>#N/A</v>
      </c>
    </row>
    <row r="3690" spans="1:14">
      <c r="A3690">
        <f t="shared" si="753"/>
        <v>0</v>
      </c>
      <c r="B3690">
        <f t="shared" si="754"/>
        <v>0</v>
      </c>
      <c r="C3690">
        <f t="shared" si="755"/>
        <v>0</v>
      </c>
      <c r="D3690">
        <f t="shared" si="756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7"/>
        <v>0</v>
      </c>
      <c r="G3690">
        <f t="shared" si="758"/>
        <v>0</v>
      </c>
      <c r="H3690">
        <f t="shared" si="759"/>
        <v>0</v>
      </c>
      <c r="I3690">
        <f t="shared" si="760"/>
        <v>0</v>
      </c>
      <c r="J3690">
        <f t="shared" si="761"/>
        <v>0</v>
      </c>
      <c r="K3690" s="4" t="e">
        <f t="shared" si="749"/>
        <v>#N/A</v>
      </c>
      <c r="L3690" t="e">
        <f t="shared" si="750"/>
        <v>#N/A</v>
      </c>
      <c r="M3690" s="4" t="e">
        <f t="shared" si="751"/>
        <v>#N/A</v>
      </c>
      <c r="N3690" s="4" t="e">
        <f t="shared" si="752"/>
        <v>#N/A</v>
      </c>
    </row>
    <row r="3691" spans="1:14">
      <c r="A3691">
        <f t="shared" si="753"/>
        <v>0</v>
      </c>
      <c r="B3691">
        <f t="shared" si="754"/>
        <v>0</v>
      </c>
      <c r="C3691">
        <f t="shared" si="755"/>
        <v>0</v>
      </c>
      <c r="D3691">
        <f t="shared" si="756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7"/>
        <v>0</v>
      </c>
      <c r="G3691">
        <f t="shared" si="758"/>
        <v>0</v>
      </c>
      <c r="H3691">
        <f t="shared" si="759"/>
        <v>0</v>
      </c>
      <c r="I3691">
        <f t="shared" si="760"/>
        <v>0</v>
      </c>
      <c r="J3691">
        <f t="shared" si="761"/>
        <v>0</v>
      </c>
      <c r="K3691" s="4" t="e">
        <f t="shared" si="749"/>
        <v>#N/A</v>
      </c>
      <c r="L3691" t="e">
        <f t="shared" si="750"/>
        <v>#N/A</v>
      </c>
      <c r="M3691" s="4" t="e">
        <f t="shared" si="751"/>
        <v>#N/A</v>
      </c>
      <c r="N3691" s="4" t="e">
        <f t="shared" si="752"/>
        <v>#N/A</v>
      </c>
    </row>
    <row r="3692" spans="1:14">
      <c r="A3692">
        <f t="shared" si="753"/>
        <v>0</v>
      </c>
      <c r="B3692">
        <f t="shared" si="754"/>
        <v>0</v>
      </c>
      <c r="C3692">
        <f t="shared" si="755"/>
        <v>0</v>
      </c>
      <c r="D3692">
        <f t="shared" si="756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7"/>
        <v>0</v>
      </c>
      <c r="G3692">
        <f t="shared" si="758"/>
        <v>0</v>
      </c>
      <c r="H3692">
        <f t="shared" si="759"/>
        <v>0</v>
      </c>
      <c r="I3692">
        <f t="shared" si="760"/>
        <v>0</v>
      </c>
      <c r="J3692">
        <f t="shared" si="761"/>
        <v>0</v>
      </c>
      <c r="K3692" s="4" t="e">
        <f t="shared" si="749"/>
        <v>#N/A</v>
      </c>
      <c r="L3692" t="e">
        <f t="shared" si="750"/>
        <v>#N/A</v>
      </c>
      <c r="M3692" s="4" t="e">
        <f t="shared" si="751"/>
        <v>#N/A</v>
      </c>
      <c r="N3692" s="4" t="e">
        <f t="shared" si="752"/>
        <v>#N/A</v>
      </c>
    </row>
    <row r="3693" spans="1:14">
      <c r="A3693">
        <f t="shared" si="753"/>
        <v>0</v>
      </c>
      <c r="B3693">
        <f t="shared" si="754"/>
        <v>0</v>
      </c>
      <c r="C3693">
        <f t="shared" si="755"/>
        <v>0</v>
      </c>
      <c r="D3693">
        <f t="shared" si="756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7"/>
        <v>0</v>
      </c>
      <c r="G3693">
        <f t="shared" si="758"/>
        <v>0</v>
      </c>
      <c r="H3693">
        <f t="shared" si="759"/>
        <v>0</v>
      </c>
      <c r="I3693">
        <f t="shared" si="760"/>
        <v>0</v>
      </c>
      <c r="J3693">
        <f t="shared" si="761"/>
        <v>0</v>
      </c>
      <c r="K3693" s="4" t="e">
        <f t="shared" si="749"/>
        <v>#N/A</v>
      </c>
      <c r="L3693" t="e">
        <f t="shared" si="750"/>
        <v>#N/A</v>
      </c>
      <c r="M3693" s="4" t="e">
        <f t="shared" si="751"/>
        <v>#N/A</v>
      </c>
      <c r="N3693" s="4" t="e">
        <f t="shared" si="752"/>
        <v>#N/A</v>
      </c>
    </row>
    <row r="3694" spans="1:14">
      <c r="A3694">
        <f t="shared" si="753"/>
        <v>0</v>
      </c>
      <c r="B3694">
        <f t="shared" si="754"/>
        <v>0</v>
      </c>
      <c r="C3694">
        <f t="shared" si="755"/>
        <v>0</v>
      </c>
      <c r="D3694">
        <f t="shared" si="756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7"/>
        <v>0</v>
      </c>
      <c r="G3694">
        <f t="shared" si="758"/>
        <v>0</v>
      </c>
      <c r="H3694">
        <f t="shared" si="759"/>
        <v>0</v>
      </c>
      <c r="I3694">
        <f t="shared" si="760"/>
        <v>0</v>
      </c>
      <c r="J3694">
        <f t="shared" si="761"/>
        <v>0</v>
      </c>
      <c r="K3694" s="4" t="e">
        <f t="shared" si="749"/>
        <v>#N/A</v>
      </c>
      <c r="L3694" t="e">
        <f t="shared" si="750"/>
        <v>#N/A</v>
      </c>
      <c r="M3694" s="4" t="e">
        <f t="shared" si="751"/>
        <v>#N/A</v>
      </c>
      <c r="N3694" s="4" t="e">
        <f t="shared" si="752"/>
        <v>#N/A</v>
      </c>
    </row>
    <row r="3695" spans="1:14">
      <c r="A3695">
        <f t="shared" si="753"/>
        <v>0</v>
      </c>
      <c r="B3695">
        <f t="shared" si="754"/>
        <v>0</v>
      </c>
      <c r="C3695">
        <f t="shared" si="755"/>
        <v>0</v>
      </c>
      <c r="D3695">
        <f t="shared" si="756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7"/>
        <v>0</v>
      </c>
      <c r="G3695">
        <f t="shared" si="758"/>
        <v>0</v>
      </c>
      <c r="H3695">
        <f t="shared" si="759"/>
        <v>0</v>
      </c>
      <c r="I3695">
        <f t="shared" si="760"/>
        <v>0</v>
      </c>
      <c r="J3695">
        <f t="shared" si="761"/>
        <v>0</v>
      </c>
      <c r="K3695" s="4" t="e">
        <f t="shared" si="749"/>
        <v>#N/A</v>
      </c>
      <c r="L3695" t="e">
        <f t="shared" si="750"/>
        <v>#N/A</v>
      </c>
      <c r="M3695" s="4" t="e">
        <f t="shared" si="751"/>
        <v>#N/A</v>
      </c>
      <c r="N3695" s="4" t="e">
        <f t="shared" si="752"/>
        <v>#N/A</v>
      </c>
    </row>
    <row r="3696" spans="1:14">
      <c r="A3696">
        <f t="shared" si="753"/>
        <v>0</v>
      </c>
      <c r="B3696">
        <f t="shared" si="754"/>
        <v>0</v>
      </c>
      <c r="C3696">
        <f t="shared" si="755"/>
        <v>0</v>
      </c>
      <c r="D3696">
        <f t="shared" si="756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7"/>
        <v>0</v>
      </c>
      <c r="G3696">
        <f t="shared" si="758"/>
        <v>0</v>
      </c>
      <c r="H3696">
        <f t="shared" si="759"/>
        <v>0</v>
      </c>
      <c r="I3696">
        <f t="shared" si="760"/>
        <v>0</v>
      </c>
      <c r="J3696">
        <f t="shared" si="761"/>
        <v>0</v>
      </c>
      <c r="K3696" s="4" t="e">
        <f t="shared" si="749"/>
        <v>#N/A</v>
      </c>
      <c r="L3696" t="e">
        <f t="shared" si="750"/>
        <v>#N/A</v>
      </c>
      <c r="M3696" s="4" t="e">
        <f t="shared" si="751"/>
        <v>#N/A</v>
      </c>
      <c r="N3696" s="4" t="e">
        <f t="shared" si="752"/>
        <v>#N/A</v>
      </c>
    </row>
    <row r="3697" spans="1:14">
      <c r="A3697">
        <f t="shared" si="753"/>
        <v>0</v>
      </c>
      <c r="B3697">
        <f t="shared" si="754"/>
        <v>0</v>
      </c>
      <c r="C3697">
        <f t="shared" si="755"/>
        <v>0</v>
      </c>
      <c r="D3697">
        <f t="shared" si="756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7"/>
        <v>0</v>
      </c>
      <c r="G3697">
        <f t="shared" si="758"/>
        <v>0</v>
      </c>
      <c r="H3697">
        <f t="shared" si="759"/>
        <v>0</v>
      </c>
      <c r="I3697">
        <f t="shared" si="760"/>
        <v>0</v>
      </c>
      <c r="J3697">
        <f t="shared" si="761"/>
        <v>0</v>
      </c>
      <c r="K3697" s="4" t="e">
        <f t="shared" si="749"/>
        <v>#N/A</v>
      </c>
      <c r="L3697" t="e">
        <f t="shared" si="750"/>
        <v>#N/A</v>
      </c>
      <c r="M3697" s="4" t="e">
        <f t="shared" si="751"/>
        <v>#N/A</v>
      </c>
      <c r="N3697" s="4" t="e">
        <f t="shared" si="752"/>
        <v>#N/A</v>
      </c>
    </row>
    <row r="3698" spans="1:14">
      <c r="A3698">
        <f t="shared" si="753"/>
        <v>0</v>
      </c>
      <c r="B3698">
        <f t="shared" si="754"/>
        <v>0</v>
      </c>
      <c r="C3698">
        <f t="shared" si="755"/>
        <v>0</v>
      </c>
      <c r="D3698">
        <f t="shared" si="756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7"/>
        <v>0</v>
      </c>
      <c r="G3698">
        <f t="shared" si="758"/>
        <v>0</v>
      </c>
      <c r="H3698">
        <f t="shared" si="759"/>
        <v>0</v>
      </c>
      <c r="I3698">
        <f t="shared" si="760"/>
        <v>0</v>
      </c>
      <c r="J3698">
        <f t="shared" si="761"/>
        <v>0</v>
      </c>
      <c r="K3698" s="4" t="e">
        <f t="shared" si="749"/>
        <v>#N/A</v>
      </c>
      <c r="L3698" t="e">
        <f t="shared" si="750"/>
        <v>#N/A</v>
      </c>
      <c r="M3698" s="4" t="e">
        <f t="shared" si="751"/>
        <v>#N/A</v>
      </c>
      <c r="N3698" s="4" t="e">
        <f t="shared" si="752"/>
        <v>#N/A</v>
      </c>
    </row>
    <row r="3699" spans="1:14">
      <c r="A3699">
        <f t="shared" si="753"/>
        <v>0</v>
      </c>
      <c r="B3699">
        <f t="shared" si="754"/>
        <v>0</v>
      </c>
      <c r="C3699">
        <f t="shared" si="755"/>
        <v>0</v>
      </c>
      <c r="D3699">
        <f t="shared" si="756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7"/>
        <v>0</v>
      </c>
      <c r="G3699">
        <f t="shared" si="758"/>
        <v>0</v>
      </c>
      <c r="H3699">
        <f t="shared" si="759"/>
        <v>0</v>
      </c>
      <c r="I3699">
        <f t="shared" si="760"/>
        <v>0</v>
      </c>
      <c r="J3699">
        <f t="shared" si="761"/>
        <v>0</v>
      </c>
      <c r="K3699" s="4" t="e">
        <f t="shared" si="749"/>
        <v>#N/A</v>
      </c>
      <c r="L3699" t="e">
        <f t="shared" si="750"/>
        <v>#N/A</v>
      </c>
      <c r="M3699" s="4" t="e">
        <f t="shared" si="751"/>
        <v>#N/A</v>
      </c>
      <c r="N3699" s="4" t="e">
        <f t="shared" si="752"/>
        <v>#N/A</v>
      </c>
    </row>
    <row r="3700" spans="1:14">
      <c r="A3700">
        <f t="shared" si="753"/>
        <v>0</v>
      </c>
      <c r="B3700">
        <f t="shared" si="754"/>
        <v>0</v>
      </c>
      <c r="C3700">
        <f t="shared" si="755"/>
        <v>0</v>
      </c>
      <c r="D3700">
        <f t="shared" si="756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7"/>
        <v>0</v>
      </c>
      <c r="G3700">
        <f t="shared" si="758"/>
        <v>0</v>
      </c>
      <c r="H3700">
        <f t="shared" si="759"/>
        <v>0</v>
      </c>
      <c r="I3700">
        <f t="shared" si="760"/>
        <v>0</v>
      </c>
      <c r="J3700">
        <f t="shared" si="761"/>
        <v>0</v>
      </c>
      <c r="K3700" s="4" t="e">
        <f t="shared" si="749"/>
        <v>#N/A</v>
      </c>
      <c r="L3700" t="e">
        <f t="shared" si="750"/>
        <v>#N/A</v>
      </c>
      <c r="M3700" s="4" t="e">
        <f t="shared" si="751"/>
        <v>#N/A</v>
      </c>
      <c r="N3700" s="4" t="e">
        <f t="shared" si="752"/>
        <v>#N/A</v>
      </c>
    </row>
    <row r="3701" spans="1:14">
      <c r="A3701">
        <f t="shared" si="753"/>
        <v>0</v>
      </c>
      <c r="B3701">
        <f t="shared" si="754"/>
        <v>0</v>
      </c>
      <c r="C3701">
        <f t="shared" si="755"/>
        <v>0</v>
      </c>
      <c r="D3701">
        <f t="shared" si="756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7"/>
        <v>0</v>
      </c>
      <c r="G3701">
        <f t="shared" si="758"/>
        <v>0</v>
      </c>
      <c r="H3701">
        <f t="shared" si="759"/>
        <v>0</v>
      </c>
      <c r="I3701">
        <f t="shared" si="760"/>
        <v>0</v>
      </c>
      <c r="J3701">
        <f t="shared" si="761"/>
        <v>0</v>
      </c>
      <c r="K3701" s="4" t="e">
        <f t="shared" si="749"/>
        <v>#N/A</v>
      </c>
      <c r="L3701" t="e">
        <f t="shared" si="750"/>
        <v>#N/A</v>
      </c>
      <c r="M3701" s="4" t="e">
        <f t="shared" si="751"/>
        <v>#N/A</v>
      </c>
      <c r="N3701" s="4" t="e">
        <f t="shared" si="752"/>
        <v>#N/A</v>
      </c>
    </row>
    <row r="3702" spans="1:14">
      <c r="A3702">
        <f t="shared" si="753"/>
        <v>0</v>
      </c>
      <c r="B3702">
        <f t="shared" si="754"/>
        <v>0</v>
      </c>
      <c r="C3702">
        <f t="shared" si="755"/>
        <v>0</v>
      </c>
      <c r="D3702">
        <f t="shared" si="756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7"/>
        <v>0</v>
      </c>
      <c r="G3702">
        <f t="shared" si="758"/>
        <v>0</v>
      </c>
      <c r="H3702">
        <f t="shared" si="759"/>
        <v>0</v>
      </c>
      <c r="I3702">
        <f t="shared" si="760"/>
        <v>0</v>
      </c>
      <c r="J3702">
        <f t="shared" si="761"/>
        <v>0</v>
      </c>
      <c r="K3702" s="4" t="e">
        <f t="shared" si="749"/>
        <v>#N/A</v>
      </c>
      <c r="L3702" t="e">
        <f t="shared" si="750"/>
        <v>#N/A</v>
      </c>
      <c r="M3702" s="4" t="e">
        <f t="shared" si="751"/>
        <v>#N/A</v>
      </c>
      <c r="N3702" s="4" t="e">
        <f t="shared" si="752"/>
        <v>#N/A</v>
      </c>
    </row>
    <row r="3703" spans="1:14">
      <c r="A3703">
        <f t="shared" si="753"/>
        <v>0</v>
      </c>
      <c r="B3703">
        <f t="shared" si="754"/>
        <v>0</v>
      </c>
      <c r="C3703">
        <f t="shared" si="755"/>
        <v>0</v>
      </c>
      <c r="D3703">
        <f t="shared" si="756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7"/>
        <v>0</v>
      </c>
      <c r="G3703">
        <f t="shared" si="758"/>
        <v>0</v>
      </c>
      <c r="H3703">
        <f t="shared" si="759"/>
        <v>0</v>
      </c>
      <c r="I3703">
        <f t="shared" si="760"/>
        <v>0</v>
      </c>
      <c r="J3703">
        <f t="shared" si="761"/>
        <v>0</v>
      </c>
      <c r="K3703" s="4" t="e">
        <f t="shared" si="749"/>
        <v>#N/A</v>
      </c>
      <c r="L3703" t="e">
        <f t="shared" si="750"/>
        <v>#N/A</v>
      </c>
      <c r="M3703" s="4" t="e">
        <f t="shared" si="751"/>
        <v>#N/A</v>
      </c>
      <c r="N3703" s="4" t="e">
        <f t="shared" si="752"/>
        <v>#N/A</v>
      </c>
    </row>
    <row r="3704" spans="1:14">
      <c r="A3704">
        <f t="shared" si="753"/>
        <v>0</v>
      </c>
      <c r="B3704">
        <f t="shared" si="754"/>
        <v>0</v>
      </c>
      <c r="C3704">
        <f t="shared" si="755"/>
        <v>0</v>
      </c>
      <c r="D3704">
        <f t="shared" si="756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7"/>
        <v>0</v>
      </c>
      <c r="G3704">
        <f t="shared" si="758"/>
        <v>0</v>
      </c>
      <c r="H3704">
        <f t="shared" si="759"/>
        <v>0</v>
      </c>
      <c r="I3704">
        <f t="shared" si="760"/>
        <v>0</v>
      </c>
      <c r="J3704">
        <f t="shared" si="761"/>
        <v>0</v>
      </c>
      <c r="K3704" s="4" t="e">
        <f t="shared" si="749"/>
        <v>#N/A</v>
      </c>
      <c r="L3704" t="e">
        <f t="shared" si="750"/>
        <v>#N/A</v>
      </c>
      <c r="M3704" s="4" t="e">
        <f t="shared" si="751"/>
        <v>#N/A</v>
      </c>
      <c r="N3704" s="4" t="e">
        <f t="shared" si="752"/>
        <v>#N/A</v>
      </c>
    </row>
    <row r="3705" spans="1:14">
      <c r="A3705">
        <f t="shared" si="753"/>
        <v>0</v>
      </c>
      <c r="B3705">
        <f t="shared" si="754"/>
        <v>0</v>
      </c>
      <c r="C3705">
        <f t="shared" si="755"/>
        <v>0</v>
      </c>
      <c r="D3705">
        <f t="shared" si="756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7"/>
        <v>0</v>
      </c>
      <c r="G3705">
        <f t="shared" si="758"/>
        <v>0</v>
      </c>
      <c r="H3705">
        <f t="shared" si="759"/>
        <v>0</v>
      </c>
      <c r="I3705">
        <f t="shared" si="760"/>
        <v>0</v>
      </c>
      <c r="J3705">
        <f t="shared" si="761"/>
        <v>0</v>
      </c>
      <c r="K3705" s="4" t="e">
        <f t="shared" si="749"/>
        <v>#N/A</v>
      </c>
      <c r="L3705" t="e">
        <f t="shared" si="750"/>
        <v>#N/A</v>
      </c>
      <c r="M3705" s="4" t="e">
        <f t="shared" si="751"/>
        <v>#N/A</v>
      </c>
      <c r="N3705" s="4" t="e">
        <f t="shared" si="752"/>
        <v>#N/A</v>
      </c>
    </row>
    <row r="3706" spans="1:14">
      <c r="A3706">
        <f t="shared" si="753"/>
        <v>0</v>
      </c>
      <c r="B3706">
        <f t="shared" si="754"/>
        <v>0</v>
      </c>
      <c r="C3706">
        <f t="shared" si="755"/>
        <v>0</v>
      </c>
      <c r="D3706">
        <f t="shared" si="756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7"/>
        <v>0</v>
      </c>
      <c r="G3706">
        <f t="shared" si="758"/>
        <v>0</v>
      </c>
      <c r="H3706">
        <f t="shared" si="759"/>
        <v>0</v>
      </c>
      <c r="I3706">
        <f t="shared" si="760"/>
        <v>0</v>
      </c>
      <c r="J3706">
        <f t="shared" si="761"/>
        <v>0</v>
      </c>
      <c r="K3706" s="4" t="e">
        <f t="shared" si="749"/>
        <v>#N/A</v>
      </c>
      <c r="L3706" t="e">
        <f t="shared" si="750"/>
        <v>#N/A</v>
      </c>
      <c r="M3706" s="4" t="e">
        <f t="shared" si="751"/>
        <v>#N/A</v>
      </c>
      <c r="N3706" s="4" t="e">
        <f t="shared" si="752"/>
        <v>#N/A</v>
      </c>
    </row>
    <row r="3707" spans="1:14">
      <c r="A3707">
        <f t="shared" si="753"/>
        <v>0</v>
      </c>
      <c r="B3707">
        <f t="shared" si="754"/>
        <v>0</v>
      </c>
      <c r="C3707">
        <f t="shared" si="755"/>
        <v>0</v>
      </c>
      <c r="D3707">
        <f t="shared" si="756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7"/>
        <v>0</v>
      </c>
      <c r="G3707">
        <f t="shared" si="758"/>
        <v>0</v>
      </c>
      <c r="H3707">
        <f t="shared" si="759"/>
        <v>0</v>
      </c>
      <c r="I3707">
        <f t="shared" si="760"/>
        <v>0</v>
      </c>
      <c r="J3707">
        <f t="shared" si="761"/>
        <v>0</v>
      </c>
      <c r="K3707" s="4" t="e">
        <f t="shared" si="749"/>
        <v>#N/A</v>
      </c>
      <c r="L3707" t="e">
        <f t="shared" si="750"/>
        <v>#N/A</v>
      </c>
      <c r="M3707" s="4" t="e">
        <f t="shared" si="751"/>
        <v>#N/A</v>
      </c>
      <c r="N3707" s="4" t="e">
        <f t="shared" si="752"/>
        <v>#N/A</v>
      </c>
    </row>
    <row r="3708" spans="1:14">
      <c r="A3708">
        <f t="shared" si="753"/>
        <v>0</v>
      </c>
      <c r="B3708">
        <f t="shared" si="754"/>
        <v>0</v>
      </c>
      <c r="C3708">
        <f t="shared" si="755"/>
        <v>0</v>
      </c>
      <c r="D3708">
        <f t="shared" si="756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7"/>
        <v>0</v>
      </c>
      <c r="G3708">
        <f t="shared" si="758"/>
        <v>0</v>
      </c>
      <c r="H3708">
        <f t="shared" si="759"/>
        <v>0</v>
      </c>
      <c r="I3708">
        <f t="shared" si="760"/>
        <v>0</v>
      </c>
      <c r="J3708">
        <f t="shared" si="761"/>
        <v>0</v>
      </c>
      <c r="K3708" s="4" t="e">
        <f t="shared" si="749"/>
        <v>#N/A</v>
      </c>
      <c r="L3708" t="e">
        <f t="shared" si="750"/>
        <v>#N/A</v>
      </c>
      <c r="M3708" s="4" t="e">
        <f t="shared" si="751"/>
        <v>#N/A</v>
      </c>
      <c r="N3708" s="4" t="e">
        <f t="shared" si="752"/>
        <v>#N/A</v>
      </c>
    </row>
    <row r="3709" spans="1:14">
      <c r="A3709">
        <f t="shared" si="753"/>
        <v>0</v>
      </c>
      <c r="B3709">
        <f t="shared" si="754"/>
        <v>0</v>
      </c>
      <c r="C3709">
        <f t="shared" si="755"/>
        <v>0</v>
      </c>
      <c r="D3709">
        <f t="shared" si="756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7"/>
        <v>0</v>
      </c>
      <c r="G3709">
        <f t="shared" si="758"/>
        <v>0</v>
      </c>
      <c r="H3709">
        <f t="shared" si="759"/>
        <v>0</v>
      </c>
      <c r="I3709">
        <f t="shared" si="760"/>
        <v>0</v>
      </c>
      <c r="J3709">
        <f t="shared" si="761"/>
        <v>0</v>
      </c>
      <c r="K3709" s="4" t="e">
        <f t="shared" ref="K3709:K3772" si="762">IF(LEFT(B3709,3)="DBM",0,VLOOKUP(E3709,tabela,2,FALSE))</f>
        <v>#N/A</v>
      </c>
      <c r="L3709" t="e">
        <f t="shared" ref="L3709:L3772" si="763">VLOOKUP(E3709,tabela,3,FALSE)</f>
        <v>#N/A</v>
      </c>
      <c r="M3709" s="4" t="e">
        <f t="shared" ref="M3709:M3772" si="764">IF(E3709="Dynamic Click",J3709*K3709,K3709*$I3709/1000)</f>
        <v>#N/A</v>
      </c>
      <c r="N3709" s="4" t="e">
        <f t="shared" ref="N3709:N3772" si="765">IF(E3709="Dynamic Click",J3709*L3709,L3709*$I3709/1000)</f>
        <v>#N/A</v>
      </c>
    </row>
    <row r="3710" spans="1:14">
      <c r="A3710">
        <f t="shared" si="753"/>
        <v>0</v>
      </c>
      <c r="B3710">
        <f t="shared" si="754"/>
        <v>0</v>
      </c>
      <c r="C3710">
        <f t="shared" si="755"/>
        <v>0</v>
      </c>
      <c r="D3710">
        <f t="shared" si="756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7"/>
        <v>0</v>
      </c>
      <c r="G3710">
        <f t="shared" si="758"/>
        <v>0</v>
      </c>
      <c r="H3710">
        <f t="shared" si="759"/>
        <v>0</v>
      </c>
      <c r="I3710">
        <f t="shared" si="760"/>
        <v>0</v>
      </c>
      <c r="J3710">
        <f t="shared" si="761"/>
        <v>0</v>
      </c>
      <c r="K3710" s="4" t="e">
        <f t="shared" si="762"/>
        <v>#N/A</v>
      </c>
      <c r="L3710" t="e">
        <f t="shared" si="763"/>
        <v>#N/A</v>
      </c>
      <c r="M3710" s="4" t="e">
        <f t="shared" si="764"/>
        <v>#N/A</v>
      </c>
      <c r="N3710" s="4" t="e">
        <f t="shared" si="765"/>
        <v>#N/A</v>
      </c>
    </row>
    <row r="3711" spans="1:14">
      <c r="A3711">
        <f t="shared" si="753"/>
        <v>0</v>
      </c>
      <c r="B3711">
        <f t="shared" si="754"/>
        <v>0</v>
      </c>
      <c r="C3711">
        <f t="shared" si="755"/>
        <v>0</v>
      </c>
      <c r="D3711">
        <f t="shared" si="756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7"/>
        <v>0</v>
      </c>
      <c r="G3711">
        <f t="shared" si="758"/>
        <v>0</v>
      </c>
      <c r="H3711">
        <f t="shared" si="759"/>
        <v>0</v>
      </c>
      <c r="I3711">
        <f t="shared" si="760"/>
        <v>0</v>
      </c>
      <c r="J3711">
        <f t="shared" si="761"/>
        <v>0</v>
      </c>
      <c r="K3711" s="4" t="e">
        <f t="shared" si="762"/>
        <v>#N/A</v>
      </c>
      <c r="L3711" t="e">
        <f t="shared" si="763"/>
        <v>#N/A</v>
      </c>
      <c r="M3711" s="4" t="e">
        <f t="shared" si="764"/>
        <v>#N/A</v>
      </c>
      <c r="N3711" s="4" t="e">
        <f t="shared" si="765"/>
        <v>#N/A</v>
      </c>
    </row>
    <row r="3712" spans="1:14">
      <c r="A3712">
        <f t="shared" si="753"/>
        <v>0</v>
      </c>
      <c r="B3712">
        <f t="shared" si="754"/>
        <v>0</v>
      </c>
      <c r="C3712">
        <f t="shared" si="755"/>
        <v>0</v>
      </c>
      <c r="D3712">
        <f t="shared" si="756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7"/>
        <v>0</v>
      </c>
      <c r="G3712">
        <f t="shared" si="758"/>
        <v>0</v>
      </c>
      <c r="H3712">
        <f t="shared" si="759"/>
        <v>0</v>
      </c>
      <c r="I3712">
        <f t="shared" si="760"/>
        <v>0</v>
      </c>
      <c r="J3712">
        <f t="shared" si="761"/>
        <v>0</v>
      </c>
      <c r="K3712" s="4" t="e">
        <f t="shared" si="762"/>
        <v>#N/A</v>
      </c>
      <c r="L3712" t="e">
        <f t="shared" si="763"/>
        <v>#N/A</v>
      </c>
      <c r="M3712" s="4" t="e">
        <f t="shared" si="764"/>
        <v>#N/A</v>
      </c>
      <c r="N3712" s="4" t="e">
        <f t="shared" si="765"/>
        <v>#N/A</v>
      </c>
    </row>
    <row r="3713" spans="1:14">
      <c r="A3713">
        <f t="shared" si="753"/>
        <v>0</v>
      </c>
      <c r="B3713">
        <f t="shared" si="754"/>
        <v>0</v>
      </c>
      <c r="C3713">
        <f t="shared" si="755"/>
        <v>0</v>
      </c>
      <c r="D3713">
        <f t="shared" si="756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7"/>
        <v>0</v>
      </c>
      <c r="G3713">
        <f t="shared" si="758"/>
        <v>0</v>
      </c>
      <c r="H3713">
        <f t="shared" si="759"/>
        <v>0</v>
      </c>
      <c r="I3713">
        <f t="shared" si="760"/>
        <v>0</v>
      </c>
      <c r="J3713">
        <f t="shared" si="761"/>
        <v>0</v>
      </c>
      <c r="K3713" s="4" t="e">
        <f t="shared" si="762"/>
        <v>#N/A</v>
      </c>
      <c r="L3713" t="e">
        <f t="shared" si="763"/>
        <v>#N/A</v>
      </c>
      <c r="M3713" s="4" t="e">
        <f t="shared" si="764"/>
        <v>#N/A</v>
      </c>
      <c r="N3713" s="4" t="e">
        <f t="shared" si="765"/>
        <v>#N/A</v>
      </c>
    </row>
    <row r="3714" spans="1:14">
      <c r="A3714">
        <f t="shared" ref="A3714:A3777" si="766">bd_campaign</f>
        <v>0</v>
      </c>
      <c r="B3714">
        <f t="shared" ref="B3714:B3777" si="767">bd_site</f>
        <v>0</v>
      </c>
      <c r="C3714">
        <f t="shared" ref="C3714:C3777" si="768">bd_placement</f>
        <v>0</v>
      </c>
      <c r="D3714">
        <f t="shared" ref="D3714:D3777" si="769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70">bd_ad</f>
        <v>0</v>
      </c>
      <c r="G3714">
        <f t="shared" ref="G3714:G3777" si="771">bd_adid</f>
        <v>0</v>
      </c>
      <c r="H3714">
        <f t="shared" ref="H3714:H3777" si="772">bd_creativetype</f>
        <v>0</v>
      </c>
      <c r="I3714">
        <f t="shared" ref="I3714:I3777" si="773">bd_impression</f>
        <v>0</v>
      </c>
      <c r="J3714">
        <f t="shared" ref="J3714:J3777" si="774">bd_clicks</f>
        <v>0</v>
      </c>
      <c r="K3714" s="4" t="e">
        <f t="shared" si="762"/>
        <v>#N/A</v>
      </c>
      <c r="L3714" t="e">
        <f t="shared" si="763"/>
        <v>#N/A</v>
      </c>
      <c r="M3714" s="4" t="e">
        <f t="shared" si="764"/>
        <v>#N/A</v>
      </c>
      <c r="N3714" s="4" t="e">
        <f t="shared" si="765"/>
        <v>#N/A</v>
      </c>
    </row>
    <row r="3715" spans="1:14">
      <c r="A3715">
        <f t="shared" si="766"/>
        <v>0</v>
      </c>
      <c r="B3715">
        <f t="shared" si="767"/>
        <v>0</v>
      </c>
      <c r="C3715">
        <f t="shared" si="768"/>
        <v>0</v>
      </c>
      <c r="D3715">
        <f t="shared" si="769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70"/>
        <v>0</v>
      </c>
      <c r="G3715">
        <f t="shared" si="771"/>
        <v>0</v>
      </c>
      <c r="H3715">
        <f t="shared" si="772"/>
        <v>0</v>
      </c>
      <c r="I3715">
        <f t="shared" si="773"/>
        <v>0</v>
      </c>
      <c r="J3715">
        <f t="shared" si="774"/>
        <v>0</v>
      </c>
      <c r="K3715" s="4" t="e">
        <f t="shared" si="762"/>
        <v>#N/A</v>
      </c>
      <c r="L3715" t="e">
        <f t="shared" si="763"/>
        <v>#N/A</v>
      </c>
      <c r="M3715" s="4" t="e">
        <f t="shared" si="764"/>
        <v>#N/A</v>
      </c>
      <c r="N3715" s="4" t="e">
        <f t="shared" si="765"/>
        <v>#N/A</v>
      </c>
    </row>
    <row r="3716" spans="1:14">
      <c r="A3716">
        <f t="shared" si="766"/>
        <v>0</v>
      </c>
      <c r="B3716">
        <f t="shared" si="767"/>
        <v>0</v>
      </c>
      <c r="C3716">
        <f t="shared" si="768"/>
        <v>0</v>
      </c>
      <c r="D3716">
        <f t="shared" si="769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70"/>
        <v>0</v>
      </c>
      <c r="G3716">
        <f t="shared" si="771"/>
        <v>0</v>
      </c>
      <c r="H3716">
        <f t="shared" si="772"/>
        <v>0</v>
      </c>
      <c r="I3716">
        <f t="shared" si="773"/>
        <v>0</v>
      </c>
      <c r="J3716">
        <f t="shared" si="774"/>
        <v>0</v>
      </c>
      <c r="K3716" s="4" t="e">
        <f t="shared" si="762"/>
        <v>#N/A</v>
      </c>
      <c r="L3716" t="e">
        <f t="shared" si="763"/>
        <v>#N/A</v>
      </c>
      <c r="M3716" s="4" t="e">
        <f t="shared" si="764"/>
        <v>#N/A</v>
      </c>
      <c r="N3716" s="4" t="e">
        <f t="shared" si="765"/>
        <v>#N/A</v>
      </c>
    </row>
    <row r="3717" spans="1:14">
      <c r="A3717">
        <f t="shared" si="766"/>
        <v>0</v>
      </c>
      <c r="B3717">
        <f t="shared" si="767"/>
        <v>0</v>
      </c>
      <c r="C3717">
        <f t="shared" si="768"/>
        <v>0</v>
      </c>
      <c r="D3717">
        <f t="shared" si="769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70"/>
        <v>0</v>
      </c>
      <c r="G3717">
        <f t="shared" si="771"/>
        <v>0</v>
      </c>
      <c r="H3717">
        <f t="shared" si="772"/>
        <v>0</v>
      </c>
      <c r="I3717">
        <f t="shared" si="773"/>
        <v>0</v>
      </c>
      <c r="J3717">
        <f t="shared" si="774"/>
        <v>0</v>
      </c>
      <c r="K3717" s="4" t="e">
        <f t="shared" si="762"/>
        <v>#N/A</v>
      </c>
      <c r="L3717" t="e">
        <f t="shared" si="763"/>
        <v>#N/A</v>
      </c>
      <c r="M3717" s="4" t="e">
        <f t="shared" si="764"/>
        <v>#N/A</v>
      </c>
      <c r="N3717" s="4" t="e">
        <f t="shared" si="765"/>
        <v>#N/A</v>
      </c>
    </row>
    <row r="3718" spans="1:14">
      <c r="A3718">
        <f t="shared" si="766"/>
        <v>0</v>
      </c>
      <c r="B3718">
        <f t="shared" si="767"/>
        <v>0</v>
      </c>
      <c r="C3718">
        <f t="shared" si="768"/>
        <v>0</v>
      </c>
      <c r="D3718">
        <f t="shared" si="769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70"/>
        <v>0</v>
      </c>
      <c r="G3718">
        <f t="shared" si="771"/>
        <v>0</v>
      </c>
      <c r="H3718">
        <f t="shared" si="772"/>
        <v>0</v>
      </c>
      <c r="I3718">
        <f t="shared" si="773"/>
        <v>0</v>
      </c>
      <c r="J3718">
        <f t="shared" si="774"/>
        <v>0</v>
      </c>
      <c r="K3718" s="4" t="e">
        <f t="shared" si="762"/>
        <v>#N/A</v>
      </c>
      <c r="L3718" t="e">
        <f t="shared" si="763"/>
        <v>#N/A</v>
      </c>
      <c r="M3718" s="4" t="e">
        <f t="shared" si="764"/>
        <v>#N/A</v>
      </c>
      <c r="N3718" s="4" t="e">
        <f t="shared" si="765"/>
        <v>#N/A</v>
      </c>
    </row>
    <row r="3719" spans="1:14">
      <c r="A3719">
        <f t="shared" si="766"/>
        <v>0</v>
      </c>
      <c r="B3719">
        <f t="shared" si="767"/>
        <v>0</v>
      </c>
      <c r="C3719">
        <f t="shared" si="768"/>
        <v>0</v>
      </c>
      <c r="D3719">
        <f t="shared" si="769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70"/>
        <v>0</v>
      </c>
      <c r="G3719">
        <f t="shared" si="771"/>
        <v>0</v>
      </c>
      <c r="H3719">
        <f t="shared" si="772"/>
        <v>0</v>
      </c>
      <c r="I3719">
        <f t="shared" si="773"/>
        <v>0</v>
      </c>
      <c r="J3719">
        <f t="shared" si="774"/>
        <v>0</v>
      </c>
      <c r="K3719" s="4" t="e">
        <f t="shared" si="762"/>
        <v>#N/A</v>
      </c>
      <c r="L3719" t="e">
        <f t="shared" si="763"/>
        <v>#N/A</v>
      </c>
      <c r="M3719" s="4" t="e">
        <f t="shared" si="764"/>
        <v>#N/A</v>
      </c>
      <c r="N3719" s="4" t="e">
        <f t="shared" si="765"/>
        <v>#N/A</v>
      </c>
    </row>
    <row r="3720" spans="1:14">
      <c r="A3720">
        <f t="shared" si="766"/>
        <v>0</v>
      </c>
      <c r="B3720">
        <f t="shared" si="767"/>
        <v>0</v>
      </c>
      <c r="C3720">
        <f t="shared" si="768"/>
        <v>0</v>
      </c>
      <c r="D3720">
        <f t="shared" si="769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70"/>
        <v>0</v>
      </c>
      <c r="G3720">
        <f t="shared" si="771"/>
        <v>0</v>
      </c>
      <c r="H3720">
        <f t="shared" si="772"/>
        <v>0</v>
      </c>
      <c r="I3720">
        <f t="shared" si="773"/>
        <v>0</v>
      </c>
      <c r="J3720">
        <f t="shared" si="774"/>
        <v>0</v>
      </c>
      <c r="K3720" s="4" t="e">
        <f t="shared" si="762"/>
        <v>#N/A</v>
      </c>
      <c r="L3720" t="e">
        <f t="shared" si="763"/>
        <v>#N/A</v>
      </c>
      <c r="M3720" s="4" t="e">
        <f t="shared" si="764"/>
        <v>#N/A</v>
      </c>
      <c r="N3720" s="4" t="e">
        <f t="shared" si="765"/>
        <v>#N/A</v>
      </c>
    </row>
    <row r="3721" spans="1:14">
      <c r="A3721">
        <f t="shared" si="766"/>
        <v>0</v>
      </c>
      <c r="B3721">
        <f t="shared" si="767"/>
        <v>0</v>
      </c>
      <c r="C3721">
        <f t="shared" si="768"/>
        <v>0</v>
      </c>
      <c r="D3721">
        <f t="shared" si="769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70"/>
        <v>0</v>
      </c>
      <c r="G3721">
        <f t="shared" si="771"/>
        <v>0</v>
      </c>
      <c r="H3721">
        <f t="shared" si="772"/>
        <v>0</v>
      </c>
      <c r="I3721">
        <f t="shared" si="773"/>
        <v>0</v>
      </c>
      <c r="J3721">
        <f t="shared" si="774"/>
        <v>0</v>
      </c>
      <c r="K3721" s="4" t="e">
        <f t="shared" si="762"/>
        <v>#N/A</v>
      </c>
      <c r="L3721" t="e">
        <f t="shared" si="763"/>
        <v>#N/A</v>
      </c>
      <c r="M3721" s="4" t="e">
        <f t="shared" si="764"/>
        <v>#N/A</v>
      </c>
      <c r="N3721" s="4" t="e">
        <f t="shared" si="765"/>
        <v>#N/A</v>
      </c>
    </row>
    <row r="3722" spans="1:14">
      <c r="A3722">
        <f t="shared" si="766"/>
        <v>0</v>
      </c>
      <c r="B3722">
        <f t="shared" si="767"/>
        <v>0</v>
      </c>
      <c r="C3722">
        <f t="shared" si="768"/>
        <v>0</v>
      </c>
      <c r="D3722">
        <f t="shared" si="769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70"/>
        <v>0</v>
      </c>
      <c r="G3722">
        <f t="shared" si="771"/>
        <v>0</v>
      </c>
      <c r="H3722">
        <f t="shared" si="772"/>
        <v>0</v>
      </c>
      <c r="I3722">
        <f t="shared" si="773"/>
        <v>0</v>
      </c>
      <c r="J3722">
        <f t="shared" si="774"/>
        <v>0</v>
      </c>
      <c r="K3722" s="4" t="e">
        <f t="shared" si="762"/>
        <v>#N/A</v>
      </c>
      <c r="L3722" t="e">
        <f t="shared" si="763"/>
        <v>#N/A</v>
      </c>
      <c r="M3722" s="4" t="e">
        <f t="shared" si="764"/>
        <v>#N/A</v>
      </c>
      <c r="N3722" s="4" t="e">
        <f t="shared" si="765"/>
        <v>#N/A</v>
      </c>
    </row>
    <row r="3723" spans="1:14">
      <c r="A3723">
        <f t="shared" si="766"/>
        <v>0</v>
      </c>
      <c r="B3723">
        <f t="shared" si="767"/>
        <v>0</v>
      </c>
      <c r="C3723">
        <f t="shared" si="768"/>
        <v>0</v>
      </c>
      <c r="D3723">
        <f t="shared" si="769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70"/>
        <v>0</v>
      </c>
      <c r="G3723">
        <f t="shared" si="771"/>
        <v>0</v>
      </c>
      <c r="H3723">
        <f t="shared" si="772"/>
        <v>0</v>
      </c>
      <c r="I3723">
        <f t="shared" si="773"/>
        <v>0</v>
      </c>
      <c r="J3723">
        <f t="shared" si="774"/>
        <v>0</v>
      </c>
      <c r="K3723" s="4" t="e">
        <f t="shared" si="762"/>
        <v>#N/A</v>
      </c>
      <c r="L3723" t="e">
        <f t="shared" si="763"/>
        <v>#N/A</v>
      </c>
      <c r="M3723" s="4" t="e">
        <f t="shared" si="764"/>
        <v>#N/A</v>
      </c>
      <c r="N3723" s="4" t="e">
        <f t="shared" si="765"/>
        <v>#N/A</v>
      </c>
    </row>
    <row r="3724" spans="1:14">
      <c r="A3724">
        <f t="shared" si="766"/>
        <v>0</v>
      </c>
      <c r="B3724">
        <f t="shared" si="767"/>
        <v>0</v>
      </c>
      <c r="C3724">
        <f t="shared" si="768"/>
        <v>0</v>
      </c>
      <c r="D3724">
        <f t="shared" si="769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70"/>
        <v>0</v>
      </c>
      <c r="G3724">
        <f t="shared" si="771"/>
        <v>0</v>
      </c>
      <c r="H3724">
        <f t="shared" si="772"/>
        <v>0</v>
      </c>
      <c r="I3724">
        <f t="shared" si="773"/>
        <v>0</v>
      </c>
      <c r="J3724">
        <f t="shared" si="774"/>
        <v>0</v>
      </c>
      <c r="K3724" s="4" t="e">
        <f t="shared" si="762"/>
        <v>#N/A</v>
      </c>
      <c r="L3724" t="e">
        <f t="shared" si="763"/>
        <v>#N/A</v>
      </c>
      <c r="M3724" s="4" t="e">
        <f t="shared" si="764"/>
        <v>#N/A</v>
      </c>
      <c r="N3724" s="4" t="e">
        <f t="shared" si="765"/>
        <v>#N/A</v>
      </c>
    </row>
    <row r="3725" spans="1:14">
      <c r="A3725">
        <f t="shared" si="766"/>
        <v>0</v>
      </c>
      <c r="B3725">
        <f t="shared" si="767"/>
        <v>0</v>
      </c>
      <c r="C3725">
        <f t="shared" si="768"/>
        <v>0</v>
      </c>
      <c r="D3725">
        <f t="shared" si="769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70"/>
        <v>0</v>
      </c>
      <c r="G3725">
        <f t="shared" si="771"/>
        <v>0</v>
      </c>
      <c r="H3725">
        <f t="shared" si="772"/>
        <v>0</v>
      </c>
      <c r="I3725">
        <f t="shared" si="773"/>
        <v>0</v>
      </c>
      <c r="J3725">
        <f t="shared" si="774"/>
        <v>0</v>
      </c>
      <c r="K3725" s="4" t="e">
        <f t="shared" si="762"/>
        <v>#N/A</v>
      </c>
      <c r="L3725" t="e">
        <f t="shared" si="763"/>
        <v>#N/A</v>
      </c>
      <c r="M3725" s="4" t="e">
        <f t="shared" si="764"/>
        <v>#N/A</v>
      </c>
      <c r="N3725" s="4" t="e">
        <f t="shared" si="765"/>
        <v>#N/A</v>
      </c>
    </row>
    <row r="3726" spans="1:14">
      <c r="A3726">
        <f t="shared" si="766"/>
        <v>0</v>
      </c>
      <c r="B3726">
        <f t="shared" si="767"/>
        <v>0</v>
      </c>
      <c r="C3726">
        <f t="shared" si="768"/>
        <v>0</v>
      </c>
      <c r="D3726">
        <f t="shared" si="769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70"/>
        <v>0</v>
      </c>
      <c r="G3726">
        <f t="shared" si="771"/>
        <v>0</v>
      </c>
      <c r="H3726">
        <f t="shared" si="772"/>
        <v>0</v>
      </c>
      <c r="I3726">
        <f t="shared" si="773"/>
        <v>0</v>
      </c>
      <c r="J3726">
        <f t="shared" si="774"/>
        <v>0</v>
      </c>
      <c r="K3726" s="4" t="e">
        <f t="shared" si="762"/>
        <v>#N/A</v>
      </c>
      <c r="L3726" t="e">
        <f t="shared" si="763"/>
        <v>#N/A</v>
      </c>
      <c r="M3726" s="4" t="e">
        <f t="shared" si="764"/>
        <v>#N/A</v>
      </c>
      <c r="N3726" s="4" t="e">
        <f t="shared" si="765"/>
        <v>#N/A</v>
      </c>
    </row>
    <row r="3727" spans="1:14">
      <c r="A3727">
        <f t="shared" si="766"/>
        <v>0</v>
      </c>
      <c r="B3727">
        <f t="shared" si="767"/>
        <v>0</v>
      </c>
      <c r="C3727">
        <f t="shared" si="768"/>
        <v>0</v>
      </c>
      <c r="D3727">
        <f t="shared" si="769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70"/>
        <v>0</v>
      </c>
      <c r="G3727">
        <f t="shared" si="771"/>
        <v>0</v>
      </c>
      <c r="H3727">
        <f t="shared" si="772"/>
        <v>0</v>
      </c>
      <c r="I3727">
        <f t="shared" si="773"/>
        <v>0</v>
      </c>
      <c r="J3727">
        <f t="shared" si="774"/>
        <v>0</v>
      </c>
      <c r="K3727" s="4" t="e">
        <f t="shared" si="762"/>
        <v>#N/A</v>
      </c>
      <c r="L3727" t="e">
        <f t="shared" si="763"/>
        <v>#N/A</v>
      </c>
      <c r="M3727" s="4" t="e">
        <f t="shared" si="764"/>
        <v>#N/A</v>
      </c>
      <c r="N3727" s="4" t="e">
        <f t="shared" si="765"/>
        <v>#N/A</v>
      </c>
    </row>
    <row r="3728" spans="1:14">
      <c r="A3728">
        <f t="shared" si="766"/>
        <v>0</v>
      </c>
      <c r="B3728">
        <f t="shared" si="767"/>
        <v>0</v>
      </c>
      <c r="C3728">
        <f t="shared" si="768"/>
        <v>0</v>
      </c>
      <c r="D3728">
        <f t="shared" si="769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70"/>
        <v>0</v>
      </c>
      <c r="G3728">
        <f t="shared" si="771"/>
        <v>0</v>
      </c>
      <c r="H3728">
        <f t="shared" si="772"/>
        <v>0</v>
      </c>
      <c r="I3728">
        <f t="shared" si="773"/>
        <v>0</v>
      </c>
      <c r="J3728">
        <f t="shared" si="774"/>
        <v>0</v>
      </c>
      <c r="K3728" s="4" t="e">
        <f t="shared" si="762"/>
        <v>#N/A</v>
      </c>
      <c r="L3728" t="e">
        <f t="shared" si="763"/>
        <v>#N/A</v>
      </c>
      <c r="M3728" s="4" t="e">
        <f t="shared" si="764"/>
        <v>#N/A</v>
      </c>
      <c r="N3728" s="4" t="e">
        <f t="shared" si="765"/>
        <v>#N/A</v>
      </c>
    </row>
    <row r="3729" spans="1:14">
      <c r="A3729">
        <f t="shared" si="766"/>
        <v>0</v>
      </c>
      <c r="B3729">
        <f t="shared" si="767"/>
        <v>0</v>
      </c>
      <c r="C3729">
        <f t="shared" si="768"/>
        <v>0</v>
      </c>
      <c r="D3729">
        <f t="shared" si="769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70"/>
        <v>0</v>
      </c>
      <c r="G3729">
        <f t="shared" si="771"/>
        <v>0</v>
      </c>
      <c r="H3729">
        <f t="shared" si="772"/>
        <v>0</v>
      </c>
      <c r="I3729">
        <f t="shared" si="773"/>
        <v>0</v>
      </c>
      <c r="J3729">
        <f t="shared" si="774"/>
        <v>0</v>
      </c>
      <c r="K3729" s="4" t="e">
        <f t="shared" si="762"/>
        <v>#N/A</v>
      </c>
      <c r="L3729" t="e">
        <f t="shared" si="763"/>
        <v>#N/A</v>
      </c>
      <c r="M3729" s="4" t="e">
        <f t="shared" si="764"/>
        <v>#N/A</v>
      </c>
      <c r="N3729" s="4" t="e">
        <f t="shared" si="765"/>
        <v>#N/A</v>
      </c>
    </row>
    <row r="3730" spans="1:14">
      <c r="A3730">
        <f t="shared" si="766"/>
        <v>0</v>
      </c>
      <c r="B3730">
        <f t="shared" si="767"/>
        <v>0</v>
      </c>
      <c r="C3730">
        <f t="shared" si="768"/>
        <v>0</v>
      </c>
      <c r="D3730">
        <f t="shared" si="769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70"/>
        <v>0</v>
      </c>
      <c r="G3730">
        <f t="shared" si="771"/>
        <v>0</v>
      </c>
      <c r="H3730">
        <f t="shared" si="772"/>
        <v>0</v>
      </c>
      <c r="I3730">
        <f t="shared" si="773"/>
        <v>0</v>
      </c>
      <c r="J3730">
        <f t="shared" si="774"/>
        <v>0</v>
      </c>
      <c r="K3730" s="4" t="e">
        <f t="shared" si="762"/>
        <v>#N/A</v>
      </c>
      <c r="L3730" t="e">
        <f t="shared" si="763"/>
        <v>#N/A</v>
      </c>
      <c r="M3730" s="4" t="e">
        <f t="shared" si="764"/>
        <v>#N/A</v>
      </c>
      <c r="N3730" s="4" t="e">
        <f t="shared" si="765"/>
        <v>#N/A</v>
      </c>
    </row>
    <row r="3731" spans="1:14">
      <c r="A3731">
        <f t="shared" si="766"/>
        <v>0</v>
      </c>
      <c r="B3731">
        <f t="shared" si="767"/>
        <v>0</v>
      </c>
      <c r="C3731">
        <f t="shared" si="768"/>
        <v>0</v>
      </c>
      <c r="D3731">
        <f t="shared" si="769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70"/>
        <v>0</v>
      </c>
      <c r="G3731">
        <f t="shared" si="771"/>
        <v>0</v>
      </c>
      <c r="H3731">
        <f t="shared" si="772"/>
        <v>0</v>
      </c>
      <c r="I3731">
        <f t="shared" si="773"/>
        <v>0</v>
      </c>
      <c r="J3731">
        <f t="shared" si="774"/>
        <v>0</v>
      </c>
      <c r="K3731" s="4" t="e">
        <f t="shared" si="762"/>
        <v>#N/A</v>
      </c>
      <c r="L3731" t="e">
        <f t="shared" si="763"/>
        <v>#N/A</v>
      </c>
      <c r="M3731" s="4" t="e">
        <f t="shared" si="764"/>
        <v>#N/A</v>
      </c>
      <c r="N3731" s="4" t="e">
        <f t="shared" si="765"/>
        <v>#N/A</v>
      </c>
    </row>
    <row r="3732" spans="1:14">
      <c r="A3732">
        <f t="shared" si="766"/>
        <v>0</v>
      </c>
      <c r="B3732">
        <f t="shared" si="767"/>
        <v>0</v>
      </c>
      <c r="C3732">
        <f t="shared" si="768"/>
        <v>0</v>
      </c>
      <c r="D3732">
        <f t="shared" si="769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70"/>
        <v>0</v>
      </c>
      <c r="G3732">
        <f t="shared" si="771"/>
        <v>0</v>
      </c>
      <c r="H3732">
        <f t="shared" si="772"/>
        <v>0</v>
      </c>
      <c r="I3732">
        <f t="shared" si="773"/>
        <v>0</v>
      </c>
      <c r="J3732">
        <f t="shared" si="774"/>
        <v>0</v>
      </c>
      <c r="K3732" s="4" t="e">
        <f t="shared" si="762"/>
        <v>#N/A</v>
      </c>
      <c r="L3732" t="e">
        <f t="shared" si="763"/>
        <v>#N/A</v>
      </c>
      <c r="M3732" s="4" t="e">
        <f t="shared" si="764"/>
        <v>#N/A</v>
      </c>
      <c r="N3732" s="4" t="e">
        <f t="shared" si="765"/>
        <v>#N/A</v>
      </c>
    </row>
    <row r="3733" spans="1:14">
      <c r="A3733">
        <f t="shared" si="766"/>
        <v>0</v>
      </c>
      <c r="B3733">
        <f t="shared" si="767"/>
        <v>0</v>
      </c>
      <c r="C3733">
        <f t="shared" si="768"/>
        <v>0</v>
      </c>
      <c r="D3733">
        <f t="shared" si="769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70"/>
        <v>0</v>
      </c>
      <c r="G3733">
        <f t="shared" si="771"/>
        <v>0</v>
      </c>
      <c r="H3733">
        <f t="shared" si="772"/>
        <v>0</v>
      </c>
      <c r="I3733">
        <f t="shared" si="773"/>
        <v>0</v>
      </c>
      <c r="J3733">
        <f t="shared" si="774"/>
        <v>0</v>
      </c>
      <c r="K3733" s="4" t="e">
        <f t="shared" si="762"/>
        <v>#N/A</v>
      </c>
      <c r="L3733" t="e">
        <f t="shared" si="763"/>
        <v>#N/A</v>
      </c>
      <c r="M3733" s="4" t="e">
        <f t="shared" si="764"/>
        <v>#N/A</v>
      </c>
      <c r="N3733" s="4" t="e">
        <f t="shared" si="765"/>
        <v>#N/A</v>
      </c>
    </row>
    <row r="3734" spans="1:14">
      <c r="A3734">
        <f t="shared" si="766"/>
        <v>0</v>
      </c>
      <c r="B3734">
        <f t="shared" si="767"/>
        <v>0</v>
      </c>
      <c r="C3734">
        <f t="shared" si="768"/>
        <v>0</v>
      </c>
      <c r="D3734">
        <f t="shared" si="769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70"/>
        <v>0</v>
      </c>
      <c r="G3734">
        <f t="shared" si="771"/>
        <v>0</v>
      </c>
      <c r="H3734">
        <f t="shared" si="772"/>
        <v>0</v>
      </c>
      <c r="I3734">
        <f t="shared" si="773"/>
        <v>0</v>
      </c>
      <c r="J3734">
        <f t="shared" si="774"/>
        <v>0</v>
      </c>
      <c r="K3734" s="4" t="e">
        <f t="shared" si="762"/>
        <v>#N/A</v>
      </c>
      <c r="L3734" t="e">
        <f t="shared" si="763"/>
        <v>#N/A</v>
      </c>
      <c r="M3734" s="4" t="e">
        <f t="shared" si="764"/>
        <v>#N/A</v>
      </c>
      <c r="N3734" s="4" t="e">
        <f t="shared" si="765"/>
        <v>#N/A</v>
      </c>
    </row>
    <row r="3735" spans="1:14">
      <c r="A3735">
        <f t="shared" si="766"/>
        <v>0</v>
      </c>
      <c r="B3735">
        <f t="shared" si="767"/>
        <v>0</v>
      </c>
      <c r="C3735">
        <f t="shared" si="768"/>
        <v>0</v>
      </c>
      <c r="D3735">
        <f t="shared" si="769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70"/>
        <v>0</v>
      </c>
      <c r="G3735">
        <f t="shared" si="771"/>
        <v>0</v>
      </c>
      <c r="H3735">
        <f t="shared" si="772"/>
        <v>0</v>
      </c>
      <c r="I3735">
        <f t="shared" si="773"/>
        <v>0</v>
      </c>
      <c r="J3735">
        <f t="shared" si="774"/>
        <v>0</v>
      </c>
      <c r="K3735" s="4" t="e">
        <f t="shared" si="762"/>
        <v>#N/A</v>
      </c>
      <c r="L3735" t="e">
        <f t="shared" si="763"/>
        <v>#N/A</v>
      </c>
      <c r="M3735" s="4" t="e">
        <f t="shared" si="764"/>
        <v>#N/A</v>
      </c>
      <c r="N3735" s="4" t="e">
        <f t="shared" si="765"/>
        <v>#N/A</v>
      </c>
    </row>
    <row r="3736" spans="1:14">
      <c r="A3736">
        <f t="shared" si="766"/>
        <v>0</v>
      </c>
      <c r="B3736">
        <f t="shared" si="767"/>
        <v>0</v>
      </c>
      <c r="C3736">
        <f t="shared" si="768"/>
        <v>0</v>
      </c>
      <c r="D3736">
        <f t="shared" si="769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70"/>
        <v>0</v>
      </c>
      <c r="G3736">
        <f t="shared" si="771"/>
        <v>0</v>
      </c>
      <c r="H3736">
        <f t="shared" si="772"/>
        <v>0</v>
      </c>
      <c r="I3736">
        <f t="shared" si="773"/>
        <v>0</v>
      </c>
      <c r="J3736">
        <f t="shared" si="774"/>
        <v>0</v>
      </c>
      <c r="K3736" s="4" t="e">
        <f t="shared" si="762"/>
        <v>#N/A</v>
      </c>
      <c r="L3736" t="e">
        <f t="shared" si="763"/>
        <v>#N/A</v>
      </c>
      <c r="M3736" s="4" t="e">
        <f t="shared" si="764"/>
        <v>#N/A</v>
      </c>
      <c r="N3736" s="4" t="e">
        <f t="shared" si="765"/>
        <v>#N/A</v>
      </c>
    </row>
    <row r="3737" spans="1:14">
      <c r="A3737">
        <f t="shared" si="766"/>
        <v>0</v>
      </c>
      <c r="B3737">
        <f t="shared" si="767"/>
        <v>0</v>
      </c>
      <c r="C3737">
        <f t="shared" si="768"/>
        <v>0</v>
      </c>
      <c r="D3737">
        <f t="shared" si="769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70"/>
        <v>0</v>
      </c>
      <c r="G3737">
        <f t="shared" si="771"/>
        <v>0</v>
      </c>
      <c r="H3737">
        <f t="shared" si="772"/>
        <v>0</v>
      </c>
      <c r="I3737">
        <f t="shared" si="773"/>
        <v>0</v>
      </c>
      <c r="J3737">
        <f t="shared" si="774"/>
        <v>0</v>
      </c>
      <c r="K3737" s="4" t="e">
        <f t="shared" si="762"/>
        <v>#N/A</v>
      </c>
      <c r="L3737" t="e">
        <f t="shared" si="763"/>
        <v>#N/A</v>
      </c>
      <c r="M3737" s="4" t="e">
        <f t="shared" si="764"/>
        <v>#N/A</v>
      </c>
      <c r="N3737" s="4" t="e">
        <f t="shared" si="765"/>
        <v>#N/A</v>
      </c>
    </row>
    <row r="3738" spans="1:14">
      <c r="A3738">
        <f t="shared" si="766"/>
        <v>0</v>
      </c>
      <c r="B3738">
        <f t="shared" si="767"/>
        <v>0</v>
      </c>
      <c r="C3738">
        <f t="shared" si="768"/>
        <v>0</v>
      </c>
      <c r="D3738">
        <f t="shared" si="769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70"/>
        <v>0</v>
      </c>
      <c r="G3738">
        <f t="shared" si="771"/>
        <v>0</v>
      </c>
      <c r="H3738">
        <f t="shared" si="772"/>
        <v>0</v>
      </c>
      <c r="I3738">
        <f t="shared" si="773"/>
        <v>0</v>
      </c>
      <c r="J3738">
        <f t="shared" si="774"/>
        <v>0</v>
      </c>
      <c r="K3738" s="4" t="e">
        <f t="shared" si="762"/>
        <v>#N/A</v>
      </c>
      <c r="L3738" t="e">
        <f t="shared" si="763"/>
        <v>#N/A</v>
      </c>
      <c r="M3738" s="4" t="e">
        <f t="shared" si="764"/>
        <v>#N/A</v>
      </c>
      <c r="N3738" s="4" t="e">
        <f t="shared" si="765"/>
        <v>#N/A</v>
      </c>
    </row>
    <row r="3739" spans="1:14">
      <c r="A3739">
        <f t="shared" si="766"/>
        <v>0</v>
      </c>
      <c r="B3739">
        <f t="shared" si="767"/>
        <v>0</v>
      </c>
      <c r="C3739">
        <f t="shared" si="768"/>
        <v>0</v>
      </c>
      <c r="D3739">
        <f t="shared" si="769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70"/>
        <v>0</v>
      </c>
      <c r="G3739">
        <f t="shared" si="771"/>
        <v>0</v>
      </c>
      <c r="H3739">
        <f t="shared" si="772"/>
        <v>0</v>
      </c>
      <c r="I3739">
        <f t="shared" si="773"/>
        <v>0</v>
      </c>
      <c r="J3739">
        <f t="shared" si="774"/>
        <v>0</v>
      </c>
      <c r="K3739" s="4" t="e">
        <f t="shared" si="762"/>
        <v>#N/A</v>
      </c>
      <c r="L3739" t="e">
        <f t="shared" si="763"/>
        <v>#N/A</v>
      </c>
      <c r="M3739" s="4" t="e">
        <f t="shared" si="764"/>
        <v>#N/A</v>
      </c>
      <c r="N3739" s="4" t="e">
        <f t="shared" si="765"/>
        <v>#N/A</v>
      </c>
    </row>
    <row r="3740" spans="1:14">
      <c r="A3740">
        <f t="shared" si="766"/>
        <v>0</v>
      </c>
      <c r="B3740">
        <f t="shared" si="767"/>
        <v>0</v>
      </c>
      <c r="C3740">
        <f t="shared" si="768"/>
        <v>0</v>
      </c>
      <c r="D3740">
        <f t="shared" si="769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70"/>
        <v>0</v>
      </c>
      <c r="G3740">
        <f t="shared" si="771"/>
        <v>0</v>
      </c>
      <c r="H3740">
        <f t="shared" si="772"/>
        <v>0</v>
      </c>
      <c r="I3740">
        <f t="shared" si="773"/>
        <v>0</v>
      </c>
      <c r="J3740">
        <f t="shared" si="774"/>
        <v>0</v>
      </c>
      <c r="K3740" s="4" t="e">
        <f t="shared" si="762"/>
        <v>#N/A</v>
      </c>
      <c r="L3740" t="e">
        <f t="shared" si="763"/>
        <v>#N/A</v>
      </c>
      <c r="M3740" s="4" t="e">
        <f t="shared" si="764"/>
        <v>#N/A</v>
      </c>
      <c r="N3740" s="4" t="e">
        <f t="shared" si="765"/>
        <v>#N/A</v>
      </c>
    </row>
    <row r="3741" spans="1:14">
      <c r="A3741">
        <f t="shared" si="766"/>
        <v>0</v>
      </c>
      <c r="B3741">
        <f t="shared" si="767"/>
        <v>0</v>
      </c>
      <c r="C3741">
        <f t="shared" si="768"/>
        <v>0</v>
      </c>
      <c r="D3741">
        <f t="shared" si="769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70"/>
        <v>0</v>
      </c>
      <c r="G3741">
        <f t="shared" si="771"/>
        <v>0</v>
      </c>
      <c r="H3741">
        <f t="shared" si="772"/>
        <v>0</v>
      </c>
      <c r="I3741">
        <f t="shared" si="773"/>
        <v>0</v>
      </c>
      <c r="J3741">
        <f t="shared" si="774"/>
        <v>0</v>
      </c>
      <c r="K3741" s="4" t="e">
        <f t="shared" si="762"/>
        <v>#N/A</v>
      </c>
      <c r="L3741" t="e">
        <f t="shared" si="763"/>
        <v>#N/A</v>
      </c>
      <c r="M3741" s="4" t="e">
        <f t="shared" si="764"/>
        <v>#N/A</v>
      </c>
      <c r="N3741" s="4" t="e">
        <f t="shared" si="765"/>
        <v>#N/A</v>
      </c>
    </row>
    <row r="3742" spans="1:14">
      <c r="A3742">
        <f t="shared" si="766"/>
        <v>0</v>
      </c>
      <c r="B3742">
        <f t="shared" si="767"/>
        <v>0</v>
      </c>
      <c r="C3742">
        <f t="shared" si="768"/>
        <v>0</v>
      </c>
      <c r="D3742">
        <f t="shared" si="769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70"/>
        <v>0</v>
      </c>
      <c r="G3742">
        <f t="shared" si="771"/>
        <v>0</v>
      </c>
      <c r="H3742">
        <f t="shared" si="772"/>
        <v>0</v>
      </c>
      <c r="I3742">
        <f t="shared" si="773"/>
        <v>0</v>
      </c>
      <c r="J3742">
        <f t="shared" si="774"/>
        <v>0</v>
      </c>
      <c r="K3742" s="4" t="e">
        <f t="shared" si="762"/>
        <v>#N/A</v>
      </c>
      <c r="L3742" t="e">
        <f t="shared" si="763"/>
        <v>#N/A</v>
      </c>
      <c r="M3742" s="4" t="e">
        <f t="shared" si="764"/>
        <v>#N/A</v>
      </c>
      <c r="N3742" s="4" t="e">
        <f t="shared" si="765"/>
        <v>#N/A</v>
      </c>
    </row>
    <row r="3743" spans="1:14">
      <c r="A3743">
        <f t="shared" si="766"/>
        <v>0</v>
      </c>
      <c r="B3743">
        <f t="shared" si="767"/>
        <v>0</v>
      </c>
      <c r="C3743">
        <f t="shared" si="768"/>
        <v>0</v>
      </c>
      <c r="D3743">
        <f t="shared" si="769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70"/>
        <v>0</v>
      </c>
      <c r="G3743">
        <f t="shared" si="771"/>
        <v>0</v>
      </c>
      <c r="H3743">
        <f t="shared" si="772"/>
        <v>0</v>
      </c>
      <c r="I3743">
        <f t="shared" si="773"/>
        <v>0</v>
      </c>
      <c r="J3743">
        <f t="shared" si="774"/>
        <v>0</v>
      </c>
      <c r="K3743" s="4" t="e">
        <f t="shared" si="762"/>
        <v>#N/A</v>
      </c>
      <c r="L3743" t="e">
        <f t="shared" si="763"/>
        <v>#N/A</v>
      </c>
      <c r="M3743" s="4" t="e">
        <f t="shared" si="764"/>
        <v>#N/A</v>
      </c>
      <c r="N3743" s="4" t="e">
        <f t="shared" si="765"/>
        <v>#N/A</v>
      </c>
    </row>
    <row r="3744" spans="1:14">
      <c r="A3744">
        <f t="shared" si="766"/>
        <v>0</v>
      </c>
      <c r="B3744">
        <f t="shared" si="767"/>
        <v>0</v>
      </c>
      <c r="C3744">
        <f t="shared" si="768"/>
        <v>0</v>
      </c>
      <c r="D3744">
        <f t="shared" si="769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70"/>
        <v>0</v>
      </c>
      <c r="G3744">
        <f t="shared" si="771"/>
        <v>0</v>
      </c>
      <c r="H3744">
        <f t="shared" si="772"/>
        <v>0</v>
      </c>
      <c r="I3744">
        <f t="shared" si="773"/>
        <v>0</v>
      </c>
      <c r="J3744">
        <f t="shared" si="774"/>
        <v>0</v>
      </c>
      <c r="K3744" s="4" t="e">
        <f t="shared" si="762"/>
        <v>#N/A</v>
      </c>
      <c r="L3744" t="e">
        <f t="shared" si="763"/>
        <v>#N/A</v>
      </c>
      <c r="M3744" s="4" t="e">
        <f t="shared" si="764"/>
        <v>#N/A</v>
      </c>
      <c r="N3744" s="4" t="e">
        <f t="shared" si="765"/>
        <v>#N/A</v>
      </c>
    </row>
    <row r="3745" spans="1:14">
      <c r="A3745">
        <f t="shared" si="766"/>
        <v>0</v>
      </c>
      <c r="B3745">
        <f t="shared" si="767"/>
        <v>0</v>
      </c>
      <c r="C3745">
        <f t="shared" si="768"/>
        <v>0</v>
      </c>
      <c r="D3745">
        <f t="shared" si="769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70"/>
        <v>0</v>
      </c>
      <c r="G3745">
        <f t="shared" si="771"/>
        <v>0</v>
      </c>
      <c r="H3745">
        <f t="shared" si="772"/>
        <v>0</v>
      </c>
      <c r="I3745">
        <f t="shared" si="773"/>
        <v>0</v>
      </c>
      <c r="J3745">
        <f t="shared" si="774"/>
        <v>0</v>
      </c>
      <c r="K3745" s="4" t="e">
        <f t="shared" si="762"/>
        <v>#N/A</v>
      </c>
      <c r="L3745" t="e">
        <f t="shared" si="763"/>
        <v>#N/A</v>
      </c>
      <c r="M3745" s="4" t="e">
        <f t="shared" si="764"/>
        <v>#N/A</v>
      </c>
      <c r="N3745" s="4" t="e">
        <f t="shared" si="765"/>
        <v>#N/A</v>
      </c>
    </row>
    <row r="3746" spans="1:14">
      <c r="A3746">
        <f t="shared" si="766"/>
        <v>0</v>
      </c>
      <c r="B3746">
        <f t="shared" si="767"/>
        <v>0</v>
      </c>
      <c r="C3746">
        <f t="shared" si="768"/>
        <v>0</v>
      </c>
      <c r="D3746">
        <f t="shared" si="769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70"/>
        <v>0</v>
      </c>
      <c r="G3746">
        <f t="shared" si="771"/>
        <v>0</v>
      </c>
      <c r="H3746">
        <f t="shared" si="772"/>
        <v>0</v>
      </c>
      <c r="I3746">
        <f t="shared" si="773"/>
        <v>0</v>
      </c>
      <c r="J3746">
        <f t="shared" si="774"/>
        <v>0</v>
      </c>
      <c r="K3746" s="4" t="e">
        <f t="shared" si="762"/>
        <v>#N/A</v>
      </c>
      <c r="L3746" t="e">
        <f t="shared" si="763"/>
        <v>#N/A</v>
      </c>
      <c r="M3746" s="4" t="e">
        <f t="shared" si="764"/>
        <v>#N/A</v>
      </c>
      <c r="N3746" s="4" t="e">
        <f t="shared" si="765"/>
        <v>#N/A</v>
      </c>
    </row>
    <row r="3747" spans="1:14">
      <c r="A3747">
        <f t="shared" si="766"/>
        <v>0</v>
      </c>
      <c r="B3747">
        <f t="shared" si="767"/>
        <v>0</v>
      </c>
      <c r="C3747">
        <f t="shared" si="768"/>
        <v>0</v>
      </c>
      <c r="D3747">
        <f t="shared" si="769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70"/>
        <v>0</v>
      </c>
      <c r="G3747">
        <f t="shared" si="771"/>
        <v>0</v>
      </c>
      <c r="H3747">
        <f t="shared" si="772"/>
        <v>0</v>
      </c>
      <c r="I3747">
        <f t="shared" si="773"/>
        <v>0</v>
      </c>
      <c r="J3747">
        <f t="shared" si="774"/>
        <v>0</v>
      </c>
      <c r="K3747" s="4" t="e">
        <f t="shared" si="762"/>
        <v>#N/A</v>
      </c>
      <c r="L3747" t="e">
        <f t="shared" si="763"/>
        <v>#N/A</v>
      </c>
      <c r="M3747" s="4" t="e">
        <f t="shared" si="764"/>
        <v>#N/A</v>
      </c>
      <c r="N3747" s="4" t="e">
        <f t="shared" si="765"/>
        <v>#N/A</v>
      </c>
    </row>
    <row r="3748" spans="1:14">
      <c r="A3748">
        <f t="shared" si="766"/>
        <v>0</v>
      </c>
      <c r="B3748">
        <f t="shared" si="767"/>
        <v>0</v>
      </c>
      <c r="C3748">
        <f t="shared" si="768"/>
        <v>0</v>
      </c>
      <c r="D3748">
        <f t="shared" si="769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70"/>
        <v>0</v>
      </c>
      <c r="G3748">
        <f t="shared" si="771"/>
        <v>0</v>
      </c>
      <c r="H3748">
        <f t="shared" si="772"/>
        <v>0</v>
      </c>
      <c r="I3748">
        <f t="shared" si="773"/>
        <v>0</v>
      </c>
      <c r="J3748">
        <f t="shared" si="774"/>
        <v>0</v>
      </c>
      <c r="K3748" s="4" t="e">
        <f t="shared" si="762"/>
        <v>#N/A</v>
      </c>
      <c r="L3748" t="e">
        <f t="shared" si="763"/>
        <v>#N/A</v>
      </c>
      <c r="M3748" s="4" t="e">
        <f t="shared" si="764"/>
        <v>#N/A</v>
      </c>
      <c r="N3748" s="4" t="e">
        <f t="shared" si="765"/>
        <v>#N/A</v>
      </c>
    </row>
    <row r="3749" spans="1:14">
      <c r="A3749">
        <f t="shared" si="766"/>
        <v>0</v>
      </c>
      <c r="B3749">
        <f t="shared" si="767"/>
        <v>0</v>
      </c>
      <c r="C3749">
        <f t="shared" si="768"/>
        <v>0</v>
      </c>
      <c r="D3749">
        <f t="shared" si="769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70"/>
        <v>0</v>
      </c>
      <c r="G3749">
        <f t="shared" si="771"/>
        <v>0</v>
      </c>
      <c r="H3749">
        <f t="shared" si="772"/>
        <v>0</v>
      </c>
      <c r="I3749">
        <f t="shared" si="773"/>
        <v>0</v>
      </c>
      <c r="J3749">
        <f t="shared" si="774"/>
        <v>0</v>
      </c>
      <c r="K3749" s="4" t="e">
        <f t="shared" si="762"/>
        <v>#N/A</v>
      </c>
      <c r="L3749" t="e">
        <f t="shared" si="763"/>
        <v>#N/A</v>
      </c>
      <c r="M3749" s="4" t="e">
        <f t="shared" si="764"/>
        <v>#N/A</v>
      </c>
      <c r="N3749" s="4" t="e">
        <f t="shared" si="765"/>
        <v>#N/A</v>
      </c>
    </row>
    <row r="3750" spans="1:14">
      <c r="A3750">
        <f t="shared" si="766"/>
        <v>0</v>
      </c>
      <c r="B3750">
        <f t="shared" si="767"/>
        <v>0</v>
      </c>
      <c r="C3750">
        <f t="shared" si="768"/>
        <v>0</v>
      </c>
      <c r="D3750">
        <f t="shared" si="769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70"/>
        <v>0</v>
      </c>
      <c r="G3750">
        <f t="shared" si="771"/>
        <v>0</v>
      </c>
      <c r="H3750">
        <f t="shared" si="772"/>
        <v>0</v>
      </c>
      <c r="I3750">
        <f t="shared" si="773"/>
        <v>0</v>
      </c>
      <c r="J3750">
        <f t="shared" si="774"/>
        <v>0</v>
      </c>
      <c r="K3750" s="4" t="e">
        <f t="shared" si="762"/>
        <v>#N/A</v>
      </c>
      <c r="L3750" t="e">
        <f t="shared" si="763"/>
        <v>#N/A</v>
      </c>
      <c r="M3750" s="4" t="e">
        <f t="shared" si="764"/>
        <v>#N/A</v>
      </c>
      <c r="N3750" s="4" t="e">
        <f t="shared" si="765"/>
        <v>#N/A</v>
      </c>
    </row>
    <row r="3751" spans="1:14">
      <c r="A3751">
        <f t="shared" si="766"/>
        <v>0</v>
      </c>
      <c r="B3751">
        <f t="shared" si="767"/>
        <v>0</v>
      </c>
      <c r="C3751">
        <f t="shared" si="768"/>
        <v>0</v>
      </c>
      <c r="D3751">
        <f t="shared" si="769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70"/>
        <v>0</v>
      </c>
      <c r="G3751">
        <f t="shared" si="771"/>
        <v>0</v>
      </c>
      <c r="H3751">
        <f t="shared" si="772"/>
        <v>0</v>
      </c>
      <c r="I3751">
        <f t="shared" si="773"/>
        <v>0</v>
      </c>
      <c r="J3751">
        <f t="shared" si="774"/>
        <v>0</v>
      </c>
      <c r="K3751" s="4" t="e">
        <f t="shared" si="762"/>
        <v>#N/A</v>
      </c>
      <c r="L3751" t="e">
        <f t="shared" si="763"/>
        <v>#N/A</v>
      </c>
      <c r="M3751" s="4" t="e">
        <f t="shared" si="764"/>
        <v>#N/A</v>
      </c>
      <c r="N3751" s="4" t="e">
        <f t="shared" si="765"/>
        <v>#N/A</v>
      </c>
    </row>
    <row r="3752" spans="1:14">
      <c r="A3752">
        <f t="shared" si="766"/>
        <v>0</v>
      </c>
      <c r="B3752">
        <f t="shared" si="767"/>
        <v>0</v>
      </c>
      <c r="C3752">
        <f t="shared" si="768"/>
        <v>0</v>
      </c>
      <c r="D3752">
        <f t="shared" si="769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70"/>
        <v>0</v>
      </c>
      <c r="G3752">
        <f t="shared" si="771"/>
        <v>0</v>
      </c>
      <c r="H3752">
        <f t="shared" si="772"/>
        <v>0</v>
      </c>
      <c r="I3752">
        <f t="shared" si="773"/>
        <v>0</v>
      </c>
      <c r="J3752">
        <f t="shared" si="774"/>
        <v>0</v>
      </c>
      <c r="K3752" s="4" t="e">
        <f t="shared" si="762"/>
        <v>#N/A</v>
      </c>
      <c r="L3752" t="e">
        <f t="shared" si="763"/>
        <v>#N/A</v>
      </c>
      <c r="M3752" s="4" t="e">
        <f t="shared" si="764"/>
        <v>#N/A</v>
      </c>
      <c r="N3752" s="4" t="e">
        <f t="shared" si="765"/>
        <v>#N/A</v>
      </c>
    </row>
    <row r="3753" spans="1:14">
      <c r="A3753">
        <f t="shared" si="766"/>
        <v>0</v>
      </c>
      <c r="B3753">
        <f t="shared" si="767"/>
        <v>0</v>
      </c>
      <c r="C3753">
        <f t="shared" si="768"/>
        <v>0</v>
      </c>
      <c r="D3753">
        <f t="shared" si="769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70"/>
        <v>0</v>
      </c>
      <c r="G3753">
        <f t="shared" si="771"/>
        <v>0</v>
      </c>
      <c r="H3753">
        <f t="shared" si="772"/>
        <v>0</v>
      </c>
      <c r="I3753">
        <f t="shared" si="773"/>
        <v>0</v>
      </c>
      <c r="J3753">
        <f t="shared" si="774"/>
        <v>0</v>
      </c>
      <c r="K3753" s="4" t="e">
        <f t="shared" si="762"/>
        <v>#N/A</v>
      </c>
      <c r="L3753" t="e">
        <f t="shared" si="763"/>
        <v>#N/A</v>
      </c>
      <c r="M3753" s="4" t="e">
        <f t="shared" si="764"/>
        <v>#N/A</v>
      </c>
      <c r="N3753" s="4" t="e">
        <f t="shared" si="765"/>
        <v>#N/A</v>
      </c>
    </row>
    <row r="3754" spans="1:14">
      <c r="A3754">
        <f t="shared" si="766"/>
        <v>0</v>
      </c>
      <c r="B3754">
        <f t="shared" si="767"/>
        <v>0</v>
      </c>
      <c r="C3754">
        <f t="shared" si="768"/>
        <v>0</v>
      </c>
      <c r="D3754">
        <f t="shared" si="769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70"/>
        <v>0</v>
      </c>
      <c r="G3754">
        <f t="shared" si="771"/>
        <v>0</v>
      </c>
      <c r="H3754">
        <f t="shared" si="772"/>
        <v>0</v>
      </c>
      <c r="I3754">
        <f t="shared" si="773"/>
        <v>0</v>
      </c>
      <c r="J3754">
        <f t="shared" si="774"/>
        <v>0</v>
      </c>
      <c r="K3754" s="4" t="e">
        <f t="shared" si="762"/>
        <v>#N/A</v>
      </c>
      <c r="L3754" t="e">
        <f t="shared" si="763"/>
        <v>#N/A</v>
      </c>
      <c r="M3754" s="4" t="e">
        <f t="shared" si="764"/>
        <v>#N/A</v>
      </c>
      <c r="N3754" s="4" t="e">
        <f t="shared" si="765"/>
        <v>#N/A</v>
      </c>
    </row>
    <row r="3755" spans="1:14">
      <c r="A3755">
        <f t="shared" si="766"/>
        <v>0</v>
      </c>
      <c r="B3755">
        <f t="shared" si="767"/>
        <v>0</v>
      </c>
      <c r="C3755">
        <f t="shared" si="768"/>
        <v>0</v>
      </c>
      <c r="D3755">
        <f t="shared" si="769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70"/>
        <v>0</v>
      </c>
      <c r="G3755">
        <f t="shared" si="771"/>
        <v>0</v>
      </c>
      <c r="H3755">
        <f t="shared" si="772"/>
        <v>0</v>
      </c>
      <c r="I3755">
        <f t="shared" si="773"/>
        <v>0</v>
      </c>
      <c r="J3755">
        <f t="shared" si="774"/>
        <v>0</v>
      </c>
      <c r="K3755" s="4" t="e">
        <f t="shared" si="762"/>
        <v>#N/A</v>
      </c>
      <c r="L3755" t="e">
        <f t="shared" si="763"/>
        <v>#N/A</v>
      </c>
      <c r="M3755" s="4" t="e">
        <f t="shared" si="764"/>
        <v>#N/A</v>
      </c>
      <c r="N3755" s="4" t="e">
        <f t="shared" si="765"/>
        <v>#N/A</v>
      </c>
    </row>
    <row r="3756" spans="1:14">
      <c r="A3756">
        <f t="shared" si="766"/>
        <v>0</v>
      </c>
      <c r="B3756">
        <f t="shared" si="767"/>
        <v>0</v>
      </c>
      <c r="C3756">
        <f t="shared" si="768"/>
        <v>0</v>
      </c>
      <c r="D3756">
        <f t="shared" si="769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70"/>
        <v>0</v>
      </c>
      <c r="G3756">
        <f t="shared" si="771"/>
        <v>0</v>
      </c>
      <c r="H3756">
        <f t="shared" si="772"/>
        <v>0</v>
      </c>
      <c r="I3756">
        <f t="shared" si="773"/>
        <v>0</v>
      </c>
      <c r="J3756">
        <f t="shared" si="774"/>
        <v>0</v>
      </c>
      <c r="K3756" s="4" t="e">
        <f t="shared" si="762"/>
        <v>#N/A</v>
      </c>
      <c r="L3756" t="e">
        <f t="shared" si="763"/>
        <v>#N/A</v>
      </c>
      <c r="M3756" s="4" t="e">
        <f t="shared" si="764"/>
        <v>#N/A</v>
      </c>
      <c r="N3756" s="4" t="e">
        <f t="shared" si="765"/>
        <v>#N/A</v>
      </c>
    </row>
    <row r="3757" spans="1:14">
      <c r="A3757">
        <f t="shared" si="766"/>
        <v>0</v>
      </c>
      <c r="B3757">
        <f t="shared" si="767"/>
        <v>0</v>
      </c>
      <c r="C3757">
        <f t="shared" si="768"/>
        <v>0</v>
      </c>
      <c r="D3757">
        <f t="shared" si="769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70"/>
        <v>0</v>
      </c>
      <c r="G3757">
        <f t="shared" si="771"/>
        <v>0</v>
      </c>
      <c r="H3757">
        <f t="shared" si="772"/>
        <v>0</v>
      </c>
      <c r="I3757">
        <f t="shared" si="773"/>
        <v>0</v>
      </c>
      <c r="J3757">
        <f t="shared" si="774"/>
        <v>0</v>
      </c>
      <c r="K3757" s="4" t="e">
        <f t="shared" si="762"/>
        <v>#N/A</v>
      </c>
      <c r="L3757" t="e">
        <f t="shared" si="763"/>
        <v>#N/A</v>
      </c>
      <c r="M3757" s="4" t="e">
        <f t="shared" si="764"/>
        <v>#N/A</v>
      </c>
      <c r="N3757" s="4" t="e">
        <f t="shared" si="765"/>
        <v>#N/A</v>
      </c>
    </row>
    <row r="3758" spans="1:14">
      <c r="A3758">
        <f t="shared" si="766"/>
        <v>0</v>
      </c>
      <c r="B3758">
        <f t="shared" si="767"/>
        <v>0</v>
      </c>
      <c r="C3758">
        <f t="shared" si="768"/>
        <v>0</v>
      </c>
      <c r="D3758">
        <f t="shared" si="769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70"/>
        <v>0</v>
      </c>
      <c r="G3758">
        <f t="shared" si="771"/>
        <v>0</v>
      </c>
      <c r="H3758">
        <f t="shared" si="772"/>
        <v>0</v>
      </c>
      <c r="I3758">
        <f t="shared" si="773"/>
        <v>0</v>
      </c>
      <c r="J3758">
        <f t="shared" si="774"/>
        <v>0</v>
      </c>
      <c r="K3758" s="4" t="e">
        <f t="shared" si="762"/>
        <v>#N/A</v>
      </c>
      <c r="L3758" t="e">
        <f t="shared" si="763"/>
        <v>#N/A</v>
      </c>
      <c r="M3758" s="4" t="e">
        <f t="shared" si="764"/>
        <v>#N/A</v>
      </c>
      <c r="N3758" s="4" t="e">
        <f t="shared" si="765"/>
        <v>#N/A</v>
      </c>
    </row>
    <row r="3759" spans="1:14">
      <c r="A3759">
        <f t="shared" si="766"/>
        <v>0</v>
      </c>
      <c r="B3759">
        <f t="shared" si="767"/>
        <v>0</v>
      </c>
      <c r="C3759">
        <f t="shared" si="768"/>
        <v>0</v>
      </c>
      <c r="D3759">
        <f t="shared" si="769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70"/>
        <v>0</v>
      </c>
      <c r="G3759">
        <f t="shared" si="771"/>
        <v>0</v>
      </c>
      <c r="H3759">
        <f t="shared" si="772"/>
        <v>0</v>
      </c>
      <c r="I3759">
        <f t="shared" si="773"/>
        <v>0</v>
      </c>
      <c r="J3759">
        <f t="shared" si="774"/>
        <v>0</v>
      </c>
      <c r="K3759" s="4" t="e">
        <f t="shared" si="762"/>
        <v>#N/A</v>
      </c>
      <c r="L3759" t="e">
        <f t="shared" si="763"/>
        <v>#N/A</v>
      </c>
      <c r="M3759" s="4" t="e">
        <f t="shared" si="764"/>
        <v>#N/A</v>
      </c>
      <c r="N3759" s="4" t="e">
        <f t="shared" si="765"/>
        <v>#N/A</v>
      </c>
    </row>
    <row r="3760" spans="1:14">
      <c r="A3760">
        <f t="shared" si="766"/>
        <v>0</v>
      </c>
      <c r="B3760">
        <f t="shared" si="767"/>
        <v>0</v>
      </c>
      <c r="C3760">
        <f t="shared" si="768"/>
        <v>0</v>
      </c>
      <c r="D3760">
        <f t="shared" si="769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70"/>
        <v>0</v>
      </c>
      <c r="G3760">
        <f t="shared" si="771"/>
        <v>0</v>
      </c>
      <c r="H3760">
        <f t="shared" si="772"/>
        <v>0</v>
      </c>
      <c r="I3760">
        <f t="shared" si="773"/>
        <v>0</v>
      </c>
      <c r="J3760">
        <f t="shared" si="774"/>
        <v>0</v>
      </c>
      <c r="K3760" s="4" t="e">
        <f t="shared" si="762"/>
        <v>#N/A</v>
      </c>
      <c r="L3760" t="e">
        <f t="shared" si="763"/>
        <v>#N/A</v>
      </c>
      <c r="M3760" s="4" t="e">
        <f t="shared" si="764"/>
        <v>#N/A</v>
      </c>
      <c r="N3760" s="4" t="e">
        <f t="shared" si="765"/>
        <v>#N/A</v>
      </c>
    </row>
    <row r="3761" spans="1:14">
      <c r="A3761">
        <f t="shared" si="766"/>
        <v>0</v>
      </c>
      <c r="B3761">
        <f t="shared" si="767"/>
        <v>0</v>
      </c>
      <c r="C3761">
        <f t="shared" si="768"/>
        <v>0</v>
      </c>
      <c r="D3761">
        <f t="shared" si="769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70"/>
        <v>0</v>
      </c>
      <c r="G3761">
        <f t="shared" si="771"/>
        <v>0</v>
      </c>
      <c r="H3761">
        <f t="shared" si="772"/>
        <v>0</v>
      </c>
      <c r="I3761">
        <f t="shared" si="773"/>
        <v>0</v>
      </c>
      <c r="J3761">
        <f t="shared" si="774"/>
        <v>0</v>
      </c>
      <c r="K3761" s="4" t="e">
        <f t="shared" si="762"/>
        <v>#N/A</v>
      </c>
      <c r="L3761" t="e">
        <f t="shared" si="763"/>
        <v>#N/A</v>
      </c>
      <c r="M3761" s="4" t="e">
        <f t="shared" si="764"/>
        <v>#N/A</v>
      </c>
      <c r="N3761" s="4" t="e">
        <f t="shared" si="765"/>
        <v>#N/A</v>
      </c>
    </row>
    <row r="3762" spans="1:14">
      <c r="A3762">
        <f t="shared" si="766"/>
        <v>0</v>
      </c>
      <c r="B3762">
        <f t="shared" si="767"/>
        <v>0</v>
      </c>
      <c r="C3762">
        <f t="shared" si="768"/>
        <v>0</v>
      </c>
      <c r="D3762">
        <f t="shared" si="769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70"/>
        <v>0</v>
      </c>
      <c r="G3762">
        <f t="shared" si="771"/>
        <v>0</v>
      </c>
      <c r="H3762">
        <f t="shared" si="772"/>
        <v>0</v>
      </c>
      <c r="I3762">
        <f t="shared" si="773"/>
        <v>0</v>
      </c>
      <c r="J3762">
        <f t="shared" si="774"/>
        <v>0</v>
      </c>
      <c r="K3762" s="4" t="e">
        <f t="shared" si="762"/>
        <v>#N/A</v>
      </c>
      <c r="L3762" t="e">
        <f t="shared" si="763"/>
        <v>#N/A</v>
      </c>
      <c r="M3762" s="4" t="e">
        <f t="shared" si="764"/>
        <v>#N/A</v>
      </c>
      <c r="N3762" s="4" t="e">
        <f t="shared" si="765"/>
        <v>#N/A</v>
      </c>
    </row>
    <row r="3763" spans="1:14">
      <c r="A3763">
        <f t="shared" si="766"/>
        <v>0</v>
      </c>
      <c r="B3763">
        <f t="shared" si="767"/>
        <v>0</v>
      </c>
      <c r="C3763">
        <f t="shared" si="768"/>
        <v>0</v>
      </c>
      <c r="D3763">
        <f t="shared" si="769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70"/>
        <v>0</v>
      </c>
      <c r="G3763">
        <f t="shared" si="771"/>
        <v>0</v>
      </c>
      <c r="H3763">
        <f t="shared" si="772"/>
        <v>0</v>
      </c>
      <c r="I3763">
        <f t="shared" si="773"/>
        <v>0</v>
      </c>
      <c r="J3763">
        <f t="shared" si="774"/>
        <v>0</v>
      </c>
      <c r="K3763" s="4" t="e">
        <f t="shared" si="762"/>
        <v>#N/A</v>
      </c>
      <c r="L3763" t="e">
        <f t="shared" si="763"/>
        <v>#N/A</v>
      </c>
      <c r="M3763" s="4" t="e">
        <f t="shared" si="764"/>
        <v>#N/A</v>
      </c>
      <c r="N3763" s="4" t="e">
        <f t="shared" si="765"/>
        <v>#N/A</v>
      </c>
    </row>
    <row r="3764" spans="1:14">
      <c r="A3764">
        <f t="shared" si="766"/>
        <v>0</v>
      </c>
      <c r="B3764">
        <f t="shared" si="767"/>
        <v>0</v>
      </c>
      <c r="C3764">
        <f t="shared" si="768"/>
        <v>0</v>
      </c>
      <c r="D3764">
        <f t="shared" si="769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70"/>
        <v>0</v>
      </c>
      <c r="G3764">
        <f t="shared" si="771"/>
        <v>0</v>
      </c>
      <c r="H3764">
        <f t="shared" si="772"/>
        <v>0</v>
      </c>
      <c r="I3764">
        <f t="shared" si="773"/>
        <v>0</v>
      </c>
      <c r="J3764">
        <f t="shared" si="774"/>
        <v>0</v>
      </c>
      <c r="K3764" s="4" t="e">
        <f t="shared" si="762"/>
        <v>#N/A</v>
      </c>
      <c r="L3764" t="e">
        <f t="shared" si="763"/>
        <v>#N/A</v>
      </c>
      <c r="M3764" s="4" t="e">
        <f t="shared" si="764"/>
        <v>#N/A</v>
      </c>
      <c r="N3764" s="4" t="e">
        <f t="shared" si="765"/>
        <v>#N/A</v>
      </c>
    </row>
    <row r="3765" spans="1:14">
      <c r="A3765">
        <f t="shared" si="766"/>
        <v>0</v>
      </c>
      <c r="B3765">
        <f t="shared" si="767"/>
        <v>0</v>
      </c>
      <c r="C3765">
        <f t="shared" si="768"/>
        <v>0</v>
      </c>
      <c r="D3765">
        <f t="shared" si="769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70"/>
        <v>0</v>
      </c>
      <c r="G3765">
        <f t="shared" si="771"/>
        <v>0</v>
      </c>
      <c r="H3765">
        <f t="shared" si="772"/>
        <v>0</v>
      </c>
      <c r="I3765">
        <f t="shared" si="773"/>
        <v>0</v>
      </c>
      <c r="J3765">
        <f t="shared" si="774"/>
        <v>0</v>
      </c>
      <c r="K3765" s="4" t="e">
        <f t="shared" si="762"/>
        <v>#N/A</v>
      </c>
      <c r="L3765" t="e">
        <f t="shared" si="763"/>
        <v>#N/A</v>
      </c>
      <c r="M3765" s="4" t="e">
        <f t="shared" si="764"/>
        <v>#N/A</v>
      </c>
      <c r="N3765" s="4" t="e">
        <f t="shared" si="765"/>
        <v>#N/A</v>
      </c>
    </row>
    <row r="3766" spans="1:14">
      <c r="A3766">
        <f t="shared" si="766"/>
        <v>0</v>
      </c>
      <c r="B3766">
        <f t="shared" si="767"/>
        <v>0</v>
      </c>
      <c r="C3766">
        <f t="shared" si="768"/>
        <v>0</v>
      </c>
      <c r="D3766">
        <f t="shared" si="769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70"/>
        <v>0</v>
      </c>
      <c r="G3766">
        <f t="shared" si="771"/>
        <v>0</v>
      </c>
      <c r="H3766">
        <f t="shared" si="772"/>
        <v>0</v>
      </c>
      <c r="I3766">
        <f t="shared" si="773"/>
        <v>0</v>
      </c>
      <c r="J3766">
        <f t="shared" si="774"/>
        <v>0</v>
      </c>
      <c r="K3766" s="4" t="e">
        <f t="shared" si="762"/>
        <v>#N/A</v>
      </c>
      <c r="L3766" t="e">
        <f t="shared" si="763"/>
        <v>#N/A</v>
      </c>
      <c r="M3766" s="4" t="e">
        <f t="shared" si="764"/>
        <v>#N/A</v>
      </c>
      <c r="N3766" s="4" t="e">
        <f t="shared" si="765"/>
        <v>#N/A</v>
      </c>
    </row>
    <row r="3767" spans="1:14">
      <c r="A3767">
        <f t="shared" si="766"/>
        <v>0</v>
      </c>
      <c r="B3767">
        <f t="shared" si="767"/>
        <v>0</v>
      </c>
      <c r="C3767">
        <f t="shared" si="768"/>
        <v>0</v>
      </c>
      <c r="D3767">
        <f t="shared" si="769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70"/>
        <v>0</v>
      </c>
      <c r="G3767">
        <f t="shared" si="771"/>
        <v>0</v>
      </c>
      <c r="H3767">
        <f t="shared" si="772"/>
        <v>0</v>
      </c>
      <c r="I3767">
        <f t="shared" si="773"/>
        <v>0</v>
      </c>
      <c r="J3767">
        <f t="shared" si="774"/>
        <v>0</v>
      </c>
      <c r="K3767" s="4" t="e">
        <f t="shared" si="762"/>
        <v>#N/A</v>
      </c>
      <c r="L3767" t="e">
        <f t="shared" si="763"/>
        <v>#N/A</v>
      </c>
      <c r="M3767" s="4" t="e">
        <f t="shared" si="764"/>
        <v>#N/A</v>
      </c>
      <c r="N3767" s="4" t="e">
        <f t="shared" si="765"/>
        <v>#N/A</v>
      </c>
    </row>
    <row r="3768" spans="1:14">
      <c r="A3768">
        <f t="shared" si="766"/>
        <v>0</v>
      </c>
      <c r="B3768">
        <f t="shared" si="767"/>
        <v>0</v>
      </c>
      <c r="C3768">
        <f t="shared" si="768"/>
        <v>0</v>
      </c>
      <c r="D3768">
        <f t="shared" si="769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70"/>
        <v>0</v>
      </c>
      <c r="G3768">
        <f t="shared" si="771"/>
        <v>0</v>
      </c>
      <c r="H3768">
        <f t="shared" si="772"/>
        <v>0</v>
      </c>
      <c r="I3768">
        <f t="shared" si="773"/>
        <v>0</v>
      </c>
      <c r="J3768">
        <f t="shared" si="774"/>
        <v>0</v>
      </c>
      <c r="K3768" s="4" t="e">
        <f t="shared" si="762"/>
        <v>#N/A</v>
      </c>
      <c r="L3768" t="e">
        <f t="shared" si="763"/>
        <v>#N/A</v>
      </c>
      <c r="M3768" s="4" t="e">
        <f t="shared" si="764"/>
        <v>#N/A</v>
      </c>
      <c r="N3768" s="4" t="e">
        <f t="shared" si="765"/>
        <v>#N/A</v>
      </c>
    </row>
    <row r="3769" spans="1:14">
      <c r="A3769">
        <f t="shared" si="766"/>
        <v>0</v>
      </c>
      <c r="B3769">
        <f t="shared" si="767"/>
        <v>0</v>
      </c>
      <c r="C3769">
        <f t="shared" si="768"/>
        <v>0</v>
      </c>
      <c r="D3769">
        <f t="shared" si="769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70"/>
        <v>0</v>
      </c>
      <c r="G3769">
        <f t="shared" si="771"/>
        <v>0</v>
      </c>
      <c r="H3769">
        <f t="shared" si="772"/>
        <v>0</v>
      </c>
      <c r="I3769">
        <f t="shared" si="773"/>
        <v>0</v>
      </c>
      <c r="J3769">
        <f t="shared" si="774"/>
        <v>0</v>
      </c>
      <c r="K3769" s="4" t="e">
        <f t="shared" si="762"/>
        <v>#N/A</v>
      </c>
      <c r="L3769" t="e">
        <f t="shared" si="763"/>
        <v>#N/A</v>
      </c>
      <c r="M3769" s="4" t="e">
        <f t="shared" si="764"/>
        <v>#N/A</v>
      </c>
      <c r="N3769" s="4" t="e">
        <f t="shared" si="765"/>
        <v>#N/A</v>
      </c>
    </row>
    <row r="3770" spans="1:14">
      <c r="A3770">
        <f t="shared" si="766"/>
        <v>0</v>
      </c>
      <c r="B3770">
        <f t="shared" si="767"/>
        <v>0</v>
      </c>
      <c r="C3770">
        <f t="shared" si="768"/>
        <v>0</v>
      </c>
      <c r="D3770">
        <f t="shared" si="769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70"/>
        <v>0</v>
      </c>
      <c r="G3770">
        <f t="shared" si="771"/>
        <v>0</v>
      </c>
      <c r="H3770">
        <f t="shared" si="772"/>
        <v>0</v>
      </c>
      <c r="I3770">
        <f t="shared" si="773"/>
        <v>0</v>
      </c>
      <c r="J3770">
        <f t="shared" si="774"/>
        <v>0</v>
      </c>
      <c r="K3770" s="4" t="e">
        <f t="shared" si="762"/>
        <v>#N/A</v>
      </c>
      <c r="L3770" t="e">
        <f t="shared" si="763"/>
        <v>#N/A</v>
      </c>
      <c r="M3770" s="4" t="e">
        <f t="shared" si="764"/>
        <v>#N/A</v>
      </c>
      <c r="N3770" s="4" t="e">
        <f t="shared" si="765"/>
        <v>#N/A</v>
      </c>
    </row>
    <row r="3771" spans="1:14">
      <c r="A3771">
        <f t="shared" si="766"/>
        <v>0</v>
      </c>
      <c r="B3771">
        <f t="shared" si="767"/>
        <v>0</v>
      </c>
      <c r="C3771">
        <f t="shared" si="768"/>
        <v>0</v>
      </c>
      <c r="D3771">
        <f t="shared" si="769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70"/>
        <v>0</v>
      </c>
      <c r="G3771">
        <f t="shared" si="771"/>
        <v>0</v>
      </c>
      <c r="H3771">
        <f t="shared" si="772"/>
        <v>0</v>
      </c>
      <c r="I3771">
        <f t="shared" si="773"/>
        <v>0</v>
      </c>
      <c r="J3771">
        <f t="shared" si="774"/>
        <v>0</v>
      </c>
      <c r="K3771" s="4" t="e">
        <f t="shared" si="762"/>
        <v>#N/A</v>
      </c>
      <c r="L3771" t="e">
        <f t="shared" si="763"/>
        <v>#N/A</v>
      </c>
      <c r="M3771" s="4" t="e">
        <f t="shared" si="764"/>
        <v>#N/A</v>
      </c>
      <c r="N3771" s="4" t="e">
        <f t="shared" si="765"/>
        <v>#N/A</v>
      </c>
    </row>
    <row r="3772" spans="1:14">
      <c r="A3772">
        <f t="shared" si="766"/>
        <v>0</v>
      </c>
      <c r="B3772">
        <f t="shared" si="767"/>
        <v>0</v>
      </c>
      <c r="C3772">
        <f t="shared" si="768"/>
        <v>0</v>
      </c>
      <c r="D3772">
        <f t="shared" si="769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70"/>
        <v>0</v>
      </c>
      <c r="G3772">
        <f t="shared" si="771"/>
        <v>0</v>
      </c>
      <c r="H3772">
        <f t="shared" si="772"/>
        <v>0</v>
      </c>
      <c r="I3772">
        <f t="shared" si="773"/>
        <v>0</v>
      </c>
      <c r="J3772">
        <f t="shared" si="774"/>
        <v>0</v>
      </c>
      <c r="K3772" s="4" t="e">
        <f t="shared" si="762"/>
        <v>#N/A</v>
      </c>
      <c r="L3772" t="e">
        <f t="shared" si="763"/>
        <v>#N/A</v>
      </c>
      <c r="M3772" s="4" t="e">
        <f t="shared" si="764"/>
        <v>#N/A</v>
      </c>
      <c r="N3772" s="4" t="e">
        <f t="shared" si="765"/>
        <v>#N/A</v>
      </c>
    </row>
    <row r="3773" spans="1:14">
      <c r="A3773">
        <f t="shared" si="766"/>
        <v>0</v>
      </c>
      <c r="B3773">
        <f t="shared" si="767"/>
        <v>0</v>
      </c>
      <c r="C3773">
        <f t="shared" si="768"/>
        <v>0</v>
      </c>
      <c r="D3773">
        <f t="shared" si="769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70"/>
        <v>0</v>
      </c>
      <c r="G3773">
        <f t="shared" si="771"/>
        <v>0</v>
      </c>
      <c r="H3773">
        <f t="shared" si="772"/>
        <v>0</v>
      </c>
      <c r="I3773">
        <f t="shared" si="773"/>
        <v>0</v>
      </c>
      <c r="J3773">
        <f t="shared" si="774"/>
        <v>0</v>
      </c>
      <c r="K3773" s="4" t="e">
        <f t="shared" ref="K3773:K3836" si="775">IF(LEFT(B3773,3)="DBM",0,VLOOKUP(E3773,tabela,2,FALSE))</f>
        <v>#N/A</v>
      </c>
      <c r="L3773" t="e">
        <f t="shared" ref="L3773:L3836" si="776">VLOOKUP(E3773,tabela,3,FALSE)</f>
        <v>#N/A</v>
      </c>
      <c r="M3773" s="4" t="e">
        <f t="shared" ref="M3773:M3836" si="777">IF(E3773="Dynamic Click",J3773*K3773,K3773*$I3773/1000)</f>
        <v>#N/A</v>
      </c>
      <c r="N3773" s="4" t="e">
        <f t="shared" ref="N3773:N3836" si="778">IF(E3773="Dynamic Click",J3773*L3773,L3773*$I3773/1000)</f>
        <v>#N/A</v>
      </c>
    </row>
    <row r="3774" spans="1:14">
      <c r="A3774">
        <f t="shared" si="766"/>
        <v>0</v>
      </c>
      <c r="B3774">
        <f t="shared" si="767"/>
        <v>0</v>
      </c>
      <c r="C3774">
        <f t="shared" si="768"/>
        <v>0</v>
      </c>
      <c r="D3774">
        <f t="shared" si="769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70"/>
        <v>0</v>
      </c>
      <c r="G3774">
        <f t="shared" si="771"/>
        <v>0</v>
      </c>
      <c r="H3774">
        <f t="shared" si="772"/>
        <v>0</v>
      </c>
      <c r="I3774">
        <f t="shared" si="773"/>
        <v>0</v>
      </c>
      <c r="J3774">
        <f t="shared" si="774"/>
        <v>0</v>
      </c>
      <c r="K3774" s="4" t="e">
        <f t="shared" si="775"/>
        <v>#N/A</v>
      </c>
      <c r="L3774" t="e">
        <f t="shared" si="776"/>
        <v>#N/A</v>
      </c>
      <c r="M3774" s="4" t="e">
        <f t="shared" si="777"/>
        <v>#N/A</v>
      </c>
      <c r="N3774" s="4" t="e">
        <f t="shared" si="778"/>
        <v>#N/A</v>
      </c>
    </row>
    <row r="3775" spans="1:14">
      <c r="A3775">
        <f t="shared" si="766"/>
        <v>0</v>
      </c>
      <c r="B3775">
        <f t="shared" si="767"/>
        <v>0</v>
      </c>
      <c r="C3775">
        <f t="shared" si="768"/>
        <v>0</v>
      </c>
      <c r="D3775">
        <f t="shared" si="769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70"/>
        <v>0</v>
      </c>
      <c r="G3775">
        <f t="shared" si="771"/>
        <v>0</v>
      </c>
      <c r="H3775">
        <f t="shared" si="772"/>
        <v>0</v>
      </c>
      <c r="I3775">
        <f t="shared" si="773"/>
        <v>0</v>
      </c>
      <c r="J3775">
        <f t="shared" si="774"/>
        <v>0</v>
      </c>
      <c r="K3775" s="4" t="e">
        <f t="shared" si="775"/>
        <v>#N/A</v>
      </c>
      <c r="L3775" t="e">
        <f t="shared" si="776"/>
        <v>#N/A</v>
      </c>
      <c r="M3775" s="4" t="e">
        <f t="shared" si="777"/>
        <v>#N/A</v>
      </c>
      <c r="N3775" s="4" t="e">
        <f t="shared" si="778"/>
        <v>#N/A</v>
      </c>
    </row>
    <row r="3776" spans="1:14">
      <c r="A3776">
        <f t="shared" si="766"/>
        <v>0</v>
      </c>
      <c r="B3776">
        <f t="shared" si="767"/>
        <v>0</v>
      </c>
      <c r="C3776">
        <f t="shared" si="768"/>
        <v>0</v>
      </c>
      <c r="D3776">
        <f t="shared" si="769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70"/>
        <v>0</v>
      </c>
      <c r="G3776">
        <f t="shared" si="771"/>
        <v>0</v>
      </c>
      <c r="H3776">
        <f t="shared" si="772"/>
        <v>0</v>
      </c>
      <c r="I3776">
        <f t="shared" si="773"/>
        <v>0</v>
      </c>
      <c r="J3776">
        <f t="shared" si="774"/>
        <v>0</v>
      </c>
      <c r="K3776" s="4" t="e">
        <f t="shared" si="775"/>
        <v>#N/A</v>
      </c>
      <c r="L3776" t="e">
        <f t="shared" si="776"/>
        <v>#N/A</v>
      </c>
      <c r="M3776" s="4" t="e">
        <f t="shared" si="777"/>
        <v>#N/A</v>
      </c>
      <c r="N3776" s="4" t="e">
        <f t="shared" si="778"/>
        <v>#N/A</v>
      </c>
    </row>
    <row r="3777" spans="1:14">
      <c r="A3777">
        <f t="shared" si="766"/>
        <v>0</v>
      </c>
      <c r="B3777">
        <f t="shared" si="767"/>
        <v>0</v>
      </c>
      <c r="C3777">
        <f t="shared" si="768"/>
        <v>0</v>
      </c>
      <c r="D3777">
        <f t="shared" si="769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70"/>
        <v>0</v>
      </c>
      <c r="G3777">
        <f t="shared" si="771"/>
        <v>0</v>
      </c>
      <c r="H3777">
        <f t="shared" si="772"/>
        <v>0</v>
      </c>
      <c r="I3777">
        <f t="shared" si="773"/>
        <v>0</v>
      </c>
      <c r="J3777">
        <f t="shared" si="774"/>
        <v>0</v>
      </c>
      <c r="K3777" s="4" t="e">
        <f t="shared" si="775"/>
        <v>#N/A</v>
      </c>
      <c r="L3777" t="e">
        <f t="shared" si="776"/>
        <v>#N/A</v>
      </c>
      <c r="M3777" s="4" t="e">
        <f t="shared" si="777"/>
        <v>#N/A</v>
      </c>
      <c r="N3777" s="4" t="e">
        <f t="shared" si="778"/>
        <v>#N/A</v>
      </c>
    </row>
    <row r="3778" spans="1:14">
      <c r="A3778">
        <f t="shared" ref="A3778:A3841" si="779">bd_campaign</f>
        <v>0</v>
      </c>
      <c r="B3778">
        <f t="shared" ref="B3778:B3841" si="780">bd_site</f>
        <v>0</v>
      </c>
      <c r="C3778">
        <f t="shared" ref="C3778:C3841" si="781">bd_placement</f>
        <v>0</v>
      </c>
      <c r="D3778">
        <f t="shared" ref="D3778:D3841" si="782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3">bd_ad</f>
        <v>0</v>
      </c>
      <c r="G3778">
        <f t="shared" ref="G3778:G3841" si="784">bd_adid</f>
        <v>0</v>
      </c>
      <c r="H3778">
        <f t="shared" ref="H3778:H3841" si="785">bd_creativetype</f>
        <v>0</v>
      </c>
      <c r="I3778">
        <f t="shared" ref="I3778:I3841" si="786">bd_impression</f>
        <v>0</v>
      </c>
      <c r="J3778">
        <f t="shared" ref="J3778:J3841" si="787">bd_clicks</f>
        <v>0</v>
      </c>
      <c r="K3778" s="4" t="e">
        <f t="shared" si="775"/>
        <v>#N/A</v>
      </c>
      <c r="L3778" t="e">
        <f t="shared" si="776"/>
        <v>#N/A</v>
      </c>
      <c r="M3778" s="4" t="e">
        <f t="shared" si="777"/>
        <v>#N/A</v>
      </c>
      <c r="N3778" s="4" t="e">
        <f t="shared" si="778"/>
        <v>#N/A</v>
      </c>
    </row>
    <row r="3779" spans="1:14">
      <c r="A3779">
        <f t="shared" si="779"/>
        <v>0</v>
      </c>
      <c r="B3779">
        <f t="shared" si="780"/>
        <v>0</v>
      </c>
      <c r="C3779">
        <f t="shared" si="781"/>
        <v>0</v>
      </c>
      <c r="D3779">
        <f t="shared" si="782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3"/>
        <v>0</v>
      </c>
      <c r="G3779">
        <f t="shared" si="784"/>
        <v>0</v>
      </c>
      <c r="H3779">
        <f t="shared" si="785"/>
        <v>0</v>
      </c>
      <c r="I3779">
        <f t="shared" si="786"/>
        <v>0</v>
      </c>
      <c r="J3779">
        <f t="shared" si="787"/>
        <v>0</v>
      </c>
      <c r="K3779" s="4" t="e">
        <f t="shared" si="775"/>
        <v>#N/A</v>
      </c>
      <c r="L3779" t="e">
        <f t="shared" si="776"/>
        <v>#N/A</v>
      </c>
      <c r="M3779" s="4" t="e">
        <f t="shared" si="777"/>
        <v>#N/A</v>
      </c>
      <c r="N3779" s="4" t="e">
        <f t="shared" si="778"/>
        <v>#N/A</v>
      </c>
    </row>
    <row r="3780" spans="1:14">
      <c r="A3780">
        <f t="shared" si="779"/>
        <v>0</v>
      </c>
      <c r="B3780">
        <f t="shared" si="780"/>
        <v>0</v>
      </c>
      <c r="C3780">
        <f t="shared" si="781"/>
        <v>0</v>
      </c>
      <c r="D3780">
        <f t="shared" si="782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3"/>
        <v>0</v>
      </c>
      <c r="G3780">
        <f t="shared" si="784"/>
        <v>0</v>
      </c>
      <c r="H3780">
        <f t="shared" si="785"/>
        <v>0</v>
      </c>
      <c r="I3780">
        <f t="shared" si="786"/>
        <v>0</v>
      </c>
      <c r="J3780">
        <f t="shared" si="787"/>
        <v>0</v>
      </c>
      <c r="K3780" s="4" t="e">
        <f t="shared" si="775"/>
        <v>#N/A</v>
      </c>
      <c r="L3780" t="e">
        <f t="shared" si="776"/>
        <v>#N/A</v>
      </c>
      <c r="M3780" s="4" t="e">
        <f t="shared" si="777"/>
        <v>#N/A</v>
      </c>
      <c r="N3780" s="4" t="e">
        <f t="shared" si="778"/>
        <v>#N/A</v>
      </c>
    </row>
    <row r="3781" spans="1:14">
      <c r="A3781">
        <f t="shared" si="779"/>
        <v>0</v>
      </c>
      <c r="B3781">
        <f t="shared" si="780"/>
        <v>0</v>
      </c>
      <c r="C3781">
        <f t="shared" si="781"/>
        <v>0</v>
      </c>
      <c r="D3781">
        <f t="shared" si="782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3"/>
        <v>0</v>
      </c>
      <c r="G3781">
        <f t="shared" si="784"/>
        <v>0</v>
      </c>
      <c r="H3781">
        <f t="shared" si="785"/>
        <v>0</v>
      </c>
      <c r="I3781">
        <f t="shared" si="786"/>
        <v>0</v>
      </c>
      <c r="J3781">
        <f t="shared" si="787"/>
        <v>0</v>
      </c>
      <c r="K3781" s="4" t="e">
        <f t="shared" si="775"/>
        <v>#N/A</v>
      </c>
      <c r="L3781" t="e">
        <f t="shared" si="776"/>
        <v>#N/A</v>
      </c>
      <c r="M3781" s="4" t="e">
        <f t="shared" si="777"/>
        <v>#N/A</v>
      </c>
      <c r="N3781" s="4" t="e">
        <f t="shared" si="778"/>
        <v>#N/A</v>
      </c>
    </row>
    <row r="3782" spans="1:14">
      <c r="A3782">
        <f t="shared" si="779"/>
        <v>0</v>
      </c>
      <c r="B3782">
        <f t="shared" si="780"/>
        <v>0</v>
      </c>
      <c r="C3782">
        <f t="shared" si="781"/>
        <v>0</v>
      </c>
      <c r="D3782">
        <f t="shared" si="782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3"/>
        <v>0</v>
      </c>
      <c r="G3782">
        <f t="shared" si="784"/>
        <v>0</v>
      </c>
      <c r="H3782">
        <f t="shared" si="785"/>
        <v>0</v>
      </c>
      <c r="I3782">
        <f t="shared" si="786"/>
        <v>0</v>
      </c>
      <c r="J3782">
        <f t="shared" si="787"/>
        <v>0</v>
      </c>
      <c r="K3782" s="4" t="e">
        <f t="shared" si="775"/>
        <v>#N/A</v>
      </c>
      <c r="L3782" t="e">
        <f t="shared" si="776"/>
        <v>#N/A</v>
      </c>
      <c r="M3782" s="4" t="e">
        <f t="shared" si="777"/>
        <v>#N/A</v>
      </c>
      <c r="N3782" s="4" t="e">
        <f t="shared" si="778"/>
        <v>#N/A</v>
      </c>
    </row>
    <row r="3783" spans="1:14">
      <c r="A3783">
        <f t="shared" si="779"/>
        <v>0</v>
      </c>
      <c r="B3783">
        <f t="shared" si="780"/>
        <v>0</v>
      </c>
      <c r="C3783">
        <f t="shared" si="781"/>
        <v>0</v>
      </c>
      <c r="D3783">
        <f t="shared" si="782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3"/>
        <v>0</v>
      </c>
      <c r="G3783">
        <f t="shared" si="784"/>
        <v>0</v>
      </c>
      <c r="H3783">
        <f t="shared" si="785"/>
        <v>0</v>
      </c>
      <c r="I3783">
        <f t="shared" si="786"/>
        <v>0</v>
      </c>
      <c r="J3783">
        <f t="shared" si="787"/>
        <v>0</v>
      </c>
      <c r="K3783" s="4" t="e">
        <f t="shared" si="775"/>
        <v>#N/A</v>
      </c>
      <c r="L3783" t="e">
        <f t="shared" si="776"/>
        <v>#N/A</v>
      </c>
      <c r="M3783" s="4" t="e">
        <f t="shared" si="777"/>
        <v>#N/A</v>
      </c>
      <c r="N3783" s="4" t="e">
        <f t="shared" si="778"/>
        <v>#N/A</v>
      </c>
    </row>
    <row r="3784" spans="1:14">
      <c r="A3784">
        <f t="shared" si="779"/>
        <v>0</v>
      </c>
      <c r="B3784">
        <f t="shared" si="780"/>
        <v>0</v>
      </c>
      <c r="C3784">
        <f t="shared" si="781"/>
        <v>0</v>
      </c>
      <c r="D3784">
        <f t="shared" si="782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3"/>
        <v>0</v>
      </c>
      <c r="G3784">
        <f t="shared" si="784"/>
        <v>0</v>
      </c>
      <c r="H3784">
        <f t="shared" si="785"/>
        <v>0</v>
      </c>
      <c r="I3784">
        <f t="shared" si="786"/>
        <v>0</v>
      </c>
      <c r="J3784">
        <f t="shared" si="787"/>
        <v>0</v>
      </c>
      <c r="K3784" s="4" t="e">
        <f t="shared" si="775"/>
        <v>#N/A</v>
      </c>
      <c r="L3784" t="e">
        <f t="shared" si="776"/>
        <v>#N/A</v>
      </c>
      <c r="M3784" s="4" t="e">
        <f t="shared" si="777"/>
        <v>#N/A</v>
      </c>
      <c r="N3784" s="4" t="e">
        <f t="shared" si="778"/>
        <v>#N/A</v>
      </c>
    </row>
    <row r="3785" spans="1:14">
      <c r="A3785">
        <f t="shared" si="779"/>
        <v>0</v>
      </c>
      <c r="B3785">
        <f t="shared" si="780"/>
        <v>0</v>
      </c>
      <c r="C3785">
        <f t="shared" si="781"/>
        <v>0</v>
      </c>
      <c r="D3785">
        <f t="shared" si="782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3"/>
        <v>0</v>
      </c>
      <c r="G3785">
        <f t="shared" si="784"/>
        <v>0</v>
      </c>
      <c r="H3785">
        <f t="shared" si="785"/>
        <v>0</v>
      </c>
      <c r="I3785">
        <f t="shared" si="786"/>
        <v>0</v>
      </c>
      <c r="J3785">
        <f t="shared" si="787"/>
        <v>0</v>
      </c>
      <c r="K3785" s="4" t="e">
        <f t="shared" si="775"/>
        <v>#N/A</v>
      </c>
      <c r="L3785" t="e">
        <f t="shared" si="776"/>
        <v>#N/A</v>
      </c>
      <c r="M3785" s="4" t="e">
        <f t="shared" si="777"/>
        <v>#N/A</v>
      </c>
      <c r="N3785" s="4" t="e">
        <f t="shared" si="778"/>
        <v>#N/A</v>
      </c>
    </row>
    <row r="3786" spans="1:14">
      <c r="A3786">
        <f t="shared" si="779"/>
        <v>0</v>
      </c>
      <c r="B3786">
        <f t="shared" si="780"/>
        <v>0</v>
      </c>
      <c r="C3786">
        <f t="shared" si="781"/>
        <v>0</v>
      </c>
      <c r="D3786">
        <f t="shared" si="782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3"/>
        <v>0</v>
      </c>
      <c r="G3786">
        <f t="shared" si="784"/>
        <v>0</v>
      </c>
      <c r="H3786">
        <f t="shared" si="785"/>
        <v>0</v>
      </c>
      <c r="I3786">
        <f t="shared" si="786"/>
        <v>0</v>
      </c>
      <c r="J3786">
        <f t="shared" si="787"/>
        <v>0</v>
      </c>
      <c r="K3786" s="4" t="e">
        <f t="shared" si="775"/>
        <v>#N/A</v>
      </c>
      <c r="L3786" t="e">
        <f t="shared" si="776"/>
        <v>#N/A</v>
      </c>
      <c r="M3786" s="4" t="e">
        <f t="shared" si="777"/>
        <v>#N/A</v>
      </c>
      <c r="N3786" s="4" t="e">
        <f t="shared" si="778"/>
        <v>#N/A</v>
      </c>
    </row>
    <row r="3787" spans="1:14">
      <c r="A3787">
        <f t="shared" si="779"/>
        <v>0</v>
      </c>
      <c r="B3787">
        <f t="shared" si="780"/>
        <v>0</v>
      </c>
      <c r="C3787">
        <f t="shared" si="781"/>
        <v>0</v>
      </c>
      <c r="D3787">
        <f t="shared" si="782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3"/>
        <v>0</v>
      </c>
      <c r="G3787">
        <f t="shared" si="784"/>
        <v>0</v>
      </c>
      <c r="H3787">
        <f t="shared" si="785"/>
        <v>0</v>
      </c>
      <c r="I3787">
        <f t="shared" si="786"/>
        <v>0</v>
      </c>
      <c r="J3787">
        <f t="shared" si="787"/>
        <v>0</v>
      </c>
      <c r="K3787" s="4" t="e">
        <f t="shared" si="775"/>
        <v>#N/A</v>
      </c>
      <c r="L3787" t="e">
        <f t="shared" si="776"/>
        <v>#N/A</v>
      </c>
      <c r="M3787" s="4" t="e">
        <f t="shared" si="777"/>
        <v>#N/A</v>
      </c>
      <c r="N3787" s="4" t="e">
        <f t="shared" si="778"/>
        <v>#N/A</v>
      </c>
    </row>
    <row r="3788" spans="1:14">
      <c r="A3788">
        <f t="shared" si="779"/>
        <v>0</v>
      </c>
      <c r="B3788">
        <f t="shared" si="780"/>
        <v>0</v>
      </c>
      <c r="C3788">
        <f t="shared" si="781"/>
        <v>0</v>
      </c>
      <c r="D3788">
        <f t="shared" si="782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3"/>
        <v>0</v>
      </c>
      <c r="G3788">
        <f t="shared" si="784"/>
        <v>0</v>
      </c>
      <c r="H3788">
        <f t="shared" si="785"/>
        <v>0</v>
      </c>
      <c r="I3788">
        <f t="shared" si="786"/>
        <v>0</v>
      </c>
      <c r="J3788">
        <f t="shared" si="787"/>
        <v>0</v>
      </c>
      <c r="K3788" s="4" t="e">
        <f t="shared" si="775"/>
        <v>#N/A</v>
      </c>
      <c r="L3788" t="e">
        <f t="shared" si="776"/>
        <v>#N/A</v>
      </c>
      <c r="M3788" s="4" t="e">
        <f t="shared" si="777"/>
        <v>#N/A</v>
      </c>
      <c r="N3788" s="4" t="e">
        <f t="shared" si="778"/>
        <v>#N/A</v>
      </c>
    </row>
    <row r="3789" spans="1:14">
      <c r="A3789">
        <f t="shared" si="779"/>
        <v>0</v>
      </c>
      <c r="B3789">
        <f t="shared" si="780"/>
        <v>0</v>
      </c>
      <c r="C3789">
        <f t="shared" si="781"/>
        <v>0</v>
      </c>
      <c r="D3789">
        <f t="shared" si="782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3"/>
        <v>0</v>
      </c>
      <c r="G3789">
        <f t="shared" si="784"/>
        <v>0</v>
      </c>
      <c r="H3789">
        <f t="shared" si="785"/>
        <v>0</v>
      </c>
      <c r="I3789">
        <f t="shared" si="786"/>
        <v>0</v>
      </c>
      <c r="J3789">
        <f t="shared" si="787"/>
        <v>0</v>
      </c>
      <c r="K3789" s="4" t="e">
        <f t="shared" si="775"/>
        <v>#N/A</v>
      </c>
      <c r="L3789" t="e">
        <f t="shared" si="776"/>
        <v>#N/A</v>
      </c>
      <c r="M3789" s="4" t="e">
        <f t="shared" si="777"/>
        <v>#N/A</v>
      </c>
      <c r="N3789" s="4" t="e">
        <f t="shared" si="778"/>
        <v>#N/A</v>
      </c>
    </row>
    <row r="3790" spans="1:14">
      <c r="A3790">
        <f t="shared" si="779"/>
        <v>0</v>
      </c>
      <c r="B3790">
        <f t="shared" si="780"/>
        <v>0</v>
      </c>
      <c r="C3790">
        <f t="shared" si="781"/>
        <v>0</v>
      </c>
      <c r="D3790">
        <f t="shared" si="782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3"/>
        <v>0</v>
      </c>
      <c r="G3790">
        <f t="shared" si="784"/>
        <v>0</v>
      </c>
      <c r="H3790">
        <f t="shared" si="785"/>
        <v>0</v>
      </c>
      <c r="I3790">
        <f t="shared" si="786"/>
        <v>0</v>
      </c>
      <c r="J3790">
        <f t="shared" si="787"/>
        <v>0</v>
      </c>
      <c r="K3790" s="4" t="e">
        <f t="shared" si="775"/>
        <v>#N/A</v>
      </c>
      <c r="L3790" t="e">
        <f t="shared" si="776"/>
        <v>#N/A</v>
      </c>
      <c r="M3790" s="4" t="e">
        <f t="shared" si="777"/>
        <v>#N/A</v>
      </c>
      <c r="N3790" s="4" t="e">
        <f t="shared" si="778"/>
        <v>#N/A</v>
      </c>
    </row>
    <row r="3791" spans="1:14">
      <c r="A3791">
        <f t="shared" si="779"/>
        <v>0</v>
      </c>
      <c r="B3791">
        <f t="shared" si="780"/>
        <v>0</v>
      </c>
      <c r="C3791">
        <f t="shared" si="781"/>
        <v>0</v>
      </c>
      <c r="D3791">
        <f t="shared" si="782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3"/>
        <v>0</v>
      </c>
      <c r="G3791">
        <f t="shared" si="784"/>
        <v>0</v>
      </c>
      <c r="H3791">
        <f t="shared" si="785"/>
        <v>0</v>
      </c>
      <c r="I3791">
        <f t="shared" si="786"/>
        <v>0</v>
      </c>
      <c r="J3791">
        <f t="shared" si="787"/>
        <v>0</v>
      </c>
      <c r="K3791" s="4" t="e">
        <f t="shared" si="775"/>
        <v>#N/A</v>
      </c>
      <c r="L3791" t="e">
        <f t="shared" si="776"/>
        <v>#N/A</v>
      </c>
      <c r="M3791" s="4" t="e">
        <f t="shared" si="777"/>
        <v>#N/A</v>
      </c>
      <c r="N3791" s="4" t="e">
        <f t="shared" si="778"/>
        <v>#N/A</v>
      </c>
    </row>
    <row r="3792" spans="1:14">
      <c r="A3792">
        <f t="shared" si="779"/>
        <v>0</v>
      </c>
      <c r="B3792">
        <f t="shared" si="780"/>
        <v>0</v>
      </c>
      <c r="C3792">
        <f t="shared" si="781"/>
        <v>0</v>
      </c>
      <c r="D3792">
        <f t="shared" si="782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3"/>
        <v>0</v>
      </c>
      <c r="G3792">
        <f t="shared" si="784"/>
        <v>0</v>
      </c>
      <c r="H3792">
        <f t="shared" si="785"/>
        <v>0</v>
      </c>
      <c r="I3792">
        <f t="shared" si="786"/>
        <v>0</v>
      </c>
      <c r="J3792">
        <f t="shared" si="787"/>
        <v>0</v>
      </c>
      <c r="K3792" s="4" t="e">
        <f t="shared" si="775"/>
        <v>#N/A</v>
      </c>
      <c r="L3792" t="e">
        <f t="shared" si="776"/>
        <v>#N/A</v>
      </c>
      <c r="M3792" s="4" t="e">
        <f t="shared" si="777"/>
        <v>#N/A</v>
      </c>
      <c r="N3792" s="4" t="e">
        <f t="shared" si="778"/>
        <v>#N/A</v>
      </c>
    </row>
    <row r="3793" spans="1:14">
      <c r="A3793">
        <f t="shared" si="779"/>
        <v>0</v>
      </c>
      <c r="B3793">
        <f t="shared" si="780"/>
        <v>0</v>
      </c>
      <c r="C3793">
        <f t="shared" si="781"/>
        <v>0</v>
      </c>
      <c r="D3793">
        <f t="shared" si="782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3"/>
        <v>0</v>
      </c>
      <c r="G3793">
        <f t="shared" si="784"/>
        <v>0</v>
      </c>
      <c r="H3793">
        <f t="shared" si="785"/>
        <v>0</v>
      </c>
      <c r="I3793">
        <f t="shared" si="786"/>
        <v>0</v>
      </c>
      <c r="J3793">
        <f t="shared" si="787"/>
        <v>0</v>
      </c>
      <c r="K3793" s="4" t="e">
        <f t="shared" si="775"/>
        <v>#N/A</v>
      </c>
      <c r="L3793" t="e">
        <f t="shared" si="776"/>
        <v>#N/A</v>
      </c>
      <c r="M3793" s="4" t="e">
        <f t="shared" si="777"/>
        <v>#N/A</v>
      </c>
      <c r="N3793" s="4" t="e">
        <f t="shared" si="778"/>
        <v>#N/A</v>
      </c>
    </row>
    <row r="3794" spans="1:14">
      <c r="A3794">
        <f t="shared" si="779"/>
        <v>0</v>
      </c>
      <c r="B3794">
        <f t="shared" si="780"/>
        <v>0</v>
      </c>
      <c r="C3794">
        <f t="shared" si="781"/>
        <v>0</v>
      </c>
      <c r="D3794">
        <f t="shared" si="782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3"/>
        <v>0</v>
      </c>
      <c r="G3794">
        <f t="shared" si="784"/>
        <v>0</v>
      </c>
      <c r="H3794">
        <f t="shared" si="785"/>
        <v>0</v>
      </c>
      <c r="I3794">
        <f t="shared" si="786"/>
        <v>0</v>
      </c>
      <c r="J3794">
        <f t="shared" si="787"/>
        <v>0</v>
      </c>
      <c r="K3794" s="4" t="e">
        <f t="shared" si="775"/>
        <v>#N/A</v>
      </c>
      <c r="L3794" t="e">
        <f t="shared" si="776"/>
        <v>#N/A</v>
      </c>
      <c r="M3794" s="4" t="e">
        <f t="shared" si="777"/>
        <v>#N/A</v>
      </c>
      <c r="N3794" s="4" t="e">
        <f t="shared" si="778"/>
        <v>#N/A</v>
      </c>
    </row>
    <row r="3795" spans="1:14">
      <c r="A3795">
        <f t="shared" si="779"/>
        <v>0</v>
      </c>
      <c r="B3795">
        <f t="shared" si="780"/>
        <v>0</v>
      </c>
      <c r="C3795">
        <f t="shared" si="781"/>
        <v>0</v>
      </c>
      <c r="D3795">
        <f t="shared" si="782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3"/>
        <v>0</v>
      </c>
      <c r="G3795">
        <f t="shared" si="784"/>
        <v>0</v>
      </c>
      <c r="H3795">
        <f t="shared" si="785"/>
        <v>0</v>
      </c>
      <c r="I3795">
        <f t="shared" si="786"/>
        <v>0</v>
      </c>
      <c r="J3795">
        <f t="shared" si="787"/>
        <v>0</v>
      </c>
      <c r="K3795" s="4" t="e">
        <f t="shared" si="775"/>
        <v>#N/A</v>
      </c>
      <c r="L3795" t="e">
        <f t="shared" si="776"/>
        <v>#N/A</v>
      </c>
      <c r="M3795" s="4" t="e">
        <f t="shared" si="777"/>
        <v>#N/A</v>
      </c>
      <c r="N3795" s="4" t="e">
        <f t="shared" si="778"/>
        <v>#N/A</v>
      </c>
    </row>
    <row r="3796" spans="1:14">
      <c r="A3796">
        <f t="shared" si="779"/>
        <v>0</v>
      </c>
      <c r="B3796">
        <f t="shared" si="780"/>
        <v>0</v>
      </c>
      <c r="C3796">
        <f t="shared" si="781"/>
        <v>0</v>
      </c>
      <c r="D3796">
        <f t="shared" si="782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3"/>
        <v>0</v>
      </c>
      <c r="G3796">
        <f t="shared" si="784"/>
        <v>0</v>
      </c>
      <c r="H3796">
        <f t="shared" si="785"/>
        <v>0</v>
      </c>
      <c r="I3796">
        <f t="shared" si="786"/>
        <v>0</v>
      </c>
      <c r="J3796">
        <f t="shared" si="787"/>
        <v>0</v>
      </c>
      <c r="K3796" s="4" t="e">
        <f t="shared" si="775"/>
        <v>#N/A</v>
      </c>
      <c r="L3796" t="e">
        <f t="shared" si="776"/>
        <v>#N/A</v>
      </c>
      <c r="M3796" s="4" t="e">
        <f t="shared" si="777"/>
        <v>#N/A</v>
      </c>
      <c r="N3796" s="4" t="e">
        <f t="shared" si="778"/>
        <v>#N/A</v>
      </c>
    </row>
    <row r="3797" spans="1:14">
      <c r="A3797">
        <f t="shared" si="779"/>
        <v>0</v>
      </c>
      <c r="B3797">
        <f t="shared" si="780"/>
        <v>0</v>
      </c>
      <c r="C3797">
        <f t="shared" si="781"/>
        <v>0</v>
      </c>
      <c r="D3797">
        <f t="shared" si="782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3"/>
        <v>0</v>
      </c>
      <c r="G3797">
        <f t="shared" si="784"/>
        <v>0</v>
      </c>
      <c r="H3797">
        <f t="shared" si="785"/>
        <v>0</v>
      </c>
      <c r="I3797">
        <f t="shared" si="786"/>
        <v>0</v>
      </c>
      <c r="J3797">
        <f t="shared" si="787"/>
        <v>0</v>
      </c>
      <c r="K3797" s="4" t="e">
        <f t="shared" si="775"/>
        <v>#N/A</v>
      </c>
      <c r="L3797" t="e">
        <f t="shared" si="776"/>
        <v>#N/A</v>
      </c>
      <c r="M3797" s="4" t="e">
        <f t="shared" si="777"/>
        <v>#N/A</v>
      </c>
      <c r="N3797" s="4" t="e">
        <f t="shared" si="778"/>
        <v>#N/A</v>
      </c>
    </row>
    <row r="3798" spans="1:14">
      <c r="A3798">
        <f t="shared" si="779"/>
        <v>0</v>
      </c>
      <c r="B3798">
        <f t="shared" si="780"/>
        <v>0</v>
      </c>
      <c r="C3798">
        <f t="shared" si="781"/>
        <v>0</v>
      </c>
      <c r="D3798">
        <f t="shared" si="782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3"/>
        <v>0</v>
      </c>
      <c r="G3798">
        <f t="shared" si="784"/>
        <v>0</v>
      </c>
      <c r="H3798">
        <f t="shared" si="785"/>
        <v>0</v>
      </c>
      <c r="I3798">
        <f t="shared" si="786"/>
        <v>0</v>
      </c>
      <c r="J3798">
        <f t="shared" si="787"/>
        <v>0</v>
      </c>
      <c r="K3798" s="4" t="e">
        <f t="shared" si="775"/>
        <v>#N/A</v>
      </c>
      <c r="L3798" t="e">
        <f t="shared" si="776"/>
        <v>#N/A</v>
      </c>
      <c r="M3798" s="4" t="e">
        <f t="shared" si="777"/>
        <v>#N/A</v>
      </c>
      <c r="N3798" s="4" t="e">
        <f t="shared" si="778"/>
        <v>#N/A</v>
      </c>
    </row>
    <row r="3799" spans="1:14">
      <c r="A3799">
        <f t="shared" si="779"/>
        <v>0</v>
      </c>
      <c r="B3799">
        <f t="shared" si="780"/>
        <v>0</v>
      </c>
      <c r="C3799">
        <f t="shared" si="781"/>
        <v>0</v>
      </c>
      <c r="D3799">
        <f t="shared" si="782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3"/>
        <v>0</v>
      </c>
      <c r="G3799">
        <f t="shared" si="784"/>
        <v>0</v>
      </c>
      <c r="H3799">
        <f t="shared" si="785"/>
        <v>0</v>
      </c>
      <c r="I3799">
        <f t="shared" si="786"/>
        <v>0</v>
      </c>
      <c r="J3799">
        <f t="shared" si="787"/>
        <v>0</v>
      </c>
      <c r="K3799" s="4" t="e">
        <f t="shared" si="775"/>
        <v>#N/A</v>
      </c>
      <c r="L3799" t="e">
        <f t="shared" si="776"/>
        <v>#N/A</v>
      </c>
      <c r="M3799" s="4" t="e">
        <f t="shared" si="777"/>
        <v>#N/A</v>
      </c>
      <c r="N3799" s="4" t="e">
        <f t="shared" si="778"/>
        <v>#N/A</v>
      </c>
    </row>
    <row r="3800" spans="1:14">
      <c r="A3800">
        <f t="shared" si="779"/>
        <v>0</v>
      </c>
      <c r="B3800">
        <f t="shared" si="780"/>
        <v>0</v>
      </c>
      <c r="C3800">
        <f t="shared" si="781"/>
        <v>0</v>
      </c>
      <c r="D3800">
        <f t="shared" si="782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3"/>
        <v>0</v>
      </c>
      <c r="G3800">
        <f t="shared" si="784"/>
        <v>0</v>
      </c>
      <c r="H3800">
        <f t="shared" si="785"/>
        <v>0</v>
      </c>
      <c r="I3800">
        <f t="shared" si="786"/>
        <v>0</v>
      </c>
      <c r="J3800">
        <f t="shared" si="787"/>
        <v>0</v>
      </c>
      <c r="K3800" s="4" t="e">
        <f t="shared" si="775"/>
        <v>#N/A</v>
      </c>
      <c r="L3800" t="e">
        <f t="shared" si="776"/>
        <v>#N/A</v>
      </c>
      <c r="M3800" s="4" t="e">
        <f t="shared" si="777"/>
        <v>#N/A</v>
      </c>
      <c r="N3800" s="4" t="e">
        <f t="shared" si="778"/>
        <v>#N/A</v>
      </c>
    </row>
    <row r="3801" spans="1:14">
      <c r="A3801">
        <f t="shared" si="779"/>
        <v>0</v>
      </c>
      <c r="B3801">
        <f t="shared" si="780"/>
        <v>0</v>
      </c>
      <c r="C3801">
        <f t="shared" si="781"/>
        <v>0</v>
      </c>
      <c r="D3801">
        <f t="shared" si="782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3"/>
        <v>0</v>
      </c>
      <c r="G3801">
        <f t="shared" si="784"/>
        <v>0</v>
      </c>
      <c r="H3801">
        <f t="shared" si="785"/>
        <v>0</v>
      </c>
      <c r="I3801">
        <f t="shared" si="786"/>
        <v>0</v>
      </c>
      <c r="J3801">
        <f t="shared" si="787"/>
        <v>0</v>
      </c>
      <c r="K3801" s="4" t="e">
        <f t="shared" si="775"/>
        <v>#N/A</v>
      </c>
      <c r="L3801" t="e">
        <f t="shared" si="776"/>
        <v>#N/A</v>
      </c>
      <c r="M3801" s="4" t="e">
        <f t="shared" si="777"/>
        <v>#N/A</v>
      </c>
      <c r="N3801" s="4" t="e">
        <f t="shared" si="778"/>
        <v>#N/A</v>
      </c>
    </row>
    <row r="3802" spans="1:14">
      <c r="A3802">
        <f t="shared" si="779"/>
        <v>0</v>
      </c>
      <c r="B3802">
        <f t="shared" si="780"/>
        <v>0</v>
      </c>
      <c r="C3802">
        <f t="shared" si="781"/>
        <v>0</v>
      </c>
      <c r="D3802">
        <f t="shared" si="782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3"/>
        <v>0</v>
      </c>
      <c r="G3802">
        <f t="shared" si="784"/>
        <v>0</v>
      </c>
      <c r="H3802">
        <f t="shared" si="785"/>
        <v>0</v>
      </c>
      <c r="I3802">
        <f t="shared" si="786"/>
        <v>0</v>
      </c>
      <c r="J3802">
        <f t="shared" si="787"/>
        <v>0</v>
      </c>
      <c r="K3802" s="4" t="e">
        <f t="shared" si="775"/>
        <v>#N/A</v>
      </c>
      <c r="L3802" t="e">
        <f t="shared" si="776"/>
        <v>#N/A</v>
      </c>
      <c r="M3802" s="4" t="e">
        <f t="shared" si="777"/>
        <v>#N/A</v>
      </c>
      <c r="N3802" s="4" t="e">
        <f t="shared" si="778"/>
        <v>#N/A</v>
      </c>
    </row>
    <row r="3803" spans="1:14">
      <c r="A3803">
        <f t="shared" si="779"/>
        <v>0</v>
      </c>
      <c r="B3803">
        <f t="shared" si="780"/>
        <v>0</v>
      </c>
      <c r="C3803">
        <f t="shared" si="781"/>
        <v>0</v>
      </c>
      <c r="D3803">
        <f t="shared" si="782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3"/>
        <v>0</v>
      </c>
      <c r="G3803">
        <f t="shared" si="784"/>
        <v>0</v>
      </c>
      <c r="H3803">
        <f t="shared" si="785"/>
        <v>0</v>
      </c>
      <c r="I3803">
        <f t="shared" si="786"/>
        <v>0</v>
      </c>
      <c r="J3803">
        <f t="shared" si="787"/>
        <v>0</v>
      </c>
      <c r="K3803" s="4" t="e">
        <f t="shared" si="775"/>
        <v>#N/A</v>
      </c>
      <c r="L3803" t="e">
        <f t="shared" si="776"/>
        <v>#N/A</v>
      </c>
      <c r="M3803" s="4" t="e">
        <f t="shared" si="777"/>
        <v>#N/A</v>
      </c>
      <c r="N3803" s="4" t="e">
        <f t="shared" si="778"/>
        <v>#N/A</v>
      </c>
    </row>
    <row r="3804" spans="1:14">
      <c r="A3804">
        <f t="shared" si="779"/>
        <v>0</v>
      </c>
      <c r="B3804">
        <f t="shared" si="780"/>
        <v>0</v>
      </c>
      <c r="C3804">
        <f t="shared" si="781"/>
        <v>0</v>
      </c>
      <c r="D3804">
        <f t="shared" si="782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3"/>
        <v>0</v>
      </c>
      <c r="G3804">
        <f t="shared" si="784"/>
        <v>0</v>
      </c>
      <c r="H3804">
        <f t="shared" si="785"/>
        <v>0</v>
      </c>
      <c r="I3804">
        <f t="shared" si="786"/>
        <v>0</v>
      </c>
      <c r="J3804">
        <f t="shared" si="787"/>
        <v>0</v>
      </c>
      <c r="K3804" s="4" t="e">
        <f t="shared" si="775"/>
        <v>#N/A</v>
      </c>
      <c r="L3804" t="e">
        <f t="shared" si="776"/>
        <v>#N/A</v>
      </c>
      <c r="M3804" s="4" t="e">
        <f t="shared" si="777"/>
        <v>#N/A</v>
      </c>
      <c r="N3804" s="4" t="e">
        <f t="shared" si="778"/>
        <v>#N/A</v>
      </c>
    </row>
    <row r="3805" spans="1:14">
      <c r="A3805">
        <f t="shared" si="779"/>
        <v>0</v>
      </c>
      <c r="B3805">
        <f t="shared" si="780"/>
        <v>0</v>
      </c>
      <c r="C3805">
        <f t="shared" si="781"/>
        <v>0</v>
      </c>
      <c r="D3805">
        <f t="shared" si="782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3"/>
        <v>0</v>
      </c>
      <c r="G3805">
        <f t="shared" si="784"/>
        <v>0</v>
      </c>
      <c r="H3805">
        <f t="shared" si="785"/>
        <v>0</v>
      </c>
      <c r="I3805">
        <f t="shared" si="786"/>
        <v>0</v>
      </c>
      <c r="J3805">
        <f t="shared" si="787"/>
        <v>0</v>
      </c>
      <c r="K3805" s="4" t="e">
        <f t="shared" si="775"/>
        <v>#N/A</v>
      </c>
      <c r="L3805" t="e">
        <f t="shared" si="776"/>
        <v>#N/A</v>
      </c>
      <c r="M3805" s="4" t="e">
        <f t="shared" si="777"/>
        <v>#N/A</v>
      </c>
      <c r="N3805" s="4" t="e">
        <f t="shared" si="778"/>
        <v>#N/A</v>
      </c>
    </row>
    <row r="3806" spans="1:14">
      <c r="A3806">
        <f t="shared" si="779"/>
        <v>0</v>
      </c>
      <c r="B3806">
        <f t="shared" si="780"/>
        <v>0</v>
      </c>
      <c r="C3806">
        <f t="shared" si="781"/>
        <v>0</v>
      </c>
      <c r="D3806">
        <f t="shared" si="782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3"/>
        <v>0</v>
      </c>
      <c r="G3806">
        <f t="shared" si="784"/>
        <v>0</v>
      </c>
      <c r="H3806">
        <f t="shared" si="785"/>
        <v>0</v>
      </c>
      <c r="I3806">
        <f t="shared" si="786"/>
        <v>0</v>
      </c>
      <c r="J3806">
        <f t="shared" si="787"/>
        <v>0</v>
      </c>
      <c r="K3806" s="4" t="e">
        <f t="shared" si="775"/>
        <v>#N/A</v>
      </c>
      <c r="L3806" t="e">
        <f t="shared" si="776"/>
        <v>#N/A</v>
      </c>
      <c r="M3806" s="4" t="e">
        <f t="shared" si="777"/>
        <v>#N/A</v>
      </c>
      <c r="N3806" s="4" t="e">
        <f t="shared" si="778"/>
        <v>#N/A</v>
      </c>
    </row>
    <row r="3807" spans="1:14">
      <c r="A3807">
        <f t="shared" si="779"/>
        <v>0</v>
      </c>
      <c r="B3807">
        <f t="shared" si="780"/>
        <v>0</v>
      </c>
      <c r="C3807">
        <f t="shared" si="781"/>
        <v>0</v>
      </c>
      <c r="D3807">
        <f t="shared" si="782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3"/>
        <v>0</v>
      </c>
      <c r="G3807">
        <f t="shared" si="784"/>
        <v>0</v>
      </c>
      <c r="H3807">
        <f t="shared" si="785"/>
        <v>0</v>
      </c>
      <c r="I3807">
        <f t="shared" si="786"/>
        <v>0</v>
      </c>
      <c r="J3807">
        <f t="shared" si="787"/>
        <v>0</v>
      </c>
      <c r="K3807" s="4" t="e">
        <f t="shared" si="775"/>
        <v>#N/A</v>
      </c>
      <c r="L3807" t="e">
        <f t="shared" si="776"/>
        <v>#N/A</v>
      </c>
      <c r="M3807" s="4" t="e">
        <f t="shared" si="777"/>
        <v>#N/A</v>
      </c>
      <c r="N3807" s="4" t="e">
        <f t="shared" si="778"/>
        <v>#N/A</v>
      </c>
    </row>
    <row r="3808" spans="1:14">
      <c r="A3808">
        <f t="shared" si="779"/>
        <v>0</v>
      </c>
      <c r="B3808">
        <f t="shared" si="780"/>
        <v>0</v>
      </c>
      <c r="C3808">
        <f t="shared" si="781"/>
        <v>0</v>
      </c>
      <c r="D3808">
        <f t="shared" si="782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3"/>
        <v>0</v>
      </c>
      <c r="G3808">
        <f t="shared" si="784"/>
        <v>0</v>
      </c>
      <c r="H3808">
        <f t="shared" si="785"/>
        <v>0</v>
      </c>
      <c r="I3808">
        <f t="shared" si="786"/>
        <v>0</v>
      </c>
      <c r="J3808">
        <f t="shared" si="787"/>
        <v>0</v>
      </c>
      <c r="K3808" s="4" t="e">
        <f t="shared" si="775"/>
        <v>#N/A</v>
      </c>
      <c r="L3808" t="e">
        <f t="shared" si="776"/>
        <v>#N/A</v>
      </c>
      <c r="M3808" s="4" t="e">
        <f t="shared" si="777"/>
        <v>#N/A</v>
      </c>
      <c r="N3808" s="4" t="e">
        <f t="shared" si="778"/>
        <v>#N/A</v>
      </c>
    </row>
    <row r="3809" spans="1:14">
      <c r="A3809">
        <f t="shared" si="779"/>
        <v>0</v>
      </c>
      <c r="B3809">
        <f t="shared" si="780"/>
        <v>0</v>
      </c>
      <c r="C3809">
        <f t="shared" si="781"/>
        <v>0</v>
      </c>
      <c r="D3809">
        <f t="shared" si="782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3"/>
        <v>0</v>
      </c>
      <c r="G3809">
        <f t="shared" si="784"/>
        <v>0</v>
      </c>
      <c r="H3809">
        <f t="shared" si="785"/>
        <v>0</v>
      </c>
      <c r="I3809">
        <f t="shared" si="786"/>
        <v>0</v>
      </c>
      <c r="J3809">
        <f t="shared" si="787"/>
        <v>0</v>
      </c>
      <c r="K3809" s="4" t="e">
        <f t="shared" si="775"/>
        <v>#N/A</v>
      </c>
      <c r="L3809" t="e">
        <f t="shared" si="776"/>
        <v>#N/A</v>
      </c>
      <c r="M3809" s="4" t="e">
        <f t="shared" si="777"/>
        <v>#N/A</v>
      </c>
      <c r="N3809" s="4" t="e">
        <f t="shared" si="778"/>
        <v>#N/A</v>
      </c>
    </row>
    <row r="3810" spans="1:14">
      <c r="A3810">
        <f t="shared" si="779"/>
        <v>0</v>
      </c>
      <c r="B3810">
        <f t="shared" si="780"/>
        <v>0</v>
      </c>
      <c r="C3810">
        <f t="shared" si="781"/>
        <v>0</v>
      </c>
      <c r="D3810">
        <f t="shared" si="782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3"/>
        <v>0</v>
      </c>
      <c r="G3810">
        <f t="shared" si="784"/>
        <v>0</v>
      </c>
      <c r="H3810">
        <f t="shared" si="785"/>
        <v>0</v>
      </c>
      <c r="I3810">
        <f t="shared" si="786"/>
        <v>0</v>
      </c>
      <c r="J3810">
        <f t="shared" si="787"/>
        <v>0</v>
      </c>
      <c r="K3810" s="4" t="e">
        <f t="shared" si="775"/>
        <v>#N/A</v>
      </c>
      <c r="L3810" t="e">
        <f t="shared" si="776"/>
        <v>#N/A</v>
      </c>
      <c r="M3810" s="4" t="e">
        <f t="shared" si="777"/>
        <v>#N/A</v>
      </c>
      <c r="N3810" s="4" t="e">
        <f t="shared" si="778"/>
        <v>#N/A</v>
      </c>
    </row>
    <row r="3811" spans="1:14">
      <c r="A3811">
        <f t="shared" si="779"/>
        <v>0</v>
      </c>
      <c r="B3811">
        <f t="shared" si="780"/>
        <v>0</v>
      </c>
      <c r="C3811">
        <f t="shared" si="781"/>
        <v>0</v>
      </c>
      <c r="D3811">
        <f t="shared" si="782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3"/>
        <v>0</v>
      </c>
      <c r="G3811">
        <f t="shared" si="784"/>
        <v>0</v>
      </c>
      <c r="H3811">
        <f t="shared" si="785"/>
        <v>0</v>
      </c>
      <c r="I3811">
        <f t="shared" si="786"/>
        <v>0</v>
      </c>
      <c r="J3811">
        <f t="shared" si="787"/>
        <v>0</v>
      </c>
      <c r="K3811" s="4" t="e">
        <f t="shared" si="775"/>
        <v>#N/A</v>
      </c>
      <c r="L3811" t="e">
        <f t="shared" si="776"/>
        <v>#N/A</v>
      </c>
      <c r="M3811" s="4" t="e">
        <f t="shared" si="777"/>
        <v>#N/A</v>
      </c>
      <c r="N3811" s="4" t="e">
        <f t="shared" si="778"/>
        <v>#N/A</v>
      </c>
    </row>
    <row r="3812" spans="1:14">
      <c r="A3812">
        <f t="shared" si="779"/>
        <v>0</v>
      </c>
      <c r="B3812">
        <f t="shared" si="780"/>
        <v>0</v>
      </c>
      <c r="C3812">
        <f t="shared" si="781"/>
        <v>0</v>
      </c>
      <c r="D3812">
        <f t="shared" si="782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3"/>
        <v>0</v>
      </c>
      <c r="G3812">
        <f t="shared" si="784"/>
        <v>0</v>
      </c>
      <c r="H3812">
        <f t="shared" si="785"/>
        <v>0</v>
      </c>
      <c r="I3812">
        <f t="shared" si="786"/>
        <v>0</v>
      </c>
      <c r="J3812">
        <f t="shared" si="787"/>
        <v>0</v>
      </c>
      <c r="K3812" s="4" t="e">
        <f t="shared" si="775"/>
        <v>#N/A</v>
      </c>
      <c r="L3812" t="e">
        <f t="shared" si="776"/>
        <v>#N/A</v>
      </c>
      <c r="M3812" s="4" t="e">
        <f t="shared" si="777"/>
        <v>#N/A</v>
      </c>
      <c r="N3812" s="4" t="e">
        <f t="shared" si="778"/>
        <v>#N/A</v>
      </c>
    </row>
    <row r="3813" spans="1:14">
      <c r="A3813">
        <f t="shared" si="779"/>
        <v>0</v>
      </c>
      <c r="B3813">
        <f t="shared" si="780"/>
        <v>0</v>
      </c>
      <c r="C3813">
        <f t="shared" si="781"/>
        <v>0</v>
      </c>
      <c r="D3813">
        <f t="shared" si="782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3"/>
        <v>0</v>
      </c>
      <c r="G3813">
        <f t="shared" si="784"/>
        <v>0</v>
      </c>
      <c r="H3813">
        <f t="shared" si="785"/>
        <v>0</v>
      </c>
      <c r="I3813">
        <f t="shared" si="786"/>
        <v>0</v>
      </c>
      <c r="J3813">
        <f t="shared" si="787"/>
        <v>0</v>
      </c>
      <c r="K3813" s="4" t="e">
        <f t="shared" si="775"/>
        <v>#N/A</v>
      </c>
      <c r="L3813" t="e">
        <f t="shared" si="776"/>
        <v>#N/A</v>
      </c>
      <c r="M3813" s="4" t="e">
        <f t="shared" si="777"/>
        <v>#N/A</v>
      </c>
      <c r="N3813" s="4" t="e">
        <f t="shared" si="778"/>
        <v>#N/A</v>
      </c>
    </row>
    <row r="3814" spans="1:14">
      <c r="A3814">
        <f t="shared" si="779"/>
        <v>0</v>
      </c>
      <c r="B3814">
        <f t="shared" si="780"/>
        <v>0</v>
      </c>
      <c r="C3814">
        <f t="shared" si="781"/>
        <v>0</v>
      </c>
      <c r="D3814">
        <f t="shared" si="782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3"/>
        <v>0</v>
      </c>
      <c r="G3814">
        <f t="shared" si="784"/>
        <v>0</v>
      </c>
      <c r="H3814">
        <f t="shared" si="785"/>
        <v>0</v>
      </c>
      <c r="I3814">
        <f t="shared" si="786"/>
        <v>0</v>
      </c>
      <c r="J3814">
        <f t="shared" si="787"/>
        <v>0</v>
      </c>
      <c r="K3814" s="4" t="e">
        <f t="shared" si="775"/>
        <v>#N/A</v>
      </c>
      <c r="L3814" t="e">
        <f t="shared" si="776"/>
        <v>#N/A</v>
      </c>
      <c r="M3814" s="4" t="e">
        <f t="shared" si="777"/>
        <v>#N/A</v>
      </c>
      <c r="N3814" s="4" t="e">
        <f t="shared" si="778"/>
        <v>#N/A</v>
      </c>
    </row>
    <row r="3815" spans="1:14">
      <c r="A3815">
        <f t="shared" si="779"/>
        <v>0</v>
      </c>
      <c r="B3815">
        <f t="shared" si="780"/>
        <v>0</v>
      </c>
      <c r="C3815">
        <f t="shared" si="781"/>
        <v>0</v>
      </c>
      <c r="D3815">
        <f t="shared" si="782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3"/>
        <v>0</v>
      </c>
      <c r="G3815">
        <f t="shared" si="784"/>
        <v>0</v>
      </c>
      <c r="H3815">
        <f t="shared" si="785"/>
        <v>0</v>
      </c>
      <c r="I3815">
        <f t="shared" si="786"/>
        <v>0</v>
      </c>
      <c r="J3815">
        <f t="shared" si="787"/>
        <v>0</v>
      </c>
      <c r="K3815" s="4" t="e">
        <f t="shared" si="775"/>
        <v>#N/A</v>
      </c>
      <c r="L3815" t="e">
        <f t="shared" si="776"/>
        <v>#N/A</v>
      </c>
      <c r="M3815" s="4" t="e">
        <f t="shared" si="777"/>
        <v>#N/A</v>
      </c>
      <c r="N3815" s="4" t="e">
        <f t="shared" si="778"/>
        <v>#N/A</v>
      </c>
    </row>
    <row r="3816" spans="1:14">
      <c r="A3816">
        <f t="shared" si="779"/>
        <v>0</v>
      </c>
      <c r="B3816">
        <f t="shared" si="780"/>
        <v>0</v>
      </c>
      <c r="C3816">
        <f t="shared" si="781"/>
        <v>0</v>
      </c>
      <c r="D3816">
        <f t="shared" si="782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3"/>
        <v>0</v>
      </c>
      <c r="G3816">
        <f t="shared" si="784"/>
        <v>0</v>
      </c>
      <c r="H3816">
        <f t="shared" si="785"/>
        <v>0</v>
      </c>
      <c r="I3816">
        <f t="shared" si="786"/>
        <v>0</v>
      </c>
      <c r="J3816">
        <f t="shared" si="787"/>
        <v>0</v>
      </c>
      <c r="K3816" s="4" t="e">
        <f t="shared" si="775"/>
        <v>#N/A</v>
      </c>
      <c r="L3816" t="e">
        <f t="shared" si="776"/>
        <v>#N/A</v>
      </c>
      <c r="M3816" s="4" t="e">
        <f t="shared" si="777"/>
        <v>#N/A</v>
      </c>
      <c r="N3816" s="4" t="e">
        <f t="shared" si="778"/>
        <v>#N/A</v>
      </c>
    </row>
    <row r="3817" spans="1:14">
      <c r="A3817">
        <f t="shared" si="779"/>
        <v>0</v>
      </c>
      <c r="B3817">
        <f t="shared" si="780"/>
        <v>0</v>
      </c>
      <c r="C3817">
        <f t="shared" si="781"/>
        <v>0</v>
      </c>
      <c r="D3817">
        <f t="shared" si="782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3"/>
        <v>0</v>
      </c>
      <c r="G3817">
        <f t="shared" si="784"/>
        <v>0</v>
      </c>
      <c r="H3817">
        <f t="shared" si="785"/>
        <v>0</v>
      </c>
      <c r="I3817">
        <f t="shared" si="786"/>
        <v>0</v>
      </c>
      <c r="J3817">
        <f t="shared" si="787"/>
        <v>0</v>
      </c>
      <c r="K3817" s="4" t="e">
        <f t="shared" si="775"/>
        <v>#N/A</v>
      </c>
      <c r="L3817" t="e">
        <f t="shared" si="776"/>
        <v>#N/A</v>
      </c>
      <c r="M3817" s="4" t="e">
        <f t="shared" si="777"/>
        <v>#N/A</v>
      </c>
      <c r="N3817" s="4" t="e">
        <f t="shared" si="778"/>
        <v>#N/A</v>
      </c>
    </row>
    <row r="3818" spans="1:14">
      <c r="A3818">
        <f t="shared" si="779"/>
        <v>0</v>
      </c>
      <c r="B3818">
        <f t="shared" si="780"/>
        <v>0</v>
      </c>
      <c r="C3818">
        <f t="shared" si="781"/>
        <v>0</v>
      </c>
      <c r="D3818">
        <f t="shared" si="782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3"/>
        <v>0</v>
      </c>
      <c r="G3818">
        <f t="shared" si="784"/>
        <v>0</v>
      </c>
      <c r="H3818">
        <f t="shared" si="785"/>
        <v>0</v>
      </c>
      <c r="I3818">
        <f t="shared" si="786"/>
        <v>0</v>
      </c>
      <c r="J3818">
        <f t="shared" si="787"/>
        <v>0</v>
      </c>
      <c r="K3818" s="4" t="e">
        <f t="shared" si="775"/>
        <v>#N/A</v>
      </c>
      <c r="L3818" t="e">
        <f t="shared" si="776"/>
        <v>#N/A</v>
      </c>
      <c r="M3818" s="4" t="e">
        <f t="shared" si="777"/>
        <v>#N/A</v>
      </c>
      <c r="N3818" s="4" t="e">
        <f t="shared" si="778"/>
        <v>#N/A</v>
      </c>
    </row>
    <row r="3819" spans="1:14">
      <c r="A3819">
        <f t="shared" si="779"/>
        <v>0</v>
      </c>
      <c r="B3819">
        <f t="shared" si="780"/>
        <v>0</v>
      </c>
      <c r="C3819">
        <f t="shared" si="781"/>
        <v>0</v>
      </c>
      <c r="D3819">
        <f t="shared" si="782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3"/>
        <v>0</v>
      </c>
      <c r="G3819">
        <f t="shared" si="784"/>
        <v>0</v>
      </c>
      <c r="H3819">
        <f t="shared" si="785"/>
        <v>0</v>
      </c>
      <c r="I3819">
        <f t="shared" si="786"/>
        <v>0</v>
      </c>
      <c r="J3819">
        <f t="shared" si="787"/>
        <v>0</v>
      </c>
      <c r="K3819" s="4" t="e">
        <f t="shared" si="775"/>
        <v>#N/A</v>
      </c>
      <c r="L3819" t="e">
        <f t="shared" si="776"/>
        <v>#N/A</v>
      </c>
      <c r="M3819" s="4" t="e">
        <f t="shared" si="777"/>
        <v>#N/A</v>
      </c>
      <c r="N3819" s="4" t="e">
        <f t="shared" si="778"/>
        <v>#N/A</v>
      </c>
    </row>
    <row r="3820" spans="1:14">
      <c r="A3820">
        <f t="shared" si="779"/>
        <v>0</v>
      </c>
      <c r="B3820">
        <f t="shared" si="780"/>
        <v>0</v>
      </c>
      <c r="C3820">
        <f t="shared" si="781"/>
        <v>0</v>
      </c>
      <c r="D3820">
        <f t="shared" si="782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3"/>
        <v>0</v>
      </c>
      <c r="G3820">
        <f t="shared" si="784"/>
        <v>0</v>
      </c>
      <c r="H3820">
        <f t="shared" si="785"/>
        <v>0</v>
      </c>
      <c r="I3820">
        <f t="shared" si="786"/>
        <v>0</v>
      </c>
      <c r="J3820">
        <f t="shared" si="787"/>
        <v>0</v>
      </c>
      <c r="K3820" s="4" t="e">
        <f t="shared" si="775"/>
        <v>#N/A</v>
      </c>
      <c r="L3820" t="e">
        <f t="shared" si="776"/>
        <v>#N/A</v>
      </c>
      <c r="M3820" s="4" t="e">
        <f t="shared" si="777"/>
        <v>#N/A</v>
      </c>
      <c r="N3820" s="4" t="e">
        <f t="shared" si="778"/>
        <v>#N/A</v>
      </c>
    </row>
    <row r="3821" spans="1:14">
      <c r="A3821">
        <f t="shared" si="779"/>
        <v>0</v>
      </c>
      <c r="B3821">
        <f t="shared" si="780"/>
        <v>0</v>
      </c>
      <c r="C3821">
        <f t="shared" si="781"/>
        <v>0</v>
      </c>
      <c r="D3821">
        <f t="shared" si="782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3"/>
        <v>0</v>
      </c>
      <c r="G3821">
        <f t="shared" si="784"/>
        <v>0</v>
      </c>
      <c r="H3821">
        <f t="shared" si="785"/>
        <v>0</v>
      </c>
      <c r="I3821">
        <f t="shared" si="786"/>
        <v>0</v>
      </c>
      <c r="J3821">
        <f t="shared" si="787"/>
        <v>0</v>
      </c>
      <c r="K3821" s="4" t="e">
        <f t="shared" si="775"/>
        <v>#N/A</v>
      </c>
      <c r="L3821" t="e">
        <f t="shared" si="776"/>
        <v>#N/A</v>
      </c>
      <c r="M3821" s="4" t="e">
        <f t="shared" si="777"/>
        <v>#N/A</v>
      </c>
      <c r="N3821" s="4" t="e">
        <f t="shared" si="778"/>
        <v>#N/A</v>
      </c>
    </row>
    <row r="3822" spans="1:14">
      <c r="A3822">
        <f t="shared" si="779"/>
        <v>0</v>
      </c>
      <c r="B3822">
        <f t="shared" si="780"/>
        <v>0</v>
      </c>
      <c r="C3822">
        <f t="shared" si="781"/>
        <v>0</v>
      </c>
      <c r="D3822">
        <f t="shared" si="782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3"/>
        <v>0</v>
      </c>
      <c r="G3822">
        <f t="shared" si="784"/>
        <v>0</v>
      </c>
      <c r="H3822">
        <f t="shared" si="785"/>
        <v>0</v>
      </c>
      <c r="I3822">
        <f t="shared" si="786"/>
        <v>0</v>
      </c>
      <c r="J3822">
        <f t="shared" si="787"/>
        <v>0</v>
      </c>
      <c r="K3822" s="4" t="e">
        <f t="shared" si="775"/>
        <v>#N/A</v>
      </c>
      <c r="L3822" t="e">
        <f t="shared" si="776"/>
        <v>#N/A</v>
      </c>
      <c r="M3822" s="4" t="e">
        <f t="shared" si="777"/>
        <v>#N/A</v>
      </c>
      <c r="N3822" s="4" t="e">
        <f t="shared" si="778"/>
        <v>#N/A</v>
      </c>
    </row>
    <row r="3823" spans="1:14">
      <c r="A3823">
        <f t="shared" si="779"/>
        <v>0</v>
      </c>
      <c r="B3823">
        <f t="shared" si="780"/>
        <v>0</v>
      </c>
      <c r="C3823">
        <f t="shared" si="781"/>
        <v>0</v>
      </c>
      <c r="D3823">
        <f t="shared" si="782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3"/>
        <v>0</v>
      </c>
      <c r="G3823">
        <f t="shared" si="784"/>
        <v>0</v>
      </c>
      <c r="H3823">
        <f t="shared" si="785"/>
        <v>0</v>
      </c>
      <c r="I3823">
        <f t="shared" si="786"/>
        <v>0</v>
      </c>
      <c r="J3823">
        <f t="shared" si="787"/>
        <v>0</v>
      </c>
      <c r="K3823" s="4" t="e">
        <f t="shared" si="775"/>
        <v>#N/A</v>
      </c>
      <c r="L3823" t="e">
        <f t="shared" si="776"/>
        <v>#N/A</v>
      </c>
      <c r="M3823" s="4" t="e">
        <f t="shared" si="777"/>
        <v>#N/A</v>
      </c>
      <c r="N3823" s="4" t="e">
        <f t="shared" si="778"/>
        <v>#N/A</v>
      </c>
    </row>
    <row r="3824" spans="1:14">
      <c r="A3824">
        <f t="shared" si="779"/>
        <v>0</v>
      </c>
      <c r="B3824">
        <f t="shared" si="780"/>
        <v>0</v>
      </c>
      <c r="C3824">
        <f t="shared" si="781"/>
        <v>0</v>
      </c>
      <c r="D3824">
        <f t="shared" si="782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3"/>
        <v>0</v>
      </c>
      <c r="G3824">
        <f t="shared" si="784"/>
        <v>0</v>
      </c>
      <c r="H3824">
        <f t="shared" si="785"/>
        <v>0</v>
      </c>
      <c r="I3824">
        <f t="shared" si="786"/>
        <v>0</v>
      </c>
      <c r="J3824">
        <f t="shared" si="787"/>
        <v>0</v>
      </c>
      <c r="K3824" s="4" t="e">
        <f t="shared" si="775"/>
        <v>#N/A</v>
      </c>
      <c r="L3824" t="e">
        <f t="shared" si="776"/>
        <v>#N/A</v>
      </c>
      <c r="M3824" s="4" t="e">
        <f t="shared" si="777"/>
        <v>#N/A</v>
      </c>
      <c r="N3824" s="4" t="e">
        <f t="shared" si="778"/>
        <v>#N/A</v>
      </c>
    </row>
    <row r="3825" spans="1:14">
      <c r="A3825">
        <f t="shared" si="779"/>
        <v>0</v>
      </c>
      <c r="B3825">
        <f t="shared" si="780"/>
        <v>0</v>
      </c>
      <c r="C3825">
        <f t="shared" si="781"/>
        <v>0</v>
      </c>
      <c r="D3825">
        <f t="shared" si="782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3"/>
        <v>0</v>
      </c>
      <c r="G3825">
        <f t="shared" si="784"/>
        <v>0</v>
      </c>
      <c r="H3825">
        <f t="shared" si="785"/>
        <v>0</v>
      </c>
      <c r="I3825">
        <f t="shared" si="786"/>
        <v>0</v>
      </c>
      <c r="J3825">
        <f t="shared" si="787"/>
        <v>0</v>
      </c>
      <c r="K3825" s="4" t="e">
        <f t="shared" si="775"/>
        <v>#N/A</v>
      </c>
      <c r="L3825" t="e">
        <f t="shared" si="776"/>
        <v>#N/A</v>
      </c>
      <c r="M3825" s="4" t="e">
        <f t="shared" si="777"/>
        <v>#N/A</v>
      </c>
      <c r="N3825" s="4" t="e">
        <f t="shared" si="778"/>
        <v>#N/A</v>
      </c>
    </row>
    <row r="3826" spans="1:14">
      <c r="A3826">
        <f t="shared" si="779"/>
        <v>0</v>
      </c>
      <c r="B3826">
        <f t="shared" si="780"/>
        <v>0</v>
      </c>
      <c r="C3826">
        <f t="shared" si="781"/>
        <v>0</v>
      </c>
      <c r="D3826">
        <f t="shared" si="782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3"/>
        <v>0</v>
      </c>
      <c r="G3826">
        <f t="shared" si="784"/>
        <v>0</v>
      </c>
      <c r="H3826">
        <f t="shared" si="785"/>
        <v>0</v>
      </c>
      <c r="I3826">
        <f t="shared" si="786"/>
        <v>0</v>
      </c>
      <c r="J3826">
        <f t="shared" si="787"/>
        <v>0</v>
      </c>
      <c r="K3826" s="4" t="e">
        <f t="shared" si="775"/>
        <v>#N/A</v>
      </c>
      <c r="L3826" t="e">
        <f t="shared" si="776"/>
        <v>#N/A</v>
      </c>
      <c r="M3826" s="4" t="e">
        <f t="shared" si="777"/>
        <v>#N/A</v>
      </c>
      <c r="N3826" s="4" t="e">
        <f t="shared" si="778"/>
        <v>#N/A</v>
      </c>
    </row>
    <row r="3827" spans="1:14">
      <c r="A3827">
        <f t="shared" si="779"/>
        <v>0</v>
      </c>
      <c r="B3827">
        <f t="shared" si="780"/>
        <v>0</v>
      </c>
      <c r="C3827">
        <f t="shared" si="781"/>
        <v>0</v>
      </c>
      <c r="D3827">
        <f t="shared" si="782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3"/>
        <v>0</v>
      </c>
      <c r="G3827">
        <f t="shared" si="784"/>
        <v>0</v>
      </c>
      <c r="H3827">
        <f t="shared" si="785"/>
        <v>0</v>
      </c>
      <c r="I3827">
        <f t="shared" si="786"/>
        <v>0</v>
      </c>
      <c r="J3827">
        <f t="shared" si="787"/>
        <v>0</v>
      </c>
      <c r="K3827" s="4" t="e">
        <f t="shared" si="775"/>
        <v>#N/A</v>
      </c>
      <c r="L3827" t="e">
        <f t="shared" si="776"/>
        <v>#N/A</v>
      </c>
      <c r="M3827" s="4" t="e">
        <f t="shared" si="777"/>
        <v>#N/A</v>
      </c>
      <c r="N3827" s="4" t="e">
        <f t="shared" si="778"/>
        <v>#N/A</v>
      </c>
    </row>
    <row r="3828" spans="1:14">
      <c r="A3828">
        <f t="shared" si="779"/>
        <v>0</v>
      </c>
      <c r="B3828">
        <f t="shared" si="780"/>
        <v>0</v>
      </c>
      <c r="C3828">
        <f t="shared" si="781"/>
        <v>0</v>
      </c>
      <c r="D3828">
        <f t="shared" si="782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3"/>
        <v>0</v>
      </c>
      <c r="G3828">
        <f t="shared" si="784"/>
        <v>0</v>
      </c>
      <c r="H3828">
        <f t="shared" si="785"/>
        <v>0</v>
      </c>
      <c r="I3828">
        <f t="shared" si="786"/>
        <v>0</v>
      </c>
      <c r="J3828">
        <f t="shared" si="787"/>
        <v>0</v>
      </c>
      <c r="K3828" s="4" t="e">
        <f t="shared" si="775"/>
        <v>#N/A</v>
      </c>
      <c r="L3828" t="e">
        <f t="shared" si="776"/>
        <v>#N/A</v>
      </c>
      <c r="M3828" s="4" t="e">
        <f t="shared" si="777"/>
        <v>#N/A</v>
      </c>
      <c r="N3828" s="4" t="e">
        <f t="shared" si="778"/>
        <v>#N/A</v>
      </c>
    </row>
    <row r="3829" spans="1:14">
      <c r="A3829">
        <f t="shared" si="779"/>
        <v>0</v>
      </c>
      <c r="B3829">
        <f t="shared" si="780"/>
        <v>0</v>
      </c>
      <c r="C3829">
        <f t="shared" si="781"/>
        <v>0</v>
      </c>
      <c r="D3829">
        <f t="shared" si="782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3"/>
        <v>0</v>
      </c>
      <c r="G3829">
        <f t="shared" si="784"/>
        <v>0</v>
      </c>
      <c r="H3829">
        <f t="shared" si="785"/>
        <v>0</v>
      </c>
      <c r="I3829">
        <f t="shared" si="786"/>
        <v>0</v>
      </c>
      <c r="J3829">
        <f t="shared" si="787"/>
        <v>0</v>
      </c>
      <c r="K3829" s="4" t="e">
        <f t="shared" si="775"/>
        <v>#N/A</v>
      </c>
      <c r="L3829" t="e">
        <f t="shared" si="776"/>
        <v>#N/A</v>
      </c>
      <c r="M3829" s="4" t="e">
        <f t="shared" si="777"/>
        <v>#N/A</v>
      </c>
      <c r="N3829" s="4" t="e">
        <f t="shared" si="778"/>
        <v>#N/A</v>
      </c>
    </row>
    <row r="3830" spans="1:14">
      <c r="A3830">
        <f t="shared" si="779"/>
        <v>0</v>
      </c>
      <c r="B3830">
        <f t="shared" si="780"/>
        <v>0</v>
      </c>
      <c r="C3830">
        <f t="shared" si="781"/>
        <v>0</v>
      </c>
      <c r="D3830">
        <f t="shared" si="782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3"/>
        <v>0</v>
      </c>
      <c r="G3830">
        <f t="shared" si="784"/>
        <v>0</v>
      </c>
      <c r="H3830">
        <f t="shared" si="785"/>
        <v>0</v>
      </c>
      <c r="I3830">
        <f t="shared" si="786"/>
        <v>0</v>
      </c>
      <c r="J3830">
        <f t="shared" si="787"/>
        <v>0</v>
      </c>
      <c r="K3830" s="4" t="e">
        <f t="shared" si="775"/>
        <v>#N/A</v>
      </c>
      <c r="L3830" t="e">
        <f t="shared" si="776"/>
        <v>#N/A</v>
      </c>
      <c r="M3830" s="4" t="e">
        <f t="shared" si="777"/>
        <v>#N/A</v>
      </c>
      <c r="N3830" s="4" t="e">
        <f t="shared" si="778"/>
        <v>#N/A</v>
      </c>
    </row>
    <row r="3831" spans="1:14">
      <c r="A3831">
        <f t="shared" si="779"/>
        <v>0</v>
      </c>
      <c r="B3831">
        <f t="shared" si="780"/>
        <v>0</v>
      </c>
      <c r="C3831">
        <f t="shared" si="781"/>
        <v>0</v>
      </c>
      <c r="D3831">
        <f t="shared" si="782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3"/>
        <v>0</v>
      </c>
      <c r="G3831">
        <f t="shared" si="784"/>
        <v>0</v>
      </c>
      <c r="H3831">
        <f t="shared" si="785"/>
        <v>0</v>
      </c>
      <c r="I3831">
        <f t="shared" si="786"/>
        <v>0</v>
      </c>
      <c r="J3831">
        <f t="shared" si="787"/>
        <v>0</v>
      </c>
      <c r="K3831" s="4" t="e">
        <f t="shared" si="775"/>
        <v>#N/A</v>
      </c>
      <c r="L3831" t="e">
        <f t="shared" si="776"/>
        <v>#N/A</v>
      </c>
      <c r="M3831" s="4" t="e">
        <f t="shared" si="777"/>
        <v>#N/A</v>
      </c>
      <c r="N3831" s="4" t="e">
        <f t="shared" si="778"/>
        <v>#N/A</v>
      </c>
    </row>
    <row r="3832" spans="1:14">
      <c r="A3832">
        <f t="shared" si="779"/>
        <v>0</v>
      </c>
      <c r="B3832">
        <f t="shared" si="780"/>
        <v>0</v>
      </c>
      <c r="C3832">
        <f t="shared" si="781"/>
        <v>0</v>
      </c>
      <c r="D3832">
        <f t="shared" si="782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3"/>
        <v>0</v>
      </c>
      <c r="G3832">
        <f t="shared" si="784"/>
        <v>0</v>
      </c>
      <c r="H3832">
        <f t="shared" si="785"/>
        <v>0</v>
      </c>
      <c r="I3832">
        <f t="shared" si="786"/>
        <v>0</v>
      </c>
      <c r="J3832">
        <f t="shared" si="787"/>
        <v>0</v>
      </c>
      <c r="K3832" s="4" t="e">
        <f t="shared" si="775"/>
        <v>#N/A</v>
      </c>
      <c r="L3832" t="e">
        <f t="shared" si="776"/>
        <v>#N/A</v>
      </c>
      <c r="M3832" s="4" t="e">
        <f t="shared" si="777"/>
        <v>#N/A</v>
      </c>
      <c r="N3832" s="4" t="e">
        <f t="shared" si="778"/>
        <v>#N/A</v>
      </c>
    </row>
    <row r="3833" spans="1:14">
      <c r="A3833">
        <f t="shared" si="779"/>
        <v>0</v>
      </c>
      <c r="B3833">
        <f t="shared" si="780"/>
        <v>0</v>
      </c>
      <c r="C3833">
        <f t="shared" si="781"/>
        <v>0</v>
      </c>
      <c r="D3833">
        <f t="shared" si="782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3"/>
        <v>0</v>
      </c>
      <c r="G3833">
        <f t="shared" si="784"/>
        <v>0</v>
      </c>
      <c r="H3833">
        <f t="shared" si="785"/>
        <v>0</v>
      </c>
      <c r="I3833">
        <f t="shared" si="786"/>
        <v>0</v>
      </c>
      <c r="J3833">
        <f t="shared" si="787"/>
        <v>0</v>
      </c>
      <c r="K3833" s="4" t="e">
        <f t="shared" si="775"/>
        <v>#N/A</v>
      </c>
      <c r="L3833" t="e">
        <f t="shared" si="776"/>
        <v>#N/A</v>
      </c>
      <c r="M3833" s="4" t="e">
        <f t="shared" si="777"/>
        <v>#N/A</v>
      </c>
      <c r="N3833" s="4" t="e">
        <f t="shared" si="778"/>
        <v>#N/A</v>
      </c>
    </row>
    <row r="3834" spans="1:14">
      <c r="A3834">
        <f t="shared" si="779"/>
        <v>0</v>
      </c>
      <c r="B3834">
        <f t="shared" si="780"/>
        <v>0</v>
      </c>
      <c r="C3834">
        <f t="shared" si="781"/>
        <v>0</v>
      </c>
      <c r="D3834">
        <f t="shared" si="782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3"/>
        <v>0</v>
      </c>
      <c r="G3834">
        <f t="shared" si="784"/>
        <v>0</v>
      </c>
      <c r="H3834">
        <f t="shared" si="785"/>
        <v>0</v>
      </c>
      <c r="I3834">
        <f t="shared" si="786"/>
        <v>0</v>
      </c>
      <c r="J3834">
        <f t="shared" si="787"/>
        <v>0</v>
      </c>
      <c r="K3834" s="4" t="e">
        <f t="shared" si="775"/>
        <v>#N/A</v>
      </c>
      <c r="L3834" t="e">
        <f t="shared" si="776"/>
        <v>#N/A</v>
      </c>
      <c r="M3834" s="4" t="e">
        <f t="shared" si="777"/>
        <v>#N/A</v>
      </c>
      <c r="N3834" s="4" t="e">
        <f t="shared" si="778"/>
        <v>#N/A</v>
      </c>
    </row>
    <row r="3835" spans="1:14">
      <c r="A3835">
        <f t="shared" si="779"/>
        <v>0</v>
      </c>
      <c r="B3835">
        <f t="shared" si="780"/>
        <v>0</v>
      </c>
      <c r="C3835">
        <f t="shared" si="781"/>
        <v>0</v>
      </c>
      <c r="D3835">
        <f t="shared" si="782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3"/>
        <v>0</v>
      </c>
      <c r="G3835">
        <f t="shared" si="784"/>
        <v>0</v>
      </c>
      <c r="H3835">
        <f t="shared" si="785"/>
        <v>0</v>
      </c>
      <c r="I3835">
        <f t="shared" si="786"/>
        <v>0</v>
      </c>
      <c r="J3835">
        <f t="shared" si="787"/>
        <v>0</v>
      </c>
      <c r="K3835" s="4" t="e">
        <f t="shared" si="775"/>
        <v>#N/A</v>
      </c>
      <c r="L3835" t="e">
        <f t="shared" si="776"/>
        <v>#N/A</v>
      </c>
      <c r="M3835" s="4" t="e">
        <f t="shared" si="777"/>
        <v>#N/A</v>
      </c>
      <c r="N3835" s="4" t="e">
        <f t="shared" si="778"/>
        <v>#N/A</v>
      </c>
    </row>
    <row r="3836" spans="1:14">
      <c r="A3836">
        <f t="shared" si="779"/>
        <v>0</v>
      </c>
      <c r="B3836">
        <f t="shared" si="780"/>
        <v>0</v>
      </c>
      <c r="C3836">
        <f t="shared" si="781"/>
        <v>0</v>
      </c>
      <c r="D3836">
        <f t="shared" si="782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3"/>
        <v>0</v>
      </c>
      <c r="G3836">
        <f t="shared" si="784"/>
        <v>0</v>
      </c>
      <c r="H3836">
        <f t="shared" si="785"/>
        <v>0</v>
      </c>
      <c r="I3836">
        <f t="shared" si="786"/>
        <v>0</v>
      </c>
      <c r="J3836">
        <f t="shared" si="787"/>
        <v>0</v>
      </c>
      <c r="K3836" s="4" t="e">
        <f t="shared" si="775"/>
        <v>#N/A</v>
      </c>
      <c r="L3836" t="e">
        <f t="shared" si="776"/>
        <v>#N/A</v>
      </c>
      <c r="M3836" s="4" t="e">
        <f t="shared" si="777"/>
        <v>#N/A</v>
      </c>
      <c r="N3836" s="4" t="e">
        <f t="shared" si="778"/>
        <v>#N/A</v>
      </c>
    </row>
    <row r="3837" spans="1:14">
      <c r="A3837">
        <f t="shared" si="779"/>
        <v>0</v>
      </c>
      <c r="B3837">
        <f t="shared" si="780"/>
        <v>0</v>
      </c>
      <c r="C3837">
        <f t="shared" si="781"/>
        <v>0</v>
      </c>
      <c r="D3837">
        <f t="shared" si="782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3"/>
        <v>0</v>
      </c>
      <c r="G3837">
        <f t="shared" si="784"/>
        <v>0</v>
      </c>
      <c r="H3837">
        <f t="shared" si="785"/>
        <v>0</v>
      </c>
      <c r="I3837">
        <f t="shared" si="786"/>
        <v>0</v>
      </c>
      <c r="J3837">
        <f t="shared" si="787"/>
        <v>0</v>
      </c>
      <c r="K3837" s="4" t="e">
        <f t="shared" ref="K3837:K3900" si="788">IF(LEFT(B3837,3)="DBM",0,VLOOKUP(E3837,tabela,2,FALSE))</f>
        <v>#N/A</v>
      </c>
      <c r="L3837" t="e">
        <f t="shared" ref="L3837:L3900" si="789">VLOOKUP(E3837,tabela,3,FALSE)</f>
        <v>#N/A</v>
      </c>
      <c r="M3837" s="4" t="e">
        <f t="shared" ref="M3837:M3900" si="790">IF(E3837="Dynamic Click",J3837*K3837,K3837*$I3837/1000)</f>
        <v>#N/A</v>
      </c>
      <c r="N3837" s="4" t="e">
        <f t="shared" ref="N3837:N3900" si="791">IF(E3837="Dynamic Click",J3837*L3837,L3837*$I3837/1000)</f>
        <v>#N/A</v>
      </c>
    </row>
    <row r="3838" spans="1:14">
      <c r="A3838">
        <f t="shared" si="779"/>
        <v>0</v>
      </c>
      <c r="B3838">
        <f t="shared" si="780"/>
        <v>0</v>
      </c>
      <c r="C3838">
        <f t="shared" si="781"/>
        <v>0</v>
      </c>
      <c r="D3838">
        <f t="shared" si="782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3"/>
        <v>0</v>
      </c>
      <c r="G3838">
        <f t="shared" si="784"/>
        <v>0</v>
      </c>
      <c r="H3838">
        <f t="shared" si="785"/>
        <v>0</v>
      </c>
      <c r="I3838">
        <f t="shared" si="786"/>
        <v>0</v>
      </c>
      <c r="J3838">
        <f t="shared" si="787"/>
        <v>0</v>
      </c>
      <c r="K3838" s="4" t="e">
        <f t="shared" si="788"/>
        <v>#N/A</v>
      </c>
      <c r="L3838" t="e">
        <f t="shared" si="789"/>
        <v>#N/A</v>
      </c>
      <c r="M3838" s="4" t="e">
        <f t="shared" si="790"/>
        <v>#N/A</v>
      </c>
      <c r="N3838" s="4" t="e">
        <f t="shared" si="791"/>
        <v>#N/A</v>
      </c>
    </row>
    <row r="3839" spans="1:14">
      <c r="A3839">
        <f t="shared" si="779"/>
        <v>0</v>
      </c>
      <c r="B3839">
        <f t="shared" si="780"/>
        <v>0</v>
      </c>
      <c r="C3839">
        <f t="shared" si="781"/>
        <v>0</v>
      </c>
      <c r="D3839">
        <f t="shared" si="782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3"/>
        <v>0</v>
      </c>
      <c r="G3839">
        <f t="shared" si="784"/>
        <v>0</v>
      </c>
      <c r="H3839">
        <f t="shared" si="785"/>
        <v>0</v>
      </c>
      <c r="I3839">
        <f t="shared" si="786"/>
        <v>0</v>
      </c>
      <c r="J3839">
        <f t="shared" si="787"/>
        <v>0</v>
      </c>
      <c r="K3839" s="4" t="e">
        <f t="shared" si="788"/>
        <v>#N/A</v>
      </c>
      <c r="L3839" t="e">
        <f t="shared" si="789"/>
        <v>#N/A</v>
      </c>
      <c r="M3839" s="4" t="e">
        <f t="shared" si="790"/>
        <v>#N/A</v>
      </c>
      <c r="N3839" s="4" t="e">
        <f t="shared" si="791"/>
        <v>#N/A</v>
      </c>
    </row>
    <row r="3840" spans="1:14">
      <c r="A3840">
        <f t="shared" si="779"/>
        <v>0</v>
      </c>
      <c r="B3840">
        <f t="shared" si="780"/>
        <v>0</v>
      </c>
      <c r="C3840">
        <f t="shared" si="781"/>
        <v>0</v>
      </c>
      <c r="D3840">
        <f t="shared" si="782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3"/>
        <v>0</v>
      </c>
      <c r="G3840">
        <f t="shared" si="784"/>
        <v>0</v>
      </c>
      <c r="H3840">
        <f t="shared" si="785"/>
        <v>0</v>
      </c>
      <c r="I3840">
        <f t="shared" si="786"/>
        <v>0</v>
      </c>
      <c r="J3840">
        <f t="shared" si="787"/>
        <v>0</v>
      </c>
      <c r="K3840" s="4" t="e">
        <f t="shared" si="788"/>
        <v>#N/A</v>
      </c>
      <c r="L3840" t="e">
        <f t="shared" si="789"/>
        <v>#N/A</v>
      </c>
      <c r="M3840" s="4" t="e">
        <f t="shared" si="790"/>
        <v>#N/A</v>
      </c>
      <c r="N3840" s="4" t="e">
        <f t="shared" si="791"/>
        <v>#N/A</v>
      </c>
    </row>
    <row r="3841" spans="1:14">
      <c r="A3841">
        <f t="shared" si="779"/>
        <v>0</v>
      </c>
      <c r="B3841">
        <f t="shared" si="780"/>
        <v>0</v>
      </c>
      <c r="C3841">
        <f t="shared" si="781"/>
        <v>0</v>
      </c>
      <c r="D3841">
        <f t="shared" si="782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3"/>
        <v>0</v>
      </c>
      <c r="G3841">
        <f t="shared" si="784"/>
        <v>0</v>
      </c>
      <c r="H3841">
        <f t="shared" si="785"/>
        <v>0</v>
      </c>
      <c r="I3841">
        <f t="shared" si="786"/>
        <v>0</v>
      </c>
      <c r="J3841">
        <f t="shared" si="787"/>
        <v>0</v>
      </c>
      <c r="K3841" s="4" t="e">
        <f t="shared" si="788"/>
        <v>#N/A</v>
      </c>
      <c r="L3841" t="e">
        <f t="shared" si="789"/>
        <v>#N/A</v>
      </c>
      <c r="M3841" s="4" t="e">
        <f t="shared" si="790"/>
        <v>#N/A</v>
      </c>
      <c r="N3841" s="4" t="e">
        <f t="shared" si="791"/>
        <v>#N/A</v>
      </c>
    </row>
    <row r="3842" spans="1:14">
      <c r="A3842">
        <f t="shared" ref="A3842:A3905" si="792">bd_campaign</f>
        <v>0</v>
      </c>
      <c r="B3842">
        <f t="shared" ref="B3842:B3905" si="793">bd_site</f>
        <v>0</v>
      </c>
      <c r="C3842">
        <f t="shared" ref="C3842:C3905" si="794">bd_placement</f>
        <v>0</v>
      </c>
      <c r="D3842">
        <f t="shared" ref="D3842:D3905" si="795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6">bd_ad</f>
        <v>0</v>
      </c>
      <c r="G3842">
        <f t="shared" ref="G3842:G3905" si="797">bd_adid</f>
        <v>0</v>
      </c>
      <c r="H3842">
        <f t="shared" ref="H3842:H3905" si="798">bd_creativetype</f>
        <v>0</v>
      </c>
      <c r="I3842">
        <f t="shared" ref="I3842:I3905" si="799">bd_impression</f>
        <v>0</v>
      </c>
      <c r="J3842">
        <f t="shared" ref="J3842:J3905" si="800">bd_clicks</f>
        <v>0</v>
      </c>
      <c r="K3842" s="4" t="e">
        <f t="shared" si="788"/>
        <v>#N/A</v>
      </c>
      <c r="L3842" t="e">
        <f t="shared" si="789"/>
        <v>#N/A</v>
      </c>
      <c r="M3842" s="4" t="e">
        <f t="shared" si="790"/>
        <v>#N/A</v>
      </c>
      <c r="N3842" s="4" t="e">
        <f t="shared" si="791"/>
        <v>#N/A</v>
      </c>
    </row>
    <row r="3843" spans="1:14">
      <c r="A3843">
        <f t="shared" si="792"/>
        <v>0</v>
      </c>
      <c r="B3843">
        <f t="shared" si="793"/>
        <v>0</v>
      </c>
      <c r="C3843">
        <f t="shared" si="794"/>
        <v>0</v>
      </c>
      <c r="D3843">
        <f t="shared" si="795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6"/>
        <v>0</v>
      </c>
      <c r="G3843">
        <f t="shared" si="797"/>
        <v>0</v>
      </c>
      <c r="H3843">
        <f t="shared" si="798"/>
        <v>0</v>
      </c>
      <c r="I3843">
        <f t="shared" si="799"/>
        <v>0</v>
      </c>
      <c r="J3843">
        <f t="shared" si="800"/>
        <v>0</v>
      </c>
      <c r="K3843" s="4" t="e">
        <f t="shared" si="788"/>
        <v>#N/A</v>
      </c>
      <c r="L3843" t="e">
        <f t="shared" si="789"/>
        <v>#N/A</v>
      </c>
      <c r="M3843" s="4" t="e">
        <f t="shared" si="790"/>
        <v>#N/A</v>
      </c>
      <c r="N3843" s="4" t="e">
        <f t="shared" si="791"/>
        <v>#N/A</v>
      </c>
    </row>
    <row r="3844" spans="1:14">
      <c r="A3844">
        <f t="shared" si="792"/>
        <v>0</v>
      </c>
      <c r="B3844">
        <f t="shared" si="793"/>
        <v>0</v>
      </c>
      <c r="C3844">
        <f t="shared" si="794"/>
        <v>0</v>
      </c>
      <c r="D3844">
        <f t="shared" si="795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6"/>
        <v>0</v>
      </c>
      <c r="G3844">
        <f t="shared" si="797"/>
        <v>0</v>
      </c>
      <c r="H3844">
        <f t="shared" si="798"/>
        <v>0</v>
      </c>
      <c r="I3844">
        <f t="shared" si="799"/>
        <v>0</v>
      </c>
      <c r="J3844">
        <f t="shared" si="800"/>
        <v>0</v>
      </c>
      <c r="K3844" s="4" t="e">
        <f t="shared" si="788"/>
        <v>#N/A</v>
      </c>
      <c r="L3844" t="e">
        <f t="shared" si="789"/>
        <v>#N/A</v>
      </c>
      <c r="M3844" s="4" t="e">
        <f t="shared" si="790"/>
        <v>#N/A</v>
      </c>
      <c r="N3844" s="4" t="e">
        <f t="shared" si="791"/>
        <v>#N/A</v>
      </c>
    </row>
    <row r="3845" spans="1:14">
      <c r="A3845">
        <f t="shared" si="792"/>
        <v>0</v>
      </c>
      <c r="B3845">
        <f t="shared" si="793"/>
        <v>0</v>
      </c>
      <c r="C3845">
        <f t="shared" si="794"/>
        <v>0</v>
      </c>
      <c r="D3845">
        <f t="shared" si="795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6"/>
        <v>0</v>
      </c>
      <c r="G3845">
        <f t="shared" si="797"/>
        <v>0</v>
      </c>
      <c r="H3845">
        <f t="shared" si="798"/>
        <v>0</v>
      </c>
      <c r="I3845">
        <f t="shared" si="799"/>
        <v>0</v>
      </c>
      <c r="J3845">
        <f t="shared" si="800"/>
        <v>0</v>
      </c>
      <c r="K3845" s="4" t="e">
        <f t="shared" si="788"/>
        <v>#N/A</v>
      </c>
      <c r="L3845" t="e">
        <f t="shared" si="789"/>
        <v>#N/A</v>
      </c>
      <c r="M3845" s="4" t="e">
        <f t="shared" si="790"/>
        <v>#N/A</v>
      </c>
      <c r="N3845" s="4" t="e">
        <f t="shared" si="791"/>
        <v>#N/A</v>
      </c>
    </row>
    <row r="3846" spans="1:14">
      <c r="A3846">
        <f t="shared" si="792"/>
        <v>0</v>
      </c>
      <c r="B3846">
        <f t="shared" si="793"/>
        <v>0</v>
      </c>
      <c r="C3846">
        <f t="shared" si="794"/>
        <v>0</v>
      </c>
      <c r="D3846">
        <f t="shared" si="795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6"/>
        <v>0</v>
      </c>
      <c r="G3846">
        <f t="shared" si="797"/>
        <v>0</v>
      </c>
      <c r="H3846">
        <f t="shared" si="798"/>
        <v>0</v>
      </c>
      <c r="I3846">
        <f t="shared" si="799"/>
        <v>0</v>
      </c>
      <c r="J3846">
        <f t="shared" si="800"/>
        <v>0</v>
      </c>
      <c r="K3846" s="4" t="e">
        <f t="shared" si="788"/>
        <v>#N/A</v>
      </c>
      <c r="L3846" t="e">
        <f t="shared" si="789"/>
        <v>#N/A</v>
      </c>
      <c r="M3846" s="4" t="e">
        <f t="shared" si="790"/>
        <v>#N/A</v>
      </c>
      <c r="N3846" s="4" t="e">
        <f t="shared" si="791"/>
        <v>#N/A</v>
      </c>
    </row>
    <row r="3847" spans="1:14">
      <c r="A3847">
        <f t="shared" si="792"/>
        <v>0</v>
      </c>
      <c r="B3847">
        <f t="shared" si="793"/>
        <v>0</v>
      </c>
      <c r="C3847">
        <f t="shared" si="794"/>
        <v>0</v>
      </c>
      <c r="D3847">
        <f t="shared" si="795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6"/>
        <v>0</v>
      </c>
      <c r="G3847">
        <f t="shared" si="797"/>
        <v>0</v>
      </c>
      <c r="H3847">
        <f t="shared" si="798"/>
        <v>0</v>
      </c>
      <c r="I3847">
        <f t="shared" si="799"/>
        <v>0</v>
      </c>
      <c r="J3847">
        <f t="shared" si="800"/>
        <v>0</v>
      </c>
      <c r="K3847" s="4" t="e">
        <f t="shared" si="788"/>
        <v>#N/A</v>
      </c>
      <c r="L3847" t="e">
        <f t="shared" si="789"/>
        <v>#N/A</v>
      </c>
      <c r="M3847" s="4" t="e">
        <f t="shared" si="790"/>
        <v>#N/A</v>
      </c>
      <c r="N3847" s="4" t="e">
        <f t="shared" si="791"/>
        <v>#N/A</v>
      </c>
    </row>
    <row r="3848" spans="1:14">
      <c r="A3848">
        <f t="shared" si="792"/>
        <v>0</v>
      </c>
      <c r="B3848">
        <f t="shared" si="793"/>
        <v>0</v>
      </c>
      <c r="C3848">
        <f t="shared" si="794"/>
        <v>0</v>
      </c>
      <c r="D3848">
        <f t="shared" si="795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6"/>
        <v>0</v>
      </c>
      <c r="G3848">
        <f t="shared" si="797"/>
        <v>0</v>
      </c>
      <c r="H3848">
        <f t="shared" si="798"/>
        <v>0</v>
      </c>
      <c r="I3848">
        <f t="shared" si="799"/>
        <v>0</v>
      </c>
      <c r="J3848">
        <f t="shared" si="800"/>
        <v>0</v>
      </c>
      <c r="K3848" s="4" t="e">
        <f t="shared" si="788"/>
        <v>#N/A</v>
      </c>
      <c r="L3848" t="e">
        <f t="shared" si="789"/>
        <v>#N/A</v>
      </c>
      <c r="M3848" s="4" t="e">
        <f t="shared" si="790"/>
        <v>#N/A</v>
      </c>
      <c r="N3848" s="4" t="e">
        <f t="shared" si="791"/>
        <v>#N/A</v>
      </c>
    </row>
    <row r="3849" spans="1:14">
      <c r="A3849">
        <f t="shared" si="792"/>
        <v>0</v>
      </c>
      <c r="B3849">
        <f t="shared" si="793"/>
        <v>0</v>
      </c>
      <c r="C3849">
        <f t="shared" si="794"/>
        <v>0</v>
      </c>
      <c r="D3849">
        <f t="shared" si="795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6"/>
        <v>0</v>
      </c>
      <c r="G3849">
        <f t="shared" si="797"/>
        <v>0</v>
      </c>
      <c r="H3849">
        <f t="shared" si="798"/>
        <v>0</v>
      </c>
      <c r="I3849">
        <f t="shared" si="799"/>
        <v>0</v>
      </c>
      <c r="J3849">
        <f t="shared" si="800"/>
        <v>0</v>
      </c>
      <c r="K3849" s="4" t="e">
        <f t="shared" si="788"/>
        <v>#N/A</v>
      </c>
      <c r="L3849" t="e">
        <f t="shared" si="789"/>
        <v>#N/A</v>
      </c>
      <c r="M3849" s="4" t="e">
        <f t="shared" si="790"/>
        <v>#N/A</v>
      </c>
      <c r="N3849" s="4" t="e">
        <f t="shared" si="791"/>
        <v>#N/A</v>
      </c>
    </row>
    <row r="3850" spans="1:14">
      <c r="A3850">
        <f t="shared" si="792"/>
        <v>0</v>
      </c>
      <c r="B3850">
        <f t="shared" si="793"/>
        <v>0</v>
      </c>
      <c r="C3850">
        <f t="shared" si="794"/>
        <v>0</v>
      </c>
      <c r="D3850">
        <f t="shared" si="795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6"/>
        <v>0</v>
      </c>
      <c r="G3850">
        <f t="shared" si="797"/>
        <v>0</v>
      </c>
      <c r="H3850">
        <f t="shared" si="798"/>
        <v>0</v>
      </c>
      <c r="I3850">
        <f t="shared" si="799"/>
        <v>0</v>
      </c>
      <c r="J3850">
        <f t="shared" si="800"/>
        <v>0</v>
      </c>
      <c r="K3850" s="4" t="e">
        <f t="shared" si="788"/>
        <v>#N/A</v>
      </c>
      <c r="L3850" t="e">
        <f t="shared" si="789"/>
        <v>#N/A</v>
      </c>
      <c r="M3850" s="4" t="e">
        <f t="shared" si="790"/>
        <v>#N/A</v>
      </c>
      <c r="N3850" s="4" t="e">
        <f t="shared" si="791"/>
        <v>#N/A</v>
      </c>
    </row>
    <row r="3851" spans="1:14">
      <c r="A3851">
        <f t="shared" si="792"/>
        <v>0</v>
      </c>
      <c r="B3851">
        <f t="shared" si="793"/>
        <v>0</v>
      </c>
      <c r="C3851">
        <f t="shared" si="794"/>
        <v>0</v>
      </c>
      <c r="D3851">
        <f t="shared" si="795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6"/>
        <v>0</v>
      </c>
      <c r="G3851">
        <f t="shared" si="797"/>
        <v>0</v>
      </c>
      <c r="H3851">
        <f t="shared" si="798"/>
        <v>0</v>
      </c>
      <c r="I3851">
        <f t="shared" si="799"/>
        <v>0</v>
      </c>
      <c r="J3851">
        <f t="shared" si="800"/>
        <v>0</v>
      </c>
      <c r="K3851" s="4" t="e">
        <f t="shared" si="788"/>
        <v>#N/A</v>
      </c>
      <c r="L3851" t="e">
        <f t="shared" si="789"/>
        <v>#N/A</v>
      </c>
      <c r="M3851" s="4" t="e">
        <f t="shared" si="790"/>
        <v>#N/A</v>
      </c>
      <c r="N3851" s="4" t="e">
        <f t="shared" si="791"/>
        <v>#N/A</v>
      </c>
    </row>
    <row r="3852" spans="1:14">
      <c r="A3852">
        <f t="shared" si="792"/>
        <v>0</v>
      </c>
      <c r="B3852">
        <f t="shared" si="793"/>
        <v>0</v>
      </c>
      <c r="C3852">
        <f t="shared" si="794"/>
        <v>0</v>
      </c>
      <c r="D3852">
        <f t="shared" si="795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6"/>
        <v>0</v>
      </c>
      <c r="G3852">
        <f t="shared" si="797"/>
        <v>0</v>
      </c>
      <c r="H3852">
        <f t="shared" si="798"/>
        <v>0</v>
      </c>
      <c r="I3852">
        <f t="shared" si="799"/>
        <v>0</v>
      </c>
      <c r="J3852">
        <f t="shared" si="800"/>
        <v>0</v>
      </c>
      <c r="K3852" s="4" t="e">
        <f t="shared" si="788"/>
        <v>#N/A</v>
      </c>
      <c r="L3852" t="e">
        <f t="shared" si="789"/>
        <v>#N/A</v>
      </c>
      <c r="M3852" s="4" t="e">
        <f t="shared" si="790"/>
        <v>#N/A</v>
      </c>
      <c r="N3852" s="4" t="e">
        <f t="shared" si="791"/>
        <v>#N/A</v>
      </c>
    </row>
    <row r="3853" spans="1:14">
      <c r="A3853">
        <f t="shared" si="792"/>
        <v>0</v>
      </c>
      <c r="B3853">
        <f t="shared" si="793"/>
        <v>0</v>
      </c>
      <c r="C3853">
        <f t="shared" si="794"/>
        <v>0</v>
      </c>
      <c r="D3853">
        <f t="shared" si="795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6"/>
        <v>0</v>
      </c>
      <c r="G3853">
        <f t="shared" si="797"/>
        <v>0</v>
      </c>
      <c r="H3853">
        <f t="shared" si="798"/>
        <v>0</v>
      </c>
      <c r="I3853">
        <f t="shared" si="799"/>
        <v>0</v>
      </c>
      <c r="J3853">
        <f t="shared" si="800"/>
        <v>0</v>
      </c>
      <c r="K3853" s="4" t="e">
        <f t="shared" si="788"/>
        <v>#N/A</v>
      </c>
      <c r="L3853" t="e">
        <f t="shared" si="789"/>
        <v>#N/A</v>
      </c>
      <c r="M3853" s="4" t="e">
        <f t="shared" si="790"/>
        <v>#N/A</v>
      </c>
      <c r="N3853" s="4" t="e">
        <f t="shared" si="791"/>
        <v>#N/A</v>
      </c>
    </row>
    <row r="3854" spans="1:14">
      <c r="A3854">
        <f t="shared" si="792"/>
        <v>0</v>
      </c>
      <c r="B3854">
        <f t="shared" si="793"/>
        <v>0</v>
      </c>
      <c r="C3854">
        <f t="shared" si="794"/>
        <v>0</v>
      </c>
      <c r="D3854">
        <f t="shared" si="795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6"/>
        <v>0</v>
      </c>
      <c r="G3854">
        <f t="shared" si="797"/>
        <v>0</v>
      </c>
      <c r="H3854">
        <f t="shared" si="798"/>
        <v>0</v>
      </c>
      <c r="I3854">
        <f t="shared" si="799"/>
        <v>0</v>
      </c>
      <c r="J3854">
        <f t="shared" si="800"/>
        <v>0</v>
      </c>
      <c r="K3854" s="4" t="e">
        <f t="shared" si="788"/>
        <v>#N/A</v>
      </c>
      <c r="L3854" t="e">
        <f t="shared" si="789"/>
        <v>#N/A</v>
      </c>
      <c r="M3854" s="4" t="e">
        <f t="shared" si="790"/>
        <v>#N/A</v>
      </c>
      <c r="N3854" s="4" t="e">
        <f t="shared" si="791"/>
        <v>#N/A</v>
      </c>
    </row>
    <row r="3855" spans="1:14">
      <c r="A3855">
        <f t="shared" si="792"/>
        <v>0</v>
      </c>
      <c r="B3855">
        <f t="shared" si="793"/>
        <v>0</v>
      </c>
      <c r="C3855">
        <f t="shared" si="794"/>
        <v>0</v>
      </c>
      <c r="D3855">
        <f t="shared" si="795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6"/>
        <v>0</v>
      </c>
      <c r="G3855">
        <f t="shared" si="797"/>
        <v>0</v>
      </c>
      <c r="H3855">
        <f t="shared" si="798"/>
        <v>0</v>
      </c>
      <c r="I3855">
        <f t="shared" si="799"/>
        <v>0</v>
      </c>
      <c r="J3855">
        <f t="shared" si="800"/>
        <v>0</v>
      </c>
      <c r="K3855" s="4" t="e">
        <f t="shared" si="788"/>
        <v>#N/A</v>
      </c>
      <c r="L3855" t="e">
        <f t="shared" si="789"/>
        <v>#N/A</v>
      </c>
      <c r="M3855" s="4" t="e">
        <f t="shared" si="790"/>
        <v>#N/A</v>
      </c>
      <c r="N3855" s="4" t="e">
        <f t="shared" si="791"/>
        <v>#N/A</v>
      </c>
    </row>
    <row r="3856" spans="1:14">
      <c r="A3856">
        <f t="shared" si="792"/>
        <v>0</v>
      </c>
      <c r="B3856">
        <f t="shared" si="793"/>
        <v>0</v>
      </c>
      <c r="C3856">
        <f t="shared" si="794"/>
        <v>0</v>
      </c>
      <c r="D3856">
        <f t="shared" si="795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6"/>
        <v>0</v>
      </c>
      <c r="G3856">
        <f t="shared" si="797"/>
        <v>0</v>
      </c>
      <c r="H3856">
        <f t="shared" si="798"/>
        <v>0</v>
      </c>
      <c r="I3856">
        <f t="shared" si="799"/>
        <v>0</v>
      </c>
      <c r="J3856">
        <f t="shared" si="800"/>
        <v>0</v>
      </c>
      <c r="K3856" s="4" t="e">
        <f t="shared" si="788"/>
        <v>#N/A</v>
      </c>
      <c r="L3856" t="e">
        <f t="shared" si="789"/>
        <v>#N/A</v>
      </c>
      <c r="M3856" s="4" t="e">
        <f t="shared" si="790"/>
        <v>#N/A</v>
      </c>
      <c r="N3856" s="4" t="e">
        <f t="shared" si="791"/>
        <v>#N/A</v>
      </c>
    </row>
    <row r="3857" spans="1:14">
      <c r="A3857">
        <f t="shared" si="792"/>
        <v>0</v>
      </c>
      <c r="B3857">
        <f t="shared" si="793"/>
        <v>0</v>
      </c>
      <c r="C3857">
        <f t="shared" si="794"/>
        <v>0</v>
      </c>
      <c r="D3857">
        <f t="shared" si="795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6"/>
        <v>0</v>
      </c>
      <c r="G3857">
        <f t="shared" si="797"/>
        <v>0</v>
      </c>
      <c r="H3857">
        <f t="shared" si="798"/>
        <v>0</v>
      </c>
      <c r="I3857">
        <f t="shared" si="799"/>
        <v>0</v>
      </c>
      <c r="J3857">
        <f t="shared" si="800"/>
        <v>0</v>
      </c>
      <c r="K3857" s="4" t="e">
        <f t="shared" si="788"/>
        <v>#N/A</v>
      </c>
      <c r="L3857" t="e">
        <f t="shared" si="789"/>
        <v>#N/A</v>
      </c>
      <c r="M3857" s="4" t="e">
        <f t="shared" si="790"/>
        <v>#N/A</v>
      </c>
      <c r="N3857" s="4" t="e">
        <f t="shared" si="791"/>
        <v>#N/A</v>
      </c>
    </row>
    <row r="3858" spans="1:14">
      <c r="A3858">
        <f t="shared" si="792"/>
        <v>0</v>
      </c>
      <c r="B3858">
        <f t="shared" si="793"/>
        <v>0</v>
      </c>
      <c r="C3858">
        <f t="shared" si="794"/>
        <v>0</v>
      </c>
      <c r="D3858">
        <f t="shared" si="795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6"/>
        <v>0</v>
      </c>
      <c r="G3858">
        <f t="shared" si="797"/>
        <v>0</v>
      </c>
      <c r="H3858">
        <f t="shared" si="798"/>
        <v>0</v>
      </c>
      <c r="I3858">
        <f t="shared" si="799"/>
        <v>0</v>
      </c>
      <c r="J3858">
        <f t="shared" si="800"/>
        <v>0</v>
      </c>
      <c r="K3858" s="4" t="e">
        <f t="shared" si="788"/>
        <v>#N/A</v>
      </c>
      <c r="L3858" t="e">
        <f t="shared" si="789"/>
        <v>#N/A</v>
      </c>
      <c r="M3858" s="4" t="e">
        <f t="shared" si="790"/>
        <v>#N/A</v>
      </c>
      <c r="N3858" s="4" t="e">
        <f t="shared" si="791"/>
        <v>#N/A</v>
      </c>
    </row>
    <row r="3859" spans="1:14">
      <c r="A3859">
        <f t="shared" si="792"/>
        <v>0</v>
      </c>
      <c r="B3859">
        <f t="shared" si="793"/>
        <v>0</v>
      </c>
      <c r="C3859">
        <f t="shared" si="794"/>
        <v>0</v>
      </c>
      <c r="D3859">
        <f t="shared" si="795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6"/>
        <v>0</v>
      </c>
      <c r="G3859">
        <f t="shared" si="797"/>
        <v>0</v>
      </c>
      <c r="H3859">
        <f t="shared" si="798"/>
        <v>0</v>
      </c>
      <c r="I3859">
        <f t="shared" si="799"/>
        <v>0</v>
      </c>
      <c r="J3859">
        <f t="shared" si="800"/>
        <v>0</v>
      </c>
      <c r="K3859" s="4" t="e">
        <f t="shared" si="788"/>
        <v>#N/A</v>
      </c>
      <c r="L3859" t="e">
        <f t="shared" si="789"/>
        <v>#N/A</v>
      </c>
      <c r="M3859" s="4" t="e">
        <f t="shared" si="790"/>
        <v>#N/A</v>
      </c>
      <c r="N3859" s="4" t="e">
        <f t="shared" si="791"/>
        <v>#N/A</v>
      </c>
    </row>
    <row r="3860" spans="1:14">
      <c r="A3860">
        <f t="shared" si="792"/>
        <v>0</v>
      </c>
      <c r="B3860">
        <f t="shared" si="793"/>
        <v>0</v>
      </c>
      <c r="C3860">
        <f t="shared" si="794"/>
        <v>0</v>
      </c>
      <c r="D3860">
        <f t="shared" si="795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6"/>
        <v>0</v>
      </c>
      <c r="G3860">
        <f t="shared" si="797"/>
        <v>0</v>
      </c>
      <c r="H3860">
        <f t="shared" si="798"/>
        <v>0</v>
      </c>
      <c r="I3860">
        <f t="shared" si="799"/>
        <v>0</v>
      </c>
      <c r="J3860">
        <f t="shared" si="800"/>
        <v>0</v>
      </c>
      <c r="K3860" s="4" t="e">
        <f t="shared" si="788"/>
        <v>#N/A</v>
      </c>
      <c r="L3860" t="e">
        <f t="shared" si="789"/>
        <v>#N/A</v>
      </c>
      <c r="M3860" s="4" t="e">
        <f t="shared" si="790"/>
        <v>#N/A</v>
      </c>
      <c r="N3860" s="4" t="e">
        <f t="shared" si="791"/>
        <v>#N/A</v>
      </c>
    </row>
    <row r="3861" spans="1:14">
      <c r="A3861">
        <f t="shared" si="792"/>
        <v>0</v>
      </c>
      <c r="B3861">
        <f t="shared" si="793"/>
        <v>0</v>
      </c>
      <c r="C3861">
        <f t="shared" si="794"/>
        <v>0</v>
      </c>
      <c r="D3861">
        <f t="shared" si="795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6"/>
        <v>0</v>
      </c>
      <c r="G3861">
        <f t="shared" si="797"/>
        <v>0</v>
      </c>
      <c r="H3861">
        <f t="shared" si="798"/>
        <v>0</v>
      </c>
      <c r="I3861">
        <f t="shared" si="799"/>
        <v>0</v>
      </c>
      <c r="J3861">
        <f t="shared" si="800"/>
        <v>0</v>
      </c>
      <c r="K3861" s="4" t="e">
        <f t="shared" si="788"/>
        <v>#N/A</v>
      </c>
      <c r="L3861" t="e">
        <f t="shared" si="789"/>
        <v>#N/A</v>
      </c>
      <c r="M3861" s="4" t="e">
        <f t="shared" si="790"/>
        <v>#N/A</v>
      </c>
      <c r="N3861" s="4" t="e">
        <f t="shared" si="791"/>
        <v>#N/A</v>
      </c>
    </row>
    <row r="3862" spans="1:14">
      <c r="A3862">
        <f t="shared" si="792"/>
        <v>0</v>
      </c>
      <c r="B3862">
        <f t="shared" si="793"/>
        <v>0</v>
      </c>
      <c r="C3862">
        <f t="shared" si="794"/>
        <v>0</v>
      </c>
      <c r="D3862">
        <f t="shared" si="795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6"/>
        <v>0</v>
      </c>
      <c r="G3862">
        <f t="shared" si="797"/>
        <v>0</v>
      </c>
      <c r="H3862">
        <f t="shared" si="798"/>
        <v>0</v>
      </c>
      <c r="I3862">
        <f t="shared" si="799"/>
        <v>0</v>
      </c>
      <c r="J3862">
        <f t="shared" si="800"/>
        <v>0</v>
      </c>
      <c r="K3862" s="4" t="e">
        <f t="shared" si="788"/>
        <v>#N/A</v>
      </c>
      <c r="L3862" t="e">
        <f t="shared" si="789"/>
        <v>#N/A</v>
      </c>
      <c r="M3862" s="4" t="e">
        <f t="shared" si="790"/>
        <v>#N/A</v>
      </c>
      <c r="N3862" s="4" t="e">
        <f t="shared" si="791"/>
        <v>#N/A</v>
      </c>
    </row>
    <row r="3863" spans="1:14">
      <c r="A3863">
        <f t="shared" si="792"/>
        <v>0</v>
      </c>
      <c r="B3863">
        <f t="shared" si="793"/>
        <v>0</v>
      </c>
      <c r="C3863">
        <f t="shared" si="794"/>
        <v>0</v>
      </c>
      <c r="D3863">
        <f t="shared" si="795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6"/>
        <v>0</v>
      </c>
      <c r="G3863">
        <f t="shared" si="797"/>
        <v>0</v>
      </c>
      <c r="H3863">
        <f t="shared" si="798"/>
        <v>0</v>
      </c>
      <c r="I3863">
        <f t="shared" si="799"/>
        <v>0</v>
      </c>
      <c r="J3863">
        <f t="shared" si="800"/>
        <v>0</v>
      </c>
      <c r="K3863" s="4" t="e">
        <f t="shared" si="788"/>
        <v>#N/A</v>
      </c>
      <c r="L3863" t="e">
        <f t="shared" si="789"/>
        <v>#N/A</v>
      </c>
      <c r="M3863" s="4" t="e">
        <f t="shared" si="790"/>
        <v>#N/A</v>
      </c>
      <c r="N3863" s="4" t="e">
        <f t="shared" si="791"/>
        <v>#N/A</v>
      </c>
    </row>
    <row r="3864" spans="1:14">
      <c r="A3864">
        <f t="shared" si="792"/>
        <v>0</v>
      </c>
      <c r="B3864">
        <f t="shared" si="793"/>
        <v>0</v>
      </c>
      <c r="C3864">
        <f t="shared" si="794"/>
        <v>0</v>
      </c>
      <c r="D3864">
        <f t="shared" si="795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6"/>
        <v>0</v>
      </c>
      <c r="G3864">
        <f t="shared" si="797"/>
        <v>0</v>
      </c>
      <c r="H3864">
        <f t="shared" si="798"/>
        <v>0</v>
      </c>
      <c r="I3864">
        <f t="shared" si="799"/>
        <v>0</v>
      </c>
      <c r="J3864">
        <f t="shared" si="800"/>
        <v>0</v>
      </c>
      <c r="K3864" s="4" t="e">
        <f t="shared" si="788"/>
        <v>#N/A</v>
      </c>
      <c r="L3864" t="e">
        <f t="shared" si="789"/>
        <v>#N/A</v>
      </c>
      <c r="M3864" s="4" t="e">
        <f t="shared" si="790"/>
        <v>#N/A</v>
      </c>
      <c r="N3864" s="4" t="e">
        <f t="shared" si="791"/>
        <v>#N/A</v>
      </c>
    </row>
    <row r="3865" spans="1:14">
      <c r="A3865">
        <f t="shared" si="792"/>
        <v>0</v>
      </c>
      <c r="B3865">
        <f t="shared" si="793"/>
        <v>0</v>
      </c>
      <c r="C3865">
        <f t="shared" si="794"/>
        <v>0</v>
      </c>
      <c r="D3865">
        <f t="shared" si="795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6"/>
        <v>0</v>
      </c>
      <c r="G3865">
        <f t="shared" si="797"/>
        <v>0</v>
      </c>
      <c r="H3865">
        <f t="shared" si="798"/>
        <v>0</v>
      </c>
      <c r="I3865">
        <f t="shared" si="799"/>
        <v>0</v>
      </c>
      <c r="J3865">
        <f t="shared" si="800"/>
        <v>0</v>
      </c>
      <c r="K3865" s="4" t="e">
        <f t="shared" si="788"/>
        <v>#N/A</v>
      </c>
      <c r="L3865" t="e">
        <f t="shared" si="789"/>
        <v>#N/A</v>
      </c>
      <c r="M3865" s="4" t="e">
        <f t="shared" si="790"/>
        <v>#N/A</v>
      </c>
      <c r="N3865" s="4" t="e">
        <f t="shared" si="791"/>
        <v>#N/A</v>
      </c>
    </row>
    <row r="3866" spans="1:14">
      <c r="A3866">
        <f t="shared" si="792"/>
        <v>0</v>
      </c>
      <c r="B3866">
        <f t="shared" si="793"/>
        <v>0</v>
      </c>
      <c r="C3866">
        <f t="shared" si="794"/>
        <v>0</v>
      </c>
      <c r="D3866">
        <f t="shared" si="795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6"/>
        <v>0</v>
      </c>
      <c r="G3866">
        <f t="shared" si="797"/>
        <v>0</v>
      </c>
      <c r="H3866">
        <f t="shared" si="798"/>
        <v>0</v>
      </c>
      <c r="I3866">
        <f t="shared" si="799"/>
        <v>0</v>
      </c>
      <c r="J3866">
        <f t="shared" si="800"/>
        <v>0</v>
      </c>
      <c r="K3866" s="4" t="e">
        <f t="shared" si="788"/>
        <v>#N/A</v>
      </c>
      <c r="L3866" t="e">
        <f t="shared" si="789"/>
        <v>#N/A</v>
      </c>
      <c r="M3866" s="4" t="e">
        <f t="shared" si="790"/>
        <v>#N/A</v>
      </c>
      <c r="N3866" s="4" t="e">
        <f t="shared" si="791"/>
        <v>#N/A</v>
      </c>
    </row>
    <row r="3867" spans="1:14">
      <c r="A3867">
        <f t="shared" si="792"/>
        <v>0</v>
      </c>
      <c r="B3867">
        <f t="shared" si="793"/>
        <v>0</v>
      </c>
      <c r="C3867">
        <f t="shared" si="794"/>
        <v>0</v>
      </c>
      <c r="D3867">
        <f t="shared" si="795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6"/>
        <v>0</v>
      </c>
      <c r="G3867">
        <f t="shared" si="797"/>
        <v>0</v>
      </c>
      <c r="H3867">
        <f t="shared" si="798"/>
        <v>0</v>
      </c>
      <c r="I3867">
        <f t="shared" si="799"/>
        <v>0</v>
      </c>
      <c r="J3867">
        <f t="shared" si="800"/>
        <v>0</v>
      </c>
      <c r="K3867" s="4" t="e">
        <f t="shared" si="788"/>
        <v>#N/A</v>
      </c>
      <c r="L3867" t="e">
        <f t="shared" si="789"/>
        <v>#N/A</v>
      </c>
      <c r="M3867" s="4" t="e">
        <f t="shared" si="790"/>
        <v>#N/A</v>
      </c>
      <c r="N3867" s="4" t="e">
        <f t="shared" si="791"/>
        <v>#N/A</v>
      </c>
    </row>
    <row r="3868" spans="1:14">
      <c r="A3868">
        <f t="shared" si="792"/>
        <v>0</v>
      </c>
      <c r="B3868">
        <f t="shared" si="793"/>
        <v>0</v>
      </c>
      <c r="C3868">
        <f t="shared" si="794"/>
        <v>0</v>
      </c>
      <c r="D3868">
        <f t="shared" si="795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6"/>
        <v>0</v>
      </c>
      <c r="G3868">
        <f t="shared" si="797"/>
        <v>0</v>
      </c>
      <c r="H3868">
        <f t="shared" si="798"/>
        <v>0</v>
      </c>
      <c r="I3868">
        <f t="shared" si="799"/>
        <v>0</v>
      </c>
      <c r="J3868">
        <f t="shared" si="800"/>
        <v>0</v>
      </c>
      <c r="K3868" s="4" t="e">
        <f t="shared" si="788"/>
        <v>#N/A</v>
      </c>
      <c r="L3868" t="e">
        <f t="shared" si="789"/>
        <v>#N/A</v>
      </c>
      <c r="M3868" s="4" t="e">
        <f t="shared" si="790"/>
        <v>#N/A</v>
      </c>
      <c r="N3868" s="4" t="e">
        <f t="shared" si="791"/>
        <v>#N/A</v>
      </c>
    </row>
    <row r="3869" spans="1:14">
      <c r="A3869">
        <f t="shared" si="792"/>
        <v>0</v>
      </c>
      <c r="B3869">
        <f t="shared" si="793"/>
        <v>0</v>
      </c>
      <c r="C3869">
        <f t="shared" si="794"/>
        <v>0</v>
      </c>
      <c r="D3869">
        <f t="shared" si="795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6"/>
        <v>0</v>
      </c>
      <c r="G3869">
        <f t="shared" si="797"/>
        <v>0</v>
      </c>
      <c r="H3869">
        <f t="shared" si="798"/>
        <v>0</v>
      </c>
      <c r="I3869">
        <f t="shared" si="799"/>
        <v>0</v>
      </c>
      <c r="J3869">
        <f t="shared" si="800"/>
        <v>0</v>
      </c>
      <c r="K3869" s="4" t="e">
        <f t="shared" si="788"/>
        <v>#N/A</v>
      </c>
      <c r="L3869" t="e">
        <f t="shared" si="789"/>
        <v>#N/A</v>
      </c>
      <c r="M3869" s="4" t="e">
        <f t="shared" si="790"/>
        <v>#N/A</v>
      </c>
      <c r="N3869" s="4" t="e">
        <f t="shared" si="791"/>
        <v>#N/A</v>
      </c>
    </row>
    <row r="3870" spans="1:14">
      <c r="A3870">
        <f t="shared" si="792"/>
        <v>0</v>
      </c>
      <c r="B3870">
        <f t="shared" si="793"/>
        <v>0</v>
      </c>
      <c r="C3870">
        <f t="shared" si="794"/>
        <v>0</v>
      </c>
      <c r="D3870">
        <f t="shared" si="795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6"/>
        <v>0</v>
      </c>
      <c r="G3870">
        <f t="shared" si="797"/>
        <v>0</v>
      </c>
      <c r="H3870">
        <f t="shared" si="798"/>
        <v>0</v>
      </c>
      <c r="I3870">
        <f t="shared" si="799"/>
        <v>0</v>
      </c>
      <c r="J3870">
        <f t="shared" si="800"/>
        <v>0</v>
      </c>
      <c r="K3870" s="4" t="e">
        <f t="shared" si="788"/>
        <v>#N/A</v>
      </c>
      <c r="L3870" t="e">
        <f t="shared" si="789"/>
        <v>#N/A</v>
      </c>
      <c r="M3870" s="4" t="e">
        <f t="shared" si="790"/>
        <v>#N/A</v>
      </c>
      <c r="N3870" s="4" t="e">
        <f t="shared" si="791"/>
        <v>#N/A</v>
      </c>
    </row>
    <row r="3871" spans="1:14">
      <c r="A3871">
        <f t="shared" si="792"/>
        <v>0</v>
      </c>
      <c r="B3871">
        <f t="shared" si="793"/>
        <v>0</v>
      </c>
      <c r="C3871">
        <f t="shared" si="794"/>
        <v>0</v>
      </c>
      <c r="D3871">
        <f t="shared" si="795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6"/>
        <v>0</v>
      </c>
      <c r="G3871">
        <f t="shared" si="797"/>
        <v>0</v>
      </c>
      <c r="H3871">
        <f t="shared" si="798"/>
        <v>0</v>
      </c>
      <c r="I3871">
        <f t="shared" si="799"/>
        <v>0</v>
      </c>
      <c r="J3871">
        <f t="shared" si="800"/>
        <v>0</v>
      </c>
      <c r="K3871" s="4" t="e">
        <f t="shared" si="788"/>
        <v>#N/A</v>
      </c>
      <c r="L3871" t="e">
        <f t="shared" si="789"/>
        <v>#N/A</v>
      </c>
      <c r="M3871" s="4" t="e">
        <f t="shared" si="790"/>
        <v>#N/A</v>
      </c>
      <c r="N3871" s="4" t="e">
        <f t="shared" si="791"/>
        <v>#N/A</v>
      </c>
    </row>
    <row r="3872" spans="1:14">
      <c r="A3872">
        <f t="shared" si="792"/>
        <v>0</v>
      </c>
      <c r="B3872">
        <f t="shared" si="793"/>
        <v>0</v>
      </c>
      <c r="C3872">
        <f t="shared" si="794"/>
        <v>0</v>
      </c>
      <c r="D3872">
        <f t="shared" si="795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6"/>
        <v>0</v>
      </c>
      <c r="G3872">
        <f t="shared" si="797"/>
        <v>0</v>
      </c>
      <c r="H3872">
        <f t="shared" si="798"/>
        <v>0</v>
      </c>
      <c r="I3872">
        <f t="shared" si="799"/>
        <v>0</v>
      </c>
      <c r="J3872">
        <f t="shared" si="800"/>
        <v>0</v>
      </c>
      <c r="K3872" s="4" t="e">
        <f t="shared" si="788"/>
        <v>#N/A</v>
      </c>
      <c r="L3872" t="e">
        <f t="shared" si="789"/>
        <v>#N/A</v>
      </c>
      <c r="M3872" s="4" t="e">
        <f t="shared" si="790"/>
        <v>#N/A</v>
      </c>
      <c r="N3872" s="4" t="e">
        <f t="shared" si="791"/>
        <v>#N/A</v>
      </c>
    </row>
    <row r="3873" spans="1:14">
      <c r="A3873">
        <f t="shared" si="792"/>
        <v>0</v>
      </c>
      <c r="B3873">
        <f t="shared" si="793"/>
        <v>0</v>
      </c>
      <c r="C3873">
        <f t="shared" si="794"/>
        <v>0</v>
      </c>
      <c r="D3873">
        <f t="shared" si="795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6"/>
        <v>0</v>
      </c>
      <c r="G3873">
        <f t="shared" si="797"/>
        <v>0</v>
      </c>
      <c r="H3873">
        <f t="shared" si="798"/>
        <v>0</v>
      </c>
      <c r="I3873">
        <f t="shared" si="799"/>
        <v>0</v>
      </c>
      <c r="J3873">
        <f t="shared" si="800"/>
        <v>0</v>
      </c>
      <c r="K3873" s="4" t="e">
        <f t="shared" si="788"/>
        <v>#N/A</v>
      </c>
      <c r="L3873" t="e">
        <f t="shared" si="789"/>
        <v>#N/A</v>
      </c>
      <c r="M3873" s="4" t="e">
        <f t="shared" si="790"/>
        <v>#N/A</v>
      </c>
      <c r="N3873" s="4" t="e">
        <f t="shared" si="791"/>
        <v>#N/A</v>
      </c>
    </row>
    <row r="3874" spans="1:14">
      <c r="A3874">
        <f t="shared" si="792"/>
        <v>0</v>
      </c>
      <c r="B3874">
        <f t="shared" si="793"/>
        <v>0</v>
      </c>
      <c r="C3874">
        <f t="shared" si="794"/>
        <v>0</v>
      </c>
      <c r="D3874">
        <f t="shared" si="795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6"/>
        <v>0</v>
      </c>
      <c r="G3874">
        <f t="shared" si="797"/>
        <v>0</v>
      </c>
      <c r="H3874">
        <f t="shared" si="798"/>
        <v>0</v>
      </c>
      <c r="I3874">
        <f t="shared" si="799"/>
        <v>0</v>
      </c>
      <c r="J3874">
        <f t="shared" si="800"/>
        <v>0</v>
      </c>
      <c r="K3874" s="4" t="e">
        <f t="shared" si="788"/>
        <v>#N/A</v>
      </c>
      <c r="L3874" t="e">
        <f t="shared" si="789"/>
        <v>#N/A</v>
      </c>
      <c r="M3874" s="4" t="e">
        <f t="shared" si="790"/>
        <v>#N/A</v>
      </c>
      <c r="N3874" s="4" t="e">
        <f t="shared" si="791"/>
        <v>#N/A</v>
      </c>
    </row>
    <row r="3875" spans="1:14">
      <c r="A3875">
        <f t="shared" si="792"/>
        <v>0</v>
      </c>
      <c r="B3875">
        <f t="shared" si="793"/>
        <v>0</v>
      </c>
      <c r="C3875">
        <f t="shared" si="794"/>
        <v>0</v>
      </c>
      <c r="D3875">
        <f t="shared" si="795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6"/>
        <v>0</v>
      </c>
      <c r="G3875">
        <f t="shared" si="797"/>
        <v>0</v>
      </c>
      <c r="H3875">
        <f t="shared" si="798"/>
        <v>0</v>
      </c>
      <c r="I3875">
        <f t="shared" si="799"/>
        <v>0</v>
      </c>
      <c r="J3875">
        <f t="shared" si="800"/>
        <v>0</v>
      </c>
      <c r="K3875" s="4" t="e">
        <f t="shared" si="788"/>
        <v>#N/A</v>
      </c>
      <c r="L3875" t="e">
        <f t="shared" si="789"/>
        <v>#N/A</v>
      </c>
      <c r="M3875" s="4" t="e">
        <f t="shared" si="790"/>
        <v>#N/A</v>
      </c>
      <c r="N3875" s="4" t="e">
        <f t="shared" si="791"/>
        <v>#N/A</v>
      </c>
    </row>
    <row r="3876" spans="1:14">
      <c r="A3876">
        <f t="shared" si="792"/>
        <v>0</v>
      </c>
      <c r="B3876">
        <f t="shared" si="793"/>
        <v>0</v>
      </c>
      <c r="C3876">
        <f t="shared" si="794"/>
        <v>0</v>
      </c>
      <c r="D3876">
        <f t="shared" si="795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6"/>
        <v>0</v>
      </c>
      <c r="G3876">
        <f t="shared" si="797"/>
        <v>0</v>
      </c>
      <c r="H3876">
        <f t="shared" si="798"/>
        <v>0</v>
      </c>
      <c r="I3876">
        <f t="shared" si="799"/>
        <v>0</v>
      </c>
      <c r="J3876">
        <f t="shared" si="800"/>
        <v>0</v>
      </c>
      <c r="K3876" s="4" t="e">
        <f t="shared" si="788"/>
        <v>#N/A</v>
      </c>
      <c r="L3876" t="e">
        <f t="shared" si="789"/>
        <v>#N/A</v>
      </c>
      <c r="M3876" s="4" t="e">
        <f t="shared" si="790"/>
        <v>#N/A</v>
      </c>
      <c r="N3876" s="4" t="e">
        <f t="shared" si="791"/>
        <v>#N/A</v>
      </c>
    </row>
    <row r="3877" spans="1:14">
      <c r="A3877">
        <f t="shared" si="792"/>
        <v>0</v>
      </c>
      <c r="B3877">
        <f t="shared" si="793"/>
        <v>0</v>
      </c>
      <c r="C3877">
        <f t="shared" si="794"/>
        <v>0</v>
      </c>
      <c r="D3877">
        <f t="shared" si="795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6"/>
        <v>0</v>
      </c>
      <c r="G3877">
        <f t="shared" si="797"/>
        <v>0</v>
      </c>
      <c r="H3877">
        <f t="shared" si="798"/>
        <v>0</v>
      </c>
      <c r="I3877">
        <f t="shared" si="799"/>
        <v>0</v>
      </c>
      <c r="J3877">
        <f t="shared" si="800"/>
        <v>0</v>
      </c>
      <c r="K3877" s="4" t="e">
        <f t="shared" si="788"/>
        <v>#N/A</v>
      </c>
      <c r="L3877" t="e">
        <f t="shared" si="789"/>
        <v>#N/A</v>
      </c>
      <c r="M3877" s="4" t="e">
        <f t="shared" si="790"/>
        <v>#N/A</v>
      </c>
      <c r="N3877" s="4" t="e">
        <f t="shared" si="791"/>
        <v>#N/A</v>
      </c>
    </row>
    <row r="3878" spans="1:14">
      <c r="A3878">
        <f t="shared" si="792"/>
        <v>0</v>
      </c>
      <c r="B3878">
        <f t="shared" si="793"/>
        <v>0</v>
      </c>
      <c r="C3878">
        <f t="shared" si="794"/>
        <v>0</v>
      </c>
      <c r="D3878">
        <f t="shared" si="795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6"/>
        <v>0</v>
      </c>
      <c r="G3878">
        <f t="shared" si="797"/>
        <v>0</v>
      </c>
      <c r="H3878">
        <f t="shared" si="798"/>
        <v>0</v>
      </c>
      <c r="I3878">
        <f t="shared" si="799"/>
        <v>0</v>
      </c>
      <c r="J3878">
        <f t="shared" si="800"/>
        <v>0</v>
      </c>
      <c r="K3878" s="4" t="e">
        <f t="shared" si="788"/>
        <v>#N/A</v>
      </c>
      <c r="L3878" t="e">
        <f t="shared" si="789"/>
        <v>#N/A</v>
      </c>
      <c r="M3878" s="4" t="e">
        <f t="shared" si="790"/>
        <v>#N/A</v>
      </c>
      <c r="N3878" s="4" t="e">
        <f t="shared" si="791"/>
        <v>#N/A</v>
      </c>
    </row>
    <row r="3879" spans="1:14">
      <c r="A3879">
        <f t="shared" si="792"/>
        <v>0</v>
      </c>
      <c r="B3879">
        <f t="shared" si="793"/>
        <v>0</v>
      </c>
      <c r="C3879">
        <f t="shared" si="794"/>
        <v>0</v>
      </c>
      <c r="D3879">
        <f t="shared" si="795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6"/>
        <v>0</v>
      </c>
      <c r="G3879">
        <f t="shared" si="797"/>
        <v>0</v>
      </c>
      <c r="H3879">
        <f t="shared" si="798"/>
        <v>0</v>
      </c>
      <c r="I3879">
        <f t="shared" si="799"/>
        <v>0</v>
      </c>
      <c r="J3879">
        <f t="shared" si="800"/>
        <v>0</v>
      </c>
      <c r="K3879" s="4" t="e">
        <f t="shared" si="788"/>
        <v>#N/A</v>
      </c>
      <c r="L3879" t="e">
        <f t="shared" si="789"/>
        <v>#N/A</v>
      </c>
      <c r="M3879" s="4" t="e">
        <f t="shared" si="790"/>
        <v>#N/A</v>
      </c>
      <c r="N3879" s="4" t="e">
        <f t="shared" si="791"/>
        <v>#N/A</v>
      </c>
    </row>
    <row r="3880" spans="1:14">
      <c r="A3880">
        <f t="shared" si="792"/>
        <v>0</v>
      </c>
      <c r="B3880">
        <f t="shared" si="793"/>
        <v>0</v>
      </c>
      <c r="C3880">
        <f t="shared" si="794"/>
        <v>0</v>
      </c>
      <c r="D3880">
        <f t="shared" si="795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6"/>
        <v>0</v>
      </c>
      <c r="G3880">
        <f t="shared" si="797"/>
        <v>0</v>
      </c>
      <c r="H3880">
        <f t="shared" si="798"/>
        <v>0</v>
      </c>
      <c r="I3880">
        <f t="shared" si="799"/>
        <v>0</v>
      </c>
      <c r="J3880">
        <f t="shared" si="800"/>
        <v>0</v>
      </c>
      <c r="K3880" s="4" t="e">
        <f t="shared" si="788"/>
        <v>#N/A</v>
      </c>
      <c r="L3880" t="e">
        <f t="shared" si="789"/>
        <v>#N/A</v>
      </c>
      <c r="M3880" s="4" t="e">
        <f t="shared" si="790"/>
        <v>#N/A</v>
      </c>
      <c r="N3880" s="4" t="e">
        <f t="shared" si="791"/>
        <v>#N/A</v>
      </c>
    </row>
    <row r="3881" spans="1:14">
      <c r="A3881">
        <f t="shared" si="792"/>
        <v>0</v>
      </c>
      <c r="B3881">
        <f t="shared" si="793"/>
        <v>0</v>
      </c>
      <c r="C3881">
        <f t="shared" si="794"/>
        <v>0</v>
      </c>
      <c r="D3881">
        <f t="shared" si="795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6"/>
        <v>0</v>
      </c>
      <c r="G3881">
        <f t="shared" si="797"/>
        <v>0</v>
      </c>
      <c r="H3881">
        <f t="shared" si="798"/>
        <v>0</v>
      </c>
      <c r="I3881">
        <f t="shared" si="799"/>
        <v>0</v>
      </c>
      <c r="J3881">
        <f t="shared" si="800"/>
        <v>0</v>
      </c>
      <c r="K3881" s="4" t="e">
        <f t="shared" si="788"/>
        <v>#N/A</v>
      </c>
      <c r="L3881" t="e">
        <f t="shared" si="789"/>
        <v>#N/A</v>
      </c>
      <c r="M3881" s="4" t="e">
        <f t="shared" si="790"/>
        <v>#N/A</v>
      </c>
      <c r="N3881" s="4" t="e">
        <f t="shared" si="791"/>
        <v>#N/A</v>
      </c>
    </row>
    <row r="3882" spans="1:14">
      <c r="A3882">
        <f t="shared" si="792"/>
        <v>0</v>
      </c>
      <c r="B3882">
        <f t="shared" si="793"/>
        <v>0</v>
      </c>
      <c r="C3882">
        <f t="shared" si="794"/>
        <v>0</v>
      </c>
      <c r="D3882">
        <f t="shared" si="795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6"/>
        <v>0</v>
      </c>
      <c r="G3882">
        <f t="shared" si="797"/>
        <v>0</v>
      </c>
      <c r="H3882">
        <f t="shared" si="798"/>
        <v>0</v>
      </c>
      <c r="I3882">
        <f t="shared" si="799"/>
        <v>0</v>
      </c>
      <c r="J3882">
        <f t="shared" si="800"/>
        <v>0</v>
      </c>
      <c r="K3882" s="4" t="e">
        <f t="shared" si="788"/>
        <v>#N/A</v>
      </c>
      <c r="L3882" t="e">
        <f t="shared" si="789"/>
        <v>#N/A</v>
      </c>
      <c r="M3882" s="4" t="e">
        <f t="shared" si="790"/>
        <v>#N/A</v>
      </c>
      <c r="N3882" s="4" t="e">
        <f t="shared" si="791"/>
        <v>#N/A</v>
      </c>
    </row>
    <row r="3883" spans="1:14">
      <c r="A3883">
        <f t="shared" si="792"/>
        <v>0</v>
      </c>
      <c r="B3883">
        <f t="shared" si="793"/>
        <v>0</v>
      </c>
      <c r="C3883">
        <f t="shared" si="794"/>
        <v>0</v>
      </c>
      <c r="D3883">
        <f t="shared" si="795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6"/>
        <v>0</v>
      </c>
      <c r="G3883">
        <f t="shared" si="797"/>
        <v>0</v>
      </c>
      <c r="H3883">
        <f t="shared" si="798"/>
        <v>0</v>
      </c>
      <c r="I3883">
        <f t="shared" si="799"/>
        <v>0</v>
      </c>
      <c r="J3883">
        <f t="shared" si="800"/>
        <v>0</v>
      </c>
      <c r="K3883" s="4" t="e">
        <f t="shared" si="788"/>
        <v>#N/A</v>
      </c>
      <c r="L3883" t="e">
        <f t="shared" si="789"/>
        <v>#N/A</v>
      </c>
      <c r="M3883" s="4" t="e">
        <f t="shared" si="790"/>
        <v>#N/A</v>
      </c>
      <c r="N3883" s="4" t="e">
        <f t="shared" si="791"/>
        <v>#N/A</v>
      </c>
    </row>
    <row r="3884" spans="1:14">
      <c r="A3884">
        <f t="shared" si="792"/>
        <v>0</v>
      </c>
      <c r="B3884">
        <f t="shared" si="793"/>
        <v>0</v>
      </c>
      <c r="C3884">
        <f t="shared" si="794"/>
        <v>0</v>
      </c>
      <c r="D3884">
        <f t="shared" si="795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6"/>
        <v>0</v>
      </c>
      <c r="G3884">
        <f t="shared" si="797"/>
        <v>0</v>
      </c>
      <c r="H3884">
        <f t="shared" si="798"/>
        <v>0</v>
      </c>
      <c r="I3884">
        <f t="shared" si="799"/>
        <v>0</v>
      </c>
      <c r="J3884">
        <f t="shared" si="800"/>
        <v>0</v>
      </c>
      <c r="K3884" s="4" t="e">
        <f t="shared" si="788"/>
        <v>#N/A</v>
      </c>
      <c r="L3884" t="e">
        <f t="shared" si="789"/>
        <v>#N/A</v>
      </c>
      <c r="M3884" s="4" t="e">
        <f t="shared" si="790"/>
        <v>#N/A</v>
      </c>
      <c r="N3884" s="4" t="e">
        <f t="shared" si="791"/>
        <v>#N/A</v>
      </c>
    </row>
    <row r="3885" spans="1:14">
      <c r="A3885">
        <f t="shared" si="792"/>
        <v>0</v>
      </c>
      <c r="B3885">
        <f t="shared" si="793"/>
        <v>0</v>
      </c>
      <c r="C3885">
        <f t="shared" si="794"/>
        <v>0</v>
      </c>
      <c r="D3885">
        <f t="shared" si="795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6"/>
        <v>0</v>
      </c>
      <c r="G3885">
        <f t="shared" si="797"/>
        <v>0</v>
      </c>
      <c r="H3885">
        <f t="shared" si="798"/>
        <v>0</v>
      </c>
      <c r="I3885">
        <f t="shared" si="799"/>
        <v>0</v>
      </c>
      <c r="J3885">
        <f t="shared" si="800"/>
        <v>0</v>
      </c>
      <c r="K3885" s="4" t="e">
        <f t="shared" si="788"/>
        <v>#N/A</v>
      </c>
      <c r="L3885" t="e">
        <f t="shared" si="789"/>
        <v>#N/A</v>
      </c>
      <c r="M3885" s="4" t="e">
        <f t="shared" si="790"/>
        <v>#N/A</v>
      </c>
      <c r="N3885" s="4" t="e">
        <f t="shared" si="791"/>
        <v>#N/A</v>
      </c>
    </row>
    <row r="3886" spans="1:14">
      <c r="A3886">
        <f t="shared" si="792"/>
        <v>0</v>
      </c>
      <c r="B3886">
        <f t="shared" si="793"/>
        <v>0</v>
      </c>
      <c r="C3886">
        <f t="shared" si="794"/>
        <v>0</v>
      </c>
      <c r="D3886">
        <f t="shared" si="795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6"/>
        <v>0</v>
      </c>
      <c r="G3886">
        <f t="shared" si="797"/>
        <v>0</v>
      </c>
      <c r="H3886">
        <f t="shared" si="798"/>
        <v>0</v>
      </c>
      <c r="I3886">
        <f t="shared" si="799"/>
        <v>0</v>
      </c>
      <c r="J3886">
        <f t="shared" si="800"/>
        <v>0</v>
      </c>
      <c r="K3886" s="4" t="e">
        <f t="shared" si="788"/>
        <v>#N/A</v>
      </c>
      <c r="L3886" t="e">
        <f t="shared" si="789"/>
        <v>#N/A</v>
      </c>
      <c r="M3886" s="4" t="e">
        <f t="shared" si="790"/>
        <v>#N/A</v>
      </c>
      <c r="N3886" s="4" t="e">
        <f t="shared" si="791"/>
        <v>#N/A</v>
      </c>
    </row>
    <row r="3887" spans="1:14">
      <c r="A3887">
        <f t="shared" si="792"/>
        <v>0</v>
      </c>
      <c r="B3887">
        <f t="shared" si="793"/>
        <v>0</v>
      </c>
      <c r="C3887">
        <f t="shared" si="794"/>
        <v>0</v>
      </c>
      <c r="D3887">
        <f t="shared" si="795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6"/>
        <v>0</v>
      </c>
      <c r="G3887">
        <f t="shared" si="797"/>
        <v>0</v>
      </c>
      <c r="H3887">
        <f t="shared" si="798"/>
        <v>0</v>
      </c>
      <c r="I3887">
        <f t="shared" si="799"/>
        <v>0</v>
      </c>
      <c r="J3887">
        <f t="shared" si="800"/>
        <v>0</v>
      </c>
      <c r="K3887" s="4" t="e">
        <f t="shared" si="788"/>
        <v>#N/A</v>
      </c>
      <c r="L3887" t="e">
        <f t="shared" si="789"/>
        <v>#N/A</v>
      </c>
      <c r="M3887" s="4" t="e">
        <f t="shared" si="790"/>
        <v>#N/A</v>
      </c>
      <c r="N3887" s="4" t="e">
        <f t="shared" si="791"/>
        <v>#N/A</v>
      </c>
    </row>
    <row r="3888" spans="1:14">
      <c r="A3888">
        <f t="shared" si="792"/>
        <v>0</v>
      </c>
      <c r="B3888">
        <f t="shared" si="793"/>
        <v>0</v>
      </c>
      <c r="C3888">
        <f t="shared" si="794"/>
        <v>0</v>
      </c>
      <c r="D3888">
        <f t="shared" si="795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6"/>
        <v>0</v>
      </c>
      <c r="G3888">
        <f t="shared" si="797"/>
        <v>0</v>
      </c>
      <c r="H3888">
        <f t="shared" si="798"/>
        <v>0</v>
      </c>
      <c r="I3888">
        <f t="shared" si="799"/>
        <v>0</v>
      </c>
      <c r="J3888">
        <f t="shared" si="800"/>
        <v>0</v>
      </c>
      <c r="K3888" s="4" t="e">
        <f t="shared" si="788"/>
        <v>#N/A</v>
      </c>
      <c r="L3888" t="e">
        <f t="shared" si="789"/>
        <v>#N/A</v>
      </c>
      <c r="M3888" s="4" t="e">
        <f t="shared" si="790"/>
        <v>#N/A</v>
      </c>
      <c r="N3888" s="4" t="e">
        <f t="shared" si="791"/>
        <v>#N/A</v>
      </c>
    </row>
    <row r="3889" spans="1:14">
      <c r="A3889">
        <f t="shared" si="792"/>
        <v>0</v>
      </c>
      <c r="B3889">
        <f t="shared" si="793"/>
        <v>0</v>
      </c>
      <c r="C3889">
        <f t="shared" si="794"/>
        <v>0</v>
      </c>
      <c r="D3889">
        <f t="shared" si="795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6"/>
        <v>0</v>
      </c>
      <c r="G3889">
        <f t="shared" si="797"/>
        <v>0</v>
      </c>
      <c r="H3889">
        <f t="shared" si="798"/>
        <v>0</v>
      </c>
      <c r="I3889">
        <f t="shared" si="799"/>
        <v>0</v>
      </c>
      <c r="J3889">
        <f t="shared" si="800"/>
        <v>0</v>
      </c>
      <c r="K3889" s="4" t="e">
        <f t="shared" si="788"/>
        <v>#N/A</v>
      </c>
      <c r="L3889" t="e">
        <f t="shared" si="789"/>
        <v>#N/A</v>
      </c>
      <c r="M3889" s="4" t="e">
        <f t="shared" si="790"/>
        <v>#N/A</v>
      </c>
      <c r="N3889" s="4" t="e">
        <f t="shared" si="791"/>
        <v>#N/A</v>
      </c>
    </row>
    <row r="3890" spans="1:14">
      <c r="A3890">
        <f t="shared" si="792"/>
        <v>0</v>
      </c>
      <c r="B3890">
        <f t="shared" si="793"/>
        <v>0</v>
      </c>
      <c r="C3890">
        <f t="shared" si="794"/>
        <v>0</v>
      </c>
      <c r="D3890">
        <f t="shared" si="795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6"/>
        <v>0</v>
      </c>
      <c r="G3890">
        <f t="shared" si="797"/>
        <v>0</v>
      </c>
      <c r="H3890">
        <f t="shared" si="798"/>
        <v>0</v>
      </c>
      <c r="I3890">
        <f t="shared" si="799"/>
        <v>0</v>
      </c>
      <c r="J3890">
        <f t="shared" si="800"/>
        <v>0</v>
      </c>
      <c r="K3890" s="4" t="e">
        <f t="shared" si="788"/>
        <v>#N/A</v>
      </c>
      <c r="L3890" t="e">
        <f t="shared" si="789"/>
        <v>#N/A</v>
      </c>
      <c r="M3890" s="4" t="e">
        <f t="shared" si="790"/>
        <v>#N/A</v>
      </c>
      <c r="N3890" s="4" t="e">
        <f t="shared" si="791"/>
        <v>#N/A</v>
      </c>
    </row>
    <row r="3891" spans="1:14">
      <c r="A3891">
        <f t="shared" si="792"/>
        <v>0</v>
      </c>
      <c r="B3891">
        <f t="shared" si="793"/>
        <v>0</v>
      </c>
      <c r="C3891">
        <f t="shared" si="794"/>
        <v>0</v>
      </c>
      <c r="D3891">
        <f t="shared" si="795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6"/>
        <v>0</v>
      </c>
      <c r="G3891">
        <f t="shared" si="797"/>
        <v>0</v>
      </c>
      <c r="H3891">
        <f t="shared" si="798"/>
        <v>0</v>
      </c>
      <c r="I3891">
        <f t="shared" si="799"/>
        <v>0</v>
      </c>
      <c r="J3891">
        <f t="shared" si="800"/>
        <v>0</v>
      </c>
      <c r="K3891" s="4" t="e">
        <f t="shared" si="788"/>
        <v>#N/A</v>
      </c>
      <c r="L3891" t="e">
        <f t="shared" si="789"/>
        <v>#N/A</v>
      </c>
      <c r="M3891" s="4" t="e">
        <f t="shared" si="790"/>
        <v>#N/A</v>
      </c>
      <c r="N3891" s="4" t="e">
        <f t="shared" si="791"/>
        <v>#N/A</v>
      </c>
    </row>
    <row r="3892" spans="1:14">
      <c r="A3892">
        <f t="shared" si="792"/>
        <v>0</v>
      </c>
      <c r="B3892">
        <f t="shared" si="793"/>
        <v>0</v>
      </c>
      <c r="C3892">
        <f t="shared" si="794"/>
        <v>0</v>
      </c>
      <c r="D3892">
        <f t="shared" si="795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6"/>
        <v>0</v>
      </c>
      <c r="G3892">
        <f t="shared" si="797"/>
        <v>0</v>
      </c>
      <c r="H3892">
        <f t="shared" si="798"/>
        <v>0</v>
      </c>
      <c r="I3892">
        <f t="shared" si="799"/>
        <v>0</v>
      </c>
      <c r="J3892">
        <f t="shared" si="800"/>
        <v>0</v>
      </c>
      <c r="K3892" s="4" t="e">
        <f t="shared" si="788"/>
        <v>#N/A</v>
      </c>
      <c r="L3892" t="e">
        <f t="shared" si="789"/>
        <v>#N/A</v>
      </c>
      <c r="M3892" s="4" t="e">
        <f t="shared" si="790"/>
        <v>#N/A</v>
      </c>
      <c r="N3892" s="4" t="e">
        <f t="shared" si="791"/>
        <v>#N/A</v>
      </c>
    </row>
    <row r="3893" spans="1:14">
      <c r="A3893">
        <f t="shared" si="792"/>
        <v>0</v>
      </c>
      <c r="B3893">
        <f t="shared" si="793"/>
        <v>0</v>
      </c>
      <c r="C3893">
        <f t="shared" si="794"/>
        <v>0</v>
      </c>
      <c r="D3893">
        <f t="shared" si="795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6"/>
        <v>0</v>
      </c>
      <c r="G3893">
        <f t="shared" si="797"/>
        <v>0</v>
      </c>
      <c r="H3893">
        <f t="shared" si="798"/>
        <v>0</v>
      </c>
      <c r="I3893">
        <f t="shared" si="799"/>
        <v>0</v>
      </c>
      <c r="J3893">
        <f t="shared" si="800"/>
        <v>0</v>
      </c>
      <c r="K3893" s="4" t="e">
        <f t="shared" si="788"/>
        <v>#N/A</v>
      </c>
      <c r="L3893" t="e">
        <f t="shared" si="789"/>
        <v>#N/A</v>
      </c>
      <c r="M3893" s="4" t="e">
        <f t="shared" si="790"/>
        <v>#N/A</v>
      </c>
      <c r="N3893" s="4" t="e">
        <f t="shared" si="791"/>
        <v>#N/A</v>
      </c>
    </row>
    <row r="3894" spans="1:14">
      <c r="A3894">
        <f t="shared" si="792"/>
        <v>0</v>
      </c>
      <c r="B3894">
        <f t="shared" si="793"/>
        <v>0</v>
      </c>
      <c r="C3894">
        <f t="shared" si="794"/>
        <v>0</v>
      </c>
      <c r="D3894">
        <f t="shared" si="795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6"/>
        <v>0</v>
      </c>
      <c r="G3894">
        <f t="shared" si="797"/>
        <v>0</v>
      </c>
      <c r="H3894">
        <f t="shared" si="798"/>
        <v>0</v>
      </c>
      <c r="I3894">
        <f t="shared" si="799"/>
        <v>0</v>
      </c>
      <c r="J3894">
        <f t="shared" si="800"/>
        <v>0</v>
      </c>
      <c r="K3894" s="4" t="e">
        <f t="shared" si="788"/>
        <v>#N/A</v>
      </c>
      <c r="L3894" t="e">
        <f t="shared" si="789"/>
        <v>#N/A</v>
      </c>
      <c r="M3894" s="4" t="e">
        <f t="shared" si="790"/>
        <v>#N/A</v>
      </c>
      <c r="N3894" s="4" t="e">
        <f t="shared" si="791"/>
        <v>#N/A</v>
      </c>
    </row>
    <row r="3895" spans="1:14">
      <c r="A3895">
        <f t="shared" si="792"/>
        <v>0</v>
      </c>
      <c r="B3895">
        <f t="shared" si="793"/>
        <v>0</v>
      </c>
      <c r="C3895">
        <f t="shared" si="794"/>
        <v>0</v>
      </c>
      <c r="D3895">
        <f t="shared" si="795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6"/>
        <v>0</v>
      </c>
      <c r="G3895">
        <f t="shared" si="797"/>
        <v>0</v>
      </c>
      <c r="H3895">
        <f t="shared" si="798"/>
        <v>0</v>
      </c>
      <c r="I3895">
        <f t="shared" si="799"/>
        <v>0</v>
      </c>
      <c r="J3895">
        <f t="shared" si="800"/>
        <v>0</v>
      </c>
      <c r="K3895" s="4" t="e">
        <f t="shared" si="788"/>
        <v>#N/A</v>
      </c>
      <c r="L3895" t="e">
        <f t="shared" si="789"/>
        <v>#N/A</v>
      </c>
      <c r="M3895" s="4" t="e">
        <f t="shared" si="790"/>
        <v>#N/A</v>
      </c>
      <c r="N3895" s="4" t="e">
        <f t="shared" si="791"/>
        <v>#N/A</v>
      </c>
    </row>
    <row r="3896" spans="1:14">
      <c r="A3896">
        <f t="shared" si="792"/>
        <v>0</v>
      </c>
      <c r="B3896">
        <f t="shared" si="793"/>
        <v>0</v>
      </c>
      <c r="C3896">
        <f t="shared" si="794"/>
        <v>0</v>
      </c>
      <c r="D3896">
        <f t="shared" si="795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6"/>
        <v>0</v>
      </c>
      <c r="G3896">
        <f t="shared" si="797"/>
        <v>0</v>
      </c>
      <c r="H3896">
        <f t="shared" si="798"/>
        <v>0</v>
      </c>
      <c r="I3896">
        <f t="shared" si="799"/>
        <v>0</v>
      </c>
      <c r="J3896">
        <f t="shared" si="800"/>
        <v>0</v>
      </c>
      <c r="K3896" s="4" t="e">
        <f t="shared" si="788"/>
        <v>#N/A</v>
      </c>
      <c r="L3896" t="e">
        <f t="shared" si="789"/>
        <v>#N/A</v>
      </c>
      <c r="M3896" s="4" t="e">
        <f t="shared" si="790"/>
        <v>#N/A</v>
      </c>
      <c r="N3896" s="4" t="e">
        <f t="shared" si="791"/>
        <v>#N/A</v>
      </c>
    </row>
    <row r="3897" spans="1:14">
      <c r="A3897">
        <f t="shared" si="792"/>
        <v>0</v>
      </c>
      <c r="B3897">
        <f t="shared" si="793"/>
        <v>0</v>
      </c>
      <c r="C3897">
        <f t="shared" si="794"/>
        <v>0</v>
      </c>
      <c r="D3897">
        <f t="shared" si="795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6"/>
        <v>0</v>
      </c>
      <c r="G3897">
        <f t="shared" si="797"/>
        <v>0</v>
      </c>
      <c r="H3897">
        <f t="shared" si="798"/>
        <v>0</v>
      </c>
      <c r="I3897">
        <f t="shared" si="799"/>
        <v>0</v>
      </c>
      <c r="J3897">
        <f t="shared" si="800"/>
        <v>0</v>
      </c>
      <c r="K3897" s="4" t="e">
        <f t="shared" si="788"/>
        <v>#N/A</v>
      </c>
      <c r="L3897" t="e">
        <f t="shared" si="789"/>
        <v>#N/A</v>
      </c>
      <c r="M3897" s="4" t="e">
        <f t="shared" si="790"/>
        <v>#N/A</v>
      </c>
      <c r="N3897" s="4" t="e">
        <f t="shared" si="791"/>
        <v>#N/A</v>
      </c>
    </row>
    <row r="3898" spans="1:14">
      <c r="A3898">
        <f t="shared" si="792"/>
        <v>0</v>
      </c>
      <c r="B3898">
        <f t="shared" si="793"/>
        <v>0</v>
      </c>
      <c r="C3898">
        <f t="shared" si="794"/>
        <v>0</v>
      </c>
      <c r="D3898">
        <f t="shared" si="795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6"/>
        <v>0</v>
      </c>
      <c r="G3898">
        <f t="shared" si="797"/>
        <v>0</v>
      </c>
      <c r="H3898">
        <f t="shared" si="798"/>
        <v>0</v>
      </c>
      <c r="I3898">
        <f t="shared" si="799"/>
        <v>0</v>
      </c>
      <c r="J3898">
        <f t="shared" si="800"/>
        <v>0</v>
      </c>
      <c r="K3898" s="4" t="e">
        <f t="shared" si="788"/>
        <v>#N/A</v>
      </c>
      <c r="L3898" t="e">
        <f t="shared" si="789"/>
        <v>#N/A</v>
      </c>
      <c r="M3898" s="4" t="e">
        <f t="shared" si="790"/>
        <v>#N/A</v>
      </c>
      <c r="N3898" s="4" t="e">
        <f t="shared" si="791"/>
        <v>#N/A</v>
      </c>
    </row>
    <row r="3899" spans="1:14">
      <c r="A3899">
        <f t="shared" si="792"/>
        <v>0</v>
      </c>
      <c r="B3899">
        <f t="shared" si="793"/>
        <v>0</v>
      </c>
      <c r="C3899">
        <f t="shared" si="794"/>
        <v>0</v>
      </c>
      <c r="D3899">
        <f t="shared" si="795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6"/>
        <v>0</v>
      </c>
      <c r="G3899">
        <f t="shared" si="797"/>
        <v>0</v>
      </c>
      <c r="H3899">
        <f t="shared" si="798"/>
        <v>0</v>
      </c>
      <c r="I3899">
        <f t="shared" si="799"/>
        <v>0</v>
      </c>
      <c r="J3899">
        <f t="shared" si="800"/>
        <v>0</v>
      </c>
      <c r="K3899" s="4" t="e">
        <f t="shared" si="788"/>
        <v>#N/A</v>
      </c>
      <c r="L3899" t="e">
        <f t="shared" si="789"/>
        <v>#N/A</v>
      </c>
      <c r="M3899" s="4" t="e">
        <f t="shared" si="790"/>
        <v>#N/A</v>
      </c>
      <c r="N3899" s="4" t="e">
        <f t="shared" si="791"/>
        <v>#N/A</v>
      </c>
    </row>
    <row r="3900" spans="1:14">
      <c r="A3900">
        <f t="shared" si="792"/>
        <v>0</v>
      </c>
      <c r="B3900">
        <f t="shared" si="793"/>
        <v>0</v>
      </c>
      <c r="C3900">
        <f t="shared" si="794"/>
        <v>0</v>
      </c>
      <c r="D3900">
        <f t="shared" si="795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6"/>
        <v>0</v>
      </c>
      <c r="G3900">
        <f t="shared" si="797"/>
        <v>0</v>
      </c>
      <c r="H3900">
        <f t="shared" si="798"/>
        <v>0</v>
      </c>
      <c r="I3900">
        <f t="shared" si="799"/>
        <v>0</v>
      </c>
      <c r="J3900">
        <f t="shared" si="800"/>
        <v>0</v>
      </c>
      <c r="K3900" s="4" t="e">
        <f t="shared" si="788"/>
        <v>#N/A</v>
      </c>
      <c r="L3900" t="e">
        <f t="shared" si="789"/>
        <v>#N/A</v>
      </c>
      <c r="M3900" s="4" t="e">
        <f t="shared" si="790"/>
        <v>#N/A</v>
      </c>
      <c r="N3900" s="4" t="e">
        <f t="shared" si="791"/>
        <v>#N/A</v>
      </c>
    </row>
    <row r="3901" spans="1:14">
      <c r="A3901">
        <f t="shared" si="792"/>
        <v>0</v>
      </c>
      <c r="B3901">
        <f t="shared" si="793"/>
        <v>0</v>
      </c>
      <c r="C3901">
        <f t="shared" si="794"/>
        <v>0</v>
      </c>
      <c r="D3901">
        <f t="shared" si="795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6"/>
        <v>0</v>
      </c>
      <c r="G3901">
        <f t="shared" si="797"/>
        <v>0</v>
      </c>
      <c r="H3901">
        <f t="shared" si="798"/>
        <v>0</v>
      </c>
      <c r="I3901">
        <f t="shared" si="799"/>
        <v>0</v>
      </c>
      <c r="J3901">
        <f t="shared" si="800"/>
        <v>0</v>
      </c>
      <c r="K3901" s="4" t="e">
        <f t="shared" ref="K3901:K3964" si="801">IF(LEFT(B3901,3)="DBM",0,VLOOKUP(E3901,tabela,2,FALSE))</f>
        <v>#N/A</v>
      </c>
      <c r="L3901" t="e">
        <f t="shared" ref="L3901:L3964" si="802">VLOOKUP(E3901,tabela,3,FALSE)</f>
        <v>#N/A</v>
      </c>
      <c r="M3901" s="4" t="e">
        <f t="shared" ref="M3901:M3964" si="803">IF(E3901="Dynamic Click",J3901*K3901,K3901*$I3901/1000)</f>
        <v>#N/A</v>
      </c>
      <c r="N3901" s="4" t="e">
        <f t="shared" ref="N3901:N3964" si="804">IF(E3901="Dynamic Click",J3901*L3901,L3901*$I3901/1000)</f>
        <v>#N/A</v>
      </c>
    </row>
    <row r="3902" spans="1:14">
      <c r="A3902">
        <f t="shared" si="792"/>
        <v>0</v>
      </c>
      <c r="B3902">
        <f t="shared" si="793"/>
        <v>0</v>
      </c>
      <c r="C3902">
        <f t="shared" si="794"/>
        <v>0</v>
      </c>
      <c r="D3902">
        <f t="shared" si="795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6"/>
        <v>0</v>
      </c>
      <c r="G3902">
        <f t="shared" si="797"/>
        <v>0</v>
      </c>
      <c r="H3902">
        <f t="shared" si="798"/>
        <v>0</v>
      </c>
      <c r="I3902">
        <f t="shared" si="799"/>
        <v>0</v>
      </c>
      <c r="J3902">
        <f t="shared" si="800"/>
        <v>0</v>
      </c>
      <c r="K3902" s="4" t="e">
        <f t="shared" si="801"/>
        <v>#N/A</v>
      </c>
      <c r="L3902" t="e">
        <f t="shared" si="802"/>
        <v>#N/A</v>
      </c>
      <c r="M3902" s="4" t="e">
        <f t="shared" si="803"/>
        <v>#N/A</v>
      </c>
      <c r="N3902" s="4" t="e">
        <f t="shared" si="804"/>
        <v>#N/A</v>
      </c>
    </row>
    <row r="3903" spans="1:14">
      <c r="A3903">
        <f t="shared" si="792"/>
        <v>0</v>
      </c>
      <c r="B3903">
        <f t="shared" si="793"/>
        <v>0</v>
      </c>
      <c r="C3903">
        <f t="shared" si="794"/>
        <v>0</v>
      </c>
      <c r="D3903">
        <f t="shared" si="795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6"/>
        <v>0</v>
      </c>
      <c r="G3903">
        <f t="shared" si="797"/>
        <v>0</v>
      </c>
      <c r="H3903">
        <f t="shared" si="798"/>
        <v>0</v>
      </c>
      <c r="I3903">
        <f t="shared" si="799"/>
        <v>0</v>
      </c>
      <c r="J3903">
        <f t="shared" si="800"/>
        <v>0</v>
      </c>
      <c r="K3903" s="4" t="e">
        <f t="shared" si="801"/>
        <v>#N/A</v>
      </c>
      <c r="L3903" t="e">
        <f t="shared" si="802"/>
        <v>#N/A</v>
      </c>
      <c r="M3903" s="4" t="e">
        <f t="shared" si="803"/>
        <v>#N/A</v>
      </c>
      <c r="N3903" s="4" t="e">
        <f t="shared" si="804"/>
        <v>#N/A</v>
      </c>
    </row>
    <row r="3904" spans="1:14">
      <c r="A3904">
        <f t="shared" si="792"/>
        <v>0</v>
      </c>
      <c r="B3904">
        <f t="shared" si="793"/>
        <v>0</v>
      </c>
      <c r="C3904">
        <f t="shared" si="794"/>
        <v>0</v>
      </c>
      <c r="D3904">
        <f t="shared" si="795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6"/>
        <v>0</v>
      </c>
      <c r="G3904">
        <f t="shared" si="797"/>
        <v>0</v>
      </c>
      <c r="H3904">
        <f t="shared" si="798"/>
        <v>0</v>
      </c>
      <c r="I3904">
        <f t="shared" si="799"/>
        <v>0</v>
      </c>
      <c r="J3904">
        <f t="shared" si="800"/>
        <v>0</v>
      </c>
      <c r="K3904" s="4" t="e">
        <f t="shared" si="801"/>
        <v>#N/A</v>
      </c>
      <c r="L3904" t="e">
        <f t="shared" si="802"/>
        <v>#N/A</v>
      </c>
      <c r="M3904" s="4" t="e">
        <f t="shared" si="803"/>
        <v>#N/A</v>
      </c>
      <c r="N3904" s="4" t="e">
        <f t="shared" si="804"/>
        <v>#N/A</v>
      </c>
    </row>
    <row r="3905" spans="1:14">
      <c r="A3905">
        <f t="shared" si="792"/>
        <v>0</v>
      </c>
      <c r="B3905">
        <f t="shared" si="793"/>
        <v>0</v>
      </c>
      <c r="C3905">
        <f t="shared" si="794"/>
        <v>0</v>
      </c>
      <c r="D3905">
        <f t="shared" si="795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6"/>
        <v>0</v>
      </c>
      <c r="G3905">
        <f t="shared" si="797"/>
        <v>0</v>
      </c>
      <c r="H3905">
        <f t="shared" si="798"/>
        <v>0</v>
      </c>
      <c r="I3905">
        <f t="shared" si="799"/>
        <v>0</v>
      </c>
      <c r="J3905">
        <f t="shared" si="800"/>
        <v>0</v>
      </c>
      <c r="K3905" s="4" t="e">
        <f t="shared" si="801"/>
        <v>#N/A</v>
      </c>
      <c r="L3905" t="e">
        <f t="shared" si="802"/>
        <v>#N/A</v>
      </c>
      <c r="M3905" s="4" t="e">
        <f t="shared" si="803"/>
        <v>#N/A</v>
      </c>
      <c r="N3905" s="4" t="e">
        <f t="shared" si="804"/>
        <v>#N/A</v>
      </c>
    </row>
    <row r="3906" spans="1:14">
      <c r="A3906">
        <f t="shared" ref="A3906:A3969" si="805">bd_campaign</f>
        <v>0</v>
      </c>
      <c r="B3906">
        <f t="shared" ref="B3906:B3969" si="806">bd_site</f>
        <v>0</v>
      </c>
      <c r="C3906">
        <f t="shared" ref="C3906:C3969" si="807">bd_placement</f>
        <v>0</v>
      </c>
      <c r="D3906">
        <f t="shared" ref="D3906:D3969" si="808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9">bd_ad</f>
        <v>0</v>
      </c>
      <c r="G3906">
        <f t="shared" ref="G3906:G3969" si="810">bd_adid</f>
        <v>0</v>
      </c>
      <c r="H3906">
        <f t="shared" ref="H3906:H3969" si="811">bd_creativetype</f>
        <v>0</v>
      </c>
      <c r="I3906">
        <f t="shared" ref="I3906:I3969" si="812">bd_impression</f>
        <v>0</v>
      </c>
      <c r="J3906">
        <f t="shared" ref="J3906:J3969" si="813">bd_clicks</f>
        <v>0</v>
      </c>
      <c r="K3906" s="4" t="e">
        <f t="shared" si="801"/>
        <v>#N/A</v>
      </c>
      <c r="L3906" t="e">
        <f t="shared" si="802"/>
        <v>#N/A</v>
      </c>
      <c r="M3906" s="4" t="e">
        <f t="shared" si="803"/>
        <v>#N/A</v>
      </c>
      <c r="N3906" s="4" t="e">
        <f t="shared" si="804"/>
        <v>#N/A</v>
      </c>
    </row>
    <row r="3907" spans="1:14">
      <c r="A3907">
        <f t="shared" si="805"/>
        <v>0</v>
      </c>
      <c r="B3907">
        <f t="shared" si="806"/>
        <v>0</v>
      </c>
      <c r="C3907">
        <f t="shared" si="807"/>
        <v>0</v>
      </c>
      <c r="D3907">
        <f t="shared" si="808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9"/>
        <v>0</v>
      </c>
      <c r="G3907">
        <f t="shared" si="810"/>
        <v>0</v>
      </c>
      <c r="H3907">
        <f t="shared" si="811"/>
        <v>0</v>
      </c>
      <c r="I3907">
        <f t="shared" si="812"/>
        <v>0</v>
      </c>
      <c r="J3907">
        <f t="shared" si="813"/>
        <v>0</v>
      </c>
      <c r="K3907" s="4" t="e">
        <f t="shared" si="801"/>
        <v>#N/A</v>
      </c>
      <c r="L3907" t="e">
        <f t="shared" si="802"/>
        <v>#N/A</v>
      </c>
      <c r="M3907" s="4" t="e">
        <f t="shared" si="803"/>
        <v>#N/A</v>
      </c>
      <c r="N3907" s="4" t="e">
        <f t="shared" si="804"/>
        <v>#N/A</v>
      </c>
    </row>
    <row r="3908" spans="1:14">
      <c r="A3908">
        <f t="shared" si="805"/>
        <v>0</v>
      </c>
      <c r="B3908">
        <f t="shared" si="806"/>
        <v>0</v>
      </c>
      <c r="C3908">
        <f t="shared" si="807"/>
        <v>0</v>
      </c>
      <c r="D3908">
        <f t="shared" si="808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9"/>
        <v>0</v>
      </c>
      <c r="G3908">
        <f t="shared" si="810"/>
        <v>0</v>
      </c>
      <c r="H3908">
        <f t="shared" si="811"/>
        <v>0</v>
      </c>
      <c r="I3908">
        <f t="shared" si="812"/>
        <v>0</v>
      </c>
      <c r="J3908">
        <f t="shared" si="813"/>
        <v>0</v>
      </c>
      <c r="K3908" s="4" t="e">
        <f t="shared" si="801"/>
        <v>#N/A</v>
      </c>
      <c r="L3908" t="e">
        <f t="shared" si="802"/>
        <v>#N/A</v>
      </c>
      <c r="M3908" s="4" t="e">
        <f t="shared" si="803"/>
        <v>#N/A</v>
      </c>
      <c r="N3908" s="4" t="e">
        <f t="shared" si="804"/>
        <v>#N/A</v>
      </c>
    </row>
    <row r="3909" spans="1:14">
      <c r="A3909">
        <f t="shared" si="805"/>
        <v>0</v>
      </c>
      <c r="B3909">
        <f t="shared" si="806"/>
        <v>0</v>
      </c>
      <c r="C3909">
        <f t="shared" si="807"/>
        <v>0</v>
      </c>
      <c r="D3909">
        <f t="shared" si="808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9"/>
        <v>0</v>
      </c>
      <c r="G3909">
        <f t="shared" si="810"/>
        <v>0</v>
      </c>
      <c r="H3909">
        <f t="shared" si="811"/>
        <v>0</v>
      </c>
      <c r="I3909">
        <f t="shared" si="812"/>
        <v>0</v>
      </c>
      <c r="J3909">
        <f t="shared" si="813"/>
        <v>0</v>
      </c>
      <c r="K3909" s="4" t="e">
        <f t="shared" si="801"/>
        <v>#N/A</v>
      </c>
      <c r="L3909" t="e">
        <f t="shared" si="802"/>
        <v>#N/A</v>
      </c>
      <c r="M3909" s="4" t="e">
        <f t="shared" si="803"/>
        <v>#N/A</v>
      </c>
      <c r="N3909" s="4" t="e">
        <f t="shared" si="804"/>
        <v>#N/A</v>
      </c>
    </row>
    <row r="3910" spans="1:14">
      <c r="A3910">
        <f t="shared" si="805"/>
        <v>0</v>
      </c>
      <c r="B3910">
        <f t="shared" si="806"/>
        <v>0</v>
      </c>
      <c r="C3910">
        <f t="shared" si="807"/>
        <v>0</v>
      </c>
      <c r="D3910">
        <f t="shared" si="808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9"/>
        <v>0</v>
      </c>
      <c r="G3910">
        <f t="shared" si="810"/>
        <v>0</v>
      </c>
      <c r="H3910">
        <f t="shared" si="811"/>
        <v>0</v>
      </c>
      <c r="I3910">
        <f t="shared" si="812"/>
        <v>0</v>
      </c>
      <c r="J3910">
        <f t="shared" si="813"/>
        <v>0</v>
      </c>
      <c r="K3910" s="4" t="e">
        <f t="shared" si="801"/>
        <v>#N/A</v>
      </c>
      <c r="L3910" t="e">
        <f t="shared" si="802"/>
        <v>#N/A</v>
      </c>
      <c r="M3910" s="4" t="e">
        <f t="shared" si="803"/>
        <v>#N/A</v>
      </c>
      <c r="N3910" s="4" t="e">
        <f t="shared" si="804"/>
        <v>#N/A</v>
      </c>
    </row>
    <row r="3911" spans="1:14">
      <c r="A3911">
        <f t="shared" si="805"/>
        <v>0</v>
      </c>
      <c r="B3911">
        <f t="shared" si="806"/>
        <v>0</v>
      </c>
      <c r="C3911">
        <f t="shared" si="807"/>
        <v>0</v>
      </c>
      <c r="D3911">
        <f t="shared" si="808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9"/>
        <v>0</v>
      </c>
      <c r="G3911">
        <f t="shared" si="810"/>
        <v>0</v>
      </c>
      <c r="H3911">
        <f t="shared" si="811"/>
        <v>0</v>
      </c>
      <c r="I3911">
        <f t="shared" si="812"/>
        <v>0</v>
      </c>
      <c r="J3911">
        <f t="shared" si="813"/>
        <v>0</v>
      </c>
      <c r="K3911" s="4" t="e">
        <f t="shared" si="801"/>
        <v>#N/A</v>
      </c>
      <c r="L3911" t="e">
        <f t="shared" si="802"/>
        <v>#N/A</v>
      </c>
      <c r="M3911" s="4" t="e">
        <f t="shared" si="803"/>
        <v>#N/A</v>
      </c>
      <c r="N3911" s="4" t="e">
        <f t="shared" si="804"/>
        <v>#N/A</v>
      </c>
    </row>
    <row r="3912" spans="1:14">
      <c r="A3912">
        <f t="shared" si="805"/>
        <v>0</v>
      </c>
      <c r="B3912">
        <f t="shared" si="806"/>
        <v>0</v>
      </c>
      <c r="C3912">
        <f t="shared" si="807"/>
        <v>0</v>
      </c>
      <c r="D3912">
        <f t="shared" si="808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9"/>
        <v>0</v>
      </c>
      <c r="G3912">
        <f t="shared" si="810"/>
        <v>0</v>
      </c>
      <c r="H3912">
        <f t="shared" si="811"/>
        <v>0</v>
      </c>
      <c r="I3912">
        <f t="shared" si="812"/>
        <v>0</v>
      </c>
      <c r="J3912">
        <f t="shared" si="813"/>
        <v>0</v>
      </c>
      <c r="K3912" s="4" t="e">
        <f t="shared" si="801"/>
        <v>#N/A</v>
      </c>
      <c r="L3912" t="e">
        <f t="shared" si="802"/>
        <v>#N/A</v>
      </c>
      <c r="M3912" s="4" t="e">
        <f t="shared" si="803"/>
        <v>#N/A</v>
      </c>
      <c r="N3912" s="4" t="e">
        <f t="shared" si="804"/>
        <v>#N/A</v>
      </c>
    </row>
    <row r="3913" spans="1:14">
      <c r="A3913">
        <f t="shared" si="805"/>
        <v>0</v>
      </c>
      <c r="B3913">
        <f t="shared" si="806"/>
        <v>0</v>
      </c>
      <c r="C3913">
        <f t="shared" si="807"/>
        <v>0</v>
      </c>
      <c r="D3913">
        <f t="shared" si="808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9"/>
        <v>0</v>
      </c>
      <c r="G3913">
        <f t="shared" si="810"/>
        <v>0</v>
      </c>
      <c r="H3913">
        <f t="shared" si="811"/>
        <v>0</v>
      </c>
      <c r="I3913">
        <f t="shared" si="812"/>
        <v>0</v>
      </c>
      <c r="J3913">
        <f t="shared" si="813"/>
        <v>0</v>
      </c>
      <c r="K3913" s="4" t="e">
        <f t="shared" si="801"/>
        <v>#N/A</v>
      </c>
      <c r="L3913" t="e">
        <f t="shared" si="802"/>
        <v>#N/A</v>
      </c>
      <c r="M3913" s="4" t="e">
        <f t="shared" si="803"/>
        <v>#N/A</v>
      </c>
      <c r="N3913" s="4" t="e">
        <f t="shared" si="804"/>
        <v>#N/A</v>
      </c>
    </row>
    <row r="3914" spans="1:14">
      <c r="A3914">
        <f t="shared" si="805"/>
        <v>0</v>
      </c>
      <c r="B3914">
        <f t="shared" si="806"/>
        <v>0</v>
      </c>
      <c r="C3914">
        <f t="shared" si="807"/>
        <v>0</v>
      </c>
      <c r="D3914">
        <f t="shared" si="808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9"/>
        <v>0</v>
      </c>
      <c r="G3914">
        <f t="shared" si="810"/>
        <v>0</v>
      </c>
      <c r="H3914">
        <f t="shared" si="811"/>
        <v>0</v>
      </c>
      <c r="I3914">
        <f t="shared" si="812"/>
        <v>0</v>
      </c>
      <c r="J3914">
        <f t="shared" si="813"/>
        <v>0</v>
      </c>
      <c r="K3914" s="4" t="e">
        <f t="shared" si="801"/>
        <v>#N/A</v>
      </c>
      <c r="L3914" t="e">
        <f t="shared" si="802"/>
        <v>#N/A</v>
      </c>
      <c r="M3914" s="4" t="e">
        <f t="shared" si="803"/>
        <v>#N/A</v>
      </c>
      <c r="N3914" s="4" t="e">
        <f t="shared" si="804"/>
        <v>#N/A</v>
      </c>
    </row>
    <row r="3915" spans="1:14">
      <c r="A3915">
        <f t="shared" si="805"/>
        <v>0</v>
      </c>
      <c r="B3915">
        <f t="shared" si="806"/>
        <v>0</v>
      </c>
      <c r="C3915">
        <f t="shared" si="807"/>
        <v>0</v>
      </c>
      <c r="D3915">
        <f t="shared" si="808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9"/>
        <v>0</v>
      </c>
      <c r="G3915">
        <f t="shared" si="810"/>
        <v>0</v>
      </c>
      <c r="H3915">
        <f t="shared" si="811"/>
        <v>0</v>
      </c>
      <c r="I3915">
        <f t="shared" si="812"/>
        <v>0</v>
      </c>
      <c r="J3915">
        <f t="shared" si="813"/>
        <v>0</v>
      </c>
      <c r="K3915" s="4" t="e">
        <f t="shared" si="801"/>
        <v>#N/A</v>
      </c>
      <c r="L3915" t="e">
        <f t="shared" si="802"/>
        <v>#N/A</v>
      </c>
      <c r="M3915" s="4" t="e">
        <f t="shared" si="803"/>
        <v>#N/A</v>
      </c>
      <c r="N3915" s="4" t="e">
        <f t="shared" si="804"/>
        <v>#N/A</v>
      </c>
    </row>
    <row r="3916" spans="1:14">
      <c r="A3916">
        <f t="shared" si="805"/>
        <v>0</v>
      </c>
      <c r="B3916">
        <f t="shared" si="806"/>
        <v>0</v>
      </c>
      <c r="C3916">
        <f t="shared" si="807"/>
        <v>0</v>
      </c>
      <c r="D3916">
        <f t="shared" si="808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9"/>
        <v>0</v>
      </c>
      <c r="G3916">
        <f t="shared" si="810"/>
        <v>0</v>
      </c>
      <c r="H3916">
        <f t="shared" si="811"/>
        <v>0</v>
      </c>
      <c r="I3916">
        <f t="shared" si="812"/>
        <v>0</v>
      </c>
      <c r="J3916">
        <f t="shared" si="813"/>
        <v>0</v>
      </c>
      <c r="K3916" s="4" t="e">
        <f t="shared" si="801"/>
        <v>#N/A</v>
      </c>
      <c r="L3916" t="e">
        <f t="shared" si="802"/>
        <v>#N/A</v>
      </c>
      <c r="M3916" s="4" t="e">
        <f t="shared" si="803"/>
        <v>#N/A</v>
      </c>
      <c r="N3916" s="4" t="e">
        <f t="shared" si="804"/>
        <v>#N/A</v>
      </c>
    </row>
    <row r="3917" spans="1:14">
      <c r="A3917">
        <f t="shared" si="805"/>
        <v>0</v>
      </c>
      <c r="B3917">
        <f t="shared" si="806"/>
        <v>0</v>
      </c>
      <c r="C3917">
        <f t="shared" si="807"/>
        <v>0</v>
      </c>
      <c r="D3917">
        <f t="shared" si="808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9"/>
        <v>0</v>
      </c>
      <c r="G3917">
        <f t="shared" si="810"/>
        <v>0</v>
      </c>
      <c r="H3917">
        <f t="shared" si="811"/>
        <v>0</v>
      </c>
      <c r="I3917">
        <f t="shared" si="812"/>
        <v>0</v>
      </c>
      <c r="J3917">
        <f t="shared" si="813"/>
        <v>0</v>
      </c>
      <c r="K3917" s="4" t="e">
        <f t="shared" si="801"/>
        <v>#N/A</v>
      </c>
      <c r="L3917" t="e">
        <f t="shared" si="802"/>
        <v>#N/A</v>
      </c>
      <c r="M3917" s="4" t="e">
        <f t="shared" si="803"/>
        <v>#N/A</v>
      </c>
      <c r="N3917" s="4" t="e">
        <f t="shared" si="804"/>
        <v>#N/A</v>
      </c>
    </row>
    <row r="3918" spans="1:14">
      <c r="A3918">
        <f t="shared" si="805"/>
        <v>0</v>
      </c>
      <c r="B3918">
        <f t="shared" si="806"/>
        <v>0</v>
      </c>
      <c r="C3918">
        <f t="shared" si="807"/>
        <v>0</v>
      </c>
      <c r="D3918">
        <f t="shared" si="808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9"/>
        <v>0</v>
      </c>
      <c r="G3918">
        <f t="shared" si="810"/>
        <v>0</v>
      </c>
      <c r="H3918">
        <f t="shared" si="811"/>
        <v>0</v>
      </c>
      <c r="I3918">
        <f t="shared" si="812"/>
        <v>0</v>
      </c>
      <c r="J3918">
        <f t="shared" si="813"/>
        <v>0</v>
      </c>
      <c r="K3918" s="4" t="e">
        <f t="shared" si="801"/>
        <v>#N/A</v>
      </c>
      <c r="L3918" t="e">
        <f t="shared" si="802"/>
        <v>#N/A</v>
      </c>
      <c r="M3918" s="4" t="e">
        <f t="shared" si="803"/>
        <v>#N/A</v>
      </c>
      <c r="N3918" s="4" t="e">
        <f t="shared" si="804"/>
        <v>#N/A</v>
      </c>
    </row>
    <row r="3919" spans="1:14">
      <c r="A3919">
        <f t="shared" si="805"/>
        <v>0</v>
      </c>
      <c r="B3919">
        <f t="shared" si="806"/>
        <v>0</v>
      </c>
      <c r="C3919">
        <f t="shared" si="807"/>
        <v>0</v>
      </c>
      <c r="D3919">
        <f t="shared" si="808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9"/>
        <v>0</v>
      </c>
      <c r="G3919">
        <f t="shared" si="810"/>
        <v>0</v>
      </c>
      <c r="H3919">
        <f t="shared" si="811"/>
        <v>0</v>
      </c>
      <c r="I3919">
        <f t="shared" si="812"/>
        <v>0</v>
      </c>
      <c r="J3919">
        <f t="shared" si="813"/>
        <v>0</v>
      </c>
      <c r="K3919" s="4" t="e">
        <f t="shared" si="801"/>
        <v>#N/A</v>
      </c>
      <c r="L3919" t="e">
        <f t="shared" si="802"/>
        <v>#N/A</v>
      </c>
      <c r="M3919" s="4" t="e">
        <f t="shared" si="803"/>
        <v>#N/A</v>
      </c>
      <c r="N3919" s="4" t="e">
        <f t="shared" si="804"/>
        <v>#N/A</v>
      </c>
    </row>
    <row r="3920" spans="1:14">
      <c r="A3920">
        <f t="shared" si="805"/>
        <v>0</v>
      </c>
      <c r="B3920">
        <f t="shared" si="806"/>
        <v>0</v>
      </c>
      <c r="C3920">
        <f t="shared" si="807"/>
        <v>0</v>
      </c>
      <c r="D3920">
        <f t="shared" si="808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9"/>
        <v>0</v>
      </c>
      <c r="G3920">
        <f t="shared" si="810"/>
        <v>0</v>
      </c>
      <c r="H3920">
        <f t="shared" si="811"/>
        <v>0</v>
      </c>
      <c r="I3920">
        <f t="shared" si="812"/>
        <v>0</v>
      </c>
      <c r="J3920">
        <f t="shared" si="813"/>
        <v>0</v>
      </c>
      <c r="K3920" s="4" t="e">
        <f t="shared" si="801"/>
        <v>#N/A</v>
      </c>
      <c r="L3920" t="e">
        <f t="shared" si="802"/>
        <v>#N/A</v>
      </c>
      <c r="M3920" s="4" t="e">
        <f t="shared" si="803"/>
        <v>#N/A</v>
      </c>
      <c r="N3920" s="4" t="e">
        <f t="shared" si="804"/>
        <v>#N/A</v>
      </c>
    </row>
    <row r="3921" spans="1:14">
      <c r="A3921">
        <f t="shared" si="805"/>
        <v>0</v>
      </c>
      <c r="B3921">
        <f t="shared" si="806"/>
        <v>0</v>
      </c>
      <c r="C3921">
        <f t="shared" si="807"/>
        <v>0</v>
      </c>
      <c r="D3921">
        <f t="shared" si="808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9"/>
        <v>0</v>
      </c>
      <c r="G3921">
        <f t="shared" si="810"/>
        <v>0</v>
      </c>
      <c r="H3921">
        <f t="shared" si="811"/>
        <v>0</v>
      </c>
      <c r="I3921">
        <f t="shared" si="812"/>
        <v>0</v>
      </c>
      <c r="J3921">
        <f t="shared" si="813"/>
        <v>0</v>
      </c>
      <c r="K3921" s="4" t="e">
        <f t="shared" si="801"/>
        <v>#N/A</v>
      </c>
      <c r="L3921" t="e">
        <f t="shared" si="802"/>
        <v>#N/A</v>
      </c>
      <c r="M3921" s="4" t="e">
        <f t="shared" si="803"/>
        <v>#N/A</v>
      </c>
      <c r="N3921" s="4" t="e">
        <f t="shared" si="804"/>
        <v>#N/A</v>
      </c>
    </row>
    <row r="3922" spans="1:14">
      <c r="A3922">
        <f t="shared" si="805"/>
        <v>0</v>
      </c>
      <c r="B3922">
        <f t="shared" si="806"/>
        <v>0</v>
      </c>
      <c r="C3922">
        <f t="shared" si="807"/>
        <v>0</v>
      </c>
      <c r="D3922">
        <f t="shared" si="808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9"/>
        <v>0</v>
      </c>
      <c r="G3922">
        <f t="shared" si="810"/>
        <v>0</v>
      </c>
      <c r="H3922">
        <f t="shared" si="811"/>
        <v>0</v>
      </c>
      <c r="I3922">
        <f t="shared" si="812"/>
        <v>0</v>
      </c>
      <c r="J3922">
        <f t="shared" si="813"/>
        <v>0</v>
      </c>
      <c r="K3922" s="4" t="e">
        <f t="shared" si="801"/>
        <v>#N/A</v>
      </c>
      <c r="L3922" t="e">
        <f t="shared" si="802"/>
        <v>#N/A</v>
      </c>
      <c r="M3922" s="4" t="e">
        <f t="shared" si="803"/>
        <v>#N/A</v>
      </c>
      <c r="N3922" s="4" t="e">
        <f t="shared" si="804"/>
        <v>#N/A</v>
      </c>
    </row>
    <row r="3923" spans="1:14">
      <c r="A3923">
        <f t="shared" si="805"/>
        <v>0</v>
      </c>
      <c r="B3923">
        <f t="shared" si="806"/>
        <v>0</v>
      </c>
      <c r="C3923">
        <f t="shared" si="807"/>
        <v>0</v>
      </c>
      <c r="D3923">
        <f t="shared" si="808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9"/>
        <v>0</v>
      </c>
      <c r="G3923">
        <f t="shared" si="810"/>
        <v>0</v>
      </c>
      <c r="H3923">
        <f t="shared" si="811"/>
        <v>0</v>
      </c>
      <c r="I3923">
        <f t="shared" si="812"/>
        <v>0</v>
      </c>
      <c r="J3923">
        <f t="shared" si="813"/>
        <v>0</v>
      </c>
      <c r="K3923" s="4" t="e">
        <f t="shared" si="801"/>
        <v>#N/A</v>
      </c>
      <c r="L3923" t="e">
        <f t="shared" si="802"/>
        <v>#N/A</v>
      </c>
      <c r="M3923" s="4" t="e">
        <f t="shared" si="803"/>
        <v>#N/A</v>
      </c>
      <c r="N3923" s="4" t="e">
        <f t="shared" si="804"/>
        <v>#N/A</v>
      </c>
    </row>
    <row r="3924" spans="1:14">
      <c r="A3924">
        <f t="shared" si="805"/>
        <v>0</v>
      </c>
      <c r="B3924">
        <f t="shared" si="806"/>
        <v>0</v>
      </c>
      <c r="C3924">
        <f t="shared" si="807"/>
        <v>0</v>
      </c>
      <c r="D3924">
        <f t="shared" si="808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9"/>
        <v>0</v>
      </c>
      <c r="G3924">
        <f t="shared" si="810"/>
        <v>0</v>
      </c>
      <c r="H3924">
        <f t="shared" si="811"/>
        <v>0</v>
      </c>
      <c r="I3924">
        <f t="shared" si="812"/>
        <v>0</v>
      </c>
      <c r="J3924">
        <f t="shared" si="813"/>
        <v>0</v>
      </c>
      <c r="K3924" s="4" t="e">
        <f t="shared" si="801"/>
        <v>#N/A</v>
      </c>
      <c r="L3924" t="e">
        <f t="shared" si="802"/>
        <v>#N/A</v>
      </c>
      <c r="M3924" s="4" t="e">
        <f t="shared" si="803"/>
        <v>#N/A</v>
      </c>
      <c r="N3924" s="4" t="e">
        <f t="shared" si="804"/>
        <v>#N/A</v>
      </c>
    </row>
    <row r="3925" spans="1:14">
      <c r="A3925">
        <f t="shared" si="805"/>
        <v>0</v>
      </c>
      <c r="B3925">
        <f t="shared" si="806"/>
        <v>0</v>
      </c>
      <c r="C3925">
        <f t="shared" si="807"/>
        <v>0</v>
      </c>
      <c r="D3925">
        <f t="shared" si="808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9"/>
        <v>0</v>
      </c>
      <c r="G3925">
        <f t="shared" si="810"/>
        <v>0</v>
      </c>
      <c r="H3925">
        <f t="shared" si="811"/>
        <v>0</v>
      </c>
      <c r="I3925">
        <f t="shared" si="812"/>
        <v>0</v>
      </c>
      <c r="J3925">
        <f t="shared" si="813"/>
        <v>0</v>
      </c>
      <c r="K3925" s="4" t="e">
        <f t="shared" si="801"/>
        <v>#N/A</v>
      </c>
      <c r="L3925" t="e">
        <f t="shared" si="802"/>
        <v>#N/A</v>
      </c>
      <c r="M3925" s="4" t="e">
        <f t="shared" si="803"/>
        <v>#N/A</v>
      </c>
      <c r="N3925" s="4" t="e">
        <f t="shared" si="804"/>
        <v>#N/A</v>
      </c>
    </row>
    <row r="3926" spans="1:14">
      <c r="A3926">
        <f t="shared" si="805"/>
        <v>0</v>
      </c>
      <c r="B3926">
        <f t="shared" si="806"/>
        <v>0</v>
      </c>
      <c r="C3926">
        <f t="shared" si="807"/>
        <v>0</v>
      </c>
      <c r="D3926">
        <f t="shared" si="808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9"/>
        <v>0</v>
      </c>
      <c r="G3926">
        <f t="shared" si="810"/>
        <v>0</v>
      </c>
      <c r="H3926">
        <f t="shared" si="811"/>
        <v>0</v>
      </c>
      <c r="I3926">
        <f t="shared" si="812"/>
        <v>0</v>
      </c>
      <c r="J3926">
        <f t="shared" si="813"/>
        <v>0</v>
      </c>
      <c r="K3926" s="4" t="e">
        <f t="shared" si="801"/>
        <v>#N/A</v>
      </c>
      <c r="L3926" t="e">
        <f t="shared" si="802"/>
        <v>#N/A</v>
      </c>
      <c r="M3926" s="4" t="e">
        <f t="shared" si="803"/>
        <v>#N/A</v>
      </c>
      <c r="N3926" s="4" t="e">
        <f t="shared" si="804"/>
        <v>#N/A</v>
      </c>
    </row>
    <row r="3927" spans="1:14">
      <c r="A3927">
        <f t="shared" si="805"/>
        <v>0</v>
      </c>
      <c r="B3927">
        <f t="shared" si="806"/>
        <v>0</v>
      </c>
      <c r="C3927">
        <f t="shared" si="807"/>
        <v>0</v>
      </c>
      <c r="D3927">
        <f t="shared" si="808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9"/>
        <v>0</v>
      </c>
      <c r="G3927">
        <f t="shared" si="810"/>
        <v>0</v>
      </c>
      <c r="H3927">
        <f t="shared" si="811"/>
        <v>0</v>
      </c>
      <c r="I3927">
        <f t="shared" si="812"/>
        <v>0</v>
      </c>
      <c r="J3927">
        <f t="shared" si="813"/>
        <v>0</v>
      </c>
      <c r="K3927" s="4" t="e">
        <f t="shared" si="801"/>
        <v>#N/A</v>
      </c>
      <c r="L3927" t="e">
        <f t="shared" si="802"/>
        <v>#N/A</v>
      </c>
      <c r="M3927" s="4" t="e">
        <f t="shared" si="803"/>
        <v>#N/A</v>
      </c>
      <c r="N3927" s="4" t="e">
        <f t="shared" si="804"/>
        <v>#N/A</v>
      </c>
    </row>
    <row r="3928" spans="1:14">
      <c r="A3928">
        <f t="shared" si="805"/>
        <v>0</v>
      </c>
      <c r="B3928">
        <f t="shared" si="806"/>
        <v>0</v>
      </c>
      <c r="C3928">
        <f t="shared" si="807"/>
        <v>0</v>
      </c>
      <c r="D3928">
        <f t="shared" si="808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9"/>
        <v>0</v>
      </c>
      <c r="G3928">
        <f t="shared" si="810"/>
        <v>0</v>
      </c>
      <c r="H3928">
        <f t="shared" si="811"/>
        <v>0</v>
      </c>
      <c r="I3928">
        <f t="shared" si="812"/>
        <v>0</v>
      </c>
      <c r="J3928">
        <f t="shared" si="813"/>
        <v>0</v>
      </c>
      <c r="K3928" s="4" t="e">
        <f t="shared" si="801"/>
        <v>#N/A</v>
      </c>
      <c r="L3928" t="e">
        <f t="shared" si="802"/>
        <v>#N/A</v>
      </c>
      <c r="M3928" s="4" t="e">
        <f t="shared" si="803"/>
        <v>#N/A</v>
      </c>
      <c r="N3928" s="4" t="e">
        <f t="shared" si="804"/>
        <v>#N/A</v>
      </c>
    </row>
    <row r="3929" spans="1:14">
      <c r="A3929">
        <f t="shared" si="805"/>
        <v>0</v>
      </c>
      <c r="B3929">
        <f t="shared" si="806"/>
        <v>0</v>
      </c>
      <c r="C3929">
        <f t="shared" si="807"/>
        <v>0</v>
      </c>
      <c r="D3929">
        <f t="shared" si="808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9"/>
        <v>0</v>
      </c>
      <c r="G3929">
        <f t="shared" si="810"/>
        <v>0</v>
      </c>
      <c r="H3929">
        <f t="shared" si="811"/>
        <v>0</v>
      </c>
      <c r="I3929">
        <f t="shared" si="812"/>
        <v>0</v>
      </c>
      <c r="J3929">
        <f t="shared" si="813"/>
        <v>0</v>
      </c>
      <c r="K3929" s="4" t="e">
        <f t="shared" si="801"/>
        <v>#N/A</v>
      </c>
      <c r="L3929" t="e">
        <f t="shared" si="802"/>
        <v>#N/A</v>
      </c>
      <c r="M3929" s="4" t="e">
        <f t="shared" si="803"/>
        <v>#N/A</v>
      </c>
      <c r="N3929" s="4" t="e">
        <f t="shared" si="804"/>
        <v>#N/A</v>
      </c>
    </row>
    <row r="3930" spans="1:14">
      <c r="A3930">
        <f t="shared" si="805"/>
        <v>0</v>
      </c>
      <c r="B3930">
        <f t="shared" si="806"/>
        <v>0</v>
      </c>
      <c r="C3930">
        <f t="shared" si="807"/>
        <v>0</v>
      </c>
      <c r="D3930">
        <f t="shared" si="808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9"/>
        <v>0</v>
      </c>
      <c r="G3930">
        <f t="shared" si="810"/>
        <v>0</v>
      </c>
      <c r="H3930">
        <f t="shared" si="811"/>
        <v>0</v>
      </c>
      <c r="I3930">
        <f t="shared" si="812"/>
        <v>0</v>
      </c>
      <c r="J3930">
        <f t="shared" si="813"/>
        <v>0</v>
      </c>
      <c r="K3930" s="4" t="e">
        <f t="shared" si="801"/>
        <v>#N/A</v>
      </c>
      <c r="L3930" t="e">
        <f t="shared" si="802"/>
        <v>#N/A</v>
      </c>
      <c r="M3930" s="4" t="e">
        <f t="shared" si="803"/>
        <v>#N/A</v>
      </c>
      <c r="N3930" s="4" t="e">
        <f t="shared" si="804"/>
        <v>#N/A</v>
      </c>
    </row>
    <row r="3931" spans="1:14">
      <c r="A3931">
        <f t="shared" si="805"/>
        <v>0</v>
      </c>
      <c r="B3931">
        <f t="shared" si="806"/>
        <v>0</v>
      </c>
      <c r="C3931">
        <f t="shared" si="807"/>
        <v>0</v>
      </c>
      <c r="D3931">
        <f t="shared" si="808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9"/>
        <v>0</v>
      </c>
      <c r="G3931">
        <f t="shared" si="810"/>
        <v>0</v>
      </c>
      <c r="H3931">
        <f t="shared" si="811"/>
        <v>0</v>
      </c>
      <c r="I3931">
        <f t="shared" si="812"/>
        <v>0</v>
      </c>
      <c r="J3931">
        <f t="shared" si="813"/>
        <v>0</v>
      </c>
      <c r="K3931" s="4" t="e">
        <f t="shared" si="801"/>
        <v>#N/A</v>
      </c>
      <c r="L3931" t="e">
        <f t="shared" si="802"/>
        <v>#N/A</v>
      </c>
      <c r="M3931" s="4" t="e">
        <f t="shared" si="803"/>
        <v>#N/A</v>
      </c>
      <c r="N3931" s="4" t="e">
        <f t="shared" si="804"/>
        <v>#N/A</v>
      </c>
    </row>
    <row r="3932" spans="1:14">
      <c r="A3932">
        <f t="shared" si="805"/>
        <v>0</v>
      </c>
      <c r="B3932">
        <f t="shared" si="806"/>
        <v>0</v>
      </c>
      <c r="C3932">
        <f t="shared" si="807"/>
        <v>0</v>
      </c>
      <c r="D3932">
        <f t="shared" si="808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9"/>
        <v>0</v>
      </c>
      <c r="G3932">
        <f t="shared" si="810"/>
        <v>0</v>
      </c>
      <c r="H3932">
        <f t="shared" si="811"/>
        <v>0</v>
      </c>
      <c r="I3932">
        <f t="shared" si="812"/>
        <v>0</v>
      </c>
      <c r="J3932">
        <f t="shared" si="813"/>
        <v>0</v>
      </c>
      <c r="K3932" s="4" t="e">
        <f t="shared" si="801"/>
        <v>#N/A</v>
      </c>
      <c r="L3932" t="e">
        <f t="shared" si="802"/>
        <v>#N/A</v>
      </c>
      <c r="M3932" s="4" t="e">
        <f t="shared" si="803"/>
        <v>#N/A</v>
      </c>
      <c r="N3932" s="4" t="e">
        <f t="shared" si="804"/>
        <v>#N/A</v>
      </c>
    </row>
    <row r="3933" spans="1:14">
      <c r="A3933">
        <f t="shared" si="805"/>
        <v>0</v>
      </c>
      <c r="B3933">
        <f t="shared" si="806"/>
        <v>0</v>
      </c>
      <c r="C3933">
        <f t="shared" si="807"/>
        <v>0</v>
      </c>
      <c r="D3933">
        <f t="shared" si="808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9"/>
        <v>0</v>
      </c>
      <c r="G3933">
        <f t="shared" si="810"/>
        <v>0</v>
      </c>
      <c r="H3933">
        <f t="shared" si="811"/>
        <v>0</v>
      </c>
      <c r="I3933">
        <f t="shared" si="812"/>
        <v>0</v>
      </c>
      <c r="J3933">
        <f t="shared" si="813"/>
        <v>0</v>
      </c>
      <c r="K3933" s="4" t="e">
        <f t="shared" si="801"/>
        <v>#N/A</v>
      </c>
      <c r="L3933" t="e">
        <f t="shared" si="802"/>
        <v>#N/A</v>
      </c>
      <c r="M3933" s="4" t="e">
        <f t="shared" si="803"/>
        <v>#N/A</v>
      </c>
      <c r="N3933" s="4" t="e">
        <f t="shared" si="804"/>
        <v>#N/A</v>
      </c>
    </row>
    <row r="3934" spans="1:14">
      <c r="A3934">
        <f t="shared" si="805"/>
        <v>0</v>
      </c>
      <c r="B3934">
        <f t="shared" si="806"/>
        <v>0</v>
      </c>
      <c r="C3934">
        <f t="shared" si="807"/>
        <v>0</v>
      </c>
      <c r="D3934">
        <f t="shared" si="808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9"/>
        <v>0</v>
      </c>
      <c r="G3934">
        <f t="shared" si="810"/>
        <v>0</v>
      </c>
      <c r="H3934">
        <f t="shared" si="811"/>
        <v>0</v>
      </c>
      <c r="I3934">
        <f t="shared" si="812"/>
        <v>0</v>
      </c>
      <c r="J3934">
        <f t="shared" si="813"/>
        <v>0</v>
      </c>
      <c r="K3934" s="4" t="e">
        <f t="shared" si="801"/>
        <v>#N/A</v>
      </c>
      <c r="L3934" t="e">
        <f t="shared" si="802"/>
        <v>#N/A</v>
      </c>
      <c r="M3934" s="4" t="e">
        <f t="shared" si="803"/>
        <v>#N/A</v>
      </c>
      <c r="N3934" s="4" t="e">
        <f t="shared" si="804"/>
        <v>#N/A</v>
      </c>
    </row>
    <row r="3935" spans="1:14">
      <c r="A3935">
        <f t="shared" si="805"/>
        <v>0</v>
      </c>
      <c r="B3935">
        <f t="shared" si="806"/>
        <v>0</v>
      </c>
      <c r="C3935">
        <f t="shared" si="807"/>
        <v>0</v>
      </c>
      <c r="D3935">
        <f t="shared" si="808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9"/>
        <v>0</v>
      </c>
      <c r="G3935">
        <f t="shared" si="810"/>
        <v>0</v>
      </c>
      <c r="H3935">
        <f t="shared" si="811"/>
        <v>0</v>
      </c>
      <c r="I3935">
        <f t="shared" si="812"/>
        <v>0</v>
      </c>
      <c r="J3935">
        <f t="shared" si="813"/>
        <v>0</v>
      </c>
      <c r="K3935" s="4" t="e">
        <f t="shared" si="801"/>
        <v>#N/A</v>
      </c>
      <c r="L3935" t="e">
        <f t="shared" si="802"/>
        <v>#N/A</v>
      </c>
      <c r="M3935" s="4" t="e">
        <f t="shared" si="803"/>
        <v>#N/A</v>
      </c>
      <c r="N3935" s="4" t="e">
        <f t="shared" si="804"/>
        <v>#N/A</v>
      </c>
    </row>
    <row r="3936" spans="1:14">
      <c r="A3936">
        <f t="shared" si="805"/>
        <v>0</v>
      </c>
      <c r="B3936">
        <f t="shared" si="806"/>
        <v>0</v>
      </c>
      <c r="C3936">
        <f t="shared" si="807"/>
        <v>0</v>
      </c>
      <c r="D3936">
        <f t="shared" si="808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9"/>
        <v>0</v>
      </c>
      <c r="G3936">
        <f t="shared" si="810"/>
        <v>0</v>
      </c>
      <c r="H3936">
        <f t="shared" si="811"/>
        <v>0</v>
      </c>
      <c r="I3936">
        <f t="shared" si="812"/>
        <v>0</v>
      </c>
      <c r="J3936">
        <f t="shared" si="813"/>
        <v>0</v>
      </c>
      <c r="K3936" s="4" t="e">
        <f t="shared" si="801"/>
        <v>#N/A</v>
      </c>
      <c r="L3936" t="e">
        <f t="shared" si="802"/>
        <v>#N/A</v>
      </c>
      <c r="M3936" s="4" t="e">
        <f t="shared" si="803"/>
        <v>#N/A</v>
      </c>
      <c r="N3936" s="4" t="e">
        <f t="shared" si="804"/>
        <v>#N/A</v>
      </c>
    </row>
    <row r="3937" spans="1:14">
      <c r="A3937">
        <f t="shared" si="805"/>
        <v>0</v>
      </c>
      <c r="B3937">
        <f t="shared" si="806"/>
        <v>0</v>
      </c>
      <c r="C3937">
        <f t="shared" si="807"/>
        <v>0</v>
      </c>
      <c r="D3937">
        <f t="shared" si="808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9"/>
        <v>0</v>
      </c>
      <c r="G3937">
        <f t="shared" si="810"/>
        <v>0</v>
      </c>
      <c r="H3937">
        <f t="shared" si="811"/>
        <v>0</v>
      </c>
      <c r="I3937">
        <f t="shared" si="812"/>
        <v>0</v>
      </c>
      <c r="J3937">
        <f t="shared" si="813"/>
        <v>0</v>
      </c>
      <c r="K3937" s="4" t="e">
        <f t="shared" si="801"/>
        <v>#N/A</v>
      </c>
      <c r="L3937" t="e">
        <f t="shared" si="802"/>
        <v>#N/A</v>
      </c>
      <c r="M3937" s="4" t="e">
        <f t="shared" si="803"/>
        <v>#N/A</v>
      </c>
      <c r="N3937" s="4" t="e">
        <f t="shared" si="804"/>
        <v>#N/A</v>
      </c>
    </row>
    <row r="3938" spans="1:14">
      <c r="A3938">
        <f t="shared" si="805"/>
        <v>0</v>
      </c>
      <c r="B3938">
        <f t="shared" si="806"/>
        <v>0</v>
      </c>
      <c r="C3938">
        <f t="shared" si="807"/>
        <v>0</v>
      </c>
      <c r="D3938">
        <f t="shared" si="808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9"/>
        <v>0</v>
      </c>
      <c r="G3938">
        <f t="shared" si="810"/>
        <v>0</v>
      </c>
      <c r="H3938">
        <f t="shared" si="811"/>
        <v>0</v>
      </c>
      <c r="I3938">
        <f t="shared" si="812"/>
        <v>0</v>
      </c>
      <c r="J3938">
        <f t="shared" si="813"/>
        <v>0</v>
      </c>
      <c r="K3938" s="4" t="e">
        <f t="shared" si="801"/>
        <v>#N/A</v>
      </c>
      <c r="L3938" t="e">
        <f t="shared" si="802"/>
        <v>#N/A</v>
      </c>
      <c r="M3938" s="4" t="e">
        <f t="shared" si="803"/>
        <v>#N/A</v>
      </c>
      <c r="N3938" s="4" t="e">
        <f t="shared" si="804"/>
        <v>#N/A</v>
      </c>
    </row>
    <row r="3939" spans="1:14">
      <c r="A3939">
        <f t="shared" si="805"/>
        <v>0</v>
      </c>
      <c r="B3939">
        <f t="shared" si="806"/>
        <v>0</v>
      </c>
      <c r="C3939">
        <f t="shared" si="807"/>
        <v>0</v>
      </c>
      <c r="D3939">
        <f t="shared" si="808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9"/>
        <v>0</v>
      </c>
      <c r="G3939">
        <f t="shared" si="810"/>
        <v>0</v>
      </c>
      <c r="H3939">
        <f t="shared" si="811"/>
        <v>0</v>
      </c>
      <c r="I3939">
        <f t="shared" si="812"/>
        <v>0</v>
      </c>
      <c r="J3939">
        <f t="shared" si="813"/>
        <v>0</v>
      </c>
      <c r="K3939" s="4" t="e">
        <f t="shared" si="801"/>
        <v>#N/A</v>
      </c>
      <c r="L3939" t="e">
        <f t="shared" si="802"/>
        <v>#N/A</v>
      </c>
      <c r="M3939" s="4" t="e">
        <f t="shared" si="803"/>
        <v>#N/A</v>
      </c>
      <c r="N3939" s="4" t="e">
        <f t="shared" si="804"/>
        <v>#N/A</v>
      </c>
    </row>
    <row r="3940" spans="1:14">
      <c r="A3940">
        <f t="shared" si="805"/>
        <v>0</v>
      </c>
      <c r="B3940">
        <f t="shared" si="806"/>
        <v>0</v>
      </c>
      <c r="C3940">
        <f t="shared" si="807"/>
        <v>0</v>
      </c>
      <c r="D3940">
        <f t="shared" si="808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9"/>
        <v>0</v>
      </c>
      <c r="G3940">
        <f t="shared" si="810"/>
        <v>0</v>
      </c>
      <c r="H3940">
        <f t="shared" si="811"/>
        <v>0</v>
      </c>
      <c r="I3940">
        <f t="shared" si="812"/>
        <v>0</v>
      </c>
      <c r="J3940">
        <f t="shared" si="813"/>
        <v>0</v>
      </c>
      <c r="K3940" s="4" t="e">
        <f t="shared" si="801"/>
        <v>#N/A</v>
      </c>
      <c r="L3940" t="e">
        <f t="shared" si="802"/>
        <v>#N/A</v>
      </c>
      <c r="M3940" s="4" t="e">
        <f t="shared" si="803"/>
        <v>#N/A</v>
      </c>
      <c r="N3940" s="4" t="e">
        <f t="shared" si="804"/>
        <v>#N/A</v>
      </c>
    </row>
    <row r="3941" spans="1:14">
      <c r="A3941">
        <f t="shared" si="805"/>
        <v>0</v>
      </c>
      <c r="B3941">
        <f t="shared" si="806"/>
        <v>0</v>
      </c>
      <c r="C3941">
        <f t="shared" si="807"/>
        <v>0</v>
      </c>
      <c r="D3941">
        <f t="shared" si="808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9"/>
        <v>0</v>
      </c>
      <c r="G3941">
        <f t="shared" si="810"/>
        <v>0</v>
      </c>
      <c r="H3941">
        <f t="shared" si="811"/>
        <v>0</v>
      </c>
      <c r="I3941">
        <f t="shared" si="812"/>
        <v>0</v>
      </c>
      <c r="J3941">
        <f t="shared" si="813"/>
        <v>0</v>
      </c>
      <c r="K3941" s="4" t="e">
        <f t="shared" si="801"/>
        <v>#N/A</v>
      </c>
      <c r="L3941" t="e">
        <f t="shared" si="802"/>
        <v>#N/A</v>
      </c>
      <c r="M3941" s="4" t="e">
        <f t="shared" si="803"/>
        <v>#N/A</v>
      </c>
      <c r="N3941" s="4" t="e">
        <f t="shared" si="804"/>
        <v>#N/A</v>
      </c>
    </row>
    <row r="3942" spans="1:14">
      <c r="A3942">
        <f t="shared" si="805"/>
        <v>0</v>
      </c>
      <c r="B3942">
        <f t="shared" si="806"/>
        <v>0</v>
      </c>
      <c r="C3942">
        <f t="shared" si="807"/>
        <v>0</v>
      </c>
      <c r="D3942">
        <f t="shared" si="808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9"/>
        <v>0</v>
      </c>
      <c r="G3942">
        <f t="shared" si="810"/>
        <v>0</v>
      </c>
      <c r="H3942">
        <f t="shared" si="811"/>
        <v>0</v>
      </c>
      <c r="I3942">
        <f t="shared" si="812"/>
        <v>0</v>
      </c>
      <c r="J3942">
        <f t="shared" si="813"/>
        <v>0</v>
      </c>
      <c r="K3942" s="4" t="e">
        <f t="shared" si="801"/>
        <v>#N/A</v>
      </c>
      <c r="L3942" t="e">
        <f t="shared" si="802"/>
        <v>#N/A</v>
      </c>
      <c r="M3942" s="4" t="e">
        <f t="shared" si="803"/>
        <v>#N/A</v>
      </c>
      <c r="N3942" s="4" t="e">
        <f t="shared" si="804"/>
        <v>#N/A</v>
      </c>
    </row>
    <row r="3943" spans="1:14">
      <c r="A3943">
        <f t="shared" si="805"/>
        <v>0</v>
      </c>
      <c r="B3943">
        <f t="shared" si="806"/>
        <v>0</v>
      </c>
      <c r="C3943">
        <f t="shared" si="807"/>
        <v>0</v>
      </c>
      <c r="D3943">
        <f t="shared" si="808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9"/>
        <v>0</v>
      </c>
      <c r="G3943">
        <f t="shared" si="810"/>
        <v>0</v>
      </c>
      <c r="H3943">
        <f t="shared" si="811"/>
        <v>0</v>
      </c>
      <c r="I3943">
        <f t="shared" si="812"/>
        <v>0</v>
      </c>
      <c r="J3943">
        <f t="shared" si="813"/>
        <v>0</v>
      </c>
      <c r="K3943" s="4" t="e">
        <f t="shared" si="801"/>
        <v>#N/A</v>
      </c>
      <c r="L3943" t="e">
        <f t="shared" si="802"/>
        <v>#N/A</v>
      </c>
      <c r="M3943" s="4" t="e">
        <f t="shared" si="803"/>
        <v>#N/A</v>
      </c>
      <c r="N3943" s="4" t="e">
        <f t="shared" si="804"/>
        <v>#N/A</v>
      </c>
    </row>
    <row r="3944" spans="1:14">
      <c r="A3944">
        <f t="shared" si="805"/>
        <v>0</v>
      </c>
      <c r="B3944">
        <f t="shared" si="806"/>
        <v>0</v>
      </c>
      <c r="C3944">
        <f t="shared" si="807"/>
        <v>0</v>
      </c>
      <c r="D3944">
        <f t="shared" si="808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9"/>
        <v>0</v>
      </c>
      <c r="G3944">
        <f t="shared" si="810"/>
        <v>0</v>
      </c>
      <c r="H3944">
        <f t="shared" si="811"/>
        <v>0</v>
      </c>
      <c r="I3944">
        <f t="shared" si="812"/>
        <v>0</v>
      </c>
      <c r="J3944">
        <f t="shared" si="813"/>
        <v>0</v>
      </c>
      <c r="K3944" s="4" t="e">
        <f t="shared" si="801"/>
        <v>#N/A</v>
      </c>
      <c r="L3944" t="e">
        <f t="shared" si="802"/>
        <v>#N/A</v>
      </c>
      <c r="M3944" s="4" t="e">
        <f t="shared" si="803"/>
        <v>#N/A</v>
      </c>
      <c r="N3944" s="4" t="e">
        <f t="shared" si="804"/>
        <v>#N/A</v>
      </c>
    </row>
    <row r="3945" spans="1:14">
      <c r="A3945">
        <f t="shared" si="805"/>
        <v>0</v>
      </c>
      <c r="B3945">
        <f t="shared" si="806"/>
        <v>0</v>
      </c>
      <c r="C3945">
        <f t="shared" si="807"/>
        <v>0</v>
      </c>
      <c r="D3945">
        <f t="shared" si="808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9"/>
        <v>0</v>
      </c>
      <c r="G3945">
        <f t="shared" si="810"/>
        <v>0</v>
      </c>
      <c r="H3945">
        <f t="shared" si="811"/>
        <v>0</v>
      </c>
      <c r="I3945">
        <f t="shared" si="812"/>
        <v>0</v>
      </c>
      <c r="J3945">
        <f t="shared" si="813"/>
        <v>0</v>
      </c>
      <c r="K3945" s="4" t="e">
        <f t="shared" si="801"/>
        <v>#N/A</v>
      </c>
      <c r="L3945" t="e">
        <f t="shared" si="802"/>
        <v>#N/A</v>
      </c>
      <c r="M3945" s="4" t="e">
        <f t="shared" si="803"/>
        <v>#N/A</v>
      </c>
      <c r="N3945" s="4" t="e">
        <f t="shared" si="804"/>
        <v>#N/A</v>
      </c>
    </row>
    <row r="3946" spans="1:14">
      <c r="A3946">
        <f t="shared" si="805"/>
        <v>0</v>
      </c>
      <c r="B3946">
        <f t="shared" si="806"/>
        <v>0</v>
      </c>
      <c r="C3946">
        <f t="shared" si="807"/>
        <v>0</v>
      </c>
      <c r="D3946">
        <f t="shared" si="808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9"/>
        <v>0</v>
      </c>
      <c r="G3946">
        <f t="shared" si="810"/>
        <v>0</v>
      </c>
      <c r="H3946">
        <f t="shared" si="811"/>
        <v>0</v>
      </c>
      <c r="I3946">
        <f t="shared" si="812"/>
        <v>0</v>
      </c>
      <c r="J3946">
        <f t="shared" si="813"/>
        <v>0</v>
      </c>
      <c r="K3946" s="4" t="e">
        <f t="shared" si="801"/>
        <v>#N/A</v>
      </c>
      <c r="L3946" t="e">
        <f t="shared" si="802"/>
        <v>#N/A</v>
      </c>
      <c r="M3946" s="4" t="e">
        <f t="shared" si="803"/>
        <v>#N/A</v>
      </c>
      <c r="N3946" s="4" t="e">
        <f t="shared" si="804"/>
        <v>#N/A</v>
      </c>
    </row>
    <row r="3947" spans="1:14">
      <c r="A3947">
        <f t="shared" si="805"/>
        <v>0</v>
      </c>
      <c r="B3947">
        <f t="shared" si="806"/>
        <v>0</v>
      </c>
      <c r="C3947">
        <f t="shared" si="807"/>
        <v>0</v>
      </c>
      <c r="D3947">
        <f t="shared" si="808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9"/>
        <v>0</v>
      </c>
      <c r="G3947">
        <f t="shared" si="810"/>
        <v>0</v>
      </c>
      <c r="H3947">
        <f t="shared" si="811"/>
        <v>0</v>
      </c>
      <c r="I3947">
        <f t="shared" si="812"/>
        <v>0</v>
      </c>
      <c r="J3947">
        <f t="shared" si="813"/>
        <v>0</v>
      </c>
      <c r="K3947" s="4" t="e">
        <f t="shared" si="801"/>
        <v>#N/A</v>
      </c>
      <c r="L3947" t="e">
        <f t="shared" si="802"/>
        <v>#N/A</v>
      </c>
      <c r="M3947" s="4" t="e">
        <f t="shared" si="803"/>
        <v>#N/A</v>
      </c>
      <c r="N3947" s="4" t="e">
        <f t="shared" si="804"/>
        <v>#N/A</v>
      </c>
    </row>
    <row r="3948" spans="1:14">
      <c r="A3948">
        <f t="shared" si="805"/>
        <v>0</v>
      </c>
      <c r="B3948">
        <f t="shared" si="806"/>
        <v>0</v>
      </c>
      <c r="C3948">
        <f t="shared" si="807"/>
        <v>0</v>
      </c>
      <c r="D3948">
        <f t="shared" si="808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9"/>
        <v>0</v>
      </c>
      <c r="G3948">
        <f t="shared" si="810"/>
        <v>0</v>
      </c>
      <c r="H3948">
        <f t="shared" si="811"/>
        <v>0</v>
      </c>
      <c r="I3948">
        <f t="shared" si="812"/>
        <v>0</v>
      </c>
      <c r="J3948">
        <f t="shared" si="813"/>
        <v>0</v>
      </c>
      <c r="K3948" s="4" t="e">
        <f t="shared" si="801"/>
        <v>#N/A</v>
      </c>
      <c r="L3948" t="e">
        <f t="shared" si="802"/>
        <v>#N/A</v>
      </c>
      <c r="M3948" s="4" t="e">
        <f t="shared" si="803"/>
        <v>#N/A</v>
      </c>
      <c r="N3948" s="4" t="e">
        <f t="shared" si="804"/>
        <v>#N/A</v>
      </c>
    </row>
    <row r="3949" spans="1:14">
      <c r="A3949">
        <f t="shared" si="805"/>
        <v>0</v>
      </c>
      <c r="B3949">
        <f t="shared" si="806"/>
        <v>0</v>
      </c>
      <c r="C3949">
        <f t="shared" si="807"/>
        <v>0</v>
      </c>
      <c r="D3949">
        <f t="shared" si="808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9"/>
        <v>0</v>
      </c>
      <c r="G3949">
        <f t="shared" si="810"/>
        <v>0</v>
      </c>
      <c r="H3949">
        <f t="shared" si="811"/>
        <v>0</v>
      </c>
      <c r="I3949">
        <f t="shared" si="812"/>
        <v>0</v>
      </c>
      <c r="J3949">
        <f t="shared" si="813"/>
        <v>0</v>
      </c>
      <c r="K3949" s="4" t="e">
        <f t="shared" si="801"/>
        <v>#N/A</v>
      </c>
      <c r="L3949" t="e">
        <f t="shared" si="802"/>
        <v>#N/A</v>
      </c>
      <c r="M3949" s="4" t="e">
        <f t="shared" si="803"/>
        <v>#N/A</v>
      </c>
      <c r="N3949" s="4" t="e">
        <f t="shared" si="804"/>
        <v>#N/A</v>
      </c>
    </row>
    <row r="3950" spans="1:14">
      <c r="A3950">
        <f t="shared" si="805"/>
        <v>0</v>
      </c>
      <c r="B3950">
        <f t="shared" si="806"/>
        <v>0</v>
      </c>
      <c r="C3950">
        <f t="shared" si="807"/>
        <v>0</v>
      </c>
      <c r="D3950">
        <f t="shared" si="808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9"/>
        <v>0</v>
      </c>
      <c r="G3950">
        <f t="shared" si="810"/>
        <v>0</v>
      </c>
      <c r="H3950">
        <f t="shared" si="811"/>
        <v>0</v>
      </c>
      <c r="I3950">
        <f t="shared" si="812"/>
        <v>0</v>
      </c>
      <c r="J3950">
        <f t="shared" si="813"/>
        <v>0</v>
      </c>
      <c r="K3950" s="4" t="e">
        <f t="shared" si="801"/>
        <v>#N/A</v>
      </c>
      <c r="L3950" t="e">
        <f t="shared" si="802"/>
        <v>#N/A</v>
      </c>
      <c r="M3950" s="4" t="e">
        <f t="shared" si="803"/>
        <v>#N/A</v>
      </c>
      <c r="N3950" s="4" t="e">
        <f t="shared" si="804"/>
        <v>#N/A</v>
      </c>
    </row>
    <row r="3951" spans="1:14">
      <c r="A3951">
        <f t="shared" si="805"/>
        <v>0</v>
      </c>
      <c r="B3951">
        <f t="shared" si="806"/>
        <v>0</v>
      </c>
      <c r="C3951">
        <f t="shared" si="807"/>
        <v>0</v>
      </c>
      <c r="D3951">
        <f t="shared" si="808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9"/>
        <v>0</v>
      </c>
      <c r="G3951">
        <f t="shared" si="810"/>
        <v>0</v>
      </c>
      <c r="H3951">
        <f t="shared" si="811"/>
        <v>0</v>
      </c>
      <c r="I3951">
        <f t="shared" si="812"/>
        <v>0</v>
      </c>
      <c r="J3951">
        <f t="shared" si="813"/>
        <v>0</v>
      </c>
      <c r="K3951" s="4" t="e">
        <f t="shared" si="801"/>
        <v>#N/A</v>
      </c>
      <c r="L3951" t="e">
        <f t="shared" si="802"/>
        <v>#N/A</v>
      </c>
      <c r="M3951" s="4" t="e">
        <f t="shared" si="803"/>
        <v>#N/A</v>
      </c>
      <c r="N3951" s="4" t="e">
        <f t="shared" si="804"/>
        <v>#N/A</v>
      </c>
    </row>
    <row r="3952" spans="1:14">
      <c r="A3952">
        <f t="shared" si="805"/>
        <v>0</v>
      </c>
      <c r="B3952">
        <f t="shared" si="806"/>
        <v>0</v>
      </c>
      <c r="C3952">
        <f t="shared" si="807"/>
        <v>0</v>
      </c>
      <c r="D3952">
        <f t="shared" si="808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9"/>
        <v>0</v>
      </c>
      <c r="G3952">
        <f t="shared" si="810"/>
        <v>0</v>
      </c>
      <c r="H3952">
        <f t="shared" si="811"/>
        <v>0</v>
      </c>
      <c r="I3952">
        <f t="shared" si="812"/>
        <v>0</v>
      </c>
      <c r="J3952">
        <f t="shared" si="813"/>
        <v>0</v>
      </c>
      <c r="K3952" s="4" t="e">
        <f t="shared" si="801"/>
        <v>#N/A</v>
      </c>
      <c r="L3952" t="e">
        <f t="shared" si="802"/>
        <v>#N/A</v>
      </c>
      <c r="M3952" s="4" t="e">
        <f t="shared" si="803"/>
        <v>#N/A</v>
      </c>
      <c r="N3952" s="4" t="e">
        <f t="shared" si="804"/>
        <v>#N/A</v>
      </c>
    </row>
    <row r="3953" spans="1:14">
      <c r="A3953">
        <f t="shared" si="805"/>
        <v>0</v>
      </c>
      <c r="B3953">
        <f t="shared" si="806"/>
        <v>0</v>
      </c>
      <c r="C3953">
        <f t="shared" si="807"/>
        <v>0</v>
      </c>
      <c r="D3953">
        <f t="shared" si="808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9"/>
        <v>0</v>
      </c>
      <c r="G3953">
        <f t="shared" si="810"/>
        <v>0</v>
      </c>
      <c r="H3953">
        <f t="shared" si="811"/>
        <v>0</v>
      </c>
      <c r="I3953">
        <f t="shared" si="812"/>
        <v>0</v>
      </c>
      <c r="J3953">
        <f t="shared" si="813"/>
        <v>0</v>
      </c>
      <c r="K3953" s="4" t="e">
        <f t="shared" si="801"/>
        <v>#N/A</v>
      </c>
      <c r="L3953" t="e">
        <f t="shared" si="802"/>
        <v>#N/A</v>
      </c>
      <c r="M3953" s="4" t="e">
        <f t="shared" si="803"/>
        <v>#N/A</v>
      </c>
      <c r="N3953" s="4" t="e">
        <f t="shared" si="804"/>
        <v>#N/A</v>
      </c>
    </row>
    <row r="3954" spans="1:14">
      <c r="A3954">
        <f t="shared" si="805"/>
        <v>0</v>
      </c>
      <c r="B3954">
        <f t="shared" si="806"/>
        <v>0</v>
      </c>
      <c r="C3954">
        <f t="shared" si="807"/>
        <v>0</v>
      </c>
      <c r="D3954">
        <f t="shared" si="808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9"/>
        <v>0</v>
      </c>
      <c r="G3954">
        <f t="shared" si="810"/>
        <v>0</v>
      </c>
      <c r="H3954">
        <f t="shared" si="811"/>
        <v>0</v>
      </c>
      <c r="I3954">
        <f t="shared" si="812"/>
        <v>0</v>
      </c>
      <c r="J3954">
        <f t="shared" si="813"/>
        <v>0</v>
      </c>
      <c r="K3954" s="4" t="e">
        <f t="shared" si="801"/>
        <v>#N/A</v>
      </c>
      <c r="L3954" t="e">
        <f t="shared" si="802"/>
        <v>#N/A</v>
      </c>
      <c r="M3954" s="4" t="e">
        <f t="shared" si="803"/>
        <v>#N/A</v>
      </c>
      <c r="N3954" s="4" t="e">
        <f t="shared" si="804"/>
        <v>#N/A</v>
      </c>
    </row>
    <row r="3955" spans="1:14">
      <c r="A3955">
        <f t="shared" si="805"/>
        <v>0</v>
      </c>
      <c r="B3955">
        <f t="shared" si="806"/>
        <v>0</v>
      </c>
      <c r="C3955">
        <f t="shared" si="807"/>
        <v>0</v>
      </c>
      <c r="D3955">
        <f t="shared" si="808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9"/>
        <v>0</v>
      </c>
      <c r="G3955">
        <f t="shared" si="810"/>
        <v>0</v>
      </c>
      <c r="H3955">
        <f t="shared" si="811"/>
        <v>0</v>
      </c>
      <c r="I3955">
        <f t="shared" si="812"/>
        <v>0</v>
      </c>
      <c r="J3955">
        <f t="shared" si="813"/>
        <v>0</v>
      </c>
      <c r="K3955" s="4" t="e">
        <f t="shared" si="801"/>
        <v>#N/A</v>
      </c>
      <c r="L3955" t="e">
        <f t="shared" si="802"/>
        <v>#N/A</v>
      </c>
      <c r="M3955" s="4" t="e">
        <f t="shared" si="803"/>
        <v>#N/A</v>
      </c>
      <c r="N3955" s="4" t="e">
        <f t="shared" si="804"/>
        <v>#N/A</v>
      </c>
    </row>
    <row r="3956" spans="1:14">
      <c r="A3956">
        <f t="shared" si="805"/>
        <v>0</v>
      </c>
      <c r="B3956">
        <f t="shared" si="806"/>
        <v>0</v>
      </c>
      <c r="C3956">
        <f t="shared" si="807"/>
        <v>0</v>
      </c>
      <c r="D3956">
        <f t="shared" si="808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9"/>
        <v>0</v>
      </c>
      <c r="G3956">
        <f t="shared" si="810"/>
        <v>0</v>
      </c>
      <c r="H3956">
        <f t="shared" si="811"/>
        <v>0</v>
      </c>
      <c r="I3956">
        <f t="shared" si="812"/>
        <v>0</v>
      </c>
      <c r="J3956">
        <f t="shared" si="813"/>
        <v>0</v>
      </c>
      <c r="K3956" s="4" t="e">
        <f t="shared" si="801"/>
        <v>#N/A</v>
      </c>
      <c r="L3956" t="e">
        <f t="shared" si="802"/>
        <v>#N/A</v>
      </c>
      <c r="M3956" s="4" t="e">
        <f t="shared" si="803"/>
        <v>#N/A</v>
      </c>
      <c r="N3956" s="4" t="e">
        <f t="shared" si="804"/>
        <v>#N/A</v>
      </c>
    </row>
    <row r="3957" spans="1:14">
      <c r="A3957">
        <f t="shared" si="805"/>
        <v>0</v>
      </c>
      <c r="B3957">
        <f t="shared" si="806"/>
        <v>0</v>
      </c>
      <c r="C3957">
        <f t="shared" si="807"/>
        <v>0</v>
      </c>
      <c r="D3957">
        <f t="shared" si="808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9"/>
        <v>0</v>
      </c>
      <c r="G3957">
        <f t="shared" si="810"/>
        <v>0</v>
      </c>
      <c r="H3957">
        <f t="shared" si="811"/>
        <v>0</v>
      </c>
      <c r="I3957">
        <f t="shared" si="812"/>
        <v>0</v>
      </c>
      <c r="J3957">
        <f t="shared" si="813"/>
        <v>0</v>
      </c>
      <c r="K3957" s="4" t="e">
        <f t="shared" si="801"/>
        <v>#N/A</v>
      </c>
      <c r="L3957" t="e">
        <f t="shared" si="802"/>
        <v>#N/A</v>
      </c>
      <c r="M3957" s="4" t="e">
        <f t="shared" si="803"/>
        <v>#N/A</v>
      </c>
      <c r="N3957" s="4" t="e">
        <f t="shared" si="804"/>
        <v>#N/A</v>
      </c>
    </row>
    <row r="3958" spans="1:14">
      <c r="A3958">
        <f t="shared" si="805"/>
        <v>0</v>
      </c>
      <c r="B3958">
        <f t="shared" si="806"/>
        <v>0</v>
      </c>
      <c r="C3958">
        <f t="shared" si="807"/>
        <v>0</v>
      </c>
      <c r="D3958">
        <f t="shared" si="808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9"/>
        <v>0</v>
      </c>
      <c r="G3958">
        <f t="shared" si="810"/>
        <v>0</v>
      </c>
      <c r="H3958">
        <f t="shared" si="811"/>
        <v>0</v>
      </c>
      <c r="I3958">
        <f t="shared" si="812"/>
        <v>0</v>
      </c>
      <c r="J3958">
        <f t="shared" si="813"/>
        <v>0</v>
      </c>
      <c r="K3958" s="4" t="e">
        <f t="shared" si="801"/>
        <v>#N/A</v>
      </c>
      <c r="L3958" t="e">
        <f t="shared" si="802"/>
        <v>#N/A</v>
      </c>
      <c r="M3958" s="4" t="e">
        <f t="shared" si="803"/>
        <v>#N/A</v>
      </c>
      <c r="N3958" s="4" t="e">
        <f t="shared" si="804"/>
        <v>#N/A</v>
      </c>
    </row>
    <row r="3959" spans="1:14">
      <c r="A3959">
        <f t="shared" si="805"/>
        <v>0</v>
      </c>
      <c r="B3959">
        <f t="shared" si="806"/>
        <v>0</v>
      </c>
      <c r="C3959">
        <f t="shared" si="807"/>
        <v>0</v>
      </c>
      <c r="D3959">
        <f t="shared" si="808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9"/>
        <v>0</v>
      </c>
      <c r="G3959">
        <f t="shared" si="810"/>
        <v>0</v>
      </c>
      <c r="H3959">
        <f t="shared" si="811"/>
        <v>0</v>
      </c>
      <c r="I3959">
        <f t="shared" si="812"/>
        <v>0</v>
      </c>
      <c r="J3959">
        <f t="shared" si="813"/>
        <v>0</v>
      </c>
      <c r="K3959" s="4" t="e">
        <f t="shared" si="801"/>
        <v>#N/A</v>
      </c>
      <c r="L3959" t="e">
        <f t="shared" si="802"/>
        <v>#N/A</v>
      </c>
      <c r="M3959" s="4" t="e">
        <f t="shared" si="803"/>
        <v>#N/A</v>
      </c>
      <c r="N3959" s="4" t="e">
        <f t="shared" si="804"/>
        <v>#N/A</v>
      </c>
    </row>
    <row r="3960" spans="1:14">
      <c r="A3960">
        <f t="shared" si="805"/>
        <v>0</v>
      </c>
      <c r="B3960">
        <f t="shared" si="806"/>
        <v>0</v>
      </c>
      <c r="C3960">
        <f t="shared" si="807"/>
        <v>0</v>
      </c>
      <c r="D3960">
        <f t="shared" si="808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9"/>
        <v>0</v>
      </c>
      <c r="G3960">
        <f t="shared" si="810"/>
        <v>0</v>
      </c>
      <c r="H3960">
        <f t="shared" si="811"/>
        <v>0</v>
      </c>
      <c r="I3960">
        <f t="shared" si="812"/>
        <v>0</v>
      </c>
      <c r="J3960">
        <f t="shared" si="813"/>
        <v>0</v>
      </c>
      <c r="K3960" s="4" t="e">
        <f t="shared" si="801"/>
        <v>#N/A</v>
      </c>
      <c r="L3960" t="e">
        <f t="shared" si="802"/>
        <v>#N/A</v>
      </c>
      <c r="M3960" s="4" t="e">
        <f t="shared" si="803"/>
        <v>#N/A</v>
      </c>
      <c r="N3960" s="4" t="e">
        <f t="shared" si="804"/>
        <v>#N/A</v>
      </c>
    </row>
    <row r="3961" spans="1:14">
      <c r="A3961">
        <f t="shared" si="805"/>
        <v>0</v>
      </c>
      <c r="B3961">
        <f t="shared" si="806"/>
        <v>0</v>
      </c>
      <c r="C3961">
        <f t="shared" si="807"/>
        <v>0</v>
      </c>
      <c r="D3961">
        <f t="shared" si="808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9"/>
        <v>0</v>
      </c>
      <c r="G3961">
        <f t="shared" si="810"/>
        <v>0</v>
      </c>
      <c r="H3961">
        <f t="shared" si="811"/>
        <v>0</v>
      </c>
      <c r="I3961">
        <f t="shared" si="812"/>
        <v>0</v>
      </c>
      <c r="J3961">
        <f t="shared" si="813"/>
        <v>0</v>
      </c>
      <c r="K3961" s="4" t="e">
        <f t="shared" si="801"/>
        <v>#N/A</v>
      </c>
      <c r="L3961" t="e">
        <f t="shared" si="802"/>
        <v>#N/A</v>
      </c>
      <c r="M3961" s="4" t="e">
        <f t="shared" si="803"/>
        <v>#N/A</v>
      </c>
      <c r="N3961" s="4" t="e">
        <f t="shared" si="804"/>
        <v>#N/A</v>
      </c>
    </row>
    <row r="3962" spans="1:14">
      <c r="A3962">
        <f t="shared" si="805"/>
        <v>0</v>
      </c>
      <c r="B3962">
        <f t="shared" si="806"/>
        <v>0</v>
      </c>
      <c r="C3962">
        <f t="shared" si="807"/>
        <v>0</v>
      </c>
      <c r="D3962">
        <f t="shared" si="808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9"/>
        <v>0</v>
      </c>
      <c r="G3962">
        <f t="shared" si="810"/>
        <v>0</v>
      </c>
      <c r="H3962">
        <f t="shared" si="811"/>
        <v>0</v>
      </c>
      <c r="I3962">
        <f t="shared" si="812"/>
        <v>0</v>
      </c>
      <c r="J3962">
        <f t="shared" si="813"/>
        <v>0</v>
      </c>
      <c r="K3962" s="4" t="e">
        <f t="shared" si="801"/>
        <v>#N/A</v>
      </c>
      <c r="L3962" t="e">
        <f t="shared" si="802"/>
        <v>#N/A</v>
      </c>
      <c r="M3962" s="4" t="e">
        <f t="shared" si="803"/>
        <v>#N/A</v>
      </c>
      <c r="N3962" s="4" t="e">
        <f t="shared" si="804"/>
        <v>#N/A</v>
      </c>
    </row>
    <row r="3963" spans="1:14">
      <c r="A3963">
        <f t="shared" si="805"/>
        <v>0</v>
      </c>
      <c r="B3963">
        <f t="shared" si="806"/>
        <v>0</v>
      </c>
      <c r="C3963">
        <f t="shared" si="807"/>
        <v>0</v>
      </c>
      <c r="D3963">
        <f t="shared" si="808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9"/>
        <v>0</v>
      </c>
      <c r="G3963">
        <f t="shared" si="810"/>
        <v>0</v>
      </c>
      <c r="H3963">
        <f t="shared" si="811"/>
        <v>0</v>
      </c>
      <c r="I3963">
        <f t="shared" si="812"/>
        <v>0</v>
      </c>
      <c r="J3963">
        <f t="shared" si="813"/>
        <v>0</v>
      </c>
      <c r="K3963" s="4" t="e">
        <f t="shared" si="801"/>
        <v>#N/A</v>
      </c>
      <c r="L3963" t="e">
        <f t="shared" si="802"/>
        <v>#N/A</v>
      </c>
      <c r="M3963" s="4" t="e">
        <f t="shared" si="803"/>
        <v>#N/A</v>
      </c>
      <c r="N3963" s="4" t="e">
        <f t="shared" si="804"/>
        <v>#N/A</v>
      </c>
    </row>
    <row r="3964" spans="1:14">
      <c r="A3964">
        <f t="shared" si="805"/>
        <v>0</v>
      </c>
      <c r="B3964">
        <f t="shared" si="806"/>
        <v>0</v>
      </c>
      <c r="C3964">
        <f t="shared" si="807"/>
        <v>0</v>
      </c>
      <c r="D3964">
        <f t="shared" si="808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9"/>
        <v>0</v>
      </c>
      <c r="G3964">
        <f t="shared" si="810"/>
        <v>0</v>
      </c>
      <c r="H3964">
        <f t="shared" si="811"/>
        <v>0</v>
      </c>
      <c r="I3964">
        <f t="shared" si="812"/>
        <v>0</v>
      </c>
      <c r="J3964">
        <f t="shared" si="813"/>
        <v>0</v>
      </c>
      <c r="K3964" s="4" t="e">
        <f t="shared" si="801"/>
        <v>#N/A</v>
      </c>
      <c r="L3964" t="e">
        <f t="shared" si="802"/>
        <v>#N/A</v>
      </c>
      <c r="M3964" s="4" t="e">
        <f t="shared" si="803"/>
        <v>#N/A</v>
      </c>
      <c r="N3964" s="4" t="e">
        <f t="shared" si="804"/>
        <v>#N/A</v>
      </c>
    </row>
    <row r="3965" spans="1:14">
      <c r="A3965">
        <f t="shared" si="805"/>
        <v>0</v>
      </c>
      <c r="B3965">
        <f t="shared" si="806"/>
        <v>0</v>
      </c>
      <c r="C3965">
        <f t="shared" si="807"/>
        <v>0</v>
      </c>
      <c r="D3965">
        <f t="shared" si="808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9"/>
        <v>0</v>
      </c>
      <c r="G3965">
        <f t="shared" si="810"/>
        <v>0</v>
      </c>
      <c r="H3965">
        <f t="shared" si="811"/>
        <v>0</v>
      </c>
      <c r="I3965">
        <f t="shared" si="812"/>
        <v>0</v>
      </c>
      <c r="J3965">
        <f t="shared" si="813"/>
        <v>0</v>
      </c>
      <c r="K3965" s="4" t="e">
        <f t="shared" ref="K3965:K4028" si="814">IF(LEFT(B3965,3)="DBM",0,VLOOKUP(E3965,tabela,2,FALSE))</f>
        <v>#N/A</v>
      </c>
      <c r="L3965" t="e">
        <f t="shared" ref="L3965:L4028" si="815">VLOOKUP(E3965,tabela,3,FALSE)</f>
        <v>#N/A</v>
      </c>
      <c r="M3965" s="4" t="e">
        <f t="shared" ref="M3965:M4028" si="816">IF(E3965="Dynamic Click",J3965*K3965,K3965*$I3965/1000)</f>
        <v>#N/A</v>
      </c>
      <c r="N3965" s="4" t="e">
        <f t="shared" ref="N3965:N4028" si="817">IF(E3965="Dynamic Click",J3965*L3965,L3965*$I3965/1000)</f>
        <v>#N/A</v>
      </c>
    </row>
    <row r="3966" spans="1:14">
      <c r="A3966">
        <f t="shared" si="805"/>
        <v>0</v>
      </c>
      <c r="B3966">
        <f t="shared" si="806"/>
        <v>0</v>
      </c>
      <c r="C3966">
        <f t="shared" si="807"/>
        <v>0</v>
      </c>
      <c r="D3966">
        <f t="shared" si="808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9"/>
        <v>0</v>
      </c>
      <c r="G3966">
        <f t="shared" si="810"/>
        <v>0</v>
      </c>
      <c r="H3966">
        <f t="shared" si="811"/>
        <v>0</v>
      </c>
      <c r="I3966">
        <f t="shared" si="812"/>
        <v>0</v>
      </c>
      <c r="J3966">
        <f t="shared" si="813"/>
        <v>0</v>
      </c>
      <c r="K3966" s="4" t="e">
        <f t="shared" si="814"/>
        <v>#N/A</v>
      </c>
      <c r="L3966" t="e">
        <f t="shared" si="815"/>
        <v>#N/A</v>
      </c>
      <c r="M3966" s="4" t="e">
        <f t="shared" si="816"/>
        <v>#N/A</v>
      </c>
      <c r="N3966" s="4" t="e">
        <f t="shared" si="817"/>
        <v>#N/A</v>
      </c>
    </row>
    <row r="3967" spans="1:14">
      <c r="A3967">
        <f t="shared" si="805"/>
        <v>0</v>
      </c>
      <c r="B3967">
        <f t="shared" si="806"/>
        <v>0</v>
      </c>
      <c r="C3967">
        <f t="shared" si="807"/>
        <v>0</v>
      </c>
      <c r="D3967">
        <f t="shared" si="808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9"/>
        <v>0</v>
      </c>
      <c r="G3967">
        <f t="shared" si="810"/>
        <v>0</v>
      </c>
      <c r="H3967">
        <f t="shared" si="811"/>
        <v>0</v>
      </c>
      <c r="I3967">
        <f t="shared" si="812"/>
        <v>0</v>
      </c>
      <c r="J3967">
        <f t="shared" si="813"/>
        <v>0</v>
      </c>
      <c r="K3967" s="4" t="e">
        <f t="shared" si="814"/>
        <v>#N/A</v>
      </c>
      <c r="L3967" t="e">
        <f t="shared" si="815"/>
        <v>#N/A</v>
      </c>
      <c r="M3967" s="4" t="e">
        <f t="shared" si="816"/>
        <v>#N/A</v>
      </c>
      <c r="N3967" s="4" t="e">
        <f t="shared" si="817"/>
        <v>#N/A</v>
      </c>
    </row>
    <row r="3968" spans="1:14">
      <c r="A3968">
        <f t="shared" si="805"/>
        <v>0</v>
      </c>
      <c r="B3968">
        <f t="shared" si="806"/>
        <v>0</v>
      </c>
      <c r="C3968">
        <f t="shared" si="807"/>
        <v>0</v>
      </c>
      <c r="D3968">
        <f t="shared" si="808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9"/>
        <v>0</v>
      </c>
      <c r="G3968">
        <f t="shared" si="810"/>
        <v>0</v>
      </c>
      <c r="H3968">
        <f t="shared" si="811"/>
        <v>0</v>
      </c>
      <c r="I3968">
        <f t="shared" si="812"/>
        <v>0</v>
      </c>
      <c r="J3968">
        <f t="shared" si="813"/>
        <v>0</v>
      </c>
      <c r="K3968" s="4" t="e">
        <f t="shared" si="814"/>
        <v>#N/A</v>
      </c>
      <c r="L3968" t="e">
        <f t="shared" si="815"/>
        <v>#N/A</v>
      </c>
      <c r="M3968" s="4" t="e">
        <f t="shared" si="816"/>
        <v>#N/A</v>
      </c>
      <c r="N3968" s="4" t="e">
        <f t="shared" si="817"/>
        <v>#N/A</v>
      </c>
    </row>
    <row r="3969" spans="1:14">
      <c r="A3969">
        <f t="shared" si="805"/>
        <v>0</v>
      </c>
      <c r="B3969">
        <f t="shared" si="806"/>
        <v>0</v>
      </c>
      <c r="C3969">
        <f t="shared" si="807"/>
        <v>0</v>
      </c>
      <c r="D3969">
        <f t="shared" si="808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9"/>
        <v>0</v>
      </c>
      <c r="G3969">
        <f t="shared" si="810"/>
        <v>0</v>
      </c>
      <c r="H3969">
        <f t="shared" si="811"/>
        <v>0</v>
      </c>
      <c r="I3969">
        <f t="shared" si="812"/>
        <v>0</v>
      </c>
      <c r="J3969">
        <f t="shared" si="813"/>
        <v>0</v>
      </c>
      <c r="K3969" s="4" t="e">
        <f t="shared" si="814"/>
        <v>#N/A</v>
      </c>
      <c r="L3969" t="e">
        <f t="shared" si="815"/>
        <v>#N/A</v>
      </c>
      <c r="M3969" s="4" t="e">
        <f t="shared" si="816"/>
        <v>#N/A</v>
      </c>
      <c r="N3969" s="4" t="e">
        <f t="shared" si="817"/>
        <v>#N/A</v>
      </c>
    </row>
    <row r="3970" spans="1:14">
      <c r="A3970">
        <f t="shared" ref="A3970:A4033" si="818">bd_campaign</f>
        <v>0</v>
      </c>
      <c r="B3970">
        <f t="shared" ref="B3970:B4033" si="819">bd_site</f>
        <v>0</v>
      </c>
      <c r="C3970">
        <f t="shared" ref="C3970:C4033" si="820">bd_placement</f>
        <v>0</v>
      </c>
      <c r="D3970">
        <f t="shared" ref="D3970:D4033" si="821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2">bd_ad</f>
        <v>0</v>
      </c>
      <c r="G3970">
        <f t="shared" ref="G3970:G4033" si="823">bd_adid</f>
        <v>0</v>
      </c>
      <c r="H3970">
        <f t="shared" ref="H3970:H4033" si="824">bd_creativetype</f>
        <v>0</v>
      </c>
      <c r="I3970">
        <f t="shared" ref="I3970:I4033" si="825">bd_impression</f>
        <v>0</v>
      </c>
      <c r="J3970">
        <f t="shared" ref="J3970:J4033" si="826">bd_clicks</f>
        <v>0</v>
      </c>
      <c r="K3970" s="4" t="e">
        <f t="shared" si="814"/>
        <v>#N/A</v>
      </c>
      <c r="L3970" t="e">
        <f t="shared" si="815"/>
        <v>#N/A</v>
      </c>
      <c r="M3970" s="4" t="e">
        <f t="shared" si="816"/>
        <v>#N/A</v>
      </c>
      <c r="N3970" s="4" t="e">
        <f t="shared" si="817"/>
        <v>#N/A</v>
      </c>
    </row>
    <row r="3971" spans="1:14">
      <c r="A3971">
        <f t="shared" si="818"/>
        <v>0</v>
      </c>
      <c r="B3971">
        <f t="shared" si="819"/>
        <v>0</v>
      </c>
      <c r="C3971">
        <f t="shared" si="820"/>
        <v>0</v>
      </c>
      <c r="D3971">
        <f t="shared" si="821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2"/>
        <v>0</v>
      </c>
      <c r="G3971">
        <f t="shared" si="823"/>
        <v>0</v>
      </c>
      <c r="H3971">
        <f t="shared" si="824"/>
        <v>0</v>
      </c>
      <c r="I3971">
        <f t="shared" si="825"/>
        <v>0</v>
      </c>
      <c r="J3971">
        <f t="shared" si="826"/>
        <v>0</v>
      </c>
      <c r="K3971" s="4" t="e">
        <f t="shared" si="814"/>
        <v>#N/A</v>
      </c>
      <c r="L3971" t="e">
        <f t="shared" si="815"/>
        <v>#N/A</v>
      </c>
      <c r="M3971" s="4" t="e">
        <f t="shared" si="816"/>
        <v>#N/A</v>
      </c>
      <c r="N3971" s="4" t="e">
        <f t="shared" si="817"/>
        <v>#N/A</v>
      </c>
    </row>
    <row r="3972" spans="1:14">
      <c r="A3972">
        <f t="shared" si="818"/>
        <v>0</v>
      </c>
      <c r="B3972">
        <f t="shared" si="819"/>
        <v>0</v>
      </c>
      <c r="C3972">
        <f t="shared" si="820"/>
        <v>0</v>
      </c>
      <c r="D3972">
        <f t="shared" si="821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2"/>
        <v>0</v>
      </c>
      <c r="G3972">
        <f t="shared" si="823"/>
        <v>0</v>
      </c>
      <c r="H3972">
        <f t="shared" si="824"/>
        <v>0</v>
      </c>
      <c r="I3972">
        <f t="shared" si="825"/>
        <v>0</v>
      </c>
      <c r="J3972">
        <f t="shared" si="826"/>
        <v>0</v>
      </c>
      <c r="K3972" s="4" t="e">
        <f t="shared" si="814"/>
        <v>#N/A</v>
      </c>
      <c r="L3972" t="e">
        <f t="shared" si="815"/>
        <v>#N/A</v>
      </c>
      <c r="M3972" s="4" t="e">
        <f t="shared" si="816"/>
        <v>#N/A</v>
      </c>
      <c r="N3972" s="4" t="e">
        <f t="shared" si="817"/>
        <v>#N/A</v>
      </c>
    </row>
    <row r="3973" spans="1:14">
      <c r="A3973">
        <f t="shared" si="818"/>
        <v>0</v>
      </c>
      <c r="B3973">
        <f t="shared" si="819"/>
        <v>0</v>
      </c>
      <c r="C3973">
        <f t="shared" si="820"/>
        <v>0</v>
      </c>
      <c r="D3973">
        <f t="shared" si="821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2"/>
        <v>0</v>
      </c>
      <c r="G3973">
        <f t="shared" si="823"/>
        <v>0</v>
      </c>
      <c r="H3973">
        <f t="shared" si="824"/>
        <v>0</v>
      </c>
      <c r="I3973">
        <f t="shared" si="825"/>
        <v>0</v>
      </c>
      <c r="J3973">
        <f t="shared" si="826"/>
        <v>0</v>
      </c>
      <c r="K3973" s="4" t="e">
        <f t="shared" si="814"/>
        <v>#N/A</v>
      </c>
      <c r="L3973" t="e">
        <f t="shared" si="815"/>
        <v>#N/A</v>
      </c>
      <c r="M3973" s="4" t="e">
        <f t="shared" si="816"/>
        <v>#N/A</v>
      </c>
      <c r="N3973" s="4" t="e">
        <f t="shared" si="817"/>
        <v>#N/A</v>
      </c>
    </row>
    <row r="3974" spans="1:14">
      <c r="A3974">
        <f t="shared" si="818"/>
        <v>0</v>
      </c>
      <c r="B3974">
        <f t="shared" si="819"/>
        <v>0</v>
      </c>
      <c r="C3974">
        <f t="shared" si="820"/>
        <v>0</v>
      </c>
      <c r="D3974">
        <f t="shared" si="821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2"/>
        <v>0</v>
      </c>
      <c r="G3974">
        <f t="shared" si="823"/>
        <v>0</v>
      </c>
      <c r="H3974">
        <f t="shared" si="824"/>
        <v>0</v>
      </c>
      <c r="I3974">
        <f t="shared" si="825"/>
        <v>0</v>
      </c>
      <c r="J3974">
        <f t="shared" si="826"/>
        <v>0</v>
      </c>
      <c r="K3974" s="4" t="e">
        <f t="shared" si="814"/>
        <v>#N/A</v>
      </c>
      <c r="L3974" t="e">
        <f t="shared" si="815"/>
        <v>#N/A</v>
      </c>
      <c r="M3974" s="4" t="e">
        <f t="shared" si="816"/>
        <v>#N/A</v>
      </c>
      <c r="N3974" s="4" t="e">
        <f t="shared" si="817"/>
        <v>#N/A</v>
      </c>
    </row>
    <row r="3975" spans="1:14">
      <c r="A3975">
        <f t="shared" si="818"/>
        <v>0</v>
      </c>
      <c r="B3975">
        <f t="shared" si="819"/>
        <v>0</v>
      </c>
      <c r="C3975">
        <f t="shared" si="820"/>
        <v>0</v>
      </c>
      <c r="D3975">
        <f t="shared" si="821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2"/>
        <v>0</v>
      </c>
      <c r="G3975">
        <f t="shared" si="823"/>
        <v>0</v>
      </c>
      <c r="H3975">
        <f t="shared" si="824"/>
        <v>0</v>
      </c>
      <c r="I3975">
        <f t="shared" si="825"/>
        <v>0</v>
      </c>
      <c r="J3975">
        <f t="shared" si="826"/>
        <v>0</v>
      </c>
      <c r="K3975" s="4" t="e">
        <f t="shared" si="814"/>
        <v>#N/A</v>
      </c>
      <c r="L3975" t="e">
        <f t="shared" si="815"/>
        <v>#N/A</v>
      </c>
      <c r="M3975" s="4" t="e">
        <f t="shared" si="816"/>
        <v>#N/A</v>
      </c>
      <c r="N3975" s="4" t="e">
        <f t="shared" si="817"/>
        <v>#N/A</v>
      </c>
    </row>
    <row r="3976" spans="1:14">
      <c r="A3976">
        <f t="shared" si="818"/>
        <v>0</v>
      </c>
      <c r="B3976">
        <f t="shared" si="819"/>
        <v>0</v>
      </c>
      <c r="C3976">
        <f t="shared" si="820"/>
        <v>0</v>
      </c>
      <c r="D3976">
        <f t="shared" si="821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2"/>
        <v>0</v>
      </c>
      <c r="G3976">
        <f t="shared" si="823"/>
        <v>0</v>
      </c>
      <c r="H3976">
        <f t="shared" si="824"/>
        <v>0</v>
      </c>
      <c r="I3976">
        <f t="shared" si="825"/>
        <v>0</v>
      </c>
      <c r="J3976">
        <f t="shared" si="826"/>
        <v>0</v>
      </c>
      <c r="K3976" s="4" t="e">
        <f t="shared" si="814"/>
        <v>#N/A</v>
      </c>
      <c r="L3976" t="e">
        <f t="shared" si="815"/>
        <v>#N/A</v>
      </c>
      <c r="M3976" s="4" t="e">
        <f t="shared" si="816"/>
        <v>#N/A</v>
      </c>
      <c r="N3976" s="4" t="e">
        <f t="shared" si="817"/>
        <v>#N/A</v>
      </c>
    </row>
    <row r="3977" spans="1:14">
      <c r="A3977">
        <f t="shared" si="818"/>
        <v>0</v>
      </c>
      <c r="B3977">
        <f t="shared" si="819"/>
        <v>0</v>
      </c>
      <c r="C3977">
        <f t="shared" si="820"/>
        <v>0</v>
      </c>
      <c r="D3977">
        <f t="shared" si="821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2"/>
        <v>0</v>
      </c>
      <c r="G3977">
        <f t="shared" si="823"/>
        <v>0</v>
      </c>
      <c r="H3977">
        <f t="shared" si="824"/>
        <v>0</v>
      </c>
      <c r="I3977">
        <f t="shared" si="825"/>
        <v>0</v>
      </c>
      <c r="J3977">
        <f t="shared" si="826"/>
        <v>0</v>
      </c>
      <c r="K3977" s="4" t="e">
        <f t="shared" si="814"/>
        <v>#N/A</v>
      </c>
      <c r="L3977" t="e">
        <f t="shared" si="815"/>
        <v>#N/A</v>
      </c>
      <c r="M3977" s="4" t="e">
        <f t="shared" si="816"/>
        <v>#N/A</v>
      </c>
      <c r="N3977" s="4" t="e">
        <f t="shared" si="817"/>
        <v>#N/A</v>
      </c>
    </row>
    <row r="3978" spans="1:14">
      <c r="A3978">
        <f t="shared" si="818"/>
        <v>0</v>
      </c>
      <c r="B3978">
        <f t="shared" si="819"/>
        <v>0</v>
      </c>
      <c r="C3978">
        <f t="shared" si="820"/>
        <v>0</v>
      </c>
      <c r="D3978">
        <f t="shared" si="821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2"/>
        <v>0</v>
      </c>
      <c r="G3978">
        <f t="shared" si="823"/>
        <v>0</v>
      </c>
      <c r="H3978">
        <f t="shared" si="824"/>
        <v>0</v>
      </c>
      <c r="I3978">
        <f t="shared" si="825"/>
        <v>0</v>
      </c>
      <c r="J3978">
        <f t="shared" si="826"/>
        <v>0</v>
      </c>
      <c r="K3978" s="4" t="e">
        <f t="shared" si="814"/>
        <v>#N/A</v>
      </c>
      <c r="L3978" t="e">
        <f t="shared" si="815"/>
        <v>#N/A</v>
      </c>
      <c r="M3978" s="4" t="e">
        <f t="shared" si="816"/>
        <v>#N/A</v>
      </c>
      <c r="N3978" s="4" t="e">
        <f t="shared" si="817"/>
        <v>#N/A</v>
      </c>
    </row>
    <row r="3979" spans="1:14">
      <c r="A3979">
        <f t="shared" si="818"/>
        <v>0</v>
      </c>
      <c r="B3979">
        <f t="shared" si="819"/>
        <v>0</v>
      </c>
      <c r="C3979">
        <f t="shared" si="820"/>
        <v>0</v>
      </c>
      <c r="D3979">
        <f t="shared" si="821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2"/>
        <v>0</v>
      </c>
      <c r="G3979">
        <f t="shared" si="823"/>
        <v>0</v>
      </c>
      <c r="H3979">
        <f t="shared" si="824"/>
        <v>0</v>
      </c>
      <c r="I3979">
        <f t="shared" si="825"/>
        <v>0</v>
      </c>
      <c r="J3979">
        <f t="shared" si="826"/>
        <v>0</v>
      </c>
      <c r="K3979" s="4" t="e">
        <f t="shared" si="814"/>
        <v>#N/A</v>
      </c>
      <c r="L3979" t="e">
        <f t="shared" si="815"/>
        <v>#N/A</v>
      </c>
      <c r="M3979" s="4" t="e">
        <f t="shared" si="816"/>
        <v>#N/A</v>
      </c>
      <c r="N3979" s="4" t="e">
        <f t="shared" si="817"/>
        <v>#N/A</v>
      </c>
    </row>
    <row r="3980" spans="1:14">
      <c r="A3980">
        <f t="shared" si="818"/>
        <v>0</v>
      </c>
      <c r="B3980">
        <f t="shared" si="819"/>
        <v>0</v>
      </c>
      <c r="C3980">
        <f t="shared" si="820"/>
        <v>0</v>
      </c>
      <c r="D3980">
        <f t="shared" si="821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2"/>
        <v>0</v>
      </c>
      <c r="G3980">
        <f t="shared" si="823"/>
        <v>0</v>
      </c>
      <c r="H3980">
        <f t="shared" si="824"/>
        <v>0</v>
      </c>
      <c r="I3980">
        <f t="shared" si="825"/>
        <v>0</v>
      </c>
      <c r="J3980">
        <f t="shared" si="826"/>
        <v>0</v>
      </c>
      <c r="K3980" s="4" t="e">
        <f t="shared" si="814"/>
        <v>#N/A</v>
      </c>
      <c r="L3980" t="e">
        <f t="shared" si="815"/>
        <v>#N/A</v>
      </c>
      <c r="M3980" s="4" t="e">
        <f t="shared" si="816"/>
        <v>#N/A</v>
      </c>
      <c r="N3980" s="4" t="e">
        <f t="shared" si="817"/>
        <v>#N/A</v>
      </c>
    </row>
    <row r="3981" spans="1:14">
      <c r="A3981">
        <f t="shared" si="818"/>
        <v>0</v>
      </c>
      <c r="B3981">
        <f t="shared" si="819"/>
        <v>0</v>
      </c>
      <c r="C3981">
        <f t="shared" si="820"/>
        <v>0</v>
      </c>
      <c r="D3981">
        <f t="shared" si="821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2"/>
        <v>0</v>
      </c>
      <c r="G3981">
        <f t="shared" si="823"/>
        <v>0</v>
      </c>
      <c r="H3981">
        <f t="shared" si="824"/>
        <v>0</v>
      </c>
      <c r="I3981">
        <f t="shared" si="825"/>
        <v>0</v>
      </c>
      <c r="J3981">
        <f t="shared" si="826"/>
        <v>0</v>
      </c>
      <c r="K3981" s="4" t="e">
        <f t="shared" si="814"/>
        <v>#N/A</v>
      </c>
      <c r="L3981" t="e">
        <f t="shared" si="815"/>
        <v>#N/A</v>
      </c>
      <c r="M3981" s="4" t="e">
        <f t="shared" si="816"/>
        <v>#N/A</v>
      </c>
      <c r="N3981" s="4" t="e">
        <f t="shared" si="817"/>
        <v>#N/A</v>
      </c>
    </row>
    <row r="3982" spans="1:14">
      <c r="A3982">
        <f t="shared" si="818"/>
        <v>0</v>
      </c>
      <c r="B3982">
        <f t="shared" si="819"/>
        <v>0</v>
      </c>
      <c r="C3982">
        <f t="shared" si="820"/>
        <v>0</v>
      </c>
      <c r="D3982">
        <f t="shared" si="821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2"/>
        <v>0</v>
      </c>
      <c r="G3982">
        <f t="shared" si="823"/>
        <v>0</v>
      </c>
      <c r="H3982">
        <f t="shared" si="824"/>
        <v>0</v>
      </c>
      <c r="I3982">
        <f t="shared" si="825"/>
        <v>0</v>
      </c>
      <c r="J3982">
        <f t="shared" si="826"/>
        <v>0</v>
      </c>
      <c r="K3982" s="4" t="e">
        <f t="shared" si="814"/>
        <v>#N/A</v>
      </c>
      <c r="L3982" t="e">
        <f t="shared" si="815"/>
        <v>#N/A</v>
      </c>
      <c r="M3982" s="4" t="e">
        <f t="shared" si="816"/>
        <v>#N/A</v>
      </c>
      <c r="N3982" s="4" t="e">
        <f t="shared" si="817"/>
        <v>#N/A</v>
      </c>
    </row>
    <row r="3983" spans="1:14">
      <c r="A3983">
        <f t="shared" si="818"/>
        <v>0</v>
      </c>
      <c r="B3983">
        <f t="shared" si="819"/>
        <v>0</v>
      </c>
      <c r="C3983">
        <f t="shared" si="820"/>
        <v>0</v>
      </c>
      <c r="D3983">
        <f t="shared" si="821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2"/>
        <v>0</v>
      </c>
      <c r="G3983">
        <f t="shared" si="823"/>
        <v>0</v>
      </c>
      <c r="H3983">
        <f t="shared" si="824"/>
        <v>0</v>
      </c>
      <c r="I3983">
        <f t="shared" si="825"/>
        <v>0</v>
      </c>
      <c r="J3983">
        <f t="shared" si="826"/>
        <v>0</v>
      </c>
      <c r="K3983" s="4" t="e">
        <f t="shared" si="814"/>
        <v>#N/A</v>
      </c>
      <c r="L3983" t="e">
        <f t="shared" si="815"/>
        <v>#N/A</v>
      </c>
      <c r="M3983" s="4" t="e">
        <f t="shared" si="816"/>
        <v>#N/A</v>
      </c>
      <c r="N3983" s="4" t="e">
        <f t="shared" si="817"/>
        <v>#N/A</v>
      </c>
    </row>
    <row r="3984" spans="1:14">
      <c r="A3984">
        <f t="shared" si="818"/>
        <v>0</v>
      </c>
      <c r="B3984">
        <f t="shared" si="819"/>
        <v>0</v>
      </c>
      <c r="C3984">
        <f t="shared" si="820"/>
        <v>0</v>
      </c>
      <c r="D3984">
        <f t="shared" si="821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2"/>
        <v>0</v>
      </c>
      <c r="G3984">
        <f t="shared" si="823"/>
        <v>0</v>
      </c>
      <c r="H3984">
        <f t="shared" si="824"/>
        <v>0</v>
      </c>
      <c r="I3984">
        <f t="shared" si="825"/>
        <v>0</v>
      </c>
      <c r="J3984">
        <f t="shared" si="826"/>
        <v>0</v>
      </c>
      <c r="K3984" s="4" t="e">
        <f t="shared" si="814"/>
        <v>#N/A</v>
      </c>
      <c r="L3984" t="e">
        <f t="shared" si="815"/>
        <v>#N/A</v>
      </c>
      <c r="M3984" s="4" t="e">
        <f t="shared" si="816"/>
        <v>#N/A</v>
      </c>
      <c r="N3984" s="4" t="e">
        <f t="shared" si="817"/>
        <v>#N/A</v>
      </c>
    </row>
    <row r="3985" spans="1:14">
      <c r="A3985">
        <f t="shared" si="818"/>
        <v>0</v>
      </c>
      <c r="B3985">
        <f t="shared" si="819"/>
        <v>0</v>
      </c>
      <c r="C3985">
        <f t="shared" si="820"/>
        <v>0</v>
      </c>
      <c r="D3985">
        <f t="shared" si="821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2"/>
        <v>0</v>
      </c>
      <c r="G3985">
        <f t="shared" si="823"/>
        <v>0</v>
      </c>
      <c r="H3985">
        <f t="shared" si="824"/>
        <v>0</v>
      </c>
      <c r="I3985">
        <f t="shared" si="825"/>
        <v>0</v>
      </c>
      <c r="J3985">
        <f t="shared" si="826"/>
        <v>0</v>
      </c>
      <c r="K3985" s="4" t="e">
        <f t="shared" si="814"/>
        <v>#N/A</v>
      </c>
      <c r="L3985" t="e">
        <f t="shared" si="815"/>
        <v>#N/A</v>
      </c>
      <c r="M3985" s="4" t="e">
        <f t="shared" si="816"/>
        <v>#N/A</v>
      </c>
      <c r="N3985" s="4" t="e">
        <f t="shared" si="817"/>
        <v>#N/A</v>
      </c>
    </row>
    <row r="3986" spans="1:14">
      <c r="A3986">
        <f t="shared" si="818"/>
        <v>0</v>
      </c>
      <c r="B3986">
        <f t="shared" si="819"/>
        <v>0</v>
      </c>
      <c r="C3986">
        <f t="shared" si="820"/>
        <v>0</v>
      </c>
      <c r="D3986">
        <f t="shared" si="821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2"/>
        <v>0</v>
      </c>
      <c r="G3986">
        <f t="shared" si="823"/>
        <v>0</v>
      </c>
      <c r="H3986">
        <f t="shared" si="824"/>
        <v>0</v>
      </c>
      <c r="I3986">
        <f t="shared" si="825"/>
        <v>0</v>
      </c>
      <c r="J3986">
        <f t="shared" si="826"/>
        <v>0</v>
      </c>
      <c r="K3986" s="4" t="e">
        <f t="shared" si="814"/>
        <v>#N/A</v>
      </c>
      <c r="L3986" t="e">
        <f t="shared" si="815"/>
        <v>#N/A</v>
      </c>
      <c r="M3986" s="4" t="e">
        <f t="shared" si="816"/>
        <v>#N/A</v>
      </c>
      <c r="N3986" s="4" t="e">
        <f t="shared" si="817"/>
        <v>#N/A</v>
      </c>
    </row>
    <row r="3987" spans="1:14">
      <c r="A3987">
        <f t="shared" si="818"/>
        <v>0</v>
      </c>
      <c r="B3987">
        <f t="shared" si="819"/>
        <v>0</v>
      </c>
      <c r="C3987">
        <f t="shared" si="820"/>
        <v>0</v>
      </c>
      <c r="D3987">
        <f t="shared" si="821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2"/>
        <v>0</v>
      </c>
      <c r="G3987">
        <f t="shared" si="823"/>
        <v>0</v>
      </c>
      <c r="H3987">
        <f t="shared" si="824"/>
        <v>0</v>
      </c>
      <c r="I3987">
        <f t="shared" si="825"/>
        <v>0</v>
      </c>
      <c r="J3987">
        <f t="shared" si="826"/>
        <v>0</v>
      </c>
      <c r="K3987" s="4" t="e">
        <f t="shared" si="814"/>
        <v>#N/A</v>
      </c>
      <c r="L3987" t="e">
        <f t="shared" si="815"/>
        <v>#N/A</v>
      </c>
      <c r="M3987" s="4" t="e">
        <f t="shared" si="816"/>
        <v>#N/A</v>
      </c>
      <c r="N3987" s="4" t="e">
        <f t="shared" si="817"/>
        <v>#N/A</v>
      </c>
    </row>
    <row r="3988" spans="1:14">
      <c r="A3988">
        <f t="shared" si="818"/>
        <v>0</v>
      </c>
      <c r="B3988">
        <f t="shared" si="819"/>
        <v>0</v>
      </c>
      <c r="C3988">
        <f t="shared" si="820"/>
        <v>0</v>
      </c>
      <c r="D3988">
        <f t="shared" si="821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2"/>
        <v>0</v>
      </c>
      <c r="G3988">
        <f t="shared" si="823"/>
        <v>0</v>
      </c>
      <c r="H3988">
        <f t="shared" si="824"/>
        <v>0</v>
      </c>
      <c r="I3988">
        <f t="shared" si="825"/>
        <v>0</v>
      </c>
      <c r="J3988">
        <f t="shared" si="826"/>
        <v>0</v>
      </c>
      <c r="K3988" s="4" t="e">
        <f t="shared" si="814"/>
        <v>#N/A</v>
      </c>
      <c r="L3988" t="e">
        <f t="shared" si="815"/>
        <v>#N/A</v>
      </c>
      <c r="M3988" s="4" t="e">
        <f t="shared" si="816"/>
        <v>#N/A</v>
      </c>
      <c r="N3988" s="4" t="e">
        <f t="shared" si="817"/>
        <v>#N/A</v>
      </c>
    </row>
    <row r="3989" spans="1:14">
      <c r="A3989">
        <f t="shared" si="818"/>
        <v>0</v>
      </c>
      <c r="B3989">
        <f t="shared" si="819"/>
        <v>0</v>
      </c>
      <c r="C3989">
        <f t="shared" si="820"/>
        <v>0</v>
      </c>
      <c r="D3989">
        <f t="shared" si="821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2"/>
        <v>0</v>
      </c>
      <c r="G3989">
        <f t="shared" si="823"/>
        <v>0</v>
      </c>
      <c r="H3989">
        <f t="shared" si="824"/>
        <v>0</v>
      </c>
      <c r="I3989">
        <f t="shared" si="825"/>
        <v>0</v>
      </c>
      <c r="J3989">
        <f t="shared" si="826"/>
        <v>0</v>
      </c>
      <c r="K3989" s="4" t="e">
        <f t="shared" si="814"/>
        <v>#N/A</v>
      </c>
      <c r="L3989" t="e">
        <f t="shared" si="815"/>
        <v>#N/A</v>
      </c>
      <c r="M3989" s="4" t="e">
        <f t="shared" si="816"/>
        <v>#N/A</v>
      </c>
      <c r="N3989" s="4" t="e">
        <f t="shared" si="817"/>
        <v>#N/A</v>
      </c>
    </row>
    <row r="3990" spans="1:14">
      <c r="A3990">
        <f t="shared" si="818"/>
        <v>0</v>
      </c>
      <c r="B3990">
        <f t="shared" si="819"/>
        <v>0</v>
      </c>
      <c r="C3990">
        <f t="shared" si="820"/>
        <v>0</v>
      </c>
      <c r="D3990">
        <f t="shared" si="821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2"/>
        <v>0</v>
      </c>
      <c r="G3990">
        <f t="shared" si="823"/>
        <v>0</v>
      </c>
      <c r="H3990">
        <f t="shared" si="824"/>
        <v>0</v>
      </c>
      <c r="I3990">
        <f t="shared" si="825"/>
        <v>0</v>
      </c>
      <c r="J3990">
        <f t="shared" si="826"/>
        <v>0</v>
      </c>
      <c r="K3990" s="4" t="e">
        <f t="shared" si="814"/>
        <v>#N/A</v>
      </c>
      <c r="L3990" t="e">
        <f t="shared" si="815"/>
        <v>#N/A</v>
      </c>
      <c r="M3990" s="4" t="e">
        <f t="shared" si="816"/>
        <v>#N/A</v>
      </c>
      <c r="N3990" s="4" t="e">
        <f t="shared" si="817"/>
        <v>#N/A</v>
      </c>
    </row>
    <row r="3991" spans="1:14">
      <c r="A3991">
        <f t="shared" si="818"/>
        <v>0</v>
      </c>
      <c r="B3991">
        <f t="shared" si="819"/>
        <v>0</v>
      </c>
      <c r="C3991">
        <f t="shared" si="820"/>
        <v>0</v>
      </c>
      <c r="D3991">
        <f t="shared" si="821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2"/>
        <v>0</v>
      </c>
      <c r="G3991">
        <f t="shared" si="823"/>
        <v>0</v>
      </c>
      <c r="H3991">
        <f t="shared" si="824"/>
        <v>0</v>
      </c>
      <c r="I3991">
        <f t="shared" si="825"/>
        <v>0</v>
      </c>
      <c r="J3991">
        <f t="shared" si="826"/>
        <v>0</v>
      </c>
      <c r="K3991" s="4" t="e">
        <f t="shared" si="814"/>
        <v>#N/A</v>
      </c>
      <c r="L3991" t="e">
        <f t="shared" si="815"/>
        <v>#N/A</v>
      </c>
      <c r="M3991" s="4" t="e">
        <f t="shared" si="816"/>
        <v>#N/A</v>
      </c>
      <c r="N3991" s="4" t="e">
        <f t="shared" si="817"/>
        <v>#N/A</v>
      </c>
    </row>
    <row r="3992" spans="1:14">
      <c r="A3992">
        <f t="shared" si="818"/>
        <v>0</v>
      </c>
      <c r="B3992">
        <f t="shared" si="819"/>
        <v>0</v>
      </c>
      <c r="C3992">
        <f t="shared" si="820"/>
        <v>0</v>
      </c>
      <c r="D3992">
        <f t="shared" si="821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2"/>
        <v>0</v>
      </c>
      <c r="G3992">
        <f t="shared" si="823"/>
        <v>0</v>
      </c>
      <c r="H3992">
        <f t="shared" si="824"/>
        <v>0</v>
      </c>
      <c r="I3992">
        <f t="shared" si="825"/>
        <v>0</v>
      </c>
      <c r="J3992">
        <f t="shared" si="826"/>
        <v>0</v>
      </c>
      <c r="K3992" s="4" t="e">
        <f t="shared" si="814"/>
        <v>#N/A</v>
      </c>
      <c r="L3992" t="e">
        <f t="shared" si="815"/>
        <v>#N/A</v>
      </c>
      <c r="M3992" s="4" t="e">
        <f t="shared" si="816"/>
        <v>#N/A</v>
      </c>
      <c r="N3992" s="4" t="e">
        <f t="shared" si="817"/>
        <v>#N/A</v>
      </c>
    </row>
    <row r="3993" spans="1:14">
      <c r="A3993">
        <f t="shared" si="818"/>
        <v>0</v>
      </c>
      <c r="B3993">
        <f t="shared" si="819"/>
        <v>0</v>
      </c>
      <c r="C3993">
        <f t="shared" si="820"/>
        <v>0</v>
      </c>
      <c r="D3993">
        <f t="shared" si="821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2"/>
        <v>0</v>
      </c>
      <c r="G3993">
        <f t="shared" si="823"/>
        <v>0</v>
      </c>
      <c r="H3993">
        <f t="shared" si="824"/>
        <v>0</v>
      </c>
      <c r="I3993">
        <f t="shared" si="825"/>
        <v>0</v>
      </c>
      <c r="J3993">
        <f t="shared" si="826"/>
        <v>0</v>
      </c>
      <c r="K3993" s="4" t="e">
        <f t="shared" si="814"/>
        <v>#N/A</v>
      </c>
      <c r="L3993" t="e">
        <f t="shared" si="815"/>
        <v>#N/A</v>
      </c>
      <c r="M3993" s="4" t="e">
        <f t="shared" si="816"/>
        <v>#N/A</v>
      </c>
      <c r="N3993" s="4" t="e">
        <f t="shared" si="817"/>
        <v>#N/A</v>
      </c>
    </row>
    <row r="3994" spans="1:14">
      <c r="A3994">
        <f t="shared" si="818"/>
        <v>0</v>
      </c>
      <c r="B3994">
        <f t="shared" si="819"/>
        <v>0</v>
      </c>
      <c r="C3994">
        <f t="shared" si="820"/>
        <v>0</v>
      </c>
      <c r="D3994">
        <f t="shared" si="821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2"/>
        <v>0</v>
      </c>
      <c r="G3994">
        <f t="shared" si="823"/>
        <v>0</v>
      </c>
      <c r="H3994">
        <f t="shared" si="824"/>
        <v>0</v>
      </c>
      <c r="I3994">
        <f t="shared" si="825"/>
        <v>0</v>
      </c>
      <c r="J3994">
        <f t="shared" si="826"/>
        <v>0</v>
      </c>
      <c r="K3994" s="4" t="e">
        <f t="shared" si="814"/>
        <v>#N/A</v>
      </c>
      <c r="L3994" t="e">
        <f t="shared" si="815"/>
        <v>#N/A</v>
      </c>
      <c r="M3994" s="4" t="e">
        <f t="shared" si="816"/>
        <v>#N/A</v>
      </c>
      <c r="N3994" s="4" t="e">
        <f t="shared" si="817"/>
        <v>#N/A</v>
      </c>
    </row>
    <row r="3995" spans="1:14">
      <c r="A3995">
        <f t="shared" si="818"/>
        <v>0</v>
      </c>
      <c r="B3995">
        <f t="shared" si="819"/>
        <v>0</v>
      </c>
      <c r="C3995">
        <f t="shared" si="820"/>
        <v>0</v>
      </c>
      <c r="D3995">
        <f t="shared" si="821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2"/>
        <v>0</v>
      </c>
      <c r="G3995">
        <f t="shared" si="823"/>
        <v>0</v>
      </c>
      <c r="H3995">
        <f t="shared" si="824"/>
        <v>0</v>
      </c>
      <c r="I3995">
        <f t="shared" si="825"/>
        <v>0</v>
      </c>
      <c r="J3995">
        <f t="shared" si="826"/>
        <v>0</v>
      </c>
      <c r="K3995" s="4" t="e">
        <f t="shared" si="814"/>
        <v>#N/A</v>
      </c>
      <c r="L3995" t="e">
        <f t="shared" si="815"/>
        <v>#N/A</v>
      </c>
      <c r="M3995" s="4" t="e">
        <f t="shared" si="816"/>
        <v>#N/A</v>
      </c>
      <c r="N3995" s="4" t="e">
        <f t="shared" si="817"/>
        <v>#N/A</v>
      </c>
    </row>
    <row r="3996" spans="1:14">
      <c r="A3996">
        <f t="shared" si="818"/>
        <v>0</v>
      </c>
      <c r="B3996">
        <f t="shared" si="819"/>
        <v>0</v>
      </c>
      <c r="C3996">
        <f t="shared" si="820"/>
        <v>0</v>
      </c>
      <c r="D3996">
        <f t="shared" si="821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2"/>
        <v>0</v>
      </c>
      <c r="G3996">
        <f t="shared" si="823"/>
        <v>0</v>
      </c>
      <c r="H3996">
        <f t="shared" si="824"/>
        <v>0</v>
      </c>
      <c r="I3996">
        <f t="shared" si="825"/>
        <v>0</v>
      </c>
      <c r="J3996">
        <f t="shared" si="826"/>
        <v>0</v>
      </c>
      <c r="K3996" s="4" t="e">
        <f t="shared" si="814"/>
        <v>#N/A</v>
      </c>
      <c r="L3996" t="e">
        <f t="shared" si="815"/>
        <v>#N/A</v>
      </c>
      <c r="M3996" s="4" t="e">
        <f t="shared" si="816"/>
        <v>#N/A</v>
      </c>
      <c r="N3996" s="4" t="e">
        <f t="shared" si="817"/>
        <v>#N/A</v>
      </c>
    </row>
    <row r="3997" spans="1:14">
      <c r="A3997">
        <f t="shared" si="818"/>
        <v>0</v>
      </c>
      <c r="B3997">
        <f t="shared" si="819"/>
        <v>0</v>
      </c>
      <c r="C3997">
        <f t="shared" si="820"/>
        <v>0</v>
      </c>
      <c r="D3997">
        <f t="shared" si="821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2"/>
        <v>0</v>
      </c>
      <c r="G3997">
        <f t="shared" si="823"/>
        <v>0</v>
      </c>
      <c r="H3997">
        <f t="shared" si="824"/>
        <v>0</v>
      </c>
      <c r="I3997">
        <f t="shared" si="825"/>
        <v>0</v>
      </c>
      <c r="J3997">
        <f t="shared" si="826"/>
        <v>0</v>
      </c>
      <c r="K3997" s="4" t="e">
        <f t="shared" si="814"/>
        <v>#N/A</v>
      </c>
      <c r="L3997" t="e">
        <f t="shared" si="815"/>
        <v>#N/A</v>
      </c>
      <c r="M3997" s="4" t="e">
        <f t="shared" si="816"/>
        <v>#N/A</v>
      </c>
      <c r="N3997" s="4" t="e">
        <f t="shared" si="817"/>
        <v>#N/A</v>
      </c>
    </row>
    <row r="3998" spans="1:14">
      <c r="A3998">
        <f t="shared" si="818"/>
        <v>0</v>
      </c>
      <c r="B3998">
        <f t="shared" si="819"/>
        <v>0</v>
      </c>
      <c r="C3998">
        <f t="shared" si="820"/>
        <v>0</v>
      </c>
      <c r="D3998">
        <f t="shared" si="821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2"/>
        <v>0</v>
      </c>
      <c r="G3998">
        <f t="shared" si="823"/>
        <v>0</v>
      </c>
      <c r="H3998">
        <f t="shared" si="824"/>
        <v>0</v>
      </c>
      <c r="I3998">
        <f t="shared" si="825"/>
        <v>0</v>
      </c>
      <c r="J3998">
        <f t="shared" si="826"/>
        <v>0</v>
      </c>
      <c r="K3998" s="4" t="e">
        <f t="shared" si="814"/>
        <v>#N/A</v>
      </c>
      <c r="L3998" t="e">
        <f t="shared" si="815"/>
        <v>#N/A</v>
      </c>
      <c r="M3998" s="4" t="e">
        <f t="shared" si="816"/>
        <v>#N/A</v>
      </c>
      <c r="N3998" s="4" t="e">
        <f t="shared" si="817"/>
        <v>#N/A</v>
      </c>
    </row>
    <row r="3999" spans="1:14">
      <c r="A3999">
        <f t="shared" si="818"/>
        <v>0</v>
      </c>
      <c r="B3999">
        <f t="shared" si="819"/>
        <v>0</v>
      </c>
      <c r="C3999">
        <f t="shared" si="820"/>
        <v>0</v>
      </c>
      <c r="D3999">
        <f t="shared" si="821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2"/>
        <v>0</v>
      </c>
      <c r="G3999">
        <f t="shared" si="823"/>
        <v>0</v>
      </c>
      <c r="H3999">
        <f t="shared" si="824"/>
        <v>0</v>
      </c>
      <c r="I3999">
        <f t="shared" si="825"/>
        <v>0</v>
      </c>
      <c r="J3999">
        <f t="shared" si="826"/>
        <v>0</v>
      </c>
      <c r="K3999" s="4" t="e">
        <f t="shared" si="814"/>
        <v>#N/A</v>
      </c>
      <c r="L3999" t="e">
        <f t="shared" si="815"/>
        <v>#N/A</v>
      </c>
      <c r="M3999" s="4" t="e">
        <f t="shared" si="816"/>
        <v>#N/A</v>
      </c>
      <c r="N3999" s="4" t="e">
        <f t="shared" si="817"/>
        <v>#N/A</v>
      </c>
    </row>
    <row r="4000" spans="1:14">
      <c r="A4000">
        <f t="shared" si="818"/>
        <v>0</v>
      </c>
      <c r="B4000">
        <f t="shared" si="819"/>
        <v>0</v>
      </c>
      <c r="C4000">
        <f t="shared" si="820"/>
        <v>0</v>
      </c>
      <c r="D4000">
        <f t="shared" si="821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2"/>
        <v>0</v>
      </c>
      <c r="G4000">
        <f t="shared" si="823"/>
        <v>0</v>
      </c>
      <c r="H4000">
        <f t="shared" si="824"/>
        <v>0</v>
      </c>
      <c r="I4000">
        <f t="shared" si="825"/>
        <v>0</v>
      </c>
      <c r="J4000">
        <f t="shared" si="826"/>
        <v>0</v>
      </c>
      <c r="K4000" s="4" t="e">
        <f t="shared" si="814"/>
        <v>#N/A</v>
      </c>
      <c r="L4000" t="e">
        <f t="shared" si="815"/>
        <v>#N/A</v>
      </c>
      <c r="M4000" s="4" t="e">
        <f t="shared" si="816"/>
        <v>#N/A</v>
      </c>
      <c r="N4000" s="4" t="e">
        <f t="shared" si="817"/>
        <v>#N/A</v>
      </c>
    </row>
    <row r="4001" spans="1:14">
      <c r="A4001">
        <f t="shared" si="818"/>
        <v>0</v>
      </c>
      <c r="B4001">
        <f t="shared" si="819"/>
        <v>0</v>
      </c>
      <c r="C4001">
        <f t="shared" si="820"/>
        <v>0</v>
      </c>
      <c r="D4001">
        <f t="shared" si="821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2"/>
        <v>0</v>
      </c>
      <c r="G4001">
        <f t="shared" si="823"/>
        <v>0</v>
      </c>
      <c r="H4001">
        <f t="shared" si="824"/>
        <v>0</v>
      </c>
      <c r="I4001">
        <f t="shared" si="825"/>
        <v>0</v>
      </c>
      <c r="J4001">
        <f t="shared" si="826"/>
        <v>0</v>
      </c>
      <c r="K4001" s="4" t="e">
        <f t="shared" si="814"/>
        <v>#N/A</v>
      </c>
      <c r="L4001" t="e">
        <f t="shared" si="815"/>
        <v>#N/A</v>
      </c>
      <c r="M4001" s="4" t="e">
        <f t="shared" si="816"/>
        <v>#N/A</v>
      </c>
      <c r="N4001" s="4" t="e">
        <f t="shared" si="817"/>
        <v>#N/A</v>
      </c>
    </row>
    <row r="4002" spans="1:14">
      <c r="A4002">
        <f t="shared" si="818"/>
        <v>0</v>
      </c>
      <c r="B4002">
        <f t="shared" si="819"/>
        <v>0</v>
      </c>
      <c r="C4002">
        <f t="shared" si="820"/>
        <v>0</v>
      </c>
      <c r="D4002">
        <f t="shared" si="821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2"/>
        <v>0</v>
      </c>
      <c r="G4002">
        <f t="shared" si="823"/>
        <v>0</v>
      </c>
      <c r="H4002">
        <f t="shared" si="824"/>
        <v>0</v>
      </c>
      <c r="I4002">
        <f t="shared" si="825"/>
        <v>0</v>
      </c>
      <c r="J4002">
        <f t="shared" si="826"/>
        <v>0</v>
      </c>
      <c r="K4002" s="4" t="e">
        <f t="shared" si="814"/>
        <v>#N/A</v>
      </c>
      <c r="L4002" t="e">
        <f t="shared" si="815"/>
        <v>#N/A</v>
      </c>
      <c r="M4002" s="4" t="e">
        <f t="shared" si="816"/>
        <v>#N/A</v>
      </c>
      <c r="N4002" s="4" t="e">
        <f t="shared" si="817"/>
        <v>#N/A</v>
      </c>
    </row>
    <row r="4003" spans="1:14">
      <c r="A4003">
        <f t="shared" si="818"/>
        <v>0</v>
      </c>
      <c r="B4003">
        <f t="shared" si="819"/>
        <v>0</v>
      </c>
      <c r="C4003">
        <f t="shared" si="820"/>
        <v>0</v>
      </c>
      <c r="D4003">
        <f t="shared" si="821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2"/>
        <v>0</v>
      </c>
      <c r="G4003">
        <f t="shared" si="823"/>
        <v>0</v>
      </c>
      <c r="H4003">
        <f t="shared" si="824"/>
        <v>0</v>
      </c>
      <c r="I4003">
        <f t="shared" si="825"/>
        <v>0</v>
      </c>
      <c r="J4003">
        <f t="shared" si="826"/>
        <v>0</v>
      </c>
      <c r="K4003" s="4" t="e">
        <f t="shared" si="814"/>
        <v>#N/A</v>
      </c>
      <c r="L4003" t="e">
        <f t="shared" si="815"/>
        <v>#N/A</v>
      </c>
      <c r="M4003" s="4" t="e">
        <f t="shared" si="816"/>
        <v>#N/A</v>
      </c>
      <c r="N4003" s="4" t="e">
        <f t="shared" si="817"/>
        <v>#N/A</v>
      </c>
    </row>
    <row r="4004" spans="1:14">
      <c r="A4004">
        <f t="shared" si="818"/>
        <v>0</v>
      </c>
      <c r="B4004">
        <f t="shared" si="819"/>
        <v>0</v>
      </c>
      <c r="C4004">
        <f t="shared" si="820"/>
        <v>0</v>
      </c>
      <c r="D4004">
        <f t="shared" si="821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2"/>
        <v>0</v>
      </c>
      <c r="G4004">
        <f t="shared" si="823"/>
        <v>0</v>
      </c>
      <c r="H4004">
        <f t="shared" si="824"/>
        <v>0</v>
      </c>
      <c r="I4004">
        <f t="shared" si="825"/>
        <v>0</v>
      </c>
      <c r="J4004">
        <f t="shared" si="826"/>
        <v>0</v>
      </c>
      <c r="K4004" s="4" t="e">
        <f t="shared" si="814"/>
        <v>#N/A</v>
      </c>
      <c r="L4004" t="e">
        <f t="shared" si="815"/>
        <v>#N/A</v>
      </c>
      <c r="M4004" s="4" t="e">
        <f t="shared" si="816"/>
        <v>#N/A</v>
      </c>
      <c r="N4004" s="4" t="e">
        <f t="shared" si="817"/>
        <v>#N/A</v>
      </c>
    </row>
    <row r="4005" spans="1:14">
      <c r="A4005">
        <f t="shared" si="818"/>
        <v>0</v>
      </c>
      <c r="B4005">
        <f t="shared" si="819"/>
        <v>0</v>
      </c>
      <c r="C4005">
        <f t="shared" si="820"/>
        <v>0</v>
      </c>
      <c r="D4005">
        <f t="shared" si="821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2"/>
        <v>0</v>
      </c>
      <c r="G4005">
        <f t="shared" si="823"/>
        <v>0</v>
      </c>
      <c r="H4005">
        <f t="shared" si="824"/>
        <v>0</v>
      </c>
      <c r="I4005">
        <f t="shared" si="825"/>
        <v>0</v>
      </c>
      <c r="J4005">
        <f t="shared" si="826"/>
        <v>0</v>
      </c>
      <c r="K4005" s="4" t="e">
        <f t="shared" si="814"/>
        <v>#N/A</v>
      </c>
      <c r="L4005" t="e">
        <f t="shared" si="815"/>
        <v>#N/A</v>
      </c>
      <c r="M4005" s="4" t="e">
        <f t="shared" si="816"/>
        <v>#N/A</v>
      </c>
      <c r="N4005" s="4" t="e">
        <f t="shared" si="817"/>
        <v>#N/A</v>
      </c>
    </row>
    <row r="4006" spans="1:14">
      <c r="A4006">
        <f t="shared" si="818"/>
        <v>0</v>
      </c>
      <c r="B4006">
        <f t="shared" si="819"/>
        <v>0</v>
      </c>
      <c r="C4006">
        <f t="shared" si="820"/>
        <v>0</v>
      </c>
      <c r="D4006">
        <f t="shared" si="821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2"/>
        <v>0</v>
      </c>
      <c r="G4006">
        <f t="shared" si="823"/>
        <v>0</v>
      </c>
      <c r="H4006">
        <f t="shared" si="824"/>
        <v>0</v>
      </c>
      <c r="I4006">
        <f t="shared" si="825"/>
        <v>0</v>
      </c>
      <c r="J4006">
        <f t="shared" si="826"/>
        <v>0</v>
      </c>
      <c r="K4006" s="4" t="e">
        <f t="shared" si="814"/>
        <v>#N/A</v>
      </c>
      <c r="L4006" t="e">
        <f t="shared" si="815"/>
        <v>#N/A</v>
      </c>
      <c r="M4006" s="4" t="e">
        <f t="shared" si="816"/>
        <v>#N/A</v>
      </c>
      <c r="N4006" s="4" t="e">
        <f t="shared" si="817"/>
        <v>#N/A</v>
      </c>
    </row>
    <row r="4007" spans="1:14">
      <c r="A4007">
        <f t="shared" si="818"/>
        <v>0</v>
      </c>
      <c r="B4007">
        <f t="shared" si="819"/>
        <v>0</v>
      </c>
      <c r="C4007">
        <f t="shared" si="820"/>
        <v>0</v>
      </c>
      <c r="D4007">
        <f t="shared" si="821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2"/>
        <v>0</v>
      </c>
      <c r="G4007">
        <f t="shared" si="823"/>
        <v>0</v>
      </c>
      <c r="H4007">
        <f t="shared" si="824"/>
        <v>0</v>
      </c>
      <c r="I4007">
        <f t="shared" si="825"/>
        <v>0</v>
      </c>
      <c r="J4007">
        <f t="shared" si="826"/>
        <v>0</v>
      </c>
      <c r="K4007" s="4" t="e">
        <f t="shared" si="814"/>
        <v>#N/A</v>
      </c>
      <c r="L4007" t="e">
        <f t="shared" si="815"/>
        <v>#N/A</v>
      </c>
      <c r="M4007" s="4" t="e">
        <f t="shared" si="816"/>
        <v>#N/A</v>
      </c>
      <c r="N4007" s="4" t="e">
        <f t="shared" si="817"/>
        <v>#N/A</v>
      </c>
    </row>
    <row r="4008" spans="1:14">
      <c r="A4008">
        <f t="shared" si="818"/>
        <v>0</v>
      </c>
      <c r="B4008">
        <f t="shared" si="819"/>
        <v>0</v>
      </c>
      <c r="C4008">
        <f t="shared" si="820"/>
        <v>0</v>
      </c>
      <c r="D4008">
        <f t="shared" si="821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2"/>
        <v>0</v>
      </c>
      <c r="G4008">
        <f t="shared" si="823"/>
        <v>0</v>
      </c>
      <c r="H4008">
        <f t="shared" si="824"/>
        <v>0</v>
      </c>
      <c r="I4008">
        <f t="shared" si="825"/>
        <v>0</v>
      </c>
      <c r="J4008">
        <f t="shared" si="826"/>
        <v>0</v>
      </c>
      <c r="K4008" s="4" t="e">
        <f t="shared" si="814"/>
        <v>#N/A</v>
      </c>
      <c r="L4008" t="e">
        <f t="shared" si="815"/>
        <v>#N/A</v>
      </c>
      <c r="M4008" s="4" t="e">
        <f t="shared" si="816"/>
        <v>#N/A</v>
      </c>
      <c r="N4008" s="4" t="e">
        <f t="shared" si="817"/>
        <v>#N/A</v>
      </c>
    </row>
    <row r="4009" spans="1:14">
      <c r="A4009">
        <f t="shared" si="818"/>
        <v>0</v>
      </c>
      <c r="B4009">
        <f t="shared" si="819"/>
        <v>0</v>
      </c>
      <c r="C4009">
        <f t="shared" si="820"/>
        <v>0</v>
      </c>
      <c r="D4009">
        <f t="shared" si="821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2"/>
        <v>0</v>
      </c>
      <c r="G4009">
        <f t="shared" si="823"/>
        <v>0</v>
      </c>
      <c r="H4009">
        <f t="shared" si="824"/>
        <v>0</v>
      </c>
      <c r="I4009">
        <f t="shared" si="825"/>
        <v>0</v>
      </c>
      <c r="J4009">
        <f t="shared" si="826"/>
        <v>0</v>
      </c>
      <c r="K4009" s="4" t="e">
        <f t="shared" si="814"/>
        <v>#N/A</v>
      </c>
      <c r="L4009" t="e">
        <f t="shared" si="815"/>
        <v>#N/A</v>
      </c>
      <c r="M4009" s="4" t="e">
        <f t="shared" si="816"/>
        <v>#N/A</v>
      </c>
      <c r="N4009" s="4" t="e">
        <f t="shared" si="817"/>
        <v>#N/A</v>
      </c>
    </row>
    <row r="4010" spans="1:14">
      <c r="A4010">
        <f t="shared" si="818"/>
        <v>0</v>
      </c>
      <c r="B4010">
        <f t="shared" si="819"/>
        <v>0</v>
      </c>
      <c r="C4010">
        <f t="shared" si="820"/>
        <v>0</v>
      </c>
      <c r="D4010">
        <f t="shared" si="821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2"/>
        <v>0</v>
      </c>
      <c r="G4010">
        <f t="shared" si="823"/>
        <v>0</v>
      </c>
      <c r="H4010">
        <f t="shared" si="824"/>
        <v>0</v>
      </c>
      <c r="I4010">
        <f t="shared" si="825"/>
        <v>0</v>
      </c>
      <c r="J4010">
        <f t="shared" si="826"/>
        <v>0</v>
      </c>
      <c r="K4010" s="4" t="e">
        <f t="shared" si="814"/>
        <v>#N/A</v>
      </c>
      <c r="L4010" t="e">
        <f t="shared" si="815"/>
        <v>#N/A</v>
      </c>
      <c r="M4010" s="4" t="e">
        <f t="shared" si="816"/>
        <v>#N/A</v>
      </c>
      <c r="N4010" s="4" t="e">
        <f t="shared" si="817"/>
        <v>#N/A</v>
      </c>
    </row>
    <row r="4011" spans="1:14">
      <c r="A4011">
        <f t="shared" si="818"/>
        <v>0</v>
      </c>
      <c r="B4011">
        <f t="shared" si="819"/>
        <v>0</v>
      </c>
      <c r="C4011">
        <f t="shared" si="820"/>
        <v>0</v>
      </c>
      <c r="D4011">
        <f t="shared" si="821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2"/>
        <v>0</v>
      </c>
      <c r="G4011">
        <f t="shared" si="823"/>
        <v>0</v>
      </c>
      <c r="H4011">
        <f t="shared" si="824"/>
        <v>0</v>
      </c>
      <c r="I4011">
        <f t="shared" si="825"/>
        <v>0</v>
      </c>
      <c r="J4011">
        <f t="shared" si="826"/>
        <v>0</v>
      </c>
      <c r="K4011" s="4" t="e">
        <f t="shared" si="814"/>
        <v>#N/A</v>
      </c>
      <c r="L4011" t="e">
        <f t="shared" si="815"/>
        <v>#N/A</v>
      </c>
      <c r="M4011" s="4" t="e">
        <f t="shared" si="816"/>
        <v>#N/A</v>
      </c>
      <c r="N4011" s="4" t="e">
        <f t="shared" si="817"/>
        <v>#N/A</v>
      </c>
    </row>
    <row r="4012" spans="1:14">
      <c r="A4012">
        <f t="shared" si="818"/>
        <v>0</v>
      </c>
      <c r="B4012">
        <f t="shared" si="819"/>
        <v>0</v>
      </c>
      <c r="C4012">
        <f t="shared" si="820"/>
        <v>0</v>
      </c>
      <c r="D4012">
        <f t="shared" si="821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2"/>
        <v>0</v>
      </c>
      <c r="G4012">
        <f t="shared" si="823"/>
        <v>0</v>
      </c>
      <c r="H4012">
        <f t="shared" si="824"/>
        <v>0</v>
      </c>
      <c r="I4012">
        <f t="shared" si="825"/>
        <v>0</v>
      </c>
      <c r="J4012">
        <f t="shared" si="826"/>
        <v>0</v>
      </c>
      <c r="K4012" s="4" t="e">
        <f t="shared" si="814"/>
        <v>#N/A</v>
      </c>
      <c r="L4012" t="e">
        <f t="shared" si="815"/>
        <v>#N/A</v>
      </c>
      <c r="M4012" s="4" t="e">
        <f t="shared" si="816"/>
        <v>#N/A</v>
      </c>
      <c r="N4012" s="4" t="e">
        <f t="shared" si="817"/>
        <v>#N/A</v>
      </c>
    </row>
    <row r="4013" spans="1:14">
      <c r="A4013">
        <f t="shared" si="818"/>
        <v>0</v>
      </c>
      <c r="B4013">
        <f t="shared" si="819"/>
        <v>0</v>
      </c>
      <c r="C4013">
        <f t="shared" si="820"/>
        <v>0</v>
      </c>
      <c r="D4013">
        <f t="shared" si="821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2"/>
        <v>0</v>
      </c>
      <c r="G4013">
        <f t="shared" si="823"/>
        <v>0</v>
      </c>
      <c r="H4013">
        <f t="shared" si="824"/>
        <v>0</v>
      </c>
      <c r="I4013">
        <f t="shared" si="825"/>
        <v>0</v>
      </c>
      <c r="J4013">
        <f t="shared" si="826"/>
        <v>0</v>
      </c>
      <c r="K4013" s="4" t="e">
        <f t="shared" si="814"/>
        <v>#N/A</v>
      </c>
      <c r="L4013" t="e">
        <f t="shared" si="815"/>
        <v>#N/A</v>
      </c>
      <c r="M4013" s="4" t="e">
        <f t="shared" si="816"/>
        <v>#N/A</v>
      </c>
      <c r="N4013" s="4" t="e">
        <f t="shared" si="817"/>
        <v>#N/A</v>
      </c>
    </row>
    <row r="4014" spans="1:14">
      <c r="A4014">
        <f t="shared" si="818"/>
        <v>0</v>
      </c>
      <c r="B4014">
        <f t="shared" si="819"/>
        <v>0</v>
      </c>
      <c r="C4014">
        <f t="shared" si="820"/>
        <v>0</v>
      </c>
      <c r="D4014">
        <f t="shared" si="821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2"/>
        <v>0</v>
      </c>
      <c r="G4014">
        <f t="shared" si="823"/>
        <v>0</v>
      </c>
      <c r="H4014">
        <f t="shared" si="824"/>
        <v>0</v>
      </c>
      <c r="I4014">
        <f t="shared" si="825"/>
        <v>0</v>
      </c>
      <c r="J4014">
        <f t="shared" si="826"/>
        <v>0</v>
      </c>
      <c r="K4014" s="4" t="e">
        <f t="shared" si="814"/>
        <v>#N/A</v>
      </c>
      <c r="L4014" t="e">
        <f t="shared" si="815"/>
        <v>#N/A</v>
      </c>
      <c r="M4014" s="4" t="e">
        <f t="shared" si="816"/>
        <v>#N/A</v>
      </c>
      <c r="N4014" s="4" t="e">
        <f t="shared" si="817"/>
        <v>#N/A</v>
      </c>
    </row>
    <row r="4015" spans="1:14">
      <c r="A4015">
        <f t="shared" si="818"/>
        <v>0</v>
      </c>
      <c r="B4015">
        <f t="shared" si="819"/>
        <v>0</v>
      </c>
      <c r="C4015">
        <f t="shared" si="820"/>
        <v>0</v>
      </c>
      <c r="D4015">
        <f t="shared" si="821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2"/>
        <v>0</v>
      </c>
      <c r="G4015">
        <f t="shared" si="823"/>
        <v>0</v>
      </c>
      <c r="H4015">
        <f t="shared" si="824"/>
        <v>0</v>
      </c>
      <c r="I4015">
        <f t="shared" si="825"/>
        <v>0</v>
      </c>
      <c r="J4015">
        <f t="shared" si="826"/>
        <v>0</v>
      </c>
      <c r="K4015" s="4" t="e">
        <f t="shared" si="814"/>
        <v>#N/A</v>
      </c>
      <c r="L4015" t="e">
        <f t="shared" si="815"/>
        <v>#N/A</v>
      </c>
      <c r="M4015" s="4" t="e">
        <f t="shared" si="816"/>
        <v>#N/A</v>
      </c>
      <c r="N4015" s="4" t="e">
        <f t="shared" si="817"/>
        <v>#N/A</v>
      </c>
    </row>
    <row r="4016" spans="1:14">
      <c r="A4016">
        <f t="shared" si="818"/>
        <v>0</v>
      </c>
      <c r="B4016">
        <f t="shared" si="819"/>
        <v>0</v>
      </c>
      <c r="C4016">
        <f t="shared" si="820"/>
        <v>0</v>
      </c>
      <c r="D4016">
        <f t="shared" si="821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2"/>
        <v>0</v>
      </c>
      <c r="G4016">
        <f t="shared" si="823"/>
        <v>0</v>
      </c>
      <c r="H4016">
        <f t="shared" si="824"/>
        <v>0</v>
      </c>
      <c r="I4016">
        <f t="shared" si="825"/>
        <v>0</v>
      </c>
      <c r="J4016">
        <f t="shared" si="826"/>
        <v>0</v>
      </c>
      <c r="K4016" s="4" t="e">
        <f t="shared" si="814"/>
        <v>#N/A</v>
      </c>
      <c r="L4016" t="e">
        <f t="shared" si="815"/>
        <v>#N/A</v>
      </c>
      <c r="M4016" s="4" t="e">
        <f t="shared" si="816"/>
        <v>#N/A</v>
      </c>
      <c r="N4016" s="4" t="e">
        <f t="shared" si="817"/>
        <v>#N/A</v>
      </c>
    </row>
    <row r="4017" spans="1:14">
      <c r="A4017">
        <f t="shared" si="818"/>
        <v>0</v>
      </c>
      <c r="B4017">
        <f t="shared" si="819"/>
        <v>0</v>
      </c>
      <c r="C4017">
        <f t="shared" si="820"/>
        <v>0</v>
      </c>
      <c r="D4017">
        <f t="shared" si="821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2"/>
        <v>0</v>
      </c>
      <c r="G4017">
        <f t="shared" si="823"/>
        <v>0</v>
      </c>
      <c r="H4017">
        <f t="shared" si="824"/>
        <v>0</v>
      </c>
      <c r="I4017">
        <f t="shared" si="825"/>
        <v>0</v>
      </c>
      <c r="J4017">
        <f t="shared" si="826"/>
        <v>0</v>
      </c>
      <c r="K4017" s="4" t="e">
        <f t="shared" si="814"/>
        <v>#N/A</v>
      </c>
      <c r="L4017" t="e">
        <f t="shared" si="815"/>
        <v>#N/A</v>
      </c>
      <c r="M4017" s="4" t="e">
        <f t="shared" si="816"/>
        <v>#N/A</v>
      </c>
      <c r="N4017" s="4" t="e">
        <f t="shared" si="817"/>
        <v>#N/A</v>
      </c>
    </row>
    <row r="4018" spans="1:14">
      <c r="A4018">
        <f t="shared" si="818"/>
        <v>0</v>
      </c>
      <c r="B4018">
        <f t="shared" si="819"/>
        <v>0</v>
      </c>
      <c r="C4018">
        <f t="shared" si="820"/>
        <v>0</v>
      </c>
      <c r="D4018">
        <f t="shared" si="821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2"/>
        <v>0</v>
      </c>
      <c r="G4018">
        <f t="shared" si="823"/>
        <v>0</v>
      </c>
      <c r="H4018">
        <f t="shared" si="824"/>
        <v>0</v>
      </c>
      <c r="I4018">
        <f t="shared" si="825"/>
        <v>0</v>
      </c>
      <c r="J4018">
        <f t="shared" si="826"/>
        <v>0</v>
      </c>
      <c r="K4018" s="4" t="e">
        <f t="shared" si="814"/>
        <v>#N/A</v>
      </c>
      <c r="L4018" t="e">
        <f t="shared" si="815"/>
        <v>#N/A</v>
      </c>
      <c r="M4018" s="4" t="e">
        <f t="shared" si="816"/>
        <v>#N/A</v>
      </c>
      <c r="N4018" s="4" t="e">
        <f t="shared" si="817"/>
        <v>#N/A</v>
      </c>
    </row>
    <row r="4019" spans="1:14">
      <c r="A4019">
        <f t="shared" si="818"/>
        <v>0</v>
      </c>
      <c r="B4019">
        <f t="shared" si="819"/>
        <v>0</v>
      </c>
      <c r="C4019">
        <f t="shared" si="820"/>
        <v>0</v>
      </c>
      <c r="D4019">
        <f t="shared" si="821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2"/>
        <v>0</v>
      </c>
      <c r="G4019">
        <f t="shared" si="823"/>
        <v>0</v>
      </c>
      <c r="H4019">
        <f t="shared" si="824"/>
        <v>0</v>
      </c>
      <c r="I4019">
        <f t="shared" si="825"/>
        <v>0</v>
      </c>
      <c r="J4019">
        <f t="shared" si="826"/>
        <v>0</v>
      </c>
      <c r="K4019" s="4" t="e">
        <f t="shared" si="814"/>
        <v>#N/A</v>
      </c>
      <c r="L4019" t="e">
        <f t="shared" si="815"/>
        <v>#N/A</v>
      </c>
      <c r="M4019" s="4" t="e">
        <f t="shared" si="816"/>
        <v>#N/A</v>
      </c>
      <c r="N4019" s="4" t="e">
        <f t="shared" si="817"/>
        <v>#N/A</v>
      </c>
    </row>
    <row r="4020" spans="1:14">
      <c r="A4020">
        <f t="shared" si="818"/>
        <v>0</v>
      </c>
      <c r="B4020">
        <f t="shared" si="819"/>
        <v>0</v>
      </c>
      <c r="C4020">
        <f t="shared" si="820"/>
        <v>0</v>
      </c>
      <c r="D4020">
        <f t="shared" si="821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2"/>
        <v>0</v>
      </c>
      <c r="G4020">
        <f t="shared" si="823"/>
        <v>0</v>
      </c>
      <c r="H4020">
        <f t="shared" si="824"/>
        <v>0</v>
      </c>
      <c r="I4020">
        <f t="shared" si="825"/>
        <v>0</v>
      </c>
      <c r="J4020">
        <f t="shared" si="826"/>
        <v>0</v>
      </c>
      <c r="K4020" s="4" t="e">
        <f t="shared" si="814"/>
        <v>#N/A</v>
      </c>
      <c r="L4020" t="e">
        <f t="shared" si="815"/>
        <v>#N/A</v>
      </c>
      <c r="M4020" s="4" t="e">
        <f t="shared" si="816"/>
        <v>#N/A</v>
      </c>
      <c r="N4020" s="4" t="e">
        <f t="shared" si="817"/>
        <v>#N/A</v>
      </c>
    </row>
    <row r="4021" spans="1:14">
      <c r="A4021">
        <f t="shared" si="818"/>
        <v>0</v>
      </c>
      <c r="B4021">
        <f t="shared" si="819"/>
        <v>0</v>
      </c>
      <c r="C4021">
        <f t="shared" si="820"/>
        <v>0</v>
      </c>
      <c r="D4021">
        <f t="shared" si="821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2"/>
        <v>0</v>
      </c>
      <c r="G4021">
        <f t="shared" si="823"/>
        <v>0</v>
      </c>
      <c r="H4021">
        <f t="shared" si="824"/>
        <v>0</v>
      </c>
      <c r="I4021">
        <f t="shared" si="825"/>
        <v>0</v>
      </c>
      <c r="J4021">
        <f t="shared" si="826"/>
        <v>0</v>
      </c>
      <c r="K4021" s="4" t="e">
        <f t="shared" si="814"/>
        <v>#N/A</v>
      </c>
      <c r="L4021" t="e">
        <f t="shared" si="815"/>
        <v>#N/A</v>
      </c>
      <c r="M4021" s="4" t="e">
        <f t="shared" si="816"/>
        <v>#N/A</v>
      </c>
      <c r="N4021" s="4" t="e">
        <f t="shared" si="817"/>
        <v>#N/A</v>
      </c>
    </row>
    <row r="4022" spans="1:14">
      <c r="A4022">
        <f t="shared" si="818"/>
        <v>0</v>
      </c>
      <c r="B4022">
        <f t="shared" si="819"/>
        <v>0</v>
      </c>
      <c r="C4022">
        <f t="shared" si="820"/>
        <v>0</v>
      </c>
      <c r="D4022">
        <f t="shared" si="821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2"/>
        <v>0</v>
      </c>
      <c r="G4022">
        <f t="shared" si="823"/>
        <v>0</v>
      </c>
      <c r="H4022">
        <f t="shared" si="824"/>
        <v>0</v>
      </c>
      <c r="I4022">
        <f t="shared" si="825"/>
        <v>0</v>
      </c>
      <c r="J4022">
        <f t="shared" si="826"/>
        <v>0</v>
      </c>
      <c r="K4022" s="4" t="e">
        <f t="shared" si="814"/>
        <v>#N/A</v>
      </c>
      <c r="L4022" t="e">
        <f t="shared" si="815"/>
        <v>#N/A</v>
      </c>
      <c r="M4022" s="4" t="e">
        <f t="shared" si="816"/>
        <v>#N/A</v>
      </c>
      <c r="N4022" s="4" t="e">
        <f t="shared" si="817"/>
        <v>#N/A</v>
      </c>
    </row>
    <row r="4023" spans="1:14">
      <c r="A4023">
        <f t="shared" si="818"/>
        <v>0</v>
      </c>
      <c r="B4023">
        <f t="shared" si="819"/>
        <v>0</v>
      </c>
      <c r="C4023">
        <f t="shared" si="820"/>
        <v>0</v>
      </c>
      <c r="D4023">
        <f t="shared" si="821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2"/>
        <v>0</v>
      </c>
      <c r="G4023">
        <f t="shared" si="823"/>
        <v>0</v>
      </c>
      <c r="H4023">
        <f t="shared" si="824"/>
        <v>0</v>
      </c>
      <c r="I4023">
        <f t="shared" si="825"/>
        <v>0</v>
      </c>
      <c r="J4023">
        <f t="shared" si="826"/>
        <v>0</v>
      </c>
      <c r="K4023" s="4" t="e">
        <f t="shared" si="814"/>
        <v>#N/A</v>
      </c>
      <c r="L4023" t="e">
        <f t="shared" si="815"/>
        <v>#N/A</v>
      </c>
      <c r="M4023" s="4" t="e">
        <f t="shared" si="816"/>
        <v>#N/A</v>
      </c>
      <c r="N4023" s="4" t="e">
        <f t="shared" si="817"/>
        <v>#N/A</v>
      </c>
    </row>
    <row r="4024" spans="1:14">
      <c r="A4024">
        <f t="shared" si="818"/>
        <v>0</v>
      </c>
      <c r="B4024">
        <f t="shared" si="819"/>
        <v>0</v>
      </c>
      <c r="C4024">
        <f t="shared" si="820"/>
        <v>0</v>
      </c>
      <c r="D4024">
        <f t="shared" si="821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2"/>
        <v>0</v>
      </c>
      <c r="G4024">
        <f t="shared" si="823"/>
        <v>0</v>
      </c>
      <c r="H4024">
        <f t="shared" si="824"/>
        <v>0</v>
      </c>
      <c r="I4024">
        <f t="shared" si="825"/>
        <v>0</v>
      </c>
      <c r="J4024">
        <f t="shared" si="826"/>
        <v>0</v>
      </c>
      <c r="K4024" s="4" t="e">
        <f t="shared" si="814"/>
        <v>#N/A</v>
      </c>
      <c r="L4024" t="e">
        <f t="shared" si="815"/>
        <v>#N/A</v>
      </c>
      <c r="M4024" s="4" t="e">
        <f t="shared" si="816"/>
        <v>#N/A</v>
      </c>
      <c r="N4024" s="4" t="e">
        <f t="shared" si="817"/>
        <v>#N/A</v>
      </c>
    </row>
    <row r="4025" spans="1:14">
      <c r="A4025">
        <f t="shared" si="818"/>
        <v>0</v>
      </c>
      <c r="B4025">
        <f t="shared" si="819"/>
        <v>0</v>
      </c>
      <c r="C4025">
        <f t="shared" si="820"/>
        <v>0</v>
      </c>
      <c r="D4025">
        <f t="shared" si="821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2"/>
        <v>0</v>
      </c>
      <c r="G4025">
        <f t="shared" si="823"/>
        <v>0</v>
      </c>
      <c r="H4025">
        <f t="shared" si="824"/>
        <v>0</v>
      </c>
      <c r="I4025">
        <f t="shared" si="825"/>
        <v>0</v>
      </c>
      <c r="J4025">
        <f t="shared" si="826"/>
        <v>0</v>
      </c>
      <c r="K4025" s="4" t="e">
        <f t="shared" si="814"/>
        <v>#N/A</v>
      </c>
      <c r="L4025" t="e">
        <f t="shared" si="815"/>
        <v>#N/A</v>
      </c>
      <c r="M4025" s="4" t="e">
        <f t="shared" si="816"/>
        <v>#N/A</v>
      </c>
      <c r="N4025" s="4" t="e">
        <f t="shared" si="817"/>
        <v>#N/A</v>
      </c>
    </row>
    <row r="4026" spans="1:14">
      <c r="A4026">
        <f t="shared" si="818"/>
        <v>0</v>
      </c>
      <c r="B4026">
        <f t="shared" si="819"/>
        <v>0</v>
      </c>
      <c r="C4026">
        <f t="shared" si="820"/>
        <v>0</v>
      </c>
      <c r="D4026">
        <f t="shared" si="821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2"/>
        <v>0</v>
      </c>
      <c r="G4026">
        <f t="shared" si="823"/>
        <v>0</v>
      </c>
      <c r="H4026">
        <f t="shared" si="824"/>
        <v>0</v>
      </c>
      <c r="I4026">
        <f t="shared" si="825"/>
        <v>0</v>
      </c>
      <c r="J4026">
        <f t="shared" si="826"/>
        <v>0</v>
      </c>
      <c r="K4026" s="4" t="e">
        <f t="shared" si="814"/>
        <v>#N/A</v>
      </c>
      <c r="L4026" t="e">
        <f t="shared" si="815"/>
        <v>#N/A</v>
      </c>
      <c r="M4026" s="4" t="e">
        <f t="shared" si="816"/>
        <v>#N/A</v>
      </c>
      <c r="N4026" s="4" t="e">
        <f t="shared" si="817"/>
        <v>#N/A</v>
      </c>
    </row>
    <row r="4027" spans="1:14">
      <c r="A4027">
        <f t="shared" si="818"/>
        <v>0</v>
      </c>
      <c r="B4027">
        <f t="shared" si="819"/>
        <v>0</v>
      </c>
      <c r="C4027">
        <f t="shared" si="820"/>
        <v>0</v>
      </c>
      <c r="D4027">
        <f t="shared" si="821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2"/>
        <v>0</v>
      </c>
      <c r="G4027">
        <f t="shared" si="823"/>
        <v>0</v>
      </c>
      <c r="H4027">
        <f t="shared" si="824"/>
        <v>0</v>
      </c>
      <c r="I4027">
        <f t="shared" si="825"/>
        <v>0</v>
      </c>
      <c r="J4027">
        <f t="shared" si="826"/>
        <v>0</v>
      </c>
      <c r="K4027" s="4" t="e">
        <f t="shared" si="814"/>
        <v>#N/A</v>
      </c>
      <c r="L4027" t="e">
        <f t="shared" si="815"/>
        <v>#N/A</v>
      </c>
      <c r="M4027" s="4" t="e">
        <f t="shared" si="816"/>
        <v>#N/A</v>
      </c>
      <c r="N4027" s="4" t="e">
        <f t="shared" si="817"/>
        <v>#N/A</v>
      </c>
    </row>
    <row r="4028" spans="1:14">
      <c r="A4028">
        <f t="shared" si="818"/>
        <v>0</v>
      </c>
      <c r="B4028">
        <f t="shared" si="819"/>
        <v>0</v>
      </c>
      <c r="C4028">
        <f t="shared" si="820"/>
        <v>0</v>
      </c>
      <c r="D4028">
        <f t="shared" si="821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2"/>
        <v>0</v>
      </c>
      <c r="G4028">
        <f t="shared" si="823"/>
        <v>0</v>
      </c>
      <c r="H4028">
        <f t="shared" si="824"/>
        <v>0</v>
      </c>
      <c r="I4028">
        <f t="shared" si="825"/>
        <v>0</v>
      </c>
      <c r="J4028">
        <f t="shared" si="826"/>
        <v>0</v>
      </c>
      <c r="K4028" s="4" t="e">
        <f t="shared" si="814"/>
        <v>#N/A</v>
      </c>
      <c r="L4028" t="e">
        <f t="shared" si="815"/>
        <v>#N/A</v>
      </c>
      <c r="M4028" s="4" t="e">
        <f t="shared" si="816"/>
        <v>#N/A</v>
      </c>
      <c r="N4028" s="4" t="e">
        <f t="shared" si="817"/>
        <v>#N/A</v>
      </c>
    </row>
    <row r="4029" spans="1:14">
      <c r="A4029">
        <f t="shared" si="818"/>
        <v>0</v>
      </c>
      <c r="B4029">
        <f t="shared" si="819"/>
        <v>0</v>
      </c>
      <c r="C4029">
        <f t="shared" si="820"/>
        <v>0</v>
      </c>
      <c r="D4029">
        <f t="shared" si="821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2"/>
        <v>0</v>
      </c>
      <c r="G4029">
        <f t="shared" si="823"/>
        <v>0</v>
      </c>
      <c r="H4029">
        <f t="shared" si="824"/>
        <v>0</v>
      </c>
      <c r="I4029">
        <f t="shared" si="825"/>
        <v>0</v>
      </c>
      <c r="J4029">
        <f t="shared" si="826"/>
        <v>0</v>
      </c>
      <c r="K4029" s="4" t="e">
        <f t="shared" ref="K4029:K4092" si="827">IF(LEFT(B4029,3)="DBM",0,VLOOKUP(E4029,tabela,2,FALSE))</f>
        <v>#N/A</v>
      </c>
      <c r="L4029" t="e">
        <f t="shared" ref="L4029:L4092" si="828">VLOOKUP(E4029,tabela,3,FALSE)</f>
        <v>#N/A</v>
      </c>
      <c r="M4029" s="4" t="e">
        <f t="shared" ref="M4029:M4092" si="829">IF(E4029="Dynamic Click",J4029*K4029,K4029*$I4029/1000)</f>
        <v>#N/A</v>
      </c>
      <c r="N4029" s="4" t="e">
        <f t="shared" ref="N4029:N4092" si="830">IF(E4029="Dynamic Click",J4029*L4029,L4029*$I4029/1000)</f>
        <v>#N/A</v>
      </c>
    </row>
    <row r="4030" spans="1:14">
      <c r="A4030">
        <f t="shared" si="818"/>
        <v>0</v>
      </c>
      <c r="B4030">
        <f t="shared" si="819"/>
        <v>0</v>
      </c>
      <c r="C4030">
        <f t="shared" si="820"/>
        <v>0</v>
      </c>
      <c r="D4030">
        <f t="shared" si="821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2"/>
        <v>0</v>
      </c>
      <c r="G4030">
        <f t="shared" si="823"/>
        <v>0</v>
      </c>
      <c r="H4030">
        <f t="shared" si="824"/>
        <v>0</v>
      </c>
      <c r="I4030">
        <f t="shared" si="825"/>
        <v>0</v>
      </c>
      <c r="J4030">
        <f t="shared" si="826"/>
        <v>0</v>
      </c>
      <c r="K4030" s="4" t="e">
        <f t="shared" si="827"/>
        <v>#N/A</v>
      </c>
      <c r="L4030" t="e">
        <f t="shared" si="828"/>
        <v>#N/A</v>
      </c>
      <c r="M4030" s="4" t="e">
        <f t="shared" si="829"/>
        <v>#N/A</v>
      </c>
      <c r="N4030" s="4" t="e">
        <f t="shared" si="830"/>
        <v>#N/A</v>
      </c>
    </row>
    <row r="4031" spans="1:14">
      <c r="A4031">
        <f t="shared" si="818"/>
        <v>0</v>
      </c>
      <c r="B4031">
        <f t="shared" si="819"/>
        <v>0</v>
      </c>
      <c r="C4031">
        <f t="shared" si="820"/>
        <v>0</v>
      </c>
      <c r="D4031">
        <f t="shared" si="821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2"/>
        <v>0</v>
      </c>
      <c r="G4031">
        <f t="shared" si="823"/>
        <v>0</v>
      </c>
      <c r="H4031">
        <f t="shared" si="824"/>
        <v>0</v>
      </c>
      <c r="I4031">
        <f t="shared" si="825"/>
        <v>0</v>
      </c>
      <c r="J4031">
        <f t="shared" si="826"/>
        <v>0</v>
      </c>
      <c r="K4031" s="4" t="e">
        <f t="shared" si="827"/>
        <v>#N/A</v>
      </c>
      <c r="L4031" t="e">
        <f t="shared" si="828"/>
        <v>#N/A</v>
      </c>
      <c r="M4031" s="4" t="e">
        <f t="shared" si="829"/>
        <v>#N/A</v>
      </c>
      <c r="N4031" s="4" t="e">
        <f t="shared" si="830"/>
        <v>#N/A</v>
      </c>
    </row>
    <row r="4032" spans="1:14">
      <c r="A4032">
        <f t="shared" si="818"/>
        <v>0</v>
      </c>
      <c r="B4032">
        <f t="shared" si="819"/>
        <v>0</v>
      </c>
      <c r="C4032">
        <f t="shared" si="820"/>
        <v>0</v>
      </c>
      <c r="D4032">
        <f t="shared" si="821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2"/>
        <v>0</v>
      </c>
      <c r="G4032">
        <f t="shared" si="823"/>
        <v>0</v>
      </c>
      <c r="H4032">
        <f t="shared" si="824"/>
        <v>0</v>
      </c>
      <c r="I4032">
        <f t="shared" si="825"/>
        <v>0</v>
      </c>
      <c r="J4032">
        <f t="shared" si="826"/>
        <v>0</v>
      </c>
      <c r="K4032" s="4" t="e">
        <f t="shared" si="827"/>
        <v>#N/A</v>
      </c>
      <c r="L4032" t="e">
        <f t="shared" si="828"/>
        <v>#N/A</v>
      </c>
      <c r="M4032" s="4" t="e">
        <f t="shared" si="829"/>
        <v>#N/A</v>
      </c>
      <c r="N4032" s="4" t="e">
        <f t="shared" si="830"/>
        <v>#N/A</v>
      </c>
    </row>
    <row r="4033" spans="1:14">
      <c r="A4033">
        <f t="shared" si="818"/>
        <v>0</v>
      </c>
      <c r="B4033">
        <f t="shared" si="819"/>
        <v>0</v>
      </c>
      <c r="C4033">
        <f t="shared" si="820"/>
        <v>0</v>
      </c>
      <c r="D4033">
        <f t="shared" si="821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2"/>
        <v>0</v>
      </c>
      <c r="G4033">
        <f t="shared" si="823"/>
        <v>0</v>
      </c>
      <c r="H4033">
        <f t="shared" si="824"/>
        <v>0</v>
      </c>
      <c r="I4033">
        <f t="shared" si="825"/>
        <v>0</v>
      </c>
      <c r="J4033">
        <f t="shared" si="826"/>
        <v>0</v>
      </c>
      <c r="K4033" s="4" t="e">
        <f t="shared" si="827"/>
        <v>#N/A</v>
      </c>
      <c r="L4033" t="e">
        <f t="shared" si="828"/>
        <v>#N/A</v>
      </c>
      <c r="M4033" s="4" t="e">
        <f t="shared" si="829"/>
        <v>#N/A</v>
      </c>
      <c r="N4033" s="4" t="e">
        <f t="shared" si="830"/>
        <v>#N/A</v>
      </c>
    </row>
    <row r="4034" spans="1:14">
      <c r="A4034">
        <f t="shared" ref="A4034:A4097" si="831">bd_campaign</f>
        <v>0</v>
      </c>
      <c r="B4034">
        <f t="shared" ref="B4034:B4097" si="832">bd_site</f>
        <v>0</v>
      </c>
      <c r="C4034">
        <f t="shared" ref="C4034:C4097" si="833">bd_placement</f>
        <v>0</v>
      </c>
      <c r="D4034">
        <f t="shared" ref="D4034:D4097" si="834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5">bd_ad</f>
        <v>0</v>
      </c>
      <c r="G4034">
        <f t="shared" ref="G4034:G4097" si="836">bd_adid</f>
        <v>0</v>
      </c>
      <c r="H4034">
        <f t="shared" ref="H4034:H4097" si="837">bd_creativetype</f>
        <v>0</v>
      </c>
      <c r="I4034">
        <f t="shared" ref="I4034:I4097" si="838">bd_impression</f>
        <v>0</v>
      </c>
      <c r="J4034">
        <f t="shared" ref="J4034:J4097" si="839">bd_clicks</f>
        <v>0</v>
      </c>
      <c r="K4034" s="4" t="e">
        <f t="shared" si="827"/>
        <v>#N/A</v>
      </c>
      <c r="L4034" t="e">
        <f t="shared" si="828"/>
        <v>#N/A</v>
      </c>
      <c r="M4034" s="4" t="e">
        <f t="shared" si="829"/>
        <v>#N/A</v>
      </c>
      <c r="N4034" s="4" t="e">
        <f t="shared" si="830"/>
        <v>#N/A</v>
      </c>
    </row>
    <row r="4035" spans="1:14">
      <c r="A4035">
        <f t="shared" si="831"/>
        <v>0</v>
      </c>
      <c r="B4035">
        <f t="shared" si="832"/>
        <v>0</v>
      </c>
      <c r="C4035">
        <f t="shared" si="833"/>
        <v>0</v>
      </c>
      <c r="D4035">
        <f t="shared" si="834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5"/>
        <v>0</v>
      </c>
      <c r="G4035">
        <f t="shared" si="836"/>
        <v>0</v>
      </c>
      <c r="H4035">
        <f t="shared" si="837"/>
        <v>0</v>
      </c>
      <c r="I4035">
        <f t="shared" si="838"/>
        <v>0</v>
      </c>
      <c r="J4035">
        <f t="shared" si="839"/>
        <v>0</v>
      </c>
      <c r="K4035" s="4" t="e">
        <f t="shared" si="827"/>
        <v>#N/A</v>
      </c>
      <c r="L4035" t="e">
        <f t="shared" si="828"/>
        <v>#N/A</v>
      </c>
      <c r="M4035" s="4" t="e">
        <f t="shared" si="829"/>
        <v>#N/A</v>
      </c>
      <c r="N4035" s="4" t="e">
        <f t="shared" si="830"/>
        <v>#N/A</v>
      </c>
    </row>
    <row r="4036" spans="1:14">
      <c r="A4036">
        <f t="shared" si="831"/>
        <v>0</v>
      </c>
      <c r="B4036">
        <f t="shared" si="832"/>
        <v>0</v>
      </c>
      <c r="C4036">
        <f t="shared" si="833"/>
        <v>0</v>
      </c>
      <c r="D4036">
        <f t="shared" si="834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5"/>
        <v>0</v>
      </c>
      <c r="G4036">
        <f t="shared" si="836"/>
        <v>0</v>
      </c>
      <c r="H4036">
        <f t="shared" si="837"/>
        <v>0</v>
      </c>
      <c r="I4036">
        <f t="shared" si="838"/>
        <v>0</v>
      </c>
      <c r="J4036">
        <f t="shared" si="839"/>
        <v>0</v>
      </c>
      <c r="K4036" s="4" t="e">
        <f t="shared" si="827"/>
        <v>#N/A</v>
      </c>
      <c r="L4036" t="e">
        <f t="shared" si="828"/>
        <v>#N/A</v>
      </c>
      <c r="M4036" s="4" t="e">
        <f t="shared" si="829"/>
        <v>#N/A</v>
      </c>
      <c r="N4036" s="4" t="e">
        <f t="shared" si="830"/>
        <v>#N/A</v>
      </c>
    </row>
    <row r="4037" spans="1:14">
      <c r="A4037">
        <f t="shared" si="831"/>
        <v>0</v>
      </c>
      <c r="B4037">
        <f t="shared" si="832"/>
        <v>0</v>
      </c>
      <c r="C4037">
        <f t="shared" si="833"/>
        <v>0</v>
      </c>
      <c r="D4037">
        <f t="shared" si="834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5"/>
        <v>0</v>
      </c>
      <c r="G4037">
        <f t="shared" si="836"/>
        <v>0</v>
      </c>
      <c r="H4037">
        <f t="shared" si="837"/>
        <v>0</v>
      </c>
      <c r="I4037">
        <f t="shared" si="838"/>
        <v>0</v>
      </c>
      <c r="J4037">
        <f t="shared" si="839"/>
        <v>0</v>
      </c>
      <c r="K4037" s="4" t="e">
        <f t="shared" si="827"/>
        <v>#N/A</v>
      </c>
      <c r="L4037" t="e">
        <f t="shared" si="828"/>
        <v>#N/A</v>
      </c>
      <c r="M4037" s="4" t="e">
        <f t="shared" si="829"/>
        <v>#N/A</v>
      </c>
      <c r="N4037" s="4" t="e">
        <f t="shared" si="830"/>
        <v>#N/A</v>
      </c>
    </row>
    <row r="4038" spans="1:14">
      <c r="A4038">
        <f t="shared" si="831"/>
        <v>0</v>
      </c>
      <c r="B4038">
        <f t="shared" si="832"/>
        <v>0</v>
      </c>
      <c r="C4038">
        <f t="shared" si="833"/>
        <v>0</v>
      </c>
      <c r="D4038">
        <f t="shared" si="834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5"/>
        <v>0</v>
      </c>
      <c r="G4038">
        <f t="shared" si="836"/>
        <v>0</v>
      </c>
      <c r="H4038">
        <f t="shared" si="837"/>
        <v>0</v>
      </c>
      <c r="I4038">
        <f t="shared" si="838"/>
        <v>0</v>
      </c>
      <c r="J4038">
        <f t="shared" si="839"/>
        <v>0</v>
      </c>
      <c r="K4038" s="4" t="e">
        <f t="shared" si="827"/>
        <v>#N/A</v>
      </c>
      <c r="L4038" t="e">
        <f t="shared" si="828"/>
        <v>#N/A</v>
      </c>
      <c r="M4038" s="4" t="e">
        <f t="shared" si="829"/>
        <v>#N/A</v>
      </c>
      <c r="N4038" s="4" t="e">
        <f t="shared" si="830"/>
        <v>#N/A</v>
      </c>
    </row>
    <row r="4039" spans="1:14">
      <c r="A4039">
        <f t="shared" si="831"/>
        <v>0</v>
      </c>
      <c r="B4039">
        <f t="shared" si="832"/>
        <v>0</v>
      </c>
      <c r="C4039">
        <f t="shared" si="833"/>
        <v>0</v>
      </c>
      <c r="D4039">
        <f t="shared" si="834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5"/>
        <v>0</v>
      </c>
      <c r="G4039">
        <f t="shared" si="836"/>
        <v>0</v>
      </c>
      <c r="H4039">
        <f t="shared" si="837"/>
        <v>0</v>
      </c>
      <c r="I4039">
        <f t="shared" si="838"/>
        <v>0</v>
      </c>
      <c r="J4039">
        <f t="shared" si="839"/>
        <v>0</v>
      </c>
      <c r="K4039" s="4" t="e">
        <f t="shared" si="827"/>
        <v>#N/A</v>
      </c>
      <c r="L4039" t="e">
        <f t="shared" si="828"/>
        <v>#N/A</v>
      </c>
      <c r="M4039" s="4" t="e">
        <f t="shared" si="829"/>
        <v>#N/A</v>
      </c>
      <c r="N4039" s="4" t="e">
        <f t="shared" si="830"/>
        <v>#N/A</v>
      </c>
    </row>
    <row r="4040" spans="1:14">
      <c r="A4040">
        <f t="shared" si="831"/>
        <v>0</v>
      </c>
      <c r="B4040">
        <f t="shared" si="832"/>
        <v>0</v>
      </c>
      <c r="C4040">
        <f t="shared" si="833"/>
        <v>0</v>
      </c>
      <c r="D4040">
        <f t="shared" si="834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5"/>
        <v>0</v>
      </c>
      <c r="G4040">
        <f t="shared" si="836"/>
        <v>0</v>
      </c>
      <c r="H4040">
        <f t="shared" si="837"/>
        <v>0</v>
      </c>
      <c r="I4040">
        <f t="shared" si="838"/>
        <v>0</v>
      </c>
      <c r="J4040">
        <f t="shared" si="839"/>
        <v>0</v>
      </c>
      <c r="K4040" s="4" t="e">
        <f t="shared" si="827"/>
        <v>#N/A</v>
      </c>
      <c r="L4040" t="e">
        <f t="shared" si="828"/>
        <v>#N/A</v>
      </c>
      <c r="M4040" s="4" t="e">
        <f t="shared" si="829"/>
        <v>#N/A</v>
      </c>
      <c r="N4040" s="4" t="e">
        <f t="shared" si="830"/>
        <v>#N/A</v>
      </c>
    </row>
    <row r="4041" spans="1:14">
      <c r="A4041">
        <f t="shared" si="831"/>
        <v>0</v>
      </c>
      <c r="B4041">
        <f t="shared" si="832"/>
        <v>0</v>
      </c>
      <c r="C4041">
        <f t="shared" si="833"/>
        <v>0</v>
      </c>
      <c r="D4041">
        <f t="shared" si="834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5"/>
        <v>0</v>
      </c>
      <c r="G4041">
        <f t="shared" si="836"/>
        <v>0</v>
      </c>
      <c r="H4041">
        <f t="shared" si="837"/>
        <v>0</v>
      </c>
      <c r="I4041">
        <f t="shared" si="838"/>
        <v>0</v>
      </c>
      <c r="J4041">
        <f t="shared" si="839"/>
        <v>0</v>
      </c>
      <c r="K4041" s="4" t="e">
        <f t="shared" si="827"/>
        <v>#N/A</v>
      </c>
      <c r="L4041" t="e">
        <f t="shared" si="828"/>
        <v>#N/A</v>
      </c>
      <c r="M4041" s="4" t="e">
        <f t="shared" si="829"/>
        <v>#N/A</v>
      </c>
      <c r="N4041" s="4" t="e">
        <f t="shared" si="830"/>
        <v>#N/A</v>
      </c>
    </row>
    <row r="4042" spans="1:14">
      <c r="A4042">
        <f t="shared" si="831"/>
        <v>0</v>
      </c>
      <c r="B4042">
        <f t="shared" si="832"/>
        <v>0</v>
      </c>
      <c r="C4042">
        <f t="shared" si="833"/>
        <v>0</v>
      </c>
      <c r="D4042">
        <f t="shared" si="834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5"/>
        <v>0</v>
      </c>
      <c r="G4042">
        <f t="shared" si="836"/>
        <v>0</v>
      </c>
      <c r="H4042">
        <f t="shared" si="837"/>
        <v>0</v>
      </c>
      <c r="I4042">
        <f t="shared" si="838"/>
        <v>0</v>
      </c>
      <c r="J4042">
        <f t="shared" si="839"/>
        <v>0</v>
      </c>
      <c r="K4042" s="4" t="e">
        <f t="shared" si="827"/>
        <v>#N/A</v>
      </c>
      <c r="L4042" t="e">
        <f t="shared" si="828"/>
        <v>#N/A</v>
      </c>
      <c r="M4042" s="4" t="e">
        <f t="shared" si="829"/>
        <v>#N/A</v>
      </c>
      <c r="N4042" s="4" t="e">
        <f t="shared" si="830"/>
        <v>#N/A</v>
      </c>
    </row>
    <row r="4043" spans="1:14">
      <c r="A4043">
        <f t="shared" si="831"/>
        <v>0</v>
      </c>
      <c r="B4043">
        <f t="shared" si="832"/>
        <v>0</v>
      </c>
      <c r="C4043">
        <f t="shared" si="833"/>
        <v>0</v>
      </c>
      <c r="D4043">
        <f t="shared" si="834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5"/>
        <v>0</v>
      </c>
      <c r="G4043">
        <f t="shared" si="836"/>
        <v>0</v>
      </c>
      <c r="H4043">
        <f t="shared" si="837"/>
        <v>0</v>
      </c>
      <c r="I4043">
        <f t="shared" si="838"/>
        <v>0</v>
      </c>
      <c r="J4043">
        <f t="shared" si="839"/>
        <v>0</v>
      </c>
      <c r="K4043" s="4" t="e">
        <f t="shared" si="827"/>
        <v>#N/A</v>
      </c>
      <c r="L4043" t="e">
        <f t="shared" si="828"/>
        <v>#N/A</v>
      </c>
      <c r="M4043" s="4" t="e">
        <f t="shared" si="829"/>
        <v>#N/A</v>
      </c>
      <c r="N4043" s="4" t="e">
        <f t="shared" si="830"/>
        <v>#N/A</v>
      </c>
    </row>
    <row r="4044" spans="1:14">
      <c r="A4044">
        <f t="shared" si="831"/>
        <v>0</v>
      </c>
      <c r="B4044">
        <f t="shared" si="832"/>
        <v>0</v>
      </c>
      <c r="C4044">
        <f t="shared" si="833"/>
        <v>0</v>
      </c>
      <c r="D4044">
        <f t="shared" si="834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5"/>
        <v>0</v>
      </c>
      <c r="G4044">
        <f t="shared" si="836"/>
        <v>0</v>
      </c>
      <c r="H4044">
        <f t="shared" si="837"/>
        <v>0</v>
      </c>
      <c r="I4044">
        <f t="shared" si="838"/>
        <v>0</v>
      </c>
      <c r="J4044">
        <f t="shared" si="839"/>
        <v>0</v>
      </c>
      <c r="K4044" s="4" t="e">
        <f t="shared" si="827"/>
        <v>#N/A</v>
      </c>
      <c r="L4044" t="e">
        <f t="shared" si="828"/>
        <v>#N/A</v>
      </c>
      <c r="M4044" s="4" t="e">
        <f t="shared" si="829"/>
        <v>#N/A</v>
      </c>
      <c r="N4044" s="4" t="e">
        <f t="shared" si="830"/>
        <v>#N/A</v>
      </c>
    </row>
    <row r="4045" spans="1:14">
      <c r="A4045">
        <f t="shared" si="831"/>
        <v>0</v>
      </c>
      <c r="B4045">
        <f t="shared" si="832"/>
        <v>0</v>
      </c>
      <c r="C4045">
        <f t="shared" si="833"/>
        <v>0</v>
      </c>
      <c r="D4045">
        <f t="shared" si="834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5"/>
        <v>0</v>
      </c>
      <c r="G4045">
        <f t="shared" si="836"/>
        <v>0</v>
      </c>
      <c r="H4045">
        <f t="shared" si="837"/>
        <v>0</v>
      </c>
      <c r="I4045">
        <f t="shared" si="838"/>
        <v>0</v>
      </c>
      <c r="J4045">
        <f t="shared" si="839"/>
        <v>0</v>
      </c>
      <c r="K4045" s="4" t="e">
        <f t="shared" si="827"/>
        <v>#N/A</v>
      </c>
      <c r="L4045" t="e">
        <f t="shared" si="828"/>
        <v>#N/A</v>
      </c>
      <c r="M4045" s="4" t="e">
        <f t="shared" si="829"/>
        <v>#N/A</v>
      </c>
      <c r="N4045" s="4" t="e">
        <f t="shared" si="830"/>
        <v>#N/A</v>
      </c>
    </row>
    <row r="4046" spans="1:14">
      <c r="A4046">
        <f t="shared" si="831"/>
        <v>0</v>
      </c>
      <c r="B4046">
        <f t="shared" si="832"/>
        <v>0</v>
      </c>
      <c r="C4046">
        <f t="shared" si="833"/>
        <v>0</v>
      </c>
      <c r="D4046">
        <f t="shared" si="834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5"/>
        <v>0</v>
      </c>
      <c r="G4046">
        <f t="shared" si="836"/>
        <v>0</v>
      </c>
      <c r="H4046">
        <f t="shared" si="837"/>
        <v>0</v>
      </c>
      <c r="I4046">
        <f t="shared" si="838"/>
        <v>0</v>
      </c>
      <c r="J4046">
        <f t="shared" si="839"/>
        <v>0</v>
      </c>
      <c r="K4046" s="4" t="e">
        <f t="shared" si="827"/>
        <v>#N/A</v>
      </c>
      <c r="L4046" t="e">
        <f t="shared" si="828"/>
        <v>#N/A</v>
      </c>
      <c r="M4046" s="4" t="e">
        <f t="shared" si="829"/>
        <v>#N/A</v>
      </c>
      <c r="N4046" s="4" t="e">
        <f t="shared" si="830"/>
        <v>#N/A</v>
      </c>
    </row>
    <row r="4047" spans="1:14">
      <c r="A4047">
        <f t="shared" si="831"/>
        <v>0</v>
      </c>
      <c r="B4047">
        <f t="shared" si="832"/>
        <v>0</v>
      </c>
      <c r="C4047">
        <f t="shared" si="833"/>
        <v>0</v>
      </c>
      <c r="D4047">
        <f t="shared" si="834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5"/>
        <v>0</v>
      </c>
      <c r="G4047">
        <f t="shared" si="836"/>
        <v>0</v>
      </c>
      <c r="H4047">
        <f t="shared" si="837"/>
        <v>0</v>
      </c>
      <c r="I4047">
        <f t="shared" si="838"/>
        <v>0</v>
      </c>
      <c r="J4047">
        <f t="shared" si="839"/>
        <v>0</v>
      </c>
      <c r="K4047" s="4" t="e">
        <f t="shared" si="827"/>
        <v>#N/A</v>
      </c>
      <c r="L4047" t="e">
        <f t="shared" si="828"/>
        <v>#N/A</v>
      </c>
      <c r="M4047" s="4" t="e">
        <f t="shared" si="829"/>
        <v>#N/A</v>
      </c>
      <c r="N4047" s="4" t="e">
        <f t="shared" si="830"/>
        <v>#N/A</v>
      </c>
    </row>
    <row r="4048" spans="1:14">
      <c r="A4048">
        <f t="shared" si="831"/>
        <v>0</v>
      </c>
      <c r="B4048">
        <f t="shared" si="832"/>
        <v>0</v>
      </c>
      <c r="C4048">
        <f t="shared" si="833"/>
        <v>0</v>
      </c>
      <c r="D4048">
        <f t="shared" si="834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5"/>
        <v>0</v>
      </c>
      <c r="G4048">
        <f t="shared" si="836"/>
        <v>0</v>
      </c>
      <c r="H4048">
        <f t="shared" si="837"/>
        <v>0</v>
      </c>
      <c r="I4048">
        <f t="shared" si="838"/>
        <v>0</v>
      </c>
      <c r="J4048">
        <f t="shared" si="839"/>
        <v>0</v>
      </c>
      <c r="K4048" s="4" t="e">
        <f t="shared" si="827"/>
        <v>#N/A</v>
      </c>
      <c r="L4048" t="e">
        <f t="shared" si="828"/>
        <v>#N/A</v>
      </c>
      <c r="M4048" s="4" t="e">
        <f t="shared" si="829"/>
        <v>#N/A</v>
      </c>
      <c r="N4048" s="4" t="e">
        <f t="shared" si="830"/>
        <v>#N/A</v>
      </c>
    </row>
    <row r="4049" spans="1:14">
      <c r="A4049">
        <f t="shared" si="831"/>
        <v>0</v>
      </c>
      <c r="B4049">
        <f t="shared" si="832"/>
        <v>0</v>
      </c>
      <c r="C4049">
        <f t="shared" si="833"/>
        <v>0</v>
      </c>
      <c r="D4049">
        <f t="shared" si="834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5"/>
        <v>0</v>
      </c>
      <c r="G4049">
        <f t="shared" si="836"/>
        <v>0</v>
      </c>
      <c r="H4049">
        <f t="shared" si="837"/>
        <v>0</v>
      </c>
      <c r="I4049">
        <f t="shared" si="838"/>
        <v>0</v>
      </c>
      <c r="J4049">
        <f t="shared" si="839"/>
        <v>0</v>
      </c>
      <c r="K4049" s="4" t="e">
        <f t="shared" si="827"/>
        <v>#N/A</v>
      </c>
      <c r="L4049" t="e">
        <f t="shared" si="828"/>
        <v>#N/A</v>
      </c>
      <c r="M4049" s="4" t="e">
        <f t="shared" si="829"/>
        <v>#N/A</v>
      </c>
      <c r="N4049" s="4" t="e">
        <f t="shared" si="830"/>
        <v>#N/A</v>
      </c>
    </row>
    <row r="4050" spans="1:14">
      <c r="A4050">
        <f t="shared" si="831"/>
        <v>0</v>
      </c>
      <c r="B4050">
        <f t="shared" si="832"/>
        <v>0</v>
      </c>
      <c r="C4050">
        <f t="shared" si="833"/>
        <v>0</v>
      </c>
      <c r="D4050">
        <f t="shared" si="834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5"/>
        <v>0</v>
      </c>
      <c r="G4050">
        <f t="shared" si="836"/>
        <v>0</v>
      </c>
      <c r="H4050">
        <f t="shared" si="837"/>
        <v>0</v>
      </c>
      <c r="I4050">
        <f t="shared" si="838"/>
        <v>0</v>
      </c>
      <c r="J4050">
        <f t="shared" si="839"/>
        <v>0</v>
      </c>
      <c r="K4050" s="4" t="e">
        <f t="shared" si="827"/>
        <v>#N/A</v>
      </c>
      <c r="L4050" t="e">
        <f t="shared" si="828"/>
        <v>#N/A</v>
      </c>
      <c r="M4050" s="4" t="e">
        <f t="shared" si="829"/>
        <v>#N/A</v>
      </c>
      <c r="N4050" s="4" t="e">
        <f t="shared" si="830"/>
        <v>#N/A</v>
      </c>
    </row>
    <row r="4051" spans="1:14">
      <c r="A4051">
        <f t="shared" si="831"/>
        <v>0</v>
      </c>
      <c r="B4051">
        <f t="shared" si="832"/>
        <v>0</v>
      </c>
      <c r="C4051">
        <f t="shared" si="833"/>
        <v>0</v>
      </c>
      <c r="D4051">
        <f t="shared" si="834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5"/>
        <v>0</v>
      </c>
      <c r="G4051">
        <f t="shared" si="836"/>
        <v>0</v>
      </c>
      <c r="H4051">
        <f t="shared" si="837"/>
        <v>0</v>
      </c>
      <c r="I4051">
        <f t="shared" si="838"/>
        <v>0</v>
      </c>
      <c r="J4051">
        <f t="shared" si="839"/>
        <v>0</v>
      </c>
      <c r="K4051" s="4" t="e">
        <f t="shared" si="827"/>
        <v>#N/A</v>
      </c>
      <c r="L4051" t="e">
        <f t="shared" si="828"/>
        <v>#N/A</v>
      </c>
      <c r="M4051" s="4" t="e">
        <f t="shared" si="829"/>
        <v>#N/A</v>
      </c>
      <c r="N4051" s="4" t="e">
        <f t="shared" si="830"/>
        <v>#N/A</v>
      </c>
    </row>
    <row r="4052" spans="1:14">
      <c r="A4052">
        <f t="shared" si="831"/>
        <v>0</v>
      </c>
      <c r="B4052">
        <f t="shared" si="832"/>
        <v>0</v>
      </c>
      <c r="C4052">
        <f t="shared" si="833"/>
        <v>0</v>
      </c>
      <c r="D4052">
        <f t="shared" si="834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5"/>
        <v>0</v>
      </c>
      <c r="G4052">
        <f t="shared" si="836"/>
        <v>0</v>
      </c>
      <c r="H4052">
        <f t="shared" si="837"/>
        <v>0</v>
      </c>
      <c r="I4052">
        <f t="shared" si="838"/>
        <v>0</v>
      </c>
      <c r="J4052">
        <f t="shared" si="839"/>
        <v>0</v>
      </c>
      <c r="K4052" s="4" t="e">
        <f t="shared" si="827"/>
        <v>#N/A</v>
      </c>
      <c r="L4052" t="e">
        <f t="shared" si="828"/>
        <v>#N/A</v>
      </c>
      <c r="M4052" s="4" t="e">
        <f t="shared" si="829"/>
        <v>#N/A</v>
      </c>
      <c r="N4052" s="4" t="e">
        <f t="shared" si="830"/>
        <v>#N/A</v>
      </c>
    </row>
    <row r="4053" spans="1:14">
      <c r="A4053">
        <f t="shared" si="831"/>
        <v>0</v>
      </c>
      <c r="B4053">
        <f t="shared" si="832"/>
        <v>0</v>
      </c>
      <c r="C4053">
        <f t="shared" si="833"/>
        <v>0</v>
      </c>
      <c r="D4053">
        <f t="shared" si="834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5"/>
        <v>0</v>
      </c>
      <c r="G4053">
        <f t="shared" si="836"/>
        <v>0</v>
      </c>
      <c r="H4053">
        <f t="shared" si="837"/>
        <v>0</v>
      </c>
      <c r="I4053">
        <f t="shared" si="838"/>
        <v>0</v>
      </c>
      <c r="J4053">
        <f t="shared" si="839"/>
        <v>0</v>
      </c>
      <c r="K4053" s="4" t="e">
        <f t="shared" si="827"/>
        <v>#N/A</v>
      </c>
      <c r="L4053" t="e">
        <f t="shared" si="828"/>
        <v>#N/A</v>
      </c>
      <c r="M4053" s="4" t="e">
        <f t="shared" si="829"/>
        <v>#N/A</v>
      </c>
      <c r="N4053" s="4" t="e">
        <f t="shared" si="830"/>
        <v>#N/A</v>
      </c>
    </row>
    <row r="4054" spans="1:14">
      <c r="A4054">
        <f t="shared" si="831"/>
        <v>0</v>
      </c>
      <c r="B4054">
        <f t="shared" si="832"/>
        <v>0</v>
      </c>
      <c r="C4054">
        <f t="shared" si="833"/>
        <v>0</v>
      </c>
      <c r="D4054">
        <f t="shared" si="834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5"/>
        <v>0</v>
      </c>
      <c r="G4054">
        <f t="shared" si="836"/>
        <v>0</v>
      </c>
      <c r="H4054">
        <f t="shared" si="837"/>
        <v>0</v>
      </c>
      <c r="I4054">
        <f t="shared" si="838"/>
        <v>0</v>
      </c>
      <c r="J4054">
        <f t="shared" si="839"/>
        <v>0</v>
      </c>
      <c r="K4054" s="4" t="e">
        <f t="shared" si="827"/>
        <v>#N/A</v>
      </c>
      <c r="L4054" t="e">
        <f t="shared" si="828"/>
        <v>#N/A</v>
      </c>
      <c r="M4054" s="4" t="e">
        <f t="shared" si="829"/>
        <v>#N/A</v>
      </c>
      <c r="N4054" s="4" t="e">
        <f t="shared" si="830"/>
        <v>#N/A</v>
      </c>
    </row>
    <row r="4055" spans="1:14">
      <c r="A4055">
        <f t="shared" si="831"/>
        <v>0</v>
      </c>
      <c r="B4055">
        <f t="shared" si="832"/>
        <v>0</v>
      </c>
      <c r="C4055">
        <f t="shared" si="833"/>
        <v>0</v>
      </c>
      <c r="D4055">
        <f t="shared" si="834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5"/>
        <v>0</v>
      </c>
      <c r="G4055">
        <f t="shared" si="836"/>
        <v>0</v>
      </c>
      <c r="H4055">
        <f t="shared" si="837"/>
        <v>0</v>
      </c>
      <c r="I4055">
        <f t="shared" si="838"/>
        <v>0</v>
      </c>
      <c r="J4055">
        <f t="shared" si="839"/>
        <v>0</v>
      </c>
      <c r="K4055" s="4" t="e">
        <f t="shared" si="827"/>
        <v>#N/A</v>
      </c>
      <c r="L4055" t="e">
        <f t="shared" si="828"/>
        <v>#N/A</v>
      </c>
      <c r="M4055" s="4" t="e">
        <f t="shared" si="829"/>
        <v>#N/A</v>
      </c>
      <c r="N4055" s="4" t="e">
        <f t="shared" si="830"/>
        <v>#N/A</v>
      </c>
    </row>
    <row r="4056" spans="1:14">
      <c r="A4056">
        <f t="shared" si="831"/>
        <v>0</v>
      </c>
      <c r="B4056">
        <f t="shared" si="832"/>
        <v>0</v>
      </c>
      <c r="C4056">
        <f t="shared" si="833"/>
        <v>0</v>
      </c>
      <c r="D4056">
        <f t="shared" si="834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5"/>
        <v>0</v>
      </c>
      <c r="G4056">
        <f t="shared" si="836"/>
        <v>0</v>
      </c>
      <c r="H4056">
        <f t="shared" si="837"/>
        <v>0</v>
      </c>
      <c r="I4056">
        <f t="shared" si="838"/>
        <v>0</v>
      </c>
      <c r="J4056">
        <f t="shared" si="839"/>
        <v>0</v>
      </c>
      <c r="K4056" s="4" t="e">
        <f t="shared" si="827"/>
        <v>#N/A</v>
      </c>
      <c r="L4056" t="e">
        <f t="shared" si="828"/>
        <v>#N/A</v>
      </c>
      <c r="M4056" s="4" t="e">
        <f t="shared" si="829"/>
        <v>#N/A</v>
      </c>
      <c r="N4056" s="4" t="e">
        <f t="shared" si="830"/>
        <v>#N/A</v>
      </c>
    </row>
    <row r="4057" spans="1:14">
      <c r="A4057">
        <f t="shared" si="831"/>
        <v>0</v>
      </c>
      <c r="B4057">
        <f t="shared" si="832"/>
        <v>0</v>
      </c>
      <c r="C4057">
        <f t="shared" si="833"/>
        <v>0</v>
      </c>
      <c r="D4057">
        <f t="shared" si="834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5"/>
        <v>0</v>
      </c>
      <c r="G4057">
        <f t="shared" si="836"/>
        <v>0</v>
      </c>
      <c r="H4057">
        <f t="shared" si="837"/>
        <v>0</v>
      </c>
      <c r="I4057">
        <f t="shared" si="838"/>
        <v>0</v>
      </c>
      <c r="J4057">
        <f t="shared" si="839"/>
        <v>0</v>
      </c>
      <c r="K4057" s="4" t="e">
        <f t="shared" si="827"/>
        <v>#N/A</v>
      </c>
      <c r="L4057" t="e">
        <f t="shared" si="828"/>
        <v>#N/A</v>
      </c>
      <c r="M4057" s="4" t="e">
        <f t="shared" si="829"/>
        <v>#N/A</v>
      </c>
      <c r="N4057" s="4" t="e">
        <f t="shared" si="830"/>
        <v>#N/A</v>
      </c>
    </row>
    <row r="4058" spans="1:14">
      <c r="A4058">
        <f t="shared" si="831"/>
        <v>0</v>
      </c>
      <c r="B4058">
        <f t="shared" si="832"/>
        <v>0</v>
      </c>
      <c r="C4058">
        <f t="shared" si="833"/>
        <v>0</v>
      </c>
      <c r="D4058">
        <f t="shared" si="834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5"/>
        <v>0</v>
      </c>
      <c r="G4058">
        <f t="shared" si="836"/>
        <v>0</v>
      </c>
      <c r="H4058">
        <f t="shared" si="837"/>
        <v>0</v>
      </c>
      <c r="I4058">
        <f t="shared" si="838"/>
        <v>0</v>
      </c>
      <c r="J4058">
        <f t="shared" si="839"/>
        <v>0</v>
      </c>
      <c r="K4058" s="4" t="e">
        <f t="shared" si="827"/>
        <v>#N/A</v>
      </c>
      <c r="L4058" t="e">
        <f t="shared" si="828"/>
        <v>#N/A</v>
      </c>
      <c r="M4058" s="4" t="e">
        <f t="shared" si="829"/>
        <v>#N/A</v>
      </c>
      <c r="N4058" s="4" t="e">
        <f t="shared" si="830"/>
        <v>#N/A</v>
      </c>
    </row>
    <row r="4059" spans="1:14">
      <c r="A4059">
        <f t="shared" si="831"/>
        <v>0</v>
      </c>
      <c r="B4059">
        <f t="shared" si="832"/>
        <v>0</v>
      </c>
      <c r="C4059">
        <f t="shared" si="833"/>
        <v>0</v>
      </c>
      <c r="D4059">
        <f t="shared" si="834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5"/>
        <v>0</v>
      </c>
      <c r="G4059">
        <f t="shared" si="836"/>
        <v>0</v>
      </c>
      <c r="H4059">
        <f t="shared" si="837"/>
        <v>0</v>
      </c>
      <c r="I4059">
        <f t="shared" si="838"/>
        <v>0</v>
      </c>
      <c r="J4059">
        <f t="shared" si="839"/>
        <v>0</v>
      </c>
      <c r="K4059" s="4" t="e">
        <f t="shared" si="827"/>
        <v>#N/A</v>
      </c>
      <c r="L4059" t="e">
        <f t="shared" si="828"/>
        <v>#N/A</v>
      </c>
      <c r="M4059" s="4" t="e">
        <f t="shared" si="829"/>
        <v>#N/A</v>
      </c>
      <c r="N4059" s="4" t="e">
        <f t="shared" si="830"/>
        <v>#N/A</v>
      </c>
    </row>
    <row r="4060" spans="1:14">
      <c r="A4060">
        <f t="shared" si="831"/>
        <v>0</v>
      </c>
      <c r="B4060">
        <f t="shared" si="832"/>
        <v>0</v>
      </c>
      <c r="C4060">
        <f t="shared" si="833"/>
        <v>0</v>
      </c>
      <c r="D4060">
        <f t="shared" si="834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5"/>
        <v>0</v>
      </c>
      <c r="G4060">
        <f t="shared" si="836"/>
        <v>0</v>
      </c>
      <c r="H4060">
        <f t="shared" si="837"/>
        <v>0</v>
      </c>
      <c r="I4060">
        <f t="shared" si="838"/>
        <v>0</v>
      </c>
      <c r="J4060">
        <f t="shared" si="839"/>
        <v>0</v>
      </c>
      <c r="K4060" s="4" t="e">
        <f t="shared" si="827"/>
        <v>#N/A</v>
      </c>
      <c r="L4060" t="e">
        <f t="shared" si="828"/>
        <v>#N/A</v>
      </c>
      <c r="M4060" s="4" t="e">
        <f t="shared" si="829"/>
        <v>#N/A</v>
      </c>
      <c r="N4060" s="4" t="e">
        <f t="shared" si="830"/>
        <v>#N/A</v>
      </c>
    </row>
    <row r="4061" spans="1:14">
      <c r="A4061">
        <f t="shared" si="831"/>
        <v>0</v>
      </c>
      <c r="B4061">
        <f t="shared" si="832"/>
        <v>0</v>
      </c>
      <c r="C4061">
        <f t="shared" si="833"/>
        <v>0</v>
      </c>
      <c r="D4061">
        <f t="shared" si="834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5"/>
        <v>0</v>
      </c>
      <c r="G4061">
        <f t="shared" si="836"/>
        <v>0</v>
      </c>
      <c r="H4061">
        <f t="shared" si="837"/>
        <v>0</v>
      </c>
      <c r="I4061">
        <f t="shared" si="838"/>
        <v>0</v>
      </c>
      <c r="J4061">
        <f t="shared" si="839"/>
        <v>0</v>
      </c>
      <c r="K4061" s="4" t="e">
        <f t="shared" si="827"/>
        <v>#N/A</v>
      </c>
      <c r="L4061" t="e">
        <f t="shared" si="828"/>
        <v>#N/A</v>
      </c>
      <c r="M4061" s="4" t="e">
        <f t="shared" si="829"/>
        <v>#N/A</v>
      </c>
      <c r="N4061" s="4" t="e">
        <f t="shared" si="830"/>
        <v>#N/A</v>
      </c>
    </row>
    <row r="4062" spans="1:14">
      <c r="A4062">
        <f t="shared" si="831"/>
        <v>0</v>
      </c>
      <c r="B4062">
        <f t="shared" si="832"/>
        <v>0</v>
      </c>
      <c r="C4062">
        <f t="shared" si="833"/>
        <v>0</v>
      </c>
      <c r="D4062">
        <f t="shared" si="834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5"/>
        <v>0</v>
      </c>
      <c r="G4062">
        <f t="shared" si="836"/>
        <v>0</v>
      </c>
      <c r="H4062">
        <f t="shared" si="837"/>
        <v>0</v>
      </c>
      <c r="I4062">
        <f t="shared" si="838"/>
        <v>0</v>
      </c>
      <c r="J4062">
        <f t="shared" si="839"/>
        <v>0</v>
      </c>
      <c r="K4062" s="4" t="e">
        <f t="shared" si="827"/>
        <v>#N/A</v>
      </c>
      <c r="L4062" t="e">
        <f t="shared" si="828"/>
        <v>#N/A</v>
      </c>
      <c r="M4062" s="4" t="e">
        <f t="shared" si="829"/>
        <v>#N/A</v>
      </c>
      <c r="N4062" s="4" t="e">
        <f t="shared" si="830"/>
        <v>#N/A</v>
      </c>
    </row>
    <row r="4063" spans="1:14">
      <c r="A4063">
        <f t="shared" si="831"/>
        <v>0</v>
      </c>
      <c r="B4063">
        <f t="shared" si="832"/>
        <v>0</v>
      </c>
      <c r="C4063">
        <f t="shared" si="833"/>
        <v>0</v>
      </c>
      <c r="D4063">
        <f t="shared" si="834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5"/>
        <v>0</v>
      </c>
      <c r="G4063">
        <f t="shared" si="836"/>
        <v>0</v>
      </c>
      <c r="H4063">
        <f t="shared" si="837"/>
        <v>0</v>
      </c>
      <c r="I4063">
        <f t="shared" si="838"/>
        <v>0</v>
      </c>
      <c r="J4063">
        <f t="shared" si="839"/>
        <v>0</v>
      </c>
      <c r="K4063" s="4" t="e">
        <f t="shared" si="827"/>
        <v>#N/A</v>
      </c>
      <c r="L4063" t="e">
        <f t="shared" si="828"/>
        <v>#N/A</v>
      </c>
      <c r="M4063" s="4" t="e">
        <f t="shared" si="829"/>
        <v>#N/A</v>
      </c>
      <c r="N4063" s="4" t="e">
        <f t="shared" si="830"/>
        <v>#N/A</v>
      </c>
    </row>
    <row r="4064" spans="1:14">
      <c r="A4064">
        <f t="shared" si="831"/>
        <v>0</v>
      </c>
      <c r="B4064">
        <f t="shared" si="832"/>
        <v>0</v>
      </c>
      <c r="C4064">
        <f t="shared" si="833"/>
        <v>0</v>
      </c>
      <c r="D4064">
        <f t="shared" si="834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5"/>
        <v>0</v>
      </c>
      <c r="G4064">
        <f t="shared" si="836"/>
        <v>0</v>
      </c>
      <c r="H4064">
        <f t="shared" si="837"/>
        <v>0</v>
      </c>
      <c r="I4064">
        <f t="shared" si="838"/>
        <v>0</v>
      </c>
      <c r="J4064">
        <f t="shared" si="839"/>
        <v>0</v>
      </c>
      <c r="K4064" s="4" t="e">
        <f t="shared" si="827"/>
        <v>#N/A</v>
      </c>
      <c r="L4064" t="e">
        <f t="shared" si="828"/>
        <v>#N/A</v>
      </c>
      <c r="M4064" s="4" t="e">
        <f t="shared" si="829"/>
        <v>#N/A</v>
      </c>
      <c r="N4064" s="4" t="e">
        <f t="shared" si="830"/>
        <v>#N/A</v>
      </c>
    </row>
    <row r="4065" spans="1:14">
      <c r="A4065">
        <f t="shared" si="831"/>
        <v>0</v>
      </c>
      <c r="B4065">
        <f t="shared" si="832"/>
        <v>0</v>
      </c>
      <c r="C4065">
        <f t="shared" si="833"/>
        <v>0</v>
      </c>
      <c r="D4065">
        <f t="shared" si="834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5"/>
        <v>0</v>
      </c>
      <c r="G4065">
        <f t="shared" si="836"/>
        <v>0</v>
      </c>
      <c r="H4065">
        <f t="shared" si="837"/>
        <v>0</v>
      </c>
      <c r="I4065">
        <f t="shared" si="838"/>
        <v>0</v>
      </c>
      <c r="J4065">
        <f t="shared" si="839"/>
        <v>0</v>
      </c>
      <c r="K4065" s="4" t="e">
        <f t="shared" si="827"/>
        <v>#N/A</v>
      </c>
      <c r="L4065" t="e">
        <f t="shared" si="828"/>
        <v>#N/A</v>
      </c>
      <c r="M4065" s="4" t="e">
        <f t="shared" si="829"/>
        <v>#N/A</v>
      </c>
      <c r="N4065" s="4" t="e">
        <f t="shared" si="830"/>
        <v>#N/A</v>
      </c>
    </row>
    <row r="4066" spans="1:14">
      <c r="A4066">
        <f t="shared" si="831"/>
        <v>0</v>
      </c>
      <c r="B4066">
        <f t="shared" si="832"/>
        <v>0</v>
      </c>
      <c r="C4066">
        <f t="shared" si="833"/>
        <v>0</v>
      </c>
      <c r="D4066">
        <f t="shared" si="834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5"/>
        <v>0</v>
      </c>
      <c r="G4066">
        <f t="shared" si="836"/>
        <v>0</v>
      </c>
      <c r="H4066">
        <f t="shared" si="837"/>
        <v>0</v>
      </c>
      <c r="I4066">
        <f t="shared" si="838"/>
        <v>0</v>
      </c>
      <c r="J4066">
        <f t="shared" si="839"/>
        <v>0</v>
      </c>
      <c r="K4066" s="4" t="e">
        <f t="shared" si="827"/>
        <v>#N/A</v>
      </c>
      <c r="L4066" t="e">
        <f t="shared" si="828"/>
        <v>#N/A</v>
      </c>
      <c r="M4066" s="4" t="e">
        <f t="shared" si="829"/>
        <v>#N/A</v>
      </c>
      <c r="N4066" s="4" t="e">
        <f t="shared" si="830"/>
        <v>#N/A</v>
      </c>
    </row>
    <row r="4067" spans="1:14">
      <c r="A4067">
        <f t="shared" si="831"/>
        <v>0</v>
      </c>
      <c r="B4067">
        <f t="shared" si="832"/>
        <v>0</v>
      </c>
      <c r="C4067">
        <f t="shared" si="833"/>
        <v>0</v>
      </c>
      <c r="D4067">
        <f t="shared" si="834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5"/>
        <v>0</v>
      </c>
      <c r="G4067">
        <f t="shared" si="836"/>
        <v>0</v>
      </c>
      <c r="H4067">
        <f t="shared" si="837"/>
        <v>0</v>
      </c>
      <c r="I4067">
        <f t="shared" si="838"/>
        <v>0</v>
      </c>
      <c r="J4067">
        <f t="shared" si="839"/>
        <v>0</v>
      </c>
      <c r="K4067" s="4" t="e">
        <f t="shared" si="827"/>
        <v>#N/A</v>
      </c>
      <c r="L4067" t="e">
        <f t="shared" si="828"/>
        <v>#N/A</v>
      </c>
      <c r="M4067" s="4" t="e">
        <f t="shared" si="829"/>
        <v>#N/A</v>
      </c>
      <c r="N4067" s="4" t="e">
        <f t="shared" si="830"/>
        <v>#N/A</v>
      </c>
    </row>
    <row r="4068" spans="1:14">
      <c r="A4068">
        <f t="shared" si="831"/>
        <v>0</v>
      </c>
      <c r="B4068">
        <f t="shared" si="832"/>
        <v>0</v>
      </c>
      <c r="C4068">
        <f t="shared" si="833"/>
        <v>0</v>
      </c>
      <c r="D4068">
        <f t="shared" si="834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5"/>
        <v>0</v>
      </c>
      <c r="G4068">
        <f t="shared" si="836"/>
        <v>0</v>
      </c>
      <c r="H4068">
        <f t="shared" si="837"/>
        <v>0</v>
      </c>
      <c r="I4068">
        <f t="shared" si="838"/>
        <v>0</v>
      </c>
      <c r="J4068">
        <f t="shared" si="839"/>
        <v>0</v>
      </c>
      <c r="K4068" s="4" t="e">
        <f t="shared" si="827"/>
        <v>#N/A</v>
      </c>
      <c r="L4068" t="e">
        <f t="shared" si="828"/>
        <v>#N/A</v>
      </c>
      <c r="M4068" s="4" t="e">
        <f t="shared" si="829"/>
        <v>#N/A</v>
      </c>
      <c r="N4068" s="4" t="e">
        <f t="shared" si="830"/>
        <v>#N/A</v>
      </c>
    </row>
    <row r="4069" spans="1:14">
      <c r="A4069">
        <f t="shared" si="831"/>
        <v>0</v>
      </c>
      <c r="B4069">
        <f t="shared" si="832"/>
        <v>0</v>
      </c>
      <c r="C4069">
        <f t="shared" si="833"/>
        <v>0</v>
      </c>
      <c r="D4069">
        <f t="shared" si="834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5"/>
        <v>0</v>
      </c>
      <c r="G4069">
        <f t="shared" si="836"/>
        <v>0</v>
      </c>
      <c r="H4069">
        <f t="shared" si="837"/>
        <v>0</v>
      </c>
      <c r="I4069">
        <f t="shared" si="838"/>
        <v>0</v>
      </c>
      <c r="J4069">
        <f t="shared" si="839"/>
        <v>0</v>
      </c>
      <c r="K4069" s="4" t="e">
        <f t="shared" si="827"/>
        <v>#N/A</v>
      </c>
      <c r="L4069" t="e">
        <f t="shared" si="828"/>
        <v>#N/A</v>
      </c>
      <c r="M4069" s="4" t="e">
        <f t="shared" si="829"/>
        <v>#N/A</v>
      </c>
      <c r="N4069" s="4" t="e">
        <f t="shared" si="830"/>
        <v>#N/A</v>
      </c>
    </row>
    <row r="4070" spans="1:14">
      <c r="A4070">
        <f t="shared" si="831"/>
        <v>0</v>
      </c>
      <c r="B4070">
        <f t="shared" si="832"/>
        <v>0</v>
      </c>
      <c r="C4070">
        <f t="shared" si="833"/>
        <v>0</v>
      </c>
      <c r="D4070">
        <f t="shared" si="834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5"/>
        <v>0</v>
      </c>
      <c r="G4070">
        <f t="shared" si="836"/>
        <v>0</v>
      </c>
      <c r="H4070">
        <f t="shared" si="837"/>
        <v>0</v>
      </c>
      <c r="I4070">
        <f t="shared" si="838"/>
        <v>0</v>
      </c>
      <c r="J4070">
        <f t="shared" si="839"/>
        <v>0</v>
      </c>
      <c r="K4070" s="4" t="e">
        <f t="shared" si="827"/>
        <v>#N/A</v>
      </c>
      <c r="L4070" t="e">
        <f t="shared" si="828"/>
        <v>#N/A</v>
      </c>
      <c r="M4070" s="4" t="e">
        <f t="shared" si="829"/>
        <v>#N/A</v>
      </c>
      <c r="N4070" s="4" t="e">
        <f t="shared" si="830"/>
        <v>#N/A</v>
      </c>
    </row>
    <row r="4071" spans="1:14">
      <c r="A4071">
        <f t="shared" si="831"/>
        <v>0</v>
      </c>
      <c r="B4071">
        <f t="shared" si="832"/>
        <v>0</v>
      </c>
      <c r="C4071">
        <f t="shared" si="833"/>
        <v>0</v>
      </c>
      <c r="D4071">
        <f t="shared" si="834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5"/>
        <v>0</v>
      </c>
      <c r="G4071">
        <f t="shared" si="836"/>
        <v>0</v>
      </c>
      <c r="H4071">
        <f t="shared" si="837"/>
        <v>0</v>
      </c>
      <c r="I4071">
        <f t="shared" si="838"/>
        <v>0</v>
      </c>
      <c r="J4071">
        <f t="shared" si="839"/>
        <v>0</v>
      </c>
      <c r="K4071" s="4" t="e">
        <f t="shared" si="827"/>
        <v>#N/A</v>
      </c>
      <c r="L4071" t="e">
        <f t="shared" si="828"/>
        <v>#N/A</v>
      </c>
      <c r="M4071" s="4" t="e">
        <f t="shared" si="829"/>
        <v>#N/A</v>
      </c>
      <c r="N4071" s="4" t="e">
        <f t="shared" si="830"/>
        <v>#N/A</v>
      </c>
    </row>
    <row r="4072" spans="1:14">
      <c r="A4072">
        <f t="shared" si="831"/>
        <v>0</v>
      </c>
      <c r="B4072">
        <f t="shared" si="832"/>
        <v>0</v>
      </c>
      <c r="C4072">
        <f t="shared" si="833"/>
        <v>0</v>
      </c>
      <c r="D4072">
        <f t="shared" si="834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5"/>
        <v>0</v>
      </c>
      <c r="G4072">
        <f t="shared" si="836"/>
        <v>0</v>
      </c>
      <c r="H4072">
        <f t="shared" si="837"/>
        <v>0</v>
      </c>
      <c r="I4072">
        <f t="shared" si="838"/>
        <v>0</v>
      </c>
      <c r="J4072">
        <f t="shared" si="839"/>
        <v>0</v>
      </c>
      <c r="K4072" s="4" t="e">
        <f t="shared" si="827"/>
        <v>#N/A</v>
      </c>
      <c r="L4072" t="e">
        <f t="shared" si="828"/>
        <v>#N/A</v>
      </c>
      <c r="M4072" s="4" t="e">
        <f t="shared" si="829"/>
        <v>#N/A</v>
      </c>
      <c r="N4072" s="4" t="e">
        <f t="shared" si="830"/>
        <v>#N/A</v>
      </c>
    </row>
    <row r="4073" spans="1:14">
      <c r="A4073">
        <f t="shared" si="831"/>
        <v>0</v>
      </c>
      <c r="B4073">
        <f t="shared" si="832"/>
        <v>0</v>
      </c>
      <c r="C4073">
        <f t="shared" si="833"/>
        <v>0</v>
      </c>
      <c r="D4073">
        <f t="shared" si="834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5"/>
        <v>0</v>
      </c>
      <c r="G4073">
        <f t="shared" si="836"/>
        <v>0</v>
      </c>
      <c r="H4073">
        <f t="shared" si="837"/>
        <v>0</v>
      </c>
      <c r="I4073">
        <f t="shared" si="838"/>
        <v>0</v>
      </c>
      <c r="J4073">
        <f t="shared" si="839"/>
        <v>0</v>
      </c>
      <c r="K4073" s="4" t="e">
        <f t="shared" si="827"/>
        <v>#N/A</v>
      </c>
      <c r="L4073" t="e">
        <f t="shared" si="828"/>
        <v>#N/A</v>
      </c>
      <c r="M4073" s="4" t="e">
        <f t="shared" si="829"/>
        <v>#N/A</v>
      </c>
      <c r="N4073" s="4" t="e">
        <f t="shared" si="830"/>
        <v>#N/A</v>
      </c>
    </row>
    <row r="4074" spans="1:14">
      <c r="A4074">
        <f t="shared" si="831"/>
        <v>0</v>
      </c>
      <c r="B4074">
        <f t="shared" si="832"/>
        <v>0</v>
      </c>
      <c r="C4074">
        <f t="shared" si="833"/>
        <v>0</v>
      </c>
      <c r="D4074">
        <f t="shared" si="834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5"/>
        <v>0</v>
      </c>
      <c r="G4074">
        <f t="shared" si="836"/>
        <v>0</v>
      </c>
      <c r="H4074">
        <f t="shared" si="837"/>
        <v>0</v>
      </c>
      <c r="I4074">
        <f t="shared" si="838"/>
        <v>0</v>
      </c>
      <c r="J4074">
        <f t="shared" si="839"/>
        <v>0</v>
      </c>
      <c r="K4074" s="4" t="e">
        <f t="shared" si="827"/>
        <v>#N/A</v>
      </c>
      <c r="L4074" t="e">
        <f t="shared" si="828"/>
        <v>#N/A</v>
      </c>
      <c r="M4074" s="4" t="e">
        <f t="shared" si="829"/>
        <v>#N/A</v>
      </c>
      <c r="N4074" s="4" t="e">
        <f t="shared" si="830"/>
        <v>#N/A</v>
      </c>
    </row>
    <row r="4075" spans="1:14">
      <c r="A4075">
        <f t="shared" si="831"/>
        <v>0</v>
      </c>
      <c r="B4075">
        <f t="shared" si="832"/>
        <v>0</v>
      </c>
      <c r="C4075">
        <f t="shared" si="833"/>
        <v>0</v>
      </c>
      <c r="D4075">
        <f t="shared" si="834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5"/>
        <v>0</v>
      </c>
      <c r="G4075">
        <f t="shared" si="836"/>
        <v>0</v>
      </c>
      <c r="H4075">
        <f t="shared" si="837"/>
        <v>0</v>
      </c>
      <c r="I4075">
        <f t="shared" si="838"/>
        <v>0</v>
      </c>
      <c r="J4075">
        <f t="shared" si="839"/>
        <v>0</v>
      </c>
      <c r="K4075" s="4" t="e">
        <f t="shared" si="827"/>
        <v>#N/A</v>
      </c>
      <c r="L4075" t="e">
        <f t="shared" si="828"/>
        <v>#N/A</v>
      </c>
      <c r="M4075" s="4" t="e">
        <f t="shared" si="829"/>
        <v>#N/A</v>
      </c>
      <c r="N4075" s="4" t="e">
        <f t="shared" si="830"/>
        <v>#N/A</v>
      </c>
    </row>
    <row r="4076" spans="1:14">
      <c r="A4076">
        <f t="shared" si="831"/>
        <v>0</v>
      </c>
      <c r="B4076">
        <f t="shared" si="832"/>
        <v>0</v>
      </c>
      <c r="C4076">
        <f t="shared" si="833"/>
        <v>0</v>
      </c>
      <c r="D4076">
        <f t="shared" si="834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5"/>
        <v>0</v>
      </c>
      <c r="G4076">
        <f t="shared" si="836"/>
        <v>0</v>
      </c>
      <c r="H4076">
        <f t="shared" si="837"/>
        <v>0</v>
      </c>
      <c r="I4076">
        <f t="shared" si="838"/>
        <v>0</v>
      </c>
      <c r="J4076">
        <f t="shared" si="839"/>
        <v>0</v>
      </c>
      <c r="K4076" s="4" t="e">
        <f t="shared" si="827"/>
        <v>#N/A</v>
      </c>
      <c r="L4076" t="e">
        <f t="shared" si="828"/>
        <v>#N/A</v>
      </c>
      <c r="M4076" s="4" t="e">
        <f t="shared" si="829"/>
        <v>#N/A</v>
      </c>
      <c r="N4076" s="4" t="e">
        <f t="shared" si="830"/>
        <v>#N/A</v>
      </c>
    </row>
    <row r="4077" spans="1:14">
      <c r="A4077">
        <f t="shared" si="831"/>
        <v>0</v>
      </c>
      <c r="B4077">
        <f t="shared" si="832"/>
        <v>0</v>
      </c>
      <c r="C4077">
        <f t="shared" si="833"/>
        <v>0</v>
      </c>
      <c r="D4077">
        <f t="shared" si="834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5"/>
        <v>0</v>
      </c>
      <c r="G4077">
        <f t="shared" si="836"/>
        <v>0</v>
      </c>
      <c r="H4077">
        <f t="shared" si="837"/>
        <v>0</v>
      </c>
      <c r="I4077">
        <f t="shared" si="838"/>
        <v>0</v>
      </c>
      <c r="J4077">
        <f t="shared" si="839"/>
        <v>0</v>
      </c>
      <c r="K4077" s="4" t="e">
        <f t="shared" si="827"/>
        <v>#N/A</v>
      </c>
      <c r="L4077" t="e">
        <f t="shared" si="828"/>
        <v>#N/A</v>
      </c>
      <c r="M4077" s="4" t="e">
        <f t="shared" si="829"/>
        <v>#N/A</v>
      </c>
      <c r="N4077" s="4" t="e">
        <f t="shared" si="830"/>
        <v>#N/A</v>
      </c>
    </row>
    <row r="4078" spans="1:14">
      <c r="A4078">
        <f t="shared" si="831"/>
        <v>0</v>
      </c>
      <c r="B4078">
        <f t="shared" si="832"/>
        <v>0</v>
      </c>
      <c r="C4078">
        <f t="shared" si="833"/>
        <v>0</v>
      </c>
      <c r="D4078">
        <f t="shared" si="834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5"/>
        <v>0</v>
      </c>
      <c r="G4078">
        <f t="shared" si="836"/>
        <v>0</v>
      </c>
      <c r="H4078">
        <f t="shared" si="837"/>
        <v>0</v>
      </c>
      <c r="I4078">
        <f t="shared" si="838"/>
        <v>0</v>
      </c>
      <c r="J4078">
        <f t="shared" si="839"/>
        <v>0</v>
      </c>
      <c r="K4078" s="4" t="e">
        <f t="shared" si="827"/>
        <v>#N/A</v>
      </c>
      <c r="L4078" t="e">
        <f t="shared" si="828"/>
        <v>#N/A</v>
      </c>
      <c r="M4078" s="4" t="e">
        <f t="shared" si="829"/>
        <v>#N/A</v>
      </c>
      <c r="N4078" s="4" t="e">
        <f t="shared" si="830"/>
        <v>#N/A</v>
      </c>
    </row>
    <row r="4079" spans="1:14">
      <c r="A4079">
        <f t="shared" si="831"/>
        <v>0</v>
      </c>
      <c r="B4079">
        <f t="shared" si="832"/>
        <v>0</v>
      </c>
      <c r="C4079">
        <f t="shared" si="833"/>
        <v>0</v>
      </c>
      <c r="D4079">
        <f t="shared" si="834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5"/>
        <v>0</v>
      </c>
      <c r="G4079">
        <f t="shared" si="836"/>
        <v>0</v>
      </c>
      <c r="H4079">
        <f t="shared" si="837"/>
        <v>0</v>
      </c>
      <c r="I4079">
        <f t="shared" si="838"/>
        <v>0</v>
      </c>
      <c r="J4079">
        <f t="shared" si="839"/>
        <v>0</v>
      </c>
      <c r="K4079" s="4" t="e">
        <f t="shared" si="827"/>
        <v>#N/A</v>
      </c>
      <c r="L4079" t="e">
        <f t="shared" si="828"/>
        <v>#N/A</v>
      </c>
      <c r="M4079" s="4" t="e">
        <f t="shared" si="829"/>
        <v>#N/A</v>
      </c>
      <c r="N4079" s="4" t="e">
        <f t="shared" si="830"/>
        <v>#N/A</v>
      </c>
    </row>
    <row r="4080" spans="1:14">
      <c r="A4080">
        <f t="shared" si="831"/>
        <v>0</v>
      </c>
      <c r="B4080">
        <f t="shared" si="832"/>
        <v>0</v>
      </c>
      <c r="C4080">
        <f t="shared" si="833"/>
        <v>0</v>
      </c>
      <c r="D4080">
        <f t="shared" si="834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5"/>
        <v>0</v>
      </c>
      <c r="G4080">
        <f t="shared" si="836"/>
        <v>0</v>
      </c>
      <c r="H4080">
        <f t="shared" si="837"/>
        <v>0</v>
      </c>
      <c r="I4080">
        <f t="shared" si="838"/>
        <v>0</v>
      </c>
      <c r="J4080">
        <f t="shared" si="839"/>
        <v>0</v>
      </c>
      <c r="K4080" s="4" t="e">
        <f t="shared" si="827"/>
        <v>#N/A</v>
      </c>
      <c r="L4080" t="e">
        <f t="shared" si="828"/>
        <v>#N/A</v>
      </c>
      <c r="M4080" s="4" t="e">
        <f t="shared" si="829"/>
        <v>#N/A</v>
      </c>
      <c r="N4080" s="4" t="e">
        <f t="shared" si="830"/>
        <v>#N/A</v>
      </c>
    </row>
    <row r="4081" spans="1:14">
      <c r="A4081">
        <f t="shared" si="831"/>
        <v>0</v>
      </c>
      <c r="B4081">
        <f t="shared" si="832"/>
        <v>0</v>
      </c>
      <c r="C4081">
        <f t="shared" si="833"/>
        <v>0</v>
      </c>
      <c r="D4081">
        <f t="shared" si="834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5"/>
        <v>0</v>
      </c>
      <c r="G4081">
        <f t="shared" si="836"/>
        <v>0</v>
      </c>
      <c r="H4081">
        <f t="shared" si="837"/>
        <v>0</v>
      </c>
      <c r="I4081">
        <f t="shared" si="838"/>
        <v>0</v>
      </c>
      <c r="J4081">
        <f t="shared" si="839"/>
        <v>0</v>
      </c>
      <c r="K4081" s="4" t="e">
        <f t="shared" si="827"/>
        <v>#N/A</v>
      </c>
      <c r="L4081" t="e">
        <f t="shared" si="828"/>
        <v>#N/A</v>
      </c>
      <c r="M4081" s="4" t="e">
        <f t="shared" si="829"/>
        <v>#N/A</v>
      </c>
      <c r="N4081" s="4" t="e">
        <f t="shared" si="830"/>
        <v>#N/A</v>
      </c>
    </row>
    <row r="4082" spans="1:14">
      <c r="A4082">
        <f t="shared" si="831"/>
        <v>0</v>
      </c>
      <c r="B4082">
        <f t="shared" si="832"/>
        <v>0</v>
      </c>
      <c r="C4082">
        <f t="shared" si="833"/>
        <v>0</v>
      </c>
      <c r="D4082">
        <f t="shared" si="834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5"/>
        <v>0</v>
      </c>
      <c r="G4082">
        <f t="shared" si="836"/>
        <v>0</v>
      </c>
      <c r="H4082">
        <f t="shared" si="837"/>
        <v>0</v>
      </c>
      <c r="I4082">
        <f t="shared" si="838"/>
        <v>0</v>
      </c>
      <c r="J4082">
        <f t="shared" si="839"/>
        <v>0</v>
      </c>
      <c r="K4082" s="4" t="e">
        <f t="shared" si="827"/>
        <v>#N/A</v>
      </c>
      <c r="L4082" t="e">
        <f t="shared" si="828"/>
        <v>#N/A</v>
      </c>
      <c r="M4082" s="4" t="e">
        <f t="shared" si="829"/>
        <v>#N/A</v>
      </c>
      <c r="N4082" s="4" t="e">
        <f t="shared" si="830"/>
        <v>#N/A</v>
      </c>
    </row>
    <row r="4083" spans="1:14">
      <c r="A4083">
        <f t="shared" si="831"/>
        <v>0</v>
      </c>
      <c r="B4083">
        <f t="shared" si="832"/>
        <v>0</v>
      </c>
      <c r="C4083">
        <f t="shared" si="833"/>
        <v>0</v>
      </c>
      <c r="D4083">
        <f t="shared" si="834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5"/>
        <v>0</v>
      </c>
      <c r="G4083">
        <f t="shared" si="836"/>
        <v>0</v>
      </c>
      <c r="H4083">
        <f t="shared" si="837"/>
        <v>0</v>
      </c>
      <c r="I4083">
        <f t="shared" si="838"/>
        <v>0</v>
      </c>
      <c r="J4083">
        <f t="shared" si="839"/>
        <v>0</v>
      </c>
      <c r="K4083" s="4" t="e">
        <f t="shared" si="827"/>
        <v>#N/A</v>
      </c>
      <c r="L4083" t="e">
        <f t="shared" si="828"/>
        <v>#N/A</v>
      </c>
      <c r="M4083" s="4" t="e">
        <f t="shared" si="829"/>
        <v>#N/A</v>
      </c>
      <c r="N4083" s="4" t="e">
        <f t="shared" si="830"/>
        <v>#N/A</v>
      </c>
    </row>
    <row r="4084" spans="1:14">
      <c r="A4084">
        <f t="shared" si="831"/>
        <v>0</v>
      </c>
      <c r="B4084">
        <f t="shared" si="832"/>
        <v>0</v>
      </c>
      <c r="C4084">
        <f t="shared" si="833"/>
        <v>0</v>
      </c>
      <c r="D4084">
        <f t="shared" si="834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5"/>
        <v>0</v>
      </c>
      <c r="G4084">
        <f t="shared" si="836"/>
        <v>0</v>
      </c>
      <c r="H4084">
        <f t="shared" si="837"/>
        <v>0</v>
      </c>
      <c r="I4084">
        <f t="shared" si="838"/>
        <v>0</v>
      </c>
      <c r="J4084">
        <f t="shared" si="839"/>
        <v>0</v>
      </c>
      <c r="K4084" s="4" t="e">
        <f t="shared" si="827"/>
        <v>#N/A</v>
      </c>
      <c r="L4084" t="e">
        <f t="shared" si="828"/>
        <v>#N/A</v>
      </c>
      <c r="M4084" s="4" t="e">
        <f t="shared" si="829"/>
        <v>#N/A</v>
      </c>
      <c r="N4084" s="4" t="e">
        <f t="shared" si="830"/>
        <v>#N/A</v>
      </c>
    </row>
    <row r="4085" spans="1:14">
      <c r="A4085">
        <f t="shared" si="831"/>
        <v>0</v>
      </c>
      <c r="B4085">
        <f t="shared" si="832"/>
        <v>0</v>
      </c>
      <c r="C4085">
        <f t="shared" si="833"/>
        <v>0</v>
      </c>
      <c r="D4085">
        <f t="shared" si="834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5"/>
        <v>0</v>
      </c>
      <c r="G4085">
        <f t="shared" si="836"/>
        <v>0</v>
      </c>
      <c r="H4085">
        <f t="shared" si="837"/>
        <v>0</v>
      </c>
      <c r="I4085">
        <f t="shared" si="838"/>
        <v>0</v>
      </c>
      <c r="J4085">
        <f t="shared" si="839"/>
        <v>0</v>
      </c>
      <c r="K4085" s="4" t="e">
        <f t="shared" si="827"/>
        <v>#N/A</v>
      </c>
      <c r="L4085" t="e">
        <f t="shared" si="828"/>
        <v>#N/A</v>
      </c>
      <c r="M4085" s="4" t="e">
        <f t="shared" si="829"/>
        <v>#N/A</v>
      </c>
      <c r="N4085" s="4" t="e">
        <f t="shared" si="830"/>
        <v>#N/A</v>
      </c>
    </row>
    <row r="4086" spans="1:14">
      <c r="A4086">
        <f t="shared" si="831"/>
        <v>0</v>
      </c>
      <c r="B4086">
        <f t="shared" si="832"/>
        <v>0</v>
      </c>
      <c r="C4086">
        <f t="shared" si="833"/>
        <v>0</v>
      </c>
      <c r="D4086">
        <f t="shared" si="834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5"/>
        <v>0</v>
      </c>
      <c r="G4086">
        <f t="shared" si="836"/>
        <v>0</v>
      </c>
      <c r="H4086">
        <f t="shared" si="837"/>
        <v>0</v>
      </c>
      <c r="I4086">
        <f t="shared" si="838"/>
        <v>0</v>
      </c>
      <c r="J4086">
        <f t="shared" si="839"/>
        <v>0</v>
      </c>
      <c r="K4086" s="4" t="e">
        <f t="shared" si="827"/>
        <v>#N/A</v>
      </c>
      <c r="L4086" t="e">
        <f t="shared" si="828"/>
        <v>#N/A</v>
      </c>
      <c r="M4086" s="4" t="e">
        <f t="shared" si="829"/>
        <v>#N/A</v>
      </c>
      <c r="N4086" s="4" t="e">
        <f t="shared" si="830"/>
        <v>#N/A</v>
      </c>
    </row>
    <row r="4087" spans="1:14">
      <c r="A4087">
        <f t="shared" si="831"/>
        <v>0</v>
      </c>
      <c r="B4087">
        <f t="shared" si="832"/>
        <v>0</v>
      </c>
      <c r="C4087">
        <f t="shared" si="833"/>
        <v>0</v>
      </c>
      <c r="D4087">
        <f t="shared" si="834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5"/>
        <v>0</v>
      </c>
      <c r="G4087">
        <f t="shared" si="836"/>
        <v>0</v>
      </c>
      <c r="H4087">
        <f t="shared" si="837"/>
        <v>0</v>
      </c>
      <c r="I4087">
        <f t="shared" si="838"/>
        <v>0</v>
      </c>
      <c r="J4087">
        <f t="shared" si="839"/>
        <v>0</v>
      </c>
      <c r="K4087" s="4" t="e">
        <f t="shared" si="827"/>
        <v>#N/A</v>
      </c>
      <c r="L4087" t="e">
        <f t="shared" si="828"/>
        <v>#N/A</v>
      </c>
      <c r="M4087" s="4" t="e">
        <f t="shared" si="829"/>
        <v>#N/A</v>
      </c>
      <c r="N4087" s="4" t="e">
        <f t="shared" si="830"/>
        <v>#N/A</v>
      </c>
    </row>
    <row r="4088" spans="1:14">
      <c r="A4088">
        <f t="shared" si="831"/>
        <v>0</v>
      </c>
      <c r="B4088">
        <f t="shared" si="832"/>
        <v>0</v>
      </c>
      <c r="C4088">
        <f t="shared" si="833"/>
        <v>0</v>
      </c>
      <c r="D4088">
        <f t="shared" si="834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5"/>
        <v>0</v>
      </c>
      <c r="G4088">
        <f t="shared" si="836"/>
        <v>0</v>
      </c>
      <c r="H4088">
        <f t="shared" si="837"/>
        <v>0</v>
      </c>
      <c r="I4088">
        <f t="shared" si="838"/>
        <v>0</v>
      </c>
      <c r="J4088">
        <f t="shared" si="839"/>
        <v>0</v>
      </c>
      <c r="K4088" s="4" t="e">
        <f t="shared" si="827"/>
        <v>#N/A</v>
      </c>
      <c r="L4088" t="e">
        <f t="shared" si="828"/>
        <v>#N/A</v>
      </c>
      <c r="M4088" s="4" t="e">
        <f t="shared" si="829"/>
        <v>#N/A</v>
      </c>
      <c r="N4088" s="4" t="e">
        <f t="shared" si="830"/>
        <v>#N/A</v>
      </c>
    </row>
    <row r="4089" spans="1:14">
      <c r="A4089">
        <f t="shared" si="831"/>
        <v>0</v>
      </c>
      <c r="B4089">
        <f t="shared" si="832"/>
        <v>0</v>
      </c>
      <c r="C4089">
        <f t="shared" si="833"/>
        <v>0</v>
      </c>
      <c r="D4089">
        <f t="shared" si="834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5"/>
        <v>0</v>
      </c>
      <c r="G4089">
        <f t="shared" si="836"/>
        <v>0</v>
      </c>
      <c r="H4089">
        <f t="shared" si="837"/>
        <v>0</v>
      </c>
      <c r="I4089">
        <f t="shared" si="838"/>
        <v>0</v>
      </c>
      <c r="J4089">
        <f t="shared" si="839"/>
        <v>0</v>
      </c>
      <c r="K4089" s="4" t="e">
        <f t="shared" si="827"/>
        <v>#N/A</v>
      </c>
      <c r="L4089" t="e">
        <f t="shared" si="828"/>
        <v>#N/A</v>
      </c>
      <c r="M4089" s="4" t="e">
        <f t="shared" si="829"/>
        <v>#N/A</v>
      </c>
      <c r="N4089" s="4" t="e">
        <f t="shared" si="830"/>
        <v>#N/A</v>
      </c>
    </row>
    <row r="4090" spans="1:14">
      <c r="A4090">
        <f t="shared" si="831"/>
        <v>0</v>
      </c>
      <c r="B4090">
        <f t="shared" si="832"/>
        <v>0</v>
      </c>
      <c r="C4090">
        <f t="shared" si="833"/>
        <v>0</v>
      </c>
      <c r="D4090">
        <f t="shared" si="834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5"/>
        <v>0</v>
      </c>
      <c r="G4090">
        <f t="shared" si="836"/>
        <v>0</v>
      </c>
      <c r="H4090">
        <f t="shared" si="837"/>
        <v>0</v>
      </c>
      <c r="I4090">
        <f t="shared" si="838"/>
        <v>0</v>
      </c>
      <c r="J4090">
        <f t="shared" si="839"/>
        <v>0</v>
      </c>
      <c r="K4090" s="4" t="e">
        <f t="shared" si="827"/>
        <v>#N/A</v>
      </c>
      <c r="L4090" t="e">
        <f t="shared" si="828"/>
        <v>#N/A</v>
      </c>
      <c r="M4090" s="4" t="e">
        <f t="shared" si="829"/>
        <v>#N/A</v>
      </c>
      <c r="N4090" s="4" t="e">
        <f t="shared" si="830"/>
        <v>#N/A</v>
      </c>
    </row>
    <row r="4091" spans="1:14">
      <c r="A4091">
        <f t="shared" si="831"/>
        <v>0</v>
      </c>
      <c r="B4091">
        <f t="shared" si="832"/>
        <v>0</v>
      </c>
      <c r="C4091">
        <f t="shared" si="833"/>
        <v>0</v>
      </c>
      <c r="D4091">
        <f t="shared" si="834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5"/>
        <v>0</v>
      </c>
      <c r="G4091">
        <f t="shared" si="836"/>
        <v>0</v>
      </c>
      <c r="H4091">
        <f t="shared" si="837"/>
        <v>0</v>
      </c>
      <c r="I4091">
        <f t="shared" si="838"/>
        <v>0</v>
      </c>
      <c r="J4091">
        <f t="shared" si="839"/>
        <v>0</v>
      </c>
      <c r="K4091" s="4" t="e">
        <f t="shared" si="827"/>
        <v>#N/A</v>
      </c>
      <c r="L4091" t="e">
        <f t="shared" si="828"/>
        <v>#N/A</v>
      </c>
      <c r="M4091" s="4" t="e">
        <f t="shared" si="829"/>
        <v>#N/A</v>
      </c>
      <c r="N4091" s="4" t="e">
        <f t="shared" si="830"/>
        <v>#N/A</v>
      </c>
    </row>
    <row r="4092" spans="1:14">
      <c r="A4092">
        <f t="shared" si="831"/>
        <v>0</v>
      </c>
      <c r="B4092">
        <f t="shared" si="832"/>
        <v>0</v>
      </c>
      <c r="C4092">
        <f t="shared" si="833"/>
        <v>0</v>
      </c>
      <c r="D4092">
        <f t="shared" si="834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5"/>
        <v>0</v>
      </c>
      <c r="G4092">
        <f t="shared" si="836"/>
        <v>0</v>
      </c>
      <c r="H4092">
        <f t="shared" si="837"/>
        <v>0</v>
      </c>
      <c r="I4092">
        <f t="shared" si="838"/>
        <v>0</v>
      </c>
      <c r="J4092">
        <f t="shared" si="839"/>
        <v>0</v>
      </c>
      <c r="K4092" s="4" t="e">
        <f t="shared" si="827"/>
        <v>#N/A</v>
      </c>
      <c r="L4092" t="e">
        <f t="shared" si="828"/>
        <v>#N/A</v>
      </c>
      <c r="M4092" s="4" t="e">
        <f t="shared" si="829"/>
        <v>#N/A</v>
      </c>
      <c r="N4092" s="4" t="e">
        <f t="shared" si="830"/>
        <v>#N/A</v>
      </c>
    </row>
    <row r="4093" spans="1:14">
      <c r="A4093">
        <f t="shared" si="831"/>
        <v>0</v>
      </c>
      <c r="B4093">
        <f t="shared" si="832"/>
        <v>0</v>
      </c>
      <c r="C4093">
        <f t="shared" si="833"/>
        <v>0</v>
      </c>
      <c r="D4093">
        <f t="shared" si="834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5"/>
        <v>0</v>
      </c>
      <c r="G4093">
        <f t="shared" si="836"/>
        <v>0</v>
      </c>
      <c r="H4093">
        <f t="shared" si="837"/>
        <v>0</v>
      </c>
      <c r="I4093">
        <f t="shared" si="838"/>
        <v>0</v>
      </c>
      <c r="J4093">
        <f t="shared" si="839"/>
        <v>0</v>
      </c>
      <c r="K4093" s="4" t="e">
        <f t="shared" ref="K4093:K4156" si="840">IF(LEFT(B4093,3)="DBM",0,VLOOKUP(E4093,tabela,2,FALSE))</f>
        <v>#N/A</v>
      </c>
      <c r="L4093" t="e">
        <f t="shared" ref="L4093:L4156" si="841">VLOOKUP(E4093,tabela,3,FALSE)</f>
        <v>#N/A</v>
      </c>
      <c r="M4093" s="4" t="e">
        <f t="shared" ref="M4093:M4156" si="842">IF(E4093="Dynamic Click",J4093*K4093,K4093*$I4093/1000)</f>
        <v>#N/A</v>
      </c>
      <c r="N4093" s="4" t="e">
        <f t="shared" ref="N4093:N4156" si="843">IF(E4093="Dynamic Click",J4093*L4093,L4093*$I4093/1000)</f>
        <v>#N/A</v>
      </c>
    </row>
    <row r="4094" spans="1:14">
      <c r="A4094">
        <f t="shared" si="831"/>
        <v>0</v>
      </c>
      <c r="B4094">
        <f t="shared" si="832"/>
        <v>0</v>
      </c>
      <c r="C4094">
        <f t="shared" si="833"/>
        <v>0</v>
      </c>
      <c r="D4094">
        <f t="shared" si="834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5"/>
        <v>0</v>
      </c>
      <c r="G4094">
        <f t="shared" si="836"/>
        <v>0</v>
      </c>
      <c r="H4094">
        <f t="shared" si="837"/>
        <v>0</v>
      </c>
      <c r="I4094">
        <f t="shared" si="838"/>
        <v>0</v>
      </c>
      <c r="J4094">
        <f t="shared" si="839"/>
        <v>0</v>
      </c>
      <c r="K4094" s="4" t="e">
        <f t="shared" si="840"/>
        <v>#N/A</v>
      </c>
      <c r="L4094" t="e">
        <f t="shared" si="841"/>
        <v>#N/A</v>
      </c>
      <c r="M4094" s="4" t="e">
        <f t="shared" si="842"/>
        <v>#N/A</v>
      </c>
      <c r="N4094" s="4" t="e">
        <f t="shared" si="843"/>
        <v>#N/A</v>
      </c>
    </row>
    <row r="4095" spans="1:14">
      <c r="A4095">
        <f t="shared" si="831"/>
        <v>0</v>
      </c>
      <c r="B4095">
        <f t="shared" si="832"/>
        <v>0</v>
      </c>
      <c r="C4095">
        <f t="shared" si="833"/>
        <v>0</v>
      </c>
      <c r="D4095">
        <f t="shared" si="834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5"/>
        <v>0</v>
      </c>
      <c r="G4095">
        <f t="shared" si="836"/>
        <v>0</v>
      </c>
      <c r="H4095">
        <f t="shared" si="837"/>
        <v>0</v>
      </c>
      <c r="I4095">
        <f t="shared" si="838"/>
        <v>0</v>
      </c>
      <c r="J4095">
        <f t="shared" si="839"/>
        <v>0</v>
      </c>
      <c r="K4095" s="4" t="e">
        <f t="shared" si="840"/>
        <v>#N/A</v>
      </c>
      <c r="L4095" t="e">
        <f t="shared" si="841"/>
        <v>#N/A</v>
      </c>
      <c r="M4095" s="4" t="e">
        <f t="shared" si="842"/>
        <v>#N/A</v>
      </c>
      <c r="N4095" s="4" t="e">
        <f t="shared" si="843"/>
        <v>#N/A</v>
      </c>
    </row>
    <row r="4096" spans="1:14">
      <c r="A4096">
        <f t="shared" si="831"/>
        <v>0</v>
      </c>
      <c r="B4096">
        <f t="shared" si="832"/>
        <v>0</v>
      </c>
      <c r="C4096">
        <f t="shared" si="833"/>
        <v>0</v>
      </c>
      <c r="D4096">
        <f t="shared" si="834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5"/>
        <v>0</v>
      </c>
      <c r="G4096">
        <f t="shared" si="836"/>
        <v>0</v>
      </c>
      <c r="H4096">
        <f t="shared" si="837"/>
        <v>0</v>
      </c>
      <c r="I4096">
        <f t="shared" si="838"/>
        <v>0</v>
      </c>
      <c r="J4096">
        <f t="shared" si="839"/>
        <v>0</v>
      </c>
      <c r="K4096" s="4" t="e">
        <f t="shared" si="840"/>
        <v>#N/A</v>
      </c>
      <c r="L4096" t="e">
        <f t="shared" si="841"/>
        <v>#N/A</v>
      </c>
      <c r="M4096" s="4" t="e">
        <f t="shared" si="842"/>
        <v>#N/A</v>
      </c>
      <c r="N4096" s="4" t="e">
        <f t="shared" si="843"/>
        <v>#N/A</v>
      </c>
    </row>
    <row r="4097" spans="1:14">
      <c r="A4097">
        <f t="shared" si="831"/>
        <v>0</v>
      </c>
      <c r="B4097">
        <f t="shared" si="832"/>
        <v>0</v>
      </c>
      <c r="C4097">
        <f t="shared" si="833"/>
        <v>0</v>
      </c>
      <c r="D4097">
        <f t="shared" si="834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5"/>
        <v>0</v>
      </c>
      <c r="G4097">
        <f t="shared" si="836"/>
        <v>0</v>
      </c>
      <c r="H4097">
        <f t="shared" si="837"/>
        <v>0</v>
      </c>
      <c r="I4097">
        <f t="shared" si="838"/>
        <v>0</v>
      </c>
      <c r="J4097">
        <f t="shared" si="839"/>
        <v>0</v>
      </c>
      <c r="K4097" s="4" t="e">
        <f t="shared" si="840"/>
        <v>#N/A</v>
      </c>
      <c r="L4097" t="e">
        <f t="shared" si="841"/>
        <v>#N/A</v>
      </c>
      <c r="M4097" s="4" t="e">
        <f t="shared" si="842"/>
        <v>#N/A</v>
      </c>
      <c r="N4097" s="4" t="e">
        <f t="shared" si="843"/>
        <v>#N/A</v>
      </c>
    </row>
    <row r="4098" spans="1:14">
      <c r="A4098">
        <f t="shared" ref="A4098:A4161" si="844">bd_campaign</f>
        <v>0</v>
      </c>
      <c r="B4098">
        <f t="shared" ref="B4098:B4161" si="845">bd_site</f>
        <v>0</v>
      </c>
      <c r="C4098">
        <f t="shared" ref="C4098:C4161" si="846">bd_placement</f>
        <v>0</v>
      </c>
      <c r="D4098">
        <f t="shared" ref="D4098:D4161" si="847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8">bd_ad</f>
        <v>0</v>
      </c>
      <c r="G4098">
        <f t="shared" ref="G4098:G4161" si="849">bd_adid</f>
        <v>0</v>
      </c>
      <c r="H4098">
        <f t="shared" ref="H4098:H4161" si="850">bd_creativetype</f>
        <v>0</v>
      </c>
      <c r="I4098">
        <f t="shared" ref="I4098:I4161" si="851">bd_impression</f>
        <v>0</v>
      </c>
      <c r="J4098">
        <f t="shared" ref="J4098:J4161" si="852">bd_clicks</f>
        <v>0</v>
      </c>
      <c r="K4098" s="4" t="e">
        <f t="shared" si="840"/>
        <v>#N/A</v>
      </c>
      <c r="L4098" t="e">
        <f t="shared" si="841"/>
        <v>#N/A</v>
      </c>
      <c r="M4098" s="4" t="e">
        <f t="shared" si="842"/>
        <v>#N/A</v>
      </c>
      <c r="N4098" s="4" t="e">
        <f t="shared" si="843"/>
        <v>#N/A</v>
      </c>
    </row>
    <row r="4099" spans="1:14">
      <c r="A4099">
        <f t="shared" si="844"/>
        <v>0</v>
      </c>
      <c r="B4099">
        <f t="shared" si="845"/>
        <v>0</v>
      </c>
      <c r="C4099">
        <f t="shared" si="846"/>
        <v>0</v>
      </c>
      <c r="D4099">
        <f t="shared" si="847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8"/>
        <v>0</v>
      </c>
      <c r="G4099">
        <f t="shared" si="849"/>
        <v>0</v>
      </c>
      <c r="H4099">
        <f t="shared" si="850"/>
        <v>0</v>
      </c>
      <c r="I4099">
        <f t="shared" si="851"/>
        <v>0</v>
      </c>
      <c r="J4099">
        <f t="shared" si="852"/>
        <v>0</v>
      </c>
      <c r="K4099" s="4" t="e">
        <f t="shared" si="840"/>
        <v>#N/A</v>
      </c>
      <c r="L4099" t="e">
        <f t="shared" si="841"/>
        <v>#N/A</v>
      </c>
      <c r="M4099" s="4" t="e">
        <f t="shared" si="842"/>
        <v>#N/A</v>
      </c>
      <c r="N4099" s="4" t="e">
        <f t="shared" si="843"/>
        <v>#N/A</v>
      </c>
    </row>
    <row r="4100" spans="1:14">
      <c r="A4100">
        <f t="shared" si="844"/>
        <v>0</v>
      </c>
      <c r="B4100">
        <f t="shared" si="845"/>
        <v>0</v>
      </c>
      <c r="C4100">
        <f t="shared" si="846"/>
        <v>0</v>
      </c>
      <c r="D4100">
        <f t="shared" si="847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8"/>
        <v>0</v>
      </c>
      <c r="G4100">
        <f t="shared" si="849"/>
        <v>0</v>
      </c>
      <c r="H4100">
        <f t="shared" si="850"/>
        <v>0</v>
      </c>
      <c r="I4100">
        <f t="shared" si="851"/>
        <v>0</v>
      </c>
      <c r="J4100">
        <f t="shared" si="852"/>
        <v>0</v>
      </c>
      <c r="K4100" s="4" t="e">
        <f t="shared" si="840"/>
        <v>#N/A</v>
      </c>
      <c r="L4100" t="e">
        <f t="shared" si="841"/>
        <v>#N/A</v>
      </c>
      <c r="M4100" s="4" t="e">
        <f t="shared" si="842"/>
        <v>#N/A</v>
      </c>
      <c r="N4100" s="4" t="e">
        <f t="shared" si="843"/>
        <v>#N/A</v>
      </c>
    </row>
    <row r="4101" spans="1:14">
      <c r="A4101">
        <f t="shared" si="844"/>
        <v>0</v>
      </c>
      <c r="B4101">
        <f t="shared" si="845"/>
        <v>0</v>
      </c>
      <c r="C4101">
        <f t="shared" si="846"/>
        <v>0</v>
      </c>
      <c r="D4101">
        <f t="shared" si="847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8"/>
        <v>0</v>
      </c>
      <c r="G4101">
        <f t="shared" si="849"/>
        <v>0</v>
      </c>
      <c r="H4101">
        <f t="shared" si="850"/>
        <v>0</v>
      </c>
      <c r="I4101">
        <f t="shared" si="851"/>
        <v>0</v>
      </c>
      <c r="J4101">
        <f t="shared" si="852"/>
        <v>0</v>
      </c>
      <c r="K4101" s="4" t="e">
        <f t="shared" si="840"/>
        <v>#N/A</v>
      </c>
      <c r="L4101" t="e">
        <f t="shared" si="841"/>
        <v>#N/A</v>
      </c>
      <c r="M4101" s="4" t="e">
        <f t="shared" si="842"/>
        <v>#N/A</v>
      </c>
      <c r="N4101" s="4" t="e">
        <f t="shared" si="843"/>
        <v>#N/A</v>
      </c>
    </row>
    <row r="4102" spans="1:14">
      <c r="A4102">
        <f t="shared" si="844"/>
        <v>0</v>
      </c>
      <c r="B4102">
        <f t="shared" si="845"/>
        <v>0</v>
      </c>
      <c r="C4102">
        <f t="shared" si="846"/>
        <v>0</v>
      </c>
      <c r="D4102">
        <f t="shared" si="847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8"/>
        <v>0</v>
      </c>
      <c r="G4102">
        <f t="shared" si="849"/>
        <v>0</v>
      </c>
      <c r="H4102">
        <f t="shared" si="850"/>
        <v>0</v>
      </c>
      <c r="I4102">
        <f t="shared" si="851"/>
        <v>0</v>
      </c>
      <c r="J4102">
        <f t="shared" si="852"/>
        <v>0</v>
      </c>
      <c r="K4102" s="4" t="e">
        <f t="shared" si="840"/>
        <v>#N/A</v>
      </c>
      <c r="L4102" t="e">
        <f t="shared" si="841"/>
        <v>#N/A</v>
      </c>
      <c r="M4102" s="4" t="e">
        <f t="shared" si="842"/>
        <v>#N/A</v>
      </c>
      <c r="N4102" s="4" t="e">
        <f t="shared" si="843"/>
        <v>#N/A</v>
      </c>
    </row>
    <row r="4103" spans="1:14">
      <c r="A4103">
        <f t="shared" si="844"/>
        <v>0</v>
      </c>
      <c r="B4103">
        <f t="shared" si="845"/>
        <v>0</v>
      </c>
      <c r="C4103">
        <f t="shared" si="846"/>
        <v>0</v>
      </c>
      <c r="D4103">
        <f t="shared" si="847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8"/>
        <v>0</v>
      </c>
      <c r="G4103">
        <f t="shared" si="849"/>
        <v>0</v>
      </c>
      <c r="H4103">
        <f t="shared" si="850"/>
        <v>0</v>
      </c>
      <c r="I4103">
        <f t="shared" si="851"/>
        <v>0</v>
      </c>
      <c r="J4103">
        <f t="shared" si="852"/>
        <v>0</v>
      </c>
      <c r="K4103" s="4" t="e">
        <f t="shared" si="840"/>
        <v>#N/A</v>
      </c>
      <c r="L4103" t="e">
        <f t="shared" si="841"/>
        <v>#N/A</v>
      </c>
      <c r="M4103" s="4" t="e">
        <f t="shared" si="842"/>
        <v>#N/A</v>
      </c>
      <c r="N4103" s="4" t="e">
        <f t="shared" si="843"/>
        <v>#N/A</v>
      </c>
    </row>
    <row r="4104" spans="1:14">
      <c r="A4104">
        <f t="shared" si="844"/>
        <v>0</v>
      </c>
      <c r="B4104">
        <f t="shared" si="845"/>
        <v>0</v>
      </c>
      <c r="C4104">
        <f t="shared" si="846"/>
        <v>0</v>
      </c>
      <c r="D4104">
        <f t="shared" si="847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8"/>
        <v>0</v>
      </c>
      <c r="G4104">
        <f t="shared" si="849"/>
        <v>0</v>
      </c>
      <c r="H4104">
        <f t="shared" si="850"/>
        <v>0</v>
      </c>
      <c r="I4104">
        <f t="shared" si="851"/>
        <v>0</v>
      </c>
      <c r="J4104">
        <f t="shared" si="852"/>
        <v>0</v>
      </c>
      <c r="K4104" s="4" t="e">
        <f t="shared" si="840"/>
        <v>#N/A</v>
      </c>
      <c r="L4104" t="e">
        <f t="shared" si="841"/>
        <v>#N/A</v>
      </c>
      <c r="M4104" s="4" t="e">
        <f t="shared" si="842"/>
        <v>#N/A</v>
      </c>
      <c r="N4104" s="4" t="e">
        <f t="shared" si="843"/>
        <v>#N/A</v>
      </c>
    </row>
    <row r="4105" spans="1:14">
      <c r="A4105">
        <f t="shared" si="844"/>
        <v>0</v>
      </c>
      <c r="B4105">
        <f t="shared" si="845"/>
        <v>0</v>
      </c>
      <c r="C4105">
        <f t="shared" si="846"/>
        <v>0</v>
      </c>
      <c r="D4105">
        <f t="shared" si="847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8"/>
        <v>0</v>
      </c>
      <c r="G4105">
        <f t="shared" si="849"/>
        <v>0</v>
      </c>
      <c r="H4105">
        <f t="shared" si="850"/>
        <v>0</v>
      </c>
      <c r="I4105">
        <f t="shared" si="851"/>
        <v>0</v>
      </c>
      <c r="J4105">
        <f t="shared" si="852"/>
        <v>0</v>
      </c>
      <c r="K4105" s="4" t="e">
        <f t="shared" si="840"/>
        <v>#N/A</v>
      </c>
      <c r="L4105" t="e">
        <f t="shared" si="841"/>
        <v>#N/A</v>
      </c>
      <c r="M4105" s="4" t="e">
        <f t="shared" si="842"/>
        <v>#N/A</v>
      </c>
      <c r="N4105" s="4" t="e">
        <f t="shared" si="843"/>
        <v>#N/A</v>
      </c>
    </row>
    <row r="4106" spans="1:14">
      <c r="A4106">
        <f t="shared" si="844"/>
        <v>0</v>
      </c>
      <c r="B4106">
        <f t="shared" si="845"/>
        <v>0</v>
      </c>
      <c r="C4106">
        <f t="shared" si="846"/>
        <v>0</v>
      </c>
      <c r="D4106">
        <f t="shared" si="847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8"/>
        <v>0</v>
      </c>
      <c r="G4106">
        <f t="shared" si="849"/>
        <v>0</v>
      </c>
      <c r="H4106">
        <f t="shared" si="850"/>
        <v>0</v>
      </c>
      <c r="I4106">
        <f t="shared" si="851"/>
        <v>0</v>
      </c>
      <c r="J4106">
        <f t="shared" si="852"/>
        <v>0</v>
      </c>
      <c r="K4106" s="4" t="e">
        <f t="shared" si="840"/>
        <v>#N/A</v>
      </c>
      <c r="L4106" t="e">
        <f t="shared" si="841"/>
        <v>#N/A</v>
      </c>
      <c r="M4106" s="4" t="e">
        <f t="shared" si="842"/>
        <v>#N/A</v>
      </c>
      <c r="N4106" s="4" t="e">
        <f t="shared" si="843"/>
        <v>#N/A</v>
      </c>
    </row>
    <row r="4107" spans="1:14">
      <c r="A4107">
        <f t="shared" si="844"/>
        <v>0</v>
      </c>
      <c r="B4107">
        <f t="shared" si="845"/>
        <v>0</v>
      </c>
      <c r="C4107">
        <f t="shared" si="846"/>
        <v>0</v>
      </c>
      <c r="D4107">
        <f t="shared" si="847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8"/>
        <v>0</v>
      </c>
      <c r="G4107">
        <f t="shared" si="849"/>
        <v>0</v>
      </c>
      <c r="H4107">
        <f t="shared" si="850"/>
        <v>0</v>
      </c>
      <c r="I4107">
        <f t="shared" si="851"/>
        <v>0</v>
      </c>
      <c r="J4107">
        <f t="shared" si="852"/>
        <v>0</v>
      </c>
      <c r="K4107" s="4" t="e">
        <f t="shared" si="840"/>
        <v>#N/A</v>
      </c>
      <c r="L4107" t="e">
        <f t="shared" si="841"/>
        <v>#N/A</v>
      </c>
      <c r="M4107" s="4" t="e">
        <f t="shared" si="842"/>
        <v>#N/A</v>
      </c>
      <c r="N4107" s="4" t="e">
        <f t="shared" si="843"/>
        <v>#N/A</v>
      </c>
    </row>
    <row r="4108" spans="1:14">
      <c r="A4108">
        <f t="shared" si="844"/>
        <v>0</v>
      </c>
      <c r="B4108">
        <f t="shared" si="845"/>
        <v>0</v>
      </c>
      <c r="C4108">
        <f t="shared" si="846"/>
        <v>0</v>
      </c>
      <c r="D4108">
        <f t="shared" si="847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8"/>
        <v>0</v>
      </c>
      <c r="G4108">
        <f t="shared" si="849"/>
        <v>0</v>
      </c>
      <c r="H4108">
        <f t="shared" si="850"/>
        <v>0</v>
      </c>
      <c r="I4108">
        <f t="shared" si="851"/>
        <v>0</v>
      </c>
      <c r="J4108">
        <f t="shared" si="852"/>
        <v>0</v>
      </c>
      <c r="K4108" s="4" t="e">
        <f t="shared" si="840"/>
        <v>#N/A</v>
      </c>
      <c r="L4108" t="e">
        <f t="shared" si="841"/>
        <v>#N/A</v>
      </c>
      <c r="M4108" s="4" t="e">
        <f t="shared" si="842"/>
        <v>#N/A</v>
      </c>
      <c r="N4108" s="4" t="e">
        <f t="shared" si="843"/>
        <v>#N/A</v>
      </c>
    </row>
    <row r="4109" spans="1:14">
      <c r="A4109">
        <f t="shared" si="844"/>
        <v>0</v>
      </c>
      <c r="B4109">
        <f t="shared" si="845"/>
        <v>0</v>
      </c>
      <c r="C4109">
        <f t="shared" si="846"/>
        <v>0</v>
      </c>
      <c r="D4109">
        <f t="shared" si="847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8"/>
        <v>0</v>
      </c>
      <c r="G4109">
        <f t="shared" si="849"/>
        <v>0</v>
      </c>
      <c r="H4109">
        <f t="shared" si="850"/>
        <v>0</v>
      </c>
      <c r="I4109">
        <f t="shared" si="851"/>
        <v>0</v>
      </c>
      <c r="J4109">
        <f t="shared" si="852"/>
        <v>0</v>
      </c>
      <c r="K4109" s="4" t="e">
        <f t="shared" si="840"/>
        <v>#N/A</v>
      </c>
      <c r="L4109" t="e">
        <f t="shared" si="841"/>
        <v>#N/A</v>
      </c>
      <c r="M4109" s="4" t="e">
        <f t="shared" si="842"/>
        <v>#N/A</v>
      </c>
      <c r="N4109" s="4" t="e">
        <f t="shared" si="843"/>
        <v>#N/A</v>
      </c>
    </row>
    <row r="4110" spans="1:14">
      <c r="A4110">
        <f t="shared" si="844"/>
        <v>0</v>
      </c>
      <c r="B4110">
        <f t="shared" si="845"/>
        <v>0</v>
      </c>
      <c r="C4110">
        <f t="shared" si="846"/>
        <v>0</v>
      </c>
      <c r="D4110">
        <f t="shared" si="847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8"/>
        <v>0</v>
      </c>
      <c r="G4110">
        <f t="shared" si="849"/>
        <v>0</v>
      </c>
      <c r="H4110">
        <f t="shared" si="850"/>
        <v>0</v>
      </c>
      <c r="I4110">
        <f t="shared" si="851"/>
        <v>0</v>
      </c>
      <c r="J4110">
        <f t="shared" si="852"/>
        <v>0</v>
      </c>
      <c r="K4110" s="4" t="e">
        <f t="shared" si="840"/>
        <v>#N/A</v>
      </c>
      <c r="L4110" t="e">
        <f t="shared" si="841"/>
        <v>#N/A</v>
      </c>
      <c r="M4110" s="4" t="e">
        <f t="shared" si="842"/>
        <v>#N/A</v>
      </c>
      <c r="N4110" s="4" t="e">
        <f t="shared" si="843"/>
        <v>#N/A</v>
      </c>
    </row>
    <row r="4111" spans="1:14">
      <c r="A4111">
        <f t="shared" si="844"/>
        <v>0</v>
      </c>
      <c r="B4111">
        <f t="shared" si="845"/>
        <v>0</v>
      </c>
      <c r="C4111">
        <f t="shared" si="846"/>
        <v>0</v>
      </c>
      <c r="D4111">
        <f t="shared" si="847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8"/>
        <v>0</v>
      </c>
      <c r="G4111">
        <f t="shared" si="849"/>
        <v>0</v>
      </c>
      <c r="H4111">
        <f t="shared" si="850"/>
        <v>0</v>
      </c>
      <c r="I4111">
        <f t="shared" si="851"/>
        <v>0</v>
      </c>
      <c r="J4111">
        <f t="shared" si="852"/>
        <v>0</v>
      </c>
      <c r="K4111" s="4" t="e">
        <f t="shared" si="840"/>
        <v>#N/A</v>
      </c>
      <c r="L4111" t="e">
        <f t="shared" si="841"/>
        <v>#N/A</v>
      </c>
      <c r="M4111" s="4" t="e">
        <f t="shared" si="842"/>
        <v>#N/A</v>
      </c>
      <c r="N4111" s="4" t="e">
        <f t="shared" si="843"/>
        <v>#N/A</v>
      </c>
    </row>
    <row r="4112" spans="1:14">
      <c r="A4112">
        <f t="shared" si="844"/>
        <v>0</v>
      </c>
      <c r="B4112">
        <f t="shared" si="845"/>
        <v>0</v>
      </c>
      <c r="C4112">
        <f t="shared" si="846"/>
        <v>0</v>
      </c>
      <c r="D4112">
        <f t="shared" si="847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8"/>
        <v>0</v>
      </c>
      <c r="G4112">
        <f t="shared" si="849"/>
        <v>0</v>
      </c>
      <c r="H4112">
        <f t="shared" si="850"/>
        <v>0</v>
      </c>
      <c r="I4112">
        <f t="shared" si="851"/>
        <v>0</v>
      </c>
      <c r="J4112">
        <f t="shared" si="852"/>
        <v>0</v>
      </c>
      <c r="K4112" s="4" t="e">
        <f t="shared" si="840"/>
        <v>#N/A</v>
      </c>
      <c r="L4112" t="e">
        <f t="shared" si="841"/>
        <v>#N/A</v>
      </c>
      <c r="M4112" s="4" t="e">
        <f t="shared" si="842"/>
        <v>#N/A</v>
      </c>
      <c r="N4112" s="4" t="e">
        <f t="shared" si="843"/>
        <v>#N/A</v>
      </c>
    </row>
    <row r="4113" spans="1:14">
      <c r="A4113">
        <f t="shared" si="844"/>
        <v>0</v>
      </c>
      <c r="B4113">
        <f t="shared" si="845"/>
        <v>0</v>
      </c>
      <c r="C4113">
        <f t="shared" si="846"/>
        <v>0</v>
      </c>
      <c r="D4113">
        <f t="shared" si="847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8"/>
        <v>0</v>
      </c>
      <c r="G4113">
        <f t="shared" si="849"/>
        <v>0</v>
      </c>
      <c r="H4113">
        <f t="shared" si="850"/>
        <v>0</v>
      </c>
      <c r="I4113">
        <f t="shared" si="851"/>
        <v>0</v>
      </c>
      <c r="J4113">
        <f t="shared" si="852"/>
        <v>0</v>
      </c>
      <c r="K4113" s="4" t="e">
        <f t="shared" si="840"/>
        <v>#N/A</v>
      </c>
      <c r="L4113" t="e">
        <f t="shared" si="841"/>
        <v>#N/A</v>
      </c>
      <c r="M4113" s="4" t="e">
        <f t="shared" si="842"/>
        <v>#N/A</v>
      </c>
      <c r="N4113" s="4" t="e">
        <f t="shared" si="843"/>
        <v>#N/A</v>
      </c>
    </row>
    <row r="4114" spans="1:14">
      <c r="A4114">
        <f t="shared" si="844"/>
        <v>0</v>
      </c>
      <c r="B4114">
        <f t="shared" si="845"/>
        <v>0</v>
      </c>
      <c r="C4114">
        <f t="shared" si="846"/>
        <v>0</v>
      </c>
      <c r="D4114">
        <f t="shared" si="847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8"/>
        <v>0</v>
      </c>
      <c r="G4114">
        <f t="shared" si="849"/>
        <v>0</v>
      </c>
      <c r="H4114">
        <f t="shared" si="850"/>
        <v>0</v>
      </c>
      <c r="I4114">
        <f t="shared" si="851"/>
        <v>0</v>
      </c>
      <c r="J4114">
        <f t="shared" si="852"/>
        <v>0</v>
      </c>
      <c r="K4114" s="4" t="e">
        <f t="shared" si="840"/>
        <v>#N/A</v>
      </c>
      <c r="L4114" t="e">
        <f t="shared" si="841"/>
        <v>#N/A</v>
      </c>
      <c r="M4114" s="4" t="e">
        <f t="shared" si="842"/>
        <v>#N/A</v>
      </c>
      <c r="N4114" s="4" t="e">
        <f t="shared" si="843"/>
        <v>#N/A</v>
      </c>
    </row>
    <row r="4115" spans="1:14">
      <c r="A4115">
        <f t="shared" si="844"/>
        <v>0</v>
      </c>
      <c r="B4115">
        <f t="shared" si="845"/>
        <v>0</v>
      </c>
      <c r="C4115">
        <f t="shared" si="846"/>
        <v>0</v>
      </c>
      <c r="D4115">
        <f t="shared" si="847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8"/>
        <v>0</v>
      </c>
      <c r="G4115">
        <f t="shared" si="849"/>
        <v>0</v>
      </c>
      <c r="H4115">
        <f t="shared" si="850"/>
        <v>0</v>
      </c>
      <c r="I4115">
        <f t="shared" si="851"/>
        <v>0</v>
      </c>
      <c r="J4115">
        <f t="shared" si="852"/>
        <v>0</v>
      </c>
      <c r="K4115" s="4" t="e">
        <f t="shared" si="840"/>
        <v>#N/A</v>
      </c>
      <c r="L4115" t="e">
        <f t="shared" si="841"/>
        <v>#N/A</v>
      </c>
      <c r="M4115" s="4" t="e">
        <f t="shared" si="842"/>
        <v>#N/A</v>
      </c>
      <c r="N4115" s="4" t="e">
        <f t="shared" si="843"/>
        <v>#N/A</v>
      </c>
    </row>
    <row r="4116" spans="1:14">
      <c r="A4116">
        <f t="shared" si="844"/>
        <v>0</v>
      </c>
      <c r="B4116">
        <f t="shared" si="845"/>
        <v>0</v>
      </c>
      <c r="C4116">
        <f t="shared" si="846"/>
        <v>0</v>
      </c>
      <c r="D4116">
        <f t="shared" si="847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8"/>
        <v>0</v>
      </c>
      <c r="G4116">
        <f t="shared" si="849"/>
        <v>0</v>
      </c>
      <c r="H4116">
        <f t="shared" si="850"/>
        <v>0</v>
      </c>
      <c r="I4116">
        <f t="shared" si="851"/>
        <v>0</v>
      </c>
      <c r="J4116">
        <f t="shared" si="852"/>
        <v>0</v>
      </c>
      <c r="K4116" s="4" t="e">
        <f t="shared" si="840"/>
        <v>#N/A</v>
      </c>
      <c r="L4116" t="e">
        <f t="shared" si="841"/>
        <v>#N/A</v>
      </c>
      <c r="M4116" s="4" t="e">
        <f t="shared" si="842"/>
        <v>#N/A</v>
      </c>
      <c r="N4116" s="4" t="e">
        <f t="shared" si="843"/>
        <v>#N/A</v>
      </c>
    </row>
    <row r="4117" spans="1:14">
      <c r="A4117">
        <f t="shared" si="844"/>
        <v>0</v>
      </c>
      <c r="B4117">
        <f t="shared" si="845"/>
        <v>0</v>
      </c>
      <c r="C4117">
        <f t="shared" si="846"/>
        <v>0</v>
      </c>
      <c r="D4117">
        <f t="shared" si="847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8"/>
        <v>0</v>
      </c>
      <c r="G4117">
        <f t="shared" si="849"/>
        <v>0</v>
      </c>
      <c r="H4117">
        <f t="shared" si="850"/>
        <v>0</v>
      </c>
      <c r="I4117">
        <f t="shared" si="851"/>
        <v>0</v>
      </c>
      <c r="J4117">
        <f t="shared" si="852"/>
        <v>0</v>
      </c>
      <c r="K4117" s="4" t="e">
        <f t="shared" si="840"/>
        <v>#N/A</v>
      </c>
      <c r="L4117" t="e">
        <f t="shared" si="841"/>
        <v>#N/A</v>
      </c>
      <c r="M4117" s="4" t="e">
        <f t="shared" si="842"/>
        <v>#N/A</v>
      </c>
      <c r="N4117" s="4" t="e">
        <f t="shared" si="843"/>
        <v>#N/A</v>
      </c>
    </row>
    <row r="4118" spans="1:14">
      <c r="A4118">
        <f t="shared" si="844"/>
        <v>0</v>
      </c>
      <c r="B4118">
        <f t="shared" si="845"/>
        <v>0</v>
      </c>
      <c r="C4118">
        <f t="shared" si="846"/>
        <v>0</v>
      </c>
      <c r="D4118">
        <f t="shared" si="847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8"/>
        <v>0</v>
      </c>
      <c r="G4118">
        <f t="shared" si="849"/>
        <v>0</v>
      </c>
      <c r="H4118">
        <f t="shared" si="850"/>
        <v>0</v>
      </c>
      <c r="I4118">
        <f t="shared" si="851"/>
        <v>0</v>
      </c>
      <c r="J4118">
        <f t="shared" si="852"/>
        <v>0</v>
      </c>
      <c r="K4118" s="4" t="e">
        <f t="shared" si="840"/>
        <v>#N/A</v>
      </c>
      <c r="L4118" t="e">
        <f t="shared" si="841"/>
        <v>#N/A</v>
      </c>
      <c r="M4118" s="4" t="e">
        <f t="shared" si="842"/>
        <v>#N/A</v>
      </c>
      <c r="N4118" s="4" t="e">
        <f t="shared" si="843"/>
        <v>#N/A</v>
      </c>
    </row>
    <row r="4119" spans="1:14">
      <c r="A4119">
        <f t="shared" si="844"/>
        <v>0</v>
      </c>
      <c r="B4119">
        <f t="shared" si="845"/>
        <v>0</v>
      </c>
      <c r="C4119">
        <f t="shared" si="846"/>
        <v>0</v>
      </c>
      <c r="D4119">
        <f t="shared" si="847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8"/>
        <v>0</v>
      </c>
      <c r="G4119">
        <f t="shared" si="849"/>
        <v>0</v>
      </c>
      <c r="H4119">
        <f t="shared" si="850"/>
        <v>0</v>
      </c>
      <c r="I4119">
        <f t="shared" si="851"/>
        <v>0</v>
      </c>
      <c r="J4119">
        <f t="shared" si="852"/>
        <v>0</v>
      </c>
      <c r="K4119" s="4" t="e">
        <f t="shared" si="840"/>
        <v>#N/A</v>
      </c>
      <c r="L4119" t="e">
        <f t="shared" si="841"/>
        <v>#N/A</v>
      </c>
      <c r="M4119" s="4" t="e">
        <f t="shared" si="842"/>
        <v>#N/A</v>
      </c>
      <c r="N4119" s="4" t="e">
        <f t="shared" si="843"/>
        <v>#N/A</v>
      </c>
    </row>
    <row r="4120" spans="1:14">
      <c r="A4120">
        <f t="shared" si="844"/>
        <v>0</v>
      </c>
      <c r="B4120">
        <f t="shared" si="845"/>
        <v>0</v>
      </c>
      <c r="C4120">
        <f t="shared" si="846"/>
        <v>0</v>
      </c>
      <c r="D4120">
        <f t="shared" si="847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8"/>
        <v>0</v>
      </c>
      <c r="G4120">
        <f t="shared" si="849"/>
        <v>0</v>
      </c>
      <c r="H4120">
        <f t="shared" si="850"/>
        <v>0</v>
      </c>
      <c r="I4120">
        <f t="shared" si="851"/>
        <v>0</v>
      </c>
      <c r="J4120">
        <f t="shared" si="852"/>
        <v>0</v>
      </c>
      <c r="K4120" s="4" t="e">
        <f t="shared" si="840"/>
        <v>#N/A</v>
      </c>
      <c r="L4120" t="e">
        <f t="shared" si="841"/>
        <v>#N/A</v>
      </c>
      <c r="M4120" s="4" t="e">
        <f t="shared" si="842"/>
        <v>#N/A</v>
      </c>
      <c r="N4120" s="4" t="e">
        <f t="shared" si="843"/>
        <v>#N/A</v>
      </c>
    </row>
    <row r="4121" spans="1:14">
      <c r="A4121">
        <f t="shared" si="844"/>
        <v>0</v>
      </c>
      <c r="B4121">
        <f t="shared" si="845"/>
        <v>0</v>
      </c>
      <c r="C4121">
        <f t="shared" si="846"/>
        <v>0</v>
      </c>
      <c r="D4121">
        <f t="shared" si="847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8"/>
        <v>0</v>
      </c>
      <c r="G4121">
        <f t="shared" si="849"/>
        <v>0</v>
      </c>
      <c r="H4121">
        <f t="shared" si="850"/>
        <v>0</v>
      </c>
      <c r="I4121">
        <f t="shared" si="851"/>
        <v>0</v>
      </c>
      <c r="J4121">
        <f t="shared" si="852"/>
        <v>0</v>
      </c>
      <c r="K4121" s="4" t="e">
        <f t="shared" si="840"/>
        <v>#N/A</v>
      </c>
      <c r="L4121" t="e">
        <f t="shared" si="841"/>
        <v>#N/A</v>
      </c>
      <c r="M4121" s="4" t="e">
        <f t="shared" si="842"/>
        <v>#N/A</v>
      </c>
      <c r="N4121" s="4" t="e">
        <f t="shared" si="843"/>
        <v>#N/A</v>
      </c>
    </row>
    <row r="4122" spans="1:14">
      <c r="A4122">
        <f t="shared" si="844"/>
        <v>0</v>
      </c>
      <c r="B4122">
        <f t="shared" si="845"/>
        <v>0</v>
      </c>
      <c r="C4122">
        <f t="shared" si="846"/>
        <v>0</v>
      </c>
      <c r="D4122">
        <f t="shared" si="847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8"/>
        <v>0</v>
      </c>
      <c r="G4122">
        <f t="shared" si="849"/>
        <v>0</v>
      </c>
      <c r="H4122">
        <f t="shared" si="850"/>
        <v>0</v>
      </c>
      <c r="I4122">
        <f t="shared" si="851"/>
        <v>0</v>
      </c>
      <c r="J4122">
        <f t="shared" si="852"/>
        <v>0</v>
      </c>
      <c r="K4122" s="4" t="e">
        <f t="shared" si="840"/>
        <v>#N/A</v>
      </c>
      <c r="L4122" t="e">
        <f t="shared" si="841"/>
        <v>#N/A</v>
      </c>
      <c r="M4122" s="4" t="e">
        <f t="shared" si="842"/>
        <v>#N/A</v>
      </c>
      <c r="N4122" s="4" t="e">
        <f t="shared" si="843"/>
        <v>#N/A</v>
      </c>
    </row>
    <row r="4123" spans="1:14">
      <c r="A4123">
        <f t="shared" si="844"/>
        <v>0</v>
      </c>
      <c r="B4123">
        <f t="shared" si="845"/>
        <v>0</v>
      </c>
      <c r="C4123">
        <f t="shared" si="846"/>
        <v>0</v>
      </c>
      <c r="D4123">
        <f t="shared" si="847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8"/>
        <v>0</v>
      </c>
      <c r="G4123">
        <f t="shared" si="849"/>
        <v>0</v>
      </c>
      <c r="H4123">
        <f t="shared" si="850"/>
        <v>0</v>
      </c>
      <c r="I4123">
        <f t="shared" si="851"/>
        <v>0</v>
      </c>
      <c r="J4123">
        <f t="shared" si="852"/>
        <v>0</v>
      </c>
      <c r="K4123" s="4" t="e">
        <f t="shared" si="840"/>
        <v>#N/A</v>
      </c>
      <c r="L4123" t="e">
        <f t="shared" si="841"/>
        <v>#N/A</v>
      </c>
      <c r="M4123" s="4" t="e">
        <f t="shared" si="842"/>
        <v>#N/A</v>
      </c>
      <c r="N4123" s="4" t="e">
        <f t="shared" si="843"/>
        <v>#N/A</v>
      </c>
    </row>
    <row r="4124" spans="1:14">
      <c r="A4124">
        <f t="shared" si="844"/>
        <v>0</v>
      </c>
      <c r="B4124">
        <f t="shared" si="845"/>
        <v>0</v>
      </c>
      <c r="C4124">
        <f t="shared" si="846"/>
        <v>0</v>
      </c>
      <c r="D4124">
        <f t="shared" si="847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8"/>
        <v>0</v>
      </c>
      <c r="G4124">
        <f t="shared" si="849"/>
        <v>0</v>
      </c>
      <c r="H4124">
        <f t="shared" si="850"/>
        <v>0</v>
      </c>
      <c r="I4124">
        <f t="shared" si="851"/>
        <v>0</v>
      </c>
      <c r="J4124">
        <f t="shared" si="852"/>
        <v>0</v>
      </c>
      <c r="K4124" s="4" t="e">
        <f t="shared" si="840"/>
        <v>#N/A</v>
      </c>
      <c r="L4124" t="e">
        <f t="shared" si="841"/>
        <v>#N/A</v>
      </c>
      <c r="M4124" s="4" t="e">
        <f t="shared" si="842"/>
        <v>#N/A</v>
      </c>
      <c r="N4124" s="4" t="e">
        <f t="shared" si="843"/>
        <v>#N/A</v>
      </c>
    </row>
    <row r="4125" spans="1:14">
      <c r="A4125">
        <f t="shared" si="844"/>
        <v>0</v>
      </c>
      <c r="B4125">
        <f t="shared" si="845"/>
        <v>0</v>
      </c>
      <c r="C4125">
        <f t="shared" si="846"/>
        <v>0</v>
      </c>
      <c r="D4125">
        <f t="shared" si="847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8"/>
        <v>0</v>
      </c>
      <c r="G4125">
        <f t="shared" si="849"/>
        <v>0</v>
      </c>
      <c r="H4125">
        <f t="shared" si="850"/>
        <v>0</v>
      </c>
      <c r="I4125">
        <f t="shared" si="851"/>
        <v>0</v>
      </c>
      <c r="J4125">
        <f t="shared" si="852"/>
        <v>0</v>
      </c>
      <c r="K4125" s="4" t="e">
        <f t="shared" si="840"/>
        <v>#N/A</v>
      </c>
      <c r="L4125" t="e">
        <f t="shared" si="841"/>
        <v>#N/A</v>
      </c>
      <c r="M4125" s="4" t="e">
        <f t="shared" si="842"/>
        <v>#N/A</v>
      </c>
      <c r="N4125" s="4" t="e">
        <f t="shared" si="843"/>
        <v>#N/A</v>
      </c>
    </row>
    <row r="4126" spans="1:14">
      <c r="A4126">
        <f t="shared" si="844"/>
        <v>0</v>
      </c>
      <c r="B4126">
        <f t="shared" si="845"/>
        <v>0</v>
      </c>
      <c r="C4126">
        <f t="shared" si="846"/>
        <v>0</v>
      </c>
      <c r="D4126">
        <f t="shared" si="847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8"/>
        <v>0</v>
      </c>
      <c r="G4126">
        <f t="shared" si="849"/>
        <v>0</v>
      </c>
      <c r="H4126">
        <f t="shared" si="850"/>
        <v>0</v>
      </c>
      <c r="I4126">
        <f t="shared" si="851"/>
        <v>0</v>
      </c>
      <c r="J4126">
        <f t="shared" si="852"/>
        <v>0</v>
      </c>
      <c r="K4126" s="4" t="e">
        <f t="shared" si="840"/>
        <v>#N/A</v>
      </c>
      <c r="L4126" t="e">
        <f t="shared" si="841"/>
        <v>#N/A</v>
      </c>
      <c r="M4126" s="4" t="e">
        <f t="shared" si="842"/>
        <v>#N/A</v>
      </c>
      <c r="N4126" s="4" t="e">
        <f t="shared" si="843"/>
        <v>#N/A</v>
      </c>
    </row>
    <row r="4127" spans="1:14">
      <c r="A4127">
        <f t="shared" si="844"/>
        <v>0</v>
      </c>
      <c r="B4127">
        <f t="shared" si="845"/>
        <v>0</v>
      </c>
      <c r="C4127">
        <f t="shared" si="846"/>
        <v>0</v>
      </c>
      <c r="D4127">
        <f t="shared" si="847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8"/>
        <v>0</v>
      </c>
      <c r="G4127">
        <f t="shared" si="849"/>
        <v>0</v>
      </c>
      <c r="H4127">
        <f t="shared" si="850"/>
        <v>0</v>
      </c>
      <c r="I4127">
        <f t="shared" si="851"/>
        <v>0</v>
      </c>
      <c r="J4127">
        <f t="shared" si="852"/>
        <v>0</v>
      </c>
      <c r="K4127" s="4" t="e">
        <f t="shared" si="840"/>
        <v>#N/A</v>
      </c>
      <c r="L4127" t="e">
        <f t="shared" si="841"/>
        <v>#N/A</v>
      </c>
      <c r="M4127" s="4" t="e">
        <f t="shared" si="842"/>
        <v>#N/A</v>
      </c>
      <c r="N4127" s="4" t="e">
        <f t="shared" si="843"/>
        <v>#N/A</v>
      </c>
    </row>
    <row r="4128" spans="1:14">
      <c r="A4128">
        <f t="shared" si="844"/>
        <v>0</v>
      </c>
      <c r="B4128">
        <f t="shared" si="845"/>
        <v>0</v>
      </c>
      <c r="C4128">
        <f t="shared" si="846"/>
        <v>0</v>
      </c>
      <c r="D4128">
        <f t="shared" si="847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8"/>
        <v>0</v>
      </c>
      <c r="G4128">
        <f t="shared" si="849"/>
        <v>0</v>
      </c>
      <c r="H4128">
        <f t="shared" si="850"/>
        <v>0</v>
      </c>
      <c r="I4128">
        <f t="shared" si="851"/>
        <v>0</v>
      </c>
      <c r="J4128">
        <f t="shared" si="852"/>
        <v>0</v>
      </c>
      <c r="K4128" s="4" t="e">
        <f t="shared" si="840"/>
        <v>#N/A</v>
      </c>
      <c r="L4128" t="e">
        <f t="shared" si="841"/>
        <v>#N/A</v>
      </c>
      <c r="M4128" s="4" t="e">
        <f t="shared" si="842"/>
        <v>#N/A</v>
      </c>
      <c r="N4128" s="4" t="e">
        <f t="shared" si="843"/>
        <v>#N/A</v>
      </c>
    </row>
    <row r="4129" spans="1:14">
      <c r="A4129">
        <f t="shared" si="844"/>
        <v>0</v>
      </c>
      <c r="B4129">
        <f t="shared" si="845"/>
        <v>0</v>
      </c>
      <c r="C4129">
        <f t="shared" si="846"/>
        <v>0</v>
      </c>
      <c r="D4129">
        <f t="shared" si="847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8"/>
        <v>0</v>
      </c>
      <c r="G4129">
        <f t="shared" si="849"/>
        <v>0</v>
      </c>
      <c r="H4129">
        <f t="shared" si="850"/>
        <v>0</v>
      </c>
      <c r="I4129">
        <f t="shared" si="851"/>
        <v>0</v>
      </c>
      <c r="J4129">
        <f t="shared" si="852"/>
        <v>0</v>
      </c>
      <c r="K4129" s="4" t="e">
        <f t="shared" si="840"/>
        <v>#N/A</v>
      </c>
      <c r="L4129" t="e">
        <f t="shared" si="841"/>
        <v>#N/A</v>
      </c>
      <c r="M4129" s="4" t="e">
        <f t="shared" si="842"/>
        <v>#N/A</v>
      </c>
      <c r="N4129" s="4" t="e">
        <f t="shared" si="843"/>
        <v>#N/A</v>
      </c>
    </row>
    <row r="4130" spans="1:14">
      <c r="A4130">
        <f t="shared" si="844"/>
        <v>0</v>
      </c>
      <c r="B4130">
        <f t="shared" si="845"/>
        <v>0</v>
      </c>
      <c r="C4130">
        <f t="shared" si="846"/>
        <v>0</v>
      </c>
      <c r="D4130">
        <f t="shared" si="847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8"/>
        <v>0</v>
      </c>
      <c r="G4130">
        <f t="shared" si="849"/>
        <v>0</v>
      </c>
      <c r="H4130">
        <f t="shared" si="850"/>
        <v>0</v>
      </c>
      <c r="I4130">
        <f t="shared" si="851"/>
        <v>0</v>
      </c>
      <c r="J4130">
        <f t="shared" si="852"/>
        <v>0</v>
      </c>
      <c r="K4130" s="4" t="e">
        <f t="shared" si="840"/>
        <v>#N/A</v>
      </c>
      <c r="L4130" t="e">
        <f t="shared" si="841"/>
        <v>#N/A</v>
      </c>
      <c r="M4130" s="4" t="e">
        <f t="shared" si="842"/>
        <v>#N/A</v>
      </c>
      <c r="N4130" s="4" t="e">
        <f t="shared" si="843"/>
        <v>#N/A</v>
      </c>
    </row>
    <row r="4131" spans="1:14">
      <c r="A4131">
        <f t="shared" si="844"/>
        <v>0</v>
      </c>
      <c r="B4131">
        <f t="shared" si="845"/>
        <v>0</v>
      </c>
      <c r="C4131">
        <f t="shared" si="846"/>
        <v>0</v>
      </c>
      <c r="D4131">
        <f t="shared" si="847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8"/>
        <v>0</v>
      </c>
      <c r="G4131">
        <f t="shared" si="849"/>
        <v>0</v>
      </c>
      <c r="H4131">
        <f t="shared" si="850"/>
        <v>0</v>
      </c>
      <c r="I4131">
        <f t="shared" si="851"/>
        <v>0</v>
      </c>
      <c r="J4131">
        <f t="shared" si="852"/>
        <v>0</v>
      </c>
      <c r="K4131" s="4" t="e">
        <f t="shared" si="840"/>
        <v>#N/A</v>
      </c>
      <c r="L4131" t="e">
        <f t="shared" si="841"/>
        <v>#N/A</v>
      </c>
      <c r="M4131" s="4" t="e">
        <f t="shared" si="842"/>
        <v>#N/A</v>
      </c>
      <c r="N4131" s="4" t="e">
        <f t="shared" si="843"/>
        <v>#N/A</v>
      </c>
    </row>
    <row r="4132" spans="1:14">
      <c r="A4132">
        <f t="shared" si="844"/>
        <v>0</v>
      </c>
      <c r="B4132">
        <f t="shared" si="845"/>
        <v>0</v>
      </c>
      <c r="C4132">
        <f t="shared" si="846"/>
        <v>0</v>
      </c>
      <c r="D4132">
        <f t="shared" si="847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8"/>
        <v>0</v>
      </c>
      <c r="G4132">
        <f t="shared" si="849"/>
        <v>0</v>
      </c>
      <c r="H4132">
        <f t="shared" si="850"/>
        <v>0</v>
      </c>
      <c r="I4132">
        <f t="shared" si="851"/>
        <v>0</v>
      </c>
      <c r="J4132">
        <f t="shared" si="852"/>
        <v>0</v>
      </c>
      <c r="K4132" s="4" t="e">
        <f t="shared" si="840"/>
        <v>#N/A</v>
      </c>
      <c r="L4132" t="e">
        <f t="shared" si="841"/>
        <v>#N/A</v>
      </c>
      <c r="M4132" s="4" t="e">
        <f t="shared" si="842"/>
        <v>#N/A</v>
      </c>
      <c r="N4132" s="4" t="e">
        <f t="shared" si="843"/>
        <v>#N/A</v>
      </c>
    </row>
    <row r="4133" spans="1:14">
      <c r="A4133">
        <f t="shared" si="844"/>
        <v>0</v>
      </c>
      <c r="B4133">
        <f t="shared" si="845"/>
        <v>0</v>
      </c>
      <c r="C4133">
        <f t="shared" si="846"/>
        <v>0</v>
      </c>
      <c r="D4133">
        <f t="shared" si="847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8"/>
        <v>0</v>
      </c>
      <c r="G4133">
        <f t="shared" si="849"/>
        <v>0</v>
      </c>
      <c r="H4133">
        <f t="shared" si="850"/>
        <v>0</v>
      </c>
      <c r="I4133">
        <f t="shared" si="851"/>
        <v>0</v>
      </c>
      <c r="J4133">
        <f t="shared" si="852"/>
        <v>0</v>
      </c>
      <c r="K4133" s="4" t="e">
        <f t="shared" si="840"/>
        <v>#N/A</v>
      </c>
      <c r="L4133" t="e">
        <f t="shared" si="841"/>
        <v>#N/A</v>
      </c>
      <c r="M4133" s="4" t="e">
        <f t="shared" si="842"/>
        <v>#N/A</v>
      </c>
      <c r="N4133" s="4" t="e">
        <f t="shared" si="843"/>
        <v>#N/A</v>
      </c>
    </row>
    <row r="4134" spans="1:14">
      <c r="A4134">
        <f t="shared" si="844"/>
        <v>0</v>
      </c>
      <c r="B4134">
        <f t="shared" si="845"/>
        <v>0</v>
      </c>
      <c r="C4134">
        <f t="shared" si="846"/>
        <v>0</v>
      </c>
      <c r="D4134">
        <f t="shared" si="847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8"/>
        <v>0</v>
      </c>
      <c r="G4134">
        <f t="shared" si="849"/>
        <v>0</v>
      </c>
      <c r="H4134">
        <f t="shared" si="850"/>
        <v>0</v>
      </c>
      <c r="I4134">
        <f t="shared" si="851"/>
        <v>0</v>
      </c>
      <c r="J4134">
        <f t="shared" si="852"/>
        <v>0</v>
      </c>
      <c r="K4134" s="4" t="e">
        <f t="shared" si="840"/>
        <v>#N/A</v>
      </c>
      <c r="L4134" t="e">
        <f t="shared" si="841"/>
        <v>#N/A</v>
      </c>
      <c r="M4134" s="4" t="e">
        <f t="shared" si="842"/>
        <v>#N/A</v>
      </c>
      <c r="N4134" s="4" t="e">
        <f t="shared" si="843"/>
        <v>#N/A</v>
      </c>
    </row>
    <row r="4135" spans="1:14">
      <c r="A4135">
        <f t="shared" si="844"/>
        <v>0</v>
      </c>
      <c r="B4135">
        <f t="shared" si="845"/>
        <v>0</v>
      </c>
      <c r="C4135">
        <f t="shared" si="846"/>
        <v>0</v>
      </c>
      <c r="D4135">
        <f t="shared" si="847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8"/>
        <v>0</v>
      </c>
      <c r="G4135">
        <f t="shared" si="849"/>
        <v>0</v>
      </c>
      <c r="H4135">
        <f t="shared" si="850"/>
        <v>0</v>
      </c>
      <c r="I4135">
        <f t="shared" si="851"/>
        <v>0</v>
      </c>
      <c r="J4135">
        <f t="shared" si="852"/>
        <v>0</v>
      </c>
      <c r="K4135" s="4" t="e">
        <f t="shared" si="840"/>
        <v>#N/A</v>
      </c>
      <c r="L4135" t="e">
        <f t="shared" si="841"/>
        <v>#N/A</v>
      </c>
      <c r="M4135" s="4" t="e">
        <f t="shared" si="842"/>
        <v>#N/A</v>
      </c>
      <c r="N4135" s="4" t="e">
        <f t="shared" si="843"/>
        <v>#N/A</v>
      </c>
    </row>
    <row r="4136" spans="1:14">
      <c r="A4136">
        <f t="shared" si="844"/>
        <v>0</v>
      </c>
      <c r="B4136">
        <f t="shared" si="845"/>
        <v>0</v>
      </c>
      <c r="C4136">
        <f t="shared" si="846"/>
        <v>0</v>
      </c>
      <c r="D4136">
        <f t="shared" si="847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8"/>
        <v>0</v>
      </c>
      <c r="G4136">
        <f t="shared" si="849"/>
        <v>0</v>
      </c>
      <c r="H4136">
        <f t="shared" si="850"/>
        <v>0</v>
      </c>
      <c r="I4136">
        <f t="shared" si="851"/>
        <v>0</v>
      </c>
      <c r="J4136">
        <f t="shared" si="852"/>
        <v>0</v>
      </c>
      <c r="K4136" s="4" t="e">
        <f t="shared" si="840"/>
        <v>#N/A</v>
      </c>
      <c r="L4136" t="e">
        <f t="shared" si="841"/>
        <v>#N/A</v>
      </c>
      <c r="M4136" s="4" t="e">
        <f t="shared" si="842"/>
        <v>#N/A</v>
      </c>
      <c r="N4136" s="4" t="e">
        <f t="shared" si="843"/>
        <v>#N/A</v>
      </c>
    </row>
    <row r="4137" spans="1:14">
      <c r="A4137">
        <f t="shared" si="844"/>
        <v>0</v>
      </c>
      <c r="B4137">
        <f t="shared" si="845"/>
        <v>0</v>
      </c>
      <c r="C4137">
        <f t="shared" si="846"/>
        <v>0</v>
      </c>
      <c r="D4137">
        <f t="shared" si="847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8"/>
        <v>0</v>
      </c>
      <c r="G4137">
        <f t="shared" si="849"/>
        <v>0</v>
      </c>
      <c r="H4137">
        <f t="shared" si="850"/>
        <v>0</v>
      </c>
      <c r="I4137">
        <f t="shared" si="851"/>
        <v>0</v>
      </c>
      <c r="J4137">
        <f t="shared" si="852"/>
        <v>0</v>
      </c>
      <c r="K4137" s="4" t="e">
        <f t="shared" si="840"/>
        <v>#N/A</v>
      </c>
      <c r="L4137" t="e">
        <f t="shared" si="841"/>
        <v>#N/A</v>
      </c>
      <c r="M4137" s="4" t="e">
        <f t="shared" si="842"/>
        <v>#N/A</v>
      </c>
      <c r="N4137" s="4" t="e">
        <f t="shared" si="843"/>
        <v>#N/A</v>
      </c>
    </row>
    <row r="4138" spans="1:14">
      <c r="A4138">
        <f t="shared" si="844"/>
        <v>0</v>
      </c>
      <c r="B4138">
        <f t="shared" si="845"/>
        <v>0</v>
      </c>
      <c r="C4138">
        <f t="shared" si="846"/>
        <v>0</v>
      </c>
      <c r="D4138">
        <f t="shared" si="847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8"/>
        <v>0</v>
      </c>
      <c r="G4138">
        <f t="shared" si="849"/>
        <v>0</v>
      </c>
      <c r="H4138">
        <f t="shared" si="850"/>
        <v>0</v>
      </c>
      <c r="I4138">
        <f t="shared" si="851"/>
        <v>0</v>
      </c>
      <c r="J4138">
        <f t="shared" si="852"/>
        <v>0</v>
      </c>
      <c r="K4138" s="4" t="e">
        <f t="shared" si="840"/>
        <v>#N/A</v>
      </c>
      <c r="L4138" t="e">
        <f t="shared" si="841"/>
        <v>#N/A</v>
      </c>
      <c r="M4138" s="4" t="e">
        <f t="shared" si="842"/>
        <v>#N/A</v>
      </c>
      <c r="N4138" s="4" t="e">
        <f t="shared" si="843"/>
        <v>#N/A</v>
      </c>
    </row>
    <row r="4139" spans="1:14">
      <c r="A4139">
        <f t="shared" si="844"/>
        <v>0</v>
      </c>
      <c r="B4139">
        <f t="shared" si="845"/>
        <v>0</v>
      </c>
      <c r="C4139">
        <f t="shared" si="846"/>
        <v>0</v>
      </c>
      <c r="D4139">
        <f t="shared" si="847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8"/>
        <v>0</v>
      </c>
      <c r="G4139">
        <f t="shared" si="849"/>
        <v>0</v>
      </c>
      <c r="H4139">
        <f t="shared" si="850"/>
        <v>0</v>
      </c>
      <c r="I4139">
        <f t="shared" si="851"/>
        <v>0</v>
      </c>
      <c r="J4139">
        <f t="shared" si="852"/>
        <v>0</v>
      </c>
      <c r="K4139" s="4" t="e">
        <f t="shared" si="840"/>
        <v>#N/A</v>
      </c>
      <c r="L4139" t="e">
        <f t="shared" si="841"/>
        <v>#N/A</v>
      </c>
      <c r="M4139" s="4" t="e">
        <f t="shared" si="842"/>
        <v>#N/A</v>
      </c>
      <c r="N4139" s="4" t="e">
        <f t="shared" si="843"/>
        <v>#N/A</v>
      </c>
    </row>
    <row r="4140" spans="1:14">
      <c r="A4140">
        <f t="shared" si="844"/>
        <v>0</v>
      </c>
      <c r="B4140">
        <f t="shared" si="845"/>
        <v>0</v>
      </c>
      <c r="C4140">
        <f t="shared" si="846"/>
        <v>0</v>
      </c>
      <c r="D4140">
        <f t="shared" si="847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8"/>
        <v>0</v>
      </c>
      <c r="G4140">
        <f t="shared" si="849"/>
        <v>0</v>
      </c>
      <c r="H4140">
        <f t="shared" si="850"/>
        <v>0</v>
      </c>
      <c r="I4140">
        <f t="shared" si="851"/>
        <v>0</v>
      </c>
      <c r="J4140">
        <f t="shared" si="852"/>
        <v>0</v>
      </c>
      <c r="K4140" s="4" t="e">
        <f t="shared" si="840"/>
        <v>#N/A</v>
      </c>
      <c r="L4140" t="e">
        <f t="shared" si="841"/>
        <v>#N/A</v>
      </c>
      <c r="M4140" s="4" t="e">
        <f t="shared" si="842"/>
        <v>#N/A</v>
      </c>
      <c r="N4140" s="4" t="e">
        <f t="shared" si="843"/>
        <v>#N/A</v>
      </c>
    </row>
    <row r="4141" spans="1:14">
      <c r="A4141">
        <f t="shared" si="844"/>
        <v>0</v>
      </c>
      <c r="B4141">
        <f t="shared" si="845"/>
        <v>0</v>
      </c>
      <c r="C4141">
        <f t="shared" si="846"/>
        <v>0</v>
      </c>
      <c r="D4141">
        <f t="shared" si="847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8"/>
        <v>0</v>
      </c>
      <c r="G4141">
        <f t="shared" si="849"/>
        <v>0</v>
      </c>
      <c r="H4141">
        <f t="shared" si="850"/>
        <v>0</v>
      </c>
      <c r="I4141">
        <f t="shared" si="851"/>
        <v>0</v>
      </c>
      <c r="J4141">
        <f t="shared" si="852"/>
        <v>0</v>
      </c>
      <c r="K4141" s="4" t="e">
        <f t="shared" si="840"/>
        <v>#N/A</v>
      </c>
      <c r="L4141" t="e">
        <f t="shared" si="841"/>
        <v>#N/A</v>
      </c>
      <c r="M4141" s="4" t="e">
        <f t="shared" si="842"/>
        <v>#N/A</v>
      </c>
      <c r="N4141" s="4" t="e">
        <f t="shared" si="843"/>
        <v>#N/A</v>
      </c>
    </row>
    <row r="4142" spans="1:14">
      <c r="A4142">
        <f t="shared" si="844"/>
        <v>0</v>
      </c>
      <c r="B4142">
        <f t="shared" si="845"/>
        <v>0</v>
      </c>
      <c r="C4142">
        <f t="shared" si="846"/>
        <v>0</v>
      </c>
      <c r="D4142">
        <f t="shared" si="847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8"/>
        <v>0</v>
      </c>
      <c r="G4142">
        <f t="shared" si="849"/>
        <v>0</v>
      </c>
      <c r="H4142">
        <f t="shared" si="850"/>
        <v>0</v>
      </c>
      <c r="I4142">
        <f t="shared" si="851"/>
        <v>0</v>
      </c>
      <c r="J4142">
        <f t="shared" si="852"/>
        <v>0</v>
      </c>
      <c r="K4142" s="4" t="e">
        <f t="shared" si="840"/>
        <v>#N/A</v>
      </c>
      <c r="L4142" t="e">
        <f t="shared" si="841"/>
        <v>#N/A</v>
      </c>
      <c r="M4142" s="4" t="e">
        <f t="shared" si="842"/>
        <v>#N/A</v>
      </c>
      <c r="N4142" s="4" t="e">
        <f t="shared" si="843"/>
        <v>#N/A</v>
      </c>
    </row>
    <row r="4143" spans="1:14">
      <c r="A4143">
        <f t="shared" si="844"/>
        <v>0</v>
      </c>
      <c r="B4143">
        <f t="shared" si="845"/>
        <v>0</v>
      </c>
      <c r="C4143">
        <f t="shared" si="846"/>
        <v>0</v>
      </c>
      <c r="D4143">
        <f t="shared" si="847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8"/>
        <v>0</v>
      </c>
      <c r="G4143">
        <f t="shared" si="849"/>
        <v>0</v>
      </c>
      <c r="H4143">
        <f t="shared" si="850"/>
        <v>0</v>
      </c>
      <c r="I4143">
        <f t="shared" si="851"/>
        <v>0</v>
      </c>
      <c r="J4143">
        <f t="shared" si="852"/>
        <v>0</v>
      </c>
      <c r="K4143" s="4" t="e">
        <f t="shared" si="840"/>
        <v>#N/A</v>
      </c>
      <c r="L4143" t="e">
        <f t="shared" si="841"/>
        <v>#N/A</v>
      </c>
      <c r="M4143" s="4" t="e">
        <f t="shared" si="842"/>
        <v>#N/A</v>
      </c>
      <c r="N4143" s="4" t="e">
        <f t="shared" si="843"/>
        <v>#N/A</v>
      </c>
    </row>
    <row r="4144" spans="1:14">
      <c r="A4144">
        <f t="shared" si="844"/>
        <v>0</v>
      </c>
      <c r="B4144">
        <f t="shared" si="845"/>
        <v>0</v>
      </c>
      <c r="C4144">
        <f t="shared" si="846"/>
        <v>0</v>
      </c>
      <c r="D4144">
        <f t="shared" si="847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8"/>
        <v>0</v>
      </c>
      <c r="G4144">
        <f t="shared" si="849"/>
        <v>0</v>
      </c>
      <c r="H4144">
        <f t="shared" si="850"/>
        <v>0</v>
      </c>
      <c r="I4144">
        <f t="shared" si="851"/>
        <v>0</v>
      </c>
      <c r="J4144">
        <f t="shared" si="852"/>
        <v>0</v>
      </c>
      <c r="K4144" s="4" t="e">
        <f t="shared" si="840"/>
        <v>#N/A</v>
      </c>
      <c r="L4144" t="e">
        <f t="shared" si="841"/>
        <v>#N/A</v>
      </c>
      <c r="M4144" s="4" t="e">
        <f t="shared" si="842"/>
        <v>#N/A</v>
      </c>
      <c r="N4144" s="4" t="e">
        <f t="shared" si="843"/>
        <v>#N/A</v>
      </c>
    </row>
    <row r="4145" spans="1:14">
      <c r="A4145">
        <f t="shared" si="844"/>
        <v>0</v>
      </c>
      <c r="B4145">
        <f t="shared" si="845"/>
        <v>0</v>
      </c>
      <c r="C4145">
        <f t="shared" si="846"/>
        <v>0</v>
      </c>
      <c r="D4145">
        <f t="shared" si="847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8"/>
        <v>0</v>
      </c>
      <c r="G4145">
        <f t="shared" si="849"/>
        <v>0</v>
      </c>
      <c r="H4145">
        <f t="shared" si="850"/>
        <v>0</v>
      </c>
      <c r="I4145">
        <f t="shared" si="851"/>
        <v>0</v>
      </c>
      <c r="J4145">
        <f t="shared" si="852"/>
        <v>0</v>
      </c>
      <c r="K4145" s="4" t="e">
        <f t="shared" si="840"/>
        <v>#N/A</v>
      </c>
      <c r="L4145" t="e">
        <f t="shared" si="841"/>
        <v>#N/A</v>
      </c>
      <c r="M4145" s="4" t="e">
        <f t="shared" si="842"/>
        <v>#N/A</v>
      </c>
      <c r="N4145" s="4" t="e">
        <f t="shared" si="843"/>
        <v>#N/A</v>
      </c>
    </row>
    <row r="4146" spans="1:14">
      <c r="A4146">
        <f t="shared" si="844"/>
        <v>0</v>
      </c>
      <c r="B4146">
        <f t="shared" si="845"/>
        <v>0</v>
      </c>
      <c r="C4146">
        <f t="shared" si="846"/>
        <v>0</v>
      </c>
      <c r="D4146">
        <f t="shared" si="847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8"/>
        <v>0</v>
      </c>
      <c r="G4146">
        <f t="shared" si="849"/>
        <v>0</v>
      </c>
      <c r="H4146">
        <f t="shared" si="850"/>
        <v>0</v>
      </c>
      <c r="I4146">
        <f t="shared" si="851"/>
        <v>0</v>
      </c>
      <c r="J4146">
        <f t="shared" si="852"/>
        <v>0</v>
      </c>
      <c r="K4146" s="4" t="e">
        <f t="shared" si="840"/>
        <v>#N/A</v>
      </c>
      <c r="L4146" t="e">
        <f t="shared" si="841"/>
        <v>#N/A</v>
      </c>
      <c r="M4146" s="4" t="e">
        <f t="shared" si="842"/>
        <v>#N/A</v>
      </c>
      <c r="N4146" s="4" t="e">
        <f t="shared" si="843"/>
        <v>#N/A</v>
      </c>
    </row>
    <row r="4147" spans="1:14">
      <c r="A4147">
        <f t="shared" si="844"/>
        <v>0</v>
      </c>
      <c r="B4147">
        <f t="shared" si="845"/>
        <v>0</v>
      </c>
      <c r="C4147">
        <f t="shared" si="846"/>
        <v>0</v>
      </c>
      <c r="D4147">
        <f t="shared" si="847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8"/>
        <v>0</v>
      </c>
      <c r="G4147">
        <f t="shared" si="849"/>
        <v>0</v>
      </c>
      <c r="H4147">
        <f t="shared" si="850"/>
        <v>0</v>
      </c>
      <c r="I4147">
        <f t="shared" si="851"/>
        <v>0</v>
      </c>
      <c r="J4147">
        <f t="shared" si="852"/>
        <v>0</v>
      </c>
      <c r="K4147" s="4" t="e">
        <f t="shared" si="840"/>
        <v>#N/A</v>
      </c>
      <c r="L4147" t="e">
        <f t="shared" si="841"/>
        <v>#N/A</v>
      </c>
      <c r="M4147" s="4" t="e">
        <f t="shared" si="842"/>
        <v>#N/A</v>
      </c>
      <c r="N4147" s="4" t="e">
        <f t="shared" si="843"/>
        <v>#N/A</v>
      </c>
    </row>
    <row r="4148" spans="1:14">
      <c r="A4148">
        <f t="shared" si="844"/>
        <v>0</v>
      </c>
      <c r="B4148">
        <f t="shared" si="845"/>
        <v>0</v>
      </c>
      <c r="C4148">
        <f t="shared" si="846"/>
        <v>0</v>
      </c>
      <c r="D4148">
        <f t="shared" si="847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8"/>
        <v>0</v>
      </c>
      <c r="G4148">
        <f t="shared" si="849"/>
        <v>0</v>
      </c>
      <c r="H4148">
        <f t="shared" si="850"/>
        <v>0</v>
      </c>
      <c r="I4148">
        <f t="shared" si="851"/>
        <v>0</v>
      </c>
      <c r="J4148">
        <f t="shared" si="852"/>
        <v>0</v>
      </c>
      <c r="K4148" s="4" t="e">
        <f t="shared" si="840"/>
        <v>#N/A</v>
      </c>
      <c r="L4148" t="e">
        <f t="shared" si="841"/>
        <v>#N/A</v>
      </c>
      <c r="M4148" s="4" t="e">
        <f t="shared" si="842"/>
        <v>#N/A</v>
      </c>
      <c r="N4148" s="4" t="e">
        <f t="shared" si="843"/>
        <v>#N/A</v>
      </c>
    </row>
    <row r="4149" spans="1:14">
      <c r="A4149">
        <f t="shared" si="844"/>
        <v>0</v>
      </c>
      <c r="B4149">
        <f t="shared" si="845"/>
        <v>0</v>
      </c>
      <c r="C4149">
        <f t="shared" si="846"/>
        <v>0</v>
      </c>
      <c r="D4149">
        <f t="shared" si="847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8"/>
        <v>0</v>
      </c>
      <c r="G4149">
        <f t="shared" si="849"/>
        <v>0</v>
      </c>
      <c r="H4149">
        <f t="shared" si="850"/>
        <v>0</v>
      </c>
      <c r="I4149">
        <f t="shared" si="851"/>
        <v>0</v>
      </c>
      <c r="J4149">
        <f t="shared" si="852"/>
        <v>0</v>
      </c>
      <c r="K4149" s="4" t="e">
        <f t="shared" si="840"/>
        <v>#N/A</v>
      </c>
      <c r="L4149" t="e">
        <f t="shared" si="841"/>
        <v>#N/A</v>
      </c>
      <c r="M4149" s="4" t="e">
        <f t="shared" si="842"/>
        <v>#N/A</v>
      </c>
      <c r="N4149" s="4" t="e">
        <f t="shared" si="843"/>
        <v>#N/A</v>
      </c>
    </row>
    <row r="4150" spans="1:14">
      <c r="A4150">
        <f t="shared" si="844"/>
        <v>0</v>
      </c>
      <c r="B4150">
        <f t="shared" si="845"/>
        <v>0</v>
      </c>
      <c r="C4150">
        <f t="shared" si="846"/>
        <v>0</v>
      </c>
      <c r="D4150">
        <f t="shared" si="847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8"/>
        <v>0</v>
      </c>
      <c r="G4150">
        <f t="shared" si="849"/>
        <v>0</v>
      </c>
      <c r="H4150">
        <f t="shared" si="850"/>
        <v>0</v>
      </c>
      <c r="I4150">
        <f t="shared" si="851"/>
        <v>0</v>
      </c>
      <c r="J4150">
        <f t="shared" si="852"/>
        <v>0</v>
      </c>
      <c r="K4150" s="4" t="e">
        <f t="shared" si="840"/>
        <v>#N/A</v>
      </c>
      <c r="L4150" t="e">
        <f t="shared" si="841"/>
        <v>#N/A</v>
      </c>
      <c r="M4150" s="4" t="e">
        <f t="shared" si="842"/>
        <v>#N/A</v>
      </c>
      <c r="N4150" s="4" t="e">
        <f t="shared" si="843"/>
        <v>#N/A</v>
      </c>
    </row>
    <row r="4151" spans="1:14">
      <c r="A4151">
        <f t="shared" si="844"/>
        <v>0</v>
      </c>
      <c r="B4151">
        <f t="shared" si="845"/>
        <v>0</v>
      </c>
      <c r="C4151">
        <f t="shared" si="846"/>
        <v>0</v>
      </c>
      <c r="D4151">
        <f t="shared" si="847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8"/>
        <v>0</v>
      </c>
      <c r="G4151">
        <f t="shared" si="849"/>
        <v>0</v>
      </c>
      <c r="H4151">
        <f t="shared" si="850"/>
        <v>0</v>
      </c>
      <c r="I4151">
        <f t="shared" si="851"/>
        <v>0</v>
      </c>
      <c r="J4151">
        <f t="shared" si="852"/>
        <v>0</v>
      </c>
      <c r="K4151" s="4" t="e">
        <f t="shared" si="840"/>
        <v>#N/A</v>
      </c>
      <c r="L4151" t="e">
        <f t="shared" si="841"/>
        <v>#N/A</v>
      </c>
      <c r="M4151" s="4" t="e">
        <f t="shared" si="842"/>
        <v>#N/A</v>
      </c>
      <c r="N4151" s="4" t="e">
        <f t="shared" si="843"/>
        <v>#N/A</v>
      </c>
    </row>
    <row r="4152" spans="1:14">
      <c r="A4152">
        <f t="shared" si="844"/>
        <v>0</v>
      </c>
      <c r="B4152">
        <f t="shared" si="845"/>
        <v>0</v>
      </c>
      <c r="C4152">
        <f t="shared" si="846"/>
        <v>0</v>
      </c>
      <c r="D4152">
        <f t="shared" si="847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8"/>
        <v>0</v>
      </c>
      <c r="G4152">
        <f t="shared" si="849"/>
        <v>0</v>
      </c>
      <c r="H4152">
        <f t="shared" si="850"/>
        <v>0</v>
      </c>
      <c r="I4152">
        <f t="shared" si="851"/>
        <v>0</v>
      </c>
      <c r="J4152">
        <f t="shared" si="852"/>
        <v>0</v>
      </c>
      <c r="K4152" s="4" t="e">
        <f t="shared" si="840"/>
        <v>#N/A</v>
      </c>
      <c r="L4152" t="e">
        <f t="shared" si="841"/>
        <v>#N/A</v>
      </c>
      <c r="M4152" s="4" t="e">
        <f t="shared" si="842"/>
        <v>#N/A</v>
      </c>
      <c r="N4152" s="4" t="e">
        <f t="shared" si="843"/>
        <v>#N/A</v>
      </c>
    </row>
    <row r="4153" spans="1:14">
      <c r="A4153">
        <f t="shared" si="844"/>
        <v>0</v>
      </c>
      <c r="B4153">
        <f t="shared" si="845"/>
        <v>0</v>
      </c>
      <c r="C4153">
        <f t="shared" si="846"/>
        <v>0</v>
      </c>
      <c r="D4153">
        <f t="shared" si="847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8"/>
        <v>0</v>
      </c>
      <c r="G4153">
        <f t="shared" si="849"/>
        <v>0</v>
      </c>
      <c r="H4153">
        <f t="shared" si="850"/>
        <v>0</v>
      </c>
      <c r="I4153">
        <f t="shared" si="851"/>
        <v>0</v>
      </c>
      <c r="J4153">
        <f t="shared" si="852"/>
        <v>0</v>
      </c>
      <c r="K4153" s="4" t="e">
        <f t="shared" si="840"/>
        <v>#N/A</v>
      </c>
      <c r="L4153" t="e">
        <f t="shared" si="841"/>
        <v>#N/A</v>
      </c>
      <c r="M4153" s="4" t="e">
        <f t="shared" si="842"/>
        <v>#N/A</v>
      </c>
      <c r="N4153" s="4" t="e">
        <f t="shared" si="843"/>
        <v>#N/A</v>
      </c>
    </row>
    <row r="4154" spans="1:14">
      <c r="A4154">
        <f t="shared" si="844"/>
        <v>0</v>
      </c>
      <c r="B4154">
        <f t="shared" si="845"/>
        <v>0</v>
      </c>
      <c r="C4154">
        <f t="shared" si="846"/>
        <v>0</v>
      </c>
      <c r="D4154">
        <f t="shared" si="847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8"/>
        <v>0</v>
      </c>
      <c r="G4154">
        <f t="shared" si="849"/>
        <v>0</v>
      </c>
      <c r="H4154">
        <f t="shared" si="850"/>
        <v>0</v>
      </c>
      <c r="I4154">
        <f t="shared" si="851"/>
        <v>0</v>
      </c>
      <c r="J4154">
        <f t="shared" si="852"/>
        <v>0</v>
      </c>
      <c r="K4154" s="4" t="e">
        <f t="shared" si="840"/>
        <v>#N/A</v>
      </c>
      <c r="L4154" t="e">
        <f t="shared" si="841"/>
        <v>#N/A</v>
      </c>
      <c r="M4154" s="4" t="e">
        <f t="shared" si="842"/>
        <v>#N/A</v>
      </c>
      <c r="N4154" s="4" t="e">
        <f t="shared" si="843"/>
        <v>#N/A</v>
      </c>
    </row>
    <row r="4155" spans="1:14">
      <c r="A4155">
        <f t="shared" si="844"/>
        <v>0</v>
      </c>
      <c r="B4155">
        <f t="shared" si="845"/>
        <v>0</v>
      </c>
      <c r="C4155">
        <f t="shared" si="846"/>
        <v>0</v>
      </c>
      <c r="D4155">
        <f t="shared" si="847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8"/>
        <v>0</v>
      </c>
      <c r="G4155">
        <f t="shared" si="849"/>
        <v>0</v>
      </c>
      <c r="H4155">
        <f t="shared" si="850"/>
        <v>0</v>
      </c>
      <c r="I4155">
        <f t="shared" si="851"/>
        <v>0</v>
      </c>
      <c r="J4155">
        <f t="shared" si="852"/>
        <v>0</v>
      </c>
      <c r="K4155" s="4" t="e">
        <f t="shared" si="840"/>
        <v>#N/A</v>
      </c>
      <c r="L4155" t="e">
        <f t="shared" si="841"/>
        <v>#N/A</v>
      </c>
      <c r="M4155" s="4" t="e">
        <f t="shared" si="842"/>
        <v>#N/A</v>
      </c>
      <c r="N4155" s="4" t="e">
        <f t="shared" si="843"/>
        <v>#N/A</v>
      </c>
    </row>
    <row r="4156" spans="1:14">
      <c r="A4156">
        <f t="shared" si="844"/>
        <v>0</v>
      </c>
      <c r="B4156">
        <f t="shared" si="845"/>
        <v>0</v>
      </c>
      <c r="C4156">
        <f t="shared" si="846"/>
        <v>0</v>
      </c>
      <c r="D4156">
        <f t="shared" si="847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8"/>
        <v>0</v>
      </c>
      <c r="G4156">
        <f t="shared" si="849"/>
        <v>0</v>
      </c>
      <c r="H4156">
        <f t="shared" si="850"/>
        <v>0</v>
      </c>
      <c r="I4156">
        <f t="shared" si="851"/>
        <v>0</v>
      </c>
      <c r="J4156">
        <f t="shared" si="852"/>
        <v>0</v>
      </c>
      <c r="K4156" s="4" t="e">
        <f t="shared" si="840"/>
        <v>#N/A</v>
      </c>
      <c r="L4156" t="e">
        <f t="shared" si="841"/>
        <v>#N/A</v>
      </c>
      <c r="M4156" s="4" t="e">
        <f t="shared" si="842"/>
        <v>#N/A</v>
      </c>
      <c r="N4156" s="4" t="e">
        <f t="shared" si="843"/>
        <v>#N/A</v>
      </c>
    </row>
    <row r="4157" spans="1:14">
      <c r="A4157">
        <f t="shared" si="844"/>
        <v>0</v>
      </c>
      <c r="B4157">
        <f t="shared" si="845"/>
        <v>0</v>
      </c>
      <c r="C4157">
        <f t="shared" si="846"/>
        <v>0</v>
      </c>
      <c r="D4157">
        <f t="shared" si="847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8"/>
        <v>0</v>
      </c>
      <c r="G4157">
        <f t="shared" si="849"/>
        <v>0</v>
      </c>
      <c r="H4157">
        <f t="shared" si="850"/>
        <v>0</v>
      </c>
      <c r="I4157">
        <f t="shared" si="851"/>
        <v>0</v>
      </c>
      <c r="J4157">
        <f t="shared" si="852"/>
        <v>0</v>
      </c>
      <c r="K4157" s="4" t="e">
        <f t="shared" ref="K4157:K4220" si="853">IF(LEFT(B4157,3)="DBM",0,VLOOKUP(E4157,tabela,2,FALSE))</f>
        <v>#N/A</v>
      </c>
      <c r="L4157" t="e">
        <f t="shared" ref="L4157:L4220" si="854">VLOOKUP(E4157,tabela,3,FALSE)</f>
        <v>#N/A</v>
      </c>
      <c r="M4157" s="4" t="e">
        <f t="shared" ref="M4157:M4220" si="855">IF(E4157="Dynamic Click",J4157*K4157,K4157*$I4157/1000)</f>
        <v>#N/A</v>
      </c>
      <c r="N4157" s="4" t="e">
        <f t="shared" ref="N4157:N4220" si="856">IF(E4157="Dynamic Click",J4157*L4157,L4157*$I4157/1000)</f>
        <v>#N/A</v>
      </c>
    </row>
    <row r="4158" spans="1:14">
      <c r="A4158">
        <f t="shared" si="844"/>
        <v>0</v>
      </c>
      <c r="B4158">
        <f t="shared" si="845"/>
        <v>0</v>
      </c>
      <c r="C4158">
        <f t="shared" si="846"/>
        <v>0</v>
      </c>
      <c r="D4158">
        <f t="shared" si="847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8"/>
        <v>0</v>
      </c>
      <c r="G4158">
        <f t="shared" si="849"/>
        <v>0</v>
      </c>
      <c r="H4158">
        <f t="shared" si="850"/>
        <v>0</v>
      </c>
      <c r="I4158">
        <f t="shared" si="851"/>
        <v>0</v>
      </c>
      <c r="J4158">
        <f t="shared" si="852"/>
        <v>0</v>
      </c>
      <c r="K4158" s="4" t="e">
        <f t="shared" si="853"/>
        <v>#N/A</v>
      </c>
      <c r="L4158" t="e">
        <f t="shared" si="854"/>
        <v>#N/A</v>
      </c>
      <c r="M4158" s="4" t="e">
        <f t="shared" si="855"/>
        <v>#N/A</v>
      </c>
      <c r="N4158" s="4" t="e">
        <f t="shared" si="856"/>
        <v>#N/A</v>
      </c>
    </row>
    <row r="4159" spans="1:14">
      <c r="A4159">
        <f t="shared" si="844"/>
        <v>0</v>
      </c>
      <c r="B4159">
        <f t="shared" si="845"/>
        <v>0</v>
      </c>
      <c r="C4159">
        <f t="shared" si="846"/>
        <v>0</v>
      </c>
      <c r="D4159">
        <f t="shared" si="847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8"/>
        <v>0</v>
      </c>
      <c r="G4159">
        <f t="shared" si="849"/>
        <v>0</v>
      </c>
      <c r="H4159">
        <f t="shared" si="850"/>
        <v>0</v>
      </c>
      <c r="I4159">
        <f t="shared" si="851"/>
        <v>0</v>
      </c>
      <c r="J4159">
        <f t="shared" si="852"/>
        <v>0</v>
      </c>
      <c r="K4159" s="4" t="e">
        <f t="shared" si="853"/>
        <v>#N/A</v>
      </c>
      <c r="L4159" t="e">
        <f t="shared" si="854"/>
        <v>#N/A</v>
      </c>
      <c r="M4159" s="4" t="e">
        <f t="shared" si="855"/>
        <v>#N/A</v>
      </c>
      <c r="N4159" s="4" t="e">
        <f t="shared" si="856"/>
        <v>#N/A</v>
      </c>
    </row>
    <row r="4160" spans="1:14">
      <c r="A4160">
        <f t="shared" si="844"/>
        <v>0</v>
      </c>
      <c r="B4160">
        <f t="shared" si="845"/>
        <v>0</v>
      </c>
      <c r="C4160">
        <f t="shared" si="846"/>
        <v>0</v>
      </c>
      <c r="D4160">
        <f t="shared" si="847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8"/>
        <v>0</v>
      </c>
      <c r="G4160">
        <f t="shared" si="849"/>
        <v>0</v>
      </c>
      <c r="H4160">
        <f t="shared" si="850"/>
        <v>0</v>
      </c>
      <c r="I4160">
        <f t="shared" si="851"/>
        <v>0</v>
      </c>
      <c r="J4160">
        <f t="shared" si="852"/>
        <v>0</v>
      </c>
      <c r="K4160" s="4" t="e">
        <f t="shared" si="853"/>
        <v>#N/A</v>
      </c>
      <c r="L4160" t="e">
        <f t="shared" si="854"/>
        <v>#N/A</v>
      </c>
      <c r="M4160" s="4" t="e">
        <f t="shared" si="855"/>
        <v>#N/A</v>
      </c>
      <c r="N4160" s="4" t="e">
        <f t="shared" si="856"/>
        <v>#N/A</v>
      </c>
    </row>
    <row r="4161" spans="1:14">
      <c r="A4161">
        <f t="shared" si="844"/>
        <v>0</v>
      </c>
      <c r="B4161">
        <f t="shared" si="845"/>
        <v>0</v>
      </c>
      <c r="C4161">
        <f t="shared" si="846"/>
        <v>0</v>
      </c>
      <c r="D4161">
        <f t="shared" si="847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8"/>
        <v>0</v>
      </c>
      <c r="G4161">
        <f t="shared" si="849"/>
        <v>0</v>
      </c>
      <c r="H4161">
        <f t="shared" si="850"/>
        <v>0</v>
      </c>
      <c r="I4161">
        <f t="shared" si="851"/>
        <v>0</v>
      </c>
      <c r="J4161">
        <f t="shared" si="852"/>
        <v>0</v>
      </c>
      <c r="K4161" s="4" t="e">
        <f t="shared" si="853"/>
        <v>#N/A</v>
      </c>
      <c r="L4161" t="e">
        <f t="shared" si="854"/>
        <v>#N/A</v>
      </c>
      <c r="M4161" s="4" t="e">
        <f t="shared" si="855"/>
        <v>#N/A</v>
      </c>
      <c r="N4161" s="4" t="e">
        <f t="shared" si="856"/>
        <v>#N/A</v>
      </c>
    </row>
    <row r="4162" spans="1:14">
      <c r="A4162">
        <f t="shared" ref="A4162:A4225" si="857">bd_campaign</f>
        <v>0</v>
      </c>
      <c r="B4162">
        <f t="shared" ref="B4162:B4225" si="858">bd_site</f>
        <v>0</v>
      </c>
      <c r="C4162">
        <f t="shared" ref="C4162:C4225" si="859">bd_placement</f>
        <v>0</v>
      </c>
      <c r="D4162">
        <f t="shared" ref="D4162:D4225" si="860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61">bd_ad</f>
        <v>0</v>
      </c>
      <c r="G4162">
        <f t="shared" ref="G4162:G4225" si="862">bd_adid</f>
        <v>0</v>
      </c>
      <c r="H4162">
        <f t="shared" ref="H4162:H4225" si="863">bd_creativetype</f>
        <v>0</v>
      </c>
      <c r="I4162">
        <f t="shared" ref="I4162:I4225" si="864">bd_impression</f>
        <v>0</v>
      </c>
      <c r="J4162">
        <f t="shared" ref="J4162:J4225" si="865">bd_clicks</f>
        <v>0</v>
      </c>
      <c r="K4162" s="4" t="e">
        <f t="shared" si="853"/>
        <v>#N/A</v>
      </c>
      <c r="L4162" t="e">
        <f t="shared" si="854"/>
        <v>#N/A</v>
      </c>
      <c r="M4162" s="4" t="e">
        <f t="shared" si="855"/>
        <v>#N/A</v>
      </c>
      <c r="N4162" s="4" t="e">
        <f t="shared" si="856"/>
        <v>#N/A</v>
      </c>
    </row>
    <row r="4163" spans="1:14">
      <c r="A4163">
        <f t="shared" si="857"/>
        <v>0</v>
      </c>
      <c r="B4163">
        <f t="shared" si="858"/>
        <v>0</v>
      </c>
      <c r="C4163">
        <f t="shared" si="859"/>
        <v>0</v>
      </c>
      <c r="D4163">
        <f t="shared" si="860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61"/>
        <v>0</v>
      </c>
      <c r="G4163">
        <f t="shared" si="862"/>
        <v>0</v>
      </c>
      <c r="H4163">
        <f t="shared" si="863"/>
        <v>0</v>
      </c>
      <c r="I4163">
        <f t="shared" si="864"/>
        <v>0</v>
      </c>
      <c r="J4163">
        <f t="shared" si="865"/>
        <v>0</v>
      </c>
      <c r="K4163" s="4" t="e">
        <f t="shared" si="853"/>
        <v>#N/A</v>
      </c>
      <c r="L4163" t="e">
        <f t="shared" si="854"/>
        <v>#N/A</v>
      </c>
      <c r="M4163" s="4" t="e">
        <f t="shared" si="855"/>
        <v>#N/A</v>
      </c>
      <c r="N4163" s="4" t="e">
        <f t="shared" si="856"/>
        <v>#N/A</v>
      </c>
    </row>
    <row r="4164" spans="1:14">
      <c r="A4164">
        <f t="shared" si="857"/>
        <v>0</v>
      </c>
      <c r="B4164">
        <f t="shared" si="858"/>
        <v>0</v>
      </c>
      <c r="C4164">
        <f t="shared" si="859"/>
        <v>0</v>
      </c>
      <c r="D4164">
        <f t="shared" si="860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61"/>
        <v>0</v>
      </c>
      <c r="G4164">
        <f t="shared" si="862"/>
        <v>0</v>
      </c>
      <c r="H4164">
        <f t="shared" si="863"/>
        <v>0</v>
      </c>
      <c r="I4164">
        <f t="shared" si="864"/>
        <v>0</v>
      </c>
      <c r="J4164">
        <f t="shared" si="865"/>
        <v>0</v>
      </c>
      <c r="K4164" s="4" t="e">
        <f t="shared" si="853"/>
        <v>#N/A</v>
      </c>
      <c r="L4164" t="e">
        <f t="shared" si="854"/>
        <v>#N/A</v>
      </c>
      <c r="M4164" s="4" t="e">
        <f t="shared" si="855"/>
        <v>#N/A</v>
      </c>
      <c r="N4164" s="4" t="e">
        <f t="shared" si="856"/>
        <v>#N/A</v>
      </c>
    </row>
    <row r="4165" spans="1:14">
      <c r="A4165">
        <f t="shared" si="857"/>
        <v>0</v>
      </c>
      <c r="B4165">
        <f t="shared" si="858"/>
        <v>0</v>
      </c>
      <c r="C4165">
        <f t="shared" si="859"/>
        <v>0</v>
      </c>
      <c r="D4165">
        <f t="shared" si="860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61"/>
        <v>0</v>
      </c>
      <c r="G4165">
        <f t="shared" si="862"/>
        <v>0</v>
      </c>
      <c r="H4165">
        <f t="shared" si="863"/>
        <v>0</v>
      </c>
      <c r="I4165">
        <f t="shared" si="864"/>
        <v>0</v>
      </c>
      <c r="J4165">
        <f t="shared" si="865"/>
        <v>0</v>
      </c>
      <c r="K4165" s="4" t="e">
        <f t="shared" si="853"/>
        <v>#N/A</v>
      </c>
      <c r="L4165" t="e">
        <f t="shared" si="854"/>
        <v>#N/A</v>
      </c>
      <c r="M4165" s="4" t="e">
        <f t="shared" si="855"/>
        <v>#N/A</v>
      </c>
      <c r="N4165" s="4" t="e">
        <f t="shared" si="856"/>
        <v>#N/A</v>
      </c>
    </row>
    <row r="4166" spans="1:14">
      <c r="A4166">
        <f t="shared" si="857"/>
        <v>0</v>
      </c>
      <c r="B4166">
        <f t="shared" si="858"/>
        <v>0</v>
      </c>
      <c r="C4166">
        <f t="shared" si="859"/>
        <v>0</v>
      </c>
      <c r="D4166">
        <f t="shared" si="860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61"/>
        <v>0</v>
      </c>
      <c r="G4166">
        <f t="shared" si="862"/>
        <v>0</v>
      </c>
      <c r="H4166">
        <f t="shared" si="863"/>
        <v>0</v>
      </c>
      <c r="I4166">
        <f t="shared" si="864"/>
        <v>0</v>
      </c>
      <c r="J4166">
        <f t="shared" si="865"/>
        <v>0</v>
      </c>
      <c r="K4166" s="4" t="e">
        <f t="shared" si="853"/>
        <v>#N/A</v>
      </c>
      <c r="L4166" t="e">
        <f t="shared" si="854"/>
        <v>#N/A</v>
      </c>
      <c r="M4166" s="4" t="e">
        <f t="shared" si="855"/>
        <v>#N/A</v>
      </c>
      <c r="N4166" s="4" t="e">
        <f t="shared" si="856"/>
        <v>#N/A</v>
      </c>
    </row>
    <row r="4167" spans="1:14">
      <c r="A4167">
        <f t="shared" si="857"/>
        <v>0</v>
      </c>
      <c r="B4167">
        <f t="shared" si="858"/>
        <v>0</v>
      </c>
      <c r="C4167">
        <f t="shared" si="859"/>
        <v>0</v>
      </c>
      <c r="D4167">
        <f t="shared" si="860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61"/>
        <v>0</v>
      </c>
      <c r="G4167">
        <f t="shared" si="862"/>
        <v>0</v>
      </c>
      <c r="H4167">
        <f t="shared" si="863"/>
        <v>0</v>
      </c>
      <c r="I4167">
        <f t="shared" si="864"/>
        <v>0</v>
      </c>
      <c r="J4167">
        <f t="shared" si="865"/>
        <v>0</v>
      </c>
      <c r="K4167" s="4" t="e">
        <f t="shared" si="853"/>
        <v>#N/A</v>
      </c>
      <c r="L4167" t="e">
        <f t="shared" si="854"/>
        <v>#N/A</v>
      </c>
      <c r="M4167" s="4" t="e">
        <f t="shared" si="855"/>
        <v>#N/A</v>
      </c>
      <c r="N4167" s="4" t="e">
        <f t="shared" si="856"/>
        <v>#N/A</v>
      </c>
    </row>
    <row r="4168" spans="1:14">
      <c r="A4168">
        <f t="shared" si="857"/>
        <v>0</v>
      </c>
      <c r="B4168">
        <f t="shared" si="858"/>
        <v>0</v>
      </c>
      <c r="C4168">
        <f t="shared" si="859"/>
        <v>0</v>
      </c>
      <c r="D4168">
        <f t="shared" si="860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61"/>
        <v>0</v>
      </c>
      <c r="G4168">
        <f t="shared" si="862"/>
        <v>0</v>
      </c>
      <c r="H4168">
        <f t="shared" si="863"/>
        <v>0</v>
      </c>
      <c r="I4168">
        <f t="shared" si="864"/>
        <v>0</v>
      </c>
      <c r="J4168">
        <f t="shared" si="865"/>
        <v>0</v>
      </c>
      <c r="K4168" s="4" t="e">
        <f t="shared" si="853"/>
        <v>#N/A</v>
      </c>
      <c r="L4168" t="e">
        <f t="shared" si="854"/>
        <v>#N/A</v>
      </c>
      <c r="M4168" s="4" t="e">
        <f t="shared" si="855"/>
        <v>#N/A</v>
      </c>
      <c r="N4168" s="4" t="e">
        <f t="shared" si="856"/>
        <v>#N/A</v>
      </c>
    </row>
    <row r="4169" spans="1:14">
      <c r="A4169">
        <f t="shared" si="857"/>
        <v>0</v>
      </c>
      <c r="B4169">
        <f t="shared" si="858"/>
        <v>0</v>
      </c>
      <c r="C4169">
        <f t="shared" si="859"/>
        <v>0</v>
      </c>
      <c r="D4169">
        <f t="shared" si="860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61"/>
        <v>0</v>
      </c>
      <c r="G4169">
        <f t="shared" si="862"/>
        <v>0</v>
      </c>
      <c r="H4169">
        <f t="shared" si="863"/>
        <v>0</v>
      </c>
      <c r="I4169">
        <f t="shared" si="864"/>
        <v>0</v>
      </c>
      <c r="J4169">
        <f t="shared" si="865"/>
        <v>0</v>
      </c>
      <c r="K4169" s="4" t="e">
        <f t="shared" si="853"/>
        <v>#N/A</v>
      </c>
      <c r="L4169" t="e">
        <f t="shared" si="854"/>
        <v>#N/A</v>
      </c>
      <c r="M4169" s="4" t="e">
        <f t="shared" si="855"/>
        <v>#N/A</v>
      </c>
      <c r="N4169" s="4" t="e">
        <f t="shared" si="856"/>
        <v>#N/A</v>
      </c>
    </row>
    <row r="4170" spans="1:14">
      <c r="A4170">
        <f t="shared" si="857"/>
        <v>0</v>
      </c>
      <c r="B4170">
        <f t="shared" si="858"/>
        <v>0</v>
      </c>
      <c r="C4170">
        <f t="shared" si="859"/>
        <v>0</v>
      </c>
      <c r="D4170">
        <f t="shared" si="860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61"/>
        <v>0</v>
      </c>
      <c r="G4170">
        <f t="shared" si="862"/>
        <v>0</v>
      </c>
      <c r="H4170">
        <f t="shared" si="863"/>
        <v>0</v>
      </c>
      <c r="I4170">
        <f t="shared" si="864"/>
        <v>0</v>
      </c>
      <c r="J4170">
        <f t="shared" si="865"/>
        <v>0</v>
      </c>
      <c r="K4170" s="4" t="e">
        <f t="shared" si="853"/>
        <v>#N/A</v>
      </c>
      <c r="L4170" t="e">
        <f t="shared" si="854"/>
        <v>#N/A</v>
      </c>
      <c r="M4170" s="4" t="e">
        <f t="shared" si="855"/>
        <v>#N/A</v>
      </c>
      <c r="N4170" s="4" t="e">
        <f t="shared" si="856"/>
        <v>#N/A</v>
      </c>
    </row>
    <row r="4171" spans="1:14">
      <c r="A4171">
        <f t="shared" si="857"/>
        <v>0</v>
      </c>
      <c r="B4171">
        <f t="shared" si="858"/>
        <v>0</v>
      </c>
      <c r="C4171">
        <f t="shared" si="859"/>
        <v>0</v>
      </c>
      <c r="D4171">
        <f t="shared" si="860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61"/>
        <v>0</v>
      </c>
      <c r="G4171">
        <f t="shared" si="862"/>
        <v>0</v>
      </c>
      <c r="H4171">
        <f t="shared" si="863"/>
        <v>0</v>
      </c>
      <c r="I4171">
        <f t="shared" si="864"/>
        <v>0</v>
      </c>
      <c r="J4171">
        <f t="shared" si="865"/>
        <v>0</v>
      </c>
      <c r="K4171" s="4" t="e">
        <f t="shared" si="853"/>
        <v>#N/A</v>
      </c>
      <c r="L4171" t="e">
        <f t="shared" si="854"/>
        <v>#N/A</v>
      </c>
      <c r="M4171" s="4" t="e">
        <f t="shared" si="855"/>
        <v>#N/A</v>
      </c>
      <c r="N4171" s="4" t="e">
        <f t="shared" si="856"/>
        <v>#N/A</v>
      </c>
    </row>
    <row r="4172" spans="1:14">
      <c r="A4172">
        <f t="shared" si="857"/>
        <v>0</v>
      </c>
      <c r="B4172">
        <f t="shared" si="858"/>
        <v>0</v>
      </c>
      <c r="C4172">
        <f t="shared" si="859"/>
        <v>0</v>
      </c>
      <c r="D4172">
        <f t="shared" si="860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61"/>
        <v>0</v>
      </c>
      <c r="G4172">
        <f t="shared" si="862"/>
        <v>0</v>
      </c>
      <c r="H4172">
        <f t="shared" si="863"/>
        <v>0</v>
      </c>
      <c r="I4172">
        <f t="shared" si="864"/>
        <v>0</v>
      </c>
      <c r="J4172">
        <f t="shared" si="865"/>
        <v>0</v>
      </c>
      <c r="K4172" s="4" t="e">
        <f t="shared" si="853"/>
        <v>#N/A</v>
      </c>
      <c r="L4172" t="e">
        <f t="shared" si="854"/>
        <v>#N/A</v>
      </c>
      <c r="M4172" s="4" t="e">
        <f t="shared" si="855"/>
        <v>#N/A</v>
      </c>
      <c r="N4172" s="4" t="e">
        <f t="shared" si="856"/>
        <v>#N/A</v>
      </c>
    </row>
    <row r="4173" spans="1:14">
      <c r="A4173">
        <f t="shared" si="857"/>
        <v>0</v>
      </c>
      <c r="B4173">
        <f t="shared" si="858"/>
        <v>0</v>
      </c>
      <c r="C4173">
        <f t="shared" si="859"/>
        <v>0</v>
      </c>
      <c r="D4173">
        <f t="shared" si="860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61"/>
        <v>0</v>
      </c>
      <c r="G4173">
        <f t="shared" si="862"/>
        <v>0</v>
      </c>
      <c r="H4173">
        <f t="shared" si="863"/>
        <v>0</v>
      </c>
      <c r="I4173">
        <f t="shared" si="864"/>
        <v>0</v>
      </c>
      <c r="J4173">
        <f t="shared" si="865"/>
        <v>0</v>
      </c>
      <c r="K4173" s="4" t="e">
        <f t="shared" si="853"/>
        <v>#N/A</v>
      </c>
      <c r="L4173" t="e">
        <f t="shared" si="854"/>
        <v>#N/A</v>
      </c>
      <c r="M4173" s="4" t="e">
        <f t="shared" si="855"/>
        <v>#N/A</v>
      </c>
      <c r="N4173" s="4" t="e">
        <f t="shared" si="856"/>
        <v>#N/A</v>
      </c>
    </row>
    <row r="4174" spans="1:14">
      <c r="A4174">
        <f t="shared" si="857"/>
        <v>0</v>
      </c>
      <c r="B4174">
        <f t="shared" si="858"/>
        <v>0</v>
      </c>
      <c r="C4174">
        <f t="shared" si="859"/>
        <v>0</v>
      </c>
      <c r="D4174">
        <f t="shared" si="860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61"/>
        <v>0</v>
      </c>
      <c r="G4174">
        <f t="shared" si="862"/>
        <v>0</v>
      </c>
      <c r="H4174">
        <f t="shared" si="863"/>
        <v>0</v>
      </c>
      <c r="I4174">
        <f t="shared" si="864"/>
        <v>0</v>
      </c>
      <c r="J4174">
        <f t="shared" si="865"/>
        <v>0</v>
      </c>
      <c r="K4174" s="4" t="e">
        <f t="shared" si="853"/>
        <v>#N/A</v>
      </c>
      <c r="L4174" t="e">
        <f t="shared" si="854"/>
        <v>#N/A</v>
      </c>
      <c r="M4174" s="4" t="e">
        <f t="shared" si="855"/>
        <v>#N/A</v>
      </c>
      <c r="N4174" s="4" t="e">
        <f t="shared" si="856"/>
        <v>#N/A</v>
      </c>
    </row>
    <row r="4175" spans="1:14">
      <c r="A4175">
        <f t="shared" si="857"/>
        <v>0</v>
      </c>
      <c r="B4175">
        <f t="shared" si="858"/>
        <v>0</v>
      </c>
      <c r="C4175">
        <f t="shared" si="859"/>
        <v>0</v>
      </c>
      <c r="D4175">
        <f t="shared" si="860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61"/>
        <v>0</v>
      </c>
      <c r="G4175">
        <f t="shared" si="862"/>
        <v>0</v>
      </c>
      <c r="H4175">
        <f t="shared" si="863"/>
        <v>0</v>
      </c>
      <c r="I4175">
        <f t="shared" si="864"/>
        <v>0</v>
      </c>
      <c r="J4175">
        <f t="shared" si="865"/>
        <v>0</v>
      </c>
      <c r="K4175" s="4" t="e">
        <f t="shared" si="853"/>
        <v>#N/A</v>
      </c>
      <c r="L4175" t="e">
        <f t="shared" si="854"/>
        <v>#N/A</v>
      </c>
      <c r="M4175" s="4" t="e">
        <f t="shared" si="855"/>
        <v>#N/A</v>
      </c>
      <c r="N4175" s="4" t="e">
        <f t="shared" si="856"/>
        <v>#N/A</v>
      </c>
    </row>
    <row r="4176" spans="1:14">
      <c r="A4176">
        <f t="shared" si="857"/>
        <v>0</v>
      </c>
      <c r="B4176">
        <f t="shared" si="858"/>
        <v>0</v>
      </c>
      <c r="C4176">
        <f t="shared" si="859"/>
        <v>0</v>
      </c>
      <c r="D4176">
        <f t="shared" si="860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61"/>
        <v>0</v>
      </c>
      <c r="G4176">
        <f t="shared" si="862"/>
        <v>0</v>
      </c>
      <c r="H4176">
        <f t="shared" si="863"/>
        <v>0</v>
      </c>
      <c r="I4176">
        <f t="shared" si="864"/>
        <v>0</v>
      </c>
      <c r="J4176">
        <f t="shared" si="865"/>
        <v>0</v>
      </c>
      <c r="K4176" s="4" t="e">
        <f t="shared" si="853"/>
        <v>#N/A</v>
      </c>
      <c r="L4176" t="e">
        <f t="shared" si="854"/>
        <v>#N/A</v>
      </c>
      <c r="M4176" s="4" t="e">
        <f t="shared" si="855"/>
        <v>#N/A</v>
      </c>
      <c r="N4176" s="4" t="e">
        <f t="shared" si="856"/>
        <v>#N/A</v>
      </c>
    </row>
    <row r="4177" spans="1:14">
      <c r="A4177">
        <f t="shared" si="857"/>
        <v>0</v>
      </c>
      <c r="B4177">
        <f t="shared" si="858"/>
        <v>0</v>
      </c>
      <c r="C4177">
        <f t="shared" si="859"/>
        <v>0</v>
      </c>
      <c r="D4177">
        <f t="shared" si="860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61"/>
        <v>0</v>
      </c>
      <c r="G4177">
        <f t="shared" si="862"/>
        <v>0</v>
      </c>
      <c r="H4177">
        <f t="shared" si="863"/>
        <v>0</v>
      </c>
      <c r="I4177">
        <f t="shared" si="864"/>
        <v>0</v>
      </c>
      <c r="J4177">
        <f t="shared" si="865"/>
        <v>0</v>
      </c>
      <c r="K4177" s="4" t="e">
        <f t="shared" si="853"/>
        <v>#N/A</v>
      </c>
      <c r="L4177" t="e">
        <f t="shared" si="854"/>
        <v>#N/A</v>
      </c>
      <c r="M4177" s="4" t="e">
        <f t="shared" si="855"/>
        <v>#N/A</v>
      </c>
      <c r="N4177" s="4" t="e">
        <f t="shared" si="856"/>
        <v>#N/A</v>
      </c>
    </row>
    <row r="4178" spans="1:14">
      <c r="A4178">
        <f t="shared" si="857"/>
        <v>0</v>
      </c>
      <c r="B4178">
        <f t="shared" si="858"/>
        <v>0</v>
      </c>
      <c r="C4178">
        <f t="shared" si="859"/>
        <v>0</v>
      </c>
      <c r="D4178">
        <f t="shared" si="860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61"/>
        <v>0</v>
      </c>
      <c r="G4178">
        <f t="shared" si="862"/>
        <v>0</v>
      </c>
      <c r="H4178">
        <f t="shared" si="863"/>
        <v>0</v>
      </c>
      <c r="I4178">
        <f t="shared" si="864"/>
        <v>0</v>
      </c>
      <c r="J4178">
        <f t="shared" si="865"/>
        <v>0</v>
      </c>
      <c r="K4178" s="4" t="e">
        <f t="shared" si="853"/>
        <v>#N/A</v>
      </c>
      <c r="L4178" t="e">
        <f t="shared" si="854"/>
        <v>#N/A</v>
      </c>
      <c r="M4178" s="4" t="e">
        <f t="shared" si="855"/>
        <v>#N/A</v>
      </c>
      <c r="N4178" s="4" t="e">
        <f t="shared" si="856"/>
        <v>#N/A</v>
      </c>
    </row>
    <row r="4179" spans="1:14">
      <c r="A4179">
        <f t="shared" si="857"/>
        <v>0</v>
      </c>
      <c r="B4179">
        <f t="shared" si="858"/>
        <v>0</v>
      </c>
      <c r="C4179">
        <f t="shared" si="859"/>
        <v>0</v>
      </c>
      <c r="D4179">
        <f t="shared" si="860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61"/>
        <v>0</v>
      </c>
      <c r="G4179">
        <f t="shared" si="862"/>
        <v>0</v>
      </c>
      <c r="H4179">
        <f t="shared" si="863"/>
        <v>0</v>
      </c>
      <c r="I4179">
        <f t="shared" si="864"/>
        <v>0</v>
      </c>
      <c r="J4179">
        <f t="shared" si="865"/>
        <v>0</v>
      </c>
      <c r="K4179" s="4" t="e">
        <f t="shared" si="853"/>
        <v>#N/A</v>
      </c>
      <c r="L4179" t="e">
        <f t="shared" si="854"/>
        <v>#N/A</v>
      </c>
      <c r="M4179" s="4" t="e">
        <f t="shared" si="855"/>
        <v>#N/A</v>
      </c>
      <c r="N4179" s="4" t="e">
        <f t="shared" si="856"/>
        <v>#N/A</v>
      </c>
    </row>
    <row r="4180" spans="1:14">
      <c r="A4180">
        <f t="shared" si="857"/>
        <v>0</v>
      </c>
      <c r="B4180">
        <f t="shared" si="858"/>
        <v>0</v>
      </c>
      <c r="C4180">
        <f t="shared" si="859"/>
        <v>0</v>
      </c>
      <c r="D4180">
        <f t="shared" si="860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61"/>
        <v>0</v>
      </c>
      <c r="G4180">
        <f t="shared" si="862"/>
        <v>0</v>
      </c>
      <c r="H4180">
        <f t="shared" si="863"/>
        <v>0</v>
      </c>
      <c r="I4180">
        <f t="shared" si="864"/>
        <v>0</v>
      </c>
      <c r="J4180">
        <f t="shared" si="865"/>
        <v>0</v>
      </c>
      <c r="K4180" s="4" t="e">
        <f t="shared" si="853"/>
        <v>#N/A</v>
      </c>
      <c r="L4180" t="e">
        <f t="shared" si="854"/>
        <v>#N/A</v>
      </c>
      <c r="M4180" s="4" t="e">
        <f t="shared" si="855"/>
        <v>#N/A</v>
      </c>
      <c r="N4180" s="4" t="e">
        <f t="shared" si="856"/>
        <v>#N/A</v>
      </c>
    </row>
    <row r="4181" spans="1:14">
      <c r="A4181">
        <f t="shared" si="857"/>
        <v>0</v>
      </c>
      <c r="B4181">
        <f t="shared" si="858"/>
        <v>0</v>
      </c>
      <c r="C4181">
        <f t="shared" si="859"/>
        <v>0</v>
      </c>
      <c r="D4181">
        <f t="shared" si="860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61"/>
        <v>0</v>
      </c>
      <c r="G4181">
        <f t="shared" si="862"/>
        <v>0</v>
      </c>
      <c r="H4181">
        <f t="shared" si="863"/>
        <v>0</v>
      </c>
      <c r="I4181">
        <f t="shared" si="864"/>
        <v>0</v>
      </c>
      <c r="J4181">
        <f t="shared" si="865"/>
        <v>0</v>
      </c>
      <c r="K4181" s="4" t="e">
        <f t="shared" si="853"/>
        <v>#N/A</v>
      </c>
      <c r="L4181" t="e">
        <f t="shared" si="854"/>
        <v>#N/A</v>
      </c>
      <c r="M4181" s="4" t="e">
        <f t="shared" si="855"/>
        <v>#N/A</v>
      </c>
      <c r="N4181" s="4" t="e">
        <f t="shared" si="856"/>
        <v>#N/A</v>
      </c>
    </row>
    <row r="4182" spans="1:14">
      <c r="A4182">
        <f t="shared" si="857"/>
        <v>0</v>
      </c>
      <c r="B4182">
        <f t="shared" si="858"/>
        <v>0</v>
      </c>
      <c r="C4182">
        <f t="shared" si="859"/>
        <v>0</v>
      </c>
      <c r="D4182">
        <f t="shared" si="860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61"/>
        <v>0</v>
      </c>
      <c r="G4182">
        <f t="shared" si="862"/>
        <v>0</v>
      </c>
      <c r="H4182">
        <f t="shared" si="863"/>
        <v>0</v>
      </c>
      <c r="I4182">
        <f t="shared" si="864"/>
        <v>0</v>
      </c>
      <c r="J4182">
        <f t="shared" si="865"/>
        <v>0</v>
      </c>
      <c r="K4182" s="4" t="e">
        <f t="shared" si="853"/>
        <v>#N/A</v>
      </c>
      <c r="L4182" t="e">
        <f t="shared" si="854"/>
        <v>#N/A</v>
      </c>
      <c r="M4182" s="4" t="e">
        <f t="shared" si="855"/>
        <v>#N/A</v>
      </c>
      <c r="N4182" s="4" t="e">
        <f t="shared" si="856"/>
        <v>#N/A</v>
      </c>
    </row>
    <row r="4183" spans="1:14">
      <c r="A4183">
        <f t="shared" si="857"/>
        <v>0</v>
      </c>
      <c r="B4183">
        <f t="shared" si="858"/>
        <v>0</v>
      </c>
      <c r="C4183">
        <f t="shared" si="859"/>
        <v>0</v>
      </c>
      <c r="D4183">
        <f t="shared" si="860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61"/>
        <v>0</v>
      </c>
      <c r="G4183">
        <f t="shared" si="862"/>
        <v>0</v>
      </c>
      <c r="H4183">
        <f t="shared" si="863"/>
        <v>0</v>
      </c>
      <c r="I4183">
        <f t="shared" si="864"/>
        <v>0</v>
      </c>
      <c r="J4183">
        <f t="shared" si="865"/>
        <v>0</v>
      </c>
      <c r="K4183" s="4" t="e">
        <f t="shared" si="853"/>
        <v>#N/A</v>
      </c>
      <c r="L4183" t="e">
        <f t="shared" si="854"/>
        <v>#N/A</v>
      </c>
      <c r="M4183" s="4" t="e">
        <f t="shared" si="855"/>
        <v>#N/A</v>
      </c>
      <c r="N4183" s="4" t="e">
        <f t="shared" si="856"/>
        <v>#N/A</v>
      </c>
    </row>
    <row r="4184" spans="1:14">
      <c r="A4184">
        <f t="shared" si="857"/>
        <v>0</v>
      </c>
      <c r="B4184">
        <f t="shared" si="858"/>
        <v>0</v>
      </c>
      <c r="C4184">
        <f t="shared" si="859"/>
        <v>0</v>
      </c>
      <c r="D4184">
        <f t="shared" si="860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61"/>
        <v>0</v>
      </c>
      <c r="G4184">
        <f t="shared" si="862"/>
        <v>0</v>
      </c>
      <c r="H4184">
        <f t="shared" si="863"/>
        <v>0</v>
      </c>
      <c r="I4184">
        <f t="shared" si="864"/>
        <v>0</v>
      </c>
      <c r="J4184">
        <f t="shared" si="865"/>
        <v>0</v>
      </c>
      <c r="K4184" s="4" t="e">
        <f t="shared" si="853"/>
        <v>#N/A</v>
      </c>
      <c r="L4184" t="e">
        <f t="shared" si="854"/>
        <v>#N/A</v>
      </c>
      <c r="M4184" s="4" t="e">
        <f t="shared" si="855"/>
        <v>#N/A</v>
      </c>
      <c r="N4184" s="4" t="e">
        <f t="shared" si="856"/>
        <v>#N/A</v>
      </c>
    </row>
    <row r="4185" spans="1:14">
      <c r="A4185">
        <f t="shared" si="857"/>
        <v>0</v>
      </c>
      <c r="B4185">
        <f t="shared" si="858"/>
        <v>0</v>
      </c>
      <c r="C4185">
        <f t="shared" si="859"/>
        <v>0</v>
      </c>
      <c r="D4185">
        <f t="shared" si="860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61"/>
        <v>0</v>
      </c>
      <c r="G4185">
        <f t="shared" si="862"/>
        <v>0</v>
      </c>
      <c r="H4185">
        <f t="shared" si="863"/>
        <v>0</v>
      </c>
      <c r="I4185">
        <f t="shared" si="864"/>
        <v>0</v>
      </c>
      <c r="J4185">
        <f t="shared" si="865"/>
        <v>0</v>
      </c>
      <c r="K4185" s="4" t="e">
        <f t="shared" si="853"/>
        <v>#N/A</v>
      </c>
      <c r="L4185" t="e">
        <f t="shared" si="854"/>
        <v>#N/A</v>
      </c>
      <c r="M4185" s="4" t="e">
        <f t="shared" si="855"/>
        <v>#N/A</v>
      </c>
      <c r="N4185" s="4" t="e">
        <f t="shared" si="856"/>
        <v>#N/A</v>
      </c>
    </row>
    <row r="4186" spans="1:14">
      <c r="A4186">
        <f t="shared" si="857"/>
        <v>0</v>
      </c>
      <c r="B4186">
        <f t="shared" si="858"/>
        <v>0</v>
      </c>
      <c r="C4186">
        <f t="shared" si="859"/>
        <v>0</v>
      </c>
      <c r="D4186">
        <f t="shared" si="860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61"/>
        <v>0</v>
      </c>
      <c r="G4186">
        <f t="shared" si="862"/>
        <v>0</v>
      </c>
      <c r="H4186">
        <f t="shared" si="863"/>
        <v>0</v>
      </c>
      <c r="I4186">
        <f t="shared" si="864"/>
        <v>0</v>
      </c>
      <c r="J4186">
        <f t="shared" si="865"/>
        <v>0</v>
      </c>
      <c r="K4186" s="4" t="e">
        <f t="shared" si="853"/>
        <v>#N/A</v>
      </c>
      <c r="L4186" t="e">
        <f t="shared" si="854"/>
        <v>#N/A</v>
      </c>
      <c r="M4186" s="4" t="e">
        <f t="shared" si="855"/>
        <v>#N/A</v>
      </c>
      <c r="N4186" s="4" t="e">
        <f t="shared" si="856"/>
        <v>#N/A</v>
      </c>
    </row>
    <row r="4187" spans="1:14">
      <c r="A4187">
        <f t="shared" si="857"/>
        <v>0</v>
      </c>
      <c r="B4187">
        <f t="shared" si="858"/>
        <v>0</v>
      </c>
      <c r="C4187">
        <f t="shared" si="859"/>
        <v>0</v>
      </c>
      <c r="D4187">
        <f t="shared" si="860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61"/>
        <v>0</v>
      </c>
      <c r="G4187">
        <f t="shared" si="862"/>
        <v>0</v>
      </c>
      <c r="H4187">
        <f t="shared" si="863"/>
        <v>0</v>
      </c>
      <c r="I4187">
        <f t="shared" si="864"/>
        <v>0</v>
      </c>
      <c r="J4187">
        <f t="shared" si="865"/>
        <v>0</v>
      </c>
      <c r="K4187" s="4" t="e">
        <f t="shared" si="853"/>
        <v>#N/A</v>
      </c>
      <c r="L4187" t="e">
        <f t="shared" si="854"/>
        <v>#N/A</v>
      </c>
      <c r="M4187" s="4" t="e">
        <f t="shared" si="855"/>
        <v>#N/A</v>
      </c>
      <c r="N4187" s="4" t="e">
        <f t="shared" si="856"/>
        <v>#N/A</v>
      </c>
    </row>
    <row r="4188" spans="1:14">
      <c r="A4188">
        <f t="shared" si="857"/>
        <v>0</v>
      </c>
      <c r="B4188">
        <f t="shared" si="858"/>
        <v>0</v>
      </c>
      <c r="C4188">
        <f t="shared" si="859"/>
        <v>0</v>
      </c>
      <c r="D4188">
        <f t="shared" si="860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61"/>
        <v>0</v>
      </c>
      <c r="G4188">
        <f t="shared" si="862"/>
        <v>0</v>
      </c>
      <c r="H4188">
        <f t="shared" si="863"/>
        <v>0</v>
      </c>
      <c r="I4188">
        <f t="shared" si="864"/>
        <v>0</v>
      </c>
      <c r="J4188">
        <f t="shared" si="865"/>
        <v>0</v>
      </c>
      <c r="K4188" s="4" t="e">
        <f t="shared" si="853"/>
        <v>#N/A</v>
      </c>
      <c r="L4188" t="e">
        <f t="shared" si="854"/>
        <v>#N/A</v>
      </c>
      <c r="M4188" s="4" t="e">
        <f t="shared" si="855"/>
        <v>#N/A</v>
      </c>
      <c r="N4188" s="4" t="e">
        <f t="shared" si="856"/>
        <v>#N/A</v>
      </c>
    </row>
    <row r="4189" spans="1:14">
      <c r="A4189">
        <f t="shared" si="857"/>
        <v>0</v>
      </c>
      <c r="B4189">
        <f t="shared" si="858"/>
        <v>0</v>
      </c>
      <c r="C4189">
        <f t="shared" si="859"/>
        <v>0</v>
      </c>
      <c r="D4189">
        <f t="shared" si="860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61"/>
        <v>0</v>
      </c>
      <c r="G4189">
        <f t="shared" si="862"/>
        <v>0</v>
      </c>
      <c r="H4189">
        <f t="shared" si="863"/>
        <v>0</v>
      </c>
      <c r="I4189">
        <f t="shared" si="864"/>
        <v>0</v>
      </c>
      <c r="J4189">
        <f t="shared" si="865"/>
        <v>0</v>
      </c>
      <c r="K4189" s="4" t="e">
        <f t="shared" si="853"/>
        <v>#N/A</v>
      </c>
      <c r="L4189" t="e">
        <f t="shared" si="854"/>
        <v>#N/A</v>
      </c>
      <c r="M4189" s="4" t="e">
        <f t="shared" si="855"/>
        <v>#N/A</v>
      </c>
      <c r="N4189" s="4" t="e">
        <f t="shared" si="856"/>
        <v>#N/A</v>
      </c>
    </row>
    <row r="4190" spans="1:14">
      <c r="A4190">
        <f t="shared" si="857"/>
        <v>0</v>
      </c>
      <c r="B4190">
        <f t="shared" si="858"/>
        <v>0</v>
      </c>
      <c r="C4190">
        <f t="shared" si="859"/>
        <v>0</v>
      </c>
      <c r="D4190">
        <f t="shared" si="860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61"/>
        <v>0</v>
      </c>
      <c r="G4190">
        <f t="shared" si="862"/>
        <v>0</v>
      </c>
      <c r="H4190">
        <f t="shared" si="863"/>
        <v>0</v>
      </c>
      <c r="I4190">
        <f t="shared" si="864"/>
        <v>0</v>
      </c>
      <c r="J4190">
        <f t="shared" si="865"/>
        <v>0</v>
      </c>
      <c r="K4190" s="4" t="e">
        <f t="shared" si="853"/>
        <v>#N/A</v>
      </c>
      <c r="L4190" t="e">
        <f t="shared" si="854"/>
        <v>#N/A</v>
      </c>
      <c r="M4190" s="4" t="e">
        <f t="shared" si="855"/>
        <v>#N/A</v>
      </c>
      <c r="N4190" s="4" t="e">
        <f t="shared" si="856"/>
        <v>#N/A</v>
      </c>
    </row>
    <row r="4191" spans="1:14">
      <c r="A4191">
        <f t="shared" si="857"/>
        <v>0</v>
      </c>
      <c r="B4191">
        <f t="shared" si="858"/>
        <v>0</v>
      </c>
      <c r="C4191">
        <f t="shared" si="859"/>
        <v>0</v>
      </c>
      <c r="D4191">
        <f t="shared" si="860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61"/>
        <v>0</v>
      </c>
      <c r="G4191">
        <f t="shared" si="862"/>
        <v>0</v>
      </c>
      <c r="H4191">
        <f t="shared" si="863"/>
        <v>0</v>
      </c>
      <c r="I4191">
        <f t="shared" si="864"/>
        <v>0</v>
      </c>
      <c r="J4191">
        <f t="shared" si="865"/>
        <v>0</v>
      </c>
      <c r="K4191" s="4" t="e">
        <f t="shared" si="853"/>
        <v>#N/A</v>
      </c>
      <c r="L4191" t="e">
        <f t="shared" si="854"/>
        <v>#N/A</v>
      </c>
      <c r="M4191" s="4" t="e">
        <f t="shared" si="855"/>
        <v>#N/A</v>
      </c>
      <c r="N4191" s="4" t="e">
        <f t="shared" si="856"/>
        <v>#N/A</v>
      </c>
    </row>
    <row r="4192" spans="1:14">
      <c r="A4192">
        <f t="shared" si="857"/>
        <v>0</v>
      </c>
      <c r="B4192">
        <f t="shared" si="858"/>
        <v>0</v>
      </c>
      <c r="C4192">
        <f t="shared" si="859"/>
        <v>0</v>
      </c>
      <c r="D4192">
        <f t="shared" si="860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61"/>
        <v>0</v>
      </c>
      <c r="G4192">
        <f t="shared" si="862"/>
        <v>0</v>
      </c>
      <c r="H4192">
        <f t="shared" si="863"/>
        <v>0</v>
      </c>
      <c r="I4192">
        <f t="shared" si="864"/>
        <v>0</v>
      </c>
      <c r="J4192">
        <f t="shared" si="865"/>
        <v>0</v>
      </c>
      <c r="K4192" s="4" t="e">
        <f t="shared" si="853"/>
        <v>#N/A</v>
      </c>
      <c r="L4192" t="e">
        <f t="shared" si="854"/>
        <v>#N/A</v>
      </c>
      <c r="M4192" s="4" t="e">
        <f t="shared" si="855"/>
        <v>#N/A</v>
      </c>
      <c r="N4192" s="4" t="e">
        <f t="shared" si="856"/>
        <v>#N/A</v>
      </c>
    </row>
    <row r="4193" spans="1:14">
      <c r="A4193">
        <f t="shared" si="857"/>
        <v>0</v>
      </c>
      <c r="B4193">
        <f t="shared" si="858"/>
        <v>0</v>
      </c>
      <c r="C4193">
        <f t="shared" si="859"/>
        <v>0</v>
      </c>
      <c r="D4193">
        <f t="shared" si="860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61"/>
        <v>0</v>
      </c>
      <c r="G4193">
        <f t="shared" si="862"/>
        <v>0</v>
      </c>
      <c r="H4193">
        <f t="shared" si="863"/>
        <v>0</v>
      </c>
      <c r="I4193">
        <f t="shared" si="864"/>
        <v>0</v>
      </c>
      <c r="J4193">
        <f t="shared" si="865"/>
        <v>0</v>
      </c>
      <c r="K4193" s="4" t="e">
        <f t="shared" si="853"/>
        <v>#N/A</v>
      </c>
      <c r="L4193" t="e">
        <f t="shared" si="854"/>
        <v>#N/A</v>
      </c>
      <c r="M4193" s="4" t="e">
        <f t="shared" si="855"/>
        <v>#N/A</v>
      </c>
      <c r="N4193" s="4" t="e">
        <f t="shared" si="856"/>
        <v>#N/A</v>
      </c>
    </row>
    <row r="4194" spans="1:14">
      <c r="A4194">
        <f t="shared" si="857"/>
        <v>0</v>
      </c>
      <c r="B4194">
        <f t="shared" si="858"/>
        <v>0</v>
      </c>
      <c r="C4194">
        <f t="shared" si="859"/>
        <v>0</v>
      </c>
      <c r="D4194">
        <f t="shared" si="860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61"/>
        <v>0</v>
      </c>
      <c r="G4194">
        <f t="shared" si="862"/>
        <v>0</v>
      </c>
      <c r="H4194">
        <f t="shared" si="863"/>
        <v>0</v>
      </c>
      <c r="I4194">
        <f t="shared" si="864"/>
        <v>0</v>
      </c>
      <c r="J4194">
        <f t="shared" si="865"/>
        <v>0</v>
      </c>
      <c r="K4194" s="4" t="e">
        <f t="shared" si="853"/>
        <v>#N/A</v>
      </c>
      <c r="L4194" t="e">
        <f t="shared" si="854"/>
        <v>#N/A</v>
      </c>
      <c r="M4194" s="4" t="e">
        <f t="shared" si="855"/>
        <v>#N/A</v>
      </c>
      <c r="N4194" s="4" t="e">
        <f t="shared" si="856"/>
        <v>#N/A</v>
      </c>
    </row>
    <row r="4195" spans="1:14">
      <c r="A4195">
        <f t="shared" si="857"/>
        <v>0</v>
      </c>
      <c r="B4195">
        <f t="shared" si="858"/>
        <v>0</v>
      </c>
      <c r="C4195">
        <f t="shared" si="859"/>
        <v>0</v>
      </c>
      <c r="D4195">
        <f t="shared" si="860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61"/>
        <v>0</v>
      </c>
      <c r="G4195">
        <f t="shared" si="862"/>
        <v>0</v>
      </c>
      <c r="H4195">
        <f t="shared" si="863"/>
        <v>0</v>
      </c>
      <c r="I4195">
        <f t="shared" si="864"/>
        <v>0</v>
      </c>
      <c r="J4195">
        <f t="shared" si="865"/>
        <v>0</v>
      </c>
      <c r="K4195" s="4" t="e">
        <f t="shared" si="853"/>
        <v>#N/A</v>
      </c>
      <c r="L4195" t="e">
        <f t="shared" si="854"/>
        <v>#N/A</v>
      </c>
      <c r="M4195" s="4" t="e">
        <f t="shared" si="855"/>
        <v>#N/A</v>
      </c>
      <c r="N4195" s="4" t="e">
        <f t="shared" si="856"/>
        <v>#N/A</v>
      </c>
    </row>
    <row r="4196" spans="1:14">
      <c r="A4196">
        <f t="shared" si="857"/>
        <v>0</v>
      </c>
      <c r="B4196">
        <f t="shared" si="858"/>
        <v>0</v>
      </c>
      <c r="C4196">
        <f t="shared" si="859"/>
        <v>0</v>
      </c>
      <c r="D4196">
        <f t="shared" si="860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61"/>
        <v>0</v>
      </c>
      <c r="G4196">
        <f t="shared" si="862"/>
        <v>0</v>
      </c>
      <c r="H4196">
        <f t="shared" si="863"/>
        <v>0</v>
      </c>
      <c r="I4196">
        <f t="shared" si="864"/>
        <v>0</v>
      </c>
      <c r="J4196">
        <f t="shared" si="865"/>
        <v>0</v>
      </c>
      <c r="K4196" s="4" t="e">
        <f t="shared" si="853"/>
        <v>#N/A</v>
      </c>
      <c r="L4196" t="e">
        <f t="shared" si="854"/>
        <v>#N/A</v>
      </c>
      <c r="M4196" s="4" t="e">
        <f t="shared" si="855"/>
        <v>#N/A</v>
      </c>
      <c r="N4196" s="4" t="e">
        <f t="shared" si="856"/>
        <v>#N/A</v>
      </c>
    </row>
    <row r="4197" spans="1:14">
      <c r="A4197">
        <f t="shared" si="857"/>
        <v>0</v>
      </c>
      <c r="B4197">
        <f t="shared" si="858"/>
        <v>0</v>
      </c>
      <c r="C4197">
        <f t="shared" si="859"/>
        <v>0</v>
      </c>
      <c r="D4197">
        <f t="shared" si="860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61"/>
        <v>0</v>
      </c>
      <c r="G4197">
        <f t="shared" si="862"/>
        <v>0</v>
      </c>
      <c r="H4197">
        <f t="shared" si="863"/>
        <v>0</v>
      </c>
      <c r="I4197">
        <f t="shared" si="864"/>
        <v>0</v>
      </c>
      <c r="J4197">
        <f t="shared" si="865"/>
        <v>0</v>
      </c>
      <c r="K4197" s="4" t="e">
        <f t="shared" si="853"/>
        <v>#N/A</v>
      </c>
      <c r="L4197" t="e">
        <f t="shared" si="854"/>
        <v>#N/A</v>
      </c>
      <c r="M4197" s="4" t="e">
        <f t="shared" si="855"/>
        <v>#N/A</v>
      </c>
      <c r="N4197" s="4" t="e">
        <f t="shared" si="856"/>
        <v>#N/A</v>
      </c>
    </row>
    <row r="4198" spans="1:14">
      <c r="A4198">
        <f t="shared" si="857"/>
        <v>0</v>
      </c>
      <c r="B4198">
        <f t="shared" si="858"/>
        <v>0</v>
      </c>
      <c r="C4198">
        <f t="shared" si="859"/>
        <v>0</v>
      </c>
      <c r="D4198">
        <f t="shared" si="860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61"/>
        <v>0</v>
      </c>
      <c r="G4198">
        <f t="shared" si="862"/>
        <v>0</v>
      </c>
      <c r="H4198">
        <f t="shared" si="863"/>
        <v>0</v>
      </c>
      <c r="I4198">
        <f t="shared" si="864"/>
        <v>0</v>
      </c>
      <c r="J4198">
        <f t="shared" si="865"/>
        <v>0</v>
      </c>
      <c r="K4198" s="4" t="e">
        <f t="shared" si="853"/>
        <v>#N/A</v>
      </c>
      <c r="L4198" t="e">
        <f t="shared" si="854"/>
        <v>#N/A</v>
      </c>
      <c r="M4198" s="4" t="e">
        <f t="shared" si="855"/>
        <v>#N/A</v>
      </c>
      <c r="N4198" s="4" t="e">
        <f t="shared" si="856"/>
        <v>#N/A</v>
      </c>
    </row>
    <row r="4199" spans="1:14">
      <c r="A4199">
        <f t="shared" si="857"/>
        <v>0</v>
      </c>
      <c r="B4199">
        <f t="shared" si="858"/>
        <v>0</v>
      </c>
      <c r="C4199">
        <f t="shared" si="859"/>
        <v>0</v>
      </c>
      <c r="D4199">
        <f t="shared" si="860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61"/>
        <v>0</v>
      </c>
      <c r="G4199">
        <f t="shared" si="862"/>
        <v>0</v>
      </c>
      <c r="H4199">
        <f t="shared" si="863"/>
        <v>0</v>
      </c>
      <c r="I4199">
        <f t="shared" si="864"/>
        <v>0</v>
      </c>
      <c r="J4199">
        <f t="shared" si="865"/>
        <v>0</v>
      </c>
      <c r="K4199" s="4" t="e">
        <f t="shared" si="853"/>
        <v>#N/A</v>
      </c>
      <c r="L4199" t="e">
        <f t="shared" si="854"/>
        <v>#N/A</v>
      </c>
      <c r="M4199" s="4" t="e">
        <f t="shared" si="855"/>
        <v>#N/A</v>
      </c>
      <c r="N4199" s="4" t="e">
        <f t="shared" si="856"/>
        <v>#N/A</v>
      </c>
    </row>
    <row r="4200" spans="1:14">
      <c r="A4200">
        <f t="shared" si="857"/>
        <v>0</v>
      </c>
      <c r="B4200">
        <f t="shared" si="858"/>
        <v>0</v>
      </c>
      <c r="C4200">
        <f t="shared" si="859"/>
        <v>0</v>
      </c>
      <c r="D4200">
        <f t="shared" si="860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61"/>
        <v>0</v>
      </c>
      <c r="G4200">
        <f t="shared" si="862"/>
        <v>0</v>
      </c>
      <c r="H4200">
        <f t="shared" si="863"/>
        <v>0</v>
      </c>
      <c r="I4200">
        <f t="shared" si="864"/>
        <v>0</v>
      </c>
      <c r="J4200">
        <f t="shared" si="865"/>
        <v>0</v>
      </c>
      <c r="K4200" s="4" t="e">
        <f t="shared" si="853"/>
        <v>#N/A</v>
      </c>
      <c r="L4200" t="e">
        <f t="shared" si="854"/>
        <v>#N/A</v>
      </c>
      <c r="M4200" s="4" t="e">
        <f t="shared" si="855"/>
        <v>#N/A</v>
      </c>
      <c r="N4200" s="4" t="e">
        <f t="shared" si="856"/>
        <v>#N/A</v>
      </c>
    </row>
    <row r="4201" spans="1:14">
      <c r="A4201">
        <f t="shared" si="857"/>
        <v>0</v>
      </c>
      <c r="B4201">
        <f t="shared" si="858"/>
        <v>0</v>
      </c>
      <c r="C4201">
        <f t="shared" si="859"/>
        <v>0</v>
      </c>
      <c r="D4201">
        <f t="shared" si="860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61"/>
        <v>0</v>
      </c>
      <c r="G4201">
        <f t="shared" si="862"/>
        <v>0</v>
      </c>
      <c r="H4201">
        <f t="shared" si="863"/>
        <v>0</v>
      </c>
      <c r="I4201">
        <f t="shared" si="864"/>
        <v>0</v>
      </c>
      <c r="J4201">
        <f t="shared" si="865"/>
        <v>0</v>
      </c>
      <c r="K4201" s="4" t="e">
        <f t="shared" si="853"/>
        <v>#N/A</v>
      </c>
      <c r="L4201" t="e">
        <f t="shared" si="854"/>
        <v>#N/A</v>
      </c>
      <c r="M4201" s="4" t="e">
        <f t="shared" si="855"/>
        <v>#N/A</v>
      </c>
      <c r="N4201" s="4" t="e">
        <f t="shared" si="856"/>
        <v>#N/A</v>
      </c>
    </row>
    <row r="4202" spans="1:14">
      <c r="A4202">
        <f t="shared" si="857"/>
        <v>0</v>
      </c>
      <c r="B4202">
        <f t="shared" si="858"/>
        <v>0</v>
      </c>
      <c r="C4202">
        <f t="shared" si="859"/>
        <v>0</v>
      </c>
      <c r="D4202">
        <f t="shared" si="860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61"/>
        <v>0</v>
      </c>
      <c r="G4202">
        <f t="shared" si="862"/>
        <v>0</v>
      </c>
      <c r="H4202">
        <f t="shared" si="863"/>
        <v>0</v>
      </c>
      <c r="I4202">
        <f t="shared" si="864"/>
        <v>0</v>
      </c>
      <c r="J4202">
        <f t="shared" si="865"/>
        <v>0</v>
      </c>
      <c r="K4202" s="4" t="e">
        <f t="shared" si="853"/>
        <v>#N/A</v>
      </c>
      <c r="L4202" t="e">
        <f t="shared" si="854"/>
        <v>#N/A</v>
      </c>
      <c r="M4202" s="4" t="e">
        <f t="shared" si="855"/>
        <v>#N/A</v>
      </c>
      <c r="N4202" s="4" t="e">
        <f t="shared" si="856"/>
        <v>#N/A</v>
      </c>
    </row>
    <row r="4203" spans="1:14">
      <c r="A4203">
        <f t="shared" si="857"/>
        <v>0</v>
      </c>
      <c r="B4203">
        <f t="shared" si="858"/>
        <v>0</v>
      </c>
      <c r="C4203">
        <f t="shared" si="859"/>
        <v>0</v>
      </c>
      <c r="D4203">
        <f t="shared" si="860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61"/>
        <v>0</v>
      </c>
      <c r="G4203">
        <f t="shared" si="862"/>
        <v>0</v>
      </c>
      <c r="H4203">
        <f t="shared" si="863"/>
        <v>0</v>
      </c>
      <c r="I4203">
        <f t="shared" si="864"/>
        <v>0</v>
      </c>
      <c r="J4203">
        <f t="shared" si="865"/>
        <v>0</v>
      </c>
      <c r="K4203" s="4" t="e">
        <f t="shared" si="853"/>
        <v>#N/A</v>
      </c>
      <c r="L4203" t="e">
        <f t="shared" si="854"/>
        <v>#N/A</v>
      </c>
      <c r="M4203" s="4" t="e">
        <f t="shared" si="855"/>
        <v>#N/A</v>
      </c>
      <c r="N4203" s="4" t="e">
        <f t="shared" si="856"/>
        <v>#N/A</v>
      </c>
    </row>
    <row r="4204" spans="1:14">
      <c r="A4204">
        <f t="shared" si="857"/>
        <v>0</v>
      </c>
      <c r="B4204">
        <f t="shared" si="858"/>
        <v>0</v>
      </c>
      <c r="C4204">
        <f t="shared" si="859"/>
        <v>0</v>
      </c>
      <c r="D4204">
        <f t="shared" si="860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61"/>
        <v>0</v>
      </c>
      <c r="G4204">
        <f t="shared" si="862"/>
        <v>0</v>
      </c>
      <c r="H4204">
        <f t="shared" si="863"/>
        <v>0</v>
      </c>
      <c r="I4204">
        <f t="shared" si="864"/>
        <v>0</v>
      </c>
      <c r="J4204">
        <f t="shared" si="865"/>
        <v>0</v>
      </c>
      <c r="K4204" s="4" t="e">
        <f t="shared" si="853"/>
        <v>#N/A</v>
      </c>
      <c r="L4204" t="e">
        <f t="shared" si="854"/>
        <v>#N/A</v>
      </c>
      <c r="M4204" s="4" t="e">
        <f t="shared" si="855"/>
        <v>#N/A</v>
      </c>
      <c r="N4204" s="4" t="e">
        <f t="shared" si="856"/>
        <v>#N/A</v>
      </c>
    </row>
    <row r="4205" spans="1:14">
      <c r="A4205">
        <f t="shared" si="857"/>
        <v>0</v>
      </c>
      <c r="B4205">
        <f t="shared" si="858"/>
        <v>0</v>
      </c>
      <c r="C4205">
        <f t="shared" si="859"/>
        <v>0</v>
      </c>
      <c r="D4205">
        <f t="shared" si="860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61"/>
        <v>0</v>
      </c>
      <c r="G4205">
        <f t="shared" si="862"/>
        <v>0</v>
      </c>
      <c r="H4205">
        <f t="shared" si="863"/>
        <v>0</v>
      </c>
      <c r="I4205">
        <f t="shared" si="864"/>
        <v>0</v>
      </c>
      <c r="J4205">
        <f t="shared" si="865"/>
        <v>0</v>
      </c>
      <c r="K4205" s="4" t="e">
        <f t="shared" si="853"/>
        <v>#N/A</v>
      </c>
      <c r="L4205" t="e">
        <f t="shared" si="854"/>
        <v>#N/A</v>
      </c>
      <c r="M4205" s="4" t="e">
        <f t="shared" si="855"/>
        <v>#N/A</v>
      </c>
      <c r="N4205" s="4" t="e">
        <f t="shared" si="856"/>
        <v>#N/A</v>
      </c>
    </row>
    <row r="4206" spans="1:14">
      <c r="A4206">
        <f t="shared" si="857"/>
        <v>0</v>
      </c>
      <c r="B4206">
        <f t="shared" si="858"/>
        <v>0</v>
      </c>
      <c r="C4206">
        <f t="shared" si="859"/>
        <v>0</v>
      </c>
      <c r="D4206">
        <f t="shared" si="860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61"/>
        <v>0</v>
      </c>
      <c r="G4206">
        <f t="shared" si="862"/>
        <v>0</v>
      </c>
      <c r="H4206">
        <f t="shared" si="863"/>
        <v>0</v>
      </c>
      <c r="I4206">
        <f t="shared" si="864"/>
        <v>0</v>
      </c>
      <c r="J4206">
        <f t="shared" si="865"/>
        <v>0</v>
      </c>
      <c r="K4206" s="4" t="e">
        <f t="shared" si="853"/>
        <v>#N/A</v>
      </c>
      <c r="L4206" t="e">
        <f t="shared" si="854"/>
        <v>#N/A</v>
      </c>
      <c r="M4206" s="4" t="e">
        <f t="shared" si="855"/>
        <v>#N/A</v>
      </c>
      <c r="N4206" s="4" t="e">
        <f t="shared" si="856"/>
        <v>#N/A</v>
      </c>
    </row>
    <row r="4207" spans="1:14">
      <c r="A4207">
        <f t="shared" si="857"/>
        <v>0</v>
      </c>
      <c r="B4207">
        <f t="shared" si="858"/>
        <v>0</v>
      </c>
      <c r="C4207">
        <f t="shared" si="859"/>
        <v>0</v>
      </c>
      <c r="D4207">
        <f t="shared" si="860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61"/>
        <v>0</v>
      </c>
      <c r="G4207">
        <f t="shared" si="862"/>
        <v>0</v>
      </c>
      <c r="H4207">
        <f t="shared" si="863"/>
        <v>0</v>
      </c>
      <c r="I4207">
        <f t="shared" si="864"/>
        <v>0</v>
      </c>
      <c r="J4207">
        <f t="shared" si="865"/>
        <v>0</v>
      </c>
      <c r="K4207" s="4" t="e">
        <f t="shared" si="853"/>
        <v>#N/A</v>
      </c>
      <c r="L4207" t="e">
        <f t="shared" si="854"/>
        <v>#N/A</v>
      </c>
      <c r="M4207" s="4" t="e">
        <f t="shared" si="855"/>
        <v>#N/A</v>
      </c>
      <c r="N4207" s="4" t="e">
        <f t="shared" si="856"/>
        <v>#N/A</v>
      </c>
    </row>
    <row r="4208" spans="1:14">
      <c r="A4208">
        <f t="shared" si="857"/>
        <v>0</v>
      </c>
      <c r="B4208">
        <f t="shared" si="858"/>
        <v>0</v>
      </c>
      <c r="C4208">
        <f t="shared" si="859"/>
        <v>0</v>
      </c>
      <c r="D4208">
        <f t="shared" si="860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61"/>
        <v>0</v>
      </c>
      <c r="G4208">
        <f t="shared" si="862"/>
        <v>0</v>
      </c>
      <c r="H4208">
        <f t="shared" si="863"/>
        <v>0</v>
      </c>
      <c r="I4208">
        <f t="shared" si="864"/>
        <v>0</v>
      </c>
      <c r="J4208">
        <f t="shared" si="865"/>
        <v>0</v>
      </c>
      <c r="K4208" s="4" t="e">
        <f t="shared" si="853"/>
        <v>#N/A</v>
      </c>
      <c r="L4208" t="e">
        <f t="shared" si="854"/>
        <v>#N/A</v>
      </c>
      <c r="M4208" s="4" t="e">
        <f t="shared" si="855"/>
        <v>#N/A</v>
      </c>
      <c r="N4208" s="4" t="e">
        <f t="shared" si="856"/>
        <v>#N/A</v>
      </c>
    </row>
    <row r="4209" spans="1:14">
      <c r="A4209">
        <f t="shared" si="857"/>
        <v>0</v>
      </c>
      <c r="B4209">
        <f t="shared" si="858"/>
        <v>0</v>
      </c>
      <c r="C4209">
        <f t="shared" si="859"/>
        <v>0</v>
      </c>
      <c r="D4209">
        <f t="shared" si="860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61"/>
        <v>0</v>
      </c>
      <c r="G4209">
        <f t="shared" si="862"/>
        <v>0</v>
      </c>
      <c r="H4209">
        <f t="shared" si="863"/>
        <v>0</v>
      </c>
      <c r="I4209">
        <f t="shared" si="864"/>
        <v>0</v>
      </c>
      <c r="J4209">
        <f t="shared" si="865"/>
        <v>0</v>
      </c>
      <c r="K4209" s="4" t="e">
        <f t="shared" si="853"/>
        <v>#N/A</v>
      </c>
      <c r="L4209" t="e">
        <f t="shared" si="854"/>
        <v>#N/A</v>
      </c>
      <c r="M4209" s="4" t="e">
        <f t="shared" si="855"/>
        <v>#N/A</v>
      </c>
      <c r="N4209" s="4" t="e">
        <f t="shared" si="856"/>
        <v>#N/A</v>
      </c>
    </row>
    <row r="4210" spans="1:14">
      <c r="A4210">
        <f t="shared" si="857"/>
        <v>0</v>
      </c>
      <c r="B4210">
        <f t="shared" si="858"/>
        <v>0</v>
      </c>
      <c r="C4210">
        <f t="shared" si="859"/>
        <v>0</v>
      </c>
      <c r="D4210">
        <f t="shared" si="860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61"/>
        <v>0</v>
      </c>
      <c r="G4210">
        <f t="shared" si="862"/>
        <v>0</v>
      </c>
      <c r="H4210">
        <f t="shared" si="863"/>
        <v>0</v>
      </c>
      <c r="I4210">
        <f t="shared" si="864"/>
        <v>0</v>
      </c>
      <c r="J4210">
        <f t="shared" si="865"/>
        <v>0</v>
      </c>
      <c r="K4210" s="4" t="e">
        <f t="shared" si="853"/>
        <v>#N/A</v>
      </c>
      <c r="L4210" t="e">
        <f t="shared" si="854"/>
        <v>#N/A</v>
      </c>
      <c r="M4210" s="4" t="e">
        <f t="shared" si="855"/>
        <v>#N/A</v>
      </c>
      <c r="N4210" s="4" t="e">
        <f t="shared" si="856"/>
        <v>#N/A</v>
      </c>
    </row>
    <row r="4211" spans="1:14">
      <c r="A4211">
        <f t="shared" si="857"/>
        <v>0</v>
      </c>
      <c r="B4211">
        <f t="shared" si="858"/>
        <v>0</v>
      </c>
      <c r="C4211">
        <f t="shared" si="859"/>
        <v>0</v>
      </c>
      <c r="D4211">
        <f t="shared" si="860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61"/>
        <v>0</v>
      </c>
      <c r="G4211">
        <f t="shared" si="862"/>
        <v>0</v>
      </c>
      <c r="H4211">
        <f t="shared" si="863"/>
        <v>0</v>
      </c>
      <c r="I4211">
        <f t="shared" si="864"/>
        <v>0</v>
      </c>
      <c r="J4211">
        <f t="shared" si="865"/>
        <v>0</v>
      </c>
      <c r="K4211" s="4" t="e">
        <f t="shared" si="853"/>
        <v>#N/A</v>
      </c>
      <c r="L4211" t="e">
        <f t="shared" si="854"/>
        <v>#N/A</v>
      </c>
      <c r="M4211" s="4" t="e">
        <f t="shared" si="855"/>
        <v>#N/A</v>
      </c>
      <c r="N4211" s="4" t="e">
        <f t="shared" si="856"/>
        <v>#N/A</v>
      </c>
    </row>
    <row r="4212" spans="1:14">
      <c r="A4212">
        <f t="shared" si="857"/>
        <v>0</v>
      </c>
      <c r="B4212">
        <f t="shared" si="858"/>
        <v>0</v>
      </c>
      <c r="C4212">
        <f t="shared" si="859"/>
        <v>0</v>
      </c>
      <c r="D4212">
        <f t="shared" si="860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61"/>
        <v>0</v>
      </c>
      <c r="G4212">
        <f t="shared" si="862"/>
        <v>0</v>
      </c>
      <c r="H4212">
        <f t="shared" si="863"/>
        <v>0</v>
      </c>
      <c r="I4212">
        <f t="shared" si="864"/>
        <v>0</v>
      </c>
      <c r="J4212">
        <f t="shared" si="865"/>
        <v>0</v>
      </c>
      <c r="K4212" s="4" t="e">
        <f t="shared" si="853"/>
        <v>#N/A</v>
      </c>
      <c r="L4212" t="e">
        <f t="shared" si="854"/>
        <v>#N/A</v>
      </c>
      <c r="M4212" s="4" t="e">
        <f t="shared" si="855"/>
        <v>#N/A</v>
      </c>
      <c r="N4212" s="4" t="e">
        <f t="shared" si="856"/>
        <v>#N/A</v>
      </c>
    </row>
    <row r="4213" spans="1:14">
      <c r="A4213">
        <f t="shared" si="857"/>
        <v>0</v>
      </c>
      <c r="B4213">
        <f t="shared" si="858"/>
        <v>0</v>
      </c>
      <c r="C4213">
        <f t="shared" si="859"/>
        <v>0</v>
      </c>
      <c r="D4213">
        <f t="shared" si="860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61"/>
        <v>0</v>
      </c>
      <c r="G4213">
        <f t="shared" si="862"/>
        <v>0</v>
      </c>
      <c r="H4213">
        <f t="shared" si="863"/>
        <v>0</v>
      </c>
      <c r="I4213">
        <f t="shared" si="864"/>
        <v>0</v>
      </c>
      <c r="J4213">
        <f t="shared" si="865"/>
        <v>0</v>
      </c>
      <c r="K4213" s="4" t="e">
        <f t="shared" si="853"/>
        <v>#N/A</v>
      </c>
      <c r="L4213" t="e">
        <f t="shared" si="854"/>
        <v>#N/A</v>
      </c>
      <c r="M4213" s="4" t="e">
        <f t="shared" si="855"/>
        <v>#N/A</v>
      </c>
      <c r="N4213" s="4" t="e">
        <f t="shared" si="856"/>
        <v>#N/A</v>
      </c>
    </row>
    <row r="4214" spans="1:14">
      <c r="A4214">
        <f t="shared" si="857"/>
        <v>0</v>
      </c>
      <c r="B4214">
        <f t="shared" si="858"/>
        <v>0</v>
      </c>
      <c r="C4214">
        <f t="shared" si="859"/>
        <v>0</v>
      </c>
      <c r="D4214">
        <f t="shared" si="860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61"/>
        <v>0</v>
      </c>
      <c r="G4214">
        <f t="shared" si="862"/>
        <v>0</v>
      </c>
      <c r="H4214">
        <f t="shared" si="863"/>
        <v>0</v>
      </c>
      <c r="I4214">
        <f t="shared" si="864"/>
        <v>0</v>
      </c>
      <c r="J4214">
        <f t="shared" si="865"/>
        <v>0</v>
      </c>
      <c r="K4214" s="4" t="e">
        <f t="shared" si="853"/>
        <v>#N/A</v>
      </c>
      <c r="L4214" t="e">
        <f t="shared" si="854"/>
        <v>#N/A</v>
      </c>
      <c r="M4214" s="4" t="e">
        <f t="shared" si="855"/>
        <v>#N/A</v>
      </c>
      <c r="N4214" s="4" t="e">
        <f t="shared" si="856"/>
        <v>#N/A</v>
      </c>
    </row>
    <row r="4215" spans="1:14">
      <c r="A4215">
        <f t="shared" si="857"/>
        <v>0</v>
      </c>
      <c r="B4215">
        <f t="shared" si="858"/>
        <v>0</v>
      </c>
      <c r="C4215">
        <f t="shared" si="859"/>
        <v>0</v>
      </c>
      <c r="D4215">
        <f t="shared" si="860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61"/>
        <v>0</v>
      </c>
      <c r="G4215">
        <f t="shared" si="862"/>
        <v>0</v>
      </c>
      <c r="H4215">
        <f t="shared" si="863"/>
        <v>0</v>
      </c>
      <c r="I4215">
        <f t="shared" si="864"/>
        <v>0</v>
      </c>
      <c r="J4215">
        <f t="shared" si="865"/>
        <v>0</v>
      </c>
      <c r="K4215" s="4" t="e">
        <f t="shared" si="853"/>
        <v>#N/A</v>
      </c>
      <c r="L4215" t="e">
        <f t="shared" si="854"/>
        <v>#N/A</v>
      </c>
      <c r="M4215" s="4" t="e">
        <f t="shared" si="855"/>
        <v>#N/A</v>
      </c>
      <c r="N4215" s="4" t="e">
        <f t="shared" si="856"/>
        <v>#N/A</v>
      </c>
    </row>
    <row r="4216" spans="1:14">
      <c r="A4216">
        <f t="shared" si="857"/>
        <v>0</v>
      </c>
      <c r="B4216">
        <f t="shared" si="858"/>
        <v>0</v>
      </c>
      <c r="C4216">
        <f t="shared" si="859"/>
        <v>0</v>
      </c>
      <c r="D4216">
        <f t="shared" si="860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61"/>
        <v>0</v>
      </c>
      <c r="G4216">
        <f t="shared" si="862"/>
        <v>0</v>
      </c>
      <c r="H4216">
        <f t="shared" si="863"/>
        <v>0</v>
      </c>
      <c r="I4216">
        <f t="shared" si="864"/>
        <v>0</v>
      </c>
      <c r="J4216">
        <f t="shared" si="865"/>
        <v>0</v>
      </c>
      <c r="K4216" s="4" t="e">
        <f t="shared" si="853"/>
        <v>#N/A</v>
      </c>
      <c r="L4216" t="e">
        <f t="shared" si="854"/>
        <v>#N/A</v>
      </c>
      <c r="M4216" s="4" t="e">
        <f t="shared" si="855"/>
        <v>#N/A</v>
      </c>
      <c r="N4216" s="4" t="e">
        <f t="shared" si="856"/>
        <v>#N/A</v>
      </c>
    </row>
    <row r="4217" spans="1:14">
      <c r="A4217">
        <f t="shared" si="857"/>
        <v>0</v>
      </c>
      <c r="B4217">
        <f t="shared" si="858"/>
        <v>0</v>
      </c>
      <c r="C4217">
        <f t="shared" si="859"/>
        <v>0</v>
      </c>
      <c r="D4217">
        <f t="shared" si="860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61"/>
        <v>0</v>
      </c>
      <c r="G4217">
        <f t="shared" si="862"/>
        <v>0</v>
      </c>
      <c r="H4217">
        <f t="shared" si="863"/>
        <v>0</v>
      </c>
      <c r="I4217">
        <f t="shared" si="864"/>
        <v>0</v>
      </c>
      <c r="J4217">
        <f t="shared" si="865"/>
        <v>0</v>
      </c>
      <c r="K4217" s="4" t="e">
        <f t="shared" si="853"/>
        <v>#N/A</v>
      </c>
      <c r="L4217" t="e">
        <f t="shared" si="854"/>
        <v>#N/A</v>
      </c>
      <c r="M4217" s="4" t="e">
        <f t="shared" si="855"/>
        <v>#N/A</v>
      </c>
      <c r="N4217" s="4" t="e">
        <f t="shared" si="856"/>
        <v>#N/A</v>
      </c>
    </row>
    <row r="4218" spans="1:14">
      <c r="A4218">
        <f t="shared" si="857"/>
        <v>0</v>
      </c>
      <c r="B4218">
        <f t="shared" si="858"/>
        <v>0</v>
      </c>
      <c r="C4218">
        <f t="shared" si="859"/>
        <v>0</v>
      </c>
      <c r="D4218">
        <f t="shared" si="860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61"/>
        <v>0</v>
      </c>
      <c r="G4218">
        <f t="shared" si="862"/>
        <v>0</v>
      </c>
      <c r="H4218">
        <f t="shared" si="863"/>
        <v>0</v>
      </c>
      <c r="I4218">
        <f t="shared" si="864"/>
        <v>0</v>
      </c>
      <c r="J4218">
        <f t="shared" si="865"/>
        <v>0</v>
      </c>
      <c r="K4218" s="4" t="e">
        <f t="shared" si="853"/>
        <v>#N/A</v>
      </c>
      <c r="L4218" t="e">
        <f t="shared" si="854"/>
        <v>#N/A</v>
      </c>
      <c r="M4218" s="4" t="e">
        <f t="shared" si="855"/>
        <v>#N/A</v>
      </c>
      <c r="N4218" s="4" t="e">
        <f t="shared" si="856"/>
        <v>#N/A</v>
      </c>
    </row>
    <row r="4219" spans="1:14">
      <c r="A4219">
        <f t="shared" si="857"/>
        <v>0</v>
      </c>
      <c r="B4219">
        <f t="shared" si="858"/>
        <v>0</v>
      </c>
      <c r="C4219">
        <f t="shared" si="859"/>
        <v>0</v>
      </c>
      <c r="D4219">
        <f t="shared" si="860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61"/>
        <v>0</v>
      </c>
      <c r="G4219">
        <f t="shared" si="862"/>
        <v>0</v>
      </c>
      <c r="H4219">
        <f t="shared" si="863"/>
        <v>0</v>
      </c>
      <c r="I4219">
        <f t="shared" si="864"/>
        <v>0</v>
      </c>
      <c r="J4219">
        <f t="shared" si="865"/>
        <v>0</v>
      </c>
      <c r="K4219" s="4" t="e">
        <f t="shared" si="853"/>
        <v>#N/A</v>
      </c>
      <c r="L4219" t="e">
        <f t="shared" si="854"/>
        <v>#N/A</v>
      </c>
      <c r="M4219" s="4" t="e">
        <f t="shared" si="855"/>
        <v>#N/A</v>
      </c>
      <c r="N4219" s="4" t="e">
        <f t="shared" si="856"/>
        <v>#N/A</v>
      </c>
    </row>
    <row r="4220" spans="1:14">
      <c r="A4220">
        <f t="shared" si="857"/>
        <v>0</v>
      </c>
      <c r="B4220">
        <f t="shared" si="858"/>
        <v>0</v>
      </c>
      <c r="C4220">
        <f t="shared" si="859"/>
        <v>0</v>
      </c>
      <c r="D4220">
        <f t="shared" si="860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61"/>
        <v>0</v>
      </c>
      <c r="G4220">
        <f t="shared" si="862"/>
        <v>0</v>
      </c>
      <c r="H4220">
        <f t="shared" si="863"/>
        <v>0</v>
      </c>
      <c r="I4220">
        <f t="shared" si="864"/>
        <v>0</v>
      </c>
      <c r="J4220">
        <f t="shared" si="865"/>
        <v>0</v>
      </c>
      <c r="K4220" s="4" t="e">
        <f t="shared" si="853"/>
        <v>#N/A</v>
      </c>
      <c r="L4220" t="e">
        <f t="shared" si="854"/>
        <v>#N/A</v>
      </c>
      <c r="M4220" s="4" t="e">
        <f t="shared" si="855"/>
        <v>#N/A</v>
      </c>
      <c r="N4220" s="4" t="e">
        <f t="shared" si="856"/>
        <v>#N/A</v>
      </c>
    </row>
    <row r="4221" spans="1:14">
      <c r="A4221">
        <f t="shared" si="857"/>
        <v>0</v>
      </c>
      <c r="B4221">
        <f t="shared" si="858"/>
        <v>0</v>
      </c>
      <c r="C4221">
        <f t="shared" si="859"/>
        <v>0</v>
      </c>
      <c r="D4221">
        <f t="shared" si="860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61"/>
        <v>0</v>
      </c>
      <c r="G4221">
        <f t="shared" si="862"/>
        <v>0</v>
      </c>
      <c r="H4221">
        <f t="shared" si="863"/>
        <v>0</v>
      </c>
      <c r="I4221">
        <f t="shared" si="864"/>
        <v>0</v>
      </c>
      <c r="J4221">
        <f t="shared" si="865"/>
        <v>0</v>
      </c>
      <c r="K4221" s="4" t="e">
        <f t="shared" ref="K4221:K4284" si="866">IF(LEFT(B4221,3)="DBM",0,VLOOKUP(E4221,tabela,2,FALSE))</f>
        <v>#N/A</v>
      </c>
      <c r="L4221" t="e">
        <f t="shared" ref="L4221:L4284" si="867">VLOOKUP(E4221,tabela,3,FALSE)</f>
        <v>#N/A</v>
      </c>
      <c r="M4221" s="4" t="e">
        <f t="shared" ref="M4221:M4284" si="868">IF(E4221="Dynamic Click",J4221*K4221,K4221*$I4221/1000)</f>
        <v>#N/A</v>
      </c>
      <c r="N4221" s="4" t="e">
        <f t="shared" ref="N4221:N4284" si="869">IF(E4221="Dynamic Click",J4221*L4221,L4221*$I4221/1000)</f>
        <v>#N/A</v>
      </c>
    </row>
    <row r="4222" spans="1:14">
      <c r="A4222">
        <f t="shared" si="857"/>
        <v>0</v>
      </c>
      <c r="B4222">
        <f t="shared" si="858"/>
        <v>0</v>
      </c>
      <c r="C4222">
        <f t="shared" si="859"/>
        <v>0</v>
      </c>
      <c r="D4222">
        <f t="shared" si="860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61"/>
        <v>0</v>
      </c>
      <c r="G4222">
        <f t="shared" si="862"/>
        <v>0</v>
      </c>
      <c r="H4222">
        <f t="shared" si="863"/>
        <v>0</v>
      </c>
      <c r="I4222">
        <f t="shared" si="864"/>
        <v>0</v>
      </c>
      <c r="J4222">
        <f t="shared" si="865"/>
        <v>0</v>
      </c>
      <c r="K4222" s="4" t="e">
        <f t="shared" si="866"/>
        <v>#N/A</v>
      </c>
      <c r="L4222" t="e">
        <f t="shared" si="867"/>
        <v>#N/A</v>
      </c>
      <c r="M4222" s="4" t="e">
        <f t="shared" si="868"/>
        <v>#N/A</v>
      </c>
      <c r="N4222" s="4" t="e">
        <f t="shared" si="869"/>
        <v>#N/A</v>
      </c>
    </row>
    <row r="4223" spans="1:14">
      <c r="A4223">
        <f t="shared" si="857"/>
        <v>0</v>
      </c>
      <c r="B4223">
        <f t="shared" si="858"/>
        <v>0</v>
      </c>
      <c r="C4223">
        <f t="shared" si="859"/>
        <v>0</v>
      </c>
      <c r="D4223">
        <f t="shared" si="860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61"/>
        <v>0</v>
      </c>
      <c r="G4223">
        <f t="shared" si="862"/>
        <v>0</v>
      </c>
      <c r="H4223">
        <f t="shared" si="863"/>
        <v>0</v>
      </c>
      <c r="I4223">
        <f t="shared" si="864"/>
        <v>0</v>
      </c>
      <c r="J4223">
        <f t="shared" si="865"/>
        <v>0</v>
      </c>
      <c r="K4223" s="4" t="e">
        <f t="shared" si="866"/>
        <v>#N/A</v>
      </c>
      <c r="L4223" t="e">
        <f t="shared" si="867"/>
        <v>#N/A</v>
      </c>
      <c r="M4223" s="4" t="e">
        <f t="shared" si="868"/>
        <v>#N/A</v>
      </c>
      <c r="N4223" s="4" t="e">
        <f t="shared" si="869"/>
        <v>#N/A</v>
      </c>
    </row>
    <row r="4224" spans="1:14">
      <c r="A4224">
        <f t="shared" si="857"/>
        <v>0</v>
      </c>
      <c r="B4224">
        <f t="shared" si="858"/>
        <v>0</v>
      </c>
      <c r="C4224">
        <f t="shared" si="859"/>
        <v>0</v>
      </c>
      <c r="D4224">
        <f t="shared" si="860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61"/>
        <v>0</v>
      </c>
      <c r="G4224">
        <f t="shared" si="862"/>
        <v>0</v>
      </c>
      <c r="H4224">
        <f t="shared" si="863"/>
        <v>0</v>
      </c>
      <c r="I4224">
        <f t="shared" si="864"/>
        <v>0</v>
      </c>
      <c r="J4224">
        <f t="shared" si="865"/>
        <v>0</v>
      </c>
      <c r="K4224" s="4" t="e">
        <f t="shared" si="866"/>
        <v>#N/A</v>
      </c>
      <c r="L4224" t="e">
        <f t="shared" si="867"/>
        <v>#N/A</v>
      </c>
      <c r="M4224" s="4" t="e">
        <f t="shared" si="868"/>
        <v>#N/A</v>
      </c>
      <c r="N4224" s="4" t="e">
        <f t="shared" si="869"/>
        <v>#N/A</v>
      </c>
    </row>
    <row r="4225" spans="1:14">
      <c r="A4225">
        <f t="shared" si="857"/>
        <v>0</v>
      </c>
      <c r="B4225">
        <f t="shared" si="858"/>
        <v>0</v>
      </c>
      <c r="C4225">
        <f t="shared" si="859"/>
        <v>0</v>
      </c>
      <c r="D4225">
        <f t="shared" si="860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61"/>
        <v>0</v>
      </c>
      <c r="G4225">
        <f t="shared" si="862"/>
        <v>0</v>
      </c>
      <c r="H4225">
        <f t="shared" si="863"/>
        <v>0</v>
      </c>
      <c r="I4225">
        <f t="shared" si="864"/>
        <v>0</v>
      </c>
      <c r="J4225">
        <f t="shared" si="865"/>
        <v>0</v>
      </c>
      <c r="K4225" s="4" t="e">
        <f t="shared" si="866"/>
        <v>#N/A</v>
      </c>
      <c r="L4225" t="e">
        <f t="shared" si="867"/>
        <v>#N/A</v>
      </c>
      <c r="M4225" s="4" t="e">
        <f t="shared" si="868"/>
        <v>#N/A</v>
      </c>
      <c r="N4225" s="4" t="e">
        <f t="shared" si="869"/>
        <v>#N/A</v>
      </c>
    </row>
    <row r="4226" spans="1:14">
      <c r="A4226">
        <f t="shared" ref="A4226:A4289" si="870">bd_campaign</f>
        <v>0</v>
      </c>
      <c r="B4226">
        <f t="shared" ref="B4226:B4289" si="871">bd_site</f>
        <v>0</v>
      </c>
      <c r="C4226">
        <f t="shared" ref="C4226:C4289" si="872">bd_placement</f>
        <v>0</v>
      </c>
      <c r="D4226">
        <f t="shared" ref="D4226:D4289" si="873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4">bd_ad</f>
        <v>0</v>
      </c>
      <c r="G4226">
        <f t="shared" ref="G4226:G4289" si="875">bd_adid</f>
        <v>0</v>
      </c>
      <c r="H4226">
        <f t="shared" ref="H4226:H4289" si="876">bd_creativetype</f>
        <v>0</v>
      </c>
      <c r="I4226">
        <f t="shared" ref="I4226:I4289" si="877">bd_impression</f>
        <v>0</v>
      </c>
      <c r="J4226">
        <f t="shared" ref="J4226:J4289" si="878">bd_clicks</f>
        <v>0</v>
      </c>
      <c r="K4226" s="4" t="e">
        <f t="shared" si="866"/>
        <v>#N/A</v>
      </c>
      <c r="L4226" t="e">
        <f t="shared" si="867"/>
        <v>#N/A</v>
      </c>
      <c r="M4226" s="4" t="e">
        <f t="shared" si="868"/>
        <v>#N/A</v>
      </c>
      <c r="N4226" s="4" t="e">
        <f t="shared" si="869"/>
        <v>#N/A</v>
      </c>
    </row>
    <row r="4227" spans="1:14">
      <c r="A4227">
        <f t="shared" si="870"/>
        <v>0</v>
      </c>
      <c r="B4227">
        <f t="shared" si="871"/>
        <v>0</v>
      </c>
      <c r="C4227">
        <f t="shared" si="872"/>
        <v>0</v>
      </c>
      <c r="D4227">
        <f t="shared" si="873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4"/>
        <v>0</v>
      </c>
      <c r="G4227">
        <f t="shared" si="875"/>
        <v>0</v>
      </c>
      <c r="H4227">
        <f t="shared" si="876"/>
        <v>0</v>
      </c>
      <c r="I4227">
        <f t="shared" si="877"/>
        <v>0</v>
      </c>
      <c r="J4227">
        <f t="shared" si="878"/>
        <v>0</v>
      </c>
      <c r="K4227" s="4" t="e">
        <f t="shared" si="866"/>
        <v>#N/A</v>
      </c>
      <c r="L4227" t="e">
        <f t="shared" si="867"/>
        <v>#N/A</v>
      </c>
      <c r="M4227" s="4" t="e">
        <f t="shared" si="868"/>
        <v>#N/A</v>
      </c>
      <c r="N4227" s="4" t="e">
        <f t="shared" si="869"/>
        <v>#N/A</v>
      </c>
    </row>
    <row r="4228" spans="1:14">
      <c r="A4228">
        <f t="shared" si="870"/>
        <v>0</v>
      </c>
      <c r="B4228">
        <f t="shared" si="871"/>
        <v>0</v>
      </c>
      <c r="C4228">
        <f t="shared" si="872"/>
        <v>0</v>
      </c>
      <c r="D4228">
        <f t="shared" si="873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4"/>
        <v>0</v>
      </c>
      <c r="G4228">
        <f t="shared" si="875"/>
        <v>0</v>
      </c>
      <c r="H4228">
        <f t="shared" si="876"/>
        <v>0</v>
      </c>
      <c r="I4228">
        <f t="shared" si="877"/>
        <v>0</v>
      </c>
      <c r="J4228">
        <f t="shared" si="878"/>
        <v>0</v>
      </c>
      <c r="K4228" s="4" t="e">
        <f t="shared" si="866"/>
        <v>#N/A</v>
      </c>
      <c r="L4228" t="e">
        <f t="shared" si="867"/>
        <v>#N/A</v>
      </c>
      <c r="M4228" s="4" t="e">
        <f t="shared" si="868"/>
        <v>#N/A</v>
      </c>
      <c r="N4228" s="4" t="e">
        <f t="shared" si="869"/>
        <v>#N/A</v>
      </c>
    </row>
    <row r="4229" spans="1:14">
      <c r="A4229">
        <f t="shared" si="870"/>
        <v>0</v>
      </c>
      <c r="B4229">
        <f t="shared" si="871"/>
        <v>0</v>
      </c>
      <c r="C4229">
        <f t="shared" si="872"/>
        <v>0</v>
      </c>
      <c r="D4229">
        <f t="shared" si="873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4"/>
        <v>0</v>
      </c>
      <c r="G4229">
        <f t="shared" si="875"/>
        <v>0</v>
      </c>
      <c r="H4229">
        <f t="shared" si="876"/>
        <v>0</v>
      </c>
      <c r="I4229">
        <f t="shared" si="877"/>
        <v>0</v>
      </c>
      <c r="J4229">
        <f t="shared" si="878"/>
        <v>0</v>
      </c>
      <c r="K4229" s="4" t="e">
        <f t="shared" si="866"/>
        <v>#N/A</v>
      </c>
      <c r="L4229" t="e">
        <f t="shared" si="867"/>
        <v>#N/A</v>
      </c>
      <c r="M4229" s="4" t="e">
        <f t="shared" si="868"/>
        <v>#N/A</v>
      </c>
      <c r="N4229" s="4" t="e">
        <f t="shared" si="869"/>
        <v>#N/A</v>
      </c>
    </row>
    <row r="4230" spans="1:14">
      <c r="A4230">
        <f t="shared" si="870"/>
        <v>0</v>
      </c>
      <c r="B4230">
        <f t="shared" si="871"/>
        <v>0</v>
      </c>
      <c r="C4230">
        <f t="shared" si="872"/>
        <v>0</v>
      </c>
      <c r="D4230">
        <f t="shared" si="873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4"/>
        <v>0</v>
      </c>
      <c r="G4230">
        <f t="shared" si="875"/>
        <v>0</v>
      </c>
      <c r="H4230">
        <f t="shared" si="876"/>
        <v>0</v>
      </c>
      <c r="I4230">
        <f t="shared" si="877"/>
        <v>0</v>
      </c>
      <c r="J4230">
        <f t="shared" si="878"/>
        <v>0</v>
      </c>
      <c r="K4230" s="4" t="e">
        <f t="shared" si="866"/>
        <v>#N/A</v>
      </c>
      <c r="L4230" t="e">
        <f t="shared" si="867"/>
        <v>#N/A</v>
      </c>
      <c r="M4230" s="4" t="e">
        <f t="shared" si="868"/>
        <v>#N/A</v>
      </c>
      <c r="N4230" s="4" t="e">
        <f t="shared" si="869"/>
        <v>#N/A</v>
      </c>
    </row>
    <row r="4231" spans="1:14">
      <c r="A4231">
        <f t="shared" si="870"/>
        <v>0</v>
      </c>
      <c r="B4231">
        <f t="shared" si="871"/>
        <v>0</v>
      </c>
      <c r="C4231">
        <f t="shared" si="872"/>
        <v>0</v>
      </c>
      <c r="D4231">
        <f t="shared" si="873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4"/>
        <v>0</v>
      </c>
      <c r="G4231">
        <f t="shared" si="875"/>
        <v>0</v>
      </c>
      <c r="H4231">
        <f t="shared" si="876"/>
        <v>0</v>
      </c>
      <c r="I4231">
        <f t="shared" si="877"/>
        <v>0</v>
      </c>
      <c r="J4231">
        <f t="shared" si="878"/>
        <v>0</v>
      </c>
      <c r="K4231" s="4" t="e">
        <f t="shared" si="866"/>
        <v>#N/A</v>
      </c>
      <c r="L4231" t="e">
        <f t="shared" si="867"/>
        <v>#N/A</v>
      </c>
      <c r="M4231" s="4" t="e">
        <f t="shared" si="868"/>
        <v>#N/A</v>
      </c>
      <c r="N4231" s="4" t="e">
        <f t="shared" si="869"/>
        <v>#N/A</v>
      </c>
    </row>
    <row r="4232" spans="1:14">
      <c r="A4232">
        <f t="shared" si="870"/>
        <v>0</v>
      </c>
      <c r="B4232">
        <f t="shared" si="871"/>
        <v>0</v>
      </c>
      <c r="C4232">
        <f t="shared" si="872"/>
        <v>0</v>
      </c>
      <c r="D4232">
        <f t="shared" si="873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4"/>
        <v>0</v>
      </c>
      <c r="G4232">
        <f t="shared" si="875"/>
        <v>0</v>
      </c>
      <c r="H4232">
        <f t="shared" si="876"/>
        <v>0</v>
      </c>
      <c r="I4232">
        <f t="shared" si="877"/>
        <v>0</v>
      </c>
      <c r="J4232">
        <f t="shared" si="878"/>
        <v>0</v>
      </c>
      <c r="K4232" s="4" t="e">
        <f t="shared" si="866"/>
        <v>#N/A</v>
      </c>
      <c r="L4232" t="e">
        <f t="shared" si="867"/>
        <v>#N/A</v>
      </c>
      <c r="M4232" s="4" t="e">
        <f t="shared" si="868"/>
        <v>#N/A</v>
      </c>
      <c r="N4232" s="4" t="e">
        <f t="shared" si="869"/>
        <v>#N/A</v>
      </c>
    </row>
    <row r="4233" spans="1:14">
      <c r="A4233">
        <f t="shared" si="870"/>
        <v>0</v>
      </c>
      <c r="B4233">
        <f t="shared" si="871"/>
        <v>0</v>
      </c>
      <c r="C4233">
        <f t="shared" si="872"/>
        <v>0</v>
      </c>
      <c r="D4233">
        <f t="shared" si="873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4"/>
        <v>0</v>
      </c>
      <c r="G4233">
        <f t="shared" si="875"/>
        <v>0</v>
      </c>
      <c r="H4233">
        <f t="shared" si="876"/>
        <v>0</v>
      </c>
      <c r="I4233">
        <f t="shared" si="877"/>
        <v>0</v>
      </c>
      <c r="J4233">
        <f t="shared" si="878"/>
        <v>0</v>
      </c>
      <c r="K4233" s="4" t="e">
        <f t="shared" si="866"/>
        <v>#N/A</v>
      </c>
      <c r="L4233" t="e">
        <f t="shared" si="867"/>
        <v>#N/A</v>
      </c>
      <c r="M4233" s="4" t="e">
        <f t="shared" si="868"/>
        <v>#N/A</v>
      </c>
      <c r="N4233" s="4" t="e">
        <f t="shared" si="869"/>
        <v>#N/A</v>
      </c>
    </row>
    <row r="4234" spans="1:14">
      <c r="A4234">
        <f t="shared" si="870"/>
        <v>0</v>
      </c>
      <c r="B4234">
        <f t="shared" si="871"/>
        <v>0</v>
      </c>
      <c r="C4234">
        <f t="shared" si="872"/>
        <v>0</v>
      </c>
      <c r="D4234">
        <f t="shared" si="873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4"/>
        <v>0</v>
      </c>
      <c r="G4234">
        <f t="shared" si="875"/>
        <v>0</v>
      </c>
      <c r="H4234">
        <f t="shared" si="876"/>
        <v>0</v>
      </c>
      <c r="I4234">
        <f t="shared" si="877"/>
        <v>0</v>
      </c>
      <c r="J4234">
        <f t="shared" si="878"/>
        <v>0</v>
      </c>
      <c r="K4234" s="4" t="e">
        <f t="shared" si="866"/>
        <v>#N/A</v>
      </c>
      <c r="L4234" t="e">
        <f t="shared" si="867"/>
        <v>#N/A</v>
      </c>
      <c r="M4234" s="4" t="e">
        <f t="shared" si="868"/>
        <v>#N/A</v>
      </c>
      <c r="N4234" s="4" t="e">
        <f t="shared" si="869"/>
        <v>#N/A</v>
      </c>
    </row>
    <row r="4235" spans="1:14">
      <c r="A4235">
        <f t="shared" si="870"/>
        <v>0</v>
      </c>
      <c r="B4235">
        <f t="shared" si="871"/>
        <v>0</v>
      </c>
      <c r="C4235">
        <f t="shared" si="872"/>
        <v>0</v>
      </c>
      <c r="D4235">
        <f t="shared" si="873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4"/>
        <v>0</v>
      </c>
      <c r="G4235">
        <f t="shared" si="875"/>
        <v>0</v>
      </c>
      <c r="H4235">
        <f t="shared" si="876"/>
        <v>0</v>
      </c>
      <c r="I4235">
        <f t="shared" si="877"/>
        <v>0</v>
      </c>
      <c r="J4235">
        <f t="shared" si="878"/>
        <v>0</v>
      </c>
      <c r="K4235" s="4" t="e">
        <f t="shared" si="866"/>
        <v>#N/A</v>
      </c>
      <c r="L4235" t="e">
        <f t="shared" si="867"/>
        <v>#N/A</v>
      </c>
      <c r="M4235" s="4" t="e">
        <f t="shared" si="868"/>
        <v>#N/A</v>
      </c>
      <c r="N4235" s="4" t="e">
        <f t="shared" si="869"/>
        <v>#N/A</v>
      </c>
    </row>
    <row r="4236" spans="1:14">
      <c r="A4236">
        <f t="shared" si="870"/>
        <v>0</v>
      </c>
      <c r="B4236">
        <f t="shared" si="871"/>
        <v>0</v>
      </c>
      <c r="C4236">
        <f t="shared" si="872"/>
        <v>0</v>
      </c>
      <c r="D4236">
        <f t="shared" si="873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4"/>
        <v>0</v>
      </c>
      <c r="G4236">
        <f t="shared" si="875"/>
        <v>0</v>
      </c>
      <c r="H4236">
        <f t="shared" si="876"/>
        <v>0</v>
      </c>
      <c r="I4236">
        <f t="shared" si="877"/>
        <v>0</v>
      </c>
      <c r="J4236">
        <f t="shared" si="878"/>
        <v>0</v>
      </c>
      <c r="K4236" s="4" t="e">
        <f t="shared" si="866"/>
        <v>#N/A</v>
      </c>
      <c r="L4236" t="e">
        <f t="shared" si="867"/>
        <v>#N/A</v>
      </c>
      <c r="M4236" s="4" t="e">
        <f t="shared" si="868"/>
        <v>#N/A</v>
      </c>
      <c r="N4236" s="4" t="e">
        <f t="shared" si="869"/>
        <v>#N/A</v>
      </c>
    </row>
    <row r="4237" spans="1:14">
      <c r="A4237">
        <f t="shared" si="870"/>
        <v>0</v>
      </c>
      <c r="B4237">
        <f t="shared" si="871"/>
        <v>0</v>
      </c>
      <c r="C4237">
        <f t="shared" si="872"/>
        <v>0</v>
      </c>
      <c r="D4237">
        <f t="shared" si="873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4"/>
        <v>0</v>
      </c>
      <c r="G4237">
        <f t="shared" si="875"/>
        <v>0</v>
      </c>
      <c r="H4237">
        <f t="shared" si="876"/>
        <v>0</v>
      </c>
      <c r="I4237">
        <f t="shared" si="877"/>
        <v>0</v>
      </c>
      <c r="J4237">
        <f t="shared" si="878"/>
        <v>0</v>
      </c>
      <c r="K4237" s="4" t="e">
        <f t="shared" si="866"/>
        <v>#N/A</v>
      </c>
      <c r="L4237" t="e">
        <f t="shared" si="867"/>
        <v>#N/A</v>
      </c>
      <c r="M4237" s="4" t="e">
        <f t="shared" si="868"/>
        <v>#N/A</v>
      </c>
      <c r="N4237" s="4" t="e">
        <f t="shared" si="869"/>
        <v>#N/A</v>
      </c>
    </row>
    <row r="4238" spans="1:14">
      <c r="A4238">
        <f t="shared" si="870"/>
        <v>0</v>
      </c>
      <c r="B4238">
        <f t="shared" si="871"/>
        <v>0</v>
      </c>
      <c r="C4238">
        <f t="shared" si="872"/>
        <v>0</v>
      </c>
      <c r="D4238">
        <f t="shared" si="873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4"/>
        <v>0</v>
      </c>
      <c r="G4238">
        <f t="shared" si="875"/>
        <v>0</v>
      </c>
      <c r="H4238">
        <f t="shared" si="876"/>
        <v>0</v>
      </c>
      <c r="I4238">
        <f t="shared" si="877"/>
        <v>0</v>
      </c>
      <c r="J4238">
        <f t="shared" si="878"/>
        <v>0</v>
      </c>
      <c r="K4238" s="4" t="e">
        <f t="shared" si="866"/>
        <v>#N/A</v>
      </c>
      <c r="L4238" t="e">
        <f t="shared" si="867"/>
        <v>#N/A</v>
      </c>
      <c r="M4238" s="4" t="e">
        <f t="shared" si="868"/>
        <v>#N/A</v>
      </c>
      <c r="N4238" s="4" t="e">
        <f t="shared" si="869"/>
        <v>#N/A</v>
      </c>
    </row>
    <row r="4239" spans="1:14">
      <c r="A4239">
        <f t="shared" si="870"/>
        <v>0</v>
      </c>
      <c r="B4239">
        <f t="shared" si="871"/>
        <v>0</v>
      </c>
      <c r="C4239">
        <f t="shared" si="872"/>
        <v>0</v>
      </c>
      <c r="D4239">
        <f t="shared" si="873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4"/>
        <v>0</v>
      </c>
      <c r="G4239">
        <f t="shared" si="875"/>
        <v>0</v>
      </c>
      <c r="H4239">
        <f t="shared" si="876"/>
        <v>0</v>
      </c>
      <c r="I4239">
        <f t="shared" si="877"/>
        <v>0</v>
      </c>
      <c r="J4239">
        <f t="shared" si="878"/>
        <v>0</v>
      </c>
      <c r="K4239" s="4" t="e">
        <f t="shared" si="866"/>
        <v>#N/A</v>
      </c>
      <c r="L4239" t="e">
        <f t="shared" si="867"/>
        <v>#N/A</v>
      </c>
      <c r="M4239" s="4" t="e">
        <f t="shared" si="868"/>
        <v>#N/A</v>
      </c>
      <c r="N4239" s="4" t="e">
        <f t="shared" si="869"/>
        <v>#N/A</v>
      </c>
    </row>
    <row r="4240" spans="1:14">
      <c r="A4240">
        <f t="shared" si="870"/>
        <v>0</v>
      </c>
      <c r="B4240">
        <f t="shared" si="871"/>
        <v>0</v>
      </c>
      <c r="C4240">
        <f t="shared" si="872"/>
        <v>0</v>
      </c>
      <c r="D4240">
        <f t="shared" si="873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4"/>
        <v>0</v>
      </c>
      <c r="G4240">
        <f t="shared" si="875"/>
        <v>0</v>
      </c>
      <c r="H4240">
        <f t="shared" si="876"/>
        <v>0</v>
      </c>
      <c r="I4240">
        <f t="shared" si="877"/>
        <v>0</v>
      </c>
      <c r="J4240">
        <f t="shared" si="878"/>
        <v>0</v>
      </c>
      <c r="K4240" s="4" t="e">
        <f t="shared" si="866"/>
        <v>#N/A</v>
      </c>
      <c r="L4240" t="e">
        <f t="shared" si="867"/>
        <v>#N/A</v>
      </c>
      <c r="M4240" s="4" t="e">
        <f t="shared" si="868"/>
        <v>#N/A</v>
      </c>
      <c r="N4240" s="4" t="e">
        <f t="shared" si="869"/>
        <v>#N/A</v>
      </c>
    </row>
    <row r="4241" spans="1:14">
      <c r="A4241">
        <f t="shared" si="870"/>
        <v>0</v>
      </c>
      <c r="B4241">
        <f t="shared" si="871"/>
        <v>0</v>
      </c>
      <c r="C4241">
        <f t="shared" si="872"/>
        <v>0</v>
      </c>
      <c r="D4241">
        <f t="shared" si="873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4"/>
        <v>0</v>
      </c>
      <c r="G4241">
        <f t="shared" si="875"/>
        <v>0</v>
      </c>
      <c r="H4241">
        <f t="shared" si="876"/>
        <v>0</v>
      </c>
      <c r="I4241">
        <f t="shared" si="877"/>
        <v>0</v>
      </c>
      <c r="J4241">
        <f t="shared" si="878"/>
        <v>0</v>
      </c>
      <c r="K4241" s="4" t="e">
        <f t="shared" si="866"/>
        <v>#N/A</v>
      </c>
      <c r="L4241" t="e">
        <f t="shared" si="867"/>
        <v>#N/A</v>
      </c>
      <c r="M4241" s="4" t="e">
        <f t="shared" si="868"/>
        <v>#N/A</v>
      </c>
      <c r="N4241" s="4" t="e">
        <f t="shared" si="869"/>
        <v>#N/A</v>
      </c>
    </row>
    <row r="4242" spans="1:14">
      <c r="A4242">
        <f t="shared" si="870"/>
        <v>0</v>
      </c>
      <c r="B4242">
        <f t="shared" si="871"/>
        <v>0</v>
      </c>
      <c r="C4242">
        <f t="shared" si="872"/>
        <v>0</v>
      </c>
      <c r="D4242">
        <f t="shared" si="873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4"/>
        <v>0</v>
      </c>
      <c r="G4242">
        <f t="shared" si="875"/>
        <v>0</v>
      </c>
      <c r="H4242">
        <f t="shared" si="876"/>
        <v>0</v>
      </c>
      <c r="I4242">
        <f t="shared" si="877"/>
        <v>0</v>
      </c>
      <c r="J4242">
        <f t="shared" si="878"/>
        <v>0</v>
      </c>
      <c r="K4242" s="4" t="e">
        <f t="shared" si="866"/>
        <v>#N/A</v>
      </c>
      <c r="L4242" t="e">
        <f t="shared" si="867"/>
        <v>#N/A</v>
      </c>
      <c r="M4242" s="4" t="e">
        <f t="shared" si="868"/>
        <v>#N/A</v>
      </c>
      <c r="N4242" s="4" t="e">
        <f t="shared" si="869"/>
        <v>#N/A</v>
      </c>
    </row>
    <row r="4243" spans="1:14">
      <c r="A4243">
        <f t="shared" si="870"/>
        <v>0</v>
      </c>
      <c r="B4243">
        <f t="shared" si="871"/>
        <v>0</v>
      </c>
      <c r="C4243">
        <f t="shared" si="872"/>
        <v>0</v>
      </c>
      <c r="D4243">
        <f t="shared" si="873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4"/>
        <v>0</v>
      </c>
      <c r="G4243">
        <f t="shared" si="875"/>
        <v>0</v>
      </c>
      <c r="H4243">
        <f t="shared" si="876"/>
        <v>0</v>
      </c>
      <c r="I4243">
        <f t="shared" si="877"/>
        <v>0</v>
      </c>
      <c r="J4243">
        <f t="shared" si="878"/>
        <v>0</v>
      </c>
      <c r="K4243" s="4" t="e">
        <f t="shared" si="866"/>
        <v>#N/A</v>
      </c>
      <c r="L4243" t="e">
        <f t="shared" si="867"/>
        <v>#N/A</v>
      </c>
      <c r="M4243" s="4" t="e">
        <f t="shared" si="868"/>
        <v>#N/A</v>
      </c>
      <c r="N4243" s="4" t="e">
        <f t="shared" si="869"/>
        <v>#N/A</v>
      </c>
    </row>
    <row r="4244" spans="1:14">
      <c r="A4244">
        <f t="shared" si="870"/>
        <v>0</v>
      </c>
      <c r="B4244">
        <f t="shared" si="871"/>
        <v>0</v>
      </c>
      <c r="C4244">
        <f t="shared" si="872"/>
        <v>0</v>
      </c>
      <c r="D4244">
        <f t="shared" si="873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4"/>
        <v>0</v>
      </c>
      <c r="G4244">
        <f t="shared" si="875"/>
        <v>0</v>
      </c>
      <c r="H4244">
        <f t="shared" si="876"/>
        <v>0</v>
      </c>
      <c r="I4244">
        <f t="shared" si="877"/>
        <v>0</v>
      </c>
      <c r="J4244">
        <f t="shared" si="878"/>
        <v>0</v>
      </c>
      <c r="K4244" s="4" t="e">
        <f t="shared" si="866"/>
        <v>#N/A</v>
      </c>
      <c r="L4244" t="e">
        <f t="shared" si="867"/>
        <v>#N/A</v>
      </c>
      <c r="M4244" s="4" t="e">
        <f t="shared" si="868"/>
        <v>#N/A</v>
      </c>
      <c r="N4244" s="4" t="e">
        <f t="shared" si="869"/>
        <v>#N/A</v>
      </c>
    </row>
    <row r="4245" spans="1:14">
      <c r="A4245">
        <f t="shared" si="870"/>
        <v>0</v>
      </c>
      <c r="B4245">
        <f t="shared" si="871"/>
        <v>0</v>
      </c>
      <c r="C4245">
        <f t="shared" si="872"/>
        <v>0</v>
      </c>
      <c r="D4245">
        <f t="shared" si="873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4"/>
        <v>0</v>
      </c>
      <c r="G4245">
        <f t="shared" si="875"/>
        <v>0</v>
      </c>
      <c r="H4245">
        <f t="shared" si="876"/>
        <v>0</v>
      </c>
      <c r="I4245">
        <f t="shared" si="877"/>
        <v>0</v>
      </c>
      <c r="J4245">
        <f t="shared" si="878"/>
        <v>0</v>
      </c>
      <c r="K4245" s="4" t="e">
        <f t="shared" si="866"/>
        <v>#N/A</v>
      </c>
      <c r="L4245" t="e">
        <f t="shared" si="867"/>
        <v>#N/A</v>
      </c>
      <c r="M4245" s="4" t="e">
        <f t="shared" si="868"/>
        <v>#N/A</v>
      </c>
      <c r="N4245" s="4" t="e">
        <f t="shared" si="869"/>
        <v>#N/A</v>
      </c>
    </row>
    <row r="4246" spans="1:14">
      <c r="A4246">
        <f t="shared" si="870"/>
        <v>0</v>
      </c>
      <c r="B4246">
        <f t="shared" si="871"/>
        <v>0</v>
      </c>
      <c r="C4246">
        <f t="shared" si="872"/>
        <v>0</v>
      </c>
      <c r="D4246">
        <f t="shared" si="873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4"/>
        <v>0</v>
      </c>
      <c r="G4246">
        <f t="shared" si="875"/>
        <v>0</v>
      </c>
      <c r="H4246">
        <f t="shared" si="876"/>
        <v>0</v>
      </c>
      <c r="I4246">
        <f t="shared" si="877"/>
        <v>0</v>
      </c>
      <c r="J4246">
        <f t="shared" si="878"/>
        <v>0</v>
      </c>
      <c r="K4246" s="4" t="e">
        <f t="shared" si="866"/>
        <v>#N/A</v>
      </c>
      <c r="L4246" t="e">
        <f t="shared" si="867"/>
        <v>#N/A</v>
      </c>
      <c r="M4246" s="4" t="e">
        <f t="shared" si="868"/>
        <v>#N/A</v>
      </c>
      <c r="N4246" s="4" t="e">
        <f t="shared" si="869"/>
        <v>#N/A</v>
      </c>
    </row>
    <row r="4247" spans="1:14">
      <c r="A4247">
        <f t="shared" si="870"/>
        <v>0</v>
      </c>
      <c r="B4247">
        <f t="shared" si="871"/>
        <v>0</v>
      </c>
      <c r="C4247">
        <f t="shared" si="872"/>
        <v>0</v>
      </c>
      <c r="D4247">
        <f t="shared" si="873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4"/>
        <v>0</v>
      </c>
      <c r="G4247">
        <f t="shared" si="875"/>
        <v>0</v>
      </c>
      <c r="H4247">
        <f t="shared" si="876"/>
        <v>0</v>
      </c>
      <c r="I4247">
        <f t="shared" si="877"/>
        <v>0</v>
      </c>
      <c r="J4247">
        <f t="shared" si="878"/>
        <v>0</v>
      </c>
      <c r="K4247" s="4" t="e">
        <f t="shared" si="866"/>
        <v>#N/A</v>
      </c>
      <c r="L4247" t="e">
        <f t="shared" si="867"/>
        <v>#N/A</v>
      </c>
      <c r="M4247" s="4" t="e">
        <f t="shared" si="868"/>
        <v>#N/A</v>
      </c>
      <c r="N4247" s="4" t="e">
        <f t="shared" si="869"/>
        <v>#N/A</v>
      </c>
    </row>
    <row r="4248" spans="1:14">
      <c r="A4248">
        <f t="shared" si="870"/>
        <v>0</v>
      </c>
      <c r="B4248">
        <f t="shared" si="871"/>
        <v>0</v>
      </c>
      <c r="C4248">
        <f t="shared" si="872"/>
        <v>0</v>
      </c>
      <c r="D4248">
        <f t="shared" si="873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4"/>
        <v>0</v>
      </c>
      <c r="G4248">
        <f t="shared" si="875"/>
        <v>0</v>
      </c>
      <c r="H4248">
        <f t="shared" si="876"/>
        <v>0</v>
      </c>
      <c r="I4248">
        <f t="shared" si="877"/>
        <v>0</v>
      </c>
      <c r="J4248">
        <f t="shared" si="878"/>
        <v>0</v>
      </c>
      <c r="K4248" s="4" t="e">
        <f t="shared" si="866"/>
        <v>#N/A</v>
      </c>
      <c r="L4248" t="e">
        <f t="shared" si="867"/>
        <v>#N/A</v>
      </c>
      <c r="M4248" s="4" t="e">
        <f t="shared" si="868"/>
        <v>#N/A</v>
      </c>
      <c r="N4248" s="4" t="e">
        <f t="shared" si="869"/>
        <v>#N/A</v>
      </c>
    </row>
    <row r="4249" spans="1:14">
      <c r="A4249">
        <f t="shared" si="870"/>
        <v>0</v>
      </c>
      <c r="B4249">
        <f t="shared" si="871"/>
        <v>0</v>
      </c>
      <c r="C4249">
        <f t="shared" si="872"/>
        <v>0</v>
      </c>
      <c r="D4249">
        <f t="shared" si="873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4"/>
        <v>0</v>
      </c>
      <c r="G4249">
        <f t="shared" si="875"/>
        <v>0</v>
      </c>
      <c r="H4249">
        <f t="shared" si="876"/>
        <v>0</v>
      </c>
      <c r="I4249">
        <f t="shared" si="877"/>
        <v>0</v>
      </c>
      <c r="J4249">
        <f t="shared" si="878"/>
        <v>0</v>
      </c>
      <c r="K4249" s="4" t="e">
        <f t="shared" si="866"/>
        <v>#N/A</v>
      </c>
      <c r="L4249" t="e">
        <f t="shared" si="867"/>
        <v>#N/A</v>
      </c>
      <c r="M4249" s="4" t="e">
        <f t="shared" si="868"/>
        <v>#N/A</v>
      </c>
      <c r="N4249" s="4" t="e">
        <f t="shared" si="869"/>
        <v>#N/A</v>
      </c>
    </row>
    <row r="4250" spans="1:14">
      <c r="A4250">
        <f t="shared" si="870"/>
        <v>0</v>
      </c>
      <c r="B4250">
        <f t="shared" si="871"/>
        <v>0</v>
      </c>
      <c r="C4250">
        <f t="shared" si="872"/>
        <v>0</v>
      </c>
      <c r="D4250">
        <f t="shared" si="873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4"/>
        <v>0</v>
      </c>
      <c r="G4250">
        <f t="shared" si="875"/>
        <v>0</v>
      </c>
      <c r="H4250">
        <f t="shared" si="876"/>
        <v>0</v>
      </c>
      <c r="I4250">
        <f t="shared" si="877"/>
        <v>0</v>
      </c>
      <c r="J4250">
        <f t="shared" si="878"/>
        <v>0</v>
      </c>
      <c r="K4250" s="4" t="e">
        <f t="shared" si="866"/>
        <v>#N/A</v>
      </c>
      <c r="L4250" t="e">
        <f t="shared" si="867"/>
        <v>#N/A</v>
      </c>
      <c r="M4250" s="4" t="e">
        <f t="shared" si="868"/>
        <v>#N/A</v>
      </c>
      <c r="N4250" s="4" t="e">
        <f t="shared" si="869"/>
        <v>#N/A</v>
      </c>
    </row>
    <row r="4251" spans="1:14">
      <c r="A4251">
        <f t="shared" si="870"/>
        <v>0</v>
      </c>
      <c r="B4251">
        <f t="shared" si="871"/>
        <v>0</v>
      </c>
      <c r="C4251">
        <f t="shared" si="872"/>
        <v>0</v>
      </c>
      <c r="D4251">
        <f t="shared" si="873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4"/>
        <v>0</v>
      </c>
      <c r="G4251">
        <f t="shared" si="875"/>
        <v>0</v>
      </c>
      <c r="H4251">
        <f t="shared" si="876"/>
        <v>0</v>
      </c>
      <c r="I4251">
        <f t="shared" si="877"/>
        <v>0</v>
      </c>
      <c r="J4251">
        <f t="shared" si="878"/>
        <v>0</v>
      </c>
      <c r="K4251" s="4" t="e">
        <f t="shared" si="866"/>
        <v>#N/A</v>
      </c>
      <c r="L4251" t="e">
        <f t="shared" si="867"/>
        <v>#N/A</v>
      </c>
      <c r="M4251" s="4" t="e">
        <f t="shared" si="868"/>
        <v>#N/A</v>
      </c>
      <c r="N4251" s="4" t="e">
        <f t="shared" si="869"/>
        <v>#N/A</v>
      </c>
    </row>
    <row r="4252" spans="1:14">
      <c r="A4252">
        <f t="shared" si="870"/>
        <v>0</v>
      </c>
      <c r="B4252">
        <f t="shared" si="871"/>
        <v>0</v>
      </c>
      <c r="C4252">
        <f t="shared" si="872"/>
        <v>0</v>
      </c>
      <c r="D4252">
        <f t="shared" si="873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4"/>
        <v>0</v>
      </c>
      <c r="G4252">
        <f t="shared" si="875"/>
        <v>0</v>
      </c>
      <c r="H4252">
        <f t="shared" si="876"/>
        <v>0</v>
      </c>
      <c r="I4252">
        <f t="shared" si="877"/>
        <v>0</v>
      </c>
      <c r="J4252">
        <f t="shared" si="878"/>
        <v>0</v>
      </c>
      <c r="K4252" s="4" t="e">
        <f t="shared" si="866"/>
        <v>#N/A</v>
      </c>
      <c r="L4252" t="e">
        <f t="shared" si="867"/>
        <v>#N/A</v>
      </c>
      <c r="M4252" s="4" t="e">
        <f t="shared" si="868"/>
        <v>#N/A</v>
      </c>
      <c r="N4252" s="4" t="e">
        <f t="shared" si="869"/>
        <v>#N/A</v>
      </c>
    </row>
    <row r="4253" spans="1:14">
      <c r="A4253">
        <f t="shared" si="870"/>
        <v>0</v>
      </c>
      <c r="B4253">
        <f t="shared" si="871"/>
        <v>0</v>
      </c>
      <c r="C4253">
        <f t="shared" si="872"/>
        <v>0</v>
      </c>
      <c r="D4253">
        <f t="shared" si="873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4"/>
        <v>0</v>
      </c>
      <c r="G4253">
        <f t="shared" si="875"/>
        <v>0</v>
      </c>
      <c r="H4253">
        <f t="shared" si="876"/>
        <v>0</v>
      </c>
      <c r="I4253">
        <f t="shared" si="877"/>
        <v>0</v>
      </c>
      <c r="J4253">
        <f t="shared" si="878"/>
        <v>0</v>
      </c>
      <c r="K4253" s="4" t="e">
        <f t="shared" si="866"/>
        <v>#N/A</v>
      </c>
      <c r="L4253" t="e">
        <f t="shared" si="867"/>
        <v>#N/A</v>
      </c>
      <c r="M4253" s="4" t="e">
        <f t="shared" si="868"/>
        <v>#N/A</v>
      </c>
      <c r="N4253" s="4" t="e">
        <f t="shared" si="869"/>
        <v>#N/A</v>
      </c>
    </row>
    <row r="4254" spans="1:14">
      <c r="A4254">
        <f t="shared" si="870"/>
        <v>0</v>
      </c>
      <c r="B4254">
        <f t="shared" si="871"/>
        <v>0</v>
      </c>
      <c r="C4254">
        <f t="shared" si="872"/>
        <v>0</v>
      </c>
      <c r="D4254">
        <f t="shared" si="873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4"/>
        <v>0</v>
      </c>
      <c r="G4254">
        <f t="shared" si="875"/>
        <v>0</v>
      </c>
      <c r="H4254">
        <f t="shared" si="876"/>
        <v>0</v>
      </c>
      <c r="I4254">
        <f t="shared" si="877"/>
        <v>0</v>
      </c>
      <c r="J4254">
        <f t="shared" si="878"/>
        <v>0</v>
      </c>
      <c r="K4254" s="4" t="e">
        <f t="shared" si="866"/>
        <v>#N/A</v>
      </c>
      <c r="L4254" t="e">
        <f t="shared" si="867"/>
        <v>#N/A</v>
      </c>
      <c r="M4254" s="4" t="e">
        <f t="shared" si="868"/>
        <v>#N/A</v>
      </c>
      <c r="N4254" s="4" t="e">
        <f t="shared" si="869"/>
        <v>#N/A</v>
      </c>
    </row>
    <row r="4255" spans="1:14">
      <c r="A4255">
        <f t="shared" si="870"/>
        <v>0</v>
      </c>
      <c r="B4255">
        <f t="shared" si="871"/>
        <v>0</v>
      </c>
      <c r="C4255">
        <f t="shared" si="872"/>
        <v>0</v>
      </c>
      <c r="D4255">
        <f t="shared" si="873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4"/>
        <v>0</v>
      </c>
      <c r="G4255">
        <f t="shared" si="875"/>
        <v>0</v>
      </c>
      <c r="H4255">
        <f t="shared" si="876"/>
        <v>0</v>
      </c>
      <c r="I4255">
        <f t="shared" si="877"/>
        <v>0</v>
      </c>
      <c r="J4255">
        <f t="shared" si="878"/>
        <v>0</v>
      </c>
      <c r="K4255" s="4" t="e">
        <f t="shared" si="866"/>
        <v>#N/A</v>
      </c>
      <c r="L4255" t="e">
        <f t="shared" si="867"/>
        <v>#N/A</v>
      </c>
      <c r="M4255" s="4" t="e">
        <f t="shared" si="868"/>
        <v>#N/A</v>
      </c>
      <c r="N4255" s="4" t="e">
        <f t="shared" si="869"/>
        <v>#N/A</v>
      </c>
    </row>
    <row r="4256" spans="1:14">
      <c r="A4256">
        <f t="shared" si="870"/>
        <v>0</v>
      </c>
      <c r="B4256">
        <f t="shared" si="871"/>
        <v>0</v>
      </c>
      <c r="C4256">
        <f t="shared" si="872"/>
        <v>0</v>
      </c>
      <c r="D4256">
        <f t="shared" si="873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4"/>
        <v>0</v>
      </c>
      <c r="G4256">
        <f t="shared" si="875"/>
        <v>0</v>
      </c>
      <c r="H4256">
        <f t="shared" si="876"/>
        <v>0</v>
      </c>
      <c r="I4256">
        <f t="shared" si="877"/>
        <v>0</v>
      </c>
      <c r="J4256">
        <f t="shared" si="878"/>
        <v>0</v>
      </c>
      <c r="K4256" s="4" t="e">
        <f t="shared" si="866"/>
        <v>#N/A</v>
      </c>
      <c r="L4256" t="e">
        <f t="shared" si="867"/>
        <v>#N/A</v>
      </c>
      <c r="M4256" s="4" t="e">
        <f t="shared" si="868"/>
        <v>#N/A</v>
      </c>
      <c r="N4256" s="4" t="e">
        <f t="shared" si="869"/>
        <v>#N/A</v>
      </c>
    </row>
    <row r="4257" spans="1:14">
      <c r="A4257">
        <f t="shared" si="870"/>
        <v>0</v>
      </c>
      <c r="B4257">
        <f t="shared" si="871"/>
        <v>0</v>
      </c>
      <c r="C4257">
        <f t="shared" si="872"/>
        <v>0</v>
      </c>
      <c r="D4257">
        <f t="shared" si="873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4"/>
        <v>0</v>
      </c>
      <c r="G4257">
        <f t="shared" si="875"/>
        <v>0</v>
      </c>
      <c r="H4257">
        <f t="shared" si="876"/>
        <v>0</v>
      </c>
      <c r="I4257">
        <f t="shared" si="877"/>
        <v>0</v>
      </c>
      <c r="J4257">
        <f t="shared" si="878"/>
        <v>0</v>
      </c>
      <c r="K4257" s="4" t="e">
        <f t="shared" si="866"/>
        <v>#N/A</v>
      </c>
      <c r="L4257" t="e">
        <f t="shared" si="867"/>
        <v>#N/A</v>
      </c>
      <c r="M4257" s="4" t="e">
        <f t="shared" si="868"/>
        <v>#N/A</v>
      </c>
      <c r="N4257" s="4" t="e">
        <f t="shared" si="869"/>
        <v>#N/A</v>
      </c>
    </row>
    <row r="4258" spans="1:14">
      <c r="A4258">
        <f t="shared" si="870"/>
        <v>0</v>
      </c>
      <c r="B4258">
        <f t="shared" si="871"/>
        <v>0</v>
      </c>
      <c r="C4258">
        <f t="shared" si="872"/>
        <v>0</v>
      </c>
      <c r="D4258">
        <f t="shared" si="873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4"/>
        <v>0</v>
      </c>
      <c r="G4258">
        <f t="shared" si="875"/>
        <v>0</v>
      </c>
      <c r="H4258">
        <f t="shared" si="876"/>
        <v>0</v>
      </c>
      <c r="I4258">
        <f t="shared" si="877"/>
        <v>0</v>
      </c>
      <c r="J4258">
        <f t="shared" si="878"/>
        <v>0</v>
      </c>
      <c r="K4258" s="4" t="e">
        <f t="shared" si="866"/>
        <v>#N/A</v>
      </c>
      <c r="L4258" t="e">
        <f t="shared" si="867"/>
        <v>#N/A</v>
      </c>
      <c r="M4258" s="4" t="e">
        <f t="shared" si="868"/>
        <v>#N/A</v>
      </c>
      <c r="N4258" s="4" t="e">
        <f t="shared" si="869"/>
        <v>#N/A</v>
      </c>
    </row>
    <row r="4259" spans="1:14">
      <c r="A4259">
        <f t="shared" si="870"/>
        <v>0</v>
      </c>
      <c r="B4259">
        <f t="shared" si="871"/>
        <v>0</v>
      </c>
      <c r="C4259">
        <f t="shared" si="872"/>
        <v>0</v>
      </c>
      <c r="D4259">
        <f t="shared" si="873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4"/>
        <v>0</v>
      </c>
      <c r="G4259">
        <f t="shared" si="875"/>
        <v>0</v>
      </c>
      <c r="H4259">
        <f t="shared" si="876"/>
        <v>0</v>
      </c>
      <c r="I4259">
        <f t="shared" si="877"/>
        <v>0</v>
      </c>
      <c r="J4259">
        <f t="shared" si="878"/>
        <v>0</v>
      </c>
      <c r="K4259" s="4" t="e">
        <f t="shared" si="866"/>
        <v>#N/A</v>
      </c>
      <c r="L4259" t="e">
        <f t="shared" si="867"/>
        <v>#N/A</v>
      </c>
      <c r="M4259" s="4" t="e">
        <f t="shared" si="868"/>
        <v>#N/A</v>
      </c>
      <c r="N4259" s="4" t="e">
        <f t="shared" si="869"/>
        <v>#N/A</v>
      </c>
    </row>
    <row r="4260" spans="1:14">
      <c r="A4260">
        <f t="shared" si="870"/>
        <v>0</v>
      </c>
      <c r="B4260">
        <f t="shared" si="871"/>
        <v>0</v>
      </c>
      <c r="C4260">
        <f t="shared" si="872"/>
        <v>0</v>
      </c>
      <c r="D4260">
        <f t="shared" si="873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4"/>
        <v>0</v>
      </c>
      <c r="G4260">
        <f t="shared" si="875"/>
        <v>0</v>
      </c>
      <c r="H4260">
        <f t="shared" si="876"/>
        <v>0</v>
      </c>
      <c r="I4260">
        <f t="shared" si="877"/>
        <v>0</v>
      </c>
      <c r="J4260">
        <f t="shared" si="878"/>
        <v>0</v>
      </c>
      <c r="K4260" s="4" t="e">
        <f t="shared" si="866"/>
        <v>#N/A</v>
      </c>
      <c r="L4260" t="e">
        <f t="shared" si="867"/>
        <v>#N/A</v>
      </c>
      <c r="M4260" s="4" t="e">
        <f t="shared" si="868"/>
        <v>#N/A</v>
      </c>
      <c r="N4260" s="4" t="e">
        <f t="shared" si="869"/>
        <v>#N/A</v>
      </c>
    </row>
    <row r="4261" spans="1:14">
      <c r="A4261">
        <f t="shared" si="870"/>
        <v>0</v>
      </c>
      <c r="B4261">
        <f t="shared" si="871"/>
        <v>0</v>
      </c>
      <c r="C4261">
        <f t="shared" si="872"/>
        <v>0</v>
      </c>
      <c r="D4261">
        <f t="shared" si="873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4"/>
        <v>0</v>
      </c>
      <c r="G4261">
        <f t="shared" si="875"/>
        <v>0</v>
      </c>
      <c r="H4261">
        <f t="shared" si="876"/>
        <v>0</v>
      </c>
      <c r="I4261">
        <f t="shared" si="877"/>
        <v>0</v>
      </c>
      <c r="J4261">
        <f t="shared" si="878"/>
        <v>0</v>
      </c>
      <c r="K4261" s="4" t="e">
        <f t="shared" si="866"/>
        <v>#N/A</v>
      </c>
      <c r="L4261" t="e">
        <f t="shared" si="867"/>
        <v>#N/A</v>
      </c>
      <c r="M4261" s="4" t="e">
        <f t="shared" si="868"/>
        <v>#N/A</v>
      </c>
      <c r="N4261" s="4" t="e">
        <f t="shared" si="869"/>
        <v>#N/A</v>
      </c>
    </row>
    <row r="4262" spans="1:14">
      <c r="A4262">
        <f t="shared" si="870"/>
        <v>0</v>
      </c>
      <c r="B4262">
        <f t="shared" si="871"/>
        <v>0</v>
      </c>
      <c r="C4262">
        <f t="shared" si="872"/>
        <v>0</v>
      </c>
      <c r="D4262">
        <f t="shared" si="873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4"/>
        <v>0</v>
      </c>
      <c r="G4262">
        <f t="shared" si="875"/>
        <v>0</v>
      </c>
      <c r="H4262">
        <f t="shared" si="876"/>
        <v>0</v>
      </c>
      <c r="I4262">
        <f t="shared" si="877"/>
        <v>0</v>
      </c>
      <c r="J4262">
        <f t="shared" si="878"/>
        <v>0</v>
      </c>
      <c r="K4262" s="4" t="e">
        <f t="shared" si="866"/>
        <v>#N/A</v>
      </c>
      <c r="L4262" t="e">
        <f t="shared" si="867"/>
        <v>#N/A</v>
      </c>
      <c r="M4262" s="4" t="e">
        <f t="shared" si="868"/>
        <v>#N/A</v>
      </c>
      <c r="N4262" s="4" t="e">
        <f t="shared" si="869"/>
        <v>#N/A</v>
      </c>
    </row>
    <row r="4263" spans="1:14">
      <c r="A4263">
        <f t="shared" si="870"/>
        <v>0</v>
      </c>
      <c r="B4263">
        <f t="shared" si="871"/>
        <v>0</v>
      </c>
      <c r="C4263">
        <f t="shared" si="872"/>
        <v>0</v>
      </c>
      <c r="D4263">
        <f t="shared" si="873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4"/>
        <v>0</v>
      </c>
      <c r="G4263">
        <f t="shared" si="875"/>
        <v>0</v>
      </c>
      <c r="H4263">
        <f t="shared" si="876"/>
        <v>0</v>
      </c>
      <c r="I4263">
        <f t="shared" si="877"/>
        <v>0</v>
      </c>
      <c r="J4263">
        <f t="shared" si="878"/>
        <v>0</v>
      </c>
      <c r="K4263" s="4" t="e">
        <f t="shared" si="866"/>
        <v>#N/A</v>
      </c>
      <c r="L4263" t="e">
        <f t="shared" si="867"/>
        <v>#N/A</v>
      </c>
      <c r="M4263" s="4" t="e">
        <f t="shared" si="868"/>
        <v>#N/A</v>
      </c>
      <c r="N4263" s="4" t="e">
        <f t="shared" si="869"/>
        <v>#N/A</v>
      </c>
    </row>
    <row r="4264" spans="1:14">
      <c r="A4264">
        <f t="shared" si="870"/>
        <v>0</v>
      </c>
      <c r="B4264">
        <f t="shared" si="871"/>
        <v>0</v>
      </c>
      <c r="C4264">
        <f t="shared" si="872"/>
        <v>0</v>
      </c>
      <c r="D4264">
        <f t="shared" si="873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4"/>
        <v>0</v>
      </c>
      <c r="G4264">
        <f t="shared" si="875"/>
        <v>0</v>
      </c>
      <c r="H4264">
        <f t="shared" si="876"/>
        <v>0</v>
      </c>
      <c r="I4264">
        <f t="shared" si="877"/>
        <v>0</v>
      </c>
      <c r="J4264">
        <f t="shared" si="878"/>
        <v>0</v>
      </c>
      <c r="K4264" s="4" t="e">
        <f t="shared" si="866"/>
        <v>#N/A</v>
      </c>
      <c r="L4264" t="e">
        <f t="shared" si="867"/>
        <v>#N/A</v>
      </c>
      <c r="M4264" s="4" t="e">
        <f t="shared" si="868"/>
        <v>#N/A</v>
      </c>
      <c r="N4264" s="4" t="e">
        <f t="shared" si="869"/>
        <v>#N/A</v>
      </c>
    </row>
    <row r="4265" spans="1:14">
      <c r="A4265">
        <f t="shared" si="870"/>
        <v>0</v>
      </c>
      <c r="B4265">
        <f t="shared" si="871"/>
        <v>0</v>
      </c>
      <c r="C4265">
        <f t="shared" si="872"/>
        <v>0</v>
      </c>
      <c r="D4265">
        <f t="shared" si="873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4"/>
        <v>0</v>
      </c>
      <c r="G4265">
        <f t="shared" si="875"/>
        <v>0</v>
      </c>
      <c r="H4265">
        <f t="shared" si="876"/>
        <v>0</v>
      </c>
      <c r="I4265">
        <f t="shared" si="877"/>
        <v>0</v>
      </c>
      <c r="J4265">
        <f t="shared" si="878"/>
        <v>0</v>
      </c>
      <c r="K4265" s="4" t="e">
        <f t="shared" si="866"/>
        <v>#N/A</v>
      </c>
      <c r="L4265" t="e">
        <f t="shared" si="867"/>
        <v>#N/A</v>
      </c>
      <c r="M4265" s="4" t="e">
        <f t="shared" si="868"/>
        <v>#N/A</v>
      </c>
      <c r="N4265" s="4" t="e">
        <f t="shared" si="869"/>
        <v>#N/A</v>
      </c>
    </row>
    <row r="4266" spans="1:14">
      <c r="A4266">
        <f t="shared" si="870"/>
        <v>0</v>
      </c>
      <c r="B4266">
        <f t="shared" si="871"/>
        <v>0</v>
      </c>
      <c r="C4266">
        <f t="shared" si="872"/>
        <v>0</v>
      </c>
      <c r="D4266">
        <f t="shared" si="873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4"/>
        <v>0</v>
      </c>
      <c r="G4266">
        <f t="shared" si="875"/>
        <v>0</v>
      </c>
      <c r="H4266">
        <f t="shared" si="876"/>
        <v>0</v>
      </c>
      <c r="I4266">
        <f t="shared" si="877"/>
        <v>0</v>
      </c>
      <c r="J4266">
        <f t="shared" si="878"/>
        <v>0</v>
      </c>
      <c r="K4266" s="4" t="e">
        <f t="shared" si="866"/>
        <v>#N/A</v>
      </c>
      <c r="L4266" t="e">
        <f t="shared" si="867"/>
        <v>#N/A</v>
      </c>
      <c r="M4266" s="4" t="e">
        <f t="shared" si="868"/>
        <v>#N/A</v>
      </c>
      <c r="N4266" s="4" t="e">
        <f t="shared" si="869"/>
        <v>#N/A</v>
      </c>
    </row>
    <row r="4267" spans="1:14">
      <c r="A4267">
        <f t="shared" si="870"/>
        <v>0</v>
      </c>
      <c r="B4267">
        <f t="shared" si="871"/>
        <v>0</v>
      </c>
      <c r="C4267">
        <f t="shared" si="872"/>
        <v>0</v>
      </c>
      <c r="D4267">
        <f t="shared" si="873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4"/>
        <v>0</v>
      </c>
      <c r="G4267">
        <f t="shared" si="875"/>
        <v>0</v>
      </c>
      <c r="H4267">
        <f t="shared" si="876"/>
        <v>0</v>
      </c>
      <c r="I4267">
        <f t="shared" si="877"/>
        <v>0</v>
      </c>
      <c r="J4267">
        <f t="shared" si="878"/>
        <v>0</v>
      </c>
      <c r="K4267" s="4" t="e">
        <f t="shared" si="866"/>
        <v>#N/A</v>
      </c>
      <c r="L4267" t="e">
        <f t="shared" si="867"/>
        <v>#N/A</v>
      </c>
      <c r="M4267" s="4" t="e">
        <f t="shared" si="868"/>
        <v>#N/A</v>
      </c>
      <c r="N4267" s="4" t="e">
        <f t="shared" si="869"/>
        <v>#N/A</v>
      </c>
    </row>
    <row r="4268" spans="1:14">
      <c r="A4268">
        <f t="shared" si="870"/>
        <v>0</v>
      </c>
      <c r="B4268">
        <f t="shared" si="871"/>
        <v>0</v>
      </c>
      <c r="C4268">
        <f t="shared" si="872"/>
        <v>0</v>
      </c>
      <c r="D4268">
        <f t="shared" si="873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4"/>
        <v>0</v>
      </c>
      <c r="G4268">
        <f t="shared" si="875"/>
        <v>0</v>
      </c>
      <c r="H4268">
        <f t="shared" si="876"/>
        <v>0</v>
      </c>
      <c r="I4268">
        <f t="shared" si="877"/>
        <v>0</v>
      </c>
      <c r="J4268">
        <f t="shared" si="878"/>
        <v>0</v>
      </c>
      <c r="K4268" s="4" t="e">
        <f t="shared" si="866"/>
        <v>#N/A</v>
      </c>
      <c r="L4268" t="e">
        <f t="shared" si="867"/>
        <v>#N/A</v>
      </c>
      <c r="M4268" s="4" t="e">
        <f t="shared" si="868"/>
        <v>#N/A</v>
      </c>
      <c r="N4268" s="4" t="e">
        <f t="shared" si="869"/>
        <v>#N/A</v>
      </c>
    </row>
    <row r="4269" spans="1:14">
      <c r="A4269">
        <f t="shared" si="870"/>
        <v>0</v>
      </c>
      <c r="B4269">
        <f t="shared" si="871"/>
        <v>0</v>
      </c>
      <c r="C4269">
        <f t="shared" si="872"/>
        <v>0</v>
      </c>
      <c r="D4269">
        <f t="shared" si="873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4"/>
        <v>0</v>
      </c>
      <c r="G4269">
        <f t="shared" si="875"/>
        <v>0</v>
      </c>
      <c r="H4269">
        <f t="shared" si="876"/>
        <v>0</v>
      </c>
      <c r="I4269">
        <f t="shared" si="877"/>
        <v>0</v>
      </c>
      <c r="J4269">
        <f t="shared" si="878"/>
        <v>0</v>
      </c>
      <c r="K4269" s="4" t="e">
        <f t="shared" si="866"/>
        <v>#N/A</v>
      </c>
      <c r="L4269" t="e">
        <f t="shared" si="867"/>
        <v>#N/A</v>
      </c>
      <c r="M4269" s="4" t="e">
        <f t="shared" si="868"/>
        <v>#N/A</v>
      </c>
      <c r="N4269" s="4" t="e">
        <f t="shared" si="869"/>
        <v>#N/A</v>
      </c>
    </row>
    <row r="4270" spans="1:14">
      <c r="A4270">
        <f t="shared" si="870"/>
        <v>0</v>
      </c>
      <c r="B4270">
        <f t="shared" si="871"/>
        <v>0</v>
      </c>
      <c r="C4270">
        <f t="shared" si="872"/>
        <v>0</v>
      </c>
      <c r="D4270">
        <f t="shared" si="873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4"/>
        <v>0</v>
      </c>
      <c r="G4270">
        <f t="shared" si="875"/>
        <v>0</v>
      </c>
      <c r="H4270">
        <f t="shared" si="876"/>
        <v>0</v>
      </c>
      <c r="I4270">
        <f t="shared" si="877"/>
        <v>0</v>
      </c>
      <c r="J4270">
        <f t="shared" si="878"/>
        <v>0</v>
      </c>
      <c r="K4270" s="4" t="e">
        <f t="shared" si="866"/>
        <v>#N/A</v>
      </c>
      <c r="L4270" t="e">
        <f t="shared" si="867"/>
        <v>#N/A</v>
      </c>
      <c r="M4270" s="4" t="e">
        <f t="shared" si="868"/>
        <v>#N/A</v>
      </c>
      <c r="N4270" s="4" t="e">
        <f t="shared" si="869"/>
        <v>#N/A</v>
      </c>
    </row>
    <row r="4271" spans="1:14">
      <c r="A4271">
        <f t="shared" si="870"/>
        <v>0</v>
      </c>
      <c r="B4271">
        <f t="shared" si="871"/>
        <v>0</v>
      </c>
      <c r="C4271">
        <f t="shared" si="872"/>
        <v>0</v>
      </c>
      <c r="D4271">
        <f t="shared" si="873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4"/>
        <v>0</v>
      </c>
      <c r="G4271">
        <f t="shared" si="875"/>
        <v>0</v>
      </c>
      <c r="H4271">
        <f t="shared" si="876"/>
        <v>0</v>
      </c>
      <c r="I4271">
        <f t="shared" si="877"/>
        <v>0</v>
      </c>
      <c r="J4271">
        <f t="shared" si="878"/>
        <v>0</v>
      </c>
      <c r="K4271" s="4" t="e">
        <f t="shared" si="866"/>
        <v>#N/A</v>
      </c>
      <c r="L4271" t="e">
        <f t="shared" si="867"/>
        <v>#N/A</v>
      </c>
      <c r="M4271" s="4" t="e">
        <f t="shared" si="868"/>
        <v>#N/A</v>
      </c>
      <c r="N4271" s="4" t="e">
        <f t="shared" si="869"/>
        <v>#N/A</v>
      </c>
    </row>
    <row r="4272" spans="1:14">
      <c r="A4272">
        <f t="shared" si="870"/>
        <v>0</v>
      </c>
      <c r="B4272">
        <f t="shared" si="871"/>
        <v>0</v>
      </c>
      <c r="C4272">
        <f t="shared" si="872"/>
        <v>0</v>
      </c>
      <c r="D4272">
        <f t="shared" si="873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4"/>
        <v>0</v>
      </c>
      <c r="G4272">
        <f t="shared" si="875"/>
        <v>0</v>
      </c>
      <c r="H4272">
        <f t="shared" si="876"/>
        <v>0</v>
      </c>
      <c r="I4272">
        <f t="shared" si="877"/>
        <v>0</v>
      </c>
      <c r="J4272">
        <f t="shared" si="878"/>
        <v>0</v>
      </c>
      <c r="K4272" s="4" t="e">
        <f t="shared" si="866"/>
        <v>#N/A</v>
      </c>
      <c r="L4272" t="e">
        <f t="shared" si="867"/>
        <v>#N/A</v>
      </c>
      <c r="M4272" s="4" t="e">
        <f t="shared" si="868"/>
        <v>#N/A</v>
      </c>
      <c r="N4272" s="4" t="e">
        <f t="shared" si="869"/>
        <v>#N/A</v>
      </c>
    </row>
    <row r="4273" spans="1:14">
      <c r="A4273">
        <f t="shared" si="870"/>
        <v>0</v>
      </c>
      <c r="B4273">
        <f t="shared" si="871"/>
        <v>0</v>
      </c>
      <c r="C4273">
        <f t="shared" si="872"/>
        <v>0</v>
      </c>
      <c r="D4273">
        <f t="shared" si="873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4"/>
        <v>0</v>
      </c>
      <c r="G4273">
        <f t="shared" si="875"/>
        <v>0</v>
      </c>
      <c r="H4273">
        <f t="shared" si="876"/>
        <v>0</v>
      </c>
      <c r="I4273">
        <f t="shared" si="877"/>
        <v>0</v>
      </c>
      <c r="J4273">
        <f t="shared" si="878"/>
        <v>0</v>
      </c>
      <c r="K4273" s="4" t="e">
        <f t="shared" si="866"/>
        <v>#N/A</v>
      </c>
      <c r="L4273" t="e">
        <f t="shared" si="867"/>
        <v>#N/A</v>
      </c>
      <c r="M4273" s="4" t="e">
        <f t="shared" si="868"/>
        <v>#N/A</v>
      </c>
      <c r="N4273" s="4" t="e">
        <f t="shared" si="869"/>
        <v>#N/A</v>
      </c>
    </row>
    <row r="4274" spans="1:14">
      <c r="A4274">
        <f t="shared" si="870"/>
        <v>0</v>
      </c>
      <c r="B4274">
        <f t="shared" si="871"/>
        <v>0</v>
      </c>
      <c r="C4274">
        <f t="shared" si="872"/>
        <v>0</v>
      </c>
      <c r="D4274">
        <f t="shared" si="873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4"/>
        <v>0</v>
      </c>
      <c r="G4274">
        <f t="shared" si="875"/>
        <v>0</v>
      </c>
      <c r="H4274">
        <f t="shared" si="876"/>
        <v>0</v>
      </c>
      <c r="I4274">
        <f t="shared" si="877"/>
        <v>0</v>
      </c>
      <c r="J4274">
        <f t="shared" si="878"/>
        <v>0</v>
      </c>
      <c r="K4274" s="4" t="e">
        <f t="shared" si="866"/>
        <v>#N/A</v>
      </c>
      <c r="L4274" t="e">
        <f t="shared" si="867"/>
        <v>#N/A</v>
      </c>
      <c r="M4274" s="4" t="e">
        <f t="shared" si="868"/>
        <v>#N/A</v>
      </c>
      <c r="N4274" s="4" t="e">
        <f t="shared" si="869"/>
        <v>#N/A</v>
      </c>
    </row>
    <row r="4275" spans="1:14">
      <c r="A4275">
        <f t="shared" si="870"/>
        <v>0</v>
      </c>
      <c r="B4275">
        <f t="shared" si="871"/>
        <v>0</v>
      </c>
      <c r="C4275">
        <f t="shared" si="872"/>
        <v>0</v>
      </c>
      <c r="D4275">
        <f t="shared" si="873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4"/>
        <v>0</v>
      </c>
      <c r="G4275">
        <f t="shared" si="875"/>
        <v>0</v>
      </c>
      <c r="H4275">
        <f t="shared" si="876"/>
        <v>0</v>
      </c>
      <c r="I4275">
        <f t="shared" si="877"/>
        <v>0</v>
      </c>
      <c r="J4275">
        <f t="shared" si="878"/>
        <v>0</v>
      </c>
      <c r="K4275" s="4" t="e">
        <f t="shared" si="866"/>
        <v>#N/A</v>
      </c>
      <c r="L4275" t="e">
        <f t="shared" si="867"/>
        <v>#N/A</v>
      </c>
      <c r="M4275" s="4" t="e">
        <f t="shared" si="868"/>
        <v>#N/A</v>
      </c>
      <c r="N4275" s="4" t="e">
        <f t="shared" si="869"/>
        <v>#N/A</v>
      </c>
    </row>
    <row r="4276" spans="1:14">
      <c r="A4276">
        <f t="shared" si="870"/>
        <v>0</v>
      </c>
      <c r="B4276">
        <f t="shared" si="871"/>
        <v>0</v>
      </c>
      <c r="C4276">
        <f t="shared" si="872"/>
        <v>0</v>
      </c>
      <c r="D4276">
        <f t="shared" si="873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4"/>
        <v>0</v>
      </c>
      <c r="G4276">
        <f t="shared" si="875"/>
        <v>0</v>
      </c>
      <c r="H4276">
        <f t="shared" si="876"/>
        <v>0</v>
      </c>
      <c r="I4276">
        <f t="shared" si="877"/>
        <v>0</v>
      </c>
      <c r="J4276">
        <f t="shared" si="878"/>
        <v>0</v>
      </c>
      <c r="K4276" s="4" t="e">
        <f t="shared" si="866"/>
        <v>#N/A</v>
      </c>
      <c r="L4276" t="e">
        <f t="shared" si="867"/>
        <v>#N/A</v>
      </c>
      <c r="M4276" s="4" t="e">
        <f t="shared" si="868"/>
        <v>#N/A</v>
      </c>
      <c r="N4276" s="4" t="e">
        <f t="shared" si="869"/>
        <v>#N/A</v>
      </c>
    </row>
    <row r="4277" spans="1:14">
      <c r="A4277">
        <f t="shared" si="870"/>
        <v>0</v>
      </c>
      <c r="B4277">
        <f t="shared" si="871"/>
        <v>0</v>
      </c>
      <c r="C4277">
        <f t="shared" si="872"/>
        <v>0</v>
      </c>
      <c r="D4277">
        <f t="shared" si="873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4"/>
        <v>0</v>
      </c>
      <c r="G4277">
        <f t="shared" si="875"/>
        <v>0</v>
      </c>
      <c r="H4277">
        <f t="shared" si="876"/>
        <v>0</v>
      </c>
      <c r="I4277">
        <f t="shared" si="877"/>
        <v>0</v>
      </c>
      <c r="J4277">
        <f t="shared" si="878"/>
        <v>0</v>
      </c>
      <c r="K4277" s="4" t="e">
        <f t="shared" si="866"/>
        <v>#N/A</v>
      </c>
      <c r="L4277" t="e">
        <f t="shared" si="867"/>
        <v>#N/A</v>
      </c>
      <c r="M4277" s="4" t="e">
        <f t="shared" si="868"/>
        <v>#N/A</v>
      </c>
      <c r="N4277" s="4" t="e">
        <f t="shared" si="869"/>
        <v>#N/A</v>
      </c>
    </row>
    <row r="4278" spans="1:14">
      <c r="A4278">
        <f t="shared" si="870"/>
        <v>0</v>
      </c>
      <c r="B4278">
        <f t="shared" si="871"/>
        <v>0</v>
      </c>
      <c r="C4278">
        <f t="shared" si="872"/>
        <v>0</v>
      </c>
      <c r="D4278">
        <f t="shared" si="873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4"/>
        <v>0</v>
      </c>
      <c r="G4278">
        <f t="shared" si="875"/>
        <v>0</v>
      </c>
      <c r="H4278">
        <f t="shared" si="876"/>
        <v>0</v>
      </c>
      <c r="I4278">
        <f t="shared" si="877"/>
        <v>0</v>
      </c>
      <c r="J4278">
        <f t="shared" si="878"/>
        <v>0</v>
      </c>
      <c r="K4278" s="4" t="e">
        <f t="shared" si="866"/>
        <v>#N/A</v>
      </c>
      <c r="L4278" t="e">
        <f t="shared" si="867"/>
        <v>#N/A</v>
      </c>
      <c r="M4278" s="4" t="e">
        <f t="shared" si="868"/>
        <v>#N/A</v>
      </c>
      <c r="N4278" s="4" t="e">
        <f t="shared" si="869"/>
        <v>#N/A</v>
      </c>
    </row>
    <row r="4279" spans="1:14">
      <c r="A4279">
        <f t="shared" si="870"/>
        <v>0</v>
      </c>
      <c r="B4279">
        <f t="shared" si="871"/>
        <v>0</v>
      </c>
      <c r="C4279">
        <f t="shared" si="872"/>
        <v>0</v>
      </c>
      <c r="D4279">
        <f t="shared" si="873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4"/>
        <v>0</v>
      </c>
      <c r="G4279">
        <f t="shared" si="875"/>
        <v>0</v>
      </c>
      <c r="H4279">
        <f t="shared" si="876"/>
        <v>0</v>
      </c>
      <c r="I4279">
        <f t="shared" si="877"/>
        <v>0</v>
      </c>
      <c r="J4279">
        <f t="shared" si="878"/>
        <v>0</v>
      </c>
      <c r="K4279" s="4" t="e">
        <f t="shared" si="866"/>
        <v>#N/A</v>
      </c>
      <c r="L4279" t="e">
        <f t="shared" si="867"/>
        <v>#N/A</v>
      </c>
      <c r="M4279" s="4" t="e">
        <f t="shared" si="868"/>
        <v>#N/A</v>
      </c>
      <c r="N4279" s="4" t="e">
        <f t="shared" si="869"/>
        <v>#N/A</v>
      </c>
    </row>
    <row r="4280" spans="1:14">
      <c r="A4280">
        <f t="shared" si="870"/>
        <v>0</v>
      </c>
      <c r="B4280">
        <f t="shared" si="871"/>
        <v>0</v>
      </c>
      <c r="C4280">
        <f t="shared" si="872"/>
        <v>0</v>
      </c>
      <c r="D4280">
        <f t="shared" si="873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4"/>
        <v>0</v>
      </c>
      <c r="G4280">
        <f t="shared" si="875"/>
        <v>0</v>
      </c>
      <c r="H4280">
        <f t="shared" si="876"/>
        <v>0</v>
      </c>
      <c r="I4280">
        <f t="shared" si="877"/>
        <v>0</v>
      </c>
      <c r="J4280">
        <f t="shared" si="878"/>
        <v>0</v>
      </c>
      <c r="K4280" s="4" t="e">
        <f t="shared" si="866"/>
        <v>#N/A</v>
      </c>
      <c r="L4280" t="e">
        <f t="shared" si="867"/>
        <v>#N/A</v>
      </c>
      <c r="M4280" s="4" t="e">
        <f t="shared" si="868"/>
        <v>#N/A</v>
      </c>
      <c r="N4280" s="4" t="e">
        <f t="shared" si="869"/>
        <v>#N/A</v>
      </c>
    </row>
    <row r="4281" spans="1:14">
      <c r="A4281">
        <f t="shared" si="870"/>
        <v>0</v>
      </c>
      <c r="B4281">
        <f t="shared" si="871"/>
        <v>0</v>
      </c>
      <c r="C4281">
        <f t="shared" si="872"/>
        <v>0</v>
      </c>
      <c r="D4281">
        <f t="shared" si="873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4"/>
        <v>0</v>
      </c>
      <c r="G4281">
        <f t="shared" si="875"/>
        <v>0</v>
      </c>
      <c r="H4281">
        <f t="shared" si="876"/>
        <v>0</v>
      </c>
      <c r="I4281">
        <f t="shared" si="877"/>
        <v>0</v>
      </c>
      <c r="J4281">
        <f t="shared" si="878"/>
        <v>0</v>
      </c>
      <c r="K4281" s="4" t="e">
        <f t="shared" si="866"/>
        <v>#N/A</v>
      </c>
      <c r="L4281" t="e">
        <f t="shared" si="867"/>
        <v>#N/A</v>
      </c>
      <c r="M4281" s="4" t="e">
        <f t="shared" si="868"/>
        <v>#N/A</v>
      </c>
      <c r="N4281" s="4" t="e">
        <f t="shared" si="869"/>
        <v>#N/A</v>
      </c>
    </row>
    <row r="4282" spans="1:14">
      <c r="A4282">
        <f t="shared" si="870"/>
        <v>0</v>
      </c>
      <c r="B4282">
        <f t="shared" si="871"/>
        <v>0</v>
      </c>
      <c r="C4282">
        <f t="shared" si="872"/>
        <v>0</v>
      </c>
      <c r="D4282">
        <f t="shared" si="873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4"/>
        <v>0</v>
      </c>
      <c r="G4282">
        <f t="shared" si="875"/>
        <v>0</v>
      </c>
      <c r="H4282">
        <f t="shared" si="876"/>
        <v>0</v>
      </c>
      <c r="I4282">
        <f t="shared" si="877"/>
        <v>0</v>
      </c>
      <c r="J4282">
        <f t="shared" si="878"/>
        <v>0</v>
      </c>
      <c r="K4282" s="4" t="e">
        <f t="shared" si="866"/>
        <v>#N/A</v>
      </c>
      <c r="L4282" t="e">
        <f t="shared" si="867"/>
        <v>#N/A</v>
      </c>
      <c r="M4282" s="4" t="e">
        <f t="shared" si="868"/>
        <v>#N/A</v>
      </c>
      <c r="N4282" s="4" t="e">
        <f t="shared" si="869"/>
        <v>#N/A</v>
      </c>
    </row>
    <row r="4283" spans="1:14">
      <c r="A4283">
        <f t="shared" si="870"/>
        <v>0</v>
      </c>
      <c r="B4283">
        <f t="shared" si="871"/>
        <v>0</v>
      </c>
      <c r="C4283">
        <f t="shared" si="872"/>
        <v>0</v>
      </c>
      <c r="D4283">
        <f t="shared" si="873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4"/>
        <v>0</v>
      </c>
      <c r="G4283">
        <f t="shared" si="875"/>
        <v>0</v>
      </c>
      <c r="H4283">
        <f t="shared" si="876"/>
        <v>0</v>
      </c>
      <c r="I4283">
        <f t="shared" si="877"/>
        <v>0</v>
      </c>
      <c r="J4283">
        <f t="shared" si="878"/>
        <v>0</v>
      </c>
      <c r="K4283" s="4" t="e">
        <f t="shared" si="866"/>
        <v>#N/A</v>
      </c>
      <c r="L4283" t="e">
        <f t="shared" si="867"/>
        <v>#N/A</v>
      </c>
      <c r="M4283" s="4" t="e">
        <f t="shared" si="868"/>
        <v>#N/A</v>
      </c>
      <c r="N4283" s="4" t="e">
        <f t="shared" si="869"/>
        <v>#N/A</v>
      </c>
    </row>
    <row r="4284" spans="1:14">
      <c r="A4284">
        <f t="shared" si="870"/>
        <v>0</v>
      </c>
      <c r="B4284">
        <f t="shared" si="871"/>
        <v>0</v>
      </c>
      <c r="C4284">
        <f t="shared" si="872"/>
        <v>0</v>
      </c>
      <c r="D4284">
        <f t="shared" si="873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4"/>
        <v>0</v>
      </c>
      <c r="G4284">
        <f t="shared" si="875"/>
        <v>0</v>
      </c>
      <c r="H4284">
        <f t="shared" si="876"/>
        <v>0</v>
      </c>
      <c r="I4284">
        <f t="shared" si="877"/>
        <v>0</v>
      </c>
      <c r="J4284">
        <f t="shared" si="878"/>
        <v>0</v>
      </c>
      <c r="K4284" s="4" t="e">
        <f t="shared" si="866"/>
        <v>#N/A</v>
      </c>
      <c r="L4284" t="e">
        <f t="shared" si="867"/>
        <v>#N/A</v>
      </c>
      <c r="M4284" s="4" t="e">
        <f t="shared" si="868"/>
        <v>#N/A</v>
      </c>
      <c r="N4284" s="4" t="e">
        <f t="shared" si="869"/>
        <v>#N/A</v>
      </c>
    </row>
    <row r="4285" spans="1:14">
      <c r="A4285">
        <f t="shared" si="870"/>
        <v>0</v>
      </c>
      <c r="B4285">
        <f t="shared" si="871"/>
        <v>0</v>
      </c>
      <c r="C4285">
        <f t="shared" si="872"/>
        <v>0</v>
      </c>
      <c r="D4285">
        <f t="shared" si="873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4"/>
        <v>0</v>
      </c>
      <c r="G4285">
        <f t="shared" si="875"/>
        <v>0</v>
      </c>
      <c r="H4285">
        <f t="shared" si="876"/>
        <v>0</v>
      </c>
      <c r="I4285">
        <f t="shared" si="877"/>
        <v>0</v>
      </c>
      <c r="J4285">
        <f t="shared" si="878"/>
        <v>0</v>
      </c>
      <c r="K4285" s="4" t="e">
        <f t="shared" ref="K4285:K4348" si="879">IF(LEFT(B4285,3)="DBM",0,VLOOKUP(E4285,tabela,2,FALSE))</f>
        <v>#N/A</v>
      </c>
      <c r="L4285" t="e">
        <f t="shared" ref="L4285:L4348" si="880">VLOOKUP(E4285,tabela,3,FALSE)</f>
        <v>#N/A</v>
      </c>
      <c r="M4285" s="4" t="e">
        <f t="shared" ref="M4285:M4348" si="881">IF(E4285="Dynamic Click",J4285*K4285,K4285*$I4285/1000)</f>
        <v>#N/A</v>
      </c>
      <c r="N4285" s="4" t="e">
        <f t="shared" ref="N4285:N4348" si="882">IF(E4285="Dynamic Click",J4285*L4285,L4285*$I4285/1000)</f>
        <v>#N/A</v>
      </c>
    </row>
    <row r="4286" spans="1:14">
      <c r="A4286">
        <f t="shared" si="870"/>
        <v>0</v>
      </c>
      <c r="B4286">
        <f t="shared" si="871"/>
        <v>0</v>
      </c>
      <c r="C4286">
        <f t="shared" si="872"/>
        <v>0</v>
      </c>
      <c r="D4286">
        <f t="shared" si="873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4"/>
        <v>0</v>
      </c>
      <c r="G4286">
        <f t="shared" si="875"/>
        <v>0</v>
      </c>
      <c r="H4286">
        <f t="shared" si="876"/>
        <v>0</v>
      </c>
      <c r="I4286">
        <f t="shared" si="877"/>
        <v>0</v>
      </c>
      <c r="J4286">
        <f t="shared" si="878"/>
        <v>0</v>
      </c>
      <c r="K4286" s="4" t="e">
        <f t="shared" si="879"/>
        <v>#N/A</v>
      </c>
      <c r="L4286" t="e">
        <f t="shared" si="880"/>
        <v>#N/A</v>
      </c>
      <c r="M4286" s="4" t="e">
        <f t="shared" si="881"/>
        <v>#N/A</v>
      </c>
      <c r="N4286" s="4" t="e">
        <f t="shared" si="882"/>
        <v>#N/A</v>
      </c>
    </row>
    <row r="4287" spans="1:14">
      <c r="A4287">
        <f t="shared" si="870"/>
        <v>0</v>
      </c>
      <c r="B4287">
        <f t="shared" si="871"/>
        <v>0</v>
      </c>
      <c r="C4287">
        <f t="shared" si="872"/>
        <v>0</v>
      </c>
      <c r="D4287">
        <f t="shared" si="873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4"/>
        <v>0</v>
      </c>
      <c r="G4287">
        <f t="shared" si="875"/>
        <v>0</v>
      </c>
      <c r="H4287">
        <f t="shared" si="876"/>
        <v>0</v>
      </c>
      <c r="I4287">
        <f t="shared" si="877"/>
        <v>0</v>
      </c>
      <c r="J4287">
        <f t="shared" si="878"/>
        <v>0</v>
      </c>
      <c r="K4287" s="4" t="e">
        <f t="shared" si="879"/>
        <v>#N/A</v>
      </c>
      <c r="L4287" t="e">
        <f t="shared" si="880"/>
        <v>#N/A</v>
      </c>
      <c r="M4287" s="4" t="e">
        <f t="shared" si="881"/>
        <v>#N/A</v>
      </c>
      <c r="N4287" s="4" t="e">
        <f t="shared" si="882"/>
        <v>#N/A</v>
      </c>
    </row>
    <row r="4288" spans="1:14">
      <c r="A4288">
        <f t="shared" si="870"/>
        <v>0</v>
      </c>
      <c r="B4288">
        <f t="shared" si="871"/>
        <v>0</v>
      </c>
      <c r="C4288">
        <f t="shared" si="872"/>
        <v>0</v>
      </c>
      <c r="D4288">
        <f t="shared" si="873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4"/>
        <v>0</v>
      </c>
      <c r="G4288">
        <f t="shared" si="875"/>
        <v>0</v>
      </c>
      <c r="H4288">
        <f t="shared" si="876"/>
        <v>0</v>
      </c>
      <c r="I4288">
        <f t="shared" si="877"/>
        <v>0</v>
      </c>
      <c r="J4288">
        <f t="shared" si="878"/>
        <v>0</v>
      </c>
      <c r="K4288" s="4" t="e">
        <f t="shared" si="879"/>
        <v>#N/A</v>
      </c>
      <c r="L4288" t="e">
        <f t="shared" si="880"/>
        <v>#N/A</v>
      </c>
      <c r="M4288" s="4" t="e">
        <f t="shared" si="881"/>
        <v>#N/A</v>
      </c>
      <c r="N4288" s="4" t="e">
        <f t="shared" si="882"/>
        <v>#N/A</v>
      </c>
    </row>
    <row r="4289" spans="1:14">
      <c r="A4289">
        <f t="shared" si="870"/>
        <v>0</v>
      </c>
      <c r="B4289">
        <f t="shared" si="871"/>
        <v>0</v>
      </c>
      <c r="C4289">
        <f t="shared" si="872"/>
        <v>0</v>
      </c>
      <c r="D4289">
        <f t="shared" si="873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4"/>
        <v>0</v>
      </c>
      <c r="G4289">
        <f t="shared" si="875"/>
        <v>0</v>
      </c>
      <c r="H4289">
        <f t="shared" si="876"/>
        <v>0</v>
      </c>
      <c r="I4289">
        <f t="shared" si="877"/>
        <v>0</v>
      </c>
      <c r="J4289">
        <f t="shared" si="878"/>
        <v>0</v>
      </c>
      <c r="K4289" s="4" t="e">
        <f t="shared" si="879"/>
        <v>#N/A</v>
      </c>
      <c r="L4289" t="e">
        <f t="shared" si="880"/>
        <v>#N/A</v>
      </c>
      <c r="M4289" s="4" t="e">
        <f t="shared" si="881"/>
        <v>#N/A</v>
      </c>
      <c r="N4289" s="4" t="e">
        <f t="shared" si="882"/>
        <v>#N/A</v>
      </c>
    </row>
    <row r="4290" spans="1:14">
      <c r="A4290">
        <f t="shared" ref="A4290:A4353" si="883">bd_campaign</f>
        <v>0</v>
      </c>
      <c r="B4290">
        <f t="shared" ref="B4290:B4353" si="884">bd_site</f>
        <v>0</v>
      </c>
      <c r="C4290">
        <f t="shared" ref="C4290:C4353" si="885">bd_placement</f>
        <v>0</v>
      </c>
      <c r="D4290">
        <f t="shared" ref="D4290:D4353" si="886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7">bd_ad</f>
        <v>0</v>
      </c>
      <c r="G4290">
        <f t="shared" ref="G4290:G4353" si="888">bd_adid</f>
        <v>0</v>
      </c>
      <c r="H4290">
        <f t="shared" ref="H4290:H4353" si="889">bd_creativetype</f>
        <v>0</v>
      </c>
      <c r="I4290">
        <f t="shared" ref="I4290:I4353" si="890">bd_impression</f>
        <v>0</v>
      </c>
      <c r="J4290">
        <f t="shared" ref="J4290:J4353" si="891">bd_clicks</f>
        <v>0</v>
      </c>
      <c r="K4290" s="4" t="e">
        <f t="shared" si="879"/>
        <v>#N/A</v>
      </c>
      <c r="L4290" t="e">
        <f t="shared" si="880"/>
        <v>#N/A</v>
      </c>
      <c r="M4290" s="4" t="e">
        <f t="shared" si="881"/>
        <v>#N/A</v>
      </c>
      <c r="N4290" s="4" t="e">
        <f t="shared" si="882"/>
        <v>#N/A</v>
      </c>
    </row>
    <row r="4291" spans="1:14">
      <c r="A4291">
        <f t="shared" si="883"/>
        <v>0</v>
      </c>
      <c r="B4291">
        <f t="shared" si="884"/>
        <v>0</v>
      </c>
      <c r="C4291">
        <f t="shared" si="885"/>
        <v>0</v>
      </c>
      <c r="D4291">
        <f t="shared" si="886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7"/>
        <v>0</v>
      </c>
      <c r="G4291">
        <f t="shared" si="888"/>
        <v>0</v>
      </c>
      <c r="H4291">
        <f t="shared" si="889"/>
        <v>0</v>
      </c>
      <c r="I4291">
        <f t="shared" si="890"/>
        <v>0</v>
      </c>
      <c r="J4291">
        <f t="shared" si="891"/>
        <v>0</v>
      </c>
      <c r="K4291" s="4" t="e">
        <f t="shared" si="879"/>
        <v>#N/A</v>
      </c>
      <c r="L4291" t="e">
        <f t="shared" si="880"/>
        <v>#N/A</v>
      </c>
      <c r="M4291" s="4" t="e">
        <f t="shared" si="881"/>
        <v>#N/A</v>
      </c>
      <c r="N4291" s="4" t="e">
        <f t="shared" si="882"/>
        <v>#N/A</v>
      </c>
    </row>
    <row r="4292" spans="1:14">
      <c r="A4292">
        <f t="shared" si="883"/>
        <v>0</v>
      </c>
      <c r="B4292">
        <f t="shared" si="884"/>
        <v>0</v>
      </c>
      <c r="C4292">
        <f t="shared" si="885"/>
        <v>0</v>
      </c>
      <c r="D4292">
        <f t="shared" si="886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7"/>
        <v>0</v>
      </c>
      <c r="G4292">
        <f t="shared" si="888"/>
        <v>0</v>
      </c>
      <c r="H4292">
        <f t="shared" si="889"/>
        <v>0</v>
      </c>
      <c r="I4292">
        <f t="shared" si="890"/>
        <v>0</v>
      </c>
      <c r="J4292">
        <f t="shared" si="891"/>
        <v>0</v>
      </c>
      <c r="K4292" s="4" t="e">
        <f t="shared" si="879"/>
        <v>#N/A</v>
      </c>
      <c r="L4292" t="e">
        <f t="shared" si="880"/>
        <v>#N/A</v>
      </c>
      <c r="M4292" s="4" t="e">
        <f t="shared" si="881"/>
        <v>#N/A</v>
      </c>
      <c r="N4292" s="4" t="e">
        <f t="shared" si="882"/>
        <v>#N/A</v>
      </c>
    </row>
    <row r="4293" spans="1:14">
      <c r="A4293">
        <f t="shared" si="883"/>
        <v>0</v>
      </c>
      <c r="B4293">
        <f t="shared" si="884"/>
        <v>0</v>
      </c>
      <c r="C4293">
        <f t="shared" si="885"/>
        <v>0</v>
      </c>
      <c r="D4293">
        <f t="shared" si="886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7"/>
        <v>0</v>
      </c>
      <c r="G4293">
        <f t="shared" si="888"/>
        <v>0</v>
      </c>
      <c r="H4293">
        <f t="shared" si="889"/>
        <v>0</v>
      </c>
      <c r="I4293">
        <f t="shared" si="890"/>
        <v>0</v>
      </c>
      <c r="J4293">
        <f t="shared" si="891"/>
        <v>0</v>
      </c>
      <c r="K4293" s="4" t="e">
        <f t="shared" si="879"/>
        <v>#N/A</v>
      </c>
      <c r="L4293" t="e">
        <f t="shared" si="880"/>
        <v>#N/A</v>
      </c>
      <c r="M4293" s="4" t="e">
        <f t="shared" si="881"/>
        <v>#N/A</v>
      </c>
      <c r="N4293" s="4" t="e">
        <f t="shared" si="882"/>
        <v>#N/A</v>
      </c>
    </row>
    <row r="4294" spans="1:14">
      <c r="A4294">
        <f t="shared" si="883"/>
        <v>0</v>
      </c>
      <c r="B4294">
        <f t="shared" si="884"/>
        <v>0</v>
      </c>
      <c r="C4294">
        <f t="shared" si="885"/>
        <v>0</v>
      </c>
      <c r="D4294">
        <f t="shared" si="886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7"/>
        <v>0</v>
      </c>
      <c r="G4294">
        <f t="shared" si="888"/>
        <v>0</v>
      </c>
      <c r="H4294">
        <f t="shared" si="889"/>
        <v>0</v>
      </c>
      <c r="I4294">
        <f t="shared" si="890"/>
        <v>0</v>
      </c>
      <c r="J4294">
        <f t="shared" si="891"/>
        <v>0</v>
      </c>
      <c r="K4294" s="4" t="e">
        <f t="shared" si="879"/>
        <v>#N/A</v>
      </c>
      <c r="L4294" t="e">
        <f t="shared" si="880"/>
        <v>#N/A</v>
      </c>
      <c r="M4294" s="4" t="e">
        <f t="shared" si="881"/>
        <v>#N/A</v>
      </c>
      <c r="N4294" s="4" t="e">
        <f t="shared" si="882"/>
        <v>#N/A</v>
      </c>
    </row>
    <row r="4295" spans="1:14">
      <c r="A4295">
        <f t="shared" si="883"/>
        <v>0</v>
      </c>
      <c r="B4295">
        <f t="shared" si="884"/>
        <v>0</v>
      </c>
      <c r="C4295">
        <f t="shared" si="885"/>
        <v>0</v>
      </c>
      <c r="D4295">
        <f t="shared" si="886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7"/>
        <v>0</v>
      </c>
      <c r="G4295">
        <f t="shared" si="888"/>
        <v>0</v>
      </c>
      <c r="H4295">
        <f t="shared" si="889"/>
        <v>0</v>
      </c>
      <c r="I4295">
        <f t="shared" si="890"/>
        <v>0</v>
      </c>
      <c r="J4295">
        <f t="shared" si="891"/>
        <v>0</v>
      </c>
      <c r="K4295" s="4" t="e">
        <f t="shared" si="879"/>
        <v>#N/A</v>
      </c>
      <c r="L4295" t="e">
        <f t="shared" si="880"/>
        <v>#N/A</v>
      </c>
      <c r="M4295" s="4" t="e">
        <f t="shared" si="881"/>
        <v>#N/A</v>
      </c>
      <c r="N4295" s="4" t="e">
        <f t="shared" si="882"/>
        <v>#N/A</v>
      </c>
    </row>
    <row r="4296" spans="1:14">
      <c r="A4296">
        <f t="shared" si="883"/>
        <v>0</v>
      </c>
      <c r="B4296">
        <f t="shared" si="884"/>
        <v>0</v>
      </c>
      <c r="C4296">
        <f t="shared" si="885"/>
        <v>0</v>
      </c>
      <c r="D4296">
        <f t="shared" si="886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7"/>
        <v>0</v>
      </c>
      <c r="G4296">
        <f t="shared" si="888"/>
        <v>0</v>
      </c>
      <c r="H4296">
        <f t="shared" si="889"/>
        <v>0</v>
      </c>
      <c r="I4296">
        <f t="shared" si="890"/>
        <v>0</v>
      </c>
      <c r="J4296">
        <f t="shared" si="891"/>
        <v>0</v>
      </c>
      <c r="K4296" s="4" t="e">
        <f t="shared" si="879"/>
        <v>#N/A</v>
      </c>
      <c r="L4296" t="e">
        <f t="shared" si="880"/>
        <v>#N/A</v>
      </c>
      <c r="M4296" s="4" t="e">
        <f t="shared" si="881"/>
        <v>#N/A</v>
      </c>
      <c r="N4296" s="4" t="e">
        <f t="shared" si="882"/>
        <v>#N/A</v>
      </c>
    </row>
    <row r="4297" spans="1:14">
      <c r="A4297">
        <f t="shared" si="883"/>
        <v>0</v>
      </c>
      <c r="B4297">
        <f t="shared" si="884"/>
        <v>0</v>
      </c>
      <c r="C4297">
        <f t="shared" si="885"/>
        <v>0</v>
      </c>
      <c r="D4297">
        <f t="shared" si="886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7"/>
        <v>0</v>
      </c>
      <c r="G4297">
        <f t="shared" si="888"/>
        <v>0</v>
      </c>
      <c r="H4297">
        <f t="shared" si="889"/>
        <v>0</v>
      </c>
      <c r="I4297">
        <f t="shared" si="890"/>
        <v>0</v>
      </c>
      <c r="J4297">
        <f t="shared" si="891"/>
        <v>0</v>
      </c>
      <c r="K4297" s="4" t="e">
        <f t="shared" si="879"/>
        <v>#N/A</v>
      </c>
      <c r="L4297" t="e">
        <f t="shared" si="880"/>
        <v>#N/A</v>
      </c>
      <c r="M4297" s="4" t="e">
        <f t="shared" si="881"/>
        <v>#N/A</v>
      </c>
      <c r="N4297" s="4" t="e">
        <f t="shared" si="882"/>
        <v>#N/A</v>
      </c>
    </row>
    <row r="4298" spans="1:14">
      <c r="A4298">
        <f t="shared" si="883"/>
        <v>0</v>
      </c>
      <c r="B4298">
        <f t="shared" si="884"/>
        <v>0</v>
      </c>
      <c r="C4298">
        <f t="shared" si="885"/>
        <v>0</v>
      </c>
      <c r="D4298">
        <f t="shared" si="886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7"/>
        <v>0</v>
      </c>
      <c r="G4298">
        <f t="shared" si="888"/>
        <v>0</v>
      </c>
      <c r="H4298">
        <f t="shared" si="889"/>
        <v>0</v>
      </c>
      <c r="I4298">
        <f t="shared" si="890"/>
        <v>0</v>
      </c>
      <c r="J4298">
        <f t="shared" si="891"/>
        <v>0</v>
      </c>
      <c r="K4298" s="4" t="e">
        <f t="shared" si="879"/>
        <v>#N/A</v>
      </c>
      <c r="L4298" t="e">
        <f t="shared" si="880"/>
        <v>#N/A</v>
      </c>
      <c r="M4298" s="4" t="e">
        <f t="shared" si="881"/>
        <v>#N/A</v>
      </c>
      <c r="N4298" s="4" t="e">
        <f t="shared" si="882"/>
        <v>#N/A</v>
      </c>
    </row>
    <row r="4299" spans="1:14">
      <c r="A4299">
        <f t="shared" si="883"/>
        <v>0</v>
      </c>
      <c r="B4299">
        <f t="shared" si="884"/>
        <v>0</v>
      </c>
      <c r="C4299">
        <f t="shared" si="885"/>
        <v>0</v>
      </c>
      <c r="D4299">
        <f t="shared" si="886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7"/>
        <v>0</v>
      </c>
      <c r="G4299">
        <f t="shared" si="888"/>
        <v>0</v>
      </c>
      <c r="H4299">
        <f t="shared" si="889"/>
        <v>0</v>
      </c>
      <c r="I4299">
        <f t="shared" si="890"/>
        <v>0</v>
      </c>
      <c r="J4299">
        <f t="shared" si="891"/>
        <v>0</v>
      </c>
      <c r="K4299" s="4" t="e">
        <f t="shared" si="879"/>
        <v>#N/A</v>
      </c>
      <c r="L4299" t="e">
        <f t="shared" si="880"/>
        <v>#N/A</v>
      </c>
      <c r="M4299" s="4" t="e">
        <f t="shared" si="881"/>
        <v>#N/A</v>
      </c>
      <c r="N4299" s="4" t="e">
        <f t="shared" si="882"/>
        <v>#N/A</v>
      </c>
    </row>
    <row r="4300" spans="1:14">
      <c r="A4300">
        <f t="shared" si="883"/>
        <v>0</v>
      </c>
      <c r="B4300">
        <f t="shared" si="884"/>
        <v>0</v>
      </c>
      <c r="C4300">
        <f t="shared" si="885"/>
        <v>0</v>
      </c>
      <c r="D4300">
        <f t="shared" si="886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7"/>
        <v>0</v>
      </c>
      <c r="G4300">
        <f t="shared" si="888"/>
        <v>0</v>
      </c>
      <c r="H4300">
        <f t="shared" si="889"/>
        <v>0</v>
      </c>
      <c r="I4300">
        <f t="shared" si="890"/>
        <v>0</v>
      </c>
      <c r="J4300">
        <f t="shared" si="891"/>
        <v>0</v>
      </c>
      <c r="K4300" s="4" t="e">
        <f t="shared" si="879"/>
        <v>#N/A</v>
      </c>
      <c r="L4300" t="e">
        <f t="shared" si="880"/>
        <v>#N/A</v>
      </c>
      <c r="M4300" s="4" t="e">
        <f t="shared" si="881"/>
        <v>#N/A</v>
      </c>
      <c r="N4300" s="4" t="e">
        <f t="shared" si="882"/>
        <v>#N/A</v>
      </c>
    </row>
    <row r="4301" spans="1:14">
      <c r="A4301">
        <f t="shared" si="883"/>
        <v>0</v>
      </c>
      <c r="B4301">
        <f t="shared" si="884"/>
        <v>0</v>
      </c>
      <c r="C4301">
        <f t="shared" si="885"/>
        <v>0</v>
      </c>
      <c r="D4301">
        <f t="shared" si="886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7"/>
        <v>0</v>
      </c>
      <c r="G4301">
        <f t="shared" si="888"/>
        <v>0</v>
      </c>
      <c r="H4301">
        <f t="shared" si="889"/>
        <v>0</v>
      </c>
      <c r="I4301">
        <f t="shared" si="890"/>
        <v>0</v>
      </c>
      <c r="J4301">
        <f t="shared" si="891"/>
        <v>0</v>
      </c>
      <c r="K4301" s="4" t="e">
        <f t="shared" si="879"/>
        <v>#N/A</v>
      </c>
      <c r="L4301" t="e">
        <f t="shared" si="880"/>
        <v>#N/A</v>
      </c>
      <c r="M4301" s="4" t="e">
        <f t="shared" si="881"/>
        <v>#N/A</v>
      </c>
      <c r="N4301" s="4" t="e">
        <f t="shared" si="882"/>
        <v>#N/A</v>
      </c>
    </row>
    <row r="4302" spans="1:14">
      <c r="A4302">
        <f t="shared" si="883"/>
        <v>0</v>
      </c>
      <c r="B4302">
        <f t="shared" si="884"/>
        <v>0</v>
      </c>
      <c r="C4302">
        <f t="shared" si="885"/>
        <v>0</v>
      </c>
      <c r="D4302">
        <f t="shared" si="886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7"/>
        <v>0</v>
      </c>
      <c r="G4302">
        <f t="shared" si="888"/>
        <v>0</v>
      </c>
      <c r="H4302">
        <f t="shared" si="889"/>
        <v>0</v>
      </c>
      <c r="I4302">
        <f t="shared" si="890"/>
        <v>0</v>
      </c>
      <c r="J4302">
        <f t="shared" si="891"/>
        <v>0</v>
      </c>
      <c r="K4302" s="4" t="e">
        <f t="shared" si="879"/>
        <v>#N/A</v>
      </c>
      <c r="L4302" t="e">
        <f t="shared" si="880"/>
        <v>#N/A</v>
      </c>
      <c r="M4302" s="4" t="e">
        <f t="shared" si="881"/>
        <v>#N/A</v>
      </c>
      <c r="N4302" s="4" t="e">
        <f t="shared" si="882"/>
        <v>#N/A</v>
      </c>
    </row>
    <row r="4303" spans="1:14">
      <c r="A4303">
        <f t="shared" si="883"/>
        <v>0</v>
      </c>
      <c r="B4303">
        <f t="shared" si="884"/>
        <v>0</v>
      </c>
      <c r="C4303">
        <f t="shared" si="885"/>
        <v>0</v>
      </c>
      <c r="D4303">
        <f t="shared" si="886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7"/>
        <v>0</v>
      </c>
      <c r="G4303">
        <f t="shared" si="888"/>
        <v>0</v>
      </c>
      <c r="H4303">
        <f t="shared" si="889"/>
        <v>0</v>
      </c>
      <c r="I4303">
        <f t="shared" si="890"/>
        <v>0</v>
      </c>
      <c r="J4303">
        <f t="shared" si="891"/>
        <v>0</v>
      </c>
      <c r="K4303" s="4" t="e">
        <f t="shared" si="879"/>
        <v>#N/A</v>
      </c>
      <c r="L4303" t="e">
        <f t="shared" si="880"/>
        <v>#N/A</v>
      </c>
      <c r="M4303" s="4" t="e">
        <f t="shared" si="881"/>
        <v>#N/A</v>
      </c>
      <c r="N4303" s="4" t="e">
        <f t="shared" si="882"/>
        <v>#N/A</v>
      </c>
    </row>
    <row r="4304" spans="1:14">
      <c r="A4304">
        <f t="shared" si="883"/>
        <v>0</v>
      </c>
      <c r="B4304">
        <f t="shared" si="884"/>
        <v>0</v>
      </c>
      <c r="C4304">
        <f t="shared" si="885"/>
        <v>0</v>
      </c>
      <c r="D4304">
        <f t="shared" si="886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7"/>
        <v>0</v>
      </c>
      <c r="G4304">
        <f t="shared" si="888"/>
        <v>0</v>
      </c>
      <c r="H4304">
        <f t="shared" si="889"/>
        <v>0</v>
      </c>
      <c r="I4304">
        <f t="shared" si="890"/>
        <v>0</v>
      </c>
      <c r="J4304">
        <f t="shared" si="891"/>
        <v>0</v>
      </c>
      <c r="K4304" s="4" t="e">
        <f t="shared" si="879"/>
        <v>#N/A</v>
      </c>
      <c r="L4304" t="e">
        <f t="shared" si="880"/>
        <v>#N/A</v>
      </c>
      <c r="M4304" s="4" t="e">
        <f t="shared" si="881"/>
        <v>#N/A</v>
      </c>
      <c r="N4304" s="4" t="e">
        <f t="shared" si="882"/>
        <v>#N/A</v>
      </c>
    </row>
    <row r="4305" spans="1:14">
      <c r="A4305">
        <f t="shared" si="883"/>
        <v>0</v>
      </c>
      <c r="B4305">
        <f t="shared" si="884"/>
        <v>0</v>
      </c>
      <c r="C4305">
        <f t="shared" si="885"/>
        <v>0</v>
      </c>
      <c r="D4305">
        <f t="shared" si="886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7"/>
        <v>0</v>
      </c>
      <c r="G4305">
        <f t="shared" si="888"/>
        <v>0</v>
      </c>
      <c r="H4305">
        <f t="shared" si="889"/>
        <v>0</v>
      </c>
      <c r="I4305">
        <f t="shared" si="890"/>
        <v>0</v>
      </c>
      <c r="J4305">
        <f t="shared" si="891"/>
        <v>0</v>
      </c>
      <c r="K4305" s="4" t="e">
        <f t="shared" si="879"/>
        <v>#N/A</v>
      </c>
      <c r="L4305" t="e">
        <f t="shared" si="880"/>
        <v>#N/A</v>
      </c>
      <c r="M4305" s="4" t="e">
        <f t="shared" si="881"/>
        <v>#N/A</v>
      </c>
      <c r="N4305" s="4" t="e">
        <f t="shared" si="882"/>
        <v>#N/A</v>
      </c>
    </row>
    <row r="4306" spans="1:14">
      <c r="A4306">
        <f t="shared" si="883"/>
        <v>0</v>
      </c>
      <c r="B4306">
        <f t="shared" si="884"/>
        <v>0</v>
      </c>
      <c r="C4306">
        <f t="shared" si="885"/>
        <v>0</v>
      </c>
      <c r="D4306">
        <f t="shared" si="886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7"/>
        <v>0</v>
      </c>
      <c r="G4306">
        <f t="shared" si="888"/>
        <v>0</v>
      </c>
      <c r="H4306">
        <f t="shared" si="889"/>
        <v>0</v>
      </c>
      <c r="I4306">
        <f t="shared" si="890"/>
        <v>0</v>
      </c>
      <c r="J4306">
        <f t="shared" si="891"/>
        <v>0</v>
      </c>
      <c r="K4306" s="4" t="e">
        <f t="shared" si="879"/>
        <v>#N/A</v>
      </c>
      <c r="L4306" t="e">
        <f t="shared" si="880"/>
        <v>#N/A</v>
      </c>
      <c r="M4306" s="4" t="e">
        <f t="shared" si="881"/>
        <v>#N/A</v>
      </c>
      <c r="N4306" s="4" t="e">
        <f t="shared" si="882"/>
        <v>#N/A</v>
      </c>
    </row>
    <row r="4307" spans="1:14">
      <c r="A4307">
        <f t="shared" si="883"/>
        <v>0</v>
      </c>
      <c r="B4307">
        <f t="shared" si="884"/>
        <v>0</v>
      </c>
      <c r="C4307">
        <f t="shared" si="885"/>
        <v>0</v>
      </c>
      <c r="D4307">
        <f t="shared" si="886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7"/>
        <v>0</v>
      </c>
      <c r="G4307">
        <f t="shared" si="888"/>
        <v>0</v>
      </c>
      <c r="H4307">
        <f t="shared" si="889"/>
        <v>0</v>
      </c>
      <c r="I4307">
        <f t="shared" si="890"/>
        <v>0</v>
      </c>
      <c r="J4307">
        <f t="shared" si="891"/>
        <v>0</v>
      </c>
      <c r="K4307" s="4" t="e">
        <f t="shared" si="879"/>
        <v>#N/A</v>
      </c>
      <c r="L4307" t="e">
        <f t="shared" si="880"/>
        <v>#N/A</v>
      </c>
      <c r="M4307" s="4" t="e">
        <f t="shared" si="881"/>
        <v>#N/A</v>
      </c>
      <c r="N4307" s="4" t="e">
        <f t="shared" si="882"/>
        <v>#N/A</v>
      </c>
    </row>
    <row r="4308" spans="1:14">
      <c r="A4308">
        <f t="shared" si="883"/>
        <v>0</v>
      </c>
      <c r="B4308">
        <f t="shared" si="884"/>
        <v>0</v>
      </c>
      <c r="C4308">
        <f t="shared" si="885"/>
        <v>0</v>
      </c>
      <c r="D4308">
        <f t="shared" si="886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7"/>
        <v>0</v>
      </c>
      <c r="G4308">
        <f t="shared" si="888"/>
        <v>0</v>
      </c>
      <c r="H4308">
        <f t="shared" si="889"/>
        <v>0</v>
      </c>
      <c r="I4308">
        <f t="shared" si="890"/>
        <v>0</v>
      </c>
      <c r="J4308">
        <f t="shared" si="891"/>
        <v>0</v>
      </c>
      <c r="K4308" s="4" t="e">
        <f t="shared" si="879"/>
        <v>#N/A</v>
      </c>
      <c r="L4308" t="e">
        <f t="shared" si="880"/>
        <v>#N/A</v>
      </c>
      <c r="M4308" s="4" t="e">
        <f t="shared" si="881"/>
        <v>#N/A</v>
      </c>
      <c r="N4308" s="4" t="e">
        <f t="shared" si="882"/>
        <v>#N/A</v>
      </c>
    </row>
    <row r="4309" spans="1:14">
      <c r="A4309">
        <f t="shared" si="883"/>
        <v>0</v>
      </c>
      <c r="B4309">
        <f t="shared" si="884"/>
        <v>0</v>
      </c>
      <c r="C4309">
        <f t="shared" si="885"/>
        <v>0</v>
      </c>
      <c r="D4309">
        <f t="shared" si="886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7"/>
        <v>0</v>
      </c>
      <c r="G4309">
        <f t="shared" si="888"/>
        <v>0</v>
      </c>
      <c r="H4309">
        <f t="shared" si="889"/>
        <v>0</v>
      </c>
      <c r="I4309">
        <f t="shared" si="890"/>
        <v>0</v>
      </c>
      <c r="J4309">
        <f t="shared" si="891"/>
        <v>0</v>
      </c>
      <c r="K4309" s="4" t="e">
        <f t="shared" si="879"/>
        <v>#N/A</v>
      </c>
      <c r="L4309" t="e">
        <f t="shared" si="880"/>
        <v>#N/A</v>
      </c>
      <c r="M4309" s="4" t="e">
        <f t="shared" si="881"/>
        <v>#N/A</v>
      </c>
      <c r="N4309" s="4" t="e">
        <f t="shared" si="882"/>
        <v>#N/A</v>
      </c>
    </row>
    <row r="4310" spans="1:14">
      <c r="A4310">
        <f t="shared" si="883"/>
        <v>0</v>
      </c>
      <c r="B4310">
        <f t="shared" si="884"/>
        <v>0</v>
      </c>
      <c r="C4310">
        <f t="shared" si="885"/>
        <v>0</v>
      </c>
      <c r="D4310">
        <f t="shared" si="886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7"/>
        <v>0</v>
      </c>
      <c r="G4310">
        <f t="shared" si="888"/>
        <v>0</v>
      </c>
      <c r="H4310">
        <f t="shared" si="889"/>
        <v>0</v>
      </c>
      <c r="I4310">
        <f t="shared" si="890"/>
        <v>0</v>
      </c>
      <c r="J4310">
        <f t="shared" si="891"/>
        <v>0</v>
      </c>
      <c r="K4310" s="4" t="e">
        <f t="shared" si="879"/>
        <v>#N/A</v>
      </c>
      <c r="L4310" t="e">
        <f t="shared" si="880"/>
        <v>#N/A</v>
      </c>
      <c r="M4310" s="4" t="e">
        <f t="shared" si="881"/>
        <v>#N/A</v>
      </c>
      <c r="N4310" s="4" t="e">
        <f t="shared" si="882"/>
        <v>#N/A</v>
      </c>
    </row>
    <row r="4311" spans="1:14">
      <c r="A4311">
        <f t="shared" si="883"/>
        <v>0</v>
      </c>
      <c r="B4311">
        <f t="shared" si="884"/>
        <v>0</v>
      </c>
      <c r="C4311">
        <f t="shared" si="885"/>
        <v>0</v>
      </c>
      <c r="D4311">
        <f t="shared" si="886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7"/>
        <v>0</v>
      </c>
      <c r="G4311">
        <f t="shared" si="888"/>
        <v>0</v>
      </c>
      <c r="H4311">
        <f t="shared" si="889"/>
        <v>0</v>
      </c>
      <c r="I4311">
        <f t="shared" si="890"/>
        <v>0</v>
      </c>
      <c r="J4311">
        <f t="shared" si="891"/>
        <v>0</v>
      </c>
      <c r="K4311" s="4" t="e">
        <f t="shared" si="879"/>
        <v>#N/A</v>
      </c>
      <c r="L4311" t="e">
        <f t="shared" si="880"/>
        <v>#N/A</v>
      </c>
      <c r="M4311" s="4" t="e">
        <f t="shared" si="881"/>
        <v>#N/A</v>
      </c>
      <c r="N4311" s="4" t="e">
        <f t="shared" si="882"/>
        <v>#N/A</v>
      </c>
    </row>
    <row r="4312" spans="1:14">
      <c r="A4312">
        <f t="shared" si="883"/>
        <v>0</v>
      </c>
      <c r="B4312">
        <f t="shared" si="884"/>
        <v>0</v>
      </c>
      <c r="C4312">
        <f t="shared" si="885"/>
        <v>0</v>
      </c>
      <c r="D4312">
        <f t="shared" si="886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7"/>
        <v>0</v>
      </c>
      <c r="G4312">
        <f t="shared" si="888"/>
        <v>0</v>
      </c>
      <c r="H4312">
        <f t="shared" si="889"/>
        <v>0</v>
      </c>
      <c r="I4312">
        <f t="shared" si="890"/>
        <v>0</v>
      </c>
      <c r="J4312">
        <f t="shared" si="891"/>
        <v>0</v>
      </c>
      <c r="K4312" s="4" t="e">
        <f t="shared" si="879"/>
        <v>#N/A</v>
      </c>
      <c r="L4312" t="e">
        <f t="shared" si="880"/>
        <v>#N/A</v>
      </c>
      <c r="M4312" s="4" t="e">
        <f t="shared" si="881"/>
        <v>#N/A</v>
      </c>
      <c r="N4312" s="4" t="e">
        <f t="shared" si="882"/>
        <v>#N/A</v>
      </c>
    </row>
    <row r="4313" spans="1:14">
      <c r="A4313">
        <f t="shared" si="883"/>
        <v>0</v>
      </c>
      <c r="B4313">
        <f t="shared" si="884"/>
        <v>0</v>
      </c>
      <c r="C4313">
        <f t="shared" si="885"/>
        <v>0</v>
      </c>
      <c r="D4313">
        <f t="shared" si="886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7"/>
        <v>0</v>
      </c>
      <c r="G4313">
        <f t="shared" si="888"/>
        <v>0</v>
      </c>
      <c r="H4313">
        <f t="shared" si="889"/>
        <v>0</v>
      </c>
      <c r="I4313">
        <f t="shared" si="890"/>
        <v>0</v>
      </c>
      <c r="J4313">
        <f t="shared" si="891"/>
        <v>0</v>
      </c>
      <c r="K4313" s="4" t="e">
        <f t="shared" si="879"/>
        <v>#N/A</v>
      </c>
      <c r="L4313" t="e">
        <f t="shared" si="880"/>
        <v>#N/A</v>
      </c>
      <c r="M4313" s="4" t="e">
        <f t="shared" si="881"/>
        <v>#N/A</v>
      </c>
      <c r="N4313" s="4" t="e">
        <f t="shared" si="882"/>
        <v>#N/A</v>
      </c>
    </row>
    <row r="4314" spans="1:14">
      <c r="A4314">
        <f t="shared" si="883"/>
        <v>0</v>
      </c>
      <c r="B4314">
        <f t="shared" si="884"/>
        <v>0</v>
      </c>
      <c r="C4314">
        <f t="shared" si="885"/>
        <v>0</v>
      </c>
      <c r="D4314">
        <f t="shared" si="886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7"/>
        <v>0</v>
      </c>
      <c r="G4314">
        <f t="shared" si="888"/>
        <v>0</v>
      </c>
      <c r="H4314">
        <f t="shared" si="889"/>
        <v>0</v>
      </c>
      <c r="I4314">
        <f t="shared" si="890"/>
        <v>0</v>
      </c>
      <c r="J4314">
        <f t="shared" si="891"/>
        <v>0</v>
      </c>
      <c r="K4314" s="4" t="e">
        <f t="shared" si="879"/>
        <v>#N/A</v>
      </c>
      <c r="L4314" t="e">
        <f t="shared" si="880"/>
        <v>#N/A</v>
      </c>
      <c r="M4314" s="4" t="e">
        <f t="shared" si="881"/>
        <v>#N/A</v>
      </c>
      <c r="N4314" s="4" t="e">
        <f t="shared" si="882"/>
        <v>#N/A</v>
      </c>
    </row>
    <row r="4315" spans="1:14">
      <c r="A4315">
        <f t="shared" si="883"/>
        <v>0</v>
      </c>
      <c r="B4315">
        <f t="shared" si="884"/>
        <v>0</v>
      </c>
      <c r="C4315">
        <f t="shared" si="885"/>
        <v>0</v>
      </c>
      <c r="D4315">
        <f t="shared" si="886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7"/>
        <v>0</v>
      </c>
      <c r="G4315">
        <f t="shared" si="888"/>
        <v>0</v>
      </c>
      <c r="H4315">
        <f t="shared" si="889"/>
        <v>0</v>
      </c>
      <c r="I4315">
        <f t="shared" si="890"/>
        <v>0</v>
      </c>
      <c r="J4315">
        <f t="shared" si="891"/>
        <v>0</v>
      </c>
      <c r="K4315" s="4" t="e">
        <f t="shared" si="879"/>
        <v>#N/A</v>
      </c>
      <c r="L4315" t="e">
        <f t="shared" si="880"/>
        <v>#N/A</v>
      </c>
      <c r="M4315" s="4" t="e">
        <f t="shared" si="881"/>
        <v>#N/A</v>
      </c>
      <c r="N4315" s="4" t="e">
        <f t="shared" si="882"/>
        <v>#N/A</v>
      </c>
    </row>
    <row r="4316" spans="1:14">
      <c r="A4316">
        <f t="shared" si="883"/>
        <v>0</v>
      </c>
      <c r="B4316">
        <f t="shared" si="884"/>
        <v>0</v>
      </c>
      <c r="C4316">
        <f t="shared" si="885"/>
        <v>0</v>
      </c>
      <c r="D4316">
        <f t="shared" si="886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7"/>
        <v>0</v>
      </c>
      <c r="G4316">
        <f t="shared" si="888"/>
        <v>0</v>
      </c>
      <c r="H4316">
        <f t="shared" si="889"/>
        <v>0</v>
      </c>
      <c r="I4316">
        <f t="shared" si="890"/>
        <v>0</v>
      </c>
      <c r="J4316">
        <f t="shared" si="891"/>
        <v>0</v>
      </c>
      <c r="K4316" s="4" t="e">
        <f t="shared" si="879"/>
        <v>#N/A</v>
      </c>
      <c r="L4316" t="e">
        <f t="shared" si="880"/>
        <v>#N/A</v>
      </c>
      <c r="M4316" s="4" t="e">
        <f t="shared" si="881"/>
        <v>#N/A</v>
      </c>
      <c r="N4316" s="4" t="e">
        <f t="shared" si="882"/>
        <v>#N/A</v>
      </c>
    </row>
    <row r="4317" spans="1:14">
      <c r="A4317">
        <f t="shared" si="883"/>
        <v>0</v>
      </c>
      <c r="B4317">
        <f t="shared" si="884"/>
        <v>0</v>
      </c>
      <c r="C4317">
        <f t="shared" si="885"/>
        <v>0</v>
      </c>
      <c r="D4317">
        <f t="shared" si="886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7"/>
        <v>0</v>
      </c>
      <c r="G4317">
        <f t="shared" si="888"/>
        <v>0</v>
      </c>
      <c r="H4317">
        <f t="shared" si="889"/>
        <v>0</v>
      </c>
      <c r="I4317">
        <f t="shared" si="890"/>
        <v>0</v>
      </c>
      <c r="J4317">
        <f t="shared" si="891"/>
        <v>0</v>
      </c>
      <c r="K4317" s="4" t="e">
        <f t="shared" si="879"/>
        <v>#N/A</v>
      </c>
      <c r="L4317" t="e">
        <f t="shared" si="880"/>
        <v>#N/A</v>
      </c>
      <c r="M4317" s="4" t="e">
        <f t="shared" si="881"/>
        <v>#N/A</v>
      </c>
      <c r="N4317" s="4" t="e">
        <f t="shared" si="882"/>
        <v>#N/A</v>
      </c>
    </row>
    <row r="4318" spans="1:14">
      <c r="A4318">
        <f t="shared" si="883"/>
        <v>0</v>
      </c>
      <c r="B4318">
        <f t="shared" si="884"/>
        <v>0</v>
      </c>
      <c r="C4318">
        <f t="shared" si="885"/>
        <v>0</v>
      </c>
      <c r="D4318">
        <f t="shared" si="886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7"/>
        <v>0</v>
      </c>
      <c r="G4318">
        <f t="shared" si="888"/>
        <v>0</v>
      </c>
      <c r="H4318">
        <f t="shared" si="889"/>
        <v>0</v>
      </c>
      <c r="I4318">
        <f t="shared" si="890"/>
        <v>0</v>
      </c>
      <c r="J4318">
        <f t="shared" si="891"/>
        <v>0</v>
      </c>
      <c r="K4318" s="4" t="e">
        <f t="shared" si="879"/>
        <v>#N/A</v>
      </c>
      <c r="L4318" t="e">
        <f t="shared" si="880"/>
        <v>#N/A</v>
      </c>
      <c r="M4318" s="4" t="e">
        <f t="shared" si="881"/>
        <v>#N/A</v>
      </c>
      <c r="N4318" s="4" t="e">
        <f t="shared" si="882"/>
        <v>#N/A</v>
      </c>
    </row>
    <row r="4319" spans="1:14">
      <c r="A4319">
        <f t="shared" si="883"/>
        <v>0</v>
      </c>
      <c r="B4319">
        <f t="shared" si="884"/>
        <v>0</v>
      </c>
      <c r="C4319">
        <f t="shared" si="885"/>
        <v>0</v>
      </c>
      <c r="D4319">
        <f t="shared" si="886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7"/>
        <v>0</v>
      </c>
      <c r="G4319">
        <f t="shared" si="888"/>
        <v>0</v>
      </c>
      <c r="H4319">
        <f t="shared" si="889"/>
        <v>0</v>
      </c>
      <c r="I4319">
        <f t="shared" si="890"/>
        <v>0</v>
      </c>
      <c r="J4319">
        <f t="shared" si="891"/>
        <v>0</v>
      </c>
      <c r="K4319" s="4" t="e">
        <f t="shared" si="879"/>
        <v>#N/A</v>
      </c>
      <c r="L4319" t="e">
        <f t="shared" si="880"/>
        <v>#N/A</v>
      </c>
      <c r="M4319" s="4" t="e">
        <f t="shared" si="881"/>
        <v>#N/A</v>
      </c>
      <c r="N4319" s="4" t="e">
        <f t="shared" si="882"/>
        <v>#N/A</v>
      </c>
    </row>
    <row r="4320" spans="1:14">
      <c r="A4320">
        <f t="shared" si="883"/>
        <v>0</v>
      </c>
      <c r="B4320">
        <f t="shared" si="884"/>
        <v>0</v>
      </c>
      <c r="C4320">
        <f t="shared" si="885"/>
        <v>0</v>
      </c>
      <c r="D4320">
        <f t="shared" si="886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7"/>
        <v>0</v>
      </c>
      <c r="G4320">
        <f t="shared" si="888"/>
        <v>0</v>
      </c>
      <c r="H4320">
        <f t="shared" si="889"/>
        <v>0</v>
      </c>
      <c r="I4320">
        <f t="shared" si="890"/>
        <v>0</v>
      </c>
      <c r="J4320">
        <f t="shared" si="891"/>
        <v>0</v>
      </c>
      <c r="K4320" s="4" t="e">
        <f t="shared" si="879"/>
        <v>#N/A</v>
      </c>
      <c r="L4320" t="e">
        <f t="shared" si="880"/>
        <v>#N/A</v>
      </c>
      <c r="M4320" s="4" t="e">
        <f t="shared" si="881"/>
        <v>#N/A</v>
      </c>
      <c r="N4320" s="4" t="e">
        <f t="shared" si="882"/>
        <v>#N/A</v>
      </c>
    </row>
    <row r="4321" spans="1:14">
      <c r="A4321">
        <f t="shared" si="883"/>
        <v>0</v>
      </c>
      <c r="B4321">
        <f t="shared" si="884"/>
        <v>0</v>
      </c>
      <c r="C4321">
        <f t="shared" si="885"/>
        <v>0</v>
      </c>
      <c r="D4321">
        <f t="shared" si="886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7"/>
        <v>0</v>
      </c>
      <c r="G4321">
        <f t="shared" si="888"/>
        <v>0</v>
      </c>
      <c r="H4321">
        <f t="shared" si="889"/>
        <v>0</v>
      </c>
      <c r="I4321">
        <f t="shared" si="890"/>
        <v>0</v>
      </c>
      <c r="J4321">
        <f t="shared" si="891"/>
        <v>0</v>
      </c>
      <c r="K4321" s="4" t="e">
        <f t="shared" si="879"/>
        <v>#N/A</v>
      </c>
      <c r="L4321" t="e">
        <f t="shared" si="880"/>
        <v>#N/A</v>
      </c>
      <c r="M4321" s="4" t="e">
        <f t="shared" si="881"/>
        <v>#N/A</v>
      </c>
      <c r="N4321" s="4" t="e">
        <f t="shared" si="882"/>
        <v>#N/A</v>
      </c>
    </row>
    <row r="4322" spans="1:14">
      <c r="A4322">
        <f t="shared" si="883"/>
        <v>0</v>
      </c>
      <c r="B4322">
        <f t="shared" si="884"/>
        <v>0</v>
      </c>
      <c r="C4322">
        <f t="shared" si="885"/>
        <v>0</v>
      </c>
      <c r="D4322">
        <f t="shared" si="886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7"/>
        <v>0</v>
      </c>
      <c r="G4322">
        <f t="shared" si="888"/>
        <v>0</v>
      </c>
      <c r="H4322">
        <f t="shared" si="889"/>
        <v>0</v>
      </c>
      <c r="I4322">
        <f t="shared" si="890"/>
        <v>0</v>
      </c>
      <c r="J4322">
        <f t="shared" si="891"/>
        <v>0</v>
      </c>
      <c r="K4322" s="4" t="e">
        <f t="shared" si="879"/>
        <v>#N/A</v>
      </c>
      <c r="L4322" t="e">
        <f t="shared" si="880"/>
        <v>#N/A</v>
      </c>
      <c r="M4322" s="4" t="e">
        <f t="shared" si="881"/>
        <v>#N/A</v>
      </c>
      <c r="N4322" s="4" t="e">
        <f t="shared" si="882"/>
        <v>#N/A</v>
      </c>
    </row>
    <row r="4323" spans="1:14">
      <c r="A4323">
        <f t="shared" si="883"/>
        <v>0</v>
      </c>
      <c r="B4323">
        <f t="shared" si="884"/>
        <v>0</v>
      </c>
      <c r="C4323">
        <f t="shared" si="885"/>
        <v>0</v>
      </c>
      <c r="D4323">
        <f t="shared" si="886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7"/>
        <v>0</v>
      </c>
      <c r="G4323">
        <f t="shared" si="888"/>
        <v>0</v>
      </c>
      <c r="H4323">
        <f t="shared" si="889"/>
        <v>0</v>
      </c>
      <c r="I4323">
        <f t="shared" si="890"/>
        <v>0</v>
      </c>
      <c r="J4323">
        <f t="shared" si="891"/>
        <v>0</v>
      </c>
      <c r="K4323" s="4" t="e">
        <f t="shared" si="879"/>
        <v>#N/A</v>
      </c>
      <c r="L4323" t="e">
        <f t="shared" si="880"/>
        <v>#N/A</v>
      </c>
      <c r="M4323" s="4" t="e">
        <f t="shared" si="881"/>
        <v>#N/A</v>
      </c>
      <c r="N4323" s="4" t="e">
        <f t="shared" si="882"/>
        <v>#N/A</v>
      </c>
    </row>
    <row r="4324" spans="1:14">
      <c r="A4324">
        <f t="shared" si="883"/>
        <v>0</v>
      </c>
      <c r="B4324">
        <f t="shared" si="884"/>
        <v>0</v>
      </c>
      <c r="C4324">
        <f t="shared" si="885"/>
        <v>0</v>
      </c>
      <c r="D4324">
        <f t="shared" si="886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7"/>
        <v>0</v>
      </c>
      <c r="G4324">
        <f t="shared" si="888"/>
        <v>0</v>
      </c>
      <c r="H4324">
        <f t="shared" si="889"/>
        <v>0</v>
      </c>
      <c r="I4324">
        <f t="shared" si="890"/>
        <v>0</v>
      </c>
      <c r="J4324">
        <f t="shared" si="891"/>
        <v>0</v>
      </c>
      <c r="K4324" s="4" t="e">
        <f t="shared" si="879"/>
        <v>#N/A</v>
      </c>
      <c r="L4324" t="e">
        <f t="shared" si="880"/>
        <v>#N/A</v>
      </c>
      <c r="M4324" s="4" t="e">
        <f t="shared" si="881"/>
        <v>#N/A</v>
      </c>
      <c r="N4324" s="4" t="e">
        <f t="shared" si="882"/>
        <v>#N/A</v>
      </c>
    </row>
    <row r="4325" spans="1:14">
      <c r="A4325">
        <f t="shared" si="883"/>
        <v>0</v>
      </c>
      <c r="B4325">
        <f t="shared" si="884"/>
        <v>0</v>
      </c>
      <c r="C4325">
        <f t="shared" si="885"/>
        <v>0</v>
      </c>
      <c r="D4325">
        <f t="shared" si="886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7"/>
        <v>0</v>
      </c>
      <c r="G4325">
        <f t="shared" si="888"/>
        <v>0</v>
      </c>
      <c r="H4325">
        <f t="shared" si="889"/>
        <v>0</v>
      </c>
      <c r="I4325">
        <f t="shared" si="890"/>
        <v>0</v>
      </c>
      <c r="J4325">
        <f t="shared" si="891"/>
        <v>0</v>
      </c>
      <c r="K4325" s="4" t="e">
        <f t="shared" si="879"/>
        <v>#N/A</v>
      </c>
      <c r="L4325" t="e">
        <f t="shared" si="880"/>
        <v>#N/A</v>
      </c>
      <c r="M4325" s="4" t="e">
        <f t="shared" si="881"/>
        <v>#N/A</v>
      </c>
      <c r="N4325" s="4" t="e">
        <f t="shared" si="882"/>
        <v>#N/A</v>
      </c>
    </row>
    <row r="4326" spans="1:14">
      <c r="A4326">
        <f t="shared" si="883"/>
        <v>0</v>
      </c>
      <c r="B4326">
        <f t="shared" si="884"/>
        <v>0</v>
      </c>
      <c r="C4326">
        <f t="shared" si="885"/>
        <v>0</v>
      </c>
      <c r="D4326">
        <f t="shared" si="886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7"/>
        <v>0</v>
      </c>
      <c r="G4326">
        <f t="shared" si="888"/>
        <v>0</v>
      </c>
      <c r="H4326">
        <f t="shared" si="889"/>
        <v>0</v>
      </c>
      <c r="I4326">
        <f t="shared" si="890"/>
        <v>0</v>
      </c>
      <c r="J4326">
        <f t="shared" si="891"/>
        <v>0</v>
      </c>
      <c r="K4326" s="4" t="e">
        <f t="shared" si="879"/>
        <v>#N/A</v>
      </c>
      <c r="L4326" t="e">
        <f t="shared" si="880"/>
        <v>#N/A</v>
      </c>
      <c r="M4326" s="4" t="e">
        <f t="shared" si="881"/>
        <v>#N/A</v>
      </c>
      <c r="N4326" s="4" t="e">
        <f t="shared" si="882"/>
        <v>#N/A</v>
      </c>
    </row>
    <row r="4327" spans="1:14">
      <c r="A4327">
        <f t="shared" si="883"/>
        <v>0</v>
      </c>
      <c r="B4327">
        <f t="shared" si="884"/>
        <v>0</v>
      </c>
      <c r="C4327">
        <f t="shared" si="885"/>
        <v>0</v>
      </c>
      <c r="D4327">
        <f t="shared" si="886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7"/>
        <v>0</v>
      </c>
      <c r="G4327">
        <f t="shared" si="888"/>
        <v>0</v>
      </c>
      <c r="H4327">
        <f t="shared" si="889"/>
        <v>0</v>
      </c>
      <c r="I4327">
        <f t="shared" si="890"/>
        <v>0</v>
      </c>
      <c r="J4327">
        <f t="shared" si="891"/>
        <v>0</v>
      </c>
      <c r="K4327" s="4" t="e">
        <f t="shared" si="879"/>
        <v>#N/A</v>
      </c>
      <c r="L4327" t="e">
        <f t="shared" si="880"/>
        <v>#N/A</v>
      </c>
      <c r="M4327" s="4" t="e">
        <f t="shared" si="881"/>
        <v>#N/A</v>
      </c>
      <c r="N4327" s="4" t="e">
        <f t="shared" si="882"/>
        <v>#N/A</v>
      </c>
    </row>
    <row r="4328" spans="1:14">
      <c r="A4328">
        <f t="shared" si="883"/>
        <v>0</v>
      </c>
      <c r="B4328">
        <f t="shared" si="884"/>
        <v>0</v>
      </c>
      <c r="C4328">
        <f t="shared" si="885"/>
        <v>0</v>
      </c>
      <c r="D4328">
        <f t="shared" si="886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7"/>
        <v>0</v>
      </c>
      <c r="G4328">
        <f t="shared" si="888"/>
        <v>0</v>
      </c>
      <c r="H4328">
        <f t="shared" si="889"/>
        <v>0</v>
      </c>
      <c r="I4328">
        <f t="shared" si="890"/>
        <v>0</v>
      </c>
      <c r="J4328">
        <f t="shared" si="891"/>
        <v>0</v>
      </c>
      <c r="K4328" s="4" t="e">
        <f t="shared" si="879"/>
        <v>#N/A</v>
      </c>
      <c r="L4328" t="e">
        <f t="shared" si="880"/>
        <v>#N/A</v>
      </c>
      <c r="M4328" s="4" t="e">
        <f t="shared" si="881"/>
        <v>#N/A</v>
      </c>
      <c r="N4328" s="4" t="e">
        <f t="shared" si="882"/>
        <v>#N/A</v>
      </c>
    </row>
    <row r="4329" spans="1:14">
      <c r="A4329">
        <f t="shared" si="883"/>
        <v>0</v>
      </c>
      <c r="B4329">
        <f t="shared" si="884"/>
        <v>0</v>
      </c>
      <c r="C4329">
        <f t="shared" si="885"/>
        <v>0</v>
      </c>
      <c r="D4329">
        <f t="shared" si="886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7"/>
        <v>0</v>
      </c>
      <c r="G4329">
        <f t="shared" si="888"/>
        <v>0</v>
      </c>
      <c r="H4329">
        <f t="shared" si="889"/>
        <v>0</v>
      </c>
      <c r="I4329">
        <f t="shared" si="890"/>
        <v>0</v>
      </c>
      <c r="J4329">
        <f t="shared" si="891"/>
        <v>0</v>
      </c>
      <c r="K4329" s="4" t="e">
        <f t="shared" si="879"/>
        <v>#N/A</v>
      </c>
      <c r="L4329" t="e">
        <f t="shared" si="880"/>
        <v>#N/A</v>
      </c>
      <c r="M4329" s="4" t="e">
        <f t="shared" si="881"/>
        <v>#N/A</v>
      </c>
      <c r="N4329" s="4" t="e">
        <f t="shared" si="882"/>
        <v>#N/A</v>
      </c>
    </row>
    <row r="4330" spans="1:14">
      <c r="A4330">
        <f t="shared" si="883"/>
        <v>0</v>
      </c>
      <c r="B4330">
        <f t="shared" si="884"/>
        <v>0</v>
      </c>
      <c r="C4330">
        <f t="shared" si="885"/>
        <v>0</v>
      </c>
      <c r="D4330">
        <f t="shared" si="886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7"/>
        <v>0</v>
      </c>
      <c r="G4330">
        <f t="shared" si="888"/>
        <v>0</v>
      </c>
      <c r="H4330">
        <f t="shared" si="889"/>
        <v>0</v>
      </c>
      <c r="I4330">
        <f t="shared" si="890"/>
        <v>0</v>
      </c>
      <c r="J4330">
        <f t="shared" si="891"/>
        <v>0</v>
      </c>
      <c r="K4330" s="4" t="e">
        <f t="shared" si="879"/>
        <v>#N/A</v>
      </c>
      <c r="L4330" t="e">
        <f t="shared" si="880"/>
        <v>#N/A</v>
      </c>
      <c r="M4330" s="4" t="e">
        <f t="shared" si="881"/>
        <v>#N/A</v>
      </c>
      <c r="N4330" s="4" t="e">
        <f t="shared" si="882"/>
        <v>#N/A</v>
      </c>
    </row>
    <row r="4331" spans="1:14">
      <c r="A4331">
        <f t="shared" si="883"/>
        <v>0</v>
      </c>
      <c r="B4331">
        <f t="shared" si="884"/>
        <v>0</v>
      </c>
      <c r="C4331">
        <f t="shared" si="885"/>
        <v>0</v>
      </c>
      <c r="D4331">
        <f t="shared" si="886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7"/>
        <v>0</v>
      </c>
      <c r="G4331">
        <f t="shared" si="888"/>
        <v>0</v>
      </c>
      <c r="H4331">
        <f t="shared" si="889"/>
        <v>0</v>
      </c>
      <c r="I4331">
        <f t="shared" si="890"/>
        <v>0</v>
      </c>
      <c r="J4331">
        <f t="shared" si="891"/>
        <v>0</v>
      </c>
      <c r="K4331" s="4" t="e">
        <f t="shared" si="879"/>
        <v>#N/A</v>
      </c>
      <c r="L4331" t="e">
        <f t="shared" si="880"/>
        <v>#N/A</v>
      </c>
      <c r="M4331" s="4" t="e">
        <f t="shared" si="881"/>
        <v>#N/A</v>
      </c>
      <c r="N4331" s="4" t="e">
        <f t="shared" si="882"/>
        <v>#N/A</v>
      </c>
    </row>
    <row r="4332" spans="1:14">
      <c r="A4332">
        <f t="shared" si="883"/>
        <v>0</v>
      </c>
      <c r="B4332">
        <f t="shared" si="884"/>
        <v>0</v>
      </c>
      <c r="C4332">
        <f t="shared" si="885"/>
        <v>0</v>
      </c>
      <c r="D4332">
        <f t="shared" si="886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7"/>
        <v>0</v>
      </c>
      <c r="G4332">
        <f t="shared" si="888"/>
        <v>0</v>
      </c>
      <c r="H4332">
        <f t="shared" si="889"/>
        <v>0</v>
      </c>
      <c r="I4332">
        <f t="shared" si="890"/>
        <v>0</v>
      </c>
      <c r="J4332">
        <f t="shared" si="891"/>
        <v>0</v>
      </c>
      <c r="K4332" s="4" t="e">
        <f t="shared" si="879"/>
        <v>#N/A</v>
      </c>
      <c r="L4332" t="e">
        <f t="shared" si="880"/>
        <v>#N/A</v>
      </c>
      <c r="M4332" s="4" t="e">
        <f t="shared" si="881"/>
        <v>#N/A</v>
      </c>
      <c r="N4332" s="4" t="e">
        <f t="shared" si="882"/>
        <v>#N/A</v>
      </c>
    </row>
    <row r="4333" spans="1:14">
      <c r="A4333">
        <f t="shared" si="883"/>
        <v>0</v>
      </c>
      <c r="B4333">
        <f t="shared" si="884"/>
        <v>0</v>
      </c>
      <c r="C4333">
        <f t="shared" si="885"/>
        <v>0</v>
      </c>
      <c r="D4333">
        <f t="shared" si="886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7"/>
        <v>0</v>
      </c>
      <c r="G4333">
        <f t="shared" si="888"/>
        <v>0</v>
      </c>
      <c r="H4333">
        <f t="shared" si="889"/>
        <v>0</v>
      </c>
      <c r="I4333">
        <f t="shared" si="890"/>
        <v>0</v>
      </c>
      <c r="J4333">
        <f t="shared" si="891"/>
        <v>0</v>
      </c>
      <c r="K4333" s="4" t="e">
        <f t="shared" si="879"/>
        <v>#N/A</v>
      </c>
      <c r="L4333" t="e">
        <f t="shared" si="880"/>
        <v>#N/A</v>
      </c>
      <c r="M4333" s="4" t="e">
        <f t="shared" si="881"/>
        <v>#N/A</v>
      </c>
      <c r="N4333" s="4" t="e">
        <f t="shared" si="882"/>
        <v>#N/A</v>
      </c>
    </row>
    <row r="4334" spans="1:14">
      <c r="A4334">
        <f t="shared" si="883"/>
        <v>0</v>
      </c>
      <c r="B4334">
        <f t="shared" si="884"/>
        <v>0</v>
      </c>
      <c r="C4334">
        <f t="shared" si="885"/>
        <v>0</v>
      </c>
      <c r="D4334">
        <f t="shared" si="886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7"/>
        <v>0</v>
      </c>
      <c r="G4334">
        <f t="shared" si="888"/>
        <v>0</v>
      </c>
      <c r="H4334">
        <f t="shared" si="889"/>
        <v>0</v>
      </c>
      <c r="I4334">
        <f t="shared" si="890"/>
        <v>0</v>
      </c>
      <c r="J4334">
        <f t="shared" si="891"/>
        <v>0</v>
      </c>
      <c r="K4334" s="4" t="e">
        <f t="shared" si="879"/>
        <v>#N/A</v>
      </c>
      <c r="L4334" t="e">
        <f t="shared" si="880"/>
        <v>#N/A</v>
      </c>
      <c r="M4334" s="4" t="e">
        <f t="shared" si="881"/>
        <v>#N/A</v>
      </c>
      <c r="N4334" s="4" t="e">
        <f t="shared" si="882"/>
        <v>#N/A</v>
      </c>
    </row>
    <row r="4335" spans="1:14">
      <c r="A4335">
        <f t="shared" si="883"/>
        <v>0</v>
      </c>
      <c r="B4335">
        <f t="shared" si="884"/>
        <v>0</v>
      </c>
      <c r="C4335">
        <f t="shared" si="885"/>
        <v>0</v>
      </c>
      <c r="D4335">
        <f t="shared" si="886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7"/>
        <v>0</v>
      </c>
      <c r="G4335">
        <f t="shared" si="888"/>
        <v>0</v>
      </c>
      <c r="H4335">
        <f t="shared" si="889"/>
        <v>0</v>
      </c>
      <c r="I4335">
        <f t="shared" si="890"/>
        <v>0</v>
      </c>
      <c r="J4335">
        <f t="shared" si="891"/>
        <v>0</v>
      </c>
      <c r="K4335" s="4" t="e">
        <f t="shared" si="879"/>
        <v>#N/A</v>
      </c>
      <c r="L4335" t="e">
        <f t="shared" si="880"/>
        <v>#N/A</v>
      </c>
      <c r="M4335" s="4" t="e">
        <f t="shared" si="881"/>
        <v>#N/A</v>
      </c>
      <c r="N4335" s="4" t="e">
        <f t="shared" si="882"/>
        <v>#N/A</v>
      </c>
    </row>
    <row r="4336" spans="1:14">
      <c r="A4336">
        <f t="shared" si="883"/>
        <v>0</v>
      </c>
      <c r="B4336">
        <f t="shared" si="884"/>
        <v>0</v>
      </c>
      <c r="C4336">
        <f t="shared" si="885"/>
        <v>0</v>
      </c>
      <c r="D4336">
        <f t="shared" si="886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7"/>
        <v>0</v>
      </c>
      <c r="G4336">
        <f t="shared" si="888"/>
        <v>0</v>
      </c>
      <c r="H4336">
        <f t="shared" si="889"/>
        <v>0</v>
      </c>
      <c r="I4336">
        <f t="shared" si="890"/>
        <v>0</v>
      </c>
      <c r="J4336">
        <f t="shared" si="891"/>
        <v>0</v>
      </c>
      <c r="K4336" s="4" t="e">
        <f t="shared" si="879"/>
        <v>#N/A</v>
      </c>
      <c r="L4336" t="e">
        <f t="shared" si="880"/>
        <v>#N/A</v>
      </c>
      <c r="M4336" s="4" t="e">
        <f t="shared" si="881"/>
        <v>#N/A</v>
      </c>
      <c r="N4336" s="4" t="e">
        <f t="shared" si="882"/>
        <v>#N/A</v>
      </c>
    </row>
    <row r="4337" spans="1:14">
      <c r="A4337">
        <f t="shared" si="883"/>
        <v>0</v>
      </c>
      <c r="B4337">
        <f t="shared" si="884"/>
        <v>0</v>
      </c>
      <c r="C4337">
        <f t="shared" si="885"/>
        <v>0</v>
      </c>
      <c r="D4337">
        <f t="shared" si="886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7"/>
        <v>0</v>
      </c>
      <c r="G4337">
        <f t="shared" si="888"/>
        <v>0</v>
      </c>
      <c r="H4337">
        <f t="shared" si="889"/>
        <v>0</v>
      </c>
      <c r="I4337">
        <f t="shared" si="890"/>
        <v>0</v>
      </c>
      <c r="J4337">
        <f t="shared" si="891"/>
        <v>0</v>
      </c>
      <c r="K4337" s="4" t="e">
        <f t="shared" si="879"/>
        <v>#N/A</v>
      </c>
      <c r="L4337" t="e">
        <f t="shared" si="880"/>
        <v>#N/A</v>
      </c>
      <c r="M4337" s="4" t="e">
        <f t="shared" si="881"/>
        <v>#N/A</v>
      </c>
      <c r="N4337" s="4" t="e">
        <f t="shared" si="882"/>
        <v>#N/A</v>
      </c>
    </row>
    <row r="4338" spans="1:14">
      <c r="A4338">
        <f t="shared" si="883"/>
        <v>0</v>
      </c>
      <c r="B4338">
        <f t="shared" si="884"/>
        <v>0</v>
      </c>
      <c r="C4338">
        <f t="shared" si="885"/>
        <v>0</v>
      </c>
      <c r="D4338">
        <f t="shared" si="886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7"/>
        <v>0</v>
      </c>
      <c r="G4338">
        <f t="shared" si="888"/>
        <v>0</v>
      </c>
      <c r="H4338">
        <f t="shared" si="889"/>
        <v>0</v>
      </c>
      <c r="I4338">
        <f t="shared" si="890"/>
        <v>0</v>
      </c>
      <c r="J4338">
        <f t="shared" si="891"/>
        <v>0</v>
      </c>
      <c r="K4338" s="4" t="e">
        <f t="shared" si="879"/>
        <v>#N/A</v>
      </c>
      <c r="L4338" t="e">
        <f t="shared" si="880"/>
        <v>#N/A</v>
      </c>
      <c r="M4338" s="4" t="e">
        <f t="shared" si="881"/>
        <v>#N/A</v>
      </c>
      <c r="N4338" s="4" t="e">
        <f t="shared" si="882"/>
        <v>#N/A</v>
      </c>
    </row>
    <row r="4339" spans="1:14">
      <c r="A4339">
        <f t="shared" si="883"/>
        <v>0</v>
      </c>
      <c r="B4339">
        <f t="shared" si="884"/>
        <v>0</v>
      </c>
      <c r="C4339">
        <f t="shared" si="885"/>
        <v>0</v>
      </c>
      <c r="D4339">
        <f t="shared" si="886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7"/>
        <v>0</v>
      </c>
      <c r="G4339">
        <f t="shared" si="888"/>
        <v>0</v>
      </c>
      <c r="H4339">
        <f t="shared" si="889"/>
        <v>0</v>
      </c>
      <c r="I4339">
        <f t="shared" si="890"/>
        <v>0</v>
      </c>
      <c r="J4339">
        <f t="shared" si="891"/>
        <v>0</v>
      </c>
      <c r="K4339" s="4" t="e">
        <f t="shared" si="879"/>
        <v>#N/A</v>
      </c>
      <c r="L4339" t="e">
        <f t="shared" si="880"/>
        <v>#N/A</v>
      </c>
      <c r="M4339" s="4" t="e">
        <f t="shared" si="881"/>
        <v>#N/A</v>
      </c>
      <c r="N4339" s="4" t="e">
        <f t="shared" si="882"/>
        <v>#N/A</v>
      </c>
    </row>
    <row r="4340" spans="1:14">
      <c r="A4340">
        <f t="shared" si="883"/>
        <v>0</v>
      </c>
      <c r="B4340">
        <f t="shared" si="884"/>
        <v>0</v>
      </c>
      <c r="C4340">
        <f t="shared" si="885"/>
        <v>0</v>
      </c>
      <c r="D4340">
        <f t="shared" si="886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7"/>
        <v>0</v>
      </c>
      <c r="G4340">
        <f t="shared" si="888"/>
        <v>0</v>
      </c>
      <c r="H4340">
        <f t="shared" si="889"/>
        <v>0</v>
      </c>
      <c r="I4340">
        <f t="shared" si="890"/>
        <v>0</v>
      </c>
      <c r="J4340">
        <f t="shared" si="891"/>
        <v>0</v>
      </c>
      <c r="K4340" s="4" t="e">
        <f t="shared" si="879"/>
        <v>#N/A</v>
      </c>
      <c r="L4340" t="e">
        <f t="shared" si="880"/>
        <v>#N/A</v>
      </c>
      <c r="M4340" s="4" t="e">
        <f t="shared" si="881"/>
        <v>#N/A</v>
      </c>
      <c r="N4340" s="4" t="e">
        <f t="shared" si="882"/>
        <v>#N/A</v>
      </c>
    </row>
    <row r="4341" spans="1:14">
      <c r="A4341">
        <f t="shared" si="883"/>
        <v>0</v>
      </c>
      <c r="B4341">
        <f t="shared" si="884"/>
        <v>0</v>
      </c>
      <c r="C4341">
        <f t="shared" si="885"/>
        <v>0</v>
      </c>
      <c r="D4341">
        <f t="shared" si="886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7"/>
        <v>0</v>
      </c>
      <c r="G4341">
        <f t="shared" si="888"/>
        <v>0</v>
      </c>
      <c r="H4341">
        <f t="shared" si="889"/>
        <v>0</v>
      </c>
      <c r="I4341">
        <f t="shared" si="890"/>
        <v>0</v>
      </c>
      <c r="J4341">
        <f t="shared" si="891"/>
        <v>0</v>
      </c>
      <c r="K4341" s="4" t="e">
        <f t="shared" si="879"/>
        <v>#N/A</v>
      </c>
      <c r="L4341" t="e">
        <f t="shared" si="880"/>
        <v>#N/A</v>
      </c>
      <c r="M4341" s="4" t="e">
        <f t="shared" si="881"/>
        <v>#N/A</v>
      </c>
      <c r="N4341" s="4" t="e">
        <f t="shared" si="882"/>
        <v>#N/A</v>
      </c>
    </row>
    <row r="4342" spans="1:14">
      <c r="A4342">
        <f t="shared" si="883"/>
        <v>0</v>
      </c>
      <c r="B4342">
        <f t="shared" si="884"/>
        <v>0</v>
      </c>
      <c r="C4342">
        <f t="shared" si="885"/>
        <v>0</v>
      </c>
      <c r="D4342">
        <f t="shared" si="886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7"/>
        <v>0</v>
      </c>
      <c r="G4342">
        <f t="shared" si="888"/>
        <v>0</v>
      </c>
      <c r="H4342">
        <f t="shared" si="889"/>
        <v>0</v>
      </c>
      <c r="I4342">
        <f t="shared" si="890"/>
        <v>0</v>
      </c>
      <c r="J4342">
        <f t="shared" si="891"/>
        <v>0</v>
      </c>
      <c r="K4342" s="4" t="e">
        <f t="shared" si="879"/>
        <v>#N/A</v>
      </c>
      <c r="L4342" t="e">
        <f t="shared" si="880"/>
        <v>#N/A</v>
      </c>
      <c r="M4342" s="4" t="e">
        <f t="shared" si="881"/>
        <v>#N/A</v>
      </c>
      <c r="N4342" s="4" t="e">
        <f t="shared" si="882"/>
        <v>#N/A</v>
      </c>
    </row>
    <row r="4343" spans="1:14">
      <c r="A4343">
        <f t="shared" si="883"/>
        <v>0</v>
      </c>
      <c r="B4343">
        <f t="shared" si="884"/>
        <v>0</v>
      </c>
      <c r="C4343">
        <f t="shared" si="885"/>
        <v>0</v>
      </c>
      <c r="D4343">
        <f t="shared" si="886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7"/>
        <v>0</v>
      </c>
      <c r="G4343">
        <f t="shared" si="888"/>
        <v>0</v>
      </c>
      <c r="H4343">
        <f t="shared" si="889"/>
        <v>0</v>
      </c>
      <c r="I4343">
        <f t="shared" si="890"/>
        <v>0</v>
      </c>
      <c r="J4343">
        <f t="shared" si="891"/>
        <v>0</v>
      </c>
      <c r="K4343" s="4" t="e">
        <f t="shared" si="879"/>
        <v>#N/A</v>
      </c>
      <c r="L4343" t="e">
        <f t="shared" si="880"/>
        <v>#N/A</v>
      </c>
      <c r="M4343" s="4" t="e">
        <f t="shared" si="881"/>
        <v>#N/A</v>
      </c>
      <c r="N4343" s="4" t="e">
        <f t="shared" si="882"/>
        <v>#N/A</v>
      </c>
    </row>
    <row r="4344" spans="1:14">
      <c r="A4344">
        <f t="shared" si="883"/>
        <v>0</v>
      </c>
      <c r="B4344">
        <f t="shared" si="884"/>
        <v>0</v>
      </c>
      <c r="C4344">
        <f t="shared" si="885"/>
        <v>0</v>
      </c>
      <c r="D4344">
        <f t="shared" si="886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7"/>
        <v>0</v>
      </c>
      <c r="G4344">
        <f t="shared" si="888"/>
        <v>0</v>
      </c>
      <c r="H4344">
        <f t="shared" si="889"/>
        <v>0</v>
      </c>
      <c r="I4344">
        <f t="shared" si="890"/>
        <v>0</v>
      </c>
      <c r="J4344">
        <f t="shared" si="891"/>
        <v>0</v>
      </c>
      <c r="K4344" s="4" t="e">
        <f t="shared" si="879"/>
        <v>#N/A</v>
      </c>
      <c r="L4344" t="e">
        <f t="shared" si="880"/>
        <v>#N/A</v>
      </c>
      <c r="M4344" s="4" t="e">
        <f t="shared" si="881"/>
        <v>#N/A</v>
      </c>
      <c r="N4344" s="4" t="e">
        <f t="shared" si="882"/>
        <v>#N/A</v>
      </c>
    </row>
    <row r="4345" spans="1:14">
      <c r="A4345">
        <f t="shared" si="883"/>
        <v>0</v>
      </c>
      <c r="B4345">
        <f t="shared" si="884"/>
        <v>0</v>
      </c>
      <c r="C4345">
        <f t="shared" si="885"/>
        <v>0</v>
      </c>
      <c r="D4345">
        <f t="shared" si="886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7"/>
        <v>0</v>
      </c>
      <c r="G4345">
        <f t="shared" si="888"/>
        <v>0</v>
      </c>
      <c r="H4345">
        <f t="shared" si="889"/>
        <v>0</v>
      </c>
      <c r="I4345">
        <f t="shared" si="890"/>
        <v>0</v>
      </c>
      <c r="J4345">
        <f t="shared" si="891"/>
        <v>0</v>
      </c>
      <c r="K4345" s="4" t="e">
        <f t="shared" si="879"/>
        <v>#N/A</v>
      </c>
      <c r="L4345" t="e">
        <f t="shared" si="880"/>
        <v>#N/A</v>
      </c>
      <c r="M4345" s="4" t="e">
        <f t="shared" si="881"/>
        <v>#N/A</v>
      </c>
      <c r="N4345" s="4" t="e">
        <f t="shared" si="882"/>
        <v>#N/A</v>
      </c>
    </row>
    <row r="4346" spans="1:14">
      <c r="A4346">
        <f t="shared" si="883"/>
        <v>0</v>
      </c>
      <c r="B4346">
        <f t="shared" si="884"/>
        <v>0</v>
      </c>
      <c r="C4346">
        <f t="shared" si="885"/>
        <v>0</v>
      </c>
      <c r="D4346">
        <f t="shared" si="886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7"/>
        <v>0</v>
      </c>
      <c r="G4346">
        <f t="shared" si="888"/>
        <v>0</v>
      </c>
      <c r="H4346">
        <f t="shared" si="889"/>
        <v>0</v>
      </c>
      <c r="I4346">
        <f t="shared" si="890"/>
        <v>0</v>
      </c>
      <c r="J4346">
        <f t="shared" si="891"/>
        <v>0</v>
      </c>
      <c r="K4346" s="4" t="e">
        <f t="shared" si="879"/>
        <v>#N/A</v>
      </c>
      <c r="L4346" t="e">
        <f t="shared" si="880"/>
        <v>#N/A</v>
      </c>
      <c r="M4346" s="4" t="e">
        <f t="shared" si="881"/>
        <v>#N/A</v>
      </c>
      <c r="N4346" s="4" t="e">
        <f t="shared" si="882"/>
        <v>#N/A</v>
      </c>
    </row>
    <row r="4347" spans="1:14">
      <c r="A4347">
        <f t="shared" si="883"/>
        <v>0</v>
      </c>
      <c r="B4347">
        <f t="shared" si="884"/>
        <v>0</v>
      </c>
      <c r="C4347">
        <f t="shared" si="885"/>
        <v>0</v>
      </c>
      <c r="D4347">
        <f t="shared" si="886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7"/>
        <v>0</v>
      </c>
      <c r="G4347">
        <f t="shared" si="888"/>
        <v>0</v>
      </c>
      <c r="H4347">
        <f t="shared" si="889"/>
        <v>0</v>
      </c>
      <c r="I4347">
        <f t="shared" si="890"/>
        <v>0</v>
      </c>
      <c r="J4347">
        <f t="shared" si="891"/>
        <v>0</v>
      </c>
      <c r="K4347" s="4" t="e">
        <f t="shared" si="879"/>
        <v>#N/A</v>
      </c>
      <c r="L4347" t="e">
        <f t="shared" si="880"/>
        <v>#N/A</v>
      </c>
      <c r="M4347" s="4" t="e">
        <f t="shared" si="881"/>
        <v>#N/A</v>
      </c>
      <c r="N4347" s="4" t="e">
        <f t="shared" si="882"/>
        <v>#N/A</v>
      </c>
    </row>
    <row r="4348" spans="1:14">
      <c r="A4348">
        <f t="shared" si="883"/>
        <v>0</v>
      </c>
      <c r="B4348">
        <f t="shared" si="884"/>
        <v>0</v>
      </c>
      <c r="C4348">
        <f t="shared" si="885"/>
        <v>0</v>
      </c>
      <c r="D4348">
        <f t="shared" si="886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7"/>
        <v>0</v>
      </c>
      <c r="G4348">
        <f t="shared" si="888"/>
        <v>0</v>
      </c>
      <c r="H4348">
        <f t="shared" si="889"/>
        <v>0</v>
      </c>
      <c r="I4348">
        <f t="shared" si="890"/>
        <v>0</v>
      </c>
      <c r="J4348">
        <f t="shared" si="891"/>
        <v>0</v>
      </c>
      <c r="K4348" s="4" t="e">
        <f t="shared" si="879"/>
        <v>#N/A</v>
      </c>
      <c r="L4348" t="e">
        <f t="shared" si="880"/>
        <v>#N/A</v>
      </c>
      <c r="M4348" s="4" t="e">
        <f t="shared" si="881"/>
        <v>#N/A</v>
      </c>
      <c r="N4348" s="4" t="e">
        <f t="shared" si="882"/>
        <v>#N/A</v>
      </c>
    </row>
    <row r="4349" spans="1:14">
      <c r="A4349">
        <f t="shared" si="883"/>
        <v>0</v>
      </c>
      <c r="B4349">
        <f t="shared" si="884"/>
        <v>0</v>
      </c>
      <c r="C4349">
        <f t="shared" si="885"/>
        <v>0</v>
      </c>
      <c r="D4349">
        <f t="shared" si="886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7"/>
        <v>0</v>
      </c>
      <c r="G4349">
        <f t="shared" si="888"/>
        <v>0</v>
      </c>
      <c r="H4349">
        <f t="shared" si="889"/>
        <v>0</v>
      </c>
      <c r="I4349">
        <f t="shared" si="890"/>
        <v>0</v>
      </c>
      <c r="J4349">
        <f t="shared" si="891"/>
        <v>0</v>
      </c>
      <c r="K4349" s="4" t="e">
        <f t="shared" ref="K4349:K4412" si="892">IF(LEFT(B4349,3)="DBM",0,VLOOKUP(E4349,tabela,2,FALSE))</f>
        <v>#N/A</v>
      </c>
      <c r="L4349" t="e">
        <f t="shared" ref="L4349:L4412" si="893">VLOOKUP(E4349,tabela,3,FALSE)</f>
        <v>#N/A</v>
      </c>
      <c r="M4349" s="4" t="e">
        <f t="shared" ref="M4349:M4412" si="894">IF(E4349="Dynamic Click",J4349*K4349,K4349*$I4349/1000)</f>
        <v>#N/A</v>
      </c>
      <c r="N4349" s="4" t="e">
        <f t="shared" ref="N4349:N4412" si="895">IF(E4349="Dynamic Click",J4349*L4349,L4349*$I4349/1000)</f>
        <v>#N/A</v>
      </c>
    </row>
    <row r="4350" spans="1:14">
      <c r="A4350">
        <f t="shared" si="883"/>
        <v>0</v>
      </c>
      <c r="B4350">
        <f t="shared" si="884"/>
        <v>0</v>
      </c>
      <c r="C4350">
        <f t="shared" si="885"/>
        <v>0</v>
      </c>
      <c r="D4350">
        <f t="shared" si="886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7"/>
        <v>0</v>
      </c>
      <c r="G4350">
        <f t="shared" si="888"/>
        <v>0</v>
      </c>
      <c r="H4350">
        <f t="shared" si="889"/>
        <v>0</v>
      </c>
      <c r="I4350">
        <f t="shared" si="890"/>
        <v>0</v>
      </c>
      <c r="J4350">
        <f t="shared" si="891"/>
        <v>0</v>
      </c>
      <c r="K4350" s="4" t="e">
        <f t="shared" si="892"/>
        <v>#N/A</v>
      </c>
      <c r="L4350" t="e">
        <f t="shared" si="893"/>
        <v>#N/A</v>
      </c>
      <c r="M4350" s="4" t="e">
        <f t="shared" si="894"/>
        <v>#N/A</v>
      </c>
      <c r="N4350" s="4" t="e">
        <f t="shared" si="895"/>
        <v>#N/A</v>
      </c>
    </row>
    <row r="4351" spans="1:14">
      <c r="A4351">
        <f t="shared" si="883"/>
        <v>0</v>
      </c>
      <c r="B4351">
        <f t="shared" si="884"/>
        <v>0</v>
      </c>
      <c r="C4351">
        <f t="shared" si="885"/>
        <v>0</v>
      </c>
      <c r="D4351">
        <f t="shared" si="886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7"/>
        <v>0</v>
      </c>
      <c r="G4351">
        <f t="shared" si="888"/>
        <v>0</v>
      </c>
      <c r="H4351">
        <f t="shared" si="889"/>
        <v>0</v>
      </c>
      <c r="I4351">
        <f t="shared" si="890"/>
        <v>0</v>
      </c>
      <c r="J4351">
        <f t="shared" si="891"/>
        <v>0</v>
      </c>
      <c r="K4351" s="4" t="e">
        <f t="shared" si="892"/>
        <v>#N/A</v>
      </c>
      <c r="L4351" t="e">
        <f t="shared" si="893"/>
        <v>#N/A</v>
      </c>
      <c r="M4351" s="4" t="e">
        <f t="shared" si="894"/>
        <v>#N/A</v>
      </c>
      <c r="N4351" s="4" t="e">
        <f t="shared" si="895"/>
        <v>#N/A</v>
      </c>
    </row>
    <row r="4352" spans="1:14">
      <c r="A4352">
        <f t="shared" si="883"/>
        <v>0</v>
      </c>
      <c r="B4352">
        <f t="shared" si="884"/>
        <v>0</v>
      </c>
      <c r="C4352">
        <f t="shared" si="885"/>
        <v>0</v>
      </c>
      <c r="D4352">
        <f t="shared" si="886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7"/>
        <v>0</v>
      </c>
      <c r="G4352">
        <f t="shared" si="888"/>
        <v>0</v>
      </c>
      <c r="H4352">
        <f t="shared" si="889"/>
        <v>0</v>
      </c>
      <c r="I4352">
        <f t="shared" si="890"/>
        <v>0</v>
      </c>
      <c r="J4352">
        <f t="shared" si="891"/>
        <v>0</v>
      </c>
      <c r="K4352" s="4" t="e">
        <f t="shared" si="892"/>
        <v>#N/A</v>
      </c>
      <c r="L4352" t="e">
        <f t="shared" si="893"/>
        <v>#N/A</v>
      </c>
      <c r="M4352" s="4" t="e">
        <f t="shared" si="894"/>
        <v>#N/A</v>
      </c>
      <c r="N4352" s="4" t="e">
        <f t="shared" si="895"/>
        <v>#N/A</v>
      </c>
    </row>
    <row r="4353" spans="1:14">
      <c r="A4353">
        <f t="shared" si="883"/>
        <v>0</v>
      </c>
      <c r="B4353">
        <f t="shared" si="884"/>
        <v>0</v>
      </c>
      <c r="C4353">
        <f t="shared" si="885"/>
        <v>0</v>
      </c>
      <c r="D4353">
        <f t="shared" si="886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7"/>
        <v>0</v>
      </c>
      <c r="G4353">
        <f t="shared" si="888"/>
        <v>0</v>
      </c>
      <c r="H4353">
        <f t="shared" si="889"/>
        <v>0</v>
      </c>
      <c r="I4353">
        <f t="shared" si="890"/>
        <v>0</v>
      </c>
      <c r="J4353">
        <f t="shared" si="891"/>
        <v>0</v>
      </c>
      <c r="K4353" s="4" t="e">
        <f t="shared" si="892"/>
        <v>#N/A</v>
      </c>
      <c r="L4353" t="e">
        <f t="shared" si="893"/>
        <v>#N/A</v>
      </c>
      <c r="M4353" s="4" t="e">
        <f t="shared" si="894"/>
        <v>#N/A</v>
      </c>
      <c r="N4353" s="4" t="e">
        <f t="shared" si="895"/>
        <v>#N/A</v>
      </c>
    </row>
    <row r="4354" spans="1:14">
      <c r="A4354">
        <f t="shared" ref="A4354:A4417" si="896">bd_campaign</f>
        <v>0</v>
      </c>
      <c r="B4354">
        <f t="shared" ref="B4354:B4417" si="897">bd_site</f>
        <v>0</v>
      </c>
      <c r="C4354">
        <f t="shared" ref="C4354:C4417" si="898">bd_placement</f>
        <v>0</v>
      </c>
      <c r="D4354">
        <f t="shared" ref="D4354:D4417" si="899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900">bd_ad</f>
        <v>0</v>
      </c>
      <c r="G4354">
        <f t="shared" ref="G4354:G4417" si="901">bd_adid</f>
        <v>0</v>
      </c>
      <c r="H4354">
        <f t="shared" ref="H4354:H4417" si="902">bd_creativetype</f>
        <v>0</v>
      </c>
      <c r="I4354">
        <f t="shared" ref="I4354:I4417" si="903">bd_impression</f>
        <v>0</v>
      </c>
      <c r="J4354">
        <f t="shared" ref="J4354:J4417" si="904">bd_clicks</f>
        <v>0</v>
      </c>
      <c r="K4354" s="4" t="e">
        <f t="shared" si="892"/>
        <v>#N/A</v>
      </c>
      <c r="L4354" t="e">
        <f t="shared" si="893"/>
        <v>#N/A</v>
      </c>
      <c r="M4354" s="4" t="e">
        <f t="shared" si="894"/>
        <v>#N/A</v>
      </c>
      <c r="N4354" s="4" t="e">
        <f t="shared" si="895"/>
        <v>#N/A</v>
      </c>
    </row>
    <row r="4355" spans="1:14">
      <c r="A4355">
        <f t="shared" si="896"/>
        <v>0</v>
      </c>
      <c r="B4355">
        <f t="shared" si="897"/>
        <v>0</v>
      </c>
      <c r="C4355">
        <f t="shared" si="898"/>
        <v>0</v>
      </c>
      <c r="D4355">
        <f t="shared" si="899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900"/>
        <v>0</v>
      </c>
      <c r="G4355">
        <f t="shared" si="901"/>
        <v>0</v>
      </c>
      <c r="H4355">
        <f t="shared" si="902"/>
        <v>0</v>
      </c>
      <c r="I4355">
        <f t="shared" si="903"/>
        <v>0</v>
      </c>
      <c r="J4355">
        <f t="shared" si="904"/>
        <v>0</v>
      </c>
      <c r="K4355" s="4" t="e">
        <f t="shared" si="892"/>
        <v>#N/A</v>
      </c>
      <c r="L4355" t="e">
        <f t="shared" si="893"/>
        <v>#N/A</v>
      </c>
      <c r="M4355" s="4" t="e">
        <f t="shared" si="894"/>
        <v>#N/A</v>
      </c>
      <c r="N4355" s="4" t="e">
        <f t="shared" si="895"/>
        <v>#N/A</v>
      </c>
    </row>
    <row r="4356" spans="1:14">
      <c r="A4356">
        <f t="shared" si="896"/>
        <v>0</v>
      </c>
      <c r="B4356">
        <f t="shared" si="897"/>
        <v>0</v>
      </c>
      <c r="C4356">
        <f t="shared" si="898"/>
        <v>0</v>
      </c>
      <c r="D4356">
        <f t="shared" si="899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900"/>
        <v>0</v>
      </c>
      <c r="G4356">
        <f t="shared" si="901"/>
        <v>0</v>
      </c>
      <c r="H4356">
        <f t="shared" si="902"/>
        <v>0</v>
      </c>
      <c r="I4356">
        <f t="shared" si="903"/>
        <v>0</v>
      </c>
      <c r="J4356">
        <f t="shared" si="904"/>
        <v>0</v>
      </c>
      <c r="K4356" s="4" t="e">
        <f t="shared" si="892"/>
        <v>#N/A</v>
      </c>
      <c r="L4356" t="e">
        <f t="shared" si="893"/>
        <v>#N/A</v>
      </c>
      <c r="M4356" s="4" t="e">
        <f t="shared" si="894"/>
        <v>#N/A</v>
      </c>
      <c r="N4356" s="4" t="e">
        <f t="shared" si="895"/>
        <v>#N/A</v>
      </c>
    </row>
    <row r="4357" spans="1:14">
      <c r="A4357">
        <f t="shared" si="896"/>
        <v>0</v>
      </c>
      <c r="B4357">
        <f t="shared" si="897"/>
        <v>0</v>
      </c>
      <c r="C4357">
        <f t="shared" si="898"/>
        <v>0</v>
      </c>
      <c r="D4357">
        <f t="shared" si="899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900"/>
        <v>0</v>
      </c>
      <c r="G4357">
        <f t="shared" si="901"/>
        <v>0</v>
      </c>
      <c r="H4357">
        <f t="shared" si="902"/>
        <v>0</v>
      </c>
      <c r="I4357">
        <f t="shared" si="903"/>
        <v>0</v>
      </c>
      <c r="J4357">
        <f t="shared" si="904"/>
        <v>0</v>
      </c>
      <c r="K4357" s="4" t="e">
        <f t="shared" si="892"/>
        <v>#N/A</v>
      </c>
      <c r="L4357" t="e">
        <f t="shared" si="893"/>
        <v>#N/A</v>
      </c>
      <c r="M4357" s="4" t="e">
        <f t="shared" si="894"/>
        <v>#N/A</v>
      </c>
      <c r="N4357" s="4" t="e">
        <f t="shared" si="895"/>
        <v>#N/A</v>
      </c>
    </row>
    <row r="4358" spans="1:14">
      <c r="A4358">
        <f t="shared" si="896"/>
        <v>0</v>
      </c>
      <c r="B4358">
        <f t="shared" si="897"/>
        <v>0</v>
      </c>
      <c r="C4358">
        <f t="shared" si="898"/>
        <v>0</v>
      </c>
      <c r="D4358">
        <f t="shared" si="899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900"/>
        <v>0</v>
      </c>
      <c r="G4358">
        <f t="shared" si="901"/>
        <v>0</v>
      </c>
      <c r="H4358">
        <f t="shared" si="902"/>
        <v>0</v>
      </c>
      <c r="I4358">
        <f t="shared" si="903"/>
        <v>0</v>
      </c>
      <c r="J4358">
        <f t="shared" si="904"/>
        <v>0</v>
      </c>
      <c r="K4358" s="4" t="e">
        <f t="shared" si="892"/>
        <v>#N/A</v>
      </c>
      <c r="L4358" t="e">
        <f t="shared" si="893"/>
        <v>#N/A</v>
      </c>
      <c r="M4358" s="4" t="e">
        <f t="shared" si="894"/>
        <v>#N/A</v>
      </c>
      <c r="N4358" s="4" t="e">
        <f t="shared" si="895"/>
        <v>#N/A</v>
      </c>
    </row>
    <row r="4359" spans="1:14">
      <c r="A4359">
        <f t="shared" si="896"/>
        <v>0</v>
      </c>
      <c r="B4359">
        <f t="shared" si="897"/>
        <v>0</v>
      </c>
      <c r="C4359">
        <f t="shared" si="898"/>
        <v>0</v>
      </c>
      <c r="D4359">
        <f t="shared" si="899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900"/>
        <v>0</v>
      </c>
      <c r="G4359">
        <f t="shared" si="901"/>
        <v>0</v>
      </c>
      <c r="H4359">
        <f t="shared" si="902"/>
        <v>0</v>
      </c>
      <c r="I4359">
        <f t="shared" si="903"/>
        <v>0</v>
      </c>
      <c r="J4359">
        <f t="shared" si="904"/>
        <v>0</v>
      </c>
      <c r="K4359" s="4" t="e">
        <f t="shared" si="892"/>
        <v>#N/A</v>
      </c>
      <c r="L4359" t="e">
        <f t="shared" si="893"/>
        <v>#N/A</v>
      </c>
      <c r="M4359" s="4" t="e">
        <f t="shared" si="894"/>
        <v>#N/A</v>
      </c>
      <c r="N4359" s="4" t="e">
        <f t="shared" si="895"/>
        <v>#N/A</v>
      </c>
    </row>
    <row r="4360" spans="1:14">
      <c r="A4360">
        <f t="shared" si="896"/>
        <v>0</v>
      </c>
      <c r="B4360">
        <f t="shared" si="897"/>
        <v>0</v>
      </c>
      <c r="C4360">
        <f t="shared" si="898"/>
        <v>0</v>
      </c>
      <c r="D4360">
        <f t="shared" si="899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900"/>
        <v>0</v>
      </c>
      <c r="G4360">
        <f t="shared" si="901"/>
        <v>0</v>
      </c>
      <c r="H4360">
        <f t="shared" si="902"/>
        <v>0</v>
      </c>
      <c r="I4360">
        <f t="shared" si="903"/>
        <v>0</v>
      </c>
      <c r="J4360">
        <f t="shared" si="904"/>
        <v>0</v>
      </c>
      <c r="K4360" s="4" t="e">
        <f t="shared" si="892"/>
        <v>#N/A</v>
      </c>
      <c r="L4360" t="e">
        <f t="shared" si="893"/>
        <v>#N/A</v>
      </c>
      <c r="M4360" s="4" t="e">
        <f t="shared" si="894"/>
        <v>#N/A</v>
      </c>
      <c r="N4360" s="4" t="e">
        <f t="shared" si="895"/>
        <v>#N/A</v>
      </c>
    </row>
    <row r="4361" spans="1:14">
      <c r="A4361">
        <f t="shared" si="896"/>
        <v>0</v>
      </c>
      <c r="B4361">
        <f t="shared" si="897"/>
        <v>0</v>
      </c>
      <c r="C4361">
        <f t="shared" si="898"/>
        <v>0</v>
      </c>
      <c r="D4361">
        <f t="shared" si="899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900"/>
        <v>0</v>
      </c>
      <c r="G4361">
        <f t="shared" si="901"/>
        <v>0</v>
      </c>
      <c r="H4361">
        <f t="shared" si="902"/>
        <v>0</v>
      </c>
      <c r="I4361">
        <f t="shared" si="903"/>
        <v>0</v>
      </c>
      <c r="J4361">
        <f t="shared" si="904"/>
        <v>0</v>
      </c>
      <c r="K4361" s="4" t="e">
        <f t="shared" si="892"/>
        <v>#N/A</v>
      </c>
      <c r="L4361" t="e">
        <f t="shared" si="893"/>
        <v>#N/A</v>
      </c>
      <c r="M4361" s="4" t="e">
        <f t="shared" si="894"/>
        <v>#N/A</v>
      </c>
      <c r="N4361" s="4" t="e">
        <f t="shared" si="895"/>
        <v>#N/A</v>
      </c>
    </row>
    <row r="4362" spans="1:14">
      <c r="A4362">
        <f t="shared" si="896"/>
        <v>0</v>
      </c>
      <c r="B4362">
        <f t="shared" si="897"/>
        <v>0</v>
      </c>
      <c r="C4362">
        <f t="shared" si="898"/>
        <v>0</v>
      </c>
      <c r="D4362">
        <f t="shared" si="899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900"/>
        <v>0</v>
      </c>
      <c r="G4362">
        <f t="shared" si="901"/>
        <v>0</v>
      </c>
      <c r="H4362">
        <f t="shared" si="902"/>
        <v>0</v>
      </c>
      <c r="I4362">
        <f t="shared" si="903"/>
        <v>0</v>
      </c>
      <c r="J4362">
        <f t="shared" si="904"/>
        <v>0</v>
      </c>
      <c r="K4362" s="4" t="e">
        <f t="shared" si="892"/>
        <v>#N/A</v>
      </c>
      <c r="L4362" t="e">
        <f t="shared" si="893"/>
        <v>#N/A</v>
      </c>
      <c r="M4362" s="4" t="e">
        <f t="shared" si="894"/>
        <v>#N/A</v>
      </c>
      <c r="N4362" s="4" t="e">
        <f t="shared" si="895"/>
        <v>#N/A</v>
      </c>
    </row>
    <row r="4363" spans="1:14">
      <c r="A4363">
        <f t="shared" si="896"/>
        <v>0</v>
      </c>
      <c r="B4363">
        <f t="shared" si="897"/>
        <v>0</v>
      </c>
      <c r="C4363">
        <f t="shared" si="898"/>
        <v>0</v>
      </c>
      <c r="D4363">
        <f t="shared" si="899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900"/>
        <v>0</v>
      </c>
      <c r="G4363">
        <f t="shared" si="901"/>
        <v>0</v>
      </c>
      <c r="H4363">
        <f t="shared" si="902"/>
        <v>0</v>
      </c>
      <c r="I4363">
        <f t="shared" si="903"/>
        <v>0</v>
      </c>
      <c r="J4363">
        <f t="shared" si="904"/>
        <v>0</v>
      </c>
      <c r="K4363" s="4" t="e">
        <f t="shared" si="892"/>
        <v>#N/A</v>
      </c>
      <c r="L4363" t="e">
        <f t="shared" si="893"/>
        <v>#N/A</v>
      </c>
      <c r="M4363" s="4" t="e">
        <f t="shared" si="894"/>
        <v>#N/A</v>
      </c>
      <c r="N4363" s="4" t="e">
        <f t="shared" si="895"/>
        <v>#N/A</v>
      </c>
    </row>
    <row r="4364" spans="1:14">
      <c r="A4364">
        <f t="shared" si="896"/>
        <v>0</v>
      </c>
      <c r="B4364">
        <f t="shared" si="897"/>
        <v>0</v>
      </c>
      <c r="C4364">
        <f t="shared" si="898"/>
        <v>0</v>
      </c>
      <c r="D4364">
        <f t="shared" si="899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900"/>
        <v>0</v>
      </c>
      <c r="G4364">
        <f t="shared" si="901"/>
        <v>0</v>
      </c>
      <c r="H4364">
        <f t="shared" si="902"/>
        <v>0</v>
      </c>
      <c r="I4364">
        <f t="shared" si="903"/>
        <v>0</v>
      </c>
      <c r="J4364">
        <f t="shared" si="904"/>
        <v>0</v>
      </c>
      <c r="K4364" s="4" t="e">
        <f t="shared" si="892"/>
        <v>#N/A</v>
      </c>
      <c r="L4364" t="e">
        <f t="shared" si="893"/>
        <v>#N/A</v>
      </c>
      <c r="M4364" s="4" t="e">
        <f t="shared" si="894"/>
        <v>#N/A</v>
      </c>
      <c r="N4364" s="4" t="e">
        <f t="shared" si="895"/>
        <v>#N/A</v>
      </c>
    </row>
    <row r="4365" spans="1:14">
      <c r="A4365">
        <f t="shared" si="896"/>
        <v>0</v>
      </c>
      <c r="B4365">
        <f t="shared" si="897"/>
        <v>0</v>
      </c>
      <c r="C4365">
        <f t="shared" si="898"/>
        <v>0</v>
      </c>
      <c r="D4365">
        <f t="shared" si="899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900"/>
        <v>0</v>
      </c>
      <c r="G4365">
        <f t="shared" si="901"/>
        <v>0</v>
      </c>
      <c r="H4365">
        <f t="shared" si="902"/>
        <v>0</v>
      </c>
      <c r="I4365">
        <f t="shared" si="903"/>
        <v>0</v>
      </c>
      <c r="J4365">
        <f t="shared" si="904"/>
        <v>0</v>
      </c>
      <c r="K4365" s="4" t="e">
        <f t="shared" si="892"/>
        <v>#N/A</v>
      </c>
      <c r="L4365" t="e">
        <f t="shared" si="893"/>
        <v>#N/A</v>
      </c>
      <c r="M4365" s="4" t="e">
        <f t="shared" si="894"/>
        <v>#N/A</v>
      </c>
      <c r="N4365" s="4" t="e">
        <f t="shared" si="895"/>
        <v>#N/A</v>
      </c>
    </row>
    <row r="4366" spans="1:14">
      <c r="A4366">
        <f t="shared" si="896"/>
        <v>0</v>
      </c>
      <c r="B4366">
        <f t="shared" si="897"/>
        <v>0</v>
      </c>
      <c r="C4366">
        <f t="shared" si="898"/>
        <v>0</v>
      </c>
      <c r="D4366">
        <f t="shared" si="899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900"/>
        <v>0</v>
      </c>
      <c r="G4366">
        <f t="shared" si="901"/>
        <v>0</v>
      </c>
      <c r="H4366">
        <f t="shared" si="902"/>
        <v>0</v>
      </c>
      <c r="I4366">
        <f t="shared" si="903"/>
        <v>0</v>
      </c>
      <c r="J4366">
        <f t="shared" si="904"/>
        <v>0</v>
      </c>
      <c r="K4366" s="4" t="e">
        <f t="shared" si="892"/>
        <v>#N/A</v>
      </c>
      <c r="L4366" t="e">
        <f t="shared" si="893"/>
        <v>#N/A</v>
      </c>
      <c r="M4366" s="4" t="e">
        <f t="shared" si="894"/>
        <v>#N/A</v>
      </c>
      <c r="N4366" s="4" t="e">
        <f t="shared" si="895"/>
        <v>#N/A</v>
      </c>
    </row>
    <row r="4367" spans="1:14">
      <c r="A4367">
        <f t="shared" si="896"/>
        <v>0</v>
      </c>
      <c r="B4367">
        <f t="shared" si="897"/>
        <v>0</v>
      </c>
      <c r="C4367">
        <f t="shared" si="898"/>
        <v>0</v>
      </c>
      <c r="D4367">
        <f t="shared" si="899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900"/>
        <v>0</v>
      </c>
      <c r="G4367">
        <f t="shared" si="901"/>
        <v>0</v>
      </c>
      <c r="H4367">
        <f t="shared" si="902"/>
        <v>0</v>
      </c>
      <c r="I4367">
        <f t="shared" si="903"/>
        <v>0</v>
      </c>
      <c r="J4367">
        <f t="shared" si="904"/>
        <v>0</v>
      </c>
      <c r="K4367" s="4" t="e">
        <f t="shared" si="892"/>
        <v>#N/A</v>
      </c>
      <c r="L4367" t="e">
        <f t="shared" si="893"/>
        <v>#N/A</v>
      </c>
      <c r="M4367" s="4" t="e">
        <f t="shared" si="894"/>
        <v>#N/A</v>
      </c>
      <c r="N4367" s="4" t="e">
        <f t="shared" si="895"/>
        <v>#N/A</v>
      </c>
    </row>
    <row r="4368" spans="1:14">
      <c r="A4368">
        <f t="shared" si="896"/>
        <v>0</v>
      </c>
      <c r="B4368">
        <f t="shared" si="897"/>
        <v>0</v>
      </c>
      <c r="C4368">
        <f t="shared" si="898"/>
        <v>0</v>
      </c>
      <c r="D4368">
        <f t="shared" si="899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900"/>
        <v>0</v>
      </c>
      <c r="G4368">
        <f t="shared" si="901"/>
        <v>0</v>
      </c>
      <c r="H4368">
        <f t="shared" si="902"/>
        <v>0</v>
      </c>
      <c r="I4368">
        <f t="shared" si="903"/>
        <v>0</v>
      </c>
      <c r="J4368">
        <f t="shared" si="904"/>
        <v>0</v>
      </c>
      <c r="K4368" s="4" t="e">
        <f t="shared" si="892"/>
        <v>#N/A</v>
      </c>
      <c r="L4368" t="e">
        <f t="shared" si="893"/>
        <v>#N/A</v>
      </c>
      <c r="M4368" s="4" t="e">
        <f t="shared" si="894"/>
        <v>#N/A</v>
      </c>
      <c r="N4368" s="4" t="e">
        <f t="shared" si="895"/>
        <v>#N/A</v>
      </c>
    </row>
    <row r="4369" spans="1:14">
      <c r="A4369">
        <f t="shared" si="896"/>
        <v>0</v>
      </c>
      <c r="B4369">
        <f t="shared" si="897"/>
        <v>0</v>
      </c>
      <c r="C4369">
        <f t="shared" si="898"/>
        <v>0</v>
      </c>
      <c r="D4369">
        <f t="shared" si="899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900"/>
        <v>0</v>
      </c>
      <c r="G4369">
        <f t="shared" si="901"/>
        <v>0</v>
      </c>
      <c r="H4369">
        <f t="shared" si="902"/>
        <v>0</v>
      </c>
      <c r="I4369">
        <f t="shared" si="903"/>
        <v>0</v>
      </c>
      <c r="J4369">
        <f t="shared" si="904"/>
        <v>0</v>
      </c>
      <c r="K4369" s="4" t="e">
        <f t="shared" si="892"/>
        <v>#N/A</v>
      </c>
      <c r="L4369" t="e">
        <f t="shared" si="893"/>
        <v>#N/A</v>
      </c>
      <c r="M4369" s="4" t="e">
        <f t="shared" si="894"/>
        <v>#N/A</v>
      </c>
      <c r="N4369" s="4" t="e">
        <f t="shared" si="895"/>
        <v>#N/A</v>
      </c>
    </row>
    <row r="4370" spans="1:14">
      <c r="A4370">
        <f t="shared" si="896"/>
        <v>0</v>
      </c>
      <c r="B4370">
        <f t="shared" si="897"/>
        <v>0</v>
      </c>
      <c r="C4370">
        <f t="shared" si="898"/>
        <v>0</v>
      </c>
      <c r="D4370">
        <f t="shared" si="899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900"/>
        <v>0</v>
      </c>
      <c r="G4370">
        <f t="shared" si="901"/>
        <v>0</v>
      </c>
      <c r="H4370">
        <f t="shared" si="902"/>
        <v>0</v>
      </c>
      <c r="I4370">
        <f t="shared" si="903"/>
        <v>0</v>
      </c>
      <c r="J4370">
        <f t="shared" si="904"/>
        <v>0</v>
      </c>
      <c r="K4370" s="4" t="e">
        <f t="shared" si="892"/>
        <v>#N/A</v>
      </c>
      <c r="L4370" t="e">
        <f t="shared" si="893"/>
        <v>#N/A</v>
      </c>
      <c r="M4370" s="4" t="e">
        <f t="shared" si="894"/>
        <v>#N/A</v>
      </c>
      <c r="N4370" s="4" t="e">
        <f t="shared" si="895"/>
        <v>#N/A</v>
      </c>
    </row>
    <row r="4371" spans="1:14">
      <c r="A4371">
        <f t="shared" si="896"/>
        <v>0</v>
      </c>
      <c r="B4371">
        <f t="shared" si="897"/>
        <v>0</v>
      </c>
      <c r="C4371">
        <f t="shared" si="898"/>
        <v>0</v>
      </c>
      <c r="D4371">
        <f t="shared" si="899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900"/>
        <v>0</v>
      </c>
      <c r="G4371">
        <f t="shared" si="901"/>
        <v>0</v>
      </c>
      <c r="H4371">
        <f t="shared" si="902"/>
        <v>0</v>
      </c>
      <c r="I4371">
        <f t="shared" si="903"/>
        <v>0</v>
      </c>
      <c r="J4371">
        <f t="shared" si="904"/>
        <v>0</v>
      </c>
      <c r="K4371" s="4" t="e">
        <f t="shared" si="892"/>
        <v>#N/A</v>
      </c>
      <c r="L4371" t="e">
        <f t="shared" si="893"/>
        <v>#N/A</v>
      </c>
      <c r="M4371" s="4" t="e">
        <f t="shared" si="894"/>
        <v>#N/A</v>
      </c>
      <c r="N4371" s="4" t="e">
        <f t="shared" si="895"/>
        <v>#N/A</v>
      </c>
    </row>
    <row r="4372" spans="1:14">
      <c r="A4372">
        <f t="shared" si="896"/>
        <v>0</v>
      </c>
      <c r="B4372">
        <f t="shared" si="897"/>
        <v>0</v>
      </c>
      <c r="C4372">
        <f t="shared" si="898"/>
        <v>0</v>
      </c>
      <c r="D4372">
        <f t="shared" si="899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900"/>
        <v>0</v>
      </c>
      <c r="G4372">
        <f t="shared" si="901"/>
        <v>0</v>
      </c>
      <c r="H4372">
        <f t="shared" si="902"/>
        <v>0</v>
      </c>
      <c r="I4372">
        <f t="shared" si="903"/>
        <v>0</v>
      </c>
      <c r="J4372">
        <f t="shared" si="904"/>
        <v>0</v>
      </c>
      <c r="K4372" s="4" t="e">
        <f t="shared" si="892"/>
        <v>#N/A</v>
      </c>
      <c r="L4372" t="e">
        <f t="shared" si="893"/>
        <v>#N/A</v>
      </c>
      <c r="M4372" s="4" t="e">
        <f t="shared" si="894"/>
        <v>#N/A</v>
      </c>
      <c r="N4372" s="4" t="e">
        <f t="shared" si="895"/>
        <v>#N/A</v>
      </c>
    </row>
    <row r="4373" spans="1:14">
      <c r="A4373">
        <f t="shared" si="896"/>
        <v>0</v>
      </c>
      <c r="B4373">
        <f t="shared" si="897"/>
        <v>0</v>
      </c>
      <c r="C4373">
        <f t="shared" si="898"/>
        <v>0</v>
      </c>
      <c r="D4373">
        <f t="shared" si="899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900"/>
        <v>0</v>
      </c>
      <c r="G4373">
        <f t="shared" si="901"/>
        <v>0</v>
      </c>
      <c r="H4373">
        <f t="shared" si="902"/>
        <v>0</v>
      </c>
      <c r="I4373">
        <f t="shared" si="903"/>
        <v>0</v>
      </c>
      <c r="J4373">
        <f t="shared" si="904"/>
        <v>0</v>
      </c>
      <c r="K4373" s="4" t="e">
        <f t="shared" si="892"/>
        <v>#N/A</v>
      </c>
      <c r="L4373" t="e">
        <f t="shared" si="893"/>
        <v>#N/A</v>
      </c>
      <c r="M4373" s="4" t="e">
        <f t="shared" si="894"/>
        <v>#N/A</v>
      </c>
      <c r="N4373" s="4" t="e">
        <f t="shared" si="895"/>
        <v>#N/A</v>
      </c>
    </row>
    <row r="4374" spans="1:14">
      <c r="A4374">
        <f t="shared" si="896"/>
        <v>0</v>
      </c>
      <c r="B4374">
        <f t="shared" si="897"/>
        <v>0</v>
      </c>
      <c r="C4374">
        <f t="shared" si="898"/>
        <v>0</v>
      </c>
      <c r="D4374">
        <f t="shared" si="899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900"/>
        <v>0</v>
      </c>
      <c r="G4374">
        <f t="shared" si="901"/>
        <v>0</v>
      </c>
      <c r="H4374">
        <f t="shared" si="902"/>
        <v>0</v>
      </c>
      <c r="I4374">
        <f t="shared" si="903"/>
        <v>0</v>
      </c>
      <c r="J4374">
        <f t="shared" si="904"/>
        <v>0</v>
      </c>
      <c r="K4374" s="4" t="e">
        <f t="shared" si="892"/>
        <v>#N/A</v>
      </c>
      <c r="L4374" t="e">
        <f t="shared" si="893"/>
        <v>#N/A</v>
      </c>
      <c r="M4374" s="4" t="e">
        <f t="shared" si="894"/>
        <v>#N/A</v>
      </c>
      <c r="N4374" s="4" t="e">
        <f t="shared" si="895"/>
        <v>#N/A</v>
      </c>
    </row>
    <row r="4375" spans="1:14">
      <c r="A4375">
        <f t="shared" si="896"/>
        <v>0</v>
      </c>
      <c r="B4375">
        <f t="shared" si="897"/>
        <v>0</v>
      </c>
      <c r="C4375">
        <f t="shared" si="898"/>
        <v>0</v>
      </c>
      <c r="D4375">
        <f t="shared" si="899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900"/>
        <v>0</v>
      </c>
      <c r="G4375">
        <f t="shared" si="901"/>
        <v>0</v>
      </c>
      <c r="H4375">
        <f t="shared" si="902"/>
        <v>0</v>
      </c>
      <c r="I4375">
        <f t="shared" si="903"/>
        <v>0</v>
      </c>
      <c r="J4375">
        <f t="shared" si="904"/>
        <v>0</v>
      </c>
      <c r="K4375" s="4" t="e">
        <f t="shared" si="892"/>
        <v>#N/A</v>
      </c>
      <c r="L4375" t="e">
        <f t="shared" si="893"/>
        <v>#N/A</v>
      </c>
      <c r="M4375" s="4" t="e">
        <f t="shared" si="894"/>
        <v>#N/A</v>
      </c>
      <c r="N4375" s="4" t="e">
        <f t="shared" si="895"/>
        <v>#N/A</v>
      </c>
    </row>
    <row r="4376" spans="1:14">
      <c r="A4376">
        <f t="shared" si="896"/>
        <v>0</v>
      </c>
      <c r="B4376">
        <f t="shared" si="897"/>
        <v>0</v>
      </c>
      <c r="C4376">
        <f t="shared" si="898"/>
        <v>0</v>
      </c>
      <c r="D4376">
        <f t="shared" si="899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900"/>
        <v>0</v>
      </c>
      <c r="G4376">
        <f t="shared" si="901"/>
        <v>0</v>
      </c>
      <c r="H4376">
        <f t="shared" si="902"/>
        <v>0</v>
      </c>
      <c r="I4376">
        <f t="shared" si="903"/>
        <v>0</v>
      </c>
      <c r="J4376">
        <f t="shared" si="904"/>
        <v>0</v>
      </c>
      <c r="K4376" s="4" t="e">
        <f t="shared" si="892"/>
        <v>#N/A</v>
      </c>
      <c r="L4376" t="e">
        <f t="shared" si="893"/>
        <v>#N/A</v>
      </c>
      <c r="M4376" s="4" t="e">
        <f t="shared" si="894"/>
        <v>#N/A</v>
      </c>
      <c r="N4376" s="4" t="e">
        <f t="shared" si="895"/>
        <v>#N/A</v>
      </c>
    </row>
    <row r="4377" spans="1:14">
      <c r="A4377">
        <f t="shared" si="896"/>
        <v>0</v>
      </c>
      <c r="B4377">
        <f t="shared" si="897"/>
        <v>0</v>
      </c>
      <c r="C4377">
        <f t="shared" si="898"/>
        <v>0</v>
      </c>
      <c r="D4377">
        <f t="shared" si="899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900"/>
        <v>0</v>
      </c>
      <c r="G4377">
        <f t="shared" si="901"/>
        <v>0</v>
      </c>
      <c r="H4377">
        <f t="shared" si="902"/>
        <v>0</v>
      </c>
      <c r="I4377">
        <f t="shared" si="903"/>
        <v>0</v>
      </c>
      <c r="J4377">
        <f t="shared" si="904"/>
        <v>0</v>
      </c>
      <c r="K4377" s="4" t="e">
        <f t="shared" si="892"/>
        <v>#N/A</v>
      </c>
      <c r="L4377" t="e">
        <f t="shared" si="893"/>
        <v>#N/A</v>
      </c>
      <c r="M4377" s="4" t="e">
        <f t="shared" si="894"/>
        <v>#N/A</v>
      </c>
      <c r="N4377" s="4" t="e">
        <f t="shared" si="895"/>
        <v>#N/A</v>
      </c>
    </row>
    <row r="4378" spans="1:14">
      <c r="A4378">
        <f t="shared" si="896"/>
        <v>0</v>
      </c>
      <c r="B4378">
        <f t="shared" si="897"/>
        <v>0</v>
      </c>
      <c r="C4378">
        <f t="shared" si="898"/>
        <v>0</v>
      </c>
      <c r="D4378">
        <f t="shared" si="899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900"/>
        <v>0</v>
      </c>
      <c r="G4378">
        <f t="shared" si="901"/>
        <v>0</v>
      </c>
      <c r="H4378">
        <f t="shared" si="902"/>
        <v>0</v>
      </c>
      <c r="I4378">
        <f t="shared" si="903"/>
        <v>0</v>
      </c>
      <c r="J4378">
        <f t="shared" si="904"/>
        <v>0</v>
      </c>
      <c r="K4378" s="4" t="e">
        <f t="shared" si="892"/>
        <v>#N/A</v>
      </c>
      <c r="L4378" t="e">
        <f t="shared" si="893"/>
        <v>#N/A</v>
      </c>
      <c r="M4378" s="4" t="e">
        <f t="shared" si="894"/>
        <v>#N/A</v>
      </c>
      <c r="N4378" s="4" t="e">
        <f t="shared" si="895"/>
        <v>#N/A</v>
      </c>
    </row>
    <row r="4379" spans="1:14">
      <c r="A4379">
        <f t="shared" si="896"/>
        <v>0</v>
      </c>
      <c r="B4379">
        <f t="shared" si="897"/>
        <v>0</v>
      </c>
      <c r="C4379">
        <f t="shared" si="898"/>
        <v>0</v>
      </c>
      <c r="D4379">
        <f t="shared" si="899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900"/>
        <v>0</v>
      </c>
      <c r="G4379">
        <f t="shared" si="901"/>
        <v>0</v>
      </c>
      <c r="H4379">
        <f t="shared" si="902"/>
        <v>0</v>
      </c>
      <c r="I4379">
        <f t="shared" si="903"/>
        <v>0</v>
      </c>
      <c r="J4379">
        <f t="shared" si="904"/>
        <v>0</v>
      </c>
      <c r="K4379" s="4" t="e">
        <f t="shared" si="892"/>
        <v>#N/A</v>
      </c>
      <c r="L4379" t="e">
        <f t="shared" si="893"/>
        <v>#N/A</v>
      </c>
      <c r="M4379" s="4" t="e">
        <f t="shared" si="894"/>
        <v>#N/A</v>
      </c>
      <c r="N4379" s="4" t="e">
        <f t="shared" si="895"/>
        <v>#N/A</v>
      </c>
    </row>
    <row r="4380" spans="1:14">
      <c r="A4380">
        <f t="shared" si="896"/>
        <v>0</v>
      </c>
      <c r="B4380">
        <f t="shared" si="897"/>
        <v>0</v>
      </c>
      <c r="C4380">
        <f t="shared" si="898"/>
        <v>0</v>
      </c>
      <c r="D4380">
        <f t="shared" si="899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900"/>
        <v>0</v>
      </c>
      <c r="G4380">
        <f t="shared" si="901"/>
        <v>0</v>
      </c>
      <c r="H4380">
        <f t="shared" si="902"/>
        <v>0</v>
      </c>
      <c r="I4380">
        <f t="shared" si="903"/>
        <v>0</v>
      </c>
      <c r="J4380">
        <f t="shared" si="904"/>
        <v>0</v>
      </c>
      <c r="K4380" s="4" t="e">
        <f t="shared" si="892"/>
        <v>#N/A</v>
      </c>
      <c r="L4380" t="e">
        <f t="shared" si="893"/>
        <v>#N/A</v>
      </c>
      <c r="M4380" s="4" t="e">
        <f t="shared" si="894"/>
        <v>#N/A</v>
      </c>
      <c r="N4380" s="4" t="e">
        <f t="shared" si="895"/>
        <v>#N/A</v>
      </c>
    </row>
    <row r="4381" spans="1:14">
      <c r="A4381">
        <f t="shared" si="896"/>
        <v>0</v>
      </c>
      <c r="B4381">
        <f t="shared" si="897"/>
        <v>0</v>
      </c>
      <c r="C4381">
        <f t="shared" si="898"/>
        <v>0</v>
      </c>
      <c r="D4381">
        <f t="shared" si="899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900"/>
        <v>0</v>
      </c>
      <c r="G4381">
        <f t="shared" si="901"/>
        <v>0</v>
      </c>
      <c r="H4381">
        <f t="shared" si="902"/>
        <v>0</v>
      </c>
      <c r="I4381">
        <f t="shared" si="903"/>
        <v>0</v>
      </c>
      <c r="J4381">
        <f t="shared" si="904"/>
        <v>0</v>
      </c>
      <c r="K4381" s="4" t="e">
        <f t="shared" si="892"/>
        <v>#N/A</v>
      </c>
      <c r="L4381" t="e">
        <f t="shared" si="893"/>
        <v>#N/A</v>
      </c>
      <c r="M4381" s="4" t="e">
        <f t="shared" si="894"/>
        <v>#N/A</v>
      </c>
      <c r="N4381" s="4" t="e">
        <f t="shared" si="895"/>
        <v>#N/A</v>
      </c>
    </row>
    <row r="4382" spans="1:14">
      <c r="A4382">
        <f t="shared" si="896"/>
        <v>0</v>
      </c>
      <c r="B4382">
        <f t="shared" si="897"/>
        <v>0</v>
      </c>
      <c r="C4382">
        <f t="shared" si="898"/>
        <v>0</v>
      </c>
      <c r="D4382">
        <f t="shared" si="899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900"/>
        <v>0</v>
      </c>
      <c r="G4382">
        <f t="shared" si="901"/>
        <v>0</v>
      </c>
      <c r="H4382">
        <f t="shared" si="902"/>
        <v>0</v>
      </c>
      <c r="I4382">
        <f t="shared" si="903"/>
        <v>0</v>
      </c>
      <c r="J4382">
        <f t="shared" si="904"/>
        <v>0</v>
      </c>
      <c r="K4382" s="4" t="e">
        <f t="shared" si="892"/>
        <v>#N/A</v>
      </c>
      <c r="L4382" t="e">
        <f t="shared" si="893"/>
        <v>#N/A</v>
      </c>
      <c r="M4382" s="4" t="e">
        <f t="shared" si="894"/>
        <v>#N/A</v>
      </c>
      <c r="N4382" s="4" t="e">
        <f t="shared" si="895"/>
        <v>#N/A</v>
      </c>
    </row>
    <row r="4383" spans="1:14">
      <c r="A4383">
        <f t="shared" si="896"/>
        <v>0</v>
      </c>
      <c r="B4383">
        <f t="shared" si="897"/>
        <v>0</v>
      </c>
      <c r="C4383">
        <f t="shared" si="898"/>
        <v>0</v>
      </c>
      <c r="D4383">
        <f t="shared" si="899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900"/>
        <v>0</v>
      </c>
      <c r="G4383">
        <f t="shared" si="901"/>
        <v>0</v>
      </c>
      <c r="H4383">
        <f t="shared" si="902"/>
        <v>0</v>
      </c>
      <c r="I4383">
        <f t="shared" si="903"/>
        <v>0</v>
      </c>
      <c r="J4383">
        <f t="shared" si="904"/>
        <v>0</v>
      </c>
      <c r="K4383" s="4" t="e">
        <f t="shared" si="892"/>
        <v>#N/A</v>
      </c>
      <c r="L4383" t="e">
        <f t="shared" si="893"/>
        <v>#N/A</v>
      </c>
      <c r="M4383" s="4" t="e">
        <f t="shared" si="894"/>
        <v>#N/A</v>
      </c>
      <c r="N4383" s="4" t="e">
        <f t="shared" si="895"/>
        <v>#N/A</v>
      </c>
    </row>
    <row r="4384" spans="1:14">
      <c r="A4384">
        <f t="shared" si="896"/>
        <v>0</v>
      </c>
      <c r="B4384">
        <f t="shared" si="897"/>
        <v>0</v>
      </c>
      <c r="C4384">
        <f t="shared" si="898"/>
        <v>0</v>
      </c>
      <c r="D4384">
        <f t="shared" si="899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900"/>
        <v>0</v>
      </c>
      <c r="G4384">
        <f t="shared" si="901"/>
        <v>0</v>
      </c>
      <c r="H4384">
        <f t="shared" si="902"/>
        <v>0</v>
      </c>
      <c r="I4384">
        <f t="shared" si="903"/>
        <v>0</v>
      </c>
      <c r="J4384">
        <f t="shared" si="904"/>
        <v>0</v>
      </c>
      <c r="K4384" s="4" t="e">
        <f t="shared" si="892"/>
        <v>#N/A</v>
      </c>
      <c r="L4384" t="e">
        <f t="shared" si="893"/>
        <v>#N/A</v>
      </c>
      <c r="M4384" s="4" t="e">
        <f t="shared" si="894"/>
        <v>#N/A</v>
      </c>
      <c r="N4384" s="4" t="e">
        <f t="shared" si="895"/>
        <v>#N/A</v>
      </c>
    </row>
    <row r="4385" spans="1:14">
      <c r="A4385">
        <f t="shared" si="896"/>
        <v>0</v>
      </c>
      <c r="B4385">
        <f t="shared" si="897"/>
        <v>0</v>
      </c>
      <c r="C4385">
        <f t="shared" si="898"/>
        <v>0</v>
      </c>
      <c r="D4385">
        <f t="shared" si="899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900"/>
        <v>0</v>
      </c>
      <c r="G4385">
        <f t="shared" si="901"/>
        <v>0</v>
      </c>
      <c r="H4385">
        <f t="shared" si="902"/>
        <v>0</v>
      </c>
      <c r="I4385">
        <f t="shared" si="903"/>
        <v>0</v>
      </c>
      <c r="J4385">
        <f t="shared" si="904"/>
        <v>0</v>
      </c>
      <c r="K4385" s="4" t="e">
        <f t="shared" si="892"/>
        <v>#N/A</v>
      </c>
      <c r="L4385" t="e">
        <f t="shared" si="893"/>
        <v>#N/A</v>
      </c>
      <c r="M4385" s="4" t="e">
        <f t="shared" si="894"/>
        <v>#N/A</v>
      </c>
      <c r="N4385" s="4" t="e">
        <f t="shared" si="895"/>
        <v>#N/A</v>
      </c>
    </row>
    <row r="4386" spans="1:14">
      <c r="A4386">
        <f t="shared" si="896"/>
        <v>0</v>
      </c>
      <c r="B4386">
        <f t="shared" si="897"/>
        <v>0</v>
      </c>
      <c r="C4386">
        <f t="shared" si="898"/>
        <v>0</v>
      </c>
      <c r="D4386">
        <f t="shared" si="899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900"/>
        <v>0</v>
      </c>
      <c r="G4386">
        <f t="shared" si="901"/>
        <v>0</v>
      </c>
      <c r="H4386">
        <f t="shared" si="902"/>
        <v>0</v>
      </c>
      <c r="I4386">
        <f t="shared" si="903"/>
        <v>0</v>
      </c>
      <c r="J4386">
        <f t="shared" si="904"/>
        <v>0</v>
      </c>
      <c r="K4386" s="4" t="e">
        <f t="shared" si="892"/>
        <v>#N/A</v>
      </c>
      <c r="L4386" t="e">
        <f t="shared" si="893"/>
        <v>#N/A</v>
      </c>
      <c r="M4386" s="4" t="e">
        <f t="shared" si="894"/>
        <v>#N/A</v>
      </c>
      <c r="N4386" s="4" t="e">
        <f t="shared" si="895"/>
        <v>#N/A</v>
      </c>
    </row>
    <row r="4387" spans="1:14">
      <c r="A4387">
        <f t="shared" si="896"/>
        <v>0</v>
      </c>
      <c r="B4387">
        <f t="shared" si="897"/>
        <v>0</v>
      </c>
      <c r="C4387">
        <f t="shared" si="898"/>
        <v>0</v>
      </c>
      <c r="D4387">
        <f t="shared" si="899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900"/>
        <v>0</v>
      </c>
      <c r="G4387">
        <f t="shared" si="901"/>
        <v>0</v>
      </c>
      <c r="H4387">
        <f t="shared" si="902"/>
        <v>0</v>
      </c>
      <c r="I4387">
        <f t="shared" si="903"/>
        <v>0</v>
      </c>
      <c r="J4387">
        <f t="shared" si="904"/>
        <v>0</v>
      </c>
      <c r="K4387" s="4" t="e">
        <f t="shared" si="892"/>
        <v>#N/A</v>
      </c>
      <c r="L4387" t="e">
        <f t="shared" si="893"/>
        <v>#N/A</v>
      </c>
      <c r="M4387" s="4" t="e">
        <f t="shared" si="894"/>
        <v>#N/A</v>
      </c>
      <c r="N4387" s="4" t="e">
        <f t="shared" si="895"/>
        <v>#N/A</v>
      </c>
    </row>
    <row r="4388" spans="1:14">
      <c r="A4388">
        <f t="shared" si="896"/>
        <v>0</v>
      </c>
      <c r="B4388">
        <f t="shared" si="897"/>
        <v>0</v>
      </c>
      <c r="C4388">
        <f t="shared" si="898"/>
        <v>0</v>
      </c>
      <c r="D4388">
        <f t="shared" si="899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900"/>
        <v>0</v>
      </c>
      <c r="G4388">
        <f t="shared" si="901"/>
        <v>0</v>
      </c>
      <c r="H4388">
        <f t="shared" si="902"/>
        <v>0</v>
      </c>
      <c r="I4388">
        <f t="shared" si="903"/>
        <v>0</v>
      </c>
      <c r="J4388">
        <f t="shared" si="904"/>
        <v>0</v>
      </c>
      <c r="K4388" s="4" t="e">
        <f t="shared" si="892"/>
        <v>#N/A</v>
      </c>
      <c r="L4388" t="e">
        <f t="shared" si="893"/>
        <v>#N/A</v>
      </c>
      <c r="M4388" s="4" t="e">
        <f t="shared" si="894"/>
        <v>#N/A</v>
      </c>
      <c r="N4388" s="4" t="e">
        <f t="shared" si="895"/>
        <v>#N/A</v>
      </c>
    </row>
    <row r="4389" spans="1:14">
      <c r="A4389">
        <f t="shared" si="896"/>
        <v>0</v>
      </c>
      <c r="B4389">
        <f t="shared" si="897"/>
        <v>0</v>
      </c>
      <c r="C4389">
        <f t="shared" si="898"/>
        <v>0</v>
      </c>
      <c r="D4389">
        <f t="shared" si="899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900"/>
        <v>0</v>
      </c>
      <c r="G4389">
        <f t="shared" si="901"/>
        <v>0</v>
      </c>
      <c r="H4389">
        <f t="shared" si="902"/>
        <v>0</v>
      </c>
      <c r="I4389">
        <f t="shared" si="903"/>
        <v>0</v>
      </c>
      <c r="J4389">
        <f t="shared" si="904"/>
        <v>0</v>
      </c>
      <c r="K4389" s="4" t="e">
        <f t="shared" si="892"/>
        <v>#N/A</v>
      </c>
      <c r="L4389" t="e">
        <f t="shared" si="893"/>
        <v>#N/A</v>
      </c>
      <c r="M4389" s="4" t="e">
        <f t="shared" si="894"/>
        <v>#N/A</v>
      </c>
      <c r="N4389" s="4" t="e">
        <f t="shared" si="895"/>
        <v>#N/A</v>
      </c>
    </row>
    <row r="4390" spans="1:14">
      <c r="A4390">
        <f t="shared" si="896"/>
        <v>0</v>
      </c>
      <c r="B4390">
        <f t="shared" si="897"/>
        <v>0</v>
      </c>
      <c r="C4390">
        <f t="shared" si="898"/>
        <v>0</v>
      </c>
      <c r="D4390">
        <f t="shared" si="899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900"/>
        <v>0</v>
      </c>
      <c r="G4390">
        <f t="shared" si="901"/>
        <v>0</v>
      </c>
      <c r="H4390">
        <f t="shared" si="902"/>
        <v>0</v>
      </c>
      <c r="I4390">
        <f t="shared" si="903"/>
        <v>0</v>
      </c>
      <c r="J4390">
        <f t="shared" si="904"/>
        <v>0</v>
      </c>
      <c r="K4390" s="4" t="e">
        <f t="shared" si="892"/>
        <v>#N/A</v>
      </c>
      <c r="L4390" t="e">
        <f t="shared" si="893"/>
        <v>#N/A</v>
      </c>
      <c r="M4390" s="4" t="e">
        <f t="shared" si="894"/>
        <v>#N/A</v>
      </c>
      <c r="N4390" s="4" t="e">
        <f t="shared" si="895"/>
        <v>#N/A</v>
      </c>
    </row>
    <row r="4391" spans="1:14">
      <c r="A4391">
        <f t="shared" si="896"/>
        <v>0</v>
      </c>
      <c r="B4391">
        <f t="shared" si="897"/>
        <v>0</v>
      </c>
      <c r="C4391">
        <f t="shared" si="898"/>
        <v>0</v>
      </c>
      <c r="D4391">
        <f t="shared" si="899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900"/>
        <v>0</v>
      </c>
      <c r="G4391">
        <f t="shared" si="901"/>
        <v>0</v>
      </c>
      <c r="H4391">
        <f t="shared" si="902"/>
        <v>0</v>
      </c>
      <c r="I4391">
        <f t="shared" si="903"/>
        <v>0</v>
      </c>
      <c r="J4391">
        <f t="shared" si="904"/>
        <v>0</v>
      </c>
      <c r="K4391" s="4" t="e">
        <f t="shared" si="892"/>
        <v>#N/A</v>
      </c>
      <c r="L4391" t="e">
        <f t="shared" si="893"/>
        <v>#N/A</v>
      </c>
      <c r="M4391" s="4" t="e">
        <f t="shared" si="894"/>
        <v>#N/A</v>
      </c>
      <c r="N4391" s="4" t="e">
        <f t="shared" si="895"/>
        <v>#N/A</v>
      </c>
    </row>
    <row r="4392" spans="1:14">
      <c r="A4392">
        <f t="shared" si="896"/>
        <v>0</v>
      </c>
      <c r="B4392">
        <f t="shared" si="897"/>
        <v>0</v>
      </c>
      <c r="C4392">
        <f t="shared" si="898"/>
        <v>0</v>
      </c>
      <c r="D4392">
        <f t="shared" si="899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900"/>
        <v>0</v>
      </c>
      <c r="G4392">
        <f t="shared" si="901"/>
        <v>0</v>
      </c>
      <c r="H4392">
        <f t="shared" si="902"/>
        <v>0</v>
      </c>
      <c r="I4392">
        <f t="shared" si="903"/>
        <v>0</v>
      </c>
      <c r="J4392">
        <f t="shared" si="904"/>
        <v>0</v>
      </c>
      <c r="K4392" s="4" t="e">
        <f t="shared" si="892"/>
        <v>#N/A</v>
      </c>
      <c r="L4392" t="e">
        <f t="shared" si="893"/>
        <v>#N/A</v>
      </c>
      <c r="M4392" s="4" t="e">
        <f t="shared" si="894"/>
        <v>#N/A</v>
      </c>
      <c r="N4392" s="4" t="e">
        <f t="shared" si="895"/>
        <v>#N/A</v>
      </c>
    </row>
    <row r="4393" spans="1:14">
      <c r="A4393">
        <f t="shared" si="896"/>
        <v>0</v>
      </c>
      <c r="B4393">
        <f t="shared" si="897"/>
        <v>0</v>
      </c>
      <c r="C4393">
        <f t="shared" si="898"/>
        <v>0</v>
      </c>
      <c r="D4393">
        <f t="shared" si="899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900"/>
        <v>0</v>
      </c>
      <c r="G4393">
        <f t="shared" si="901"/>
        <v>0</v>
      </c>
      <c r="H4393">
        <f t="shared" si="902"/>
        <v>0</v>
      </c>
      <c r="I4393">
        <f t="shared" si="903"/>
        <v>0</v>
      </c>
      <c r="J4393">
        <f t="shared" si="904"/>
        <v>0</v>
      </c>
      <c r="K4393" s="4" t="e">
        <f t="shared" si="892"/>
        <v>#N/A</v>
      </c>
      <c r="L4393" t="e">
        <f t="shared" si="893"/>
        <v>#N/A</v>
      </c>
      <c r="M4393" s="4" t="e">
        <f t="shared" si="894"/>
        <v>#N/A</v>
      </c>
      <c r="N4393" s="4" t="e">
        <f t="shared" si="895"/>
        <v>#N/A</v>
      </c>
    </row>
    <row r="4394" spans="1:14">
      <c r="A4394">
        <f t="shared" si="896"/>
        <v>0</v>
      </c>
      <c r="B4394">
        <f t="shared" si="897"/>
        <v>0</v>
      </c>
      <c r="C4394">
        <f t="shared" si="898"/>
        <v>0</v>
      </c>
      <c r="D4394">
        <f t="shared" si="899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900"/>
        <v>0</v>
      </c>
      <c r="G4394">
        <f t="shared" si="901"/>
        <v>0</v>
      </c>
      <c r="H4394">
        <f t="shared" si="902"/>
        <v>0</v>
      </c>
      <c r="I4394">
        <f t="shared" si="903"/>
        <v>0</v>
      </c>
      <c r="J4394">
        <f t="shared" si="904"/>
        <v>0</v>
      </c>
      <c r="K4394" s="4" t="e">
        <f t="shared" si="892"/>
        <v>#N/A</v>
      </c>
      <c r="L4394" t="e">
        <f t="shared" si="893"/>
        <v>#N/A</v>
      </c>
      <c r="M4394" s="4" t="e">
        <f t="shared" si="894"/>
        <v>#N/A</v>
      </c>
      <c r="N4394" s="4" t="e">
        <f t="shared" si="895"/>
        <v>#N/A</v>
      </c>
    </row>
    <row r="4395" spans="1:14">
      <c r="A4395">
        <f t="shared" si="896"/>
        <v>0</v>
      </c>
      <c r="B4395">
        <f t="shared" si="897"/>
        <v>0</v>
      </c>
      <c r="C4395">
        <f t="shared" si="898"/>
        <v>0</v>
      </c>
      <c r="D4395">
        <f t="shared" si="899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900"/>
        <v>0</v>
      </c>
      <c r="G4395">
        <f t="shared" si="901"/>
        <v>0</v>
      </c>
      <c r="H4395">
        <f t="shared" si="902"/>
        <v>0</v>
      </c>
      <c r="I4395">
        <f t="shared" si="903"/>
        <v>0</v>
      </c>
      <c r="J4395">
        <f t="shared" si="904"/>
        <v>0</v>
      </c>
      <c r="K4395" s="4" t="e">
        <f t="shared" si="892"/>
        <v>#N/A</v>
      </c>
      <c r="L4395" t="e">
        <f t="shared" si="893"/>
        <v>#N/A</v>
      </c>
      <c r="M4395" s="4" t="e">
        <f t="shared" si="894"/>
        <v>#N/A</v>
      </c>
      <c r="N4395" s="4" t="e">
        <f t="shared" si="895"/>
        <v>#N/A</v>
      </c>
    </row>
    <row r="4396" spans="1:14">
      <c r="A4396">
        <f t="shared" si="896"/>
        <v>0</v>
      </c>
      <c r="B4396">
        <f t="shared" si="897"/>
        <v>0</v>
      </c>
      <c r="C4396">
        <f t="shared" si="898"/>
        <v>0</v>
      </c>
      <c r="D4396">
        <f t="shared" si="899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900"/>
        <v>0</v>
      </c>
      <c r="G4396">
        <f t="shared" si="901"/>
        <v>0</v>
      </c>
      <c r="H4396">
        <f t="shared" si="902"/>
        <v>0</v>
      </c>
      <c r="I4396">
        <f t="shared" si="903"/>
        <v>0</v>
      </c>
      <c r="J4396">
        <f t="shared" si="904"/>
        <v>0</v>
      </c>
      <c r="K4396" s="4" t="e">
        <f t="shared" si="892"/>
        <v>#N/A</v>
      </c>
      <c r="L4396" t="e">
        <f t="shared" si="893"/>
        <v>#N/A</v>
      </c>
      <c r="M4396" s="4" t="e">
        <f t="shared" si="894"/>
        <v>#N/A</v>
      </c>
      <c r="N4396" s="4" t="e">
        <f t="shared" si="895"/>
        <v>#N/A</v>
      </c>
    </row>
    <row r="4397" spans="1:14">
      <c r="A4397">
        <f t="shared" si="896"/>
        <v>0</v>
      </c>
      <c r="B4397">
        <f t="shared" si="897"/>
        <v>0</v>
      </c>
      <c r="C4397">
        <f t="shared" si="898"/>
        <v>0</v>
      </c>
      <c r="D4397">
        <f t="shared" si="899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900"/>
        <v>0</v>
      </c>
      <c r="G4397">
        <f t="shared" si="901"/>
        <v>0</v>
      </c>
      <c r="H4397">
        <f t="shared" si="902"/>
        <v>0</v>
      </c>
      <c r="I4397">
        <f t="shared" si="903"/>
        <v>0</v>
      </c>
      <c r="J4397">
        <f t="shared" si="904"/>
        <v>0</v>
      </c>
      <c r="K4397" s="4" t="e">
        <f t="shared" si="892"/>
        <v>#N/A</v>
      </c>
      <c r="L4397" t="e">
        <f t="shared" si="893"/>
        <v>#N/A</v>
      </c>
      <c r="M4397" s="4" t="e">
        <f t="shared" si="894"/>
        <v>#N/A</v>
      </c>
      <c r="N4397" s="4" t="e">
        <f t="shared" si="895"/>
        <v>#N/A</v>
      </c>
    </row>
    <row r="4398" spans="1:14">
      <c r="A4398">
        <f t="shared" si="896"/>
        <v>0</v>
      </c>
      <c r="B4398">
        <f t="shared" si="897"/>
        <v>0</v>
      </c>
      <c r="C4398">
        <f t="shared" si="898"/>
        <v>0</v>
      </c>
      <c r="D4398">
        <f t="shared" si="899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900"/>
        <v>0</v>
      </c>
      <c r="G4398">
        <f t="shared" si="901"/>
        <v>0</v>
      </c>
      <c r="H4398">
        <f t="shared" si="902"/>
        <v>0</v>
      </c>
      <c r="I4398">
        <f t="shared" si="903"/>
        <v>0</v>
      </c>
      <c r="J4398">
        <f t="shared" si="904"/>
        <v>0</v>
      </c>
      <c r="K4398" s="4" t="e">
        <f t="shared" si="892"/>
        <v>#N/A</v>
      </c>
      <c r="L4398" t="e">
        <f t="shared" si="893"/>
        <v>#N/A</v>
      </c>
      <c r="M4398" s="4" t="e">
        <f t="shared" si="894"/>
        <v>#N/A</v>
      </c>
      <c r="N4398" s="4" t="e">
        <f t="shared" si="895"/>
        <v>#N/A</v>
      </c>
    </row>
    <row r="4399" spans="1:14">
      <c r="A4399">
        <f t="shared" si="896"/>
        <v>0</v>
      </c>
      <c r="B4399">
        <f t="shared" si="897"/>
        <v>0</v>
      </c>
      <c r="C4399">
        <f t="shared" si="898"/>
        <v>0</v>
      </c>
      <c r="D4399">
        <f t="shared" si="899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900"/>
        <v>0</v>
      </c>
      <c r="G4399">
        <f t="shared" si="901"/>
        <v>0</v>
      </c>
      <c r="H4399">
        <f t="shared" si="902"/>
        <v>0</v>
      </c>
      <c r="I4399">
        <f t="shared" si="903"/>
        <v>0</v>
      </c>
      <c r="J4399">
        <f t="shared" si="904"/>
        <v>0</v>
      </c>
      <c r="K4399" s="4" t="e">
        <f t="shared" si="892"/>
        <v>#N/A</v>
      </c>
      <c r="L4399" t="e">
        <f t="shared" si="893"/>
        <v>#N/A</v>
      </c>
      <c r="M4399" s="4" t="e">
        <f t="shared" si="894"/>
        <v>#N/A</v>
      </c>
      <c r="N4399" s="4" t="e">
        <f t="shared" si="895"/>
        <v>#N/A</v>
      </c>
    </row>
    <row r="4400" spans="1:14">
      <c r="A4400">
        <f t="shared" si="896"/>
        <v>0</v>
      </c>
      <c r="B4400">
        <f t="shared" si="897"/>
        <v>0</v>
      </c>
      <c r="C4400">
        <f t="shared" si="898"/>
        <v>0</v>
      </c>
      <c r="D4400">
        <f t="shared" si="899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900"/>
        <v>0</v>
      </c>
      <c r="G4400">
        <f t="shared" si="901"/>
        <v>0</v>
      </c>
      <c r="H4400">
        <f t="shared" si="902"/>
        <v>0</v>
      </c>
      <c r="I4400">
        <f t="shared" si="903"/>
        <v>0</v>
      </c>
      <c r="J4400">
        <f t="shared" si="904"/>
        <v>0</v>
      </c>
      <c r="K4400" s="4" t="e">
        <f t="shared" si="892"/>
        <v>#N/A</v>
      </c>
      <c r="L4400" t="e">
        <f t="shared" si="893"/>
        <v>#N/A</v>
      </c>
      <c r="M4400" s="4" t="e">
        <f t="shared" si="894"/>
        <v>#N/A</v>
      </c>
      <c r="N4400" s="4" t="e">
        <f t="shared" si="895"/>
        <v>#N/A</v>
      </c>
    </row>
    <row r="4401" spans="1:14">
      <c r="A4401">
        <f t="shared" si="896"/>
        <v>0</v>
      </c>
      <c r="B4401">
        <f t="shared" si="897"/>
        <v>0</v>
      </c>
      <c r="C4401">
        <f t="shared" si="898"/>
        <v>0</v>
      </c>
      <c r="D4401">
        <f t="shared" si="899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900"/>
        <v>0</v>
      </c>
      <c r="G4401">
        <f t="shared" si="901"/>
        <v>0</v>
      </c>
      <c r="H4401">
        <f t="shared" si="902"/>
        <v>0</v>
      </c>
      <c r="I4401">
        <f t="shared" si="903"/>
        <v>0</v>
      </c>
      <c r="J4401">
        <f t="shared" si="904"/>
        <v>0</v>
      </c>
      <c r="K4401" s="4" t="e">
        <f t="shared" si="892"/>
        <v>#N/A</v>
      </c>
      <c r="L4401" t="e">
        <f t="shared" si="893"/>
        <v>#N/A</v>
      </c>
      <c r="M4401" s="4" t="e">
        <f t="shared" si="894"/>
        <v>#N/A</v>
      </c>
      <c r="N4401" s="4" t="e">
        <f t="shared" si="895"/>
        <v>#N/A</v>
      </c>
    </row>
    <row r="4402" spans="1:14">
      <c r="A4402">
        <f t="shared" si="896"/>
        <v>0</v>
      </c>
      <c r="B4402">
        <f t="shared" si="897"/>
        <v>0</v>
      </c>
      <c r="C4402">
        <f t="shared" si="898"/>
        <v>0</v>
      </c>
      <c r="D4402">
        <f t="shared" si="899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900"/>
        <v>0</v>
      </c>
      <c r="G4402">
        <f t="shared" si="901"/>
        <v>0</v>
      </c>
      <c r="H4402">
        <f t="shared" si="902"/>
        <v>0</v>
      </c>
      <c r="I4402">
        <f t="shared" si="903"/>
        <v>0</v>
      </c>
      <c r="J4402">
        <f t="shared" si="904"/>
        <v>0</v>
      </c>
      <c r="K4402" s="4" t="e">
        <f t="shared" si="892"/>
        <v>#N/A</v>
      </c>
      <c r="L4402" t="e">
        <f t="shared" si="893"/>
        <v>#N/A</v>
      </c>
      <c r="M4402" s="4" t="e">
        <f t="shared" si="894"/>
        <v>#N/A</v>
      </c>
      <c r="N4402" s="4" t="e">
        <f t="shared" si="895"/>
        <v>#N/A</v>
      </c>
    </row>
    <row r="4403" spans="1:14">
      <c r="A4403">
        <f t="shared" si="896"/>
        <v>0</v>
      </c>
      <c r="B4403">
        <f t="shared" si="897"/>
        <v>0</v>
      </c>
      <c r="C4403">
        <f t="shared" si="898"/>
        <v>0</v>
      </c>
      <c r="D4403">
        <f t="shared" si="899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900"/>
        <v>0</v>
      </c>
      <c r="G4403">
        <f t="shared" si="901"/>
        <v>0</v>
      </c>
      <c r="H4403">
        <f t="shared" si="902"/>
        <v>0</v>
      </c>
      <c r="I4403">
        <f t="shared" si="903"/>
        <v>0</v>
      </c>
      <c r="J4403">
        <f t="shared" si="904"/>
        <v>0</v>
      </c>
      <c r="K4403" s="4" t="e">
        <f t="shared" si="892"/>
        <v>#N/A</v>
      </c>
      <c r="L4403" t="e">
        <f t="shared" si="893"/>
        <v>#N/A</v>
      </c>
      <c r="M4403" s="4" t="e">
        <f t="shared" si="894"/>
        <v>#N/A</v>
      </c>
      <c r="N4403" s="4" t="e">
        <f t="shared" si="895"/>
        <v>#N/A</v>
      </c>
    </row>
    <row r="4404" spans="1:14">
      <c r="A4404">
        <f t="shared" si="896"/>
        <v>0</v>
      </c>
      <c r="B4404">
        <f t="shared" si="897"/>
        <v>0</v>
      </c>
      <c r="C4404">
        <f t="shared" si="898"/>
        <v>0</v>
      </c>
      <c r="D4404">
        <f t="shared" si="899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900"/>
        <v>0</v>
      </c>
      <c r="G4404">
        <f t="shared" si="901"/>
        <v>0</v>
      </c>
      <c r="H4404">
        <f t="shared" si="902"/>
        <v>0</v>
      </c>
      <c r="I4404">
        <f t="shared" si="903"/>
        <v>0</v>
      </c>
      <c r="J4404">
        <f t="shared" si="904"/>
        <v>0</v>
      </c>
      <c r="K4404" s="4" t="e">
        <f t="shared" si="892"/>
        <v>#N/A</v>
      </c>
      <c r="L4404" t="e">
        <f t="shared" si="893"/>
        <v>#N/A</v>
      </c>
      <c r="M4404" s="4" t="e">
        <f t="shared" si="894"/>
        <v>#N/A</v>
      </c>
      <c r="N4404" s="4" t="e">
        <f t="shared" si="895"/>
        <v>#N/A</v>
      </c>
    </row>
    <row r="4405" spans="1:14">
      <c r="A4405">
        <f t="shared" si="896"/>
        <v>0</v>
      </c>
      <c r="B4405">
        <f t="shared" si="897"/>
        <v>0</v>
      </c>
      <c r="C4405">
        <f t="shared" si="898"/>
        <v>0</v>
      </c>
      <c r="D4405">
        <f t="shared" si="899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900"/>
        <v>0</v>
      </c>
      <c r="G4405">
        <f t="shared" si="901"/>
        <v>0</v>
      </c>
      <c r="H4405">
        <f t="shared" si="902"/>
        <v>0</v>
      </c>
      <c r="I4405">
        <f t="shared" si="903"/>
        <v>0</v>
      </c>
      <c r="J4405">
        <f t="shared" si="904"/>
        <v>0</v>
      </c>
      <c r="K4405" s="4" t="e">
        <f t="shared" si="892"/>
        <v>#N/A</v>
      </c>
      <c r="L4405" t="e">
        <f t="shared" si="893"/>
        <v>#N/A</v>
      </c>
      <c r="M4405" s="4" t="e">
        <f t="shared" si="894"/>
        <v>#N/A</v>
      </c>
      <c r="N4405" s="4" t="e">
        <f t="shared" si="895"/>
        <v>#N/A</v>
      </c>
    </row>
    <row r="4406" spans="1:14">
      <c r="A4406">
        <f t="shared" si="896"/>
        <v>0</v>
      </c>
      <c r="B4406">
        <f t="shared" si="897"/>
        <v>0</v>
      </c>
      <c r="C4406">
        <f t="shared" si="898"/>
        <v>0</v>
      </c>
      <c r="D4406">
        <f t="shared" si="899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900"/>
        <v>0</v>
      </c>
      <c r="G4406">
        <f t="shared" si="901"/>
        <v>0</v>
      </c>
      <c r="H4406">
        <f t="shared" si="902"/>
        <v>0</v>
      </c>
      <c r="I4406">
        <f t="shared" si="903"/>
        <v>0</v>
      </c>
      <c r="J4406">
        <f t="shared" si="904"/>
        <v>0</v>
      </c>
      <c r="K4406" s="4" t="e">
        <f t="shared" si="892"/>
        <v>#N/A</v>
      </c>
      <c r="L4406" t="e">
        <f t="shared" si="893"/>
        <v>#N/A</v>
      </c>
      <c r="M4406" s="4" t="e">
        <f t="shared" si="894"/>
        <v>#N/A</v>
      </c>
      <c r="N4406" s="4" t="e">
        <f t="shared" si="895"/>
        <v>#N/A</v>
      </c>
    </row>
    <row r="4407" spans="1:14">
      <c r="A4407">
        <f t="shared" si="896"/>
        <v>0</v>
      </c>
      <c r="B4407">
        <f t="shared" si="897"/>
        <v>0</v>
      </c>
      <c r="C4407">
        <f t="shared" si="898"/>
        <v>0</v>
      </c>
      <c r="D4407">
        <f t="shared" si="899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900"/>
        <v>0</v>
      </c>
      <c r="G4407">
        <f t="shared" si="901"/>
        <v>0</v>
      </c>
      <c r="H4407">
        <f t="shared" si="902"/>
        <v>0</v>
      </c>
      <c r="I4407">
        <f t="shared" si="903"/>
        <v>0</v>
      </c>
      <c r="J4407">
        <f t="shared" si="904"/>
        <v>0</v>
      </c>
      <c r="K4407" s="4" t="e">
        <f t="shared" si="892"/>
        <v>#N/A</v>
      </c>
      <c r="L4407" t="e">
        <f t="shared" si="893"/>
        <v>#N/A</v>
      </c>
      <c r="M4407" s="4" t="e">
        <f t="shared" si="894"/>
        <v>#N/A</v>
      </c>
      <c r="N4407" s="4" t="e">
        <f t="shared" si="895"/>
        <v>#N/A</v>
      </c>
    </row>
    <row r="4408" spans="1:14">
      <c r="A4408">
        <f t="shared" si="896"/>
        <v>0</v>
      </c>
      <c r="B4408">
        <f t="shared" si="897"/>
        <v>0</v>
      </c>
      <c r="C4408">
        <f t="shared" si="898"/>
        <v>0</v>
      </c>
      <c r="D4408">
        <f t="shared" si="899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900"/>
        <v>0</v>
      </c>
      <c r="G4408">
        <f t="shared" si="901"/>
        <v>0</v>
      </c>
      <c r="H4408">
        <f t="shared" si="902"/>
        <v>0</v>
      </c>
      <c r="I4408">
        <f t="shared" si="903"/>
        <v>0</v>
      </c>
      <c r="J4408">
        <f t="shared" si="904"/>
        <v>0</v>
      </c>
      <c r="K4408" s="4" t="e">
        <f t="shared" si="892"/>
        <v>#N/A</v>
      </c>
      <c r="L4408" t="e">
        <f t="shared" si="893"/>
        <v>#N/A</v>
      </c>
      <c r="M4408" s="4" t="e">
        <f t="shared" si="894"/>
        <v>#N/A</v>
      </c>
      <c r="N4408" s="4" t="e">
        <f t="shared" si="895"/>
        <v>#N/A</v>
      </c>
    </row>
    <row r="4409" spans="1:14">
      <c r="A4409">
        <f t="shared" si="896"/>
        <v>0</v>
      </c>
      <c r="B4409">
        <f t="shared" si="897"/>
        <v>0</v>
      </c>
      <c r="C4409">
        <f t="shared" si="898"/>
        <v>0</v>
      </c>
      <c r="D4409">
        <f t="shared" si="899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900"/>
        <v>0</v>
      </c>
      <c r="G4409">
        <f t="shared" si="901"/>
        <v>0</v>
      </c>
      <c r="H4409">
        <f t="shared" si="902"/>
        <v>0</v>
      </c>
      <c r="I4409">
        <f t="shared" si="903"/>
        <v>0</v>
      </c>
      <c r="J4409">
        <f t="shared" si="904"/>
        <v>0</v>
      </c>
      <c r="K4409" s="4" t="e">
        <f t="shared" si="892"/>
        <v>#N/A</v>
      </c>
      <c r="L4409" t="e">
        <f t="shared" si="893"/>
        <v>#N/A</v>
      </c>
      <c r="M4409" s="4" t="e">
        <f t="shared" si="894"/>
        <v>#N/A</v>
      </c>
      <c r="N4409" s="4" t="e">
        <f t="shared" si="895"/>
        <v>#N/A</v>
      </c>
    </row>
    <row r="4410" spans="1:14">
      <c r="A4410">
        <f t="shared" si="896"/>
        <v>0</v>
      </c>
      <c r="B4410">
        <f t="shared" si="897"/>
        <v>0</v>
      </c>
      <c r="C4410">
        <f t="shared" si="898"/>
        <v>0</v>
      </c>
      <c r="D4410">
        <f t="shared" si="899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900"/>
        <v>0</v>
      </c>
      <c r="G4410">
        <f t="shared" si="901"/>
        <v>0</v>
      </c>
      <c r="H4410">
        <f t="shared" si="902"/>
        <v>0</v>
      </c>
      <c r="I4410">
        <f t="shared" si="903"/>
        <v>0</v>
      </c>
      <c r="J4410">
        <f t="shared" si="904"/>
        <v>0</v>
      </c>
      <c r="K4410" s="4" t="e">
        <f t="shared" si="892"/>
        <v>#N/A</v>
      </c>
      <c r="L4410" t="e">
        <f t="shared" si="893"/>
        <v>#N/A</v>
      </c>
      <c r="M4410" s="4" t="e">
        <f t="shared" si="894"/>
        <v>#N/A</v>
      </c>
      <c r="N4410" s="4" t="e">
        <f t="shared" si="895"/>
        <v>#N/A</v>
      </c>
    </row>
    <row r="4411" spans="1:14">
      <c r="A4411">
        <f t="shared" si="896"/>
        <v>0</v>
      </c>
      <c r="B4411">
        <f t="shared" si="897"/>
        <v>0</v>
      </c>
      <c r="C4411">
        <f t="shared" si="898"/>
        <v>0</v>
      </c>
      <c r="D4411">
        <f t="shared" si="899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900"/>
        <v>0</v>
      </c>
      <c r="G4411">
        <f t="shared" si="901"/>
        <v>0</v>
      </c>
      <c r="H4411">
        <f t="shared" si="902"/>
        <v>0</v>
      </c>
      <c r="I4411">
        <f t="shared" si="903"/>
        <v>0</v>
      </c>
      <c r="J4411">
        <f t="shared" si="904"/>
        <v>0</v>
      </c>
      <c r="K4411" s="4" t="e">
        <f t="shared" si="892"/>
        <v>#N/A</v>
      </c>
      <c r="L4411" t="e">
        <f t="shared" si="893"/>
        <v>#N/A</v>
      </c>
      <c r="M4411" s="4" t="e">
        <f t="shared" si="894"/>
        <v>#N/A</v>
      </c>
      <c r="N4411" s="4" t="e">
        <f t="shared" si="895"/>
        <v>#N/A</v>
      </c>
    </row>
    <row r="4412" spans="1:14">
      <c r="A4412">
        <f t="shared" si="896"/>
        <v>0</v>
      </c>
      <c r="B4412">
        <f t="shared" si="897"/>
        <v>0</v>
      </c>
      <c r="C4412">
        <f t="shared" si="898"/>
        <v>0</v>
      </c>
      <c r="D4412">
        <f t="shared" si="899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900"/>
        <v>0</v>
      </c>
      <c r="G4412">
        <f t="shared" si="901"/>
        <v>0</v>
      </c>
      <c r="H4412">
        <f t="shared" si="902"/>
        <v>0</v>
      </c>
      <c r="I4412">
        <f t="shared" si="903"/>
        <v>0</v>
      </c>
      <c r="J4412">
        <f t="shared" si="904"/>
        <v>0</v>
      </c>
      <c r="K4412" s="4" t="e">
        <f t="shared" si="892"/>
        <v>#N/A</v>
      </c>
      <c r="L4412" t="e">
        <f t="shared" si="893"/>
        <v>#N/A</v>
      </c>
      <c r="M4412" s="4" t="e">
        <f t="shared" si="894"/>
        <v>#N/A</v>
      </c>
      <c r="N4412" s="4" t="e">
        <f t="shared" si="895"/>
        <v>#N/A</v>
      </c>
    </row>
    <row r="4413" spans="1:14">
      <c r="A4413">
        <f t="shared" si="896"/>
        <v>0</v>
      </c>
      <c r="B4413">
        <f t="shared" si="897"/>
        <v>0</v>
      </c>
      <c r="C4413">
        <f t="shared" si="898"/>
        <v>0</v>
      </c>
      <c r="D4413">
        <f t="shared" si="899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900"/>
        <v>0</v>
      </c>
      <c r="G4413">
        <f t="shared" si="901"/>
        <v>0</v>
      </c>
      <c r="H4413">
        <f t="shared" si="902"/>
        <v>0</v>
      </c>
      <c r="I4413">
        <f t="shared" si="903"/>
        <v>0</v>
      </c>
      <c r="J4413">
        <f t="shared" si="904"/>
        <v>0</v>
      </c>
      <c r="K4413" s="4" t="e">
        <f t="shared" ref="K4413:K4476" si="905">IF(LEFT(B4413,3)="DBM",0,VLOOKUP(E4413,tabela,2,FALSE))</f>
        <v>#N/A</v>
      </c>
      <c r="L4413" t="e">
        <f t="shared" ref="L4413:L4476" si="906">VLOOKUP(E4413,tabela,3,FALSE)</f>
        <v>#N/A</v>
      </c>
      <c r="M4413" s="4" t="e">
        <f t="shared" ref="M4413:M4476" si="907">IF(E4413="Dynamic Click",J4413*K4413,K4413*$I4413/1000)</f>
        <v>#N/A</v>
      </c>
      <c r="N4413" s="4" t="e">
        <f t="shared" ref="N4413:N4476" si="908">IF(E4413="Dynamic Click",J4413*L4413,L4413*$I4413/1000)</f>
        <v>#N/A</v>
      </c>
    </row>
    <row r="4414" spans="1:14">
      <c r="A4414">
        <f t="shared" si="896"/>
        <v>0</v>
      </c>
      <c r="B4414">
        <f t="shared" si="897"/>
        <v>0</v>
      </c>
      <c r="C4414">
        <f t="shared" si="898"/>
        <v>0</v>
      </c>
      <c r="D4414">
        <f t="shared" si="899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900"/>
        <v>0</v>
      </c>
      <c r="G4414">
        <f t="shared" si="901"/>
        <v>0</v>
      </c>
      <c r="H4414">
        <f t="shared" si="902"/>
        <v>0</v>
      </c>
      <c r="I4414">
        <f t="shared" si="903"/>
        <v>0</v>
      </c>
      <c r="J4414">
        <f t="shared" si="904"/>
        <v>0</v>
      </c>
      <c r="K4414" s="4" t="e">
        <f t="shared" si="905"/>
        <v>#N/A</v>
      </c>
      <c r="L4414" t="e">
        <f t="shared" si="906"/>
        <v>#N/A</v>
      </c>
      <c r="M4414" s="4" t="e">
        <f t="shared" si="907"/>
        <v>#N/A</v>
      </c>
      <c r="N4414" s="4" t="e">
        <f t="shared" si="908"/>
        <v>#N/A</v>
      </c>
    </row>
    <row r="4415" spans="1:14">
      <c r="A4415">
        <f t="shared" si="896"/>
        <v>0</v>
      </c>
      <c r="B4415">
        <f t="shared" si="897"/>
        <v>0</v>
      </c>
      <c r="C4415">
        <f t="shared" si="898"/>
        <v>0</v>
      </c>
      <c r="D4415">
        <f t="shared" si="899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900"/>
        <v>0</v>
      </c>
      <c r="G4415">
        <f t="shared" si="901"/>
        <v>0</v>
      </c>
      <c r="H4415">
        <f t="shared" si="902"/>
        <v>0</v>
      </c>
      <c r="I4415">
        <f t="shared" si="903"/>
        <v>0</v>
      </c>
      <c r="J4415">
        <f t="shared" si="904"/>
        <v>0</v>
      </c>
      <c r="K4415" s="4" t="e">
        <f t="shared" si="905"/>
        <v>#N/A</v>
      </c>
      <c r="L4415" t="e">
        <f t="shared" si="906"/>
        <v>#N/A</v>
      </c>
      <c r="M4415" s="4" t="e">
        <f t="shared" si="907"/>
        <v>#N/A</v>
      </c>
      <c r="N4415" s="4" t="e">
        <f t="shared" si="908"/>
        <v>#N/A</v>
      </c>
    </row>
    <row r="4416" spans="1:14">
      <c r="A4416">
        <f t="shared" si="896"/>
        <v>0</v>
      </c>
      <c r="B4416">
        <f t="shared" si="897"/>
        <v>0</v>
      </c>
      <c r="C4416">
        <f t="shared" si="898"/>
        <v>0</v>
      </c>
      <c r="D4416">
        <f t="shared" si="899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900"/>
        <v>0</v>
      </c>
      <c r="G4416">
        <f t="shared" si="901"/>
        <v>0</v>
      </c>
      <c r="H4416">
        <f t="shared" si="902"/>
        <v>0</v>
      </c>
      <c r="I4416">
        <f t="shared" si="903"/>
        <v>0</v>
      </c>
      <c r="J4416">
        <f t="shared" si="904"/>
        <v>0</v>
      </c>
      <c r="K4416" s="4" t="e">
        <f t="shared" si="905"/>
        <v>#N/A</v>
      </c>
      <c r="L4416" t="e">
        <f t="shared" si="906"/>
        <v>#N/A</v>
      </c>
      <c r="M4416" s="4" t="e">
        <f t="shared" si="907"/>
        <v>#N/A</v>
      </c>
      <c r="N4416" s="4" t="e">
        <f t="shared" si="908"/>
        <v>#N/A</v>
      </c>
    </row>
    <row r="4417" spans="1:14">
      <c r="A4417">
        <f t="shared" si="896"/>
        <v>0</v>
      </c>
      <c r="B4417">
        <f t="shared" si="897"/>
        <v>0</v>
      </c>
      <c r="C4417">
        <f t="shared" si="898"/>
        <v>0</v>
      </c>
      <c r="D4417">
        <f t="shared" si="899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900"/>
        <v>0</v>
      </c>
      <c r="G4417">
        <f t="shared" si="901"/>
        <v>0</v>
      </c>
      <c r="H4417">
        <f t="shared" si="902"/>
        <v>0</v>
      </c>
      <c r="I4417">
        <f t="shared" si="903"/>
        <v>0</v>
      </c>
      <c r="J4417">
        <f t="shared" si="904"/>
        <v>0</v>
      </c>
      <c r="K4417" s="4" t="e">
        <f t="shared" si="905"/>
        <v>#N/A</v>
      </c>
      <c r="L4417" t="e">
        <f t="shared" si="906"/>
        <v>#N/A</v>
      </c>
      <c r="M4417" s="4" t="e">
        <f t="shared" si="907"/>
        <v>#N/A</v>
      </c>
      <c r="N4417" s="4" t="e">
        <f t="shared" si="908"/>
        <v>#N/A</v>
      </c>
    </row>
    <row r="4418" spans="1:14">
      <c r="A4418">
        <f t="shared" ref="A4418:A4481" si="909">bd_campaign</f>
        <v>0</v>
      </c>
      <c r="B4418">
        <f t="shared" ref="B4418:B4481" si="910">bd_site</f>
        <v>0</v>
      </c>
      <c r="C4418">
        <f t="shared" ref="C4418:C4481" si="911">bd_placement</f>
        <v>0</v>
      </c>
      <c r="D4418">
        <f t="shared" ref="D4418:D4481" si="912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3">bd_ad</f>
        <v>0</v>
      </c>
      <c r="G4418">
        <f t="shared" ref="G4418:G4481" si="914">bd_adid</f>
        <v>0</v>
      </c>
      <c r="H4418">
        <f t="shared" ref="H4418:H4481" si="915">bd_creativetype</f>
        <v>0</v>
      </c>
      <c r="I4418">
        <f t="shared" ref="I4418:I4481" si="916">bd_impression</f>
        <v>0</v>
      </c>
      <c r="J4418">
        <f t="shared" ref="J4418:J4481" si="917">bd_clicks</f>
        <v>0</v>
      </c>
      <c r="K4418" s="4" t="e">
        <f t="shared" si="905"/>
        <v>#N/A</v>
      </c>
      <c r="L4418" t="e">
        <f t="shared" si="906"/>
        <v>#N/A</v>
      </c>
      <c r="M4418" s="4" t="e">
        <f t="shared" si="907"/>
        <v>#N/A</v>
      </c>
      <c r="N4418" s="4" t="e">
        <f t="shared" si="908"/>
        <v>#N/A</v>
      </c>
    </row>
    <row r="4419" spans="1:14">
      <c r="A4419">
        <f t="shared" si="909"/>
        <v>0</v>
      </c>
      <c r="B4419">
        <f t="shared" si="910"/>
        <v>0</v>
      </c>
      <c r="C4419">
        <f t="shared" si="911"/>
        <v>0</v>
      </c>
      <c r="D4419">
        <f t="shared" si="912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3"/>
        <v>0</v>
      </c>
      <c r="G4419">
        <f t="shared" si="914"/>
        <v>0</v>
      </c>
      <c r="H4419">
        <f t="shared" si="915"/>
        <v>0</v>
      </c>
      <c r="I4419">
        <f t="shared" si="916"/>
        <v>0</v>
      </c>
      <c r="J4419">
        <f t="shared" si="917"/>
        <v>0</v>
      </c>
      <c r="K4419" s="4" t="e">
        <f t="shared" si="905"/>
        <v>#N/A</v>
      </c>
      <c r="L4419" t="e">
        <f t="shared" si="906"/>
        <v>#N/A</v>
      </c>
      <c r="M4419" s="4" t="e">
        <f t="shared" si="907"/>
        <v>#N/A</v>
      </c>
      <c r="N4419" s="4" t="e">
        <f t="shared" si="908"/>
        <v>#N/A</v>
      </c>
    </row>
    <row r="4420" spans="1:14">
      <c r="A4420">
        <f t="shared" si="909"/>
        <v>0</v>
      </c>
      <c r="B4420">
        <f t="shared" si="910"/>
        <v>0</v>
      </c>
      <c r="C4420">
        <f t="shared" si="911"/>
        <v>0</v>
      </c>
      <c r="D4420">
        <f t="shared" si="912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3"/>
        <v>0</v>
      </c>
      <c r="G4420">
        <f t="shared" si="914"/>
        <v>0</v>
      </c>
      <c r="H4420">
        <f t="shared" si="915"/>
        <v>0</v>
      </c>
      <c r="I4420">
        <f t="shared" si="916"/>
        <v>0</v>
      </c>
      <c r="J4420">
        <f t="shared" si="917"/>
        <v>0</v>
      </c>
      <c r="K4420" s="4" t="e">
        <f t="shared" si="905"/>
        <v>#N/A</v>
      </c>
      <c r="L4420" t="e">
        <f t="shared" si="906"/>
        <v>#N/A</v>
      </c>
      <c r="M4420" s="4" t="e">
        <f t="shared" si="907"/>
        <v>#N/A</v>
      </c>
      <c r="N4420" s="4" t="e">
        <f t="shared" si="908"/>
        <v>#N/A</v>
      </c>
    </row>
    <row r="4421" spans="1:14">
      <c r="A4421">
        <f t="shared" si="909"/>
        <v>0</v>
      </c>
      <c r="B4421">
        <f t="shared" si="910"/>
        <v>0</v>
      </c>
      <c r="C4421">
        <f t="shared" si="911"/>
        <v>0</v>
      </c>
      <c r="D4421">
        <f t="shared" si="912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3"/>
        <v>0</v>
      </c>
      <c r="G4421">
        <f t="shared" si="914"/>
        <v>0</v>
      </c>
      <c r="H4421">
        <f t="shared" si="915"/>
        <v>0</v>
      </c>
      <c r="I4421">
        <f t="shared" si="916"/>
        <v>0</v>
      </c>
      <c r="J4421">
        <f t="shared" si="917"/>
        <v>0</v>
      </c>
      <c r="K4421" s="4" t="e">
        <f t="shared" si="905"/>
        <v>#N/A</v>
      </c>
      <c r="L4421" t="e">
        <f t="shared" si="906"/>
        <v>#N/A</v>
      </c>
      <c r="M4421" s="4" t="e">
        <f t="shared" si="907"/>
        <v>#N/A</v>
      </c>
      <c r="N4421" s="4" t="e">
        <f t="shared" si="908"/>
        <v>#N/A</v>
      </c>
    </row>
    <row r="4422" spans="1:14">
      <c r="A4422">
        <f t="shared" si="909"/>
        <v>0</v>
      </c>
      <c r="B4422">
        <f t="shared" si="910"/>
        <v>0</v>
      </c>
      <c r="C4422">
        <f t="shared" si="911"/>
        <v>0</v>
      </c>
      <c r="D4422">
        <f t="shared" si="912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3"/>
        <v>0</v>
      </c>
      <c r="G4422">
        <f t="shared" si="914"/>
        <v>0</v>
      </c>
      <c r="H4422">
        <f t="shared" si="915"/>
        <v>0</v>
      </c>
      <c r="I4422">
        <f t="shared" si="916"/>
        <v>0</v>
      </c>
      <c r="J4422">
        <f t="shared" si="917"/>
        <v>0</v>
      </c>
      <c r="K4422" s="4" t="e">
        <f t="shared" si="905"/>
        <v>#N/A</v>
      </c>
      <c r="L4422" t="e">
        <f t="shared" si="906"/>
        <v>#N/A</v>
      </c>
      <c r="M4422" s="4" t="e">
        <f t="shared" si="907"/>
        <v>#N/A</v>
      </c>
      <c r="N4422" s="4" t="e">
        <f t="shared" si="908"/>
        <v>#N/A</v>
      </c>
    </row>
    <row r="4423" spans="1:14">
      <c r="A4423">
        <f t="shared" si="909"/>
        <v>0</v>
      </c>
      <c r="B4423">
        <f t="shared" si="910"/>
        <v>0</v>
      </c>
      <c r="C4423">
        <f t="shared" si="911"/>
        <v>0</v>
      </c>
      <c r="D4423">
        <f t="shared" si="912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3"/>
        <v>0</v>
      </c>
      <c r="G4423">
        <f t="shared" si="914"/>
        <v>0</v>
      </c>
      <c r="H4423">
        <f t="shared" si="915"/>
        <v>0</v>
      </c>
      <c r="I4423">
        <f t="shared" si="916"/>
        <v>0</v>
      </c>
      <c r="J4423">
        <f t="shared" si="917"/>
        <v>0</v>
      </c>
      <c r="K4423" s="4" t="e">
        <f t="shared" si="905"/>
        <v>#N/A</v>
      </c>
      <c r="L4423" t="e">
        <f t="shared" si="906"/>
        <v>#N/A</v>
      </c>
      <c r="M4423" s="4" t="e">
        <f t="shared" si="907"/>
        <v>#N/A</v>
      </c>
      <c r="N4423" s="4" t="e">
        <f t="shared" si="908"/>
        <v>#N/A</v>
      </c>
    </row>
    <row r="4424" spans="1:14">
      <c r="A4424">
        <f t="shared" si="909"/>
        <v>0</v>
      </c>
      <c r="B4424">
        <f t="shared" si="910"/>
        <v>0</v>
      </c>
      <c r="C4424">
        <f t="shared" si="911"/>
        <v>0</v>
      </c>
      <c r="D4424">
        <f t="shared" si="912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3"/>
        <v>0</v>
      </c>
      <c r="G4424">
        <f t="shared" si="914"/>
        <v>0</v>
      </c>
      <c r="H4424">
        <f t="shared" si="915"/>
        <v>0</v>
      </c>
      <c r="I4424">
        <f t="shared" si="916"/>
        <v>0</v>
      </c>
      <c r="J4424">
        <f t="shared" si="917"/>
        <v>0</v>
      </c>
      <c r="K4424" s="4" t="e">
        <f t="shared" si="905"/>
        <v>#N/A</v>
      </c>
      <c r="L4424" t="e">
        <f t="shared" si="906"/>
        <v>#N/A</v>
      </c>
      <c r="M4424" s="4" t="e">
        <f t="shared" si="907"/>
        <v>#N/A</v>
      </c>
      <c r="N4424" s="4" t="e">
        <f t="shared" si="908"/>
        <v>#N/A</v>
      </c>
    </row>
    <row r="4425" spans="1:14">
      <c r="A4425">
        <f t="shared" si="909"/>
        <v>0</v>
      </c>
      <c r="B4425">
        <f t="shared" si="910"/>
        <v>0</v>
      </c>
      <c r="C4425">
        <f t="shared" si="911"/>
        <v>0</v>
      </c>
      <c r="D4425">
        <f t="shared" si="912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3"/>
        <v>0</v>
      </c>
      <c r="G4425">
        <f t="shared" si="914"/>
        <v>0</v>
      </c>
      <c r="H4425">
        <f t="shared" si="915"/>
        <v>0</v>
      </c>
      <c r="I4425">
        <f t="shared" si="916"/>
        <v>0</v>
      </c>
      <c r="J4425">
        <f t="shared" si="917"/>
        <v>0</v>
      </c>
      <c r="K4425" s="4" t="e">
        <f t="shared" si="905"/>
        <v>#N/A</v>
      </c>
      <c r="L4425" t="e">
        <f t="shared" si="906"/>
        <v>#N/A</v>
      </c>
      <c r="M4425" s="4" t="e">
        <f t="shared" si="907"/>
        <v>#N/A</v>
      </c>
      <c r="N4425" s="4" t="e">
        <f t="shared" si="908"/>
        <v>#N/A</v>
      </c>
    </row>
    <row r="4426" spans="1:14">
      <c r="A4426">
        <f t="shared" si="909"/>
        <v>0</v>
      </c>
      <c r="B4426">
        <f t="shared" si="910"/>
        <v>0</v>
      </c>
      <c r="C4426">
        <f t="shared" si="911"/>
        <v>0</v>
      </c>
      <c r="D4426">
        <f t="shared" si="912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3"/>
        <v>0</v>
      </c>
      <c r="G4426">
        <f t="shared" si="914"/>
        <v>0</v>
      </c>
      <c r="H4426">
        <f t="shared" si="915"/>
        <v>0</v>
      </c>
      <c r="I4426">
        <f t="shared" si="916"/>
        <v>0</v>
      </c>
      <c r="J4426">
        <f t="shared" si="917"/>
        <v>0</v>
      </c>
      <c r="K4426" s="4" t="e">
        <f t="shared" si="905"/>
        <v>#N/A</v>
      </c>
      <c r="L4426" t="e">
        <f t="shared" si="906"/>
        <v>#N/A</v>
      </c>
      <c r="M4426" s="4" t="e">
        <f t="shared" si="907"/>
        <v>#N/A</v>
      </c>
      <c r="N4426" s="4" t="e">
        <f t="shared" si="908"/>
        <v>#N/A</v>
      </c>
    </row>
    <row r="4427" spans="1:14">
      <c r="A4427">
        <f t="shared" si="909"/>
        <v>0</v>
      </c>
      <c r="B4427">
        <f t="shared" si="910"/>
        <v>0</v>
      </c>
      <c r="C4427">
        <f t="shared" si="911"/>
        <v>0</v>
      </c>
      <c r="D4427">
        <f t="shared" si="912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3"/>
        <v>0</v>
      </c>
      <c r="G4427">
        <f t="shared" si="914"/>
        <v>0</v>
      </c>
      <c r="H4427">
        <f t="shared" si="915"/>
        <v>0</v>
      </c>
      <c r="I4427">
        <f t="shared" si="916"/>
        <v>0</v>
      </c>
      <c r="J4427">
        <f t="shared" si="917"/>
        <v>0</v>
      </c>
      <c r="K4427" s="4" t="e">
        <f t="shared" si="905"/>
        <v>#N/A</v>
      </c>
      <c r="L4427" t="e">
        <f t="shared" si="906"/>
        <v>#N/A</v>
      </c>
      <c r="M4427" s="4" t="e">
        <f t="shared" si="907"/>
        <v>#N/A</v>
      </c>
      <c r="N4427" s="4" t="e">
        <f t="shared" si="908"/>
        <v>#N/A</v>
      </c>
    </row>
    <row r="4428" spans="1:14">
      <c r="A4428">
        <f t="shared" si="909"/>
        <v>0</v>
      </c>
      <c r="B4428">
        <f t="shared" si="910"/>
        <v>0</v>
      </c>
      <c r="C4428">
        <f t="shared" si="911"/>
        <v>0</v>
      </c>
      <c r="D4428">
        <f t="shared" si="912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3"/>
        <v>0</v>
      </c>
      <c r="G4428">
        <f t="shared" si="914"/>
        <v>0</v>
      </c>
      <c r="H4428">
        <f t="shared" si="915"/>
        <v>0</v>
      </c>
      <c r="I4428">
        <f t="shared" si="916"/>
        <v>0</v>
      </c>
      <c r="J4428">
        <f t="shared" si="917"/>
        <v>0</v>
      </c>
      <c r="K4428" s="4" t="e">
        <f t="shared" si="905"/>
        <v>#N/A</v>
      </c>
      <c r="L4428" t="e">
        <f t="shared" si="906"/>
        <v>#N/A</v>
      </c>
      <c r="M4428" s="4" t="e">
        <f t="shared" si="907"/>
        <v>#N/A</v>
      </c>
      <c r="N4428" s="4" t="e">
        <f t="shared" si="908"/>
        <v>#N/A</v>
      </c>
    </row>
    <row r="4429" spans="1:14">
      <c r="A4429">
        <f t="shared" si="909"/>
        <v>0</v>
      </c>
      <c r="B4429">
        <f t="shared" si="910"/>
        <v>0</v>
      </c>
      <c r="C4429">
        <f t="shared" si="911"/>
        <v>0</v>
      </c>
      <c r="D4429">
        <f t="shared" si="912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3"/>
        <v>0</v>
      </c>
      <c r="G4429">
        <f t="shared" si="914"/>
        <v>0</v>
      </c>
      <c r="H4429">
        <f t="shared" si="915"/>
        <v>0</v>
      </c>
      <c r="I4429">
        <f t="shared" si="916"/>
        <v>0</v>
      </c>
      <c r="J4429">
        <f t="shared" si="917"/>
        <v>0</v>
      </c>
      <c r="K4429" s="4" t="e">
        <f t="shared" si="905"/>
        <v>#N/A</v>
      </c>
      <c r="L4429" t="e">
        <f t="shared" si="906"/>
        <v>#N/A</v>
      </c>
      <c r="M4429" s="4" t="e">
        <f t="shared" si="907"/>
        <v>#N/A</v>
      </c>
      <c r="N4429" s="4" t="e">
        <f t="shared" si="908"/>
        <v>#N/A</v>
      </c>
    </row>
    <row r="4430" spans="1:14">
      <c r="A4430">
        <f t="shared" si="909"/>
        <v>0</v>
      </c>
      <c r="B4430">
        <f t="shared" si="910"/>
        <v>0</v>
      </c>
      <c r="C4430">
        <f t="shared" si="911"/>
        <v>0</v>
      </c>
      <c r="D4430">
        <f t="shared" si="912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3"/>
        <v>0</v>
      </c>
      <c r="G4430">
        <f t="shared" si="914"/>
        <v>0</v>
      </c>
      <c r="H4430">
        <f t="shared" si="915"/>
        <v>0</v>
      </c>
      <c r="I4430">
        <f t="shared" si="916"/>
        <v>0</v>
      </c>
      <c r="J4430">
        <f t="shared" si="917"/>
        <v>0</v>
      </c>
      <c r="K4430" s="4" t="e">
        <f t="shared" si="905"/>
        <v>#N/A</v>
      </c>
      <c r="L4430" t="e">
        <f t="shared" si="906"/>
        <v>#N/A</v>
      </c>
      <c r="M4430" s="4" t="e">
        <f t="shared" si="907"/>
        <v>#N/A</v>
      </c>
      <c r="N4430" s="4" t="e">
        <f t="shared" si="908"/>
        <v>#N/A</v>
      </c>
    </row>
    <row r="4431" spans="1:14">
      <c r="A4431">
        <f t="shared" si="909"/>
        <v>0</v>
      </c>
      <c r="B4431">
        <f t="shared" si="910"/>
        <v>0</v>
      </c>
      <c r="C4431">
        <f t="shared" si="911"/>
        <v>0</v>
      </c>
      <c r="D4431">
        <f t="shared" si="912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3"/>
        <v>0</v>
      </c>
      <c r="G4431">
        <f t="shared" si="914"/>
        <v>0</v>
      </c>
      <c r="H4431">
        <f t="shared" si="915"/>
        <v>0</v>
      </c>
      <c r="I4431">
        <f t="shared" si="916"/>
        <v>0</v>
      </c>
      <c r="J4431">
        <f t="shared" si="917"/>
        <v>0</v>
      </c>
      <c r="K4431" s="4" t="e">
        <f t="shared" si="905"/>
        <v>#N/A</v>
      </c>
      <c r="L4431" t="e">
        <f t="shared" si="906"/>
        <v>#N/A</v>
      </c>
      <c r="M4431" s="4" t="e">
        <f t="shared" si="907"/>
        <v>#N/A</v>
      </c>
      <c r="N4431" s="4" t="e">
        <f t="shared" si="908"/>
        <v>#N/A</v>
      </c>
    </row>
    <row r="4432" spans="1:14">
      <c r="A4432">
        <f t="shared" si="909"/>
        <v>0</v>
      </c>
      <c r="B4432">
        <f t="shared" si="910"/>
        <v>0</v>
      </c>
      <c r="C4432">
        <f t="shared" si="911"/>
        <v>0</v>
      </c>
      <c r="D4432">
        <f t="shared" si="912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3"/>
        <v>0</v>
      </c>
      <c r="G4432">
        <f t="shared" si="914"/>
        <v>0</v>
      </c>
      <c r="H4432">
        <f t="shared" si="915"/>
        <v>0</v>
      </c>
      <c r="I4432">
        <f t="shared" si="916"/>
        <v>0</v>
      </c>
      <c r="J4432">
        <f t="shared" si="917"/>
        <v>0</v>
      </c>
      <c r="K4432" s="4" t="e">
        <f t="shared" si="905"/>
        <v>#N/A</v>
      </c>
      <c r="L4432" t="e">
        <f t="shared" si="906"/>
        <v>#N/A</v>
      </c>
      <c r="M4432" s="4" t="e">
        <f t="shared" si="907"/>
        <v>#N/A</v>
      </c>
      <c r="N4432" s="4" t="e">
        <f t="shared" si="908"/>
        <v>#N/A</v>
      </c>
    </row>
    <row r="4433" spans="1:14">
      <c r="A4433">
        <f t="shared" si="909"/>
        <v>0</v>
      </c>
      <c r="B4433">
        <f t="shared" si="910"/>
        <v>0</v>
      </c>
      <c r="C4433">
        <f t="shared" si="911"/>
        <v>0</v>
      </c>
      <c r="D4433">
        <f t="shared" si="912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3"/>
        <v>0</v>
      </c>
      <c r="G4433">
        <f t="shared" si="914"/>
        <v>0</v>
      </c>
      <c r="H4433">
        <f t="shared" si="915"/>
        <v>0</v>
      </c>
      <c r="I4433">
        <f t="shared" si="916"/>
        <v>0</v>
      </c>
      <c r="J4433">
        <f t="shared" si="917"/>
        <v>0</v>
      </c>
      <c r="K4433" s="4" t="e">
        <f t="shared" si="905"/>
        <v>#N/A</v>
      </c>
      <c r="L4433" t="e">
        <f t="shared" si="906"/>
        <v>#N/A</v>
      </c>
      <c r="M4433" s="4" t="e">
        <f t="shared" si="907"/>
        <v>#N/A</v>
      </c>
      <c r="N4433" s="4" t="e">
        <f t="shared" si="908"/>
        <v>#N/A</v>
      </c>
    </row>
    <row r="4434" spans="1:14">
      <c r="A4434">
        <f t="shared" si="909"/>
        <v>0</v>
      </c>
      <c r="B4434">
        <f t="shared" si="910"/>
        <v>0</v>
      </c>
      <c r="C4434">
        <f t="shared" si="911"/>
        <v>0</v>
      </c>
      <c r="D4434">
        <f t="shared" si="912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3"/>
        <v>0</v>
      </c>
      <c r="G4434">
        <f t="shared" si="914"/>
        <v>0</v>
      </c>
      <c r="H4434">
        <f t="shared" si="915"/>
        <v>0</v>
      </c>
      <c r="I4434">
        <f t="shared" si="916"/>
        <v>0</v>
      </c>
      <c r="J4434">
        <f t="shared" si="917"/>
        <v>0</v>
      </c>
      <c r="K4434" s="4" t="e">
        <f t="shared" si="905"/>
        <v>#N/A</v>
      </c>
      <c r="L4434" t="e">
        <f t="shared" si="906"/>
        <v>#N/A</v>
      </c>
      <c r="M4434" s="4" t="e">
        <f t="shared" si="907"/>
        <v>#N/A</v>
      </c>
      <c r="N4434" s="4" t="e">
        <f t="shared" si="908"/>
        <v>#N/A</v>
      </c>
    </row>
    <row r="4435" spans="1:14">
      <c r="A4435">
        <f t="shared" si="909"/>
        <v>0</v>
      </c>
      <c r="B4435">
        <f t="shared" si="910"/>
        <v>0</v>
      </c>
      <c r="C4435">
        <f t="shared" si="911"/>
        <v>0</v>
      </c>
      <c r="D4435">
        <f t="shared" si="912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3"/>
        <v>0</v>
      </c>
      <c r="G4435">
        <f t="shared" si="914"/>
        <v>0</v>
      </c>
      <c r="H4435">
        <f t="shared" si="915"/>
        <v>0</v>
      </c>
      <c r="I4435">
        <f t="shared" si="916"/>
        <v>0</v>
      </c>
      <c r="J4435">
        <f t="shared" si="917"/>
        <v>0</v>
      </c>
      <c r="K4435" s="4" t="e">
        <f t="shared" si="905"/>
        <v>#N/A</v>
      </c>
      <c r="L4435" t="e">
        <f t="shared" si="906"/>
        <v>#N/A</v>
      </c>
      <c r="M4435" s="4" t="e">
        <f t="shared" si="907"/>
        <v>#N/A</v>
      </c>
      <c r="N4435" s="4" t="e">
        <f t="shared" si="908"/>
        <v>#N/A</v>
      </c>
    </row>
    <row r="4436" spans="1:14">
      <c r="A4436">
        <f t="shared" si="909"/>
        <v>0</v>
      </c>
      <c r="B4436">
        <f t="shared" si="910"/>
        <v>0</v>
      </c>
      <c r="C4436">
        <f t="shared" si="911"/>
        <v>0</v>
      </c>
      <c r="D4436">
        <f t="shared" si="912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3"/>
        <v>0</v>
      </c>
      <c r="G4436">
        <f t="shared" si="914"/>
        <v>0</v>
      </c>
      <c r="H4436">
        <f t="shared" si="915"/>
        <v>0</v>
      </c>
      <c r="I4436">
        <f t="shared" si="916"/>
        <v>0</v>
      </c>
      <c r="J4436">
        <f t="shared" si="917"/>
        <v>0</v>
      </c>
      <c r="K4436" s="4" t="e">
        <f t="shared" si="905"/>
        <v>#N/A</v>
      </c>
      <c r="L4436" t="e">
        <f t="shared" si="906"/>
        <v>#N/A</v>
      </c>
      <c r="M4436" s="4" t="e">
        <f t="shared" si="907"/>
        <v>#N/A</v>
      </c>
      <c r="N4436" s="4" t="e">
        <f t="shared" si="908"/>
        <v>#N/A</v>
      </c>
    </row>
    <row r="4437" spans="1:14">
      <c r="A4437">
        <f t="shared" si="909"/>
        <v>0</v>
      </c>
      <c r="B4437">
        <f t="shared" si="910"/>
        <v>0</v>
      </c>
      <c r="C4437">
        <f t="shared" si="911"/>
        <v>0</v>
      </c>
      <c r="D4437">
        <f t="shared" si="912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3"/>
        <v>0</v>
      </c>
      <c r="G4437">
        <f t="shared" si="914"/>
        <v>0</v>
      </c>
      <c r="H4437">
        <f t="shared" si="915"/>
        <v>0</v>
      </c>
      <c r="I4437">
        <f t="shared" si="916"/>
        <v>0</v>
      </c>
      <c r="J4437">
        <f t="shared" si="917"/>
        <v>0</v>
      </c>
      <c r="K4437" s="4" t="e">
        <f t="shared" si="905"/>
        <v>#N/A</v>
      </c>
      <c r="L4437" t="e">
        <f t="shared" si="906"/>
        <v>#N/A</v>
      </c>
      <c r="M4437" s="4" t="e">
        <f t="shared" si="907"/>
        <v>#N/A</v>
      </c>
      <c r="N4437" s="4" t="e">
        <f t="shared" si="908"/>
        <v>#N/A</v>
      </c>
    </row>
    <row r="4438" spans="1:14">
      <c r="A4438">
        <f t="shared" si="909"/>
        <v>0</v>
      </c>
      <c r="B4438">
        <f t="shared" si="910"/>
        <v>0</v>
      </c>
      <c r="C4438">
        <f t="shared" si="911"/>
        <v>0</v>
      </c>
      <c r="D4438">
        <f t="shared" si="912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3"/>
        <v>0</v>
      </c>
      <c r="G4438">
        <f t="shared" si="914"/>
        <v>0</v>
      </c>
      <c r="H4438">
        <f t="shared" si="915"/>
        <v>0</v>
      </c>
      <c r="I4438">
        <f t="shared" si="916"/>
        <v>0</v>
      </c>
      <c r="J4438">
        <f t="shared" si="917"/>
        <v>0</v>
      </c>
      <c r="K4438" s="4" t="e">
        <f t="shared" si="905"/>
        <v>#N/A</v>
      </c>
      <c r="L4438" t="e">
        <f t="shared" si="906"/>
        <v>#N/A</v>
      </c>
      <c r="M4438" s="4" t="e">
        <f t="shared" si="907"/>
        <v>#N/A</v>
      </c>
      <c r="N4438" s="4" t="e">
        <f t="shared" si="908"/>
        <v>#N/A</v>
      </c>
    </row>
    <row r="4439" spans="1:14">
      <c r="A4439">
        <f t="shared" si="909"/>
        <v>0</v>
      </c>
      <c r="B4439">
        <f t="shared" si="910"/>
        <v>0</v>
      </c>
      <c r="C4439">
        <f t="shared" si="911"/>
        <v>0</v>
      </c>
      <c r="D4439">
        <f t="shared" si="912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3"/>
        <v>0</v>
      </c>
      <c r="G4439">
        <f t="shared" si="914"/>
        <v>0</v>
      </c>
      <c r="H4439">
        <f t="shared" si="915"/>
        <v>0</v>
      </c>
      <c r="I4439">
        <f t="shared" si="916"/>
        <v>0</v>
      </c>
      <c r="J4439">
        <f t="shared" si="917"/>
        <v>0</v>
      </c>
      <c r="K4439" s="4" t="e">
        <f t="shared" si="905"/>
        <v>#N/A</v>
      </c>
      <c r="L4439" t="e">
        <f t="shared" si="906"/>
        <v>#N/A</v>
      </c>
      <c r="M4439" s="4" t="e">
        <f t="shared" si="907"/>
        <v>#N/A</v>
      </c>
      <c r="N4439" s="4" t="e">
        <f t="shared" si="908"/>
        <v>#N/A</v>
      </c>
    </row>
    <row r="4440" spans="1:14">
      <c r="A4440">
        <f t="shared" si="909"/>
        <v>0</v>
      </c>
      <c r="B4440">
        <f t="shared" si="910"/>
        <v>0</v>
      </c>
      <c r="C4440">
        <f t="shared" si="911"/>
        <v>0</v>
      </c>
      <c r="D4440">
        <f t="shared" si="912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3"/>
        <v>0</v>
      </c>
      <c r="G4440">
        <f t="shared" si="914"/>
        <v>0</v>
      </c>
      <c r="H4440">
        <f t="shared" si="915"/>
        <v>0</v>
      </c>
      <c r="I4440">
        <f t="shared" si="916"/>
        <v>0</v>
      </c>
      <c r="J4440">
        <f t="shared" si="917"/>
        <v>0</v>
      </c>
      <c r="K4440" s="4" t="e">
        <f t="shared" si="905"/>
        <v>#N/A</v>
      </c>
      <c r="L4440" t="e">
        <f t="shared" si="906"/>
        <v>#N/A</v>
      </c>
      <c r="M4440" s="4" t="e">
        <f t="shared" si="907"/>
        <v>#N/A</v>
      </c>
      <c r="N4440" s="4" t="e">
        <f t="shared" si="908"/>
        <v>#N/A</v>
      </c>
    </row>
    <row r="4441" spans="1:14">
      <c r="A4441">
        <f t="shared" si="909"/>
        <v>0</v>
      </c>
      <c r="B4441">
        <f t="shared" si="910"/>
        <v>0</v>
      </c>
      <c r="C4441">
        <f t="shared" si="911"/>
        <v>0</v>
      </c>
      <c r="D4441">
        <f t="shared" si="912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3"/>
        <v>0</v>
      </c>
      <c r="G4441">
        <f t="shared" si="914"/>
        <v>0</v>
      </c>
      <c r="H4441">
        <f t="shared" si="915"/>
        <v>0</v>
      </c>
      <c r="I4441">
        <f t="shared" si="916"/>
        <v>0</v>
      </c>
      <c r="J4441">
        <f t="shared" si="917"/>
        <v>0</v>
      </c>
      <c r="K4441" s="4" t="e">
        <f t="shared" si="905"/>
        <v>#N/A</v>
      </c>
      <c r="L4441" t="e">
        <f t="shared" si="906"/>
        <v>#N/A</v>
      </c>
      <c r="M4441" s="4" t="e">
        <f t="shared" si="907"/>
        <v>#N/A</v>
      </c>
      <c r="N4441" s="4" t="e">
        <f t="shared" si="908"/>
        <v>#N/A</v>
      </c>
    </row>
    <row r="4442" spans="1:14">
      <c r="A4442">
        <f t="shared" si="909"/>
        <v>0</v>
      </c>
      <c r="B4442">
        <f t="shared" si="910"/>
        <v>0</v>
      </c>
      <c r="C4442">
        <f t="shared" si="911"/>
        <v>0</v>
      </c>
      <c r="D4442">
        <f t="shared" si="912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3"/>
        <v>0</v>
      </c>
      <c r="G4442">
        <f t="shared" si="914"/>
        <v>0</v>
      </c>
      <c r="H4442">
        <f t="shared" si="915"/>
        <v>0</v>
      </c>
      <c r="I4442">
        <f t="shared" si="916"/>
        <v>0</v>
      </c>
      <c r="J4442">
        <f t="shared" si="917"/>
        <v>0</v>
      </c>
      <c r="K4442" s="4" t="e">
        <f t="shared" si="905"/>
        <v>#N/A</v>
      </c>
      <c r="L4442" t="e">
        <f t="shared" si="906"/>
        <v>#N/A</v>
      </c>
      <c r="M4442" s="4" t="e">
        <f t="shared" si="907"/>
        <v>#N/A</v>
      </c>
      <c r="N4442" s="4" t="e">
        <f t="shared" si="908"/>
        <v>#N/A</v>
      </c>
    </row>
    <row r="4443" spans="1:14">
      <c r="A4443">
        <f t="shared" si="909"/>
        <v>0</v>
      </c>
      <c r="B4443">
        <f t="shared" si="910"/>
        <v>0</v>
      </c>
      <c r="C4443">
        <f t="shared" si="911"/>
        <v>0</v>
      </c>
      <c r="D4443">
        <f t="shared" si="912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3"/>
        <v>0</v>
      </c>
      <c r="G4443">
        <f t="shared" si="914"/>
        <v>0</v>
      </c>
      <c r="H4443">
        <f t="shared" si="915"/>
        <v>0</v>
      </c>
      <c r="I4443">
        <f t="shared" si="916"/>
        <v>0</v>
      </c>
      <c r="J4443">
        <f t="shared" si="917"/>
        <v>0</v>
      </c>
      <c r="K4443" s="4" t="e">
        <f t="shared" si="905"/>
        <v>#N/A</v>
      </c>
      <c r="L4443" t="e">
        <f t="shared" si="906"/>
        <v>#N/A</v>
      </c>
      <c r="M4443" s="4" t="e">
        <f t="shared" si="907"/>
        <v>#N/A</v>
      </c>
      <c r="N4443" s="4" t="e">
        <f t="shared" si="908"/>
        <v>#N/A</v>
      </c>
    </row>
    <row r="4444" spans="1:14">
      <c r="A4444">
        <f t="shared" si="909"/>
        <v>0</v>
      </c>
      <c r="B4444">
        <f t="shared" si="910"/>
        <v>0</v>
      </c>
      <c r="C4444">
        <f t="shared" si="911"/>
        <v>0</v>
      </c>
      <c r="D4444">
        <f t="shared" si="912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3"/>
        <v>0</v>
      </c>
      <c r="G4444">
        <f t="shared" si="914"/>
        <v>0</v>
      </c>
      <c r="H4444">
        <f t="shared" si="915"/>
        <v>0</v>
      </c>
      <c r="I4444">
        <f t="shared" si="916"/>
        <v>0</v>
      </c>
      <c r="J4444">
        <f t="shared" si="917"/>
        <v>0</v>
      </c>
      <c r="K4444" s="4" t="e">
        <f t="shared" si="905"/>
        <v>#N/A</v>
      </c>
      <c r="L4444" t="e">
        <f t="shared" si="906"/>
        <v>#N/A</v>
      </c>
      <c r="M4444" s="4" t="e">
        <f t="shared" si="907"/>
        <v>#N/A</v>
      </c>
      <c r="N4444" s="4" t="e">
        <f t="shared" si="908"/>
        <v>#N/A</v>
      </c>
    </row>
    <row r="4445" spans="1:14">
      <c r="A4445">
        <f t="shared" si="909"/>
        <v>0</v>
      </c>
      <c r="B4445">
        <f t="shared" si="910"/>
        <v>0</v>
      </c>
      <c r="C4445">
        <f t="shared" si="911"/>
        <v>0</v>
      </c>
      <c r="D4445">
        <f t="shared" si="912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3"/>
        <v>0</v>
      </c>
      <c r="G4445">
        <f t="shared" si="914"/>
        <v>0</v>
      </c>
      <c r="H4445">
        <f t="shared" si="915"/>
        <v>0</v>
      </c>
      <c r="I4445">
        <f t="shared" si="916"/>
        <v>0</v>
      </c>
      <c r="J4445">
        <f t="shared" si="917"/>
        <v>0</v>
      </c>
      <c r="K4445" s="4" t="e">
        <f t="shared" si="905"/>
        <v>#N/A</v>
      </c>
      <c r="L4445" t="e">
        <f t="shared" si="906"/>
        <v>#N/A</v>
      </c>
      <c r="M4445" s="4" t="e">
        <f t="shared" si="907"/>
        <v>#N/A</v>
      </c>
      <c r="N4445" s="4" t="e">
        <f t="shared" si="908"/>
        <v>#N/A</v>
      </c>
    </row>
    <row r="4446" spans="1:14">
      <c r="A4446">
        <f t="shared" si="909"/>
        <v>0</v>
      </c>
      <c r="B4446">
        <f t="shared" si="910"/>
        <v>0</v>
      </c>
      <c r="C4446">
        <f t="shared" si="911"/>
        <v>0</v>
      </c>
      <c r="D4446">
        <f t="shared" si="912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3"/>
        <v>0</v>
      </c>
      <c r="G4446">
        <f t="shared" si="914"/>
        <v>0</v>
      </c>
      <c r="H4446">
        <f t="shared" si="915"/>
        <v>0</v>
      </c>
      <c r="I4446">
        <f t="shared" si="916"/>
        <v>0</v>
      </c>
      <c r="J4446">
        <f t="shared" si="917"/>
        <v>0</v>
      </c>
      <c r="K4446" s="4" t="e">
        <f t="shared" si="905"/>
        <v>#N/A</v>
      </c>
      <c r="L4446" t="e">
        <f t="shared" si="906"/>
        <v>#N/A</v>
      </c>
      <c r="M4446" s="4" t="e">
        <f t="shared" si="907"/>
        <v>#N/A</v>
      </c>
      <c r="N4446" s="4" t="e">
        <f t="shared" si="908"/>
        <v>#N/A</v>
      </c>
    </row>
    <row r="4447" spans="1:14">
      <c r="A4447">
        <f t="shared" si="909"/>
        <v>0</v>
      </c>
      <c r="B4447">
        <f t="shared" si="910"/>
        <v>0</v>
      </c>
      <c r="C4447">
        <f t="shared" si="911"/>
        <v>0</v>
      </c>
      <c r="D4447">
        <f t="shared" si="912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3"/>
        <v>0</v>
      </c>
      <c r="G4447">
        <f t="shared" si="914"/>
        <v>0</v>
      </c>
      <c r="H4447">
        <f t="shared" si="915"/>
        <v>0</v>
      </c>
      <c r="I4447">
        <f t="shared" si="916"/>
        <v>0</v>
      </c>
      <c r="J4447">
        <f t="shared" si="917"/>
        <v>0</v>
      </c>
      <c r="K4447" s="4" t="e">
        <f t="shared" si="905"/>
        <v>#N/A</v>
      </c>
      <c r="L4447" t="e">
        <f t="shared" si="906"/>
        <v>#N/A</v>
      </c>
      <c r="M4447" s="4" t="e">
        <f t="shared" si="907"/>
        <v>#N/A</v>
      </c>
      <c r="N4447" s="4" t="e">
        <f t="shared" si="908"/>
        <v>#N/A</v>
      </c>
    </row>
    <row r="4448" spans="1:14">
      <c r="A4448">
        <f t="shared" si="909"/>
        <v>0</v>
      </c>
      <c r="B4448">
        <f t="shared" si="910"/>
        <v>0</v>
      </c>
      <c r="C4448">
        <f t="shared" si="911"/>
        <v>0</v>
      </c>
      <c r="D4448">
        <f t="shared" si="912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3"/>
        <v>0</v>
      </c>
      <c r="G4448">
        <f t="shared" si="914"/>
        <v>0</v>
      </c>
      <c r="H4448">
        <f t="shared" si="915"/>
        <v>0</v>
      </c>
      <c r="I4448">
        <f t="shared" si="916"/>
        <v>0</v>
      </c>
      <c r="J4448">
        <f t="shared" si="917"/>
        <v>0</v>
      </c>
      <c r="K4448" s="4" t="e">
        <f t="shared" si="905"/>
        <v>#N/A</v>
      </c>
      <c r="L4448" t="e">
        <f t="shared" si="906"/>
        <v>#N/A</v>
      </c>
      <c r="M4448" s="4" t="e">
        <f t="shared" si="907"/>
        <v>#N/A</v>
      </c>
      <c r="N4448" s="4" t="e">
        <f t="shared" si="908"/>
        <v>#N/A</v>
      </c>
    </row>
    <row r="4449" spans="1:14">
      <c r="A4449">
        <f t="shared" si="909"/>
        <v>0</v>
      </c>
      <c r="B4449">
        <f t="shared" si="910"/>
        <v>0</v>
      </c>
      <c r="C4449">
        <f t="shared" si="911"/>
        <v>0</v>
      </c>
      <c r="D4449">
        <f t="shared" si="912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3"/>
        <v>0</v>
      </c>
      <c r="G4449">
        <f t="shared" si="914"/>
        <v>0</v>
      </c>
      <c r="H4449">
        <f t="shared" si="915"/>
        <v>0</v>
      </c>
      <c r="I4449">
        <f t="shared" si="916"/>
        <v>0</v>
      </c>
      <c r="J4449">
        <f t="shared" si="917"/>
        <v>0</v>
      </c>
      <c r="K4449" s="4" t="e">
        <f t="shared" si="905"/>
        <v>#N/A</v>
      </c>
      <c r="L4449" t="e">
        <f t="shared" si="906"/>
        <v>#N/A</v>
      </c>
      <c r="M4449" s="4" t="e">
        <f t="shared" si="907"/>
        <v>#N/A</v>
      </c>
      <c r="N4449" s="4" t="e">
        <f t="shared" si="908"/>
        <v>#N/A</v>
      </c>
    </row>
    <row r="4450" spans="1:14">
      <c r="A4450">
        <f t="shared" si="909"/>
        <v>0</v>
      </c>
      <c r="B4450">
        <f t="shared" si="910"/>
        <v>0</v>
      </c>
      <c r="C4450">
        <f t="shared" si="911"/>
        <v>0</v>
      </c>
      <c r="D4450">
        <f t="shared" si="912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3"/>
        <v>0</v>
      </c>
      <c r="G4450">
        <f t="shared" si="914"/>
        <v>0</v>
      </c>
      <c r="H4450">
        <f t="shared" si="915"/>
        <v>0</v>
      </c>
      <c r="I4450">
        <f t="shared" si="916"/>
        <v>0</v>
      </c>
      <c r="J4450">
        <f t="shared" si="917"/>
        <v>0</v>
      </c>
      <c r="K4450" s="4" t="e">
        <f t="shared" si="905"/>
        <v>#N/A</v>
      </c>
      <c r="L4450" t="e">
        <f t="shared" si="906"/>
        <v>#N/A</v>
      </c>
      <c r="M4450" s="4" t="e">
        <f t="shared" si="907"/>
        <v>#N/A</v>
      </c>
      <c r="N4450" s="4" t="e">
        <f t="shared" si="908"/>
        <v>#N/A</v>
      </c>
    </row>
    <row r="4451" spans="1:14">
      <c r="A4451">
        <f t="shared" si="909"/>
        <v>0</v>
      </c>
      <c r="B4451">
        <f t="shared" si="910"/>
        <v>0</v>
      </c>
      <c r="C4451">
        <f t="shared" si="911"/>
        <v>0</v>
      </c>
      <c r="D4451">
        <f t="shared" si="912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3"/>
        <v>0</v>
      </c>
      <c r="G4451">
        <f t="shared" si="914"/>
        <v>0</v>
      </c>
      <c r="H4451">
        <f t="shared" si="915"/>
        <v>0</v>
      </c>
      <c r="I4451">
        <f t="shared" si="916"/>
        <v>0</v>
      </c>
      <c r="J4451">
        <f t="shared" si="917"/>
        <v>0</v>
      </c>
      <c r="K4451" s="4" t="e">
        <f t="shared" si="905"/>
        <v>#N/A</v>
      </c>
      <c r="L4451" t="e">
        <f t="shared" si="906"/>
        <v>#N/A</v>
      </c>
      <c r="M4451" s="4" t="e">
        <f t="shared" si="907"/>
        <v>#N/A</v>
      </c>
      <c r="N4451" s="4" t="e">
        <f t="shared" si="908"/>
        <v>#N/A</v>
      </c>
    </row>
    <row r="4452" spans="1:14">
      <c r="A4452">
        <f t="shared" si="909"/>
        <v>0</v>
      </c>
      <c r="B4452">
        <f t="shared" si="910"/>
        <v>0</v>
      </c>
      <c r="C4452">
        <f t="shared" si="911"/>
        <v>0</v>
      </c>
      <c r="D4452">
        <f t="shared" si="912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3"/>
        <v>0</v>
      </c>
      <c r="G4452">
        <f t="shared" si="914"/>
        <v>0</v>
      </c>
      <c r="H4452">
        <f t="shared" si="915"/>
        <v>0</v>
      </c>
      <c r="I4452">
        <f t="shared" si="916"/>
        <v>0</v>
      </c>
      <c r="J4452">
        <f t="shared" si="917"/>
        <v>0</v>
      </c>
      <c r="K4452" s="4" t="e">
        <f t="shared" si="905"/>
        <v>#N/A</v>
      </c>
      <c r="L4452" t="e">
        <f t="shared" si="906"/>
        <v>#N/A</v>
      </c>
      <c r="M4452" s="4" t="e">
        <f t="shared" si="907"/>
        <v>#N/A</v>
      </c>
      <c r="N4452" s="4" t="e">
        <f t="shared" si="908"/>
        <v>#N/A</v>
      </c>
    </row>
    <row r="4453" spans="1:14">
      <c r="A4453">
        <f t="shared" si="909"/>
        <v>0</v>
      </c>
      <c r="B4453">
        <f t="shared" si="910"/>
        <v>0</v>
      </c>
      <c r="C4453">
        <f t="shared" si="911"/>
        <v>0</v>
      </c>
      <c r="D4453">
        <f t="shared" si="912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3"/>
        <v>0</v>
      </c>
      <c r="G4453">
        <f t="shared" si="914"/>
        <v>0</v>
      </c>
      <c r="H4453">
        <f t="shared" si="915"/>
        <v>0</v>
      </c>
      <c r="I4453">
        <f t="shared" si="916"/>
        <v>0</v>
      </c>
      <c r="J4453">
        <f t="shared" si="917"/>
        <v>0</v>
      </c>
      <c r="K4453" s="4" t="e">
        <f t="shared" si="905"/>
        <v>#N/A</v>
      </c>
      <c r="L4453" t="e">
        <f t="shared" si="906"/>
        <v>#N/A</v>
      </c>
      <c r="M4453" s="4" t="e">
        <f t="shared" si="907"/>
        <v>#N/A</v>
      </c>
      <c r="N4453" s="4" t="e">
        <f t="shared" si="908"/>
        <v>#N/A</v>
      </c>
    </row>
    <row r="4454" spans="1:14">
      <c r="A4454">
        <f t="shared" si="909"/>
        <v>0</v>
      </c>
      <c r="B4454">
        <f t="shared" si="910"/>
        <v>0</v>
      </c>
      <c r="C4454">
        <f t="shared" si="911"/>
        <v>0</v>
      </c>
      <c r="D4454">
        <f t="shared" si="912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3"/>
        <v>0</v>
      </c>
      <c r="G4454">
        <f t="shared" si="914"/>
        <v>0</v>
      </c>
      <c r="H4454">
        <f t="shared" si="915"/>
        <v>0</v>
      </c>
      <c r="I4454">
        <f t="shared" si="916"/>
        <v>0</v>
      </c>
      <c r="J4454">
        <f t="shared" si="917"/>
        <v>0</v>
      </c>
      <c r="K4454" s="4" t="e">
        <f t="shared" si="905"/>
        <v>#N/A</v>
      </c>
      <c r="L4454" t="e">
        <f t="shared" si="906"/>
        <v>#N/A</v>
      </c>
      <c r="M4454" s="4" t="e">
        <f t="shared" si="907"/>
        <v>#N/A</v>
      </c>
      <c r="N4454" s="4" t="e">
        <f t="shared" si="908"/>
        <v>#N/A</v>
      </c>
    </row>
    <row r="4455" spans="1:14">
      <c r="A4455">
        <f t="shared" si="909"/>
        <v>0</v>
      </c>
      <c r="B4455">
        <f t="shared" si="910"/>
        <v>0</v>
      </c>
      <c r="C4455">
        <f t="shared" si="911"/>
        <v>0</v>
      </c>
      <c r="D4455">
        <f t="shared" si="912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3"/>
        <v>0</v>
      </c>
      <c r="G4455">
        <f t="shared" si="914"/>
        <v>0</v>
      </c>
      <c r="H4455">
        <f t="shared" si="915"/>
        <v>0</v>
      </c>
      <c r="I4455">
        <f t="shared" si="916"/>
        <v>0</v>
      </c>
      <c r="J4455">
        <f t="shared" si="917"/>
        <v>0</v>
      </c>
      <c r="K4455" s="4" t="e">
        <f t="shared" si="905"/>
        <v>#N/A</v>
      </c>
      <c r="L4455" t="e">
        <f t="shared" si="906"/>
        <v>#N/A</v>
      </c>
      <c r="M4455" s="4" t="e">
        <f t="shared" si="907"/>
        <v>#N/A</v>
      </c>
      <c r="N4455" s="4" t="e">
        <f t="shared" si="908"/>
        <v>#N/A</v>
      </c>
    </row>
    <row r="4456" spans="1:14">
      <c r="A4456">
        <f t="shared" si="909"/>
        <v>0</v>
      </c>
      <c r="B4456">
        <f t="shared" si="910"/>
        <v>0</v>
      </c>
      <c r="C4456">
        <f t="shared" si="911"/>
        <v>0</v>
      </c>
      <c r="D4456">
        <f t="shared" si="912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3"/>
        <v>0</v>
      </c>
      <c r="G4456">
        <f t="shared" si="914"/>
        <v>0</v>
      </c>
      <c r="H4456">
        <f t="shared" si="915"/>
        <v>0</v>
      </c>
      <c r="I4456">
        <f t="shared" si="916"/>
        <v>0</v>
      </c>
      <c r="J4456">
        <f t="shared" si="917"/>
        <v>0</v>
      </c>
      <c r="K4456" s="4" t="e">
        <f t="shared" si="905"/>
        <v>#N/A</v>
      </c>
      <c r="L4456" t="e">
        <f t="shared" si="906"/>
        <v>#N/A</v>
      </c>
      <c r="M4456" s="4" t="e">
        <f t="shared" si="907"/>
        <v>#N/A</v>
      </c>
      <c r="N4456" s="4" t="e">
        <f t="shared" si="908"/>
        <v>#N/A</v>
      </c>
    </row>
    <row r="4457" spans="1:14">
      <c r="A4457">
        <f t="shared" si="909"/>
        <v>0</v>
      </c>
      <c r="B4457">
        <f t="shared" si="910"/>
        <v>0</v>
      </c>
      <c r="C4457">
        <f t="shared" si="911"/>
        <v>0</v>
      </c>
      <c r="D4457">
        <f t="shared" si="912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3"/>
        <v>0</v>
      </c>
      <c r="G4457">
        <f t="shared" si="914"/>
        <v>0</v>
      </c>
      <c r="H4457">
        <f t="shared" si="915"/>
        <v>0</v>
      </c>
      <c r="I4457">
        <f t="shared" si="916"/>
        <v>0</v>
      </c>
      <c r="J4457">
        <f t="shared" si="917"/>
        <v>0</v>
      </c>
      <c r="K4457" s="4" t="e">
        <f t="shared" si="905"/>
        <v>#N/A</v>
      </c>
      <c r="L4457" t="e">
        <f t="shared" si="906"/>
        <v>#N/A</v>
      </c>
      <c r="M4457" s="4" t="e">
        <f t="shared" si="907"/>
        <v>#N/A</v>
      </c>
      <c r="N4457" s="4" t="e">
        <f t="shared" si="908"/>
        <v>#N/A</v>
      </c>
    </row>
    <row r="4458" spans="1:14">
      <c r="A4458">
        <f t="shared" si="909"/>
        <v>0</v>
      </c>
      <c r="B4458">
        <f t="shared" si="910"/>
        <v>0</v>
      </c>
      <c r="C4458">
        <f t="shared" si="911"/>
        <v>0</v>
      </c>
      <c r="D4458">
        <f t="shared" si="912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3"/>
        <v>0</v>
      </c>
      <c r="G4458">
        <f t="shared" si="914"/>
        <v>0</v>
      </c>
      <c r="H4458">
        <f t="shared" si="915"/>
        <v>0</v>
      </c>
      <c r="I4458">
        <f t="shared" si="916"/>
        <v>0</v>
      </c>
      <c r="J4458">
        <f t="shared" si="917"/>
        <v>0</v>
      </c>
      <c r="K4458" s="4" t="e">
        <f t="shared" si="905"/>
        <v>#N/A</v>
      </c>
      <c r="L4458" t="e">
        <f t="shared" si="906"/>
        <v>#N/A</v>
      </c>
      <c r="M4458" s="4" t="e">
        <f t="shared" si="907"/>
        <v>#N/A</v>
      </c>
      <c r="N4458" s="4" t="e">
        <f t="shared" si="908"/>
        <v>#N/A</v>
      </c>
    </row>
    <row r="4459" spans="1:14">
      <c r="A4459">
        <f t="shared" si="909"/>
        <v>0</v>
      </c>
      <c r="B4459">
        <f t="shared" si="910"/>
        <v>0</v>
      </c>
      <c r="C4459">
        <f t="shared" si="911"/>
        <v>0</v>
      </c>
      <c r="D4459">
        <f t="shared" si="912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3"/>
        <v>0</v>
      </c>
      <c r="G4459">
        <f t="shared" si="914"/>
        <v>0</v>
      </c>
      <c r="H4459">
        <f t="shared" si="915"/>
        <v>0</v>
      </c>
      <c r="I4459">
        <f t="shared" si="916"/>
        <v>0</v>
      </c>
      <c r="J4459">
        <f t="shared" si="917"/>
        <v>0</v>
      </c>
      <c r="K4459" s="4" t="e">
        <f t="shared" si="905"/>
        <v>#N/A</v>
      </c>
      <c r="L4459" t="e">
        <f t="shared" si="906"/>
        <v>#N/A</v>
      </c>
      <c r="M4459" s="4" t="e">
        <f t="shared" si="907"/>
        <v>#N/A</v>
      </c>
      <c r="N4459" s="4" t="e">
        <f t="shared" si="908"/>
        <v>#N/A</v>
      </c>
    </row>
    <row r="4460" spans="1:14">
      <c r="A4460">
        <f t="shared" si="909"/>
        <v>0</v>
      </c>
      <c r="B4460">
        <f t="shared" si="910"/>
        <v>0</v>
      </c>
      <c r="C4460">
        <f t="shared" si="911"/>
        <v>0</v>
      </c>
      <c r="D4460">
        <f t="shared" si="912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3"/>
        <v>0</v>
      </c>
      <c r="G4460">
        <f t="shared" si="914"/>
        <v>0</v>
      </c>
      <c r="H4460">
        <f t="shared" si="915"/>
        <v>0</v>
      </c>
      <c r="I4460">
        <f t="shared" si="916"/>
        <v>0</v>
      </c>
      <c r="J4460">
        <f t="shared" si="917"/>
        <v>0</v>
      </c>
      <c r="K4460" s="4" t="e">
        <f t="shared" si="905"/>
        <v>#N/A</v>
      </c>
      <c r="L4460" t="e">
        <f t="shared" si="906"/>
        <v>#N/A</v>
      </c>
      <c r="M4460" s="4" t="e">
        <f t="shared" si="907"/>
        <v>#N/A</v>
      </c>
      <c r="N4460" s="4" t="e">
        <f t="shared" si="908"/>
        <v>#N/A</v>
      </c>
    </row>
    <row r="4461" spans="1:14">
      <c r="A4461">
        <f t="shared" si="909"/>
        <v>0</v>
      </c>
      <c r="B4461">
        <f t="shared" si="910"/>
        <v>0</v>
      </c>
      <c r="C4461">
        <f t="shared" si="911"/>
        <v>0</v>
      </c>
      <c r="D4461">
        <f t="shared" si="912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3"/>
        <v>0</v>
      </c>
      <c r="G4461">
        <f t="shared" si="914"/>
        <v>0</v>
      </c>
      <c r="H4461">
        <f t="shared" si="915"/>
        <v>0</v>
      </c>
      <c r="I4461">
        <f t="shared" si="916"/>
        <v>0</v>
      </c>
      <c r="J4461">
        <f t="shared" si="917"/>
        <v>0</v>
      </c>
      <c r="K4461" s="4" t="e">
        <f t="shared" si="905"/>
        <v>#N/A</v>
      </c>
      <c r="L4461" t="e">
        <f t="shared" si="906"/>
        <v>#N/A</v>
      </c>
      <c r="M4461" s="4" t="e">
        <f t="shared" si="907"/>
        <v>#N/A</v>
      </c>
      <c r="N4461" s="4" t="e">
        <f t="shared" si="908"/>
        <v>#N/A</v>
      </c>
    </row>
    <row r="4462" spans="1:14">
      <c r="A4462">
        <f t="shared" si="909"/>
        <v>0</v>
      </c>
      <c r="B4462">
        <f t="shared" si="910"/>
        <v>0</v>
      </c>
      <c r="C4462">
        <f t="shared" si="911"/>
        <v>0</v>
      </c>
      <c r="D4462">
        <f t="shared" si="912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3"/>
        <v>0</v>
      </c>
      <c r="G4462">
        <f t="shared" si="914"/>
        <v>0</v>
      </c>
      <c r="H4462">
        <f t="shared" si="915"/>
        <v>0</v>
      </c>
      <c r="I4462">
        <f t="shared" si="916"/>
        <v>0</v>
      </c>
      <c r="J4462">
        <f t="shared" si="917"/>
        <v>0</v>
      </c>
      <c r="K4462" s="4" t="e">
        <f t="shared" si="905"/>
        <v>#N/A</v>
      </c>
      <c r="L4462" t="e">
        <f t="shared" si="906"/>
        <v>#N/A</v>
      </c>
      <c r="M4462" s="4" t="e">
        <f t="shared" si="907"/>
        <v>#N/A</v>
      </c>
      <c r="N4462" s="4" t="e">
        <f t="shared" si="908"/>
        <v>#N/A</v>
      </c>
    </row>
    <row r="4463" spans="1:14">
      <c r="A4463">
        <f t="shared" si="909"/>
        <v>0</v>
      </c>
      <c r="B4463">
        <f t="shared" si="910"/>
        <v>0</v>
      </c>
      <c r="C4463">
        <f t="shared" si="911"/>
        <v>0</v>
      </c>
      <c r="D4463">
        <f t="shared" si="912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3"/>
        <v>0</v>
      </c>
      <c r="G4463">
        <f t="shared" si="914"/>
        <v>0</v>
      </c>
      <c r="H4463">
        <f t="shared" si="915"/>
        <v>0</v>
      </c>
      <c r="I4463">
        <f t="shared" si="916"/>
        <v>0</v>
      </c>
      <c r="J4463">
        <f t="shared" si="917"/>
        <v>0</v>
      </c>
      <c r="K4463" s="4" t="e">
        <f t="shared" si="905"/>
        <v>#N/A</v>
      </c>
      <c r="L4463" t="e">
        <f t="shared" si="906"/>
        <v>#N/A</v>
      </c>
      <c r="M4463" s="4" t="e">
        <f t="shared" si="907"/>
        <v>#N/A</v>
      </c>
      <c r="N4463" s="4" t="e">
        <f t="shared" si="908"/>
        <v>#N/A</v>
      </c>
    </row>
    <row r="4464" spans="1:14">
      <c r="A4464">
        <f t="shared" si="909"/>
        <v>0</v>
      </c>
      <c r="B4464">
        <f t="shared" si="910"/>
        <v>0</v>
      </c>
      <c r="C4464">
        <f t="shared" si="911"/>
        <v>0</v>
      </c>
      <c r="D4464">
        <f t="shared" si="912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3"/>
        <v>0</v>
      </c>
      <c r="G4464">
        <f t="shared" si="914"/>
        <v>0</v>
      </c>
      <c r="H4464">
        <f t="shared" si="915"/>
        <v>0</v>
      </c>
      <c r="I4464">
        <f t="shared" si="916"/>
        <v>0</v>
      </c>
      <c r="J4464">
        <f t="shared" si="917"/>
        <v>0</v>
      </c>
      <c r="K4464" s="4" t="e">
        <f t="shared" si="905"/>
        <v>#N/A</v>
      </c>
      <c r="L4464" t="e">
        <f t="shared" si="906"/>
        <v>#N/A</v>
      </c>
      <c r="M4464" s="4" t="e">
        <f t="shared" si="907"/>
        <v>#N/A</v>
      </c>
      <c r="N4464" s="4" t="e">
        <f t="shared" si="908"/>
        <v>#N/A</v>
      </c>
    </row>
    <row r="4465" spans="1:14">
      <c r="A4465">
        <f t="shared" si="909"/>
        <v>0</v>
      </c>
      <c r="B4465">
        <f t="shared" si="910"/>
        <v>0</v>
      </c>
      <c r="C4465">
        <f t="shared" si="911"/>
        <v>0</v>
      </c>
      <c r="D4465">
        <f t="shared" si="912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3"/>
        <v>0</v>
      </c>
      <c r="G4465">
        <f t="shared" si="914"/>
        <v>0</v>
      </c>
      <c r="H4465">
        <f t="shared" si="915"/>
        <v>0</v>
      </c>
      <c r="I4465">
        <f t="shared" si="916"/>
        <v>0</v>
      </c>
      <c r="J4465">
        <f t="shared" si="917"/>
        <v>0</v>
      </c>
      <c r="K4465" s="4" t="e">
        <f t="shared" si="905"/>
        <v>#N/A</v>
      </c>
      <c r="L4465" t="e">
        <f t="shared" si="906"/>
        <v>#N/A</v>
      </c>
      <c r="M4465" s="4" t="e">
        <f t="shared" si="907"/>
        <v>#N/A</v>
      </c>
      <c r="N4465" s="4" t="e">
        <f t="shared" si="908"/>
        <v>#N/A</v>
      </c>
    </row>
    <row r="4466" spans="1:14">
      <c r="A4466">
        <f t="shared" si="909"/>
        <v>0</v>
      </c>
      <c r="B4466">
        <f t="shared" si="910"/>
        <v>0</v>
      </c>
      <c r="C4466">
        <f t="shared" si="911"/>
        <v>0</v>
      </c>
      <c r="D4466">
        <f t="shared" si="912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3"/>
        <v>0</v>
      </c>
      <c r="G4466">
        <f t="shared" si="914"/>
        <v>0</v>
      </c>
      <c r="H4466">
        <f t="shared" si="915"/>
        <v>0</v>
      </c>
      <c r="I4466">
        <f t="shared" si="916"/>
        <v>0</v>
      </c>
      <c r="J4466">
        <f t="shared" si="917"/>
        <v>0</v>
      </c>
      <c r="K4466" s="4" t="e">
        <f t="shared" si="905"/>
        <v>#N/A</v>
      </c>
      <c r="L4466" t="e">
        <f t="shared" si="906"/>
        <v>#N/A</v>
      </c>
      <c r="M4466" s="4" t="e">
        <f t="shared" si="907"/>
        <v>#N/A</v>
      </c>
      <c r="N4466" s="4" t="e">
        <f t="shared" si="908"/>
        <v>#N/A</v>
      </c>
    </row>
    <row r="4467" spans="1:14">
      <c r="A4467">
        <f t="shared" si="909"/>
        <v>0</v>
      </c>
      <c r="B4467">
        <f t="shared" si="910"/>
        <v>0</v>
      </c>
      <c r="C4467">
        <f t="shared" si="911"/>
        <v>0</v>
      </c>
      <c r="D4467">
        <f t="shared" si="912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3"/>
        <v>0</v>
      </c>
      <c r="G4467">
        <f t="shared" si="914"/>
        <v>0</v>
      </c>
      <c r="H4467">
        <f t="shared" si="915"/>
        <v>0</v>
      </c>
      <c r="I4467">
        <f t="shared" si="916"/>
        <v>0</v>
      </c>
      <c r="J4467">
        <f t="shared" si="917"/>
        <v>0</v>
      </c>
      <c r="K4467" s="4" t="e">
        <f t="shared" si="905"/>
        <v>#N/A</v>
      </c>
      <c r="L4467" t="e">
        <f t="shared" si="906"/>
        <v>#N/A</v>
      </c>
      <c r="M4467" s="4" t="e">
        <f t="shared" si="907"/>
        <v>#N/A</v>
      </c>
      <c r="N4467" s="4" t="e">
        <f t="shared" si="908"/>
        <v>#N/A</v>
      </c>
    </row>
    <row r="4468" spans="1:14">
      <c r="A4468">
        <f t="shared" si="909"/>
        <v>0</v>
      </c>
      <c r="B4468">
        <f t="shared" si="910"/>
        <v>0</v>
      </c>
      <c r="C4468">
        <f t="shared" si="911"/>
        <v>0</v>
      </c>
      <c r="D4468">
        <f t="shared" si="912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3"/>
        <v>0</v>
      </c>
      <c r="G4468">
        <f t="shared" si="914"/>
        <v>0</v>
      </c>
      <c r="H4468">
        <f t="shared" si="915"/>
        <v>0</v>
      </c>
      <c r="I4468">
        <f t="shared" si="916"/>
        <v>0</v>
      </c>
      <c r="J4468">
        <f t="shared" si="917"/>
        <v>0</v>
      </c>
      <c r="K4468" s="4" t="e">
        <f t="shared" si="905"/>
        <v>#N/A</v>
      </c>
      <c r="L4468" t="e">
        <f t="shared" si="906"/>
        <v>#N/A</v>
      </c>
      <c r="M4468" s="4" t="e">
        <f t="shared" si="907"/>
        <v>#N/A</v>
      </c>
      <c r="N4468" s="4" t="e">
        <f t="shared" si="908"/>
        <v>#N/A</v>
      </c>
    </row>
    <row r="4469" spans="1:14">
      <c r="A4469">
        <f t="shared" si="909"/>
        <v>0</v>
      </c>
      <c r="B4469">
        <f t="shared" si="910"/>
        <v>0</v>
      </c>
      <c r="C4469">
        <f t="shared" si="911"/>
        <v>0</v>
      </c>
      <c r="D4469">
        <f t="shared" si="912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3"/>
        <v>0</v>
      </c>
      <c r="G4469">
        <f t="shared" si="914"/>
        <v>0</v>
      </c>
      <c r="H4469">
        <f t="shared" si="915"/>
        <v>0</v>
      </c>
      <c r="I4469">
        <f t="shared" si="916"/>
        <v>0</v>
      </c>
      <c r="J4469">
        <f t="shared" si="917"/>
        <v>0</v>
      </c>
      <c r="K4469" s="4" t="e">
        <f t="shared" si="905"/>
        <v>#N/A</v>
      </c>
      <c r="L4469" t="e">
        <f t="shared" si="906"/>
        <v>#N/A</v>
      </c>
      <c r="M4469" s="4" t="e">
        <f t="shared" si="907"/>
        <v>#N/A</v>
      </c>
      <c r="N4469" s="4" t="e">
        <f t="shared" si="908"/>
        <v>#N/A</v>
      </c>
    </row>
    <row r="4470" spans="1:14">
      <c r="A4470">
        <f t="shared" si="909"/>
        <v>0</v>
      </c>
      <c r="B4470">
        <f t="shared" si="910"/>
        <v>0</v>
      </c>
      <c r="C4470">
        <f t="shared" si="911"/>
        <v>0</v>
      </c>
      <c r="D4470">
        <f t="shared" si="912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3"/>
        <v>0</v>
      </c>
      <c r="G4470">
        <f t="shared" si="914"/>
        <v>0</v>
      </c>
      <c r="H4470">
        <f t="shared" si="915"/>
        <v>0</v>
      </c>
      <c r="I4470">
        <f t="shared" si="916"/>
        <v>0</v>
      </c>
      <c r="J4470">
        <f t="shared" si="917"/>
        <v>0</v>
      </c>
      <c r="K4470" s="4" t="e">
        <f t="shared" si="905"/>
        <v>#N/A</v>
      </c>
      <c r="L4470" t="e">
        <f t="shared" si="906"/>
        <v>#N/A</v>
      </c>
      <c r="M4470" s="4" t="e">
        <f t="shared" si="907"/>
        <v>#N/A</v>
      </c>
      <c r="N4470" s="4" t="e">
        <f t="shared" si="908"/>
        <v>#N/A</v>
      </c>
    </row>
    <row r="4471" spans="1:14">
      <c r="A4471">
        <f t="shared" si="909"/>
        <v>0</v>
      </c>
      <c r="B4471">
        <f t="shared" si="910"/>
        <v>0</v>
      </c>
      <c r="C4471">
        <f t="shared" si="911"/>
        <v>0</v>
      </c>
      <c r="D4471">
        <f t="shared" si="912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3"/>
        <v>0</v>
      </c>
      <c r="G4471">
        <f t="shared" si="914"/>
        <v>0</v>
      </c>
      <c r="H4471">
        <f t="shared" si="915"/>
        <v>0</v>
      </c>
      <c r="I4471">
        <f t="shared" si="916"/>
        <v>0</v>
      </c>
      <c r="J4471">
        <f t="shared" si="917"/>
        <v>0</v>
      </c>
      <c r="K4471" s="4" t="e">
        <f t="shared" si="905"/>
        <v>#N/A</v>
      </c>
      <c r="L4471" t="e">
        <f t="shared" si="906"/>
        <v>#N/A</v>
      </c>
      <c r="M4471" s="4" t="e">
        <f t="shared" si="907"/>
        <v>#N/A</v>
      </c>
      <c r="N4471" s="4" t="e">
        <f t="shared" si="908"/>
        <v>#N/A</v>
      </c>
    </row>
    <row r="4472" spans="1:14">
      <c r="A4472">
        <f t="shared" si="909"/>
        <v>0</v>
      </c>
      <c r="B4472">
        <f t="shared" si="910"/>
        <v>0</v>
      </c>
      <c r="C4472">
        <f t="shared" si="911"/>
        <v>0</v>
      </c>
      <c r="D4472">
        <f t="shared" si="912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3"/>
        <v>0</v>
      </c>
      <c r="G4472">
        <f t="shared" si="914"/>
        <v>0</v>
      </c>
      <c r="H4472">
        <f t="shared" si="915"/>
        <v>0</v>
      </c>
      <c r="I4472">
        <f t="shared" si="916"/>
        <v>0</v>
      </c>
      <c r="J4472">
        <f t="shared" si="917"/>
        <v>0</v>
      </c>
      <c r="K4472" s="4" t="e">
        <f t="shared" si="905"/>
        <v>#N/A</v>
      </c>
      <c r="L4472" t="e">
        <f t="shared" si="906"/>
        <v>#N/A</v>
      </c>
      <c r="M4472" s="4" t="e">
        <f t="shared" si="907"/>
        <v>#N/A</v>
      </c>
      <c r="N4472" s="4" t="e">
        <f t="shared" si="908"/>
        <v>#N/A</v>
      </c>
    </row>
    <row r="4473" spans="1:14">
      <c r="A4473">
        <f t="shared" si="909"/>
        <v>0</v>
      </c>
      <c r="B4473">
        <f t="shared" si="910"/>
        <v>0</v>
      </c>
      <c r="C4473">
        <f t="shared" si="911"/>
        <v>0</v>
      </c>
      <c r="D4473">
        <f t="shared" si="912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3"/>
        <v>0</v>
      </c>
      <c r="G4473">
        <f t="shared" si="914"/>
        <v>0</v>
      </c>
      <c r="H4473">
        <f t="shared" si="915"/>
        <v>0</v>
      </c>
      <c r="I4473">
        <f t="shared" si="916"/>
        <v>0</v>
      </c>
      <c r="J4473">
        <f t="shared" si="917"/>
        <v>0</v>
      </c>
      <c r="K4473" s="4" t="e">
        <f t="shared" si="905"/>
        <v>#N/A</v>
      </c>
      <c r="L4473" t="e">
        <f t="shared" si="906"/>
        <v>#N/A</v>
      </c>
      <c r="M4473" s="4" t="e">
        <f t="shared" si="907"/>
        <v>#N/A</v>
      </c>
      <c r="N4473" s="4" t="e">
        <f t="shared" si="908"/>
        <v>#N/A</v>
      </c>
    </row>
    <row r="4474" spans="1:14">
      <c r="A4474">
        <f t="shared" si="909"/>
        <v>0</v>
      </c>
      <c r="B4474">
        <f t="shared" si="910"/>
        <v>0</v>
      </c>
      <c r="C4474">
        <f t="shared" si="911"/>
        <v>0</v>
      </c>
      <c r="D4474">
        <f t="shared" si="912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3"/>
        <v>0</v>
      </c>
      <c r="G4474">
        <f t="shared" si="914"/>
        <v>0</v>
      </c>
      <c r="H4474">
        <f t="shared" si="915"/>
        <v>0</v>
      </c>
      <c r="I4474">
        <f t="shared" si="916"/>
        <v>0</v>
      </c>
      <c r="J4474">
        <f t="shared" si="917"/>
        <v>0</v>
      </c>
      <c r="K4474" s="4" t="e">
        <f t="shared" si="905"/>
        <v>#N/A</v>
      </c>
      <c r="L4474" t="e">
        <f t="shared" si="906"/>
        <v>#N/A</v>
      </c>
      <c r="M4474" s="4" t="e">
        <f t="shared" si="907"/>
        <v>#N/A</v>
      </c>
      <c r="N4474" s="4" t="e">
        <f t="shared" si="908"/>
        <v>#N/A</v>
      </c>
    </row>
    <row r="4475" spans="1:14">
      <c r="A4475">
        <f t="shared" si="909"/>
        <v>0</v>
      </c>
      <c r="B4475">
        <f t="shared" si="910"/>
        <v>0</v>
      </c>
      <c r="C4475">
        <f t="shared" si="911"/>
        <v>0</v>
      </c>
      <c r="D4475">
        <f t="shared" si="912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3"/>
        <v>0</v>
      </c>
      <c r="G4475">
        <f t="shared" si="914"/>
        <v>0</v>
      </c>
      <c r="H4475">
        <f t="shared" si="915"/>
        <v>0</v>
      </c>
      <c r="I4475">
        <f t="shared" si="916"/>
        <v>0</v>
      </c>
      <c r="J4475">
        <f t="shared" si="917"/>
        <v>0</v>
      </c>
      <c r="K4475" s="4" t="e">
        <f t="shared" si="905"/>
        <v>#N/A</v>
      </c>
      <c r="L4475" t="e">
        <f t="shared" si="906"/>
        <v>#N/A</v>
      </c>
      <c r="M4475" s="4" t="e">
        <f t="shared" si="907"/>
        <v>#N/A</v>
      </c>
      <c r="N4475" s="4" t="e">
        <f t="shared" si="908"/>
        <v>#N/A</v>
      </c>
    </row>
    <row r="4476" spans="1:14">
      <c r="A4476">
        <f t="shared" si="909"/>
        <v>0</v>
      </c>
      <c r="B4476">
        <f t="shared" si="910"/>
        <v>0</v>
      </c>
      <c r="C4476">
        <f t="shared" si="911"/>
        <v>0</v>
      </c>
      <c r="D4476">
        <f t="shared" si="912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3"/>
        <v>0</v>
      </c>
      <c r="G4476">
        <f t="shared" si="914"/>
        <v>0</v>
      </c>
      <c r="H4476">
        <f t="shared" si="915"/>
        <v>0</v>
      </c>
      <c r="I4476">
        <f t="shared" si="916"/>
        <v>0</v>
      </c>
      <c r="J4476">
        <f t="shared" si="917"/>
        <v>0</v>
      </c>
      <c r="K4476" s="4" t="e">
        <f t="shared" si="905"/>
        <v>#N/A</v>
      </c>
      <c r="L4476" t="e">
        <f t="shared" si="906"/>
        <v>#N/A</v>
      </c>
      <c r="M4476" s="4" t="e">
        <f t="shared" si="907"/>
        <v>#N/A</v>
      </c>
      <c r="N4476" s="4" t="e">
        <f t="shared" si="908"/>
        <v>#N/A</v>
      </c>
    </row>
    <row r="4477" spans="1:14">
      <c r="A4477">
        <f t="shared" si="909"/>
        <v>0</v>
      </c>
      <c r="B4477">
        <f t="shared" si="910"/>
        <v>0</v>
      </c>
      <c r="C4477">
        <f t="shared" si="911"/>
        <v>0</v>
      </c>
      <c r="D4477">
        <f t="shared" si="912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3"/>
        <v>0</v>
      </c>
      <c r="G4477">
        <f t="shared" si="914"/>
        <v>0</v>
      </c>
      <c r="H4477">
        <f t="shared" si="915"/>
        <v>0</v>
      </c>
      <c r="I4477">
        <f t="shared" si="916"/>
        <v>0</v>
      </c>
      <c r="J4477">
        <f t="shared" si="917"/>
        <v>0</v>
      </c>
      <c r="K4477" s="4" t="e">
        <f t="shared" ref="K4477:K4540" si="918">IF(LEFT(B4477,3)="DBM",0,VLOOKUP(E4477,tabela,2,FALSE))</f>
        <v>#N/A</v>
      </c>
      <c r="L4477" t="e">
        <f t="shared" ref="L4477:L4540" si="919">VLOOKUP(E4477,tabela,3,FALSE)</f>
        <v>#N/A</v>
      </c>
      <c r="M4477" s="4" t="e">
        <f t="shared" ref="M4477:M4540" si="920">IF(E4477="Dynamic Click",J4477*K4477,K4477*$I4477/1000)</f>
        <v>#N/A</v>
      </c>
      <c r="N4477" s="4" t="e">
        <f t="shared" ref="N4477:N4540" si="921">IF(E4477="Dynamic Click",J4477*L4477,L4477*$I4477/1000)</f>
        <v>#N/A</v>
      </c>
    </row>
    <row r="4478" spans="1:14">
      <c r="A4478">
        <f t="shared" si="909"/>
        <v>0</v>
      </c>
      <c r="B4478">
        <f t="shared" si="910"/>
        <v>0</v>
      </c>
      <c r="C4478">
        <f t="shared" si="911"/>
        <v>0</v>
      </c>
      <c r="D4478">
        <f t="shared" si="912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3"/>
        <v>0</v>
      </c>
      <c r="G4478">
        <f t="shared" si="914"/>
        <v>0</v>
      </c>
      <c r="H4478">
        <f t="shared" si="915"/>
        <v>0</v>
      </c>
      <c r="I4478">
        <f t="shared" si="916"/>
        <v>0</v>
      </c>
      <c r="J4478">
        <f t="shared" si="917"/>
        <v>0</v>
      </c>
      <c r="K4478" s="4" t="e">
        <f t="shared" si="918"/>
        <v>#N/A</v>
      </c>
      <c r="L4478" t="e">
        <f t="shared" si="919"/>
        <v>#N/A</v>
      </c>
      <c r="M4478" s="4" t="e">
        <f t="shared" si="920"/>
        <v>#N/A</v>
      </c>
      <c r="N4478" s="4" t="e">
        <f t="shared" si="921"/>
        <v>#N/A</v>
      </c>
    </row>
    <row r="4479" spans="1:14">
      <c r="A4479">
        <f t="shared" si="909"/>
        <v>0</v>
      </c>
      <c r="B4479">
        <f t="shared" si="910"/>
        <v>0</v>
      </c>
      <c r="C4479">
        <f t="shared" si="911"/>
        <v>0</v>
      </c>
      <c r="D4479">
        <f t="shared" si="912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3"/>
        <v>0</v>
      </c>
      <c r="G4479">
        <f t="shared" si="914"/>
        <v>0</v>
      </c>
      <c r="H4479">
        <f t="shared" si="915"/>
        <v>0</v>
      </c>
      <c r="I4479">
        <f t="shared" si="916"/>
        <v>0</v>
      </c>
      <c r="J4479">
        <f t="shared" si="917"/>
        <v>0</v>
      </c>
      <c r="K4479" s="4" t="e">
        <f t="shared" si="918"/>
        <v>#N/A</v>
      </c>
      <c r="L4479" t="e">
        <f t="shared" si="919"/>
        <v>#N/A</v>
      </c>
      <c r="M4479" s="4" t="e">
        <f t="shared" si="920"/>
        <v>#N/A</v>
      </c>
      <c r="N4479" s="4" t="e">
        <f t="shared" si="921"/>
        <v>#N/A</v>
      </c>
    </row>
    <row r="4480" spans="1:14">
      <c r="A4480">
        <f t="shared" si="909"/>
        <v>0</v>
      </c>
      <c r="B4480">
        <f t="shared" si="910"/>
        <v>0</v>
      </c>
      <c r="C4480">
        <f t="shared" si="911"/>
        <v>0</v>
      </c>
      <c r="D4480">
        <f t="shared" si="912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3"/>
        <v>0</v>
      </c>
      <c r="G4480">
        <f t="shared" si="914"/>
        <v>0</v>
      </c>
      <c r="H4480">
        <f t="shared" si="915"/>
        <v>0</v>
      </c>
      <c r="I4480">
        <f t="shared" si="916"/>
        <v>0</v>
      </c>
      <c r="J4480">
        <f t="shared" si="917"/>
        <v>0</v>
      </c>
      <c r="K4480" s="4" t="e">
        <f t="shared" si="918"/>
        <v>#N/A</v>
      </c>
      <c r="L4480" t="e">
        <f t="shared" si="919"/>
        <v>#N/A</v>
      </c>
      <c r="M4480" s="4" t="e">
        <f t="shared" si="920"/>
        <v>#N/A</v>
      </c>
      <c r="N4480" s="4" t="e">
        <f t="shared" si="921"/>
        <v>#N/A</v>
      </c>
    </row>
    <row r="4481" spans="1:14">
      <c r="A4481">
        <f t="shared" si="909"/>
        <v>0</v>
      </c>
      <c r="B4481">
        <f t="shared" si="910"/>
        <v>0</v>
      </c>
      <c r="C4481">
        <f t="shared" si="911"/>
        <v>0</v>
      </c>
      <c r="D4481">
        <f t="shared" si="912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3"/>
        <v>0</v>
      </c>
      <c r="G4481">
        <f t="shared" si="914"/>
        <v>0</v>
      </c>
      <c r="H4481">
        <f t="shared" si="915"/>
        <v>0</v>
      </c>
      <c r="I4481">
        <f t="shared" si="916"/>
        <v>0</v>
      </c>
      <c r="J4481">
        <f t="shared" si="917"/>
        <v>0</v>
      </c>
      <c r="K4481" s="4" t="e">
        <f t="shared" si="918"/>
        <v>#N/A</v>
      </c>
      <c r="L4481" t="e">
        <f t="shared" si="919"/>
        <v>#N/A</v>
      </c>
      <c r="M4481" s="4" t="e">
        <f t="shared" si="920"/>
        <v>#N/A</v>
      </c>
      <c r="N4481" s="4" t="e">
        <f t="shared" si="921"/>
        <v>#N/A</v>
      </c>
    </row>
    <row r="4482" spans="1:14">
      <c r="A4482">
        <f t="shared" ref="A4482:A4545" si="922">bd_campaign</f>
        <v>0</v>
      </c>
      <c r="B4482">
        <f t="shared" ref="B4482:B4545" si="923">bd_site</f>
        <v>0</v>
      </c>
      <c r="C4482">
        <f t="shared" ref="C4482:C4545" si="924">bd_placement</f>
        <v>0</v>
      </c>
      <c r="D4482">
        <f t="shared" ref="D4482:D4545" si="925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6">bd_ad</f>
        <v>0</v>
      </c>
      <c r="G4482">
        <f t="shared" ref="G4482:G4545" si="927">bd_adid</f>
        <v>0</v>
      </c>
      <c r="H4482">
        <f t="shared" ref="H4482:H4545" si="928">bd_creativetype</f>
        <v>0</v>
      </c>
      <c r="I4482">
        <f t="shared" ref="I4482:I4545" si="929">bd_impression</f>
        <v>0</v>
      </c>
      <c r="J4482">
        <f t="shared" ref="J4482:J4545" si="930">bd_clicks</f>
        <v>0</v>
      </c>
      <c r="K4482" s="4" t="e">
        <f t="shared" si="918"/>
        <v>#N/A</v>
      </c>
      <c r="L4482" t="e">
        <f t="shared" si="919"/>
        <v>#N/A</v>
      </c>
      <c r="M4482" s="4" t="e">
        <f t="shared" si="920"/>
        <v>#N/A</v>
      </c>
      <c r="N4482" s="4" t="e">
        <f t="shared" si="921"/>
        <v>#N/A</v>
      </c>
    </row>
    <row r="4483" spans="1:14">
      <c r="A4483">
        <f t="shared" si="922"/>
        <v>0</v>
      </c>
      <c r="B4483">
        <f t="shared" si="923"/>
        <v>0</v>
      </c>
      <c r="C4483">
        <f t="shared" si="924"/>
        <v>0</v>
      </c>
      <c r="D4483">
        <f t="shared" si="925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6"/>
        <v>0</v>
      </c>
      <c r="G4483">
        <f t="shared" si="927"/>
        <v>0</v>
      </c>
      <c r="H4483">
        <f t="shared" si="928"/>
        <v>0</v>
      </c>
      <c r="I4483">
        <f t="shared" si="929"/>
        <v>0</v>
      </c>
      <c r="J4483">
        <f t="shared" si="930"/>
        <v>0</v>
      </c>
      <c r="K4483" s="4" t="e">
        <f t="shared" si="918"/>
        <v>#N/A</v>
      </c>
      <c r="L4483" t="e">
        <f t="shared" si="919"/>
        <v>#N/A</v>
      </c>
      <c r="M4483" s="4" t="e">
        <f t="shared" si="920"/>
        <v>#N/A</v>
      </c>
      <c r="N4483" s="4" t="e">
        <f t="shared" si="921"/>
        <v>#N/A</v>
      </c>
    </row>
    <row r="4484" spans="1:14">
      <c r="A4484">
        <f t="shared" si="922"/>
        <v>0</v>
      </c>
      <c r="B4484">
        <f t="shared" si="923"/>
        <v>0</v>
      </c>
      <c r="C4484">
        <f t="shared" si="924"/>
        <v>0</v>
      </c>
      <c r="D4484">
        <f t="shared" si="925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6"/>
        <v>0</v>
      </c>
      <c r="G4484">
        <f t="shared" si="927"/>
        <v>0</v>
      </c>
      <c r="H4484">
        <f t="shared" si="928"/>
        <v>0</v>
      </c>
      <c r="I4484">
        <f t="shared" si="929"/>
        <v>0</v>
      </c>
      <c r="J4484">
        <f t="shared" si="930"/>
        <v>0</v>
      </c>
      <c r="K4484" s="4" t="e">
        <f t="shared" si="918"/>
        <v>#N/A</v>
      </c>
      <c r="L4484" t="e">
        <f t="shared" si="919"/>
        <v>#N/A</v>
      </c>
      <c r="M4484" s="4" t="e">
        <f t="shared" si="920"/>
        <v>#N/A</v>
      </c>
      <c r="N4484" s="4" t="e">
        <f t="shared" si="921"/>
        <v>#N/A</v>
      </c>
    </row>
    <row r="4485" spans="1:14">
      <c r="A4485">
        <f t="shared" si="922"/>
        <v>0</v>
      </c>
      <c r="B4485">
        <f t="shared" si="923"/>
        <v>0</v>
      </c>
      <c r="C4485">
        <f t="shared" si="924"/>
        <v>0</v>
      </c>
      <c r="D4485">
        <f t="shared" si="925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6"/>
        <v>0</v>
      </c>
      <c r="G4485">
        <f t="shared" si="927"/>
        <v>0</v>
      </c>
      <c r="H4485">
        <f t="shared" si="928"/>
        <v>0</v>
      </c>
      <c r="I4485">
        <f t="shared" si="929"/>
        <v>0</v>
      </c>
      <c r="J4485">
        <f t="shared" si="930"/>
        <v>0</v>
      </c>
      <c r="K4485" s="4" t="e">
        <f t="shared" si="918"/>
        <v>#N/A</v>
      </c>
      <c r="L4485" t="e">
        <f t="shared" si="919"/>
        <v>#N/A</v>
      </c>
      <c r="M4485" s="4" t="e">
        <f t="shared" si="920"/>
        <v>#N/A</v>
      </c>
      <c r="N4485" s="4" t="e">
        <f t="shared" si="921"/>
        <v>#N/A</v>
      </c>
    </row>
    <row r="4486" spans="1:14">
      <c r="A4486">
        <f t="shared" si="922"/>
        <v>0</v>
      </c>
      <c r="B4486">
        <f t="shared" si="923"/>
        <v>0</v>
      </c>
      <c r="C4486">
        <f t="shared" si="924"/>
        <v>0</v>
      </c>
      <c r="D4486">
        <f t="shared" si="925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6"/>
        <v>0</v>
      </c>
      <c r="G4486">
        <f t="shared" si="927"/>
        <v>0</v>
      </c>
      <c r="H4486">
        <f t="shared" si="928"/>
        <v>0</v>
      </c>
      <c r="I4486">
        <f t="shared" si="929"/>
        <v>0</v>
      </c>
      <c r="J4486">
        <f t="shared" si="930"/>
        <v>0</v>
      </c>
      <c r="K4486" s="4" t="e">
        <f t="shared" si="918"/>
        <v>#N/A</v>
      </c>
      <c r="L4486" t="e">
        <f t="shared" si="919"/>
        <v>#N/A</v>
      </c>
      <c r="M4486" s="4" t="e">
        <f t="shared" si="920"/>
        <v>#N/A</v>
      </c>
      <c r="N4486" s="4" t="e">
        <f t="shared" si="921"/>
        <v>#N/A</v>
      </c>
    </row>
    <row r="4487" spans="1:14">
      <c r="A4487">
        <f t="shared" si="922"/>
        <v>0</v>
      </c>
      <c r="B4487">
        <f t="shared" si="923"/>
        <v>0</v>
      </c>
      <c r="C4487">
        <f t="shared" si="924"/>
        <v>0</v>
      </c>
      <c r="D4487">
        <f t="shared" si="925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6"/>
        <v>0</v>
      </c>
      <c r="G4487">
        <f t="shared" si="927"/>
        <v>0</v>
      </c>
      <c r="H4487">
        <f t="shared" si="928"/>
        <v>0</v>
      </c>
      <c r="I4487">
        <f t="shared" si="929"/>
        <v>0</v>
      </c>
      <c r="J4487">
        <f t="shared" si="930"/>
        <v>0</v>
      </c>
      <c r="K4487" s="4" t="e">
        <f t="shared" si="918"/>
        <v>#N/A</v>
      </c>
      <c r="L4487" t="e">
        <f t="shared" si="919"/>
        <v>#N/A</v>
      </c>
      <c r="M4487" s="4" t="e">
        <f t="shared" si="920"/>
        <v>#N/A</v>
      </c>
      <c r="N4487" s="4" t="e">
        <f t="shared" si="921"/>
        <v>#N/A</v>
      </c>
    </row>
    <row r="4488" spans="1:14">
      <c r="A4488">
        <f t="shared" si="922"/>
        <v>0</v>
      </c>
      <c r="B4488">
        <f t="shared" si="923"/>
        <v>0</v>
      </c>
      <c r="C4488">
        <f t="shared" si="924"/>
        <v>0</v>
      </c>
      <c r="D4488">
        <f t="shared" si="925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6"/>
        <v>0</v>
      </c>
      <c r="G4488">
        <f t="shared" si="927"/>
        <v>0</v>
      </c>
      <c r="H4488">
        <f t="shared" si="928"/>
        <v>0</v>
      </c>
      <c r="I4488">
        <f t="shared" si="929"/>
        <v>0</v>
      </c>
      <c r="J4488">
        <f t="shared" si="930"/>
        <v>0</v>
      </c>
      <c r="K4488" s="4" t="e">
        <f t="shared" si="918"/>
        <v>#N/A</v>
      </c>
      <c r="L4488" t="e">
        <f t="shared" si="919"/>
        <v>#N/A</v>
      </c>
      <c r="M4488" s="4" t="e">
        <f t="shared" si="920"/>
        <v>#N/A</v>
      </c>
      <c r="N4488" s="4" t="e">
        <f t="shared" si="921"/>
        <v>#N/A</v>
      </c>
    </row>
    <row r="4489" spans="1:14">
      <c r="A4489">
        <f t="shared" si="922"/>
        <v>0</v>
      </c>
      <c r="B4489">
        <f t="shared" si="923"/>
        <v>0</v>
      </c>
      <c r="C4489">
        <f t="shared" si="924"/>
        <v>0</v>
      </c>
      <c r="D4489">
        <f t="shared" si="925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6"/>
        <v>0</v>
      </c>
      <c r="G4489">
        <f t="shared" si="927"/>
        <v>0</v>
      </c>
      <c r="H4489">
        <f t="shared" si="928"/>
        <v>0</v>
      </c>
      <c r="I4489">
        <f t="shared" si="929"/>
        <v>0</v>
      </c>
      <c r="J4489">
        <f t="shared" si="930"/>
        <v>0</v>
      </c>
      <c r="K4489" s="4" t="e">
        <f t="shared" si="918"/>
        <v>#N/A</v>
      </c>
      <c r="L4489" t="e">
        <f t="shared" si="919"/>
        <v>#N/A</v>
      </c>
      <c r="M4489" s="4" t="e">
        <f t="shared" si="920"/>
        <v>#N/A</v>
      </c>
      <c r="N4489" s="4" t="e">
        <f t="shared" si="921"/>
        <v>#N/A</v>
      </c>
    </row>
    <row r="4490" spans="1:14">
      <c r="A4490">
        <f t="shared" si="922"/>
        <v>0</v>
      </c>
      <c r="B4490">
        <f t="shared" si="923"/>
        <v>0</v>
      </c>
      <c r="C4490">
        <f t="shared" si="924"/>
        <v>0</v>
      </c>
      <c r="D4490">
        <f t="shared" si="925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6"/>
        <v>0</v>
      </c>
      <c r="G4490">
        <f t="shared" si="927"/>
        <v>0</v>
      </c>
      <c r="H4490">
        <f t="shared" si="928"/>
        <v>0</v>
      </c>
      <c r="I4490">
        <f t="shared" si="929"/>
        <v>0</v>
      </c>
      <c r="J4490">
        <f t="shared" si="930"/>
        <v>0</v>
      </c>
      <c r="K4490" s="4" t="e">
        <f t="shared" si="918"/>
        <v>#N/A</v>
      </c>
      <c r="L4490" t="e">
        <f t="shared" si="919"/>
        <v>#N/A</v>
      </c>
      <c r="M4490" s="4" t="e">
        <f t="shared" si="920"/>
        <v>#N/A</v>
      </c>
      <c r="N4490" s="4" t="e">
        <f t="shared" si="921"/>
        <v>#N/A</v>
      </c>
    </row>
    <row r="4491" spans="1:14">
      <c r="A4491">
        <f t="shared" si="922"/>
        <v>0</v>
      </c>
      <c r="B4491">
        <f t="shared" si="923"/>
        <v>0</v>
      </c>
      <c r="C4491">
        <f t="shared" si="924"/>
        <v>0</v>
      </c>
      <c r="D4491">
        <f t="shared" si="925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6"/>
        <v>0</v>
      </c>
      <c r="G4491">
        <f t="shared" si="927"/>
        <v>0</v>
      </c>
      <c r="H4491">
        <f t="shared" si="928"/>
        <v>0</v>
      </c>
      <c r="I4491">
        <f t="shared" si="929"/>
        <v>0</v>
      </c>
      <c r="J4491">
        <f t="shared" si="930"/>
        <v>0</v>
      </c>
      <c r="K4491" s="4" t="e">
        <f t="shared" si="918"/>
        <v>#N/A</v>
      </c>
      <c r="L4491" t="e">
        <f t="shared" si="919"/>
        <v>#N/A</v>
      </c>
      <c r="M4491" s="4" t="e">
        <f t="shared" si="920"/>
        <v>#N/A</v>
      </c>
      <c r="N4491" s="4" t="e">
        <f t="shared" si="921"/>
        <v>#N/A</v>
      </c>
    </row>
    <row r="4492" spans="1:14">
      <c r="A4492">
        <f t="shared" si="922"/>
        <v>0</v>
      </c>
      <c r="B4492">
        <f t="shared" si="923"/>
        <v>0</v>
      </c>
      <c r="C4492">
        <f t="shared" si="924"/>
        <v>0</v>
      </c>
      <c r="D4492">
        <f t="shared" si="925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6"/>
        <v>0</v>
      </c>
      <c r="G4492">
        <f t="shared" si="927"/>
        <v>0</v>
      </c>
      <c r="H4492">
        <f t="shared" si="928"/>
        <v>0</v>
      </c>
      <c r="I4492">
        <f t="shared" si="929"/>
        <v>0</v>
      </c>
      <c r="J4492">
        <f t="shared" si="930"/>
        <v>0</v>
      </c>
      <c r="K4492" s="4" t="e">
        <f t="shared" si="918"/>
        <v>#N/A</v>
      </c>
      <c r="L4492" t="e">
        <f t="shared" si="919"/>
        <v>#N/A</v>
      </c>
      <c r="M4492" s="4" t="e">
        <f t="shared" si="920"/>
        <v>#N/A</v>
      </c>
      <c r="N4492" s="4" t="e">
        <f t="shared" si="921"/>
        <v>#N/A</v>
      </c>
    </row>
    <row r="4493" spans="1:14">
      <c r="A4493">
        <f t="shared" si="922"/>
        <v>0</v>
      </c>
      <c r="B4493">
        <f t="shared" si="923"/>
        <v>0</v>
      </c>
      <c r="C4493">
        <f t="shared" si="924"/>
        <v>0</v>
      </c>
      <c r="D4493">
        <f t="shared" si="925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6"/>
        <v>0</v>
      </c>
      <c r="G4493">
        <f t="shared" si="927"/>
        <v>0</v>
      </c>
      <c r="H4493">
        <f t="shared" si="928"/>
        <v>0</v>
      </c>
      <c r="I4493">
        <f t="shared" si="929"/>
        <v>0</v>
      </c>
      <c r="J4493">
        <f t="shared" si="930"/>
        <v>0</v>
      </c>
      <c r="K4493" s="4" t="e">
        <f t="shared" si="918"/>
        <v>#N/A</v>
      </c>
      <c r="L4493" t="e">
        <f t="shared" si="919"/>
        <v>#N/A</v>
      </c>
      <c r="M4493" s="4" t="e">
        <f t="shared" si="920"/>
        <v>#N/A</v>
      </c>
      <c r="N4493" s="4" t="e">
        <f t="shared" si="921"/>
        <v>#N/A</v>
      </c>
    </row>
    <row r="4494" spans="1:14">
      <c r="A4494">
        <f t="shared" si="922"/>
        <v>0</v>
      </c>
      <c r="B4494">
        <f t="shared" si="923"/>
        <v>0</v>
      </c>
      <c r="C4494">
        <f t="shared" si="924"/>
        <v>0</v>
      </c>
      <c r="D4494">
        <f t="shared" si="925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6"/>
        <v>0</v>
      </c>
      <c r="G4494">
        <f t="shared" si="927"/>
        <v>0</v>
      </c>
      <c r="H4494">
        <f t="shared" si="928"/>
        <v>0</v>
      </c>
      <c r="I4494">
        <f t="shared" si="929"/>
        <v>0</v>
      </c>
      <c r="J4494">
        <f t="shared" si="930"/>
        <v>0</v>
      </c>
      <c r="K4494" s="4" t="e">
        <f t="shared" si="918"/>
        <v>#N/A</v>
      </c>
      <c r="L4494" t="e">
        <f t="shared" si="919"/>
        <v>#N/A</v>
      </c>
      <c r="M4494" s="4" t="e">
        <f t="shared" si="920"/>
        <v>#N/A</v>
      </c>
      <c r="N4494" s="4" t="e">
        <f t="shared" si="921"/>
        <v>#N/A</v>
      </c>
    </row>
    <row r="4495" spans="1:14">
      <c r="A4495">
        <f t="shared" si="922"/>
        <v>0</v>
      </c>
      <c r="B4495">
        <f t="shared" si="923"/>
        <v>0</v>
      </c>
      <c r="C4495">
        <f t="shared" si="924"/>
        <v>0</v>
      </c>
      <c r="D4495">
        <f t="shared" si="925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6"/>
        <v>0</v>
      </c>
      <c r="G4495">
        <f t="shared" si="927"/>
        <v>0</v>
      </c>
      <c r="H4495">
        <f t="shared" si="928"/>
        <v>0</v>
      </c>
      <c r="I4495">
        <f t="shared" si="929"/>
        <v>0</v>
      </c>
      <c r="J4495">
        <f t="shared" si="930"/>
        <v>0</v>
      </c>
      <c r="K4495" s="4" t="e">
        <f t="shared" si="918"/>
        <v>#N/A</v>
      </c>
      <c r="L4495" t="e">
        <f t="shared" si="919"/>
        <v>#N/A</v>
      </c>
      <c r="M4495" s="4" t="e">
        <f t="shared" si="920"/>
        <v>#N/A</v>
      </c>
      <c r="N4495" s="4" t="e">
        <f t="shared" si="921"/>
        <v>#N/A</v>
      </c>
    </row>
    <row r="4496" spans="1:14">
      <c r="A4496">
        <f t="shared" si="922"/>
        <v>0</v>
      </c>
      <c r="B4496">
        <f t="shared" si="923"/>
        <v>0</v>
      </c>
      <c r="C4496">
        <f t="shared" si="924"/>
        <v>0</v>
      </c>
      <c r="D4496">
        <f t="shared" si="925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6"/>
        <v>0</v>
      </c>
      <c r="G4496">
        <f t="shared" si="927"/>
        <v>0</v>
      </c>
      <c r="H4496">
        <f t="shared" si="928"/>
        <v>0</v>
      </c>
      <c r="I4496">
        <f t="shared" si="929"/>
        <v>0</v>
      </c>
      <c r="J4496">
        <f t="shared" si="930"/>
        <v>0</v>
      </c>
      <c r="K4496" s="4" t="e">
        <f t="shared" si="918"/>
        <v>#N/A</v>
      </c>
      <c r="L4496" t="e">
        <f t="shared" si="919"/>
        <v>#N/A</v>
      </c>
      <c r="M4496" s="4" t="e">
        <f t="shared" si="920"/>
        <v>#N/A</v>
      </c>
      <c r="N4496" s="4" t="e">
        <f t="shared" si="921"/>
        <v>#N/A</v>
      </c>
    </row>
    <row r="4497" spans="1:14">
      <c r="A4497">
        <f t="shared" si="922"/>
        <v>0</v>
      </c>
      <c r="B4497">
        <f t="shared" si="923"/>
        <v>0</v>
      </c>
      <c r="C4497">
        <f t="shared" si="924"/>
        <v>0</v>
      </c>
      <c r="D4497">
        <f t="shared" si="925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6"/>
        <v>0</v>
      </c>
      <c r="G4497">
        <f t="shared" si="927"/>
        <v>0</v>
      </c>
      <c r="H4497">
        <f t="shared" si="928"/>
        <v>0</v>
      </c>
      <c r="I4497">
        <f t="shared" si="929"/>
        <v>0</v>
      </c>
      <c r="J4497">
        <f t="shared" si="930"/>
        <v>0</v>
      </c>
      <c r="K4497" s="4" t="e">
        <f t="shared" si="918"/>
        <v>#N/A</v>
      </c>
      <c r="L4497" t="e">
        <f t="shared" si="919"/>
        <v>#N/A</v>
      </c>
      <c r="M4497" s="4" t="e">
        <f t="shared" si="920"/>
        <v>#N/A</v>
      </c>
      <c r="N4497" s="4" t="e">
        <f t="shared" si="921"/>
        <v>#N/A</v>
      </c>
    </row>
    <row r="4498" spans="1:14">
      <c r="A4498">
        <f t="shared" si="922"/>
        <v>0</v>
      </c>
      <c r="B4498">
        <f t="shared" si="923"/>
        <v>0</v>
      </c>
      <c r="C4498">
        <f t="shared" si="924"/>
        <v>0</v>
      </c>
      <c r="D4498">
        <f t="shared" si="925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6"/>
        <v>0</v>
      </c>
      <c r="G4498">
        <f t="shared" si="927"/>
        <v>0</v>
      </c>
      <c r="H4498">
        <f t="shared" si="928"/>
        <v>0</v>
      </c>
      <c r="I4498">
        <f t="shared" si="929"/>
        <v>0</v>
      </c>
      <c r="J4498">
        <f t="shared" si="930"/>
        <v>0</v>
      </c>
      <c r="K4498" s="4" t="e">
        <f t="shared" si="918"/>
        <v>#N/A</v>
      </c>
      <c r="L4498" t="e">
        <f t="shared" si="919"/>
        <v>#N/A</v>
      </c>
      <c r="M4498" s="4" t="e">
        <f t="shared" si="920"/>
        <v>#N/A</v>
      </c>
      <c r="N4498" s="4" t="e">
        <f t="shared" si="921"/>
        <v>#N/A</v>
      </c>
    </row>
    <row r="4499" spans="1:14">
      <c r="A4499">
        <f t="shared" si="922"/>
        <v>0</v>
      </c>
      <c r="B4499">
        <f t="shared" si="923"/>
        <v>0</v>
      </c>
      <c r="C4499">
        <f t="shared" si="924"/>
        <v>0</v>
      </c>
      <c r="D4499">
        <f t="shared" si="925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6"/>
        <v>0</v>
      </c>
      <c r="G4499">
        <f t="shared" si="927"/>
        <v>0</v>
      </c>
      <c r="H4499">
        <f t="shared" si="928"/>
        <v>0</v>
      </c>
      <c r="I4499">
        <f t="shared" si="929"/>
        <v>0</v>
      </c>
      <c r="J4499">
        <f t="shared" si="930"/>
        <v>0</v>
      </c>
      <c r="K4499" s="4" t="e">
        <f t="shared" si="918"/>
        <v>#N/A</v>
      </c>
      <c r="L4499" t="e">
        <f t="shared" si="919"/>
        <v>#N/A</v>
      </c>
      <c r="M4499" s="4" t="e">
        <f t="shared" si="920"/>
        <v>#N/A</v>
      </c>
      <c r="N4499" s="4" t="e">
        <f t="shared" si="921"/>
        <v>#N/A</v>
      </c>
    </row>
    <row r="4500" spans="1:14">
      <c r="A4500">
        <f t="shared" si="922"/>
        <v>0</v>
      </c>
      <c r="B4500">
        <f t="shared" si="923"/>
        <v>0</v>
      </c>
      <c r="C4500">
        <f t="shared" si="924"/>
        <v>0</v>
      </c>
      <c r="D4500">
        <f t="shared" si="925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6"/>
        <v>0</v>
      </c>
      <c r="G4500">
        <f t="shared" si="927"/>
        <v>0</v>
      </c>
      <c r="H4500">
        <f t="shared" si="928"/>
        <v>0</v>
      </c>
      <c r="I4500">
        <f t="shared" si="929"/>
        <v>0</v>
      </c>
      <c r="J4500">
        <f t="shared" si="930"/>
        <v>0</v>
      </c>
      <c r="K4500" s="4" t="e">
        <f t="shared" si="918"/>
        <v>#N/A</v>
      </c>
      <c r="L4500" t="e">
        <f t="shared" si="919"/>
        <v>#N/A</v>
      </c>
      <c r="M4500" s="4" t="e">
        <f t="shared" si="920"/>
        <v>#N/A</v>
      </c>
      <c r="N4500" s="4" t="e">
        <f t="shared" si="921"/>
        <v>#N/A</v>
      </c>
    </row>
    <row r="4501" spans="1:14">
      <c r="A4501">
        <f t="shared" si="922"/>
        <v>0</v>
      </c>
      <c r="B4501">
        <f t="shared" si="923"/>
        <v>0</v>
      </c>
      <c r="C4501">
        <f t="shared" si="924"/>
        <v>0</v>
      </c>
      <c r="D4501">
        <f t="shared" si="925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6"/>
        <v>0</v>
      </c>
      <c r="G4501">
        <f t="shared" si="927"/>
        <v>0</v>
      </c>
      <c r="H4501">
        <f t="shared" si="928"/>
        <v>0</v>
      </c>
      <c r="I4501">
        <f t="shared" si="929"/>
        <v>0</v>
      </c>
      <c r="J4501">
        <f t="shared" si="930"/>
        <v>0</v>
      </c>
      <c r="K4501" s="4" t="e">
        <f t="shared" si="918"/>
        <v>#N/A</v>
      </c>
      <c r="L4501" t="e">
        <f t="shared" si="919"/>
        <v>#N/A</v>
      </c>
      <c r="M4501" s="4" t="e">
        <f t="shared" si="920"/>
        <v>#N/A</v>
      </c>
      <c r="N4501" s="4" t="e">
        <f t="shared" si="921"/>
        <v>#N/A</v>
      </c>
    </row>
    <row r="4502" spans="1:14">
      <c r="A4502">
        <f t="shared" si="922"/>
        <v>0</v>
      </c>
      <c r="B4502">
        <f t="shared" si="923"/>
        <v>0</v>
      </c>
      <c r="C4502">
        <f t="shared" si="924"/>
        <v>0</v>
      </c>
      <c r="D4502">
        <f t="shared" si="925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6"/>
        <v>0</v>
      </c>
      <c r="G4502">
        <f t="shared" si="927"/>
        <v>0</v>
      </c>
      <c r="H4502">
        <f t="shared" si="928"/>
        <v>0</v>
      </c>
      <c r="I4502">
        <f t="shared" si="929"/>
        <v>0</v>
      </c>
      <c r="J4502">
        <f t="shared" si="930"/>
        <v>0</v>
      </c>
      <c r="K4502" s="4" t="e">
        <f t="shared" si="918"/>
        <v>#N/A</v>
      </c>
      <c r="L4502" t="e">
        <f t="shared" si="919"/>
        <v>#N/A</v>
      </c>
      <c r="M4502" s="4" t="e">
        <f t="shared" si="920"/>
        <v>#N/A</v>
      </c>
      <c r="N4502" s="4" t="e">
        <f t="shared" si="921"/>
        <v>#N/A</v>
      </c>
    </row>
    <row r="4503" spans="1:14">
      <c r="A4503">
        <f t="shared" si="922"/>
        <v>0</v>
      </c>
      <c r="B4503">
        <f t="shared" si="923"/>
        <v>0</v>
      </c>
      <c r="C4503">
        <f t="shared" si="924"/>
        <v>0</v>
      </c>
      <c r="D4503">
        <f t="shared" si="925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6"/>
        <v>0</v>
      </c>
      <c r="G4503">
        <f t="shared" si="927"/>
        <v>0</v>
      </c>
      <c r="H4503">
        <f t="shared" si="928"/>
        <v>0</v>
      </c>
      <c r="I4503">
        <f t="shared" si="929"/>
        <v>0</v>
      </c>
      <c r="J4503">
        <f t="shared" si="930"/>
        <v>0</v>
      </c>
      <c r="K4503" s="4" t="e">
        <f t="shared" si="918"/>
        <v>#N/A</v>
      </c>
      <c r="L4503" t="e">
        <f t="shared" si="919"/>
        <v>#N/A</v>
      </c>
      <c r="M4503" s="4" t="e">
        <f t="shared" si="920"/>
        <v>#N/A</v>
      </c>
      <c r="N4503" s="4" t="e">
        <f t="shared" si="921"/>
        <v>#N/A</v>
      </c>
    </row>
    <row r="4504" spans="1:14">
      <c r="A4504">
        <f t="shared" si="922"/>
        <v>0</v>
      </c>
      <c r="B4504">
        <f t="shared" si="923"/>
        <v>0</v>
      </c>
      <c r="C4504">
        <f t="shared" si="924"/>
        <v>0</v>
      </c>
      <c r="D4504">
        <f t="shared" si="925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6"/>
        <v>0</v>
      </c>
      <c r="G4504">
        <f t="shared" si="927"/>
        <v>0</v>
      </c>
      <c r="H4504">
        <f t="shared" si="928"/>
        <v>0</v>
      </c>
      <c r="I4504">
        <f t="shared" si="929"/>
        <v>0</v>
      </c>
      <c r="J4504">
        <f t="shared" si="930"/>
        <v>0</v>
      </c>
      <c r="K4504" s="4" t="e">
        <f t="shared" si="918"/>
        <v>#N/A</v>
      </c>
      <c r="L4504" t="e">
        <f t="shared" si="919"/>
        <v>#N/A</v>
      </c>
      <c r="M4504" s="4" t="e">
        <f t="shared" si="920"/>
        <v>#N/A</v>
      </c>
      <c r="N4504" s="4" t="e">
        <f t="shared" si="921"/>
        <v>#N/A</v>
      </c>
    </row>
    <row r="4505" spans="1:14">
      <c r="A4505">
        <f t="shared" si="922"/>
        <v>0</v>
      </c>
      <c r="B4505">
        <f t="shared" si="923"/>
        <v>0</v>
      </c>
      <c r="C4505">
        <f t="shared" si="924"/>
        <v>0</v>
      </c>
      <c r="D4505">
        <f t="shared" si="925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6"/>
        <v>0</v>
      </c>
      <c r="G4505">
        <f t="shared" si="927"/>
        <v>0</v>
      </c>
      <c r="H4505">
        <f t="shared" si="928"/>
        <v>0</v>
      </c>
      <c r="I4505">
        <f t="shared" si="929"/>
        <v>0</v>
      </c>
      <c r="J4505">
        <f t="shared" si="930"/>
        <v>0</v>
      </c>
      <c r="K4505" s="4" t="e">
        <f t="shared" si="918"/>
        <v>#N/A</v>
      </c>
      <c r="L4505" t="e">
        <f t="shared" si="919"/>
        <v>#N/A</v>
      </c>
      <c r="M4505" s="4" t="e">
        <f t="shared" si="920"/>
        <v>#N/A</v>
      </c>
      <c r="N4505" s="4" t="e">
        <f t="shared" si="921"/>
        <v>#N/A</v>
      </c>
    </row>
    <row r="4506" spans="1:14">
      <c r="A4506">
        <f t="shared" si="922"/>
        <v>0</v>
      </c>
      <c r="B4506">
        <f t="shared" si="923"/>
        <v>0</v>
      </c>
      <c r="C4506">
        <f t="shared" si="924"/>
        <v>0</v>
      </c>
      <c r="D4506">
        <f t="shared" si="925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6"/>
        <v>0</v>
      </c>
      <c r="G4506">
        <f t="shared" si="927"/>
        <v>0</v>
      </c>
      <c r="H4506">
        <f t="shared" si="928"/>
        <v>0</v>
      </c>
      <c r="I4506">
        <f t="shared" si="929"/>
        <v>0</v>
      </c>
      <c r="J4506">
        <f t="shared" si="930"/>
        <v>0</v>
      </c>
      <c r="K4506" s="4" t="e">
        <f t="shared" si="918"/>
        <v>#N/A</v>
      </c>
      <c r="L4506" t="e">
        <f t="shared" si="919"/>
        <v>#N/A</v>
      </c>
      <c r="M4506" s="4" t="e">
        <f t="shared" si="920"/>
        <v>#N/A</v>
      </c>
      <c r="N4506" s="4" t="e">
        <f t="shared" si="921"/>
        <v>#N/A</v>
      </c>
    </row>
    <row r="4507" spans="1:14">
      <c r="A4507">
        <f t="shared" si="922"/>
        <v>0</v>
      </c>
      <c r="B4507">
        <f t="shared" si="923"/>
        <v>0</v>
      </c>
      <c r="C4507">
        <f t="shared" si="924"/>
        <v>0</v>
      </c>
      <c r="D4507">
        <f t="shared" si="925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6"/>
        <v>0</v>
      </c>
      <c r="G4507">
        <f t="shared" si="927"/>
        <v>0</v>
      </c>
      <c r="H4507">
        <f t="shared" si="928"/>
        <v>0</v>
      </c>
      <c r="I4507">
        <f t="shared" si="929"/>
        <v>0</v>
      </c>
      <c r="J4507">
        <f t="shared" si="930"/>
        <v>0</v>
      </c>
      <c r="K4507" s="4" t="e">
        <f t="shared" si="918"/>
        <v>#N/A</v>
      </c>
      <c r="L4507" t="e">
        <f t="shared" si="919"/>
        <v>#N/A</v>
      </c>
      <c r="M4507" s="4" t="e">
        <f t="shared" si="920"/>
        <v>#N/A</v>
      </c>
      <c r="N4507" s="4" t="e">
        <f t="shared" si="921"/>
        <v>#N/A</v>
      </c>
    </row>
    <row r="4508" spans="1:14">
      <c r="A4508">
        <f t="shared" si="922"/>
        <v>0</v>
      </c>
      <c r="B4508">
        <f t="shared" si="923"/>
        <v>0</v>
      </c>
      <c r="C4508">
        <f t="shared" si="924"/>
        <v>0</v>
      </c>
      <c r="D4508">
        <f t="shared" si="925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6"/>
        <v>0</v>
      </c>
      <c r="G4508">
        <f t="shared" si="927"/>
        <v>0</v>
      </c>
      <c r="H4508">
        <f t="shared" si="928"/>
        <v>0</v>
      </c>
      <c r="I4508">
        <f t="shared" si="929"/>
        <v>0</v>
      </c>
      <c r="J4508">
        <f t="shared" si="930"/>
        <v>0</v>
      </c>
      <c r="K4508" s="4" t="e">
        <f t="shared" si="918"/>
        <v>#N/A</v>
      </c>
      <c r="L4508" t="e">
        <f t="shared" si="919"/>
        <v>#N/A</v>
      </c>
      <c r="M4508" s="4" t="e">
        <f t="shared" si="920"/>
        <v>#N/A</v>
      </c>
      <c r="N4508" s="4" t="e">
        <f t="shared" si="921"/>
        <v>#N/A</v>
      </c>
    </row>
    <row r="4509" spans="1:14">
      <c r="A4509">
        <f t="shared" si="922"/>
        <v>0</v>
      </c>
      <c r="B4509">
        <f t="shared" si="923"/>
        <v>0</v>
      </c>
      <c r="C4509">
        <f t="shared" si="924"/>
        <v>0</v>
      </c>
      <c r="D4509">
        <f t="shared" si="925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6"/>
        <v>0</v>
      </c>
      <c r="G4509">
        <f t="shared" si="927"/>
        <v>0</v>
      </c>
      <c r="H4509">
        <f t="shared" si="928"/>
        <v>0</v>
      </c>
      <c r="I4509">
        <f t="shared" si="929"/>
        <v>0</v>
      </c>
      <c r="J4509">
        <f t="shared" si="930"/>
        <v>0</v>
      </c>
      <c r="K4509" s="4" t="e">
        <f t="shared" si="918"/>
        <v>#N/A</v>
      </c>
      <c r="L4509" t="e">
        <f t="shared" si="919"/>
        <v>#N/A</v>
      </c>
      <c r="M4509" s="4" t="e">
        <f t="shared" si="920"/>
        <v>#N/A</v>
      </c>
      <c r="N4509" s="4" t="e">
        <f t="shared" si="921"/>
        <v>#N/A</v>
      </c>
    </row>
    <row r="4510" spans="1:14">
      <c r="A4510">
        <f t="shared" si="922"/>
        <v>0</v>
      </c>
      <c r="B4510">
        <f t="shared" si="923"/>
        <v>0</v>
      </c>
      <c r="C4510">
        <f t="shared" si="924"/>
        <v>0</v>
      </c>
      <c r="D4510">
        <f t="shared" si="925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6"/>
        <v>0</v>
      </c>
      <c r="G4510">
        <f t="shared" si="927"/>
        <v>0</v>
      </c>
      <c r="H4510">
        <f t="shared" si="928"/>
        <v>0</v>
      </c>
      <c r="I4510">
        <f t="shared" si="929"/>
        <v>0</v>
      </c>
      <c r="J4510">
        <f t="shared" si="930"/>
        <v>0</v>
      </c>
      <c r="K4510" s="4" t="e">
        <f t="shared" si="918"/>
        <v>#N/A</v>
      </c>
      <c r="L4510" t="e">
        <f t="shared" si="919"/>
        <v>#N/A</v>
      </c>
      <c r="M4510" s="4" t="e">
        <f t="shared" si="920"/>
        <v>#N/A</v>
      </c>
      <c r="N4510" s="4" t="e">
        <f t="shared" si="921"/>
        <v>#N/A</v>
      </c>
    </row>
    <row r="4511" spans="1:14">
      <c r="A4511">
        <f t="shared" si="922"/>
        <v>0</v>
      </c>
      <c r="B4511">
        <f t="shared" si="923"/>
        <v>0</v>
      </c>
      <c r="C4511">
        <f t="shared" si="924"/>
        <v>0</v>
      </c>
      <c r="D4511">
        <f t="shared" si="925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6"/>
        <v>0</v>
      </c>
      <c r="G4511">
        <f t="shared" si="927"/>
        <v>0</v>
      </c>
      <c r="H4511">
        <f t="shared" si="928"/>
        <v>0</v>
      </c>
      <c r="I4511">
        <f t="shared" si="929"/>
        <v>0</v>
      </c>
      <c r="J4511">
        <f t="shared" si="930"/>
        <v>0</v>
      </c>
      <c r="K4511" s="4" t="e">
        <f t="shared" si="918"/>
        <v>#N/A</v>
      </c>
      <c r="L4511" t="e">
        <f t="shared" si="919"/>
        <v>#N/A</v>
      </c>
      <c r="M4511" s="4" t="e">
        <f t="shared" si="920"/>
        <v>#N/A</v>
      </c>
      <c r="N4511" s="4" t="e">
        <f t="shared" si="921"/>
        <v>#N/A</v>
      </c>
    </row>
    <row r="4512" spans="1:14">
      <c r="A4512">
        <f t="shared" si="922"/>
        <v>0</v>
      </c>
      <c r="B4512">
        <f t="shared" si="923"/>
        <v>0</v>
      </c>
      <c r="C4512">
        <f t="shared" si="924"/>
        <v>0</v>
      </c>
      <c r="D4512">
        <f t="shared" si="925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6"/>
        <v>0</v>
      </c>
      <c r="G4512">
        <f t="shared" si="927"/>
        <v>0</v>
      </c>
      <c r="H4512">
        <f t="shared" si="928"/>
        <v>0</v>
      </c>
      <c r="I4512">
        <f t="shared" si="929"/>
        <v>0</v>
      </c>
      <c r="J4512">
        <f t="shared" si="930"/>
        <v>0</v>
      </c>
      <c r="K4512" s="4" t="e">
        <f t="shared" si="918"/>
        <v>#N/A</v>
      </c>
      <c r="L4512" t="e">
        <f t="shared" si="919"/>
        <v>#N/A</v>
      </c>
      <c r="M4512" s="4" t="e">
        <f t="shared" si="920"/>
        <v>#N/A</v>
      </c>
      <c r="N4512" s="4" t="e">
        <f t="shared" si="921"/>
        <v>#N/A</v>
      </c>
    </row>
    <row r="4513" spans="1:14">
      <c r="A4513">
        <f t="shared" si="922"/>
        <v>0</v>
      </c>
      <c r="B4513">
        <f t="shared" si="923"/>
        <v>0</v>
      </c>
      <c r="C4513">
        <f t="shared" si="924"/>
        <v>0</v>
      </c>
      <c r="D4513">
        <f t="shared" si="925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6"/>
        <v>0</v>
      </c>
      <c r="G4513">
        <f t="shared" si="927"/>
        <v>0</v>
      </c>
      <c r="H4513">
        <f t="shared" si="928"/>
        <v>0</v>
      </c>
      <c r="I4513">
        <f t="shared" si="929"/>
        <v>0</v>
      </c>
      <c r="J4513">
        <f t="shared" si="930"/>
        <v>0</v>
      </c>
      <c r="K4513" s="4" t="e">
        <f t="shared" si="918"/>
        <v>#N/A</v>
      </c>
      <c r="L4513" t="e">
        <f t="shared" si="919"/>
        <v>#N/A</v>
      </c>
      <c r="M4513" s="4" t="e">
        <f t="shared" si="920"/>
        <v>#N/A</v>
      </c>
      <c r="N4513" s="4" t="e">
        <f t="shared" si="921"/>
        <v>#N/A</v>
      </c>
    </row>
    <row r="4514" spans="1:14">
      <c r="A4514">
        <f t="shared" si="922"/>
        <v>0</v>
      </c>
      <c r="B4514">
        <f t="shared" si="923"/>
        <v>0</v>
      </c>
      <c r="C4514">
        <f t="shared" si="924"/>
        <v>0</v>
      </c>
      <c r="D4514">
        <f t="shared" si="925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6"/>
        <v>0</v>
      </c>
      <c r="G4514">
        <f t="shared" si="927"/>
        <v>0</v>
      </c>
      <c r="H4514">
        <f t="shared" si="928"/>
        <v>0</v>
      </c>
      <c r="I4514">
        <f t="shared" si="929"/>
        <v>0</v>
      </c>
      <c r="J4514">
        <f t="shared" si="930"/>
        <v>0</v>
      </c>
      <c r="K4514" s="4" t="e">
        <f t="shared" si="918"/>
        <v>#N/A</v>
      </c>
      <c r="L4514" t="e">
        <f t="shared" si="919"/>
        <v>#N/A</v>
      </c>
      <c r="M4514" s="4" t="e">
        <f t="shared" si="920"/>
        <v>#N/A</v>
      </c>
      <c r="N4514" s="4" t="e">
        <f t="shared" si="921"/>
        <v>#N/A</v>
      </c>
    </row>
    <row r="4515" spans="1:14">
      <c r="A4515">
        <f t="shared" si="922"/>
        <v>0</v>
      </c>
      <c r="B4515">
        <f t="shared" si="923"/>
        <v>0</v>
      </c>
      <c r="C4515">
        <f t="shared" si="924"/>
        <v>0</v>
      </c>
      <c r="D4515">
        <f t="shared" si="925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6"/>
        <v>0</v>
      </c>
      <c r="G4515">
        <f t="shared" si="927"/>
        <v>0</v>
      </c>
      <c r="H4515">
        <f t="shared" si="928"/>
        <v>0</v>
      </c>
      <c r="I4515">
        <f t="shared" si="929"/>
        <v>0</v>
      </c>
      <c r="J4515">
        <f t="shared" si="930"/>
        <v>0</v>
      </c>
      <c r="K4515" s="4" t="e">
        <f t="shared" si="918"/>
        <v>#N/A</v>
      </c>
      <c r="L4515" t="e">
        <f t="shared" si="919"/>
        <v>#N/A</v>
      </c>
      <c r="M4515" s="4" t="e">
        <f t="shared" si="920"/>
        <v>#N/A</v>
      </c>
      <c r="N4515" s="4" t="e">
        <f t="shared" si="921"/>
        <v>#N/A</v>
      </c>
    </row>
    <row r="4516" spans="1:14">
      <c r="A4516">
        <f t="shared" si="922"/>
        <v>0</v>
      </c>
      <c r="B4516">
        <f t="shared" si="923"/>
        <v>0</v>
      </c>
      <c r="C4516">
        <f t="shared" si="924"/>
        <v>0</v>
      </c>
      <c r="D4516">
        <f t="shared" si="925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6"/>
        <v>0</v>
      </c>
      <c r="G4516">
        <f t="shared" si="927"/>
        <v>0</v>
      </c>
      <c r="H4516">
        <f t="shared" si="928"/>
        <v>0</v>
      </c>
      <c r="I4516">
        <f t="shared" si="929"/>
        <v>0</v>
      </c>
      <c r="J4516">
        <f t="shared" si="930"/>
        <v>0</v>
      </c>
      <c r="K4516" s="4" t="e">
        <f t="shared" si="918"/>
        <v>#N/A</v>
      </c>
      <c r="L4516" t="e">
        <f t="shared" si="919"/>
        <v>#N/A</v>
      </c>
      <c r="M4516" s="4" t="e">
        <f t="shared" si="920"/>
        <v>#N/A</v>
      </c>
      <c r="N4516" s="4" t="e">
        <f t="shared" si="921"/>
        <v>#N/A</v>
      </c>
    </row>
    <row r="4517" spans="1:14">
      <c r="A4517">
        <f t="shared" si="922"/>
        <v>0</v>
      </c>
      <c r="B4517">
        <f t="shared" si="923"/>
        <v>0</v>
      </c>
      <c r="C4517">
        <f t="shared" si="924"/>
        <v>0</v>
      </c>
      <c r="D4517">
        <f t="shared" si="925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6"/>
        <v>0</v>
      </c>
      <c r="G4517">
        <f t="shared" si="927"/>
        <v>0</v>
      </c>
      <c r="H4517">
        <f t="shared" si="928"/>
        <v>0</v>
      </c>
      <c r="I4517">
        <f t="shared" si="929"/>
        <v>0</v>
      </c>
      <c r="J4517">
        <f t="shared" si="930"/>
        <v>0</v>
      </c>
      <c r="K4517" s="4" t="e">
        <f t="shared" si="918"/>
        <v>#N/A</v>
      </c>
      <c r="L4517" t="e">
        <f t="shared" si="919"/>
        <v>#N/A</v>
      </c>
      <c r="M4517" s="4" t="e">
        <f t="shared" si="920"/>
        <v>#N/A</v>
      </c>
      <c r="N4517" s="4" t="e">
        <f t="shared" si="921"/>
        <v>#N/A</v>
      </c>
    </row>
    <row r="4518" spans="1:14">
      <c r="A4518">
        <f t="shared" si="922"/>
        <v>0</v>
      </c>
      <c r="B4518">
        <f t="shared" si="923"/>
        <v>0</v>
      </c>
      <c r="C4518">
        <f t="shared" si="924"/>
        <v>0</v>
      </c>
      <c r="D4518">
        <f t="shared" si="925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6"/>
        <v>0</v>
      </c>
      <c r="G4518">
        <f t="shared" si="927"/>
        <v>0</v>
      </c>
      <c r="H4518">
        <f t="shared" si="928"/>
        <v>0</v>
      </c>
      <c r="I4518">
        <f t="shared" si="929"/>
        <v>0</v>
      </c>
      <c r="J4518">
        <f t="shared" si="930"/>
        <v>0</v>
      </c>
      <c r="K4518" s="4" t="e">
        <f t="shared" si="918"/>
        <v>#N/A</v>
      </c>
      <c r="L4518" t="e">
        <f t="shared" si="919"/>
        <v>#N/A</v>
      </c>
      <c r="M4518" s="4" t="e">
        <f t="shared" si="920"/>
        <v>#N/A</v>
      </c>
      <c r="N4518" s="4" t="e">
        <f t="shared" si="921"/>
        <v>#N/A</v>
      </c>
    </row>
    <row r="4519" spans="1:14">
      <c r="A4519">
        <f t="shared" si="922"/>
        <v>0</v>
      </c>
      <c r="B4519">
        <f t="shared" si="923"/>
        <v>0</v>
      </c>
      <c r="C4519">
        <f t="shared" si="924"/>
        <v>0</v>
      </c>
      <c r="D4519">
        <f t="shared" si="925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6"/>
        <v>0</v>
      </c>
      <c r="G4519">
        <f t="shared" si="927"/>
        <v>0</v>
      </c>
      <c r="H4519">
        <f t="shared" si="928"/>
        <v>0</v>
      </c>
      <c r="I4519">
        <f t="shared" si="929"/>
        <v>0</v>
      </c>
      <c r="J4519">
        <f t="shared" si="930"/>
        <v>0</v>
      </c>
      <c r="K4519" s="4" t="e">
        <f t="shared" si="918"/>
        <v>#N/A</v>
      </c>
      <c r="L4519" t="e">
        <f t="shared" si="919"/>
        <v>#N/A</v>
      </c>
      <c r="M4519" s="4" t="e">
        <f t="shared" si="920"/>
        <v>#N/A</v>
      </c>
      <c r="N4519" s="4" t="e">
        <f t="shared" si="921"/>
        <v>#N/A</v>
      </c>
    </row>
    <row r="4520" spans="1:14">
      <c r="A4520">
        <f t="shared" si="922"/>
        <v>0</v>
      </c>
      <c r="B4520">
        <f t="shared" si="923"/>
        <v>0</v>
      </c>
      <c r="C4520">
        <f t="shared" si="924"/>
        <v>0</v>
      </c>
      <c r="D4520">
        <f t="shared" si="925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6"/>
        <v>0</v>
      </c>
      <c r="G4520">
        <f t="shared" si="927"/>
        <v>0</v>
      </c>
      <c r="H4520">
        <f t="shared" si="928"/>
        <v>0</v>
      </c>
      <c r="I4520">
        <f t="shared" si="929"/>
        <v>0</v>
      </c>
      <c r="J4520">
        <f t="shared" si="930"/>
        <v>0</v>
      </c>
      <c r="K4520" s="4" t="e">
        <f t="shared" si="918"/>
        <v>#N/A</v>
      </c>
      <c r="L4520" t="e">
        <f t="shared" si="919"/>
        <v>#N/A</v>
      </c>
      <c r="M4520" s="4" t="e">
        <f t="shared" si="920"/>
        <v>#N/A</v>
      </c>
      <c r="N4520" s="4" t="e">
        <f t="shared" si="921"/>
        <v>#N/A</v>
      </c>
    </row>
    <row r="4521" spans="1:14">
      <c r="A4521">
        <f t="shared" si="922"/>
        <v>0</v>
      </c>
      <c r="B4521">
        <f t="shared" si="923"/>
        <v>0</v>
      </c>
      <c r="C4521">
        <f t="shared" si="924"/>
        <v>0</v>
      </c>
      <c r="D4521">
        <f t="shared" si="925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6"/>
        <v>0</v>
      </c>
      <c r="G4521">
        <f t="shared" si="927"/>
        <v>0</v>
      </c>
      <c r="H4521">
        <f t="shared" si="928"/>
        <v>0</v>
      </c>
      <c r="I4521">
        <f t="shared" si="929"/>
        <v>0</v>
      </c>
      <c r="J4521">
        <f t="shared" si="930"/>
        <v>0</v>
      </c>
      <c r="K4521" s="4" t="e">
        <f t="shared" si="918"/>
        <v>#N/A</v>
      </c>
      <c r="L4521" t="e">
        <f t="shared" si="919"/>
        <v>#N/A</v>
      </c>
      <c r="M4521" s="4" t="e">
        <f t="shared" si="920"/>
        <v>#N/A</v>
      </c>
      <c r="N4521" s="4" t="e">
        <f t="shared" si="921"/>
        <v>#N/A</v>
      </c>
    </row>
    <row r="4522" spans="1:14">
      <c r="A4522">
        <f t="shared" si="922"/>
        <v>0</v>
      </c>
      <c r="B4522">
        <f t="shared" si="923"/>
        <v>0</v>
      </c>
      <c r="C4522">
        <f t="shared" si="924"/>
        <v>0</v>
      </c>
      <c r="D4522">
        <f t="shared" si="925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6"/>
        <v>0</v>
      </c>
      <c r="G4522">
        <f t="shared" si="927"/>
        <v>0</v>
      </c>
      <c r="H4522">
        <f t="shared" si="928"/>
        <v>0</v>
      </c>
      <c r="I4522">
        <f t="shared" si="929"/>
        <v>0</v>
      </c>
      <c r="J4522">
        <f t="shared" si="930"/>
        <v>0</v>
      </c>
      <c r="K4522" s="4" t="e">
        <f t="shared" si="918"/>
        <v>#N/A</v>
      </c>
      <c r="L4522" t="e">
        <f t="shared" si="919"/>
        <v>#N/A</v>
      </c>
      <c r="M4522" s="4" t="e">
        <f t="shared" si="920"/>
        <v>#N/A</v>
      </c>
      <c r="N4522" s="4" t="e">
        <f t="shared" si="921"/>
        <v>#N/A</v>
      </c>
    </row>
    <row r="4523" spans="1:14">
      <c r="A4523">
        <f t="shared" si="922"/>
        <v>0</v>
      </c>
      <c r="B4523">
        <f t="shared" si="923"/>
        <v>0</v>
      </c>
      <c r="C4523">
        <f t="shared" si="924"/>
        <v>0</v>
      </c>
      <c r="D4523">
        <f t="shared" si="925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6"/>
        <v>0</v>
      </c>
      <c r="G4523">
        <f t="shared" si="927"/>
        <v>0</v>
      </c>
      <c r="H4523">
        <f t="shared" si="928"/>
        <v>0</v>
      </c>
      <c r="I4523">
        <f t="shared" si="929"/>
        <v>0</v>
      </c>
      <c r="J4523">
        <f t="shared" si="930"/>
        <v>0</v>
      </c>
      <c r="K4523" s="4" t="e">
        <f t="shared" si="918"/>
        <v>#N/A</v>
      </c>
      <c r="L4523" t="e">
        <f t="shared" si="919"/>
        <v>#N/A</v>
      </c>
      <c r="M4523" s="4" t="e">
        <f t="shared" si="920"/>
        <v>#N/A</v>
      </c>
      <c r="N4523" s="4" t="e">
        <f t="shared" si="921"/>
        <v>#N/A</v>
      </c>
    </row>
    <row r="4524" spans="1:14">
      <c r="A4524">
        <f t="shared" si="922"/>
        <v>0</v>
      </c>
      <c r="B4524">
        <f t="shared" si="923"/>
        <v>0</v>
      </c>
      <c r="C4524">
        <f t="shared" si="924"/>
        <v>0</v>
      </c>
      <c r="D4524">
        <f t="shared" si="925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6"/>
        <v>0</v>
      </c>
      <c r="G4524">
        <f t="shared" si="927"/>
        <v>0</v>
      </c>
      <c r="H4524">
        <f t="shared" si="928"/>
        <v>0</v>
      </c>
      <c r="I4524">
        <f t="shared" si="929"/>
        <v>0</v>
      </c>
      <c r="J4524">
        <f t="shared" si="930"/>
        <v>0</v>
      </c>
      <c r="K4524" s="4" t="e">
        <f t="shared" si="918"/>
        <v>#N/A</v>
      </c>
      <c r="L4524" t="e">
        <f t="shared" si="919"/>
        <v>#N/A</v>
      </c>
      <c r="M4524" s="4" t="e">
        <f t="shared" si="920"/>
        <v>#N/A</v>
      </c>
      <c r="N4524" s="4" t="e">
        <f t="shared" si="921"/>
        <v>#N/A</v>
      </c>
    </row>
    <row r="4525" spans="1:14">
      <c r="A4525">
        <f t="shared" si="922"/>
        <v>0</v>
      </c>
      <c r="B4525">
        <f t="shared" si="923"/>
        <v>0</v>
      </c>
      <c r="C4525">
        <f t="shared" si="924"/>
        <v>0</v>
      </c>
      <c r="D4525">
        <f t="shared" si="925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6"/>
        <v>0</v>
      </c>
      <c r="G4525">
        <f t="shared" si="927"/>
        <v>0</v>
      </c>
      <c r="H4525">
        <f t="shared" si="928"/>
        <v>0</v>
      </c>
      <c r="I4525">
        <f t="shared" si="929"/>
        <v>0</v>
      </c>
      <c r="J4525">
        <f t="shared" si="930"/>
        <v>0</v>
      </c>
      <c r="K4525" s="4" t="e">
        <f t="shared" si="918"/>
        <v>#N/A</v>
      </c>
      <c r="L4525" t="e">
        <f t="shared" si="919"/>
        <v>#N/A</v>
      </c>
      <c r="M4525" s="4" t="e">
        <f t="shared" si="920"/>
        <v>#N/A</v>
      </c>
      <c r="N4525" s="4" t="e">
        <f t="shared" si="921"/>
        <v>#N/A</v>
      </c>
    </row>
    <row r="4526" spans="1:14">
      <c r="A4526">
        <f t="shared" si="922"/>
        <v>0</v>
      </c>
      <c r="B4526">
        <f t="shared" si="923"/>
        <v>0</v>
      </c>
      <c r="C4526">
        <f t="shared" si="924"/>
        <v>0</v>
      </c>
      <c r="D4526">
        <f t="shared" si="925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6"/>
        <v>0</v>
      </c>
      <c r="G4526">
        <f t="shared" si="927"/>
        <v>0</v>
      </c>
      <c r="H4526">
        <f t="shared" si="928"/>
        <v>0</v>
      </c>
      <c r="I4526">
        <f t="shared" si="929"/>
        <v>0</v>
      </c>
      <c r="J4526">
        <f t="shared" si="930"/>
        <v>0</v>
      </c>
      <c r="K4526" s="4" t="e">
        <f t="shared" si="918"/>
        <v>#N/A</v>
      </c>
      <c r="L4526" t="e">
        <f t="shared" si="919"/>
        <v>#N/A</v>
      </c>
      <c r="M4526" s="4" t="e">
        <f t="shared" si="920"/>
        <v>#N/A</v>
      </c>
      <c r="N4526" s="4" t="e">
        <f t="shared" si="921"/>
        <v>#N/A</v>
      </c>
    </row>
    <row r="4527" spans="1:14">
      <c r="A4527">
        <f t="shared" si="922"/>
        <v>0</v>
      </c>
      <c r="B4527">
        <f t="shared" si="923"/>
        <v>0</v>
      </c>
      <c r="C4527">
        <f t="shared" si="924"/>
        <v>0</v>
      </c>
      <c r="D4527">
        <f t="shared" si="925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6"/>
        <v>0</v>
      </c>
      <c r="G4527">
        <f t="shared" si="927"/>
        <v>0</v>
      </c>
      <c r="H4527">
        <f t="shared" si="928"/>
        <v>0</v>
      </c>
      <c r="I4527">
        <f t="shared" si="929"/>
        <v>0</v>
      </c>
      <c r="J4527">
        <f t="shared" si="930"/>
        <v>0</v>
      </c>
      <c r="K4527" s="4" t="e">
        <f t="shared" si="918"/>
        <v>#N/A</v>
      </c>
      <c r="L4527" t="e">
        <f t="shared" si="919"/>
        <v>#N/A</v>
      </c>
      <c r="M4527" s="4" t="e">
        <f t="shared" si="920"/>
        <v>#N/A</v>
      </c>
      <c r="N4527" s="4" t="e">
        <f t="shared" si="921"/>
        <v>#N/A</v>
      </c>
    </row>
    <row r="4528" spans="1:14">
      <c r="A4528">
        <f t="shared" si="922"/>
        <v>0</v>
      </c>
      <c r="B4528">
        <f t="shared" si="923"/>
        <v>0</v>
      </c>
      <c r="C4528">
        <f t="shared" si="924"/>
        <v>0</v>
      </c>
      <c r="D4528">
        <f t="shared" si="925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6"/>
        <v>0</v>
      </c>
      <c r="G4528">
        <f t="shared" si="927"/>
        <v>0</v>
      </c>
      <c r="H4528">
        <f t="shared" si="928"/>
        <v>0</v>
      </c>
      <c r="I4528">
        <f t="shared" si="929"/>
        <v>0</v>
      </c>
      <c r="J4528">
        <f t="shared" si="930"/>
        <v>0</v>
      </c>
      <c r="K4528" s="4" t="e">
        <f t="shared" si="918"/>
        <v>#N/A</v>
      </c>
      <c r="L4528" t="e">
        <f t="shared" si="919"/>
        <v>#N/A</v>
      </c>
      <c r="M4528" s="4" t="e">
        <f t="shared" si="920"/>
        <v>#N/A</v>
      </c>
      <c r="N4528" s="4" t="e">
        <f t="shared" si="921"/>
        <v>#N/A</v>
      </c>
    </row>
    <row r="4529" spans="1:14">
      <c r="A4529">
        <f t="shared" si="922"/>
        <v>0</v>
      </c>
      <c r="B4529">
        <f t="shared" si="923"/>
        <v>0</v>
      </c>
      <c r="C4529">
        <f t="shared" si="924"/>
        <v>0</v>
      </c>
      <c r="D4529">
        <f t="shared" si="925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6"/>
        <v>0</v>
      </c>
      <c r="G4529">
        <f t="shared" si="927"/>
        <v>0</v>
      </c>
      <c r="H4529">
        <f t="shared" si="928"/>
        <v>0</v>
      </c>
      <c r="I4529">
        <f t="shared" si="929"/>
        <v>0</v>
      </c>
      <c r="J4529">
        <f t="shared" si="930"/>
        <v>0</v>
      </c>
      <c r="K4529" s="4" t="e">
        <f t="shared" si="918"/>
        <v>#N/A</v>
      </c>
      <c r="L4529" t="e">
        <f t="shared" si="919"/>
        <v>#N/A</v>
      </c>
      <c r="M4529" s="4" t="e">
        <f t="shared" si="920"/>
        <v>#N/A</v>
      </c>
      <c r="N4529" s="4" t="e">
        <f t="shared" si="921"/>
        <v>#N/A</v>
      </c>
    </row>
    <row r="4530" spans="1:14">
      <c r="A4530">
        <f t="shared" si="922"/>
        <v>0</v>
      </c>
      <c r="B4530">
        <f t="shared" si="923"/>
        <v>0</v>
      </c>
      <c r="C4530">
        <f t="shared" si="924"/>
        <v>0</v>
      </c>
      <c r="D4530">
        <f t="shared" si="925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6"/>
        <v>0</v>
      </c>
      <c r="G4530">
        <f t="shared" si="927"/>
        <v>0</v>
      </c>
      <c r="H4530">
        <f t="shared" si="928"/>
        <v>0</v>
      </c>
      <c r="I4530">
        <f t="shared" si="929"/>
        <v>0</v>
      </c>
      <c r="J4530">
        <f t="shared" si="930"/>
        <v>0</v>
      </c>
      <c r="K4530" s="4" t="e">
        <f t="shared" si="918"/>
        <v>#N/A</v>
      </c>
      <c r="L4530" t="e">
        <f t="shared" si="919"/>
        <v>#N/A</v>
      </c>
      <c r="M4530" s="4" t="e">
        <f t="shared" si="920"/>
        <v>#N/A</v>
      </c>
      <c r="N4530" s="4" t="e">
        <f t="shared" si="921"/>
        <v>#N/A</v>
      </c>
    </row>
    <row r="4531" spans="1:14">
      <c r="A4531">
        <f t="shared" si="922"/>
        <v>0</v>
      </c>
      <c r="B4531">
        <f t="shared" si="923"/>
        <v>0</v>
      </c>
      <c r="C4531">
        <f t="shared" si="924"/>
        <v>0</v>
      </c>
      <c r="D4531">
        <f t="shared" si="925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6"/>
        <v>0</v>
      </c>
      <c r="G4531">
        <f t="shared" si="927"/>
        <v>0</v>
      </c>
      <c r="H4531">
        <f t="shared" si="928"/>
        <v>0</v>
      </c>
      <c r="I4531">
        <f t="shared" si="929"/>
        <v>0</v>
      </c>
      <c r="J4531">
        <f t="shared" si="930"/>
        <v>0</v>
      </c>
      <c r="K4531" s="4" t="e">
        <f t="shared" si="918"/>
        <v>#N/A</v>
      </c>
      <c r="L4531" t="e">
        <f t="shared" si="919"/>
        <v>#N/A</v>
      </c>
      <c r="M4531" s="4" t="e">
        <f t="shared" si="920"/>
        <v>#N/A</v>
      </c>
      <c r="N4531" s="4" t="e">
        <f t="shared" si="921"/>
        <v>#N/A</v>
      </c>
    </row>
    <row r="4532" spans="1:14">
      <c r="A4532">
        <f t="shared" si="922"/>
        <v>0</v>
      </c>
      <c r="B4532">
        <f t="shared" si="923"/>
        <v>0</v>
      </c>
      <c r="C4532">
        <f t="shared" si="924"/>
        <v>0</v>
      </c>
      <c r="D4532">
        <f t="shared" si="925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6"/>
        <v>0</v>
      </c>
      <c r="G4532">
        <f t="shared" si="927"/>
        <v>0</v>
      </c>
      <c r="H4532">
        <f t="shared" si="928"/>
        <v>0</v>
      </c>
      <c r="I4532">
        <f t="shared" si="929"/>
        <v>0</v>
      </c>
      <c r="J4532">
        <f t="shared" si="930"/>
        <v>0</v>
      </c>
      <c r="K4532" s="4" t="e">
        <f t="shared" si="918"/>
        <v>#N/A</v>
      </c>
      <c r="L4532" t="e">
        <f t="shared" si="919"/>
        <v>#N/A</v>
      </c>
      <c r="M4532" s="4" t="e">
        <f t="shared" si="920"/>
        <v>#N/A</v>
      </c>
      <c r="N4532" s="4" t="e">
        <f t="shared" si="921"/>
        <v>#N/A</v>
      </c>
    </row>
    <row r="4533" spans="1:14">
      <c r="A4533">
        <f t="shared" si="922"/>
        <v>0</v>
      </c>
      <c r="B4533">
        <f t="shared" si="923"/>
        <v>0</v>
      </c>
      <c r="C4533">
        <f t="shared" si="924"/>
        <v>0</v>
      </c>
      <c r="D4533">
        <f t="shared" si="925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6"/>
        <v>0</v>
      </c>
      <c r="G4533">
        <f t="shared" si="927"/>
        <v>0</v>
      </c>
      <c r="H4533">
        <f t="shared" si="928"/>
        <v>0</v>
      </c>
      <c r="I4533">
        <f t="shared" si="929"/>
        <v>0</v>
      </c>
      <c r="J4533">
        <f t="shared" si="930"/>
        <v>0</v>
      </c>
      <c r="K4533" s="4" t="e">
        <f t="shared" si="918"/>
        <v>#N/A</v>
      </c>
      <c r="L4533" t="e">
        <f t="shared" si="919"/>
        <v>#N/A</v>
      </c>
      <c r="M4533" s="4" t="e">
        <f t="shared" si="920"/>
        <v>#N/A</v>
      </c>
      <c r="N4533" s="4" t="e">
        <f t="shared" si="921"/>
        <v>#N/A</v>
      </c>
    </row>
    <row r="4534" spans="1:14">
      <c r="A4534">
        <f t="shared" si="922"/>
        <v>0</v>
      </c>
      <c r="B4534">
        <f t="shared" si="923"/>
        <v>0</v>
      </c>
      <c r="C4534">
        <f t="shared" si="924"/>
        <v>0</v>
      </c>
      <c r="D4534">
        <f t="shared" si="925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6"/>
        <v>0</v>
      </c>
      <c r="G4534">
        <f t="shared" si="927"/>
        <v>0</v>
      </c>
      <c r="H4534">
        <f t="shared" si="928"/>
        <v>0</v>
      </c>
      <c r="I4534">
        <f t="shared" si="929"/>
        <v>0</v>
      </c>
      <c r="J4534">
        <f t="shared" si="930"/>
        <v>0</v>
      </c>
      <c r="K4534" s="4" t="e">
        <f t="shared" si="918"/>
        <v>#N/A</v>
      </c>
      <c r="L4534" t="e">
        <f t="shared" si="919"/>
        <v>#N/A</v>
      </c>
      <c r="M4534" s="4" t="e">
        <f t="shared" si="920"/>
        <v>#N/A</v>
      </c>
      <c r="N4534" s="4" t="e">
        <f t="shared" si="921"/>
        <v>#N/A</v>
      </c>
    </row>
    <row r="4535" spans="1:14">
      <c r="A4535">
        <f t="shared" si="922"/>
        <v>0</v>
      </c>
      <c r="B4535">
        <f t="shared" si="923"/>
        <v>0</v>
      </c>
      <c r="C4535">
        <f t="shared" si="924"/>
        <v>0</v>
      </c>
      <c r="D4535">
        <f t="shared" si="925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6"/>
        <v>0</v>
      </c>
      <c r="G4535">
        <f t="shared" si="927"/>
        <v>0</v>
      </c>
      <c r="H4535">
        <f t="shared" si="928"/>
        <v>0</v>
      </c>
      <c r="I4535">
        <f t="shared" si="929"/>
        <v>0</v>
      </c>
      <c r="J4535">
        <f t="shared" si="930"/>
        <v>0</v>
      </c>
      <c r="K4535" s="4" t="e">
        <f t="shared" si="918"/>
        <v>#N/A</v>
      </c>
      <c r="L4535" t="e">
        <f t="shared" si="919"/>
        <v>#N/A</v>
      </c>
      <c r="M4535" s="4" t="e">
        <f t="shared" si="920"/>
        <v>#N/A</v>
      </c>
      <c r="N4535" s="4" t="e">
        <f t="shared" si="921"/>
        <v>#N/A</v>
      </c>
    </row>
    <row r="4536" spans="1:14">
      <c r="A4536">
        <f t="shared" si="922"/>
        <v>0</v>
      </c>
      <c r="B4536">
        <f t="shared" si="923"/>
        <v>0</v>
      </c>
      <c r="C4536">
        <f t="shared" si="924"/>
        <v>0</v>
      </c>
      <c r="D4536">
        <f t="shared" si="925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6"/>
        <v>0</v>
      </c>
      <c r="G4536">
        <f t="shared" si="927"/>
        <v>0</v>
      </c>
      <c r="H4536">
        <f t="shared" si="928"/>
        <v>0</v>
      </c>
      <c r="I4536">
        <f t="shared" si="929"/>
        <v>0</v>
      </c>
      <c r="J4536">
        <f t="shared" si="930"/>
        <v>0</v>
      </c>
      <c r="K4536" s="4" t="e">
        <f t="shared" si="918"/>
        <v>#N/A</v>
      </c>
      <c r="L4536" t="e">
        <f t="shared" si="919"/>
        <v>#N/A</v>
      </c>
      <c r="M4536" s="4" t="e">
        <f t="shared" si="920"/>
        <v>#N/A</v>
      </c>
      <c r="N4536" s="4" t="e">
        <f t="shared" si="921"/>
        <v>#N/A</v>
      </c>
    </row>
    <row r="4537" spans="1:14">
      <c r="A4537">
        <f t="shared" si="922"/>
        <v>0</v>
      </c>
      <c r="B4537">
        <f t="shared" si="923"/>
        <v>0</v>
      </c>
      <c r="C4537">
        <f t="shared" si="924"/>
        <v>0</v>
      </c>
      <c r="D4537">
        <f t="shared" si="925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6"/>
        <v>0</v>
      </c>
      <c r="G4537">
        <f t="shared" si="927"/>
        <v>0</v>
      </c>
      <c r="H4537">
        <f t="shared" si="928"/>
        <v>0</v>
      </c>
      <c r="I4537">
        <f t="shared" si="929"/>
        <v>0</v>
      </c>
      <c r="J4537">
        <f t="shared" si="930"/>
        <v>0</v>
      </c>
      <c r="K4537" s="4" t="e">
        <f t="shared" si="918"/>
        <v>#N/A</v>
      </c>
      <c r="L4537" t="e">
        <f t="shared" si="919"/>
        <v>#N/A</v>
      </c>
      <c r="M4537" s="4" t="e">
        <f t="shared" si="920"/>
        <v>#N/A</v>
      </c>
      <c r="N4537" s="4" t="e">
        <f t="shared" si="921"/>
        <v>#N/A</v>
      </c>
    </row>
    <row r="4538" spans="1:14">
      <c r="A4538">
        <f t="shared" si="922"/>
        <v>0</v>
      </c>
      <c r="B4538">
        <f t="shared" si="923"/>
        <v>0</v>
      </c>
      <c r="C4538">
        <f t="shared" si="924"/>
        <v>0</v>
      </c>
      <c r="D4538">
        <f t="shared" si="925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6"/>
        <v>0</v>
      </c>
      <c r="G4538">
        <f t="shared" si="927"/>
        <v>0</v>
      </c>
      <c r="H4538">
        <f t="shared" si="928"/>
        <v>0</v>
      </c>
      <c r="I4538">
        <f t="shared" si="929"/>
        <v>0</v>
      </c>
      <c r="J4538">
        <f t="shared" si="930"/>
        <v>0</v>
      </c>
      <c r="K4538" s="4" t="e">
        <f t="shared" si="918"/>
        <v>#N/A</v>
      </c>
      <c r="L4538" t="e">
        <f t="shared" si="919"/>
        <v>#N/A</v>
      </c>
      <c r="M4538" s="4" t="e">
        <f t="shared" si="920"/>
        <v>#N/A</v>
      </c>
      <c r="N4538" s="4" t="e">
        <f t="shared" si="921"/>
        <v>#N/A</v>
      </c>
    </row>
    <row r="4539" spans="1:14">
      <c r="A4539">
        <f t="shared" si="922"/>
        <v>0</v>
      </c>
      <c r="B4539">
        <f t="shared" si="923"/>
        <v>0</v>
      </c>
      <c r="C4539">
        <f t="shared" si="924"/>
        <v>0</v>
      </c>
      <c r="D4539">
        <f t="shared" si="925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6"/>
        <v>0</v>
      </c>
      <c r="G4539">
        <f t="shared" si="927"/>
        <v>0</v>
      </c>
      <c r="H4539">
        <f t="shared" si="928"/>
        <v>0</v>
      </c>
      <c r="I4539">
        <f t="shared" si="929"/>
        <v>0</v>
      </c>
      <c r="J4539">
        <f t="shared" si="930"/>
        <v>0</v>
      </c>
      <c r="K4539" s="4" t="e">
        <f t="shared" si="918"/>
        <v>#N/A</v>
      </c>
      <c r="L4539" t="e">
        <f t="shared" si="919"/>
        <v>#N/A</v>
      </c>
      <c r="M4539" s="4" t="e">
        <f t="shared" si="920"/>
        <v>#N/A</v>
      </c>
      <c r="N4539" s="4" t="e">
        <f t="shared" si="921"/>
        <v>#N/A</v>
      </c>
    </row>
    <row r="4540" spans="1:14">
      <c r="A4540">
        <f t="shared" si="922"/>
        <v>0</v>
      </c>
      <c r="B4540">
        <f t="shared" si="923"/>
        <v>0</v>
      </c>
      <c r="C4540">
        <f t="shared" si="924"/>
        <v>0</v>
      </c>
      <c r="D4540">
        <f t="shared" si="925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6"/>
        <v>0</v>
      </c>
      <c r="G4540">
        <f t="shared" si="927"/>
        <v>0</v>
      </c>
      <c r="H4540">
        <f t="shared" si="928"/>
        <v>0</v>
      </c>
      <c r="I4540">
        <f t="shared" si="929"/>
        <v>0</v>
      </c>
      <c r="J4540">
        <f t="shared" si="930"/>
        <v>0</v>
      </c>
      <c r="K4540" s="4" t="e">
        <f t="shared" si="918"/>
        <v>#N/A</v>
      </c>
      <c r="L4540" t="e">
        <f t="shared" si="919"/>
        <v>#N/A</v>
      </c>
      <c r="M4540" s="4" t="e">
        <f t="shared" si="920"/>
        <v>#N/A</v>
      </c>
      <c r="N4540" s="4" t="e">
        <f t="shared" si="921"/>
        <v>#N/A</v>
      </c>
    </row>
    <row r="4541" spans="1:14">
      <c r="A4541">
        <f t="shared" si="922"/>
        <v>0</v>
      </c>
      <c r="B4541">
        <f t="shared" si="923"/>
        <v>0</v>
      </c>
      <c r="C4541">
        <f t="shared" si="924"/>
        <v>0</v>
      </c>
      <c r="D4541">
        <f t="shared" si="925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6"/>
        <v>0</v>
      </c>
      <c r="G4541">
        <f t="shared" si="927"/>
        <v>0</v>
      </c>
      <c r="H4541">
        <f t="shared" si="928"/>
        <v>0</v>
      </c>
      <c r="I4541">
        <f t="shared" si="929"/>
        <v>0</v>
      </c>
      <c r="J4541">
        <f t="shared" si="930"/>
        <v>0</v>
      </c>
      <c r="K4541" s="4" t="e">
        <f t="shared" ref="K4541:K4604" si="931">IF(LEFT(B4541,3)="DBM",0,VLOOKUP(E4541,tabela,2,FALSE))</f>
        <v>#N/A</v>
      </c>
      <c r="L4541" t="e">
        <f t="shared" ref="L4541:L4604" si="932">VLOOKUP(E4541,tabela,3,FALSE)</f>
        <v>#N/A</v>
      </c>
      <c r="M4541" s="4" t="e">
        <f t="shared" ref="M4541:M4604" si="933">IF(E4541="Dynamic Click",J4541*K4541,K4541*$I4541/1000)</f>
        <v>#N/A</v>
      </c>
      <c r="N4541" s="4" t="e">
        <f t="shared" ref="N4541:N4604" si="934">IF(E4541="Dynamic Click",J4541*L4541,L4541*$I4541/1000)</f>
        <v>#N/A</v>
      </c>
    </row>
    <row r="4542" spans="1:14">
      <c r="A4542">
        <f t="shared" si="922"/>
        <v>0</v>
      </c>
      <c r="B4542">
        <f t="shared" si="923"/>
        <v>0</v>
      </c>
      <c r="C4542">
        <f t="shared" si="924"/>
        <v>0</v>
      </c>
      <c r="D4542">
        <f t="shared" si="925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6"/>
        <v>0</v>
      </c>
      <c r="G4542">
        <f t="shared" si="927"/>
        <v>0</v>
      </c>
      <c r="H4542">
        <f t="shared" si="928"/>
        <v>0</v>
      </c>
      <c r="I4542">
        <f t="shared" si="929"/>
        <v>0</v>
      </c>
      <c r="J4542">
        <f t="shared" si="930"/>
        <v>0</v>
      </c>
      <c r="K4542" s="4" t="e">
        <f t="shared" si="931"/>
        <v>#N/A</v>
      </c>
      <c r="L4542" t="e">
        <f t="shared" si="932"/>
        <v>#N/A</v>
      </c>
      <c r="M4542" s="4" t="e">
        <f t="shared" si="933"/>
        <v>#N/A</v>
      </c>
      <c r="N4542" s="4" t="e">
        <f t="shared" si="934"/>
        <v>#N/A</v>
      </c>
    </row>
    <row r="4543" spans="1:14">
      <c r="A4543">
        <f t="shared" si="922"/>
        <v>0</v>
      </c>
      <c r="B4543">
        <f t="shared" si="923"/>
        <v>0</v>
      </c>
      <c r="C4543">
        <f t="shared" si="924"/>
        <v>0</v>
      </c>
      <c r="D4543">
        <f t="shared" si="925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6"/>
        <v>0</v>
      </c>
      <c r="G4543">
        <f t="shared" si="927"/>
        <v>0</v>
      </c>
      <c r="H4543">
        <f t="shared" si="928"/>
        <v>0</v>
      </c>
      <c r="I4543">
        <f t="shared" si="929"/>
        <v>0</v>
      </c>
      <c r="J4543">
        <f t="shared" si="930"/>
        <v>0</v>
      </c>
      <c r="K4543" s="4" t="e">
        <f t="shared" si="931"/>
        <v>#N/A</v>
      </c>
      <c r="L4543" t="e">
        <f t="shared" si="932"/>
        <v>#N/A</v>
      </c>
      <c r="M4543" s="4" t="e">
        <f t="shared" si="933"/>
        <v>#N/A</v>
      </c>
      <c r="N4543" s="4" t="e">
        <f t="shared" si="934"/>
        <v>#N/A</v>
      </c>
    </row>
    <row r="4544" spans="1:14">
      <c r="A4544">
        <f t="shared" si="922"/>
        <v>0</v>
      </c>
      <c r="B4544">
        <f t="shared" si="923"/>
        <v>0</v>
      </c>
      <c r="C4544">
        <f t="shared" si="924"/>
        <v>0</v>
      </c>
      <c r="D4544">
        <f t="shared" si="925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6"/>
        <v>0</v>
      </c>
      <c r="G4544">
        <f t="shared" si="927"/>
        <v>0</v>
      </c>
      <c r="H4544">
        <f t="shared" si="928"/>
        <v>0</v>
      </c>
      <c r="I4544">
        <f t="shared" si="929"/>
        <v>0</v>
      </c>
      <c r="J4544">
        <f t="shared" si="930"/>
        <v>0</v>
      </c>
      <c r="K4544" s="4" t="e">
        <f t="shared" si="931"/>
        <v>#N/A</v>
      </c>
      <c r="L4544" t="e">
        <f t="shared" si="932"/>
        <v>#N/A</v>
      </c>
      <c r="M4544" s="4" t="e">
        <f t="shared" si="933"/>
        <v>#N/A</v>
      </c>
      <c r="N4544" s="4" t="e">
        <f t="shared" si="934"/>
        <v>#N/A</v>
      </c>
    </row>
    <row r="4545" spans="1:14">
      <c r="A4545">
        <f t="shared" si="922"/>
        <v>0</v>
      </c>
      <c r="B4545">
        <f t="shared" si="923"/>
        <v>0</v>
      </c>
      <c r="C4545">
        <f t="shared" si="924"/>
        <v>0</v>
      </c>
      <c r="D4545">
        <f t="shared" si="925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6"/>
        <v>0</v>
      </c>
      <c r="G4545">
        <f t="shared" si="927"/>
        <v>0</v>
      </c>
      <c r="H4545">
        <f t="shared" si="928"/>
        <v>0</v>
      </c>
      <c r="I4545">
        <f t="shared" si="929"/>
        <v>0</v>
      </c>
      <c r="J4545">
        <f t="shared" si="930"/>
        <v>0</v>
      </c>
      <c r="K4545" s="4" t="e">
        <f t="shared" si="931"/>
        <v>#N/A</v>
      </c>
      <c r="L4545" t="e">
        <f t="shared" si="932"/>
        <v>#N/A</v>
      </c>
      <c r="M4545" s="4" t="e">
        <f t="shared" si="933"/>
        <v>#N/A</v>
      </c>
      <c r="N4545" s="4" t="e">
        <f t="shared" si="934"/>
        <v>#N/A</v>
      </c>
    </row>
    <row r="4546" spans="1:14">
      <c r="A4546">
        <f t="shared" ref="A4546:A4609" si="935">bd_campaign</f>
        <v>0</v>
      </c>
      <c r="B4546">
        <f t="shared" ref="B4546:B4609" si="936">bd_site</f>
        <v>0</v>
      </c>
      <c r="C4546">
        <f t="shared" ref="C4546:C4609" si="937">bd_placement</f>
        <v>0</v>
      </c>
      <c r="D4546">
        <f t="shared" ref="D4546:D4609" si="938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9">bd_ad</f>
        <v>0</v>
      </c>
      <c r="G4546">
        <f t="shared" ref="G4546:G4609" si="940">bd_adid</f>
        <v>0</v>
      </c>
      <c r="H4546">
        <f t="shared" ref="H4546:H4609" si="941">bd_creativetype</f>
        <v>0</v>
      </c>
      <c r="I4546">
        <f t="shared" ref="I4546:I4609" si="942">bd_impression</f>
        <v>0</v>
      </c>
      <c r="J4546">
        <f t="shared" ref="J4546:J4609" si="943">bd_clicks</f>
        <v>0</v>
      </c>
      <c r="K4546" s="4" t="e">
        <f t="shared" si="931"/>
        <v>#N/A</v>
      </c>
      <c r="L4546" t="e">
        <f t="shared" si="932"/>
        <v>#N/A</v>
      </c>
      <c r="M4546" s="4" t="e">
        <f t="shared" si="933"/>
        <v>#N/A</v>
      </c>
      <c r="N4546" s="4" t="e">
        <f t="shared" si="934"/>
        <v>#N/A</v>
      </c>
    </row>
    <row r="4547" spans="1:14">
      <c r="A4547">
        <f t="shared" si="935"/>
        <v>0</v>
      </c>
      <c r="B4547">
        <f t="shared" si="936"/>
        <v>0</v>
      </c>
      <c r="C4547">
        <f t="shared" si="937"/>
        <v>0</v>
      </c>
      <c r="D4547">
        <f t="shared" si="938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9"/>
        <v>0</v>
      </c>
      <c r="G4547">
        <f t="shared" si="940"/>
        <v>0</v>
      </c>
      <c r="H4547">
        <f t="shared" si="941"/>
        <v>0</v>
      </c>
      <c r="I4547">
        <f t="shared" si="942"/>
        <v>0</v>
      </c>
      <c r="J4547">
        <f t="shared" si="943"/>
        <v>0</v>
      </c>
      <c r="K4547" s="4" t="e">
        <f t="shared" si="931"/>
        <v>#N/A</v>
      </c>
      <c r="L4547" t="e">
        <f t="shared" si="932"/>
        <v>#N/A</v>
      </c>
      <c r="M4547" s="4" t="e">
        <f t="shared" si="933"/>
        <v>#N/A</v>
      </c>
      <c r="N4547" s="4" t="e">
        <f t="shared" si="934"/>
        <v>#N/A</v>
      </c>
    </row>
    <row r="4548" spans="1:14">
      <c r="A4548">
        <f t="shared" si="935"/>
        <v>0</v>
      </c>
      <c r="B4548">
        <f t="shared" si="936"/>
        <v>0</v>
      </c>
      <c r="C4548">
        <f t="shared" si="937"/>
        <v>0</v>
      </c>
      <c r="D4548">
        <f t="shared" si="938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9"/>
        <v>0</v>
      </c>
      <c r="G4548">
        <f t="shared" si="940"/>
        <v>0</v>
      </c>
      <c r="H4548">
        <f t="shared" si="941"/>
        <v>0</v>
      </c>
      <c r="I4548">
        <f t="shared" si="942"/>
        <v>0</v>
      </c>
      <c r="J4548">
        <f t="shared" si="943"/>
        <v>0</v>
      </c>
      <c r="K4548" s="4" t="e">
        <f t="shared" si="931"/>
        <v>#N/A</v>
      </c>
      <c r="L4548" t="e">
        <f t="shared" si="932"/>
        <v>#N/A</v>
      </c>
      <c r="M4548" s="4" t="e">
        <f t="shared" si="933"/>
        <v>#N/A</v>
      </c>
      <c r="N4548" s="4" t="e">
        <f t="shared" si="934"/>
        <v>#N/A</v>
      </c>
    </row>
    <row r="4549" spans="1:14">
      <c r="A4549">
        <f t="shared" si="935"/>
        <v>0</v>
      </c>
      <c r="B4549">
        <f t="shared" si="936"/>
        <v>0</v>
      </c>
      <c r="C4549">
        <f t="shared" si="937"/>
        <v>0</v>
      </c>
      <c r="D4549">
        <f t="shared" si="938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9"/>
        <v>0</v>
      </c>
      <c r="G4549">
        <f t="shared" si="940"/>
        <v>0</v>
      </c>
      <c r="H4549">
        <f t="shared" si="941"/>
        <v>0</v>
      </c>
      <c r="I4549">
        <f t="shared" si="942"/>
        <v>0</v>
      </c>
      <c r="J4549">
        <f t="shared" si="943"/>
        <v>0</v>
      </c>
      <c r="K4549" s="4" t="e">
        <f t="shared" si="931"/>
        <v>#N/A</v>
      </c>
      <c r="L4549" t="e">
        <f t="shared" si="932"/>
        <v>#N/A</v>
      </c>
      <c r="M4549" s="4" t="e">
        <f t="shared" si="933"/>
        <v>#N/A</v>
      </c>
      <c r="N4549" s="4" t="e">
        <f t="shared" si="934"/>
        <v>#N/A</v>
      </c>
    </row>
    <row r="4550" spans="1:14">
      <c r="A4550">
        <f t="shared" si="935"/>
        <v>0</v>
      </c>
      <c r="B4550">
        <f t="shared" si="936"/>
        <v>0</v>
      </c>
      <c r="C4550">
        <f t="shared" si="937"/>
        <v>0</v>
      </c>
      <c r="D4550">
        <f t="shared" si="938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9"/>
        <v>0</v>
      </c>
      <c r="G4550">
        <f t="shared" si="940"/>
        <v>0</v>
      </c>
      <c r="H4550">
        <f t="shared" si="941"/>
        <v>0</v>
      </c>
      <c r="I4550">
        <f t="shared" si="942"/>
        <v>0</v>
      </c>
      <c r="J4550">
        <f t="shared" si="943"/>
        <v>0</v>
      </c>
      <c r="K4550" s="4" t="e">
        <f t="shared" si="931"/>
        <v>#N/A</v>
      </c>
      <c r="L4550" t="e">
        <f t="shared" si="932"/>
        <v>#N/A</v>
      </c>
      <c r="M4550" s="4" t="e">
        <f t="shared" si="933"/>
        <v>#N/A</v>
      </c>
      <c r="N4550" s="4" t="e">
        <f t="shared" si="934"/>
        <v>#N/A</v>
      </c>
    </row>
    <row r="4551" spans="1:14">
      <c r="A4551">
        <f t="shared" si="935"/>
        <v>0</v>
      </c>
      <c r="B4551">
        <f t="shared" si="936"/>
        <v>0</v>
      </c>
      <c r="C4551">
        <f t="shared" si="937"/>
        <v>0</v>
      </c>
      <c r="D4551">
        <f t="shared" si="938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9"/>
        <v>0</v>
      </c>
      <c r="G4551">
        <f t="shared" si="940"/>
        <v>0</v>
      </c>
      <c r="H4551">
        <f t="shared" si="941"/>
        <v>0</v>
      </c>
      <c r="I4551">
        <f t="shared" si="942"/>
        <v>0</v>
      </c>
      <c r="J4551">
        <f t="shared" si="943"/>
        <v>0</v>
      </c>
      <c r="K4551" s="4" t="e">
        <f t="shared" si="931"/>
        <v>#N/A</v>
      </c>
      <c r="L4551" t="e">
        <f t="shared" si="932"/>
        <v>#N/A</v>
      </c>
      <c r="M4551" s="4" t="e">
        <f t="shared" si="933"/>
        <v>#N/A</v>
      </c>
      <c r="N4551" s="4" t="e">
        <f t="shared" si="934"/>
        <v>#N/A</v>
      </c>
    </row>
    <row r="4552" spans="1:14">
      <c r="A4552">
        <f t="shared" si="935"/>
        <v>0</v>
      </c>
      <c r="B4552">
        <f t="shared" si="936"/>
        <v>0</v>
      </c>
      <c r="C4552">
        <f t="shared" si="937"/>
        <v>0</v>
      </c>
      <c r="D4552">
        <f t="shared" si="938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9"/>
        <v>0</v>
      </c>
      <c r="G4552">
        <f t="shared" si="940"/>
        <v>0</v>
      </c>
      <c r="H4552">
        <f t="shared" si="941"/>
        <v>0</v>
      </c>
      <c r="I4552">
        <f t="shared" si="942"/>
        <v>0</v>
      </c>
      <c r="J4552">
        <f t="shared" si="943"/>
        <v>0</v>
      </c>
      <c r="K4552" s="4" t="e">
        <f t="shared" si="931"/>
        <v>#N/A</v>
      </c>
      <c r="L4552" t="e">
        <f t="shared" si="932"/>
        <v>#N/A</v>
      </c>
      <c r="M4552" s="4" t="e">
        <f t="shared" si="933"/>
        <v>#N/A</v>
      </c>
      <c r="N4552" s="4" t="e">
        <f t="shared" si="934"/>
        <v>#N/A</v>
      </c>
    </row>
    <row r="4553" spans="1:14">
      <c r="A4553">
        <f t="shared" si="935"/>
        <v>0</v>
      </c>
      <c r="B4553">
        <f t="shared" si="936"/>
        <v>0</v>
      </c>
      <c r="C4553">
        <f t="shared" si="937"/>
        <v>0</v>
      </c>
      <c r="D4553">
        <f t="shared" si="938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9"/>
        <v>0</v>
      </c>
      <c r="G4553">
        <f t="shared" si="940"/>
        <v>0</v>
      </c>
      <c r="H4553">
        <f t="shared" si="941"/>
        <v>0</v>
      </c>
      <c r="I4553">
        <f t="shared" si="942"/>
        <v>0</v>
      </c>
      <c r="J4553">
        <f t="shared" si="943"/>
        <v>0</v>
      </c>
      <c r="K4553" s="4" t="e">
        <f t="shared" si="931"/>
        <v>#N/A</v>
      </c>
      <c r="L4553" t="e">
        <f t="shared" si="932"/>
        <v>#N/A</v>
      </c>
      <c r="M4553" s="4" t="e">
        <f t="shared" si="933"/>
        <v>#N/A</v>
      </c>
      <c r="N4553" s="4" t="e">
        <f t="shared" si="934"/>
        <v>#N/A</v>
      </c>
    </row>
    <row r="4554" spans="1:14">
      <c r="A4554">
        <f t="shared" si="935"/>
        <v>0</v>
      </c>
      <c r="B4554">
        <f t="shared" si="936"/>
        <v>0</v>
      </c>
      <c r="C4554">
        <f t="shared" si="937"/>
        <v>0</v>
      </c>
      <c r="D4554">
        <f t="shared" si="938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9"/>
        <v>0</v>
      </c>
      <c r="G4554">
        <f t="shared" si="940"/>
        <v>0</v>
      </c>
      <c r="H4554">
        <f t="shared" si="941"/>
        <v>0</v>
      </c>
      <c r="I4554">
        <f t="shared" si="942"/>
        <v>0</v>
      </c>
      <c r="J4554">
        <f t="shared" si="943"/>
        <v>0</v>
      </c>
      <c r="K4554" s="4" t="e">
        <f t="shared" si="931"/>
        <v>#N/A</v>
      </c>
      <c r="L4554" t="e">
        <f t="shared" si="932"/>
        <v>#N/A</v>
      </c>
      <c r="M4554" s="4" t="e">
        <f t="shared" si="933"/>
        <v>#N/A</v>
      </c>
      <c r="N4554" s="4" t="e">
        <f t="shared" si="934"/>
        <v>#N/A</v>
      </c>
    </row>
    <row r="4555" spans="1:14">
      <c r="A4555">
        <f t="shared" si="935"/>
        <v>0</v>
      </c>
      <c r="B4555">
        <f t="shared" si="936"/>
        <v>0</v>
      </c>
      <c r="C4555">
        <f t="shared" si="937"/>
        <v>0</v>
      </c>
      <c r="D4555">
        <f t="shared" si="938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9"/>
        <v>0</v>
      </c>
      <c r="G4555">
        <f t="shared" si="940"/>
        <v>0</v>
      </c>
      <c r="H4555">
        <f t="shared" si="941"/>
        <v>0</v>
      </c>
      <c r="I4555">
        <f t="shared" si="942"/>
        <v>0</v>
      </c>
      <c r="J4555">
        <f t="shared" si="943"/>
        <v>0</v>
      </c>
      <c r="K4555" s="4" t="e">
        <f t="shared" si="931"/>
        <v>#N/A</v>
      </c>
      <c r="L4555" t="e">
        <f t="shared" si="932"/>
        <v>#N/A</v>
      </c>
      <c r="M4555" s="4" t="e">
        <f t="shared" si="933"/>
        <v>#N/A</v>
      </c>
      <c r="N4555" s="4" t="e">
        <f t="shared" si="934"/>
        <v>#N/A</v>
      </c>
    </row>
    <row r="4556" spans="1:14">
      <c r="A4556">
        <f t="shared" si="935"/>
        <v>0</v>
      </c>
      <c r="B4556">
        <f t="shared" si="936"/>
        <v>0</v>
      </c>
      <c r="C4556">
        <f t="shared" si="937"/>
        <v>0</v>
      </c>
      <c r="D4556">
        <f t="shared" si="938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9"/>
        <v>0</v>
      </c>
      <c r="G4556">
        <f t="shared" si="940"/>
        <v>0</v>
      </c>
      <c r="H4556">
        <f t="shared" si="941"/>
        <v>0</v>
      </c>
      <c r="I4556">
        <f t="shared" si="942"/>
        <v>0</v>
      </c>
      <c r="J4556">
        <f t="shared" si="943"/>
        <v>0</v>
      </c>
      <c r="K4556" s="4" t="e">
        <f t="shared" si="931"/>
        <v>#N/A</v>
      </c>
      <c r="L4556" t="e">
        <f t="shared" si="932"/>
        <v>#N/A</v>
      </c>
      <c r="M4556" s="4" t="e">
        <f t="shared" si="933"/>
        <v>#N/A</v>
      </c>
      <c r="N4556" s="4" t="e">
        <f t="shared" si="934"/>
        <v>#N/A</v>
      </c>
    </row>
    <row r="4557" spans="1:14">
      <c r="A4557">
        <f t="shared" si="935"/>
        <v>0</v>
      </c>
      <c r="B4557">
        <f t="shared" si="936"/>
        <v>0</v>
      </c>
      <c r="C4557">
        <f t="shared" si="937"/>
        <v>0</v>
      </c>
      <c r="D4557">
        <f t="shared" si="938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9"/>
        <v>0</v>
      </c>
      <c r="G4557">
        <f t="shared" si="940"/>
        <v>0</v>
      </c>
      <c r="H4557">
        <f t="shared" si="941"/>
        <v>0</v>
      </c>
      <c r="I4557">
        <f t="shared" si="942"/>
        <v>0</v>
      </c>
      <c r="J4557">
        <f t="shared" si="943"/>
        <v>0</v>
      </c>
      <c r="K4557" s="4" t="e">
        <f t="shared" si="931"/>
        <v>#N/A</v>
      </c>
      <c r="L4557" t="e">
        <f t="shared" si="932"/>
        <v>#N/A</v>
      </c>
      <c r="M4557" s="4" t="e">
        <f t="shared" si="933"/>
        <v>#N/A</v>
      </c>
      <c r="N4557" s="4" t="e">
        <f t="shared" si="934"/>
        <v>#N/A</v>
      </c>
    </row>
    <row r="4558" spans="1:14">
      <c r="A4558">
        <f t="shared" si="935"/>
        <v>0</v>
      </c>
      <c r="B4558">
        <f t="shared" si="936"/>
        <v>0</v>
      </c>
      <c r="C4558">
        <f t="shared" si="937"/>
        <v>0</v>
      </c>
      <c r="D4558">
        <f t="shared" si="938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9"/>
        <v>0</v>
      </c>
      <c r="G4558">
        <f t="shared" si="940"/>
        <v>0</v>
      </c>
      <c r="H4558">
        <f t="shared" si="941"/>
        <v>0</v>
      </c>
      <c r="I4558">
        <f t="shared" si="942"/>
        <v>0</v>
      </c>
      <c r="J4558">
        <f t="shared" si="943"/>
        <v>0</v>
      </c>
      <c r="K4558" s="4" t="e">
        <f t="shared" si="931"/>
        <v>#N/A</v>
      </c>
      <c r="L4558" t="e">
        <f t="shared" si="932"/>
        <v>#N/A</v>
      </c>
      <c r="M4558" s="4" t="e">
        <f t="shared" si="933"/>
        <v>#N/A</v>
      </c>
      <c r="N4558" s="4" t="e">
        <f t="shared" si="934"/>
        <v>#N/A</v>
      </c>
    </row>
    <row r="4559" spans="1:14">
      <c r="A4559">
        <f t="shared" si="935"/>
        <v>0</v>
      </c>
      <c r="B4559">
        <f t="shared" si="936"/>
        <v>0</v>
      </c>
      <c r="C4559">
        <f t="shared" si="937"/>
        <v>0</v>
      </c>
      <c r="D4559">
        <f t="shared" si="938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9"/>
        <v>0</v>
      </c>
      <c r="G4559">
        <f t="shared" si="940"/>
        <v>0</v>
      </c>
      <c r="H4559">
        <f t="shared" si="941"/>
        <v>0</v>
      </c>
      <c r="I4559">
        <f t="shared" si="942"/>
        <v>0</v>
      </c>
      <c r="J4559">
        <f t="shared" si="943"/>
        <v>0</v>
      </c>
      <c r="K4559" s="4" t="e">
        <f t="shared" si="931"/>
        <v>#N/A</v>
      </c>
      <c r="L4559" t="e">
        <f t="shared" si="932"/>
        <v>#N/A</v>
      </c>
      <c r="M4559" s="4" t="e">
        <f t="shared" si="933"/>
        <v>#N/A</v>
      </c>
      <c r="N4559" s="4" t="e">
        <f t="shared" si="934"/>
        <v>#N/A</v>
      </c>
    </row>
    <row r="4560" spans="1:14">
      <c r="A4560">
        <f t="shared" si="935"/>
        <v>0</v>
      </c>
      <c r="B4560">
        <f t="shared" si="936"/>
        <v>0</v>
      </c>
      <c r="C4560">
        <f t="shared" si="937"/>
        <v>0</v>
      </c>
      <c r="D4560">
        <f t="shared" si="938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9"/>
        <v>0</v>
      </c>
      <c r="G4560">
        <f t="shared" si="940"/>
        <v>0</v>
      </c>
      <c r="H4560">
        <f t="shared" si="941"/>
        <v>0</v>
      </c>
      <c r="I4560">
        <f t="shared" si="942"/>
        <v>0</v>
      </c>
      <c r="J4560">
        <f t="shared" si="943"/>
        <v>0</v>
      </c>
      <c r="K4560" s="4" t="e">
        <f t="shared" si="931"/>
        <v>#N/A</v>
      </c>
      <c r="L4560" t="e">
        <f t="shared" si="932"/>
        <v>#N/A</v>
      </c>
      <c r="M4560" s="4" t="e">
        <f t="shared" si="933"/>
        <v>#N/A</v>
      </c>
      <c r="N4560" s="4" t="e">
        <f t="shared" si="934"/>
        <v>#N/A</v>
      </c>
    </row>
    <row r="4561" spans="1:14">
      <c r="A4561">
        <f t="shared" si="935"/>
        <v>0</v>
      </c>
      <c r="B4561">
        <f t="shared" si="936"/>
        <v>0</v>
      </c>
      <c r="C4561">
        <f t="shared" si="937"/>
        <v>0</v>
      </c>
      <c r="D4561">
        <f t="shared" si="938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9"/>
        <v>0</v>
      </c>
      <c r="G4561">
        <f t="shared" si="940"/>
        <v>0</v>
      </c>
      <c r="H4561">
        <f t="shared" si="941"/>
        <v>0</v>
      </c>
      <c r="I4561">
        <f t="shared" si="942"/>
        <v>0</v>
      </c>
      <c r="J4561">
        <f t="shared" si="943"/>
        <v>0</v>
      </c>
      <c r="K4561" s="4" t="e">
        <f t="shared" si="931"/>
        <v>#N/A</v>
      </c>
      <c r="L4561" t="e">
        <f t="shared" si="932"/>
        <v>#N/A</v>
      </c>
      <c r="M4561" s="4" t="e">
        <f t="shared" si="933"/>
        <v>#N/A</v>
      </c>
      <c r="N4561" s="4" t="e">
        <f t="shared" si="934"/>
        <v>#N/A</v>
      </c>
    </row>
    <row r="4562" spans="1:14">
      <c r="A4562">
        <f t="shared" si="935"/>
        <v>0</v>
      </c>
      <c r="B4562">
        <f t="shared" si="936"/>
        <v>0</v>
      </c>
      <c r="C4562">
        <f t="shared" si="937"/>
        <v>0</v>
      </c>
      <c r="D4562">
        <f t="shared" si="938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9"/>
        <v>0</v>
      </c>
      <c r="G4562">
        <f t="shared" si="940"/>
        <v>0</v>
      </c>
      <c r="H4562">
        <f t="shared" si="941"/>
        <v>0</v>
      </c>
      <c r="I4562">
        <f t="shared" si="942"/>
        <v>0</v>
      </c>
      <c r="J4562">
        <f t="shared" si="943"/>
        <v>0</v>
      </c>
      <c r="K4562" s="4" t="e">
        <f t="shared" si="931"/>
        <v>#N/A</v>
      </c>
      <c r="L4562" t="e">
        <f t="shared" si="932"/>
        <v>#N/A</v>
      </c>
      <c r="M4562" s="4" t="e">
        <f t="shared" si="933"/>
        <v>#N/A</v>
      </c>
      <c r="N4562" s="4" t="e">
        <f t="shared" si="934"/>
        <v>#N/A</v>
      </c>
    </row>
    <row r="4563" spans="1:14">
      <c r="A4563">
        <f t="shared" si="935"/>
        <v>0</v>
      </c>
      <c r="B4563">
        <f t="shared" si="936"/>
        <v>0</v>
      </c>
      <c r="C4563">
        <f t="shared" si="937"/>
        <v>0</v>
      </c>
      <c r="D4563">
        <f t="shared" si="938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9"/>
        <v>0</v>
      </c>
      <c r="G4563">
        <f t="shared" si="940"/>
        <v>0</v>
      </c>
      <c r="H4563">
        <f t="shared" si="941"/>
        <v>0</v>
      </c>
      <c r="I4563">
        <f t="shared" si="942"/>
        <v>0</v>
      </c>
      <c r="J4563">
        <f t="shared" si="943"/>
        <v>0</v>
      </c>
      <c r="K4563" s="4" t="e">
        <f t="shared" si="931"/>
        <v>#N/A</v>
      </c>
      <c r="L4563" t="e">
        <f t="shared" si="932"/>
        <v>#N/A</v>
      </c>
      <c r="M4563" s="4" t="e">
        <f t="shared" si="933"/>
        <v>#N/A</v>
      </c>
      <c r="N4563" s="4" t="e">
        <f t="shared" si="934"/>
        <v>#N/A</v>
      </c>
    </row>
    <row r="4564" spans="1:14">
      <c r="A4564">
        <f t="shared" si="935"/>
        <v>0</v>
      </c>
      <c r="B4564">
        <f t="shared" si="936"/>
        <v>0</v>
      </c>
      <c r="C4564">
        <f t="shared" si="937"/>
        <v>0</v>
      </c>
      <c r="D4564">
        <f t="shared" si="938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9"/>
        <v>0</v>
      </c>
      <c r="G4564">
        <f t="shared" si="940"/>
        <v>0</v>
      </c>
      <c r="H4564">
        <f t="shared" si="941"/>
        <v>0</v>
      </c>
      <c r="I4564">
        <f t="shared" si="942"/>
        <v>0</v>
      </c>
      <c r="J4564">
        <f t="shared" si="943"/>
        <v>0</v>
      </c>
      <c r="K4564" s="4" t="e">
        <f t="shared" si="931"/>
        <v>#N/A</v>
      </c>
      <c r="L4564" t="e">
        <f t="shared" si="932"/>
        <v>#N/A</v>
      </c>
      <c r="M4564" s="4" t="e">
        <f t="shared" si="933"/>
        <v>#N/A</v>
      </c>
      <c r="N4564" s="4" t="e">
        <f t="shared" si="934"/>
        <v>#N/A</v>
      </c>
    </row>
    <row r="4565" spans="1:14">
      <c r="A4565">
        <f t="shared" si="935"/>
        <v>0</v>
      </c>
      <c r="B4565">
        <f t="shared" si="936"/>
        <v>0</v>
      </c>
      <c r="C4565">
        <f t="shared" si="937"/>
        <v>0</v>
      </c>
      <c r="D4565">
        <f t="shared" si="938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9"/>
        <v>0</v>
      </c>
      <c r="G4565">
        <f t="shared" si="940"/>
        <v>0</v>
      </c>
      <c r="H4565">
        <f t="shared" si="941"/>
        <v>0</v>
      </c>
      <c r="I4565">
        <f t="shared" si="942"/>
        <v>0</v>
      </c>
      <c r="J4565">
        <f t="shared" si="943"/>
        <v>0</v>
      </c>
      <c r="K4565" s="4" t="e">
        <f t="shared" si="931"/>
        <v>#N/A</v>
      </c>
      <c r="L4565" t="e">
        <f t="shared" si="932"/>
        <v>#N/A</v>
      </c>
      <c r="M4565" s="4" t="e">
        <f t="shared" si="933"/>
        <v>#N/A</v>
      </c>
      <c r="N4565" s="4" t="e">
        <f t="shared" si="934"/>
        <v>#N/A</v>
      </c>
    </row>
    <row r="4566" spans="1:14">
      <c r="A4566">
        <f t="shared" si="935"/>
        <v>0</v>
      </c>
      <c r="B4566">
        <f t="shared" si="936"/>
        <v>0</v>
      </c>
      <c r="C4566">
        <f t="shared" si="937"/>
        <v>0</v>
      </c>
      <c r="D4566">
        <f t="shared" si="938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9"/>
        <v>0</v>
      </c>
      <c r="G4566">
        <f t="shared" si="940"/>
        <v>0</v>
      </c>
      <c r="H4566">
        <f t="shared" si="941"/>
        <v>0</v>
      </c>
      <c r="I4566">
        <f t="shared" si="942"/>
        <v>0</v>
      </c>
      <c r="J4566">
        <f t="shared" si="943"/>
        <v>0</v>
      </c>
      <c r="K4566" s="4" t="e">
        <f t="shared" si="931"/>
        <v>#N/A</v>
      </c>
      <c r="L4566" t="e">
        <f t="shared" si="932"/>
        <v>#N/A</v>
      </c>
      <c r="M4566" s="4" t="e">
        <f t="shared" si="933"/>
        <v>#N/A</v>
      </c>
      <c r="N4566" s="4" t="e">
        <f t="shared" si="934"/>
        <v>#N/A</v>
      </c>
    </row>
    <row r="4567" spans="1:14">
      <c r="A4567">
        <f t="shared" si="935"/>
        <v>0</v>
      </c>
      <c r="B4567">
        <f t="shared" si="936"/>
        <v>0</v>
      </c>
      <c r="C4567">
        <f t="shared" si="937"/>
        <v>0</v>
      </c>
      <c r="D4567">
        <f t="shared" si="938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9"/>
        <v>0</v>
      </c>
      <c r="G4567">
        <f t="shared" si="940"/>
        <v>0</v>
      </c>
      <c r="H4567">
        <f t="shared" si="941"/>
        <v>0</v>
      </c>
      <c r="I4567">
        <f t="shared" si="942"/>
        <v>0</v>
      </c>
      <c r="J4567">
        <f t="shared" si="943"/>
        <v>0</v>
      </c>
      <c r="K4567" s="4" t="e">
        <f t="shared" si="931"/>
        <v>#N/A</v>
      </c>
      <c r="L4567" t="e">
        <f t="shared" si="932"/>
        <v>#N/A</v>
      </c>
      <c r="M4567" s="4" t="e">
        <f t="shared" si="933"/>
        <v>#N/A</v>
      </c>
      <c r="N4567" s="4" t="e">
        <f t="shared" si="934"/>
        <v>#N/A</v>
      </c>
    </row>
    <row r="4568" spans="1:14">
      <c r="A4568">
        <f t="shared" si="935"/>
        <v>0</v>
      </c>
      <c r="B4568">
        <f t="shared" si="936"/>
        <v>0</v>
      </c>
      <c r="C4568">
        <f t="shared" si="937"/>
        <v>0</v>
      </c>
      <c r="D4568">
        <f t="shared" si="938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9"/>
        <v>0</v>
      </c>
      <c r="G4568">
        <f t="shared" si="940"/>
        <v>0</v>
      </c>
      <c r="H4568">
        <f t="shared" si="941"/>
        <v>0</v>
      </c>
      <c r="I4568">
        <f t="shared" si="942"/>
        <v>0</v>
      </c>
      <c r="J4568">
        <f t="shared" si="943"/>
        <v>0</v>
      </c>
      <c r="K4568" s="4" t="e">
        <f t="shared" si="931"/>
        <v>#N/A</v>
      </c>
      <c r="L4568" t="e">
        <f t="shared" si="932"/>
        <v>#N/A</v>
      </c>
      <c r="M4568" s="4" t="e">
        <f t="shared" si="933"/>
        <v>#N/A</v>
      </c>
      <c r="N4568" s="4" t="e">
        <f t="shared" si="934"/>
        <v>#N/A</v>
      </c>
    </row>
    <row r="4569" spans="1:14">
      <c r="A4569">
        <f t="shared" si="935"/>
        <v>0</v>
      </c>
      <c r="B4569">
        <f t="shared" si="936"/>
        <v>0</v>
      </c>
      <c r="C4569">
        <f t="shared" si="937"/>
        <v>0</v>
      </c>
      <c r="D4569">
        <f t="shared" si="938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9"/>
        <v>0</v>
      </c>
      <c r="G4569">
        <f t="shared" si="940"/>
        <v>0</v>
      </c>
      <c r="H4569">
        <f t="shared" si="941"/>
        <v>0</v>
      </c>
      <c r="I4569">
        <f t="shared" si="942"/>
        <v>0</v>
      </c>
      <c r="J4569">
        <f t="shared" si="943"/>
        <v>0</v>
      </c>
      <c r="K4569" s="4" t="e">
        <f t="shared" si="931"/>
        <v>#N/A</v>
      </c>
      <c r="L4569" t="e">
        <f t="shared" si="932"/>
        <v>#N/A</v>
      </c>
      <c r="M4569" s="4" t="e">
        <f t="shared" si="933"/>
        <v>#N/A</v>
      </c>
      <c r="N4569" s="4" t="e">
        <f t="shared" si="934"/>
        <v>#N/A</v>
      </c>
    </row>
    <row r="4570" spans="1:14">
      <c r="A4570">
        <f t="shared" si="935"/>
        <v>0</v>
      </c>
      <c r="B4570">
        <f t="shared" si="936"/>
        <v>0</v>
      </c>
      <c r="C4570">
        <f t="shared" si="937"/>
        <v>0</v>
      </c>
      <c r="D4570">
        <f t="shared" si="938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9"/>
        <v>0</v>
      </c>
      <c r="G4570">
        <f t="shared" si="940"/>
        <v>0</v>
      </c>
      <c r="H4570">
        <f t="shared" si="941"/>
        <v>0</v>
      </c>
      <c r="I4570">
        <f t="shared" si="942"/>
        <v>0</v>
      </c>
      <c r="J4570">
        <f t="shared" si="943"/>
        <v>0</v>
      </c>
      <c r="K4570" s="4" t="e">
        <f t="shared" si="931"/>
        <v>#N/A</v>
      </c>
      <c r="L4570" t="e">
        <f t="shared" si="932"/>
        <v>#N/A</v>
      </c>
      <c r="M4570" s="4" t="e">
        <f t="shared" si="933"/>
        <v>#N/A</v>
      </c>
      <c r="N4570" s="4" t="e">
        <f t="shared" si="934"/>
        <v>#N/A</v>
      </c>
    </row>
    <row r="4571" spans="1:14">
      <c r="A4571">
        <f t="shared" si="935"/>
        <v>0</v>
      </c>
      <c r="B4571">
        <f t="shared" si="936"/>
        <v>0</v>
      </c>
      <c r="C4571">
        <f t="shared" si="937"/>
        <v>0</v>
      </c>
      <c r="D4571">
        <f t="shared" si="938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9"/>
        <v>0</v>
      </c>
      <c r="G4571">
        <f t="shared" si="940"/>
        <v>0</v>
      </c>
      <c r="H4571">
        <f t="shared" si="941"/>
        <v>0</v>
      </c>
      <c r="I4571">
        <f t="shared" si="942"/>
        <v>0</v>
      </c>
      <c r="J4571">
        <f t="shared" si="943"/>
        <v>0</v>
      </c>
      <c r="K4571" s="4" t="e">
        <f t="shared" si="931"/>
        <v>#N/A</v>
      </c>
      <c r="L4571" t="e">
        <f t="shared" si="932"/>
        <v>#N/A</v>
      </c>
      <c r="M4571" s="4" t="e">
        <f t="shared" si="933"/>
        <v>#N/A</v>
      </c>
      <c r="N4571" s="4" t="e">
        <f t="shared" si="934"/>
        <v>#N/A</v>
      </c>
    </row>
    <row r="4572" spans="1:14">
      <c r="A4572">
        <f t="shared" si="935"/>
        <v>0</v>
      </c>
      <c r="B4572">
        <f t="shared" si="936"/>
        <v>0</v>
      </c>
      <c r="C4572">
        <f t="shared" si="937"/>
        <v>0</v>
      </c>
      <c r="D4572">
        <f t="shared" si="938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9"/>
        <v>0</v>
      </c>
      <c r="G4572">
        <f t="shared" si="940"/>
        <v>0</v>
      </c>
      <c r="H4572">
        <f t="shared" si="941"/>
        <v>0</v>
      </c>
      <c r="I4572">
        <f t="shared" si="942"/>
        <v>0</v>
      </c>
      <c r="J4572">
        <f t="shared" si="943"/>
        <v>0</v>
      </c>
      <c r="K4572" s="4" t="e">
        <f t="shared" si="931"/>
        <v>#N/A</v>
      </c>
      <c r="L4572" t="e">
        <f t="shared" si="932"/>
        <v>#N/A</v>
      </c>
      <c r="M4572" s="4" t="e">
        <f t="shared" si="933"/>
        <v>#N/A</v>
      </c>
      <c r="N4572" s="4" t="e">
        <f t="shared" si="934"/>
        <v>#N/A</v>
      </c>
    </row>
    <row r="4573" spans="1:14">
      <c r="A4573">
        <f t="shared" si="935"/>
        <v>0</v>
      </c>
      <c r="B4573">
        <f t="shared" si="936"/>
        <v>0</v>
      </c>
      <c r="C4573">
        <f t="shared" si="937"/>
        <v>0</v>
      </c>
      <c r="D4573">
        <f t="shared" si="938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9"/>
        <v>0</v>
      </c>
      <c r="G4573">
        <f t="shared" si="940"/>
        <v>0</v>
      </c>
      <c r="H4573">
        <f t="shared" si="941"/>
        <v>0</v>
      </c>
      <c r="I4573">
        <f t="shared" si="942"/>
        <v>0</v>
      </c>
      <c r="J4573">
        <f t="shared" si="943"/>
        <v>0</v>
      </c>
      <c r="K4573" s="4" t="e">
        <f t="shared" si="931"/>
        <v>#N/A</v>
      </c>
      <c r="L4573" t="e">
        <f t="shared" si="932"/>
        <v>#N/A</v>
      </c>
      <c r="M4573" s="4" t="e">
        <f t="shared" si="933"/>
        <v>#N/A</v>
      </c>
      <c r="N4573" s="4" t="e">
        <f t="shared" si="934"/>
        <v>#N/A</v>
      </c>
    </row>
    <row r="4574" spans="1:14">
      <c r="A4574">
        <f t="shared" si="935"/>
        <v>0</v>
      </c>
      <c r="B4574">
        <f t="shared" si="936"/>
        <v>0</v>
      </c>
      <c r="C4574">
        <f t="shared" si="937"/>
        <v>0</v>
      </c>
      <c r="D4574">
        <f t="shared" si="938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9"/>
        <v>0</v>
      </c>
      <c r="G4574">
        <f t="shared" si="940"/>
        <v>0</v>
      </c>
      <c r="H4574">
        <f t="shared" si="941"/>
        <v>0</v>
      </c>
      <c r="I4574">
        <f t="shared" si="942"/>
        <v>0</v>
      </c>
      <c r="J4574">
        <f t="shared" si="943"/>
        <v>0</v>
      </c>
      <c r="K4574" s="4" t="e">
        <f t="shared" si="931"/>
        <v>#N/A</v>
      </c>
      <c r="L4574" t="e">
        <f t="shared" si="932"/>
        <v>#N/A</v>
      </c>
      <c r="M4574" s="4" t="e">
        <f t="shared" si="933"/>
        <v>#N/A</v>
      </c>
      <c r="N4574" s="4" t="e">
        <f t="shared" si="934"/>
        <v>#N/A</v>
      </c>
    </row>
    <row r="4575" spans="1:14">
      <c r="A4575">
        <f t="shared" si="935"/>
        <v>0</v>
      </c>
      <c r="B4575">
        <f t="shared" si="936"/>
        <v>0</v>
      </c>
      <c r="C4575">
        <f t="shared" si="937"/>
        <v>0</v>
      </c>
      <c r="D4575">
        <f t="shared" si="938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9"/>
        <v>0</v>
      </c>
      <c r="G4575">
        <f t="shared" si="940"/>
        <v>0</v>
      </c>
      <c r="H4575">
        <f t="shared" si="941"/>
        <v>0</v>
      </c>
      <c r="I4575">
        <f t="shared" si="942"/>
        <v>0</v>
      </c>
      <c r="J4575">
        <f t="shared" si="943"/>
        <v>0</v>
      </c>
      <c r="K4575" s="4" t="e">
        <f t="shared" si="931"/>
        <v>#N/A</v>
      </c>
      <c r="L4575" t="e">
        <f t="shared" si="932"/>
        <v>#N/A</v>
      </c>
      <c r="M4575" s="4" t="e">
        <f t="shared" si="933"/>
        <v>#N/A</v>
      </c>
      <c r="N4575" s="4" t="e">
        <f t="shared" si="934"/>
        <v>#N/A</v>
      </c>
    </row>
    <row r="4576" spans="1:14">
      <c r="A4576">
        <f t="shared" si="935"/>
        <v>0</v>
      </c>
      <c r="B4576">
        <f t="shared" si="936"/>
        <v>0</v>
      </c>
      <c r="C4576">
        <f t="shared" si="937"/>
        <v>0</v>
      </c>
      <c r="D4576">
        <f t="shared" si="938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9"/>
        <v>0</v>
      </c>
      <c r="G4576">
        <f t="shared" si="940"/>
        <v>0</v>
      </c>
      <c r="H4576">
        <f t="shared" si="941"/>
        <v>0</v>
      </c>
      <c r="I4576">
        <f t="shared" si="942"/>
        <v>0</v>
      </c>
      <c r="J4576">
        <f t="shared" si="943"/>
        <v>0</v>
      </c>
      <c r="K4576" s="4" t="e">
        <f t="shared" si="931"/>
        <v>#N/A</v>
      </c>
      <c r="L4576" t="e">
        <f t="shared" si="932"/>
        <v>#N/A</v>
      </c>
      <c r="M4576" s="4" t="e">
        <f t="shared" si="933"/>
        <v>#N/A</v>
      </c>
      <c r="N4576" s="4" t="e">
        <f t="shared" si="934"/>
        <v>#N/A</v>
      </c>
    </row>
    <row r="4577" spans="1:14">
      <c r="A4577">
        <f t="shared" si="935"/>
        <v>0</v>
      </c>
      <c r="B4577">
        <f t="shared" si="936"/>
        <v>0</v>
      </c>
      <c r="C4577">
        <f t="shared" si="937"/>
        <v>0</v>
      </c>
      <c r="D4577">
        <f t="shared" si="938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9"/>
        <v>0</v>
      </c>
      <c r="G4577">
        <f t="shared" si="940"/>
        <v>0</v>
      </c>
      <c r="H4577">
        <f t="shared" si="941"/>
        <v>0</v>
      </c>
      <c r="I4577">
        <f t="shared" si="942"/>
        <v>0</v>
      </c>
      <c r="J4577">
        <f t="shared" si="943"/>
        <v>0</v>
      </c>
      <c r="K4577" s="4" t="e">
        <f t="shared" si="931"/>
        <v>#N/A</v>
      </c>
      <c r="L4577" t="e">
        <f t="shared" si="932"/>
        <v>#N/A</v>
      </c>
      <c r="M4577" s="4" t="e">
        <f t="shared" si="933"/>
        <v>#N/A</v>
      </c>
      <c r="N4577" s="4" t="e">
        <f t="shared" si="934"/>
        <v>#N/A</v>
      </c>
    </row>
    <row r="4578" spans="1:14">
      <c r="A4578">
        <f t="shared" si="935"/>
        <v>0</v>
      </c>
      <c r="B4578">
        <f t="shared" si="936"/>
        <v>0</v>
      </c>
      <c r="C4578">
        <f t="shared" si="937"/>
        <v>0</v>
      </c>
      <c r="D4578">
        <f t="shared" si="938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9"/>
        <v>0</v>
      </c>
      <c r="G4578">
        <f t="shared" si="940"/>
        <v>0</v>
      </c>
      <c r="H4578">
        <f t="shared" si="941"/>
        <v>0</v>
      </c>
      <c r="I4578">
        <f t="shared" si="942"/>
        <v>0</v>
      </c>
      <c r="J4578">
        <f t="shared" si="943"/>
        <v>0</v>
      </c>
      <c r="K4578" s="4" t="e">
        <f t="shared" si="931"/>
        <v>#N/A</v>
      </c>
      <c r="L4578" t="e">
        <f t="shared" si="932"/>
        <v>#N/A</v>
      </c>
      <c r="M4578" s="4" t="e">
        <f t="shared" si="933"/>
        <v>#N/A</v>
      </c>
      <c r="N4578" s="4" t="e">
        <f t="shared" si="934"/>
        <v>#N/A</v>
      </c>
    </row>
    <row r="4579" spans="1:14">
      <c r="A4579">
        <f t="shared" si="935"/>
        <v>0</v>
      </c>
      <c r="B4579">
        <f t="shared" si="936"/>
        <v>0</v>
      </c>
      <c r="C4579">
        <f t="shared" si="937"/>
        <v>0</v>
      </c>
      <c r="D4579">
        <f t="shared" si="938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9"/>
        <v>0</v>
      </c>
      <c r="G4579">
        <f t="shared" si="940"/>
        <v>0</v>
      </c>
      <c r="H4579">
        <f t="shared" si="941"/>
        <v>0</v>
      </c>
      <c r="I4579">
        <f t="shared" si="942"/>
        <v>0</v>
      </c>
      <c r="J4579">
        <f t="shared" si="943"/>
        <v>0</v>
      </c>
      <c r="K4579" s="4" t="e">
        <f t="shared" si="931"/>
        <v>#N/A</v>
      </c>
      <c r="L4579" t="e">
        <f t="shared" si="932"/>
        <v>#N/A</v>
      </c>
      <c r="M4579" s="4" t="e">
        <f t="shared" si="933"/>
        <v>#N/A</v>
      </c>
      <c r="N4579" s="4" t="e">
        <f t="shared" si="934"/>
        <v>#N/A</v>
      </c>
    </row>
    <row r="4580" spans="1:14">
      <c r="A4580">
        <f t="shared" si="935"/>
        <v>0</v>
      </c>
      <c r="B4580">
        <f t="shared" si="936"/>
        <v>0</v>
      </c>
      <c r="C4580">
        <f t="shared" si="937"/>
        <v>0</v>
      </c>
      <c r="D4580">
        <f t="shared" si="938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9"/>
        <v>0</v>
      </c>
      <c r="G4580">
        <f t="shared" si="940"/>
        <v>0</v>
      </c>
      <c r="H4580">
        <f t="shared" si="941"/>
        <v>0</v>
      </c>
      <c r="I4580">
        <f t="shared" si="942"/>
        <v>0</v>
      </c>
      <c r="J4580">
        <f t="shared" si="943"/>
        <v>0</v>
      </c>
      <c r="K4580" s="4" t="e">
        <f t="shared" si="931"/>
        <v>#N/A</v>
      </c>
      <c r="L4580" t="e">
        <f t="shared" si="932"/>
        <v>#N/A</v>
      </c>
      <c r="M4580" s="4" t="e">
        <f t="shared" si="933"/>
        <v>#N/A</v>
      </c>
      <c r="N4580" s="4" t="e">
        <f t="shared" si="934"/>
        <v>#N/A</v>
      </c>
    </row>
    <row r="4581" spans="1:14">
      <c r="A4581">
        <f t="shared" si="935"/>
        <v>0</v>
      </c>
      <c r="B4581">
        <f t="shared" si="936"/>
        <v>0</v>
      </c>
      <c r="C4581">
        <f t="shared" si="937"/>
        <v>0</v>
      </c>
      <c r="D4581">
        <f t="shared" si="938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9"/>
        <v>0</v>
      </c>
      <c r="G4581">
        <f t="shared" si="940"/>
        <v>0</v>
      </c>
      <c r="H4581">
        <f t="shared" si="941"/>
        <v>0</v>
      </c>
      <c r="I4581">
        <f t="shared" si="942"/>
        <v>0</v>
      </c>
      <c r="J4581">
        <f t="shared" si="943"/>
        <v>0</v>
      </c>
      <c r="K4581" s="4" t="e">
        <f t="shared" si="931"/>
        <v>#N/A</v>
      </c>
      <c r="L4581" t="e">
        <f t="shared" si="932"/>
        <v>#N/A</v>
      </c>
      <c r="M4581" s="4" t="e">
        <f t="shared" si="933"/>
        <v>#N/A</v>
      </c>
      <c r="N4581" s="4" t="e">
        <f t="shared" si="934"/>
        <v>#N/A</v>
      </c>
    </row>
    <row r="4582" spans="1:14">
      <c r="A4582">
        <f t="shared" si="935"/>
        <v>0</v>
      </c>
      <c r="B4582">
        <f t="shared" si="936"/>
        <v>0</v>
      </c>
      <c r="C4582">
        <f t="shared" si="937"/>
        <v>0</v>
      </c>
      <c r="D4582">
        <f t="shared" si="938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9"/>
        <v>0</v>
      </c>
      <c r="G4582">
        <f t="shared" si="940"/>
        <v>0</v>
      </c>
      <c r="H4582">
        <f t="shared" si="941"/>
        <v>0</v>
      </c>
      <c r="I4582">
        <f t="shared" si="942"/>
        <v>0</v>
      </c>
      <c r="J4582">
        <f t="shared" si="943"/>
        <v>0</v>
      </c>
      <c r="K4582" s="4" t="e">
        <f t="shared" si="931"/>
        <v>#N/A</v>
      </c>
      <c r="L4582" t="e">
        <f t="shared" si="932"/>
        <v>#N/A</v>
      </c>
      <c r="M4582" s="4" t="e">
        <f t="shared" si="933"/>
        <v>#N/A</v>
      </c>
      <c r="N4582" s="4" t="e">
        <f t="shared" si="934"/>
        <v>#N/A</v>
      </c>
    </row>
    <row r="4583" spans="1:14">
      <c r="A4583">
        <f t="shared" si="935"/>
        <v>0</v>
      </c>
      <c r="B4583">
        <f t="shared" si="936"/>
        <v>0</v>
      </c>
      <c r="C4583">
        <f t="shared" si="937"/>
        <v>0</v>
      </c>
      <c r="D4583">
        <f t="shared" si="938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9"/>
        <v>0</v>
      </c>
      <c r="G4583">
        <f t="shared" si="940"/>
        <v>0</v>
      </c>
      <c r="H4583">
        <f t="shared" si="941"/>
        <v>0</v>
      </c>
      <c r="I4583">
        <f t="shared" si="942"/>
        <v>0</v>
      </c>
      <c r="J4583">
        <f t="shared" si="943"/>
        <v>0</v>
      </c>
      <c r="K4583" s="4" t="e">
        <f t="shared" si="931"/>
        <v>#N/A</v>
      </c>
      <c r="L4583" t="e">
        <f t="shared" si="932"/>
        <v>#N/A</v>
      </c>
      <c r="M4583" s="4" t="e">
        <f t="shared" si="933"/>
        <v>#N/A</v>
      </c>
      <c r="N4583" s="4" t="e">
        <f t="shared" si="934"/>
        <v>#N/A</v>
      </c>
    </row>
    <row r="4584" spans="1:14">
      <c r="A4584">
        <f t="shared" si="935"/>
        <v>0</v>
      </c>
      <c r="B4584">
        <f t="shared" si="936"/>
        <v>0</v>
      </c>
      <c r="C4584">
        <f t="shared" si="937"/>
        <v>0</v>
      </c>
      <c r="D4584">
        <f t="shared" si="938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9"/>
        <v>0</v>
      </c>
      <c r="G4584">
        <f t="shared" si="940"/>
        <v>0</v>
      </c>
      <c r="H4584">
        <f t="shared" si="941"/>
        <v>0</v>
      </c>
      <c r="I4584">
        <f t="shared" si="942"/>
        <v>0</v>
      </c>
      <c r="J4584">
        <f t="shared" si="943"/>
        <v>0</v>
      </c>
      <c r="K4584" s="4" t="e">
        <f t="shared" si="931"/>
        <v>#N/A</v>
      </c>
      <c r="L4584" t="e">
        <f t="shared" si="932"/>
        <v>#N/A</v>
      </c>
      <c r="M4584" s="4" t="e">
        <f t="shared" si="933"/>
        <v>#N/A</v>
      </c>
      <c r="N4584" s="4" t="e">
        <f t="shared" si="934"/>
        <v>#N/A</v>
      </c>
    </row>
    <row r="4585" spans="1:14">
      <c r="A4585">
        <f t="shared" si="935"/>
        <v>0</v>
      </c>
      <c r="B4585">
        <f t="shared" si="936"/>
        <v>0</v>
      </c>
      <c r="C4585">
        <f t="shared" si="937"/>
        <v>0</v>
      </c>
      <c r="D4585">
        <f t="shared" si="938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9"/>
        <v>0</v>
      </c>
      <c r="G4585">
        <f t="shared" si="940"/>
        <v>0</v>
      </c>
      <c r="H4585">
        <f t="shared" si="941"/>
        <v>0</v>
      </c>
      <c r="I4585">
        <f t="shared" si="942"/>
        <v>0</v>
      </c>
      <c r="J4585">
        <f t="shared" si="943"/>
        <v>0</v>
      </c>
      <c r="K4585" s="4" t="e">
        <f t="shared" si="931"/>
        <v>#N/A</v>
      </c>
      <c r="L4585" t="e">
        <f t="shared" si="932"/>
        <v>#N/A</v>
      </c>
      <c r="M4585" s="4" t="e">
        <f t="shared" si="933"/>
        <v>#N/A</v>
      </c>
      <c r="N4585" s="4" t="e">
        <f t="shared" si="934"/>
        <v>#N/A</v>
      </c>
    </row>
    <row r="4586" spans="1:14">
      <c r="A4586">
        <f t="shared" si="935"/>
        <v>0</v>
      </c>
      <c r="B4586">
        <f t="shared" si="936"/>
        <v>0</v>
      </c>
      <c r="C4586">
        <f t="shared" si="937"/>
        <v>0</v>
      </c>
      <c r="D4586">
        <f t="shared" si="938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9"/>
        <v>0</v>
      </c>
      <c r="G4586">
        <f t="shared" si="940"/>
        <v>0</v>
      </c>
      <c r="H4586">
        <f t="shared" si="941"/>
        <v>0</v>
      </c>
      <c r="I4586">
        <f t="shared" si="942"/>
        <v>0</v>
      </c>
      <c r="J4586">
        <f t="shared" si="943"/>
        <v>0</v>
      </c>
      <c r="K4586" s="4" t="e">
        <f t="shared" si="931"/>
        <v>#N/A</v>
      </c>
      <c r="L4586" t="e">
        <f t="shared" si="932"/>
        <v>#N/A</v>
      </c>
      <c r="M4586" s="4" t="e">
        <f t="shared" si="933"/>
        <v>#N/A</v>
      </c>
      <c r="N4586" s="4" t="e">
        <f t="shared" si="934"/>
        <v>#N/A</v>
      </c>
    </row>
    <row r="4587" spans="1:14">
      <c r="A4587">
        <f t="shared" si="935"/>
        <v>0</v>
      </c>
      <c r="B4587">
        <f t="shared" si="936"/>
        <v>0</v>
      </c>
      <c r="C4587">
        <f t="shared" si="937"/>
        <v>0</v>
      </c>
      <c r="D4587">
        <f t="shared" si="938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9"/>
        <v>0</v>
      </c>
      <c r="G4587">
        <f t="shared" si="940"/>
        <v>0</v>
      </c>
      <c r="H4587">
        <f t="shared" si="941"/>
        <v>0</v>
      </c>
      <c r="I4587">
        <f t="shared" si="942"/>
        <v>0</v>
      </c>
      <c r="J4587">
        <f t="shared" si="943"/>
        <v>0</v>
      </c>
      <c r="K4587" s="4" t="e">
        <f t="shared" si="931"/>
        <v>#N/A</v>
      </c>
      <c r="L4587" t="e">
        <f t="shared" si="932"/>
        <v>#N/A</v>
      </c>
      <c r="M4587" s="4" t="e">
        <f t="shared" si="933"/>
        <v>#N/A</v>
      </c>
      <c r="N4587" s="4" t="e">
        <f t="shared" si="934"/>
        <v>#N/A</v>
      </c>
    </row>
    <row r="4588" spans="1:14">
      <c r="A4588">
        <f t="shared" si="935"/>
        <v>0</v>
      </c>
      <c r="B4588">
        <f t="shared" si="936"/>
        <v>0</v>
      </c>
      <c r="C4588">
        <f t="shared" si="937"/>
        <v>0</v>
      </c>
      <c r="D4588">
        <f t="shared" si="938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9"/>
        <v>0</v>
      </c>
      <c r="G4588">
        <f t="shared" si="940"/>
        <v>0</v>
      </c>
      <c r="H4588">
        <f t="shared" si="941"/>
        <v>0</v>
      </c>
      <c r="I4588">
        <f t="shared" si="942"/>
        <v>0</v>
      </c>
      <c r="J4588">
        <f t="shared" si="943"/>
        <v>0</v>
      </c>
      <c r="K4588" s="4" t="e">
        <f t="shared" si="931"/>
        <v>#N/A</v>
      </c>
      <c r="L4588" t="e">
        <f t="shared" si="932"/>
        <v>#N/A</v>
      </c>
      <c r="M4588" s="4" t="e">
        <f t="shared" si="933"/>
        <v>#N/A</v>
      </c>
      <c r="N4588" s="4" t="e">
        <f t="shared" si="934"/>
        <v>#N/A</v>
      </c>
    </row>
    <row r="4589" spans="1:14">
      <c r="A4589">
        <f t="shared" si="935"/>
        <v>0</v>
      </c>
      <c r="B4589">
        <f t="shared" si="936"/>
        <v>0</v>
      </c>
      <c r="C4589">
        <f t="shared" si="937"/>
        <v>0</v>
      </c>
      <c r="D4589">
        <f t="shared" si="938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9"/>
        <v>0</v>
      </c>
      <c r="G4589">
        <f t="shared" si="940"/>
        <v>0</v>
      </c>
      <c r="H4589">
        <f t="shared" si="941"/>
        <v>0</v>
      </c>
      <c r="I4589">
        <f t="shared" si="942"/>
        <v>0</v>
      </c>
      <c r="J4589">
        <f t="shared" si="943"/>
        <v>0</v>
      </c>
      <c r="K4589" s="4" t="e">
        <f t="shared" si="931"/>
        <v>#N/A</v>
      </c>
      <c r="L4589" t="e">
        <f t="shared" si="932"/>
        <v>#N/A</v>
      </c>
      <c r="M4589" s="4" t="e">
        <f t="shared" si="933"/>
        <v>#N/A</v>
      </c>
      <c r="N4589" s="4" t="e">
        <f t="shared" si="934"/>
        <v>#N/A</v>
      </c>
    </row>
    <row r="4590" spans="1:14">
      <c r="A4590">
        <f t="shared" si="935"/>
        <v>0</v>
      </c>
      <c r="B4590">
        <f t="shared" si="936"/>
        <v>0</v>
      </c>
      <c r="C4590">
        <f t="shared" si="937"/>
        <v>0</v>
      </c>
      <c r="D4590">
        <f t="shared" si="938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9"/>
        <v>0</v>
      </c>
      <c r="G4590">
        <f t="shared" si="940"/>
        <v>0</v>
      </c>
      <c r="H4590">
        <f t="shared" si="941"/>
        <v>0</v>
      </c>
      <c r="I4590">
        <f t="shared" si="942"/>
        <v>0</v>
      </c>
      <c r="J4590">
        <f t="shared" si="943"/>
        <v>0</v>
      </c>
      <c r="K4590" s="4" t="e">
        <f t="shared" si="931"/>
        <v>#N/A</v>
      </c>
      <c r="L4590" t="e">
        <f t="shared" si="932"/>
        <v>#N/A</v>
      </c>
      <c r="M4590" s="4" t="e">
        <f t="shared" si="933"/>
        <v>#N/A</v>
      </c>
      <c r="N4590" s="4" t="e">
        <f t="shared" si="934"/>
        <v>#N/A</v>
      </c>
    </row>
    <row r="4591" spans="1:14">
      <c r="A4591">
        <f t="shared" si="935"/>
        <v>0</v>
      </c>
      <c r="B4591">
        <f t="shared" si="936"/>
        <v>0</v>
      </c>
      <c r="C4591">
        <f t="shared" si="937"/>
        <v>0</v>
      </c>
      <c r="D4591">
        <f t="shared" si="938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9"/>
        <v>0</v>
      </c>
      <c r="G4591">
        <f t="shared" si="940"/>
        <v>0</v>
      </c>
      <c r="H4591">
        <f t="shared" si="941"/>
        <v>0</v>
      </c>
      <c r="I4591">
        <f t="shared" si="942"/>
        <v>0</v>
      </c>
      <c r="J4591">
        <f t="shared" si="943"/>
        <v>0</v>
      </c>
      <c r="K4591" s="4" t="e">
        <f t="shared" si="931"/>
        <v>#N/A</v>
      </c>
      <c r="L4591" t="e">
        <f t="shared" si="932"/>
        <v>#N/A</v>
      </c>
      <c r="M4591" s="4" t="e">
        <f t="shared" si="933"/>
        <v>#N/A</v>
      </c>
      <c r="N4591" s="4" t="e">
        <f t="shared" si="934"/>
        <v>#N/A</v>
      </c>
    </row>
    <row r="4592" spans="1:14">
      <c r="A4592">
        <f t="shared" si="935"/>
        <v>0</v>
      </c>
      <c r="B4592">
        <f t="shared" si="936"/>
        <v>0</v>
      </c>
      <c r="C4592">
        <f t="shared" si="937"/>
        <v>0</v>
      </c>
      <c r="D4592">
        <f t="shared" si="938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9"/>
        <v>0</v>
      </c>
      <c r="G4592">
        <f t="shared" si="940"/>
        <v>0</v>
      </c>
      <c r="H4592">
        <f t="shared" si="941"/>
        <v>0</v>
      </c>
      <c r="I4592">
        <f t="shared" si="942"/>
        <v>0</v>
      </c>
      <c r="J4592">
        <f t="shared" si="943"/>
        <v>0</v>
      </c>
      <c r="K4592" s="4" t="e">
        <f t="shared" si="931"/>
        <v>#N/A</v>
      </c>
      <c r="L4592" t="e">
        <f t="shared" si="932"/>
        <v>#N/A</v>
      </c>
      <c r="M4592" s="4" t="e">
        <f t="shared" si="933"/>
        <v>#N/A</v>
      </c>
      <c r="N4592" s="4" t="e">
        <f t="shared" si="934"/>
        <v>#N/A</v>
      </c>
    </row>
    <row r="4593" spans="1:14">
      <c r="A4593">
        <f t="shared" si="935"/>
        <v>0</v>
      </c>
      <c r="B4593">
        <f t="shared" si="936"/>
        <v>0</v>
      </c>
      <c r="C4593">
        <f t="shared" si="937"/>
        <v>0</v>
      </c>
      <c r="D4593">
        <f t="shared" si="938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9"/>
        <v>0</v>
      </c>
      <c r="G4593">
        <f t="shared" si="940"/>
        <v>0</v>
      </c>
      <c r="H4593">
        <f t="shared" si="941"/>
        <v>0</v>
      </c>
      <c r="I4593">
        <f t="shared" si="942"/>
        <v>0</v>
      </c>
      <c r="J4593">
        <f t="shared" si="943"/>
        <v>0</v>
      </c>
      <c r="K4593" s="4" t="e">
        <f t="shared" si="931"/>
        <v>#N/A</v>
      </c>
      <c r="L4593" t="e">
        <f t="shared" si="932"/>
        <v>#N/A</v>
      </c>
      <c r="M4593" s="4" t="e">
        <f t="shared" si="933"/>
        <v>#N/A</v>
      </c>
      <c r="N4593" s="4" t="e">
        <f t="shared" si="934"/>
        <v>#N/A</v>
      </c>
    </row>
    <row r="4594" spans="1:14">
      <c r="A4594">
        <f t="shared" si="935"/>
        <v>0</v>
      </c>
      <c r="B4594">
        <f t="shared" si="936"/>
        <v>0</v>
      </c>
      <c r="C4594">
        <f t="shared" si="937"/>
        <v>0</v>
      </c>
      <c r="D4594">
        <f t="shared" si="938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9"/>
        <v>0</v>
      </c>
      <c r="G4594">
        <f t="shared" si="940"/>
        <v>0</v>
      </c>
      <c r="H4594">
        <f t="shared" si="941"/>
        <v>0</v>
      </c>
      <c r="I4594">
        <f t="shared" si="942"/>
        <v>0</v>
      </c>
      <c r="J4594">
        <f t="shared" si="943"/>
        <v>0</v>
      </c>
      <c r="K4594" s="4" t="e">
        <f t="shared" si="931"/>
        <v>#N/A</v>
      </c>
      <c r="L4594" t="e">
        <f t="shared" si="932"/>
        <v>#N/A</v>
      </c>
      <c r="M4594" s="4" t="e">
        <f t="shared" si="933"/>
        <v>#N/A</v>
      </c>
      <c r="N4594" s="4" t="e">
        <f t="shared" si="934"/>
        <v>#N/A</v>
      </c>
    </row>
    <row r="4595" spans="1:14">
      <c r="A4595">
        <f t="shared" si="935"/>
        <v>0</v>
      </c>
      <c r="B4595">
        <f t="shared" si="936"/>
        <v>0</v>
      </c>
      <c r="C4595">
        <f t="shared" si="937"/>
        <v>0</v>
      </c>
      <c r="D4595">
        <f t="shared" si="938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9"/>
        <v>0</v>
      </c>
      <c r="G4595">
        <f t="shared" si="940"/>
        <v>0</v>
      </c>
      <c r="H4595">
        <f t="shared" si="941"/>
        <v>0</v>
      </c>
      <c r="I4595">
        <f t="shared" si="942"/>
        <v>0</v>
      </c>
      <c r="J4595">
        <f t="shared" si="943"/>
        <v>0</v>
      </c>
      <c r="K4595" s="4" t="e">
        <f t="shared" si="931"/>
        <v>#N/A</v>
      </c>
      <c r="L4595" t="e">
        <f t="shared" si="932"/>
        <v>#N/A</v>
      </c>
      <c r="M4595" s="4" t="e">
        <f t="shared" si="933"/>
        <v>#N/A</v>
      </c>
      <c r="N4595" s="4" t="e">
        <f t="shared" si="934"/>
        <v>#N/A</v>
      </c>
    </row>
    <row r="4596" spans="1:14">
      <c r="A4596">
        <f t="shared" si="935"/>
        <v>0</v>
      </c>
      <c r="B4596">
        <f t="shared" si="936"/>
        <v>0</v>
      </c>
      <c r="C4596">
        <f t="shared" si="937"/>
        <v>0</v>
      </c>
      <c r="D4596">
        <f t="shared" si="938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9"/>
        <v>0</v>
      </c>
      <c r="G4596">
        <f t="shared" si="940"/>
        <v>0</v>
      </c>
      <c r="H4596">
        <f t="shared" si="941"/>
        <v>0</v>
      </c>
      <c r="I4596">
        <f t="shared" si="942"/>
        <v>0</v>
      </c>
      <c r="J4596">
        <f t="shared" si="943"/>
        <v>0</v>
      </c>
      <c r="K4596" s="4" t="e">
        <f t="shared" si="931"/>
        <v>#N/A</v>
      </c>
      <c r="L4596" t="e">
        <f t="shared" si="932"/>
        <v>#N/A</v>
      </c>
      <c r="M4596" s="4" t="e">
        <f t="shared" si="933"/>
        <v>#N/A</v>
      </c>
      <c r="N4596" s="4" t="e">
        <f t="shared" si="934"/>
        <v>#N/A</v>
      </c>
    </row>
    <row r="4597" spans="1:14">
      <c r="A4597">
        <f t="shared" si="935"/>
        <v>0</v>
      </c>
      <c r="B4597">
        <f t="shared" si="936"/>
        <v>0</v>
      </c>
      <c r="C4597">
        <f t="shared" si="937"/>
        <v>0</v>
      </c>
      <c r="D4597">
        <f t="shared" si="938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9"/>
        <v>0</v>
      </c>
      <c r="G4597">
        <f t="shared" si="940"/>
        <v>0</v>
      </c>
      <c r="H4597">
        <f t="shared" si="941"/>
        <v>0</v>
      </c>
      <c r="I4597">
        <f t="shared" si="942"/>
        <v>0</v>
      </c>
      <c r="J4597">
        <f t="shared" si="943"/>
        <v>0</v>
      </c>
      <c r="K4597" s="4" t="e">
        <f t="shared" si="931"/>
        <v>#N/A</v>
      </c>
      <c r="L4597" t="e">
        <f t="shared" si="932"/>
        <v>#N/A</v>
      </c>
      <c r="M4597" s="4" t="e">
        <f t="shared" si="933"/>
        <v>#N/A</v>
      </c>
      <c r="N4597" s="4" t="e">
        <f t="shared" si="934"/>
        <v>#N/A</v>
      </c>
    </row>
    <row r="4598" spans="1:14">
      <c r="A4598">
        <f t="shared" si="935"/>
        <v>0</v>
      </c>
      <c r="B4598">
        <f t="shared" si="936"/>
        <v>0</v>
      </c>
      <c r="C4598">
        <f t="shared" si="937"/>
        <v>0</v>
      </c>
      <c r="D4598">
        <f t="shared" si="938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9"/>
        <v>0</v>
      </c>
      <c r="G4598">
        <f t="shared" si="940"/>
        <v>0</v>
      </c>
      <c r="H4598">
        <f t="shared" si="941"/>
        <v>0</v>
      </c>
      <c r="I4598">
        <f t="shared" si="942"/>
        <v>0</v>
      </c>
      <c r="J4598">
        <f t="shared" si="943"/>
        <v>0</v>
      </c>
      <c r="K4598" s="4" t="e">
        <f t="shared" si="931"/>
        <v>#N/A</v>
      </c>
      <c r="L4598" t="e">
        <f t="shared" si="932"/>
        <v>#N/A</v>
      </c>
      <c r="M4598" s="4" t="e">
        <f t="shared" si="933"/>
        <v>#N/A</v>
      </c>
      <c r="N4598" s="4" t="e">
        <f t="shared" si="934"/>
        <v>#N/A</v>
      </c>
    </row>
    <row r="4599" spans="1:14">
      <c r="A4599">
        <f t="shared" si="935"/>
        <v>0</v>
      </c>
      <c r="B4599">
        <f t="shared" si="936"/>
        <v>0</v>
      </c>
      <c r="C4599">
        <f t="shared" si="937"/>
        <v>0</v>
      </c>
      <c r="D4599">
        <f t="shared" si="938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9"/>
        <v>0</v>
      </c>
      <c r="G4599">
        <f t="shared" si="940"/>
        <v>0</v>
      </c>
      <c r="H4599">
        <f t="shared" si="941"/>
        <v>0</v>
      </c>
      <c r="I4599">
        <f t="shared" si="942"/>
        <v>0</v>
      </c>
      <c r="J4599">
        <f t="shared" si="943"/>
        <v>0</v>
      </c>
      <c r="K4599" s="4" t="e">
        <f t="shared" si="931"/>
        <v>#N/A</v>
      </c>
      <c r="L4599" t="e">
        <f t="shared" si="932"/>
        <v>#N/A</v>
      </c>
      <c r="M4599" s="4" t="e">
        <f t="shared" si="933"/>
        <v>#N/A</v>
      </c>
      <c r="N4599" s="4" t="e">
        <f t="shared" si="934"/>
        <v>#N/A</v>
      </c>
    </row>
    <row r="4600" spans="1:14">
      <c r="A4600">
        <f t="shared" si="935"/>
        <v>0</v>
      </c>
      <c r="B4600">
        <f t="shared" si="936"/>
        <v>0</v>
      </c>
      <c r="C4600">
        <f t="shared" si="937"/>
        <v>0</v>
      </c>
      <c r="D4600">
        <f t="shared" si="938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9"/>
        <v>0</v>
      </c>
      <c r="G4600">
        <f t="shared" si="940"/>
        <v>0</v>
      </c>
      <c r="H4600">
        <f t="shared" si="941"/>
        <v>0</v>
      </c>
      <c r="I4600">
        <f t="shared" si="942"/>
        <v>0</v>
      </c>
      <c r="J4600">
        <f t="shared" si="943"/>
        <v>0</v>
      </c>
      <c r="K4600" s="4" t="e">
        <f t="shared" si="931"/>
        <v>#N/A</v>
      </c>
      <c r="L4600" t="e">
        <f t="shared" si="932"/>
        <v>#N/A</v>
      </c>
      <c r="M4600" s="4" t="e">
        <f t="shared" si="933"/>
        <v>#N/A</v>
      </c>
      <c r="N4600" s="4" t="e">
        <f t="shared" si="934"/>
        <v>#N/A</v>
      </c>
    </row>
    <row r="4601" spans="1:14">
      <c r="A4601">
        <f t="shared" si="935"/>
        <v>0</v>
      </c>
      <c r="B4601">
        <f t="shared" si="936"/>
        <v>0</v>
      </c>
      <c r="C4601">
        <f t="shared" si="937"/>
        <v>0</v>
      </c>
      <c r="D4601">
        <f t="shared" si="938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9"/>
        <v>0</v>
      </c>
      <c r="G4601">
        <f t="shared" si="940"/>
        <v>0</v>
      </c>
      <c r="H4601">
        <f t="shared" si="941"/>
        <v>0</v>
      </c>
      <c r="I4601">
        <f t="shared" si="942"/>
        <v>0</v>
      </c>
      <c r="J4601">
        <f t="shared" si="943"/>
        <v>0</v>
      </c>
      <c r="K4601" s="4" t="e">
        <f t="shared" si="931"/>
        <v>#N/A</v>
      </c>
      <c r="L4601" t="e">
        <f t="shared" si="932"/>
        <v>#N/A</v>
      </c>
      <c r="M4601" s="4" t="e">
        <f t="shared" si="933"/>
        <v>#N/A</v>
      </c>
      <c r="N4601" s="4" t="e">
        <f t="shared" si="934"/>
        <v>#N/A</v>
      </c>
    </row>
    <row r="4602" spans="1:14">
      <c r="A4602">
        <f t="shared" si="935"/>
        <v>0</v>
      </c>
      <c r="B4602">
        <f t="shared" si="936"/>
        <v>0</v>
      </c>
      <c r="C4602">
        <f t="shared" si="937"/>
        <v>0</v>
      </c>
      <c r="D4602">
        <f t="shared" si="938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9"/>
        <v>0</v>
      </c>
      <c r="G4602">
        <f t="shared" si="940"/>
        <v>0</v>
      </c>
      <c r="H4602">
        <f t="shared" si="941"/>
        <v>0</v>
      </c>
      <c r="I4602">
        <f t="shared" si="942"/>
        <v>0</v>
      </c>
      <c r="J4602">
        <f t="shared" si="943"/>
        <v>0</v>
      </c>
      <c r="K4602" s="4" t="e">
        <f t="shared" si="931"/>
        <v>#N/A</v>
      </c>
      <c r="L4602" t="e">
        <f t="shared" si="932"/>
        <v>#N/A</v>
      </c>
      <c r="M4602" s="4" t="e">
        <f t="shared" si="933"/>
        <v>#N/A</v>
      </c>
      <c r="N4602" s="4" t="e">
        <f t="shared" si="934"/>
        <v>#N/A</v>
      </c>
    </row>
    <row r="4603" spans="1:14">
      <c r="A4603">
        <f t="shared" si="935"/>
        <v>0</v>
      </c>
      <c r="B4603">
        <f t="shared" si="936"/>
        <v>0</v>
      </c>
      <c r="C4603">
        <f t="shared" si="937"/>
        <v>0</v>
      </c>
      <c r="D4603">
        <f t="shared" si="938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9"/>
        <v>0</v>
      </c>
      <c r="G4603">
        <f t="shared" si="940"/>
        <v>0</v>
      </c>
      <c r="H4603">
        <f t="shared" si="941"/>
        <v>0</v>
      </c>
      <c r="I4603">
        <f t="shared" si="942"/>
        <v>0</v>
      </c>
      <c r="J4603">
        <f t="shared" si="943"/>
        <v>0</v>
      </c>
      <c r="K4603" s="4" t="e">
        <f t="shared" si="931"/>
        <v>#N/A</v>
      </c>
      <c r="L4603" t="e">
        <f t="shared" si="932"/>
        <v>#N/A</v>
      </c>
      <c r="M4603" s="4" t="e">
        <f t="shared" si="933"/>
        <v>#N/A</v>
      </c>
      <c r="N4603" s="4" t="e">
        <f t="shared" si="934"/>
        <v>#N/A</v>
      </c>
    </row>
    <row r="4604" spans="1:14">
      <c r="A4604">
        <f t="shared" si="935"/>
        <v>0</v>
      </c>
      <c r="B4604">
        <f t="shared" si="936"/>
        <v>0</v>
      </c>
      <c r="C4604">
        <f t="shared" si="937"/>
        <v>0</v>
      </c>
      <c r="D4604">
        <f t="shared" si="938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9"/>
        <v>0</v>
      </c>
      <c r="G4604">
        <f t="shared" si="940"/>
        <v>0</v>
      </c>
      <c r="H4604">
        <f t="shared" si="941"/>
        <v>0</v>
      </c>
      <c r="I4604">
        <f t="shared" si="942"/>
        <v>0</v>
      </c>
      <c r="J4604">
        <f t="shared" si="943"/>
        <v>0</v>
      </c>
      <c r="K4604" s="4" t="e">
        <f t="shared" si="931"/>
        <v>#N/A</v>
      </c>
      <c r="L4604" t="e">
        <f t="shared" si="932"/>
        <v>#N/A</v>
      </c>
      <c r="M4604" s="4" t="e">
        <f t="shared" si="933"/>
        <v>#N/A</v>
      </c>
      <c r="N4604" s="4" t="e">
        <f t="shared" si="934"/>
        <v>#N/A</v>
      </c>
    </row>
    <row r="4605" spans="1:14">
      <c r="A4605">
        <f t="shared" si="935"/>
        <v>0</v>
      </c>
      <c r="B4605">
        <f t="shared" si="936"/>
        <v>0</v>
      </c>
      <c r="C4605">
        <f t="shared" si="937"/>
        <v>0</v>
      </c>
      <c r="D4605">
        <f t="shared" si="938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9"/>
        <v>0</v>
      </c>
      <c r="G4605">
        <f t="shared" si="940"/>
        <v>0</v>
      </c>
      <c r="H4605">
        <f t="shared" si="941"/>
        <v>0</v>
      </c>
      <c r="I4605">
        <f t="shared" si="942"/>
        <v>0</v>
      </c>
      <c r="J4605">
        <f t="shared" si="943"/>
        <v>0</v>
      </c>
      <c r="K4605" s="4" t="e">
        <f t="shared" ref="K4605:K4668" si="944">IF(LEFT(B4605,3)="DBM",0,VLOOKUP(E4605,tabela,2,FALSE))</f>
        <v>#N/A</v>
      </c>
      <c r="L4605" t="e">
        <f t="shared" ref="L4605:L4668" si="945">VLOOKUP(E4605,tabela,3,FALSE)</f>
        <v>#N/A</v>
      </c>
      <c r="M4605" s="4" t="e">
        <f t="shared" ref="M4605:M4668" si="946">IF(E4605="Dynamic Click",J4605*K4605,K4605*$I4605/1000)</f>
        <v>#N/A</v>
      </c>
      <c r="N4605" s="4" t="e">
        <f t="shared" ref="N4605:N4668" si="947">IF(E4605="Dynamic Click",J4605*L4605,L4605*$I4605/1000)</f>
        <v>#N/A</v>
      </c>
    </row>
    <row r="4606" spans="1:14">
      <c r="A4606">
        <f t="shared" si="935"/>
        <v>0</v>
      </c>
      <c r="B4606">
        <f t="shared" si="936"/>
        <v>0</v>
      </c>
      <c r="C4606">
        <f t="shared" si="937"/>
        <v>0</v>
      </c>
      <c r="D4606">
        <f t="shared" si="938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9"/>
        <v>0</v>
      </c>
      <c r="G4606">
        <f t="shared" si="940"/>
        <v>0</v>
      </c>
      <c r="H4606">
        <f t="shared" si="941"/>
        <v>0</v>
      </c>
      <c r="I4606">
        <f t="shared" si="942"/>
        <v>0</v>
      </c>
      <c r="J4606">
        <f t="shared" si="943"/>
        <v>0</v>
      </c>
      <c r="K4606" s="4" t="e">
        <f t="shared" si="944"/>
        <v>#N/A</v>
      </c>
      <c r="L4606" t="e">
        <f t="shared" si="945"/>
        <v>#N/A</v>
      </c>
      <c r="M4606" s="4" t="e">
        <f t="shared" si="946"/>
        <v>#N/A</v>
      </c>
      <c r="N4606" s="4" t="e">
        <f t="shared" si="947"/>
        <v>#N/A</v>
      </c>
    </row>
    <row r="4607" spans="1:14">
      <c r="A4607">
        <f t="shared" si="935"/>
        <v>0</v>
      </c>
      <c r="B4607">
        <f t="shared" si="936"/>
        <v>0</v>
      </c>
      <c r="C4607">
        <f t="shared" si="937"/>
        <v>0</v>
      </c>
      <c r="D4607">
        <f t="shared" si="938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9"/>
        <v>0</v>
      </c>
      <c r="G4607">
        <f t="shared" si="940"/>
        <v>0</v>
      </c>
      <c r="H4607">
        <f t="shared" si="941"/>
        <v>0</v>
      </c>
      <c r="I4607">
        <f t="shared" si="942"/>
        <v>0</v>
      </c>
      <c r="J4607">
        <f t="shared" si="943"/>
        <v>0</v>
      </c>
      <c r="K4607" s="4" t="e">
        <f t="shared" si="944"/>
        <v>#N/A</v>
      </c>
      <c r="L4607" t="e">
        <f t="shared" si="945"/>
        <v>#N/A</v>
      </c>
      <c r="M4607" s="4" t="e">
        <f t="shared" si="946"/>
        <v>#N/A</v>
      </c>
      <c r="N4607" s="4" t="e">
        <f t="shared" si="947"/>
        <v>#N/A</v>
      </c>
    </row>
    <row r="4608" spans="1:14">
      <c r="A4608">
        <f t="shared" si="935"/>
        <v>0</v>
      </c>
      <c r="B4608">
        <f t="shared" si="936"/>
        <v>0</v>
      </c>
      <c r="C4608">
        <f t="shared" si="937"/>
        <v>0</v>
      </c>
      <c r="D4608">
        <f t="shared" si="938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9"/>
        <v>0</v>
      </c>
      <c r="G4608">
        <f t="shared" si="940"/>
        <v>0</v>
      </c>
      <c r="H4608">
        <f t="shared" si="941"/>
        <v>0</v>
      </c>
      <c r="I4608">
        <f t="shared" si="942"/>
        <v>0</v>
      </c>
      <c r="J4608">
        <f t="shared" si="943"/>
        <v>0</v>
      </c>
      <c r="K4608" s="4" t="e">
        <f t="shared" si="944"/>
        <v>#N/A</v>
      </c>
      <c r="L4608" t="e">
        <f t="shared" si="945"/>
        <v>#N/A</v>
      </c>
      <c r="M4608" s="4" t="e">
        <f t="shared" si="946"/>
        <v>#N/A</v>
      </c>
      <c r="N4608" s="4" t="e">
        <f t="shared" si="947"/>
        <v>#N/A</v>
      </c>
    </row>
    <row r="4609" spans="1:14">
      <c r="A4609">
        <f t="shared" si="935"/>
        <v>0</v>
      </c>
      <c r="B4609">
        <f t="shared" si="936"/>
        <v>0</v>
      </c>
      <c r="C4609">
        <f t="shared" si="937"/>
        <v>0</v>
      </c>
      <c r="D4609">
        <f t="shared" si="938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9"/>
        <v>0</v>
      </c>
      <c r="G4609">
        <f t="shared" si="940"/>
        <v>0</v>
      </c>
      <c r="H4609">
        <f t="shared" si="941"/>
        <v>0</v>
      </c>
      <c r="I4609">
        <f t="shared" si="942"/>
        <v>0</v>
      </c>
      <c r="J4609">
        <f t="shared" si="943"/>
        <v>0</v>
      </c>
      <c r="K4609" s="4" t="e">
        <f t="shared" si="944"/>
        <v>#N/A</v>
      </c>
      <c r="L4609" t="e">
        <f t="shared" si="945"/>
        <v>#N/A</v>
      </c>
      <c r="M4609" s="4" t="e">
        <f t="shared" si="946"/>
        <v>#N/A</v>
      </c>
      <c r="N4609" s="4" t="e">
        <f t="shared" si="947"/>
        <v>#N/A</v>
      </c>
    </row>
    <row r="4610" spans="1:14">
      <c r="A4610">
        <f t="shared" ref="A4610:A4673" si="948">bd_campaign</f>
        <v>0</v>
      </c>
      <c r="B4610">
        <f t="shared" ref="B4610:B4673" si="949">bd_site</f>
        <v>0</v>
      </c>
      <c r="C4610">
        <f t="shared" ref="C4610:C4673" si="950">bd_placement</f>
        <v>0</v>
      </c>
      <c r="D4610">
        <f t="shared" ref="D4610:D4673" si="951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2">bd_ad</f>
        <v>0</v>
      </c>
      <c r="G4610">
        <f t="shared" ref="G4610:G4673" si="953">bd_adid</f>
        <v>0</v>
      </c>
      <c r="H4610">
        <f t="shared" ref="H4610:H4673" si="954">bd_creativetype</f>
        <v>0</v>
      </c>
      <c r="I4610">
        <f t="shared" ref="I4610:I4673" si="955">bd_impression</f>
        <v>0</v>
      </c>
      <c r="J4610">
        <f t="shared" ref="J4610:J4673" si="956">bd_clicks</f>
        <v>0</v>
      </c>
      <c r="K4610" s="4" t="e">
        <f t="shared" si="944"/>
        <v>#N/A</v>
      </c>
      <c r="L4610" t="e">
        <f t="shared" si="945"/>
        <v>#N/A</v>
      </c>
      <c r="M4610" s="4" t="e">
        <f t="shared" si="946"/>
        <v>#N/A</v>
      </c>
      <c r="N4610" s="4" t="e">
        <f t="shared" si="947"/>
        <v>#N/A</v>
      </c>
    </row>
    <row r="4611" spans="1:14">
      <c r="A4611">
        <f t="shared" si="948"/>
        <v>0</v>
      </c>
      <c r="B4611">
        <f t="shared" si="949"/>
        <v>0</v>
      </c>
      <c r="C4611">
        <f t="shared" si="950"/>
        <v>0</v>
      </c>
      <c r="D4611">
        <f t="shared" si="951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2"/>
        <v>0</v>
      </c>
      <c r="G4611">
        <f t="shared" si="953"/>
        <v>0</v>
      </c>
      <c r="H4611">
        <f t="shared" si="954"/>
        <v>0</v>
      </c>
      <c r="I4611">
        <f t="shared" si="955"/>
        <v>0</v>
      </c>
      <c r="J4611">
        <f t="shared" si="956"/>
        <v>0</v>
      </c>
      <c r="K4611" s="4" t="e">
        <f t="shared" si="944"/>
        <v>#N/A</v>
      </c>
      <c r="L4611" t="e">
        <f t="shared" si="945"/>
        <v>#N/A</v>
      </c>
      <c r="M4611" s="4" t="e">
        <f t="shared" si="946"/>
        <v>#N/A</v>
      </c>
      <c r="N4611" s="4" t="e">
        <f t="shared" si="947"/>
        <v>#N/A</v>
      </c>
    </row>
    <row r="4612" spans="1:14">
      <c r="A4612">
        <f t="shared" si="948"/>
        <v>0</v>
      </c>
      <c r="B4612">
        <f t="shared" si="949"/>
        <v>0</v>
      </c>
      <c r="C4612">
        <f t="shared" si="950"/>
        <v>0</v>
      </c>
      <c r="D4612">
        <f t="shared" si="951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2"/>
        <v>0</v>
      </c>
      <c r="G4612">
        <f t="shared" si="953"/>
        <v>0</v>
      </c>
      <c r="H4612">
        <f t="shared" si="954"/>
        <v>0</v>
      </c>
      <c r="I4612">
        <f t="shared" si="955"/>
        <v>0</v>
      </c>
      <c r="J4612">
        <f t="shared" si="956"/>
        <v>0</v>
      </c>
      <c r="K4612" s="4" t="e">
        <f t="shared" si="944"/>
        <v>#N/A</v>
      </c>
      <c r="L4612" t="e">
        <f t="shared" si="945"/>
        <v>#N/A</v>
      </c>
      <c r="M4612" s="4" t="e">
        <f t="shared" si="946"/>
        <v>#N/A</v>
      </c>
      <c r="N4612" s="4" t="e">
        <f t="shared" si="947"/>
        <v>#N/A</v>
      </c>
    </row>
    <row r="4613" spans="1:14">
      <c r="A4613">
        <f t="shared" si="948"/>
        <v>0</v>
      </c>
      <c r="B4613">
        <f t="shared" si="949"/>
        <v>0</v>
      </c>
      <c r="C4613">
        <f t="shared" si="950"/>
        <v>0</v>
      </c>
      <c r="D4613">
        <f t="shared" si="951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2"/>
        <v>0</v>
      </c>
      <c r="G4613">
        <f t="shared" si="953"/>
        <v>0</v>
      </c>
      <c r="H4613">
        <f t="shared" si="954"/>
        <v>0</v>
      </c>
      <c r="I4613">
        <f t="shared" si="955"/>
        <v>0</v>
      </c>
      <c r="J4613">
        <f t="shared" si="956"/>
        <v>0</v>
      </c>
      <c r="K4613" s="4" t="e">
        <f t="shared" si="944"/>
        <v>#N/A</v>
      </c>
      <c r="L4613" t="e">
        <f t="shared" si="945"/>
        <v>#N/A</v>
      </c>
      <c r="M4613" s="4" t="e">
        <f t="shared" si="946"/>
        <v>#N/A</v>
      </c>
      <c r="N4613" s="4" t="e">
        <f t="shared" si="947"/>
        <v>#N/A</v>
      </c>
    </row>
    <row r="4614" spans="1:14">
      <c r="A4614">
        <f t="shared" si="948"/>
        <v>0</v>
      </c>
      <c r="B4614">
        <f t="shared" si="949"/>
        <v>0</v>
      </c>
      <c r="C4614">
        <f t="shared" si="950"/>
        <v>0</v>
      </c>
      <c r="D4614">
        <f t="shared" si="951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2"/>
        <v>0</v>
      </c>
      <c r="G4614">
        <f t="shared" si="953"/>
        <v>0</v>
      </c>
      <c r="H4614">
        <f t="shared" si="954"/>
        <v>0</v>
      </c>
      <c r="I4614">
        <f t="shared" si="955"/>
        <v>0</v>
      </c>
      <c r="J4614">
        <f t="shared" si="956"/>
        <v>0</v>
      </c>
      <c r="K4614" s="4" t="e">
        <f t="shared" si="944"/>
        <v>#N/A</v>
      </c>
      <c r="L4614" t="e">
        <f t="shared" si="945"/>
        <v>#N/A</v>
      </c>
      <c r="M4614" s="4" t="e">
        <f t="shared" si="946"/>
        <v>#N/A</v>
      </c>
      <c r="N4614" s="4" t="e">
        <f t="shared" si="947"/>
        <v>#N/A</v>
      </c>
    </row>
    <row r="4615" spans="1:14">
      <c r="A4615">
        <f t="shared" si="948"/>
        <v>0</v>
      </c>
      <c r="B4615">
        <f t="shared" si="949"/>
        <v>0</v>
      </c>
      <c r="C4615">
        <f t="shared" si="950"/>
        <v>0</v>
      </c>
      <c r="D4615">
        <f t="shared" si="951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2"/>
        <v>0</v>
      </c>
      <c r="G4615">
        <f t="shared" si="953"/>
        <v>0</v>
      </c>
      <c r="H4615">
        <f t="shared" si="954"/>
        <v>0</v>
      </c>
      <c r="I4615">
        <f t="shared" si="955"/>
        <v>0</v>
      </c>
      <c r="J4615">
        <f t="shared" si="956"/>
        <v>0</v>
      </c>
      <c r="K4615" s="4" t="e">
        <f t="shared" si="944"/>
        <v>#N/A</v>
      </c>
      <c r="L4615" t="e">
        <f t="shared" si="945"/>
        <v>#N/A</v>
      </c>
      <c r="M4615" s="4" t="e">
        <f t="shared" si="946"/>
        <v>#N/A</v>
      </c>
      <c r="N4615" s="4" t="e">
        <f t="shared" si="947"/>
        <v>#N/A</v>
      </c>
    </row>
    <row r="4616" spans="1:14">
      <c r="A4616">
        <f t="shared" si="948"/>
        <v>0</v>
      </c>
      <c r="B4616">
        <f t="shared" si="949"/>
        <v>0</v>
      </c>
      <c r="C4616">
        <f t="shared" si="950"/>
        <v>0</v>
      </c>
      <c r="D4616">
        <f t="shared" si="951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2"/>
        <v>0</v>
      </c>
      <c r="G4616">
        <f t="shared" si="953"/>
        <v>0</v>
      </c>
      <c r="H4616">
        <f t="shared" si="954"/>
        <v>0</v>
      </c>
      <c r="I4616">
        <f t="shared" si="955"/>
        <v>0</v>
      </c>
      <c r="J4616">
        <f t="shared" si="956"/>
        <v>0</v>
      </c>
      <c r="K4616" s="4" t="e">
        <f t="shared" si="944"/>
        <v>#N/A</v>
      </c>
      <c r="L4616" t="e">
        <f t="shared" si="945"/>
        <v>#N/A</v>
      </c>
      <c r="M4616" s="4" t="e">
        <f t="shared" si="946"/>
        <v>#N/A</v>
      </c>
      <c r="N4616" s="4" t="e">
        <f t="shared" si="947"/>
        <v>#N/A</v>
      </c>
    </row>
    <row r="4617" spans="1:14">
      <c r="A4617">
        <f t="shared" si="948"/>
        <v>0</v>
      </c>
      <c r="B4617">
        <f t="shared" si="949"/>
        <v>0</v>
      </c>
      <c r="C4617">
        <f t="shared" si="950"/>
        <v>0</v>
      </c>
      <c r="D4617">
        <f t="shared" si="951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2"/>
        <v>0</v>
      </c>
      <c r="G4617">
        <f t="shared" si="953"/>
        <v>0</v>
      </c>
      <c r="H4617">
        <f t="shared" si="954"/>
        <v>0</v>
      </c>
      <c r="I4617">
        <f t="shared" si="955"/>
        <v>0</v>
      </c>
      <c r="J4617">
        <f t="shared" si="956"/>
        <v>0</v>
      </c>
      <c r="K4617" s="4" t="e">
        <f t="shared" si="944"/>
        <v>#N/A</v>
      </c>
      <c r="L4617" t="e">
        <f t="shared" si="945"/>
        <v>#N/A</v>
      </c>
      <c r="M4617" s="4" t="e">
        <f t="shared" si="946"/>
        <v>#N/A</v>
      </c>
      <c r="N4617" s="4" t="e">
        <f t="shared" si="947"/>
        <v>#N/A</v>
      </c>
    </row>
    <row r="4618" spans="1:14">
      <c r="A4618">
        <f t="shared" si="948"/>
        <v>0</v>
      </c>
      <c r="B4618">
        <f t="shared" si="949"/>
        <v>0</v>
      </c>
      <c r="C4618">
        <f t="shared" si="950"/>
        <v>0</v>
      </c>
      <c r="D4618">
        <f t="shared" si="951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2"/>
        <v>0</v>
      </c>
      <c r="G4618">
        <f t="shared" si="953"/>
        <v>0</v>
      </c>
      <c r="H4618">
        <f t="shared" si="954"/>
        <v>0</v>
      </c>
      <c r="I4618">
        <f t="shared" si="955"/>
        <v>0</v>
      </c>
      <c r="J4618">
        <f t="shared" si="956"/>
        <v>0</v>
      </c>
      <c r="K4618" s="4" t="e">
        <f t="shared" si="944"/>
        <v>#N/A</v>
      </c>
      <c r="L4618" t="e">
        <f t="shared" si="945"/>
        <v>#N/A</v>
      </c>
      <c r="M4618" s="4" t="e">
        <f t="shared" si="946"/>
        <v>#N/A</v>
      </c>
      <c r="N4618" s="4" t="e">
        <f t="shared" si="947"/>
        <v>#N/A</v>
      </c>
    </row>
    <row r="4619" spans="1:14">
      <c r="A4619">
        <f t="shared" si="948"/>
        <v>0</v>
      </c>
      <c r="B4619">
        <f t="shared" si="949"/>
        <v>0</v>
      </c>
      <c r="C4619">
        <f t="shared" si="950"/>
        <v>0</v>
      </c>
      <c r="D4619">
        <f t="shared" si="951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2"/>
        <v>0</v>
      </c>
      <c r="G4619">
        <f t="shared" si="953"/>
        <v>0</v>
      </c>
      <c r="H4619">
        <f t="shared" si="954"/>
        <v>0</v>
      </c>
      <c r="I4619">
        <f t="shared" si="955"/>
        <v>0</v>
      </c>
      <c r="J4619">
        <f t="shared" si="956"/>
        <v>0</v>
      </c>
      <c r="K4619" s="4" t="e">
        <f t="shared" si="944"/>
        <v>#N/A</v>
      </c>
      <c r="L4619" t="e">
        <f t="shared" si="945"/>
        <v>#N/A</v>
      </c>
      <c r="M4619" s="4" t="e">
        <f t="shared" si="946"/>
        <v>#N/A</v>
      </c>
      <c r="N4619" s="4" t="e">
        <f t="shared" si="947"/>
        <v>#N/A</v>
      </c>
    </row>
    <row r="4620" spans="1:14">
      <c r="A4620">
        <f t="shared" si="948"/>
        <v>0</v>
      </c>
      <c r="B4620">
        <f t="shared" si="949"/>
        <v>0</v>
      </c>
      <c r="C4620">
        <f t="shared" si="950"/>
        <v>0</v>
      </c>
      <c r="D4620">
        <f t="shared" si="951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2"/>
        <v>0</v>
      </c>
      <c r="G4620">
        <f t="shared" si="953"/>
        <v>0</v>
      </c>
      <c r="H4620">
        <f t="shared" si="954"/>
        <v>0</v>
      </c>
      <c r="I4620">
        <f t="shared" si="955"/>
        <v>0</v>
      </c>
      <c r="J4620">
        <f t="shared" si="956"/>
        <v>0</v>
      </c>
      <c r="K4620" s="4" t="e">
        <f t="shared" si="944"/>
        <v>#N/A</v>
      </c>
      <c r="L4620" t="e">
        <f t="shared" si="945"/>
        <v>#N/A</v>
      </c>
      <c r="M4620" s="4" t="e">
        <f t="shared" si="946"/>
        <v>#N/A</v>
      </c>
      <c r="N4620" s="4" t="e">
        <f t="shared" si="947"/>
        <v>#N/A</v>
      </c>
    </row>
    <row r="4621" spans="1:14">
      <c r="A4621">
        <f t="shared" si="948"/>
        <v>0</v>
      </c>
      <c r="B4621">
        <f t="shared" si="949"/>
        <v>0</v>
      </c>
      <c r="C4621">
        <f t="shared" si="950"/>
        <v>0</v>
      </c>
      <c r="D4621">
        <f t="shared" si="951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2"/>
        <v>0</v>
      </c>
      <c r="G4621">
        <f t="shared" si="953"/>
        <v>0</v>
      </c>
      <c r="H4621">
        <f t="shared" si="954"/>
        <v>0</v>
      </c>
      <c r="I4621">
        <f t="shared" si="955"/>
        <v>0</v>
      </c>
      <c r="J4621">
        <f t="shared" si="956"/>
        <v>0</v>
      </c>
      <c r="K4621" s="4" t="e">
        <f t="shared" si="944"/>
        <v>#N/A</v>
      </c>
      <c r="L4621" t="e">
        <f t="shared" si="945"/>
        <v>#N/A</v>
      </c>
      <c r="M4621" s="4" t="e">
        <f t="shared" si="946"/>
        <v>#N/A</v>
      </c>
      <c r="N4621" s="4" t="e">
        <f t="shared" si="947"/>
        <v>#N/A</v>
      </c>
    </row>
    <row r="4622" spans="1:14">
      <c r="A4622">
        <f t="shared" si="948"/>
        <v>0</v>
      </c>
      <c r="B4622">
        <f t="shared" si="949"/>
        <v>0</v>
      </c>
      <c r="C4622">
        <f t="shared" si="950"/>
        <v>0</v>
      </c>
      <c r="D4622">
        <f t="shared" si="951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2"/>
        <v>0</v>
      </c>
      <c r="G4622">
        <f t="shared" si="953"/>
        <v>0</v>
      </c>
      <c r="H4622">
        <f t="shared" si="954"/>
        <v>0</v>
      </c>
      <c r="I4622">
        <f t="shared" si="955"/>
        <v>0</v>
      </c>
      <c r="J4622">
        <f t="shared" si="956"/>
        <v>0</v>
      </c>
      <c r="K4622" s="4" t="e">
        <f t="shared" si="944"/>
        <v>#N/A</v>
      </c>
      <c r="L4622" t="e">
        <f t="shared" si="945"/>
        <v>#N/A</v>
      </c>
      <c r="M4622" s="4" t="e">
        <f t="shared" si="946"/>
        <v>#N/A</v>
      </c>
      <c r="N4622" s="4" t="e">
        <f t="shared" si="947"/>
        <v>#N/A</v>
      </c>
    </row>
    <row r="4623" spans="1:14">
      <c r="A4623">
        <f t="shared" si="948"/>
        <v>0</v>
      </c>
      <c r="B4623">
        <f t="shared" si="949"/>
        <v>0</v>
      </c>
      <c r="C4623">
        <f t="shared" si="950"/>
        <v>0</v>
      </c>
      <c r="D4623">
        <f t="shared" si="951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2"/>
        <v>0</v>
      </c>
      <c r="G4623">
        <f t="shared" si="953"/>
        <v>0</v>
      </c>
      <c r="H4623">
        <f t="shared" si="954"/>
        <v>0</v>
      </c>
      <c r="I4623">
        <f t="shared" si="955"/>
        <v>0</v>
      </c>
      <c r="J4623">
        <f t="shared" si="956"/>
        <v>0</v>
      </c>
      <c r="K4623" s="4" t="e">
        <f t="shared" si="944"/>
        <v>#N/A</v>
      </c>
      <c r="L4623" t="e">
        <f t="shared" si="945"/>
        <v>#N/A</v>
      </c>
      <c r="M4623" s="4" t="e">
        <f t="shared" si="946"/>
        <v>#N/A</v>
      </c>
      <c r="N4623" s="4" t="e">
        <f t="shared" si="947"/>
        <v>#N/A</v>
      </c>
    </row>
    <row r="4624" spans="1:14">
      <c r="A4624">
        <f t="shared" si="948"/>
        <v>0</v>
      </c>
      <c r="B4624">
        <f t="shared" si="949"/>
        <v>0</v>
      </c>
      <c r="C4624">
        <f t="shared" si="950"/>
        <v>0</v>
      </c>
      <c r="D4624">
        <f t="shared" si="951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2"/>
        <v>0</v>
      </c>
      <c r="G4624">
        <f t="shared" si="953"/>
        <v>0</v>
      </c>
      <c r="H4624">
        <f t="shared" si="954"/>
        <v>0</v>
      </c>
      <c r="I4624">
        <f t="shared" si="955"/>
        <v>0</v>
      </c>
      <c r="J4624">
        <f t="shared" si="956"/>
        <v>0</v>
      </c>
      <c r="K4624" s="4" t="e">
        <f t="shared" si="944"/>
        <v>#N/A</v>
      </c>
      <c r="L4624" t="e">
        <f t="shared" si="945"/>
        <v>#N/A</v>
      </c>
      <c r="M4624" s="4" t="e">
        <f t="shared" si="946"/>
        <v>#N/A</v>
      </c>
      <c r="N4624" s="4" t="e">
        <f t="shared" si="947"/>
        <v>#N/A</v>
      </c>
    </row>
    <row r="4625" spans="1:14">
      <c r="A4625">
        <f t="shared" si="948"/>
        <v>0</v>
      </c>
      <c r="B4625">
        <f t="shared" si="949"/>
        <v>0</v>
      </c>
      <c r="C4625">
        <f t="shared" si="950"/>
        <v>0</v>
      </c>
      <c r="D4625">
        <f t="shared" si="951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2"/>
        <v>0</v>
      </c>
      <c r="G4625">
        <f t="shared" si="953"/>
        <v>0</v>
      </c>
      <c r="H4625">
        <f t="shared" si="954"/>
        <v>0</v>
      </c>
      <c r="I4625">
        <f t="shared" si="955"/>
        <v>0</v>
      </c>
      <c r="J4625">
        <f t="shared" si="956"/>
        <v>0</v>
      </c>
      <c r="K4625" s="4" t="e">
        <f t="shared" si="944"/>
        <v>#N/A</v>
      </c>
      <c r="L4625" t="e">
        <f t="shared" si="945"/>
        <v>#N/A</v>
      </c>
      <c r="M4625" s="4" t="e">
        <f t="shared" si="946"/>
        <v>#N/A</v>
      </c>
      <c r="N4625" s="4" t="e">
        <f t="shared" si="947"/>
        <v>#N/A</v>
      </c>
    </row>
    <row r="4626" spans="1:14">
      <c r="A4626">
        <f t="shared" si="948"/>
        <v>0</v>
      </c>
      <c r="B4626">
        <f t="shared" si="949"/>
        <v>0</v>
      </c>
      <c r="C4626">
        <f t="shared" si="950"/>
        <v>0</v>
      </c>
      <c r="D4626">
        <f t="shared" si="951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2"/>
        <v>0</v>
      </c>
      <c r="G4626">
        <f t="shared" si="953"/>
        <v>0</v>
      </c>
      <c r="H4626">
        <f t="shared" si="954"/>
        <v>0</v>
      </c>
      <c r="I4626">
        <f t="shared" si="955"/>
        <v>0</v>
      </c>
      <c r="J4626">
        <f t="shared" si="956"/>
        <v>0</v>
      </c>
      <c r="K4626" s="4" t="e">
        <f t="shared" si="944"/>
        <v>#N/A</v>
      </c>
      <c r="L4626" t="e">
        <f t="shared" si="945"/>
        <v>#N/A</v>
      </c>
      <c r="M4626" s="4" t="e">
        <f t="shared" si="946"/>
        <v>#N/A</v>
      </c>
      <c r="N4626" s="4" t="e">
        <f t="shared" si="947"/>
        <v>#N/A</v>
      </c>
    </row>
    <row r="4627" spans="1:14">
      <c r="A4627">
        <f t="shared" si="948"/>
        <v>0</v>
      </c>
      <c r="B4627">
        <f t="shared" si="949"/>
        <v>0</v>
      </c>
      <c r="C4627">
        <f t="shared" si="950"/>
        <v>0</v>
      </c>
      <c r="D4627">
        <f t="shared" si="951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2"/>
        <v>0</v>
      </c>
      <c r="G4627">
        <f t="shared" si="953"/>
        <v>0</v>
      </c>
      <c r="H4627">
        <f t="shared" si="954"/>
        <v>0</v>
      </c>
      <c r="I4627">
        <f t="shared" si="955"/>
        <v>0</v>
      </c>
      <c r="J4627">
        <f t="shared" si="956"/>
        <v>0</v>
      </c>
      <c r="K4627" s="4" t="e">
        <f t="shared" si="944"/>
        <v>#N/A</v>
      </c>
      <c r="L4627" t="e">
        <f t="shared" si="945"/>
        <v>#N/A</v>
      </c>
      <c r="M4627" s="4" t="e">
        <f t="shared" si="946"/>
        <v>#N/A</v>
      </c>
      <c r="N4627" s="4" t="e">
        <f t="shared" si="947"/>
        <v>#N/A</v>
      </c>
    </row>
    <row r="4628" spans="1:14">
      <c r="A4628">
        <f t="shared" si="948"/>
        <v>0</v>
      </c>
      <c r="B4628">
        <f t="shared" si="949"/>
        <v>0</v>
      </c>
      <c r="C4628">
        <f t="shared" si="950"/>
        <v>0</v>
      </c>
      <c r="D4628">
        <f t="shared" si="951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2"/>
        <v>0</v>
      </c>
      <c r="G4628">
        <f t="shared" si="953"/>
        <v>0</v>
      </c>
      <c r="H4628">
        <f t="shared" si="954"/>
        <v>0</v>
      </c>
      <c r="I4628">
        <f t="shared" si="955"/>
        <v>0</v>
      </c>
      <c r="J4628">
        <f t="shared" si="956"/>
        <v>0</v>
      </c>
      <c r="K4628" s="4" t="e">
        <f t="shared" si="944"/>
        <v>#N/A</v>
      </c>
      <c r="L4628" t="e">
        <f t="shared" si="945"/>
        <v>#N/A</v>
      </c>
      <c r="M4628" s="4" t="e">
        <f t="shared" si="946"/>
        <v>#N/A</v>
      </c>
      <c r="N4628" s="4" t="e">
        <f t="shared" si="947"/>
        <v>#N/A</v>
      </c>
    </row>
    <row r="4629" spans="1:14">
      <c r="A4629">
        <f t="shared" si="948"/>
        <v>0</v>
      </c>
      <c r="B4629">
        <f t="shared" si="949"/>
        <v>0</v>
      </c>
      <c r="C4629">
        <f t="shared" si="950"/>
        <v>0</v>
      </c>
      <c r="D4629">
        <f t="shared" si="951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2"/>
        <v>0</v>
      </c>
      <c r="G4629">
        <f t="shared" si="953"/>
        <v>0</v>
      </c>
      <c r="H4629">
        <f t="shared" si="954"/>
        <v>0</v>
      </c>
      <c r="I4629">
        <f t="shared" si="955"/>
        <v>0</v>
      </c>
      <c r="J4629">
        <f t="shared" si="956"/>
        <v>0</v>
      </c>
      <c r="K4629" s="4" t="e">
        <f t="shared" si="944"/>
        <v>#N/A</v>
      </c>
      <c r="L4629" t="e">
        <f t="shared" si="945"/>
        <v>#N/A</v>
      </c>
      <c r="M4629" s="4" t="e">
        <f t="shared" si="946"/>
        <v>#N/A</v>
      </c>
      <c r="N4629" s="4" t="e">
        <f t="shared" si="947"/>
        <v>#N/A</v>
      </c>
    </row>
    <row r="4630" spans="1:14">
      <c r="A4630">
        <f t="shared" si="948"/>
        <v>0</v>
      </c>
      <c r="B4630">
        <f t="shared" si="949"/>
        <v>0</v>
      </c>
      <c r="C4630">
        <f t="shared" si="950"/>
        <v>0</v>
      </c>
      <c r="D4630">
        <f t="shared" si="951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2"/>
        <v>0</v>
      </c>
      <c r="G4630">
        <f t="shared" si="953"/>
        <v>0</v>
      </c>
      <c r="H4630">
        <f t="shared" si="954"/>
        <v>0</v>
      </c>
      <c r="I4630">
        <f t="shared" si="955"/>
        <v>0</v>
      </c>
      <c r="J4630">
        <f t="shared" si="956"/>
        <v>0</v>
      </c>
      <c r="K4630" s="4" t="e">
        <f t="shared" si="944"/>
        <v>#N/A</v>
      </c>
      <c r="L4630" t="e">
        <f t="shared" si="945"/>
        <v>#N/A</v>
      </c>
      <c r="M4630" s="4" t="e">
        <f t="shared" si="946"/>
        <v>#N/A</v>
      </c>
      <c r="N4630" s="4" t="e">
        <f t="shared" si="947"/>
        <v>#N/A</v>
      </c>
    </row>
    <row r="4631" spans="1:14">
      <c r="A4631">
        <f t="shared" si="948"/>
        <v>0</v>
      </c>
      <c r="B4631">
        <f t="shared" si="949"/>
        <v>0</v>
      </c>
      <c r="C4631">
        <f t="shared" si="950"/>
        <v>0</v>
      </c>
      <c r="D4631">
        <f t="shared" si="951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2"/>
        <v>0</v>
      </c>
      <c r="G4631">
        <f t="shared" si="953"/>
        <v>0</v>
      </c>
      <c r="H4631">
        <f t="shared" si="954"/>
        <v>0</v>
      </c>
      <c r="I4631">
        <f t="shared" si="955"/>
        <v>0</v>
      </c>
      <c r="J4631">
        <f t="shared" si="956"/>
        <v>0</v>
      </c>
      <c r="K4631" s="4" t="e">
        <f t="shared" si="944"/>
        <v>#N/A</v>
      </c>
      <c r="L4631" t="e">
        <f t="shared" si="945"/>
        <v>#N/A</v>
      </c>
      <c r="M4631" s="4" t="e">
        <f t="shared" si="946"/>
        <v>#N/A</v>
      </c>
      <c r="N4631" s="4" t="e">
        <f t="shared" si="947"/>
        <v>#N/A</v>
      </c>
    </row>
    <row r="4632" spans="1:14">
      <c r="A4632">
        <f t="shared" si="948"/>
        <v>0</v>
      </c>
      <c r="B4632">
        <f t="shared" si="949"/>
        <v>0</v>
      </c>
      <c r="C4632">
        <f t="shared" si="950"/>
        <v>0</v>
      </c>
      <c r="D4632">
        <f t="shared" si="951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2"/>
        <v>0</v>
      </c>
      <c r="G4632">
        <f t="shared" si="953"/>
        <v>0</v>
      </c>
      <c r="H4632">
        <f t="shared" si="954"/>
        <v>0</v>
      </c>
      <c r="I4632">
        <f t="shared" si="955"/>
        <v>0</v>
      </c>
      <c r="J4632">
        <f t="shared" si="956"/>
        <v>0</v>
      </c>
      <c r="K4632" s="4" t="e">
        <f t="shared" si="944"/>
        <v>#N/A</v>
      </c>
      <c r="L4632" t="e">
        <f t="shared" si="945"/>
        <v>#N/A</v>
      </c>
      <c r="M4632" s="4" t="e">
        <f t="shared" si="946"/>
        <v>#N/A</v>
      </c>
      <c r="N4632" s="4" t="e">
        <f t="shared" si="947"/>
        <v>#N/A</v>
      </c>
    </row>
    <row r="4633" spans="1:14">
      <c r="A4633">
        <f t="shared" si="948"/>
        <v>0</v>
      </c>
      <c r="B4633">
        <f t="shared" si="949"/>
        <v>0</v>
      </c>
      <c r="C4633">
        <f t="shared" si="950"/>
        <v>0</v>
      </c>
      <c r="D4633">
        <f t="shared" si="951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2"/>
        <v>0</v>
      </c>
      <c r="G4633">
        <f t="shared" si="953"/>
        <v>0</v>
      </c>
      <c r="H4633">
        <f t="shared" si="954"/>
        <v>0</v>
      </c>
      <c r="I4633">
        <f t="shared" si="955"/>
        <v>0</v>
      </c>
      <c r="J4633">
        <f t="shared" si="956"/>
        <v>0</v>
      </c>
      <c r="K4633" s="4" t="e">
        <f t="shared" si="944"/>
        <v>#N/A</v>
      </c>
      <c r="L4633" t="e">
        <f t="shared" si="945"/>
        <v>#N/A</v>
      </c>
      <c r="M4633" s="4" t="e">
        <f t="shared" si="946"/>
        <v>#N/A</v>
      </c>
      <c r="N4633" s="4" t="e">
        <f t="shared" si="947"/>
        <v>#N/A</v>
      </c>
    </row>
    <row r="4634" spans="1:14">
      <c r="A4634">
        <f t="shared" si="948"/>
        <v>0</v>
      </c>
      <c r="B4634">
        <f t="shared" si="949"/>
        <v>0</v>
      </c>
      <c r="C4634">
        <f t="shared" si="950"/>
        <v>0</v>
      </c>
      <c r="D4634">
        <f t="shared" si="951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2"/>
        <v>0</v>
      </c>
      <c r="G4634">
        <f t="shared" si="953"/>
        <v>0</v>
      </c>
      <c r="H4634">
        <f t="shared" si="954"/>
        <v>0</v>
      </c>
      <c r="I4634">
        <f t="shared" si="955"/>
        <v>0</v>
      </c>
      <c r="J4634">
        <f t="shared" si="956"/>
        <v>0</v>
      </c>
      <c r="K4634" s="4" t="e">
        <f t="shared" si="944"/>
        <v>#N/A</v>
      </c>
      <c r="L4634" t="e">
        <f t="shared" si="945"/>
        <v>#N/A</v>
      </c>
      <c r="M4634" s="4" t="e">
        <f t="shared" si="946"/>
        <v>#N/A</v>
      </c>
      <c r="N4634" s="4" t="e">
        <f t="shared" si="947"/>
        <v>#N/A</v>
      </c>
    </row>
    <row r="4635" spans="1:14">
      <c r="A4635">
        <f t="shared" si="948"/>
        <v>0</v>
      </c>
      <c r="B4635">
        <f t="shared" si="949"/>
        <v>0</v>
      </c>
      <c r="C4635">
        <f t="shared" si="950"/>
        <v>0</v>
      </c>
      <c r="D4635">
        <f t="shared" si="951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2"/>
        <v>0</v>
      </c>
      <c r="G4635">
        <f t="shared" si="953"/>
        <v>0</v>
      </c>
      <c r="H4635">
        <f t="shared" si="954"/>
        <v>0</v>
      </c>
      <c r="I4635">
        <f t="shared" si="955"/>
        <v>0</v>
      </c>
      <c r="J4635">
        <f t="shared" si="956"/>
        <v>0</v>
      </c>
      <c r="K4635" s="4" t="e">
        <f t="shared" si="944"/>
        <v>#N/A</v>
      </c>
      <c r="L4635" t="e">
        <f t="shared" si="945"/>
        <v>#N/A</v>
      </c>
      <c r="M4635" s="4" t="e">
        <f t="shared" si="946"/>
        <v>#N/A</v>
      </c>
      <c r="N4635" s="4" t="e">
        <f t="shared" si="947"/>
        <v>#N/A</v>
      </c>
    </row>
    <row r="4636" spans="1:14">
      <c r="A4636">
        <f t="shared" si="948"/>
        <v>0</v>
      </c>
      <c r="B4636">
        <f t="shared" si="949"/>
        <v>0</v>
      </c>
      <c r="C4636">
        <f t="shared" si="950"/>
        <v>0</v>
      </c>
      <c r="D4636">
        <f t="shared" si="951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2"/>
        <v>0</v>
      </c>
      <c r="G4636">
        <f t="shared" si="953"/>
        <v>0</v>
      </c>
      <c r="H4636">
        <f t="shared" si="954"/>
        <v>0</v>
      </c>
      <c r="I4636">
        <f t="shared" si="955"/>
        <v>0</v>
      </c>
      <c r="J4636">
        <f t="shared" si="956"/>
        <v>0</v>
      </c>
      <c r="K4636" s="4" t="e">
        <f t="shared" si="944"/>
        <v>#N/A</v>
      </c>
      <c r="L4636" t="e">
        <f t="shared" si="945"/>
        <v>#N/A</v>
      </c>
      <c r="M4636" s="4" t="e">
        <f t="shared" si="946"/>
        <v>#N/A</v>
      </c>
      <c r="N4636" s="4" t="e">
        <f t="shared" si="947"/>
        <v>#N/A</v>
      </c>
    </row>
    <row r="4637" spans="1:14">
      <c r="A4637">
        <f t="shared" si="948"/>
        <v>0</v>
      </c>
      <c r="B4637">
        <f t="shared" si="949"/>
        <v>0</v>
      </c>
      <c r="C4637">
        <f t="shared" si="950"/>
        <v>0</v>
      </c>
      <c r="D4637">
        <f t="shared" si="951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2"/>
        <v>0</v>
      </c>
      <c r="G4637">
        <f t="shared" si="953"/>
        <v>0</v>
      </c>
      <c r="H4637">
        <f t="shared" si="954"/>
        <v>0</v>
      </c>
      <c r="I4637">
        <f t="shared" si="955"/>
        <v>0</v>
      </c>
      <c r="J4637">
        <f t="shared" si="956"/>
        <v>0</v>
      </c>
      <c r="K4637" s="4" t="e">
        <f t="shared" si="944"/>
        <v>#N/A</v>
      </c>
      <c r="L4637" t="e">
        <f t="shared" si="945"/>
        <v>#N/A</v>
      </c>
      <c r="M4637" s="4" t="e">
        <f t="shared" si="946"/>
        <v>#N/A</v>
      </c>
      <c r="N4637" s="4" t="e">
        <f t="shared" si="947"/>
        <v>#N/A</v>
      </c>
    </row>
    <row r="4638" spans="1:14">
      <c r="A4638">
        <f t="shared" si="948"/>
        <v>0</v>
      </c>
      <c r="B4638">
        <f t="shared" si="949"/>
        <v>0</v>
      </c>
      <c r="C4638">
        <f t="shared" si="950"/>
        <v>0</v>
      </c>
      <c r="D4638">
        <f t="shared" si="951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2"/>
        <v>0</v>
      </c>
      <c r="G4638">
        <f t="shared" si="953"/>
        <v>0</v>
      </c>
      <c r="H4638">
        <f t="shared" si="954"/>
        <v>0</v>
      </c>
      <c r="I4638">
        <f t="shared" si="955"/>
        <v>0</v>
      </c>
      <c r="J4638">
        <f t="shared" si="956"/>
        <v>0</v>
      </c>
      <c r="K4638" s="4" t="e">
        <f t="shared" si="944"/>
        <v>#N/A</v>
      </c>
      <c r="L4638" t="e">
        <f t="shared" si="945"/>
        <v>#N/A</v>
      </c>
      <c r="M4638" s="4" t="e">
        <f t="shared" si="946"/>
        <v>#N/A</v>
      </c>
      <c r="N4638" s="4" t="e">
        <f t="shared" si="947"/>
        <v>#N/A</v>
      </c>
    </row>
    <row r="4639" spans="1:14">
      <c r="A4639">
        <f t="shared" si="948"/>
        <v>0</v>
      </c>
      <c r="B4639">
        <f t="shared" si="949"/>
        <v>0</v>
      </c>
      <c r="C4639">
        <f t="shared" si="950"/>
        <v>0</v>
      </c>
      <c r="D4639">
        <f t="shared" si="951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2"/>
        <v>0</v>
      </c>
      <c r="G4639">
        <f t="shared" si="953"/>
        <v>0</v>
      </c>
      <c r="H4639">
        <f t="shared" si="954"/>
        <v>0</v>
      </c>
      <c r="I4639">
        <f t="shared" si="955"/>
        <v>0</v>
      </c>
      <c r="J4639">
        <f t="shared" si="956"/>
        <v>0</v>
      </c>
      <c r="K4639" s="4" t="e">
        <f t="shared" si="944"/>
        <v>#N/A</v>
      </c>
      <c r="L4639" t="e">
        <f t="shared" si="945"/>
        <v>#N/A</v>
      </c>
      <c r="M4639" s="4" t="e">
        <f t="shared" si="946"/>
        <v>#N/A</v>
      </c>
      <c r="N4639" s="4" t="e">
        <f t="shared" si="947"/>
        <v>#N/A</v>
      </c>
    </row>
    <row r="4640" spans="1:14">
      <c r="A4640">
        <f t="shared" si="948"/>
        <v>0</v>
      </c>
      <c r="B4640">
        <f t="shared" si="949"/>
        <v>0</v>
      </c>
      <c r="C4640">
        <f t="shared" si="950"/>
        <v>0</v>
      </c>
      <c r="D4640">
        <f t="shared" si="951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2"/>
        <v>0</v>
      </c>
      <c r="G4640">
        <f t="shared" si="953"/>
        <v>0</v>
      </c>
      <c r="H4640">
        <f t="shared" si="954"/>
        <v>0</v>
      </c>
      <c r="I4640">
        <f t="shared" si="955"/>
        <v>0</v>
      </c>
      <c r="J4640">
        <f t="shared" si="956"/>
        <v>0</v>
      </c>
      <c r="K4640" s="4" t="e">
        <f t="shared" si="944"/>
        <v>#N/A</v>
      </c>
      <c r="L4640" t="e">
        <f t="shared" si="945"/>
        <v>#N/A</v>
      </c>
      <c r="M4640" s="4" t="e">
        <f t="shared" si="946"/>
        <v>#N/A</v>
      </c>
      <c r="N4640" s="4" t="e">
        <f t="shared" si="947"/>
        <v>#N/A</v>
      </c>
    </row>
    <row r="4641" spans="1:14">
      <c r="A4641">
        <f t="shared" si="948"/>
        <v>0</v>
      </c>
      <c r="B4641">
        <f t="shared" si="949"/>
        <v>0</v>
      </c>
      <c r="C4641">
        <f t="shared" si="950"/>
        <v>0</v>
      </c>
      <c r="D4641">
        <f t="shared" si="951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2"/>
        <v>0</v>
      </c>
      <c r="G4641">
        <f t="shared" si="953"/>
        <v>0</v>
      </c>
      <c r="H4641">
        <f t="shared" si="954"/>
        <v>0</v>
      </c>
      <c r="I4641">
        <f t="shared" si="955"/>
        <v>0</v>
      </c>
      <c r="J4641">
        <f t="shared" si="956"/>
        <v>0</v>
      </c>
      <c r="K4641" s="4" t="e">
        <f t="shared" si="944"/>
        <v>#N/A</v>
      </c>
      <c r="L4641" t="e">
        <f t="shared" si="945"/>
        <v>#N/A</v>
      </c>
      <c r="M4641" s="4" t="e">
        <f t="shared" si="946"/>
        <v>#N/A</v>
      </c>
      <c r="N4641" s="4" t="e">
        <f t="shared" si="947"/>
        <v>#N/A</v>
      </c>
    </row>
    <row r="4642" spans="1:14">
      <c r="A4642">
        <f t="shared" si="948"/>
        <v>0</v>
      </c>
      <c r="B4642">
        <f t="shared" si="949"/>
        <v>0</v>
      </c>
      <c r="C4642">
        <f t="shared" si="950"/>
        <v>0</v>
      </c>
      <c r="D4642">
        <f t="shared" si="951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2"/>
        <v>0</v>
      </c>
      <c r="G4642">
        <f t="shared" si="953"/>
        <v>0</v>
      </c>
      <c r="H4642">
        <f t="shared" si="954"/>
        <v>0</v>
      </c>
      <c r="I4642">
        <f t="shared" si="955"/>
        <v>0</v>
      </c>
      <c r="J4642">
        <f t="shared" si="956"/>
        <v>0</v>
      </c>
      <c r="K4642" s="4" t="e">
        <f t="shared" si="944"/>
        <v>#N/A</v>
      </c>
      <c r="L4642" t="e">
        <f t="shared" si="945"/>
        <v>#N/A</v>
      </c>
      <c r="M4642" s="4" t="e">
        <f t="shared" si="946"/>
        <v>#N/A</v>
      </c>
      <c r="N4642" s="4" t="e">
        <f t="shared" si="947"/>
        <v>#N/A</v>
      </c>
    </row>
    <row r="4643" spans="1:14">
      <c r="A4643">
        <f t="shared" si="948"/>
        <v>0</v>
      </c>
      <c r="B4643">
        <f t="shared" si="949"/>
        <v>0</v>
      </c>
      <c r="C4643">
        <f t="shared" si="950"/>
        <v>0</v>
      </c>
      <c r="D4643">
        <f t="shared" si="951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2"/>
        <v>0</v>
      </c>
      <c r="G4643">
        <f t="shared" si="953"/>
        <v>0</v>
      </c>
      <c r="H4643">
        <f t="shared" si="954"/>
        <v>0</v>
      </c>
      <c r="I4643">
        <f t="shared" si="955"/>
        <v>0</v>
      </c>
      <c r="J4643">
        <f t="shared" si="956"/>
        <v>0</v>
      </c>
      <c r="K4643" s="4" t="e">
        <f t="shared" si="944"/>
        <v>#N/A</v>
      </c>
      <c r="L4643" t="e">
        <f t="shared" si="945"/>
        <v>#N/A</v>
      </c>
      <c r="M4643" s="4" t="e">
        <f t="shared" si="946"/>
        <v>#N/A</v>
      </c>
      <c r="N4643" s="4" t="e">
        <f t="shared" si="947"/>
        <v>#N/A</v>
      </c>
    </row>
    <row r="4644" spans="1:14">
      <c r="A4644">
        <f t="shared" si="948"/>
        <v>0</v>
      </c>
      <c r="B4644">
        <f t="shared" si="949"/>
        <v>0</v>
      </c>
      <c r="C4644">
        <f t="shared" si="950"/>
        <v>0</v>
      </c>
      <c r="D4644">
        <f t="shared" si="951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2"/>
        <v>0</v>
      </c>
      <c r="G4644">
        <f t="shared" si="953"/>
        <v>0</v>
      </c>
      <c r="H4644">
        <f t="shared" si="954"/>
        <v>0</v>
      </c>
      <c r="I4644">
        <f t="shared" si="955"/>
        <v>0</v>
      </c>
      <c r="J4644">
        <f t="shared" si="956"/>
        <v>0</v>
      </c>
      <c r="K4644" s="4" t="e">
        <f t="shared" si="944"/>
        <v>#N/A</v>
      </c>
      <c r="L4644" t="e">
        <f t="shared" si="945"/>
        <v>#N/A</v>
      </c>
      <c r="M4644" s="4" t="e">
        <f t="shared" si="946"/>
        <v>#N/A</v>
      </c>
      <c r="N4644" s="4" t="e">
        <f t="shared" si="947"/>
        <v>#N/A</v>
      </c>
    </row>
    <row r="4645" spans="1:14">
      <c r="A4645">
        <f t="shared" si="948"/>
        <v>0</v>
      </c>
      <c r="B4645">
        <f t="shared" si="949"/>
        <v>0</v>
      </c>
      <c r="C4645">
        <f t="shared" si="950"/>
        <v>0</v>
      </c>
      <c r="D4645">
        <f t="shared" si="951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2"/>
        <v>0</v>
      </c>
      <c r="G4645">
        <f t="shared" si="953"/>
        <v>0</v>
      </c>
      <c r="H4645">
        <f t="shared" si="954"/>
        <v>0</v>
      </c>
      <c r="I4645">
        <f t="shared" si="955"/>
        <v>0</v>
      </c>
      <c r="J4645">
        <f t="shared" si="956"/>
        <v>0</v>
      </c>
      <c r="K4645" s="4" t="e">
        <f t="shared" si="944"/>
        <v>#N/A</v>
      </c>
      <c r="L4645" t="e">
        <f t="shared" si="945"/>
        <v>#N/A</v>
      </c>
      <c r="M4645" s="4" t="e">
        <f t="shared" si="946"/>
        <v>#N/A</v>
      </c>
      <c r="N4645" s="4" t="e">
        <f t="shared" si="947"/>
        <v>#N/A</v>
      </c>
    </row>
    <row r="4646" spans="1:14">
      <c r="A4646">
        <f t="shared" si="948"/>
        <v>0</v>
      </c>
      <c r="B4646">
        <f t="shared" si="949"/>
        <v>0</v>
      </c>
      <c r="C4646">
        <f t="shared" si="950"/>
        <v>0</v>
      </c>
      <c r="D4646">
        <f t="shared" si="951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2"/>
        <v>0</v>
      </c>
      <c r="G4646">
        <f t="shared" si="953"/>
        <v>0</v>
      </c>
      <c r="H4646">
        <f t="shared" si="954"/>
        <v>0</v>
      </c>
      <c r="I4646">
        <f t="shared" si="955"/>
        <v>0</v>
      </c>
      <c r="J4646">
        <f t="shared" si="956"/>
        <v>0</v>
      </c>
      <c r="K4646" s="4" t="e">
        <f t="shared" si="944"/>
        <v>#N/A</v>
      </c>
      <c r="L4646" t="e">
        <f t="shared" si="945"/>
        <v>#N/A</v>
      </c>
      <c r="M4646" s="4" t="e">
        <f t="shared" si="946"/>
        <v>#N/A</v>
      </c>
      <c r="N4646" s="4" t="e">
        <f t="shared" si="947"/>
        <v>#N/A</v>
      </c>
    </row>
    <row r="4647" spans="1:14">
      <c r="A4647">
        <f t="shared" si="948"/>
        <v>0</v>
      </c>
      <c r="B4647">
        <f t="shared" si="949"/>
        <v>0</v>
      </c>
      <c r="C4647">
        <f t="shared" si="950"/>
        <v>0</v>
      </c>
      <c r="D4647">
        <f t="shared" si="951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2"/>
        <v>0</v>
      </c>
      <c r="G4647">
        <f t="shared" si="953"/>
        <v>0</v>
      </c>
      <c r="H4647">
        <f t="shared" si="954"/>
        <v>0</v>
      </c>
      <c r="I4647">
        <f t="shared" si="955"/>
        <v>0</v>
      </c>
      <c r="J4647">
        <f t="shared" si="956"/>
        <v>0</v>
      </c>
      <c r="K4647" s="4" t="e">
        <f t="shared" si="944"/>
        <v>#N/A</v>
      </c>
      <c r="L4647" t="e">
        <f t="shared" si="945"/>
        <v>#N/A</v>
      </c>
      <c r="M4647" s="4" t="e">
        <f t="shared" si="946"/>
        <v>#N/A</v>
      </c>
      <c r="N4647" s="4" t="e">
        <f t="shared" si="947"/>
        <v>#N/A</v>
      </c>
    </row>
    <row r="4648" spans="1:14">
      <c r="A4648">
        <f t="shared" si="948"/>
        <v>0</v>
      </c>
      <c r="B4648">
        <f t="shared" si="949"/>
        <v>0</v>
      </c>
      <c r="C4648">
        <f t="shared" si="950"/>
        <v>0</v>
      </c>
      <c r="D4648">
        <f t="shared" si="951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2"/>
        <v>0</v>
      </c>
      <c r="G4648">
        <f t="shared" si="953"/>
        <v>0</v>
      </c>
      <c r="H4648">
        <f t="shared" si="954"/>
        <v>0</v>
      </c>
      <c r="I4648">
        <f t="shared" si="955"/>
        <v>0</v>
      </c>
      <c r="J4648">
        <f t="shared" si="956"/>
        <v>0</v>
      </c>
      <c r="K4648" s="4" t="e">
        <f t="shared" si="944"/>
        <v>#N/A</v>
      </c>
      <c r="L4648" t="e">
        <f t="shared" si="945"/>
        <v>#N/A</v>
      </c>
      <c r="M4648" s="4" t="e">
        <f t="shared" si="946"/>
        <v>#N/A</v>
      </c>
      <c r="N4648" s="4" t="e">
        <f t="shared" si="947"/>
        <v>#N/A</v>
      </c>
    </row>
    <row r="4649" spans="1:14">
      <c r="A4649">
        <f t="shared" si="948"/>
        <v>0</v>
      </c>
      <c r="B4649">
        <f t="shared" si="949"/>
        <v>0</v>
      </c>
      <c r="C4649">
        <f t="shared" si="950"/>
        <v>0</v>
      </c>
      <c r="D4649">
        <f t="shared" si="951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2"/>
        <v>0</v>
      </c>
      <c r="G4649">
        <f t="shared" si="953"/>
        <v>0</v>
      </c>
      <c r="H4649">
        <f t="shared" si="954"/>
        <v>0</v>
      </c>
      <c r="I4649">
        <f t="shared" si="955"/>
        <v>0</v>
      </c>
      <c r="J4649">
        <f t="shared" si="956"/>
        <v>0</v>
      </c>
      <c r="K4649" s="4" t="e">
        <f t="shared" si="944"/>
        <v>#N/A</v>
      </c>
      <c r="L4649" t="e">
        <f t="shared" si="945"/>
        <v>#N/A</v>
      </c>
      <c r="M4649" s="4" t="e">
        <f t="shared" si="946"/>
        <v>#N/A</v>
      </c>
      <c r="N4649" s="4" t="e">
        <f t="shared" si="947"/>
        <v>#N/A</v>
      </c>
    </row>
    <row r="4650" spans="1:14">
      <c r="A4650">
        <f t="shared" si="948"/>
        <v>0</v>
      </c>
      <c r="B4650">
        <f t="shared" si="949"/>
        <v>0</v>
      </c>
      <c r="C4650">
        <f t="shared" si="950"/>
        <v>0</v>
      </c>
      <c r="D4650">
        <f t="shared" si="951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2"/>
        <v>0</v>
      </c>
      <c r="G4650">
        <f t="shared" si="953"/>
        <v>0</v>
      </c>
      <c r="H4650">
        <f t="shared" si="954"/>
        <v>0</v>
      </c>
      <c r="I4650">
        <f t="shared" si="955"/>
        <v>0</v>
      </c>
      <c r="J4650">
        <f t="shared" si="956"/>
        <v>0</v>
      </c>
      <c r="K4650" s="4" t="e">
        <f t="shared" si="944"/>
        <v>#N/A</v>
      </c>
      <c r="L4650" t="e">
        <f t="shared" si="945"/>
        <v>#N/A</v>
      </c>
      <c r="M4650" s="4" t="e">
        <f t="shared" si="946"/>
        <v>#N/A</v>
      </c>
      <c r="N4650" s="4" t="e">
        <f t="shared" si="947"/>
        <v>#N/A</v>
      </c>
    </row>
    <row r="4651" spans="1:14">
      <c r="A4651">
        <f t="shared" si="948"/>
        <v>0</v>
      </c>
      <c r="B4651">
        <f t="shared" si="949"/>
        <v>0</v>
      </c>
      <c r="C4651">
        <f t="shared" si="950"/>
        <v>0</v>
      </c>
      <c r="D4651">
        <f t="shared" si="951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2"/>
        <v>0</v>
      </c>
      <c r="G4651">
        <f t="shared" si="953"/>
        <v>0</v>
      </c>
      <c r="H4651">
        <f t="shared" si="954"/>
        <v>0</v>
      </c>
      <c r="I4651">
        <f t="shared" si="955"/>
        <v>0</v>
      </c>
      <c r="J4651">
        <f t="shared" si="956"/>
        <v>0</v>
      </c>
      <c r="K4651" s="4" t="e">
        <f t="shared" si="944"/>
        <v>#N/A</v>
      </c>
      <c r="L4651" t="e">
        <f t="shared" si="945"/>
        <v>#N/A</v>
      </c>
      <c r="M4651" s="4" t="e">
        <f t="shared" si="946"/>
        <v>#N/A</v>
      </c>
      <c r="N4651" s="4" t="e">
        <f t="shared" si="947"/>
        <v>#N/A</v>
      </c>
    </row>
    <row r="4652" spans="1:14">
      <c r="A4652">
        <f t="shared" si="948"/>
        <v>0</v>
      </c>
      <c r="B4652">
        <f t="shared" si="949"/>
        <v>0</v>
      </c>
      <c r="C4652">
        <f t="shared" si="950"/>
        <v>0</v>
      </c>
      <c r="D4652">
        <f t="shared" si="951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2"/>
        <v>0</v>
      </c>
      <c r="G4652">
        <f t="shared" si="953"/>
        <v>0</v>
      </c>
      <c r="H4652">
        <f t="shared" si="954"/>
        <v>0</v>
      </c>
      <c r="I4652">
        <f t="shared" si="955"/>
        <v>0</v>
      </c>
      <c r="J4652">
        <f t="shared" si="956"/>
        <v>0</v>
      </c>
      <c r="K4652" s="4" t="e">
        <f t="shared" si="944"/>
        <v>#N/A</v>
      </c>
      <c r="L4652" t="e">
        <f t="shared" si="945"/>
        <v>#N/A</v>
      </c>
      <c r="M4652" s="4" t="e">
        <f t="shared" si="946"/>
        <v>#N/A</v>
      </c>
      <c r="N4652" s="4" t="e">
        <f t="shared" si="947"/>
        <v>#N/A</v>
      </c>
    </row>
    <row r="4653" spans="1:14">
      <c r="A4653">
        <f t="shared" si="948"/>
        <v>0</v>
      </c>
      <c r="B4653">
        <f t="shared" si="949"/>
        <v>0</v>
      </c>
      <c r="C4653">
        <f t="shared" si="950"/>
        <v>0</v>
      </c>
      <c r="D4653">
        <f t="shared" si="951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2"/>
        <v>0</v>
      </c>
      <c r="G4653">
        <f t="shared" si="953"/>
        <v>0</v>
      </c>
      <c r="H4653">
        <f t="shared" si="954"/>
        <v>0</v>
      </c>
      <c r="I4653">
        <f t="shared" si="955"/>
        <v>0</v>
      </c>
      <c r="J4653">
        <f t="shared" si="956"/>
        <v>0</v>
      </c>
      <c r="K4653" s="4" t="e">
        <f t="shared" si="944"/>
        <v>#N/A</v>
      </c>
      <c r="L4653" t="e">
        <f t="shared" si="945"/>
        <v>#N/A</v>
      </c>
      <c r="M4653" s="4" t="e">
        <f t="shared" si="946"/>
        <v>#N/A</v>
      </c>
      <c r="N4653" s="4" t="e">
        <f t="shared" si="947"/>
        <v>#N/A</v>
      </c>
    </row>
    <row r="4654" spans="1:14">
      <c r="A4654">
        <f t="shared" si="948"/>
        <v>0</v>
      </c>
      <c r="B4654">
        <f t="shared" si="949"/>
        <v>0</v>
      </c>
      <c r="C4654">
        <f t="shared" si="950"/>
        <v>0</v>
      </c>
      <c r="D4654">
        <f t="shared" si="951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2"/>
        <v>0</v>
      </c>
      <c r="G4654">
        <f t="shared" si="953"/>
        <v>0</v>
      </c>
      <c r="H4654">
        <f t="shared" si="954"/>
        <v>0</v>
      </c>
      <c r="I4654">
        <f t="shared" si="955"/>
        <v>0</v>
      </c>
      <c r="J4654">
        <f t="shared" si="956"/>
        <v>0</v>
      </c>
      <c r="K4654" s="4" t="e">
        <f t="shared" si="944"/>
        <v>#N/A</v>
      </c>
      <c r="L4654" t="e">
        <f t="shared" si="945"/>
        <v>#N/A</v>
      </c>
      <c r="M4654" s="4" t="e">
        <f t="shared" si="946"/>
        <v>#N/A</v>
      </c>
      <c r="N4654" s="4" t="e">
        <f t="shared" si="947"/>
        <v>#N/A</v>
      </c>
    </row>
    <row r="4655" spans="1:14">
      <c r="A4655">
        <f t="shared" si="948"/>
        <v>0</v>
      </c>
      <c r="B4655">
        <f t="shared" si="949"/>
        <v>0</v>
      </c>
      <c r="C4655">
        <f t="shared" si="950"/>
        <v>0</v>
      </c>
      <c r="D4655">
        <f t="shared" si="951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2"/>
        <v>0</v>
      </c>
      <c r="G4655">
        <f t="shared" si="953"/>
        <v>0</v>
      </c>
      <c r="H4655">
        <f t="shared" si="954"/>
        <v>0</v>
      </c>
      <c r="I4655">
        <f t="shared" si="955"/>
        <v>0</v>
      </c>
      <c r="J4655">
        <f t="shared" si="956"/>
        <v>0</v>
      </c>
      <c r="K4655" s="4" t="e">
        <f t="shared" si="944"/>
        <v>#N/A</v>
      </c>
      <c r="L4655" t="e">
        <f t="shared" si="945"/>
        <v>#N/A</v>
      </c>
      <c r="M4655" s="4" t="e">
        <f t="shared" si="946"/>
        <v>#N/A</v>
      </c>
      <c r="N4655" s="4" t="e">
        <f t="shared" si="947"/>
        <v>#N/A</v>
      </c>
    </row>
    <row r="4656" spans="1:14">
      <c r="A4656">
        <f t="shared" si="948"/>
        <v>0</v>
      </c>
      <c r="B4656">
        <f t="shared" si="949"/>
        <v>0</v>
      </c>
      <c r="C4656">
        <f t="shared" si="950"/>
        <v>0</v>
      </c>
      <c r="D4656">
        <f t="shared" si="951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2"/>
        <v>0</v>
      </c>
      <c r="G4656">
        <f t="shared" si="953"/>
        <v>0</v>
      </c>
      <c r="H4656">
        <f t="shared" si="954"/>
        <v>0</v>
      </c>
      <c r="I4656">
        <f t="shared" si="955"/>
        <v>0</v>
      </c>
      <c r="J4656">
        <f t="shared" si="956"/>
        <v>0</v>
      </c>
      <c r="K4656" s="4" t="e">
        <f t="shared" si="944"/>
        <v>#N/A</v>
      </c>
      <c r="L4656" t="e">
        <f t="shared" si="945"/>
        <v>#N/A</v>
      </c>
      <c r="M4656" s="4" t="e">
        <f t="shared" si="946"/>
        <v>#N/A</v>
      </c>
      <c r="N4656" s="4" t="e">
        <f t="shared" si="947"/>
        <v>#N/A</v>
      </c>
    </row>
    <row r="4657" spans="1:14">
      <c r="A4657">
        <f t="shared" si="948"/>
        <v>0</v>
      </c>
      <c r="B4657">
        <f t="shared" si="949"/>
        <v>0</v>
      </c>
      <c r="C4657">
        <f t="shared" si="950"/>
        <v>0</v>
      </c>
      <c r="D4657">
        <f t="shared" si="951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2"/>
        <v>0</v>
      </c>
      <c r="G4657">
        <f t="shared" si="953"/>
        <v>0</v>
      </c>
      <c r="H4657">
        <f t="shared" si="954"/>
        <v>0</v>
      </c>
      <c r="I4657">
        <f t="shared" si="955"/>
        <v>0</v>
      </c>
      <c r="J4657">
        <f t="shared" si="956"/>
        <v>0</v>
      </c>
      <c r="K4657" s="4" t="e">
        <f t="shared" si="944"/>
        <v>#N/A</v>
      </c>
      <c r="L4657" t="e">
        <f t="shared" si="945"/>
        <v>#N/A</v>
      </c>
      <c r="M4657" s="4" t="e">
        <f t="shared" si="946"/>
        <v>#N/A</v>
      </c>
      <c r="N4657" s="4" t="e">
        <f t="shared" si="947"/>
        <v>#N/A</v>
      </c>
    </row>
    <row r="4658" spans="1:14">
      <c r="A4658">
        <f t="shared" si="948"/>
        <v>0</v>
      </c>
      <c r="B4658">
        <f t="shared" si="949"/>
        <v>0</v>
      </c>
      <c r="C4658">
        <f t="shared" si="950"/>
        <v>0</v>
      </c>
      <c r="D4658">
        <f t="shared" si="951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2"/>
        <v>0</v>
      </c>
      <c r="G4658">
        <f t="shared" si="953"/>
        <v>0</v>
      </c>
      <c r="H4658">
        <f t="shared" si="954"/>
        <v>0</v>
      </c>
      <c r="I4658">
        <f t="shared" si="955"/>
        <v>0</v>
      </c>
      <c r="J4658">
        <f t="shared" si="956"/>
        <v>0</v>
      </c>
      <c r="K4658" s="4" t="e">
        <f t="shared" si="944"/>
        <v>#N/A</v>
      </c>
      <c r="L4658" t="e">
        <f t="shared" si="945"/>
        <v>#N/A</v>
      </c>
      <c r="M4658" s="4" t="e">
        <f t="shared" si="946"/>
        <v>#N/A</v>
      </c>
      <c r="N4658" s="4" t="e">
        <f t="shared" si="947"/>
        <v>#N/A</v>
      </c>
    </row>
    <row r="4659" spans="1:14">
      <c r="A4659">
        <f t="shared" si="948"/>
        <v>0</v>
      </c>
      <c r="B4659">
        <f t="shared" si="949"/>
        <v>0</v>
      </c>
      <c r="C4659">
        <f t="shared" si="950"/>
        <v>0</v>
      </c>
      <c r="D4659">
        <f t="shared" si="951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2"/>
        <v>0</v>
      </c>
      <c r="G4659">
        <f t="shared" si="953"/>
        <v>0</v>
      </c>
      <c r="H4659">
        <f t="shared" si="954"/>
        <v>0</v>
      </c>
      <c r="I4659">
        <f t="shared" si="955"/>
        <v>0</v>
      </c>
      <c r="J4659">
        <f t="shared" si="956"/>
        <v>0</v>
      </c>
      <c r="K4659" s="4" t="e">
        <f t="shared" si="944"/>
        <v>#N/A</v>
      </c>
      <c r="L4659" t="e">
        <f t="shared" si="945"/>
        <v>#N/A</v>
      </c>
      <c r="M4659" s="4" t="e">
        <f t="shared" si="946"/>
        <v>#N/A</v>
      </c>
      <c r="N4659" s="4" t="e">
        <f t="shared" si="947"/>
        <v>#N/A</v>
      </c>
    </row>
    <row r="4660" spans="1:14">
      <c r="A4660">
        <f t="shared" si="948"/>
        <v>0</v>
      </c>
      <c r="B4660">
        <f t="shared" si="949"/>
        <v>0</v>
      </c>
      <c r="C4660">
        <f t="shared" si="950"/>
        <v>0</v>
      </c>
      <c r="D4660">
        <f t="shared" si="951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2"/>
        <v>0</v>
      </c>
      <c r="G4660">
        <f t="shared" si="953"/>
        <v>0</v>
      </c>
      <c r="H4660">
        <f t="shared" si="954"/>
        <v>0</v>
      </c>
      <c r="I4660">
        <f t="shared" si="955"/>
        <v>0</v>
      </c>
      <c r="J4660">
        <f t="shared" si="956"/>
        <v>0</v>
      </c>
      <c r="K4660" s="4" t="e">
        <f t="shared" si="944"/>
        <v>#N/A</v>
      </c>
      <c r="L4660" t="e">
        <f t="shared" si="945"/>
        <v>#N/A</v>
      </c>
      <c r="M4660" s="4" t="e">
        <f t="shared" si="946"/>
        <v>#N/A</v>
      </c>
      <c r="N4660" s="4" t="e">
        <f t="shared" si="947"/>
        <v>#N/A</v>
      </c>
    </row>
    <row r="4661" spans="1:14">
      <c r="A4661">
        <f t="shared" si="948"/>
        <v>0</v>
      </c>
      <c r="B4661">
        <f t="shared" si="949"/>
        <v>0</v>
      </c>
      <c r="C4661">
        <f t="shared" si="950"/>
        <v>0</v>
      </c>
      <c r="D4661">
        <f t="shared" si="951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2"/>
        <v>0</v>
      </c>
      <c r="G4661">
        <f t="shared" si="953"/>
        <v>0</v>
      </c>
      <c r="H4661">
        <f t="shared" si="954"/>
        <v>0</v>
      </c>
      <c r="I4661">
        <f t="shared" si="955"/>
        <v>0</v>
      </c>
      <c r="J4661">
        <f t="shared" si="956"/>
        <v>0</v>
      </c>
      <c r="K4661" s="4" t="e">
        <f t="shared" si="944"/>
        <v>#N/A</v>
      </c>
      <c r="L4661" t="e">
        <f t="shared" si="945"/>
        <v>#N/A</v>
      </c>
      <c r="M4661" s="4" t="e">
        <f t="shared" si="946"/>
        <v>#N/A</v>
      </c>
      <c r="N4661" s="4" t="e">
        <f t="shared" si="947"/>
        <v>#N/A</v>
      </c>
    </row>
    <row r="4662" spans="1:14">
      <c r="A4662">
        <f t="shared" si="948"/>
        <v>0</v>
      </c>
      <c r="B4662">
        <f t="shared" si="949"/>
        <v>0</v>
      </c>
      <c r="C4662">
        <f t="shared" si="950"/>
        <v>0</v>
      </c>
      <c r="D4662">
        <f t="shared" si="951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2"/>
        <v>0</v>
      </c>
      <c r="G4662">
        <f t="shared" si="953"/>
        <v>0</v>
      </c>
      <c r="H4662">
        <f t="shared" si="954"/>
        <v>0</v>
      </c>
      <c r="I4662">
        <f t="shared" si="955"/>
        <v>0</v>
      </c>
      <c r="J4662">
        <f t="shared" si="956"/>
        <v>0</v>
      </c>
      <c r="K4662" s="4" t="e">
        <f t="shared" si="944"/>
        <v>#N/A</v>
      </c>
      <c r="L4662" t="e">
        <f t="shared" si="945"/>
        <v>#N/A</v>
      </c>
      <c r="M4662" s="4" t="e">
        <f t="shared" si="946"/>
        <v>#N/A</v>
      </c>
      <c r="N4662" s="4" t="e">
        <f t="shared" si="947"/>
        <v>#N/A</v>
      </c>
    </row>
    <row r="4663" spans="1:14">
      <c r="A4663">
        <f t="shared" si="948"/>
        <v>0</v>
      </c>
      <c r="B4663">
        <f t="shared" si="949"/>
        <v>0</v>
      </c>
      <c r="C4663">
        <f t="shared" si="950"/>
        <v>0</v>
      </c>
      <c r="D4663">
        <f t="shared" si="951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2"/>
        <v>0</v>
      </c>
      <c r="G4663">
        <f t="shared" si="953"/>
        <v>0</v>
      </c>
      <c r="H4663">
        <f t="shared" si="954"/>
        <v>0</v>
      </c>
      <c r="I4663">
        <f t="shared" si="955"/>
        <v>0</v>
      </c>
      <c r="J4663">
        <f t="shared" si="956"/>
        <v>0</v>
      </c>
      <c r="K4663" s="4" t="e">
        <f t="shared" si="944"/>
        <v>#N/A</v>
      </c>
      <c r="L4663" t="e">
        <f t="shared" si="945"/>
        <v>#N/A</v>
      </c>
      <c r="M4663" s="4" t="e">
        <f t="shared" si="946"/>
        <v>#N/A</v>
      </c>
      <c r="N4663" s="4" t="e">
        <f t="shared" si="947"/>
        <v>#N/A</v>
      </c>
    </row>
    <row r="4664" spans="1:14">
      <c r="A4664">
        <f t="shared" si="948"/>
        <v>0</v>
      </c>
      <c r="B4664">
        <f t="shared" si="949"/>
        <v>0</v>
      </c>
      <c r="C4664">
        <f t="shared" si="950"/>
        <v>0</v>
      </c>
      <c r="D4664">
        <f t="shared" si="951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2"/>
        <v>0</v>
      </c>
      <c r="G4664">
        <f t="shared" si="953"/>
        <v>0</v>
      </c>
      <c r="H4664">
        <f t="shared" si="954"/>
        <v>0</v>
      </c>
      <c r="I4664">
        <f t="shared" si="955"/>
        <v>0</v>
      </c>
      <c r="J4664">
        <f t="shared" si="956"/>
        <v>0</v>
      </c>
      <c r="K4664" s="4" t="e">
        <f t="shared" si="944"/>
        <v>#N/A</v>
      </c>
      <c r="L4664" t="e">
        <f t="shared" si="945"/>
        <v>#N/A</v>
      </c>
      <c r="M4664" s="4" t="e">
        <f t="shared" si="946"/>
        <v>#N/A</v>
      </c>
      <c r="N4664" s="4" t="e">
        <f t="shared" si="947"/>
        <v>#N/A</v>
      </c>
    </row>
    <row r="4665" spans="1:14">
      <c r="A4665">
        <f t="shared" si="948"/>
        <v>0</v>
      </c>
      <c r="B4665">
        <f t="shared" si="949"/>
        <v>0</v>
      </c>
      <c r="C4665">
        <f t="shared" si="950"/>
        <v>0</v>
      </c>
      <c r="D4665">
        <f t="shared" si="951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2"/>
        <v>0</v>
      </c>
      <c r="G4665">
        <f t="shared" si="953"/>
        <v>0</v>
      </c>
      <c r="H4665">
        <f t="shared" si="954"/>
        <v>0</v>
      </c>
      <c r="I4665">
        <f t="shared" si="955"/>
        <v>0</v>
      </c>
      <c r="J4665">
        <f t="shared" si="956"/>
        <v>0</v>
      </c>
      <c r="K4665" s="4" t="e">
        <f t="shared" si="944"/>
        <v>#N/A</v>
      </c>
      <c r="L4665" t="e">
        <f t="shared" si="945"/>
        <v>#N/A</v>
      </c>
      <c r="M4665" s="4" t="e">
        <f t="shared" si="946"/>
        <v>#N/A</v>
      </c>
      <c r="N4665" s="4" t="e">
        <f t="shared" si="947"/>
        <v>#N/A</v>
      </c>
    </row>
    <row r="4666" spans="1:14">
      <c r="A4666">
        <f t="shared" si="948"/>
        <v>0</v>
      </c>
      <c r="B4666">
        <f t="shared" si="949"/>
        <v>0</v>
      </c>
      <c r="C4666">
        <f t="shared" si="950"/>
        <v>0</v>
      </c>
      <c r="D4666">
        <f t="shared" si="951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2"/>
        <v>0</v>
      </c>
      <c r="G4666">
        <f t="shared" si="953"/>
        <v>0</v>
      </c>
      <c r="H4666">
        <f t="shared" si="954"/>
        <v>0</v>
      </c>
      <c r="I4666">
        <f t="shared" si="955"/>
        <v>0</v>
      </c>
      <c r="J4666">
        <f t="shared" si="956"/>
        <v>0</v>
      </c>
      <c r="K4666" s="4" t="e">
        <f t="shared" si="944"/>
        <v>#N/A</v>
      </c>
      <c r="L4666" t="e">
        <f t="shared" si="945"/>
        <v>#N/A</v>
      </c>
      <c r="M4666" s="4" t="e">
        <f t="shared" si="946"/>
        <v>#N/A</v>
      </c>
      <c r="N4666" s="4" t="e">
        <f t="shared" si="947"/>
        <v>#N/A</v>
      </c>
    </row>
    <row r="4667" spans="1:14">
      <c r="A4667">
        <f t="shared" si="948"/>
        <v>0</v>
      </c>
      <c r="B4667">
        <f t="shared" si="949"/>
        <v>0</v>
      </c>
      <c r="C4667">
        <f t="shared" si="950"/>
        <v>0</v>
      </c>
      <c r="D4667">
        <f t="shared" si="951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2"/>
        <v>0</v>
      </c>
      <c r="G4667">
        <f t="shared" si="953"/>
        <v>0</v>
      </c>
      <c r="H4667">
        <f t="shared" si="954"/>
        <v>0</v>
      </c>
      <c r="I4667">
        <f t="shared" si="955"/>
        <v>0</v>
      </c>
      <c r="J4667">
        <f t="shared" si="956"/>
        <v>0</v>
      </c>
      <c r="K4667" s="4" t="e">
        <f t="shared" si="944"/>
        <v>#N/A</v>
      </c>
      <c r="L4667" t="e">
        <f t="shared" si="945"/>
        <v>#N/A</v>
      </c>
      <c r="M4667" s="4" t="e">
        <f t="shared" si="946"/>
        <v>#N/A</v>
      </c>
      <c r="N4667" s="4" t="e">
        <f t="shared" si="947"/>
        <v>#N/A</v>
      </c>
    </row>
    <row r="4668" spans="1:14">
      <c r="A4668">
        <f t="shared" si="948"/>
        <v>0</v>
      </c>
      <c r="B4668">
        <f t="shared" si="949"/>
        <v>0</v>
      </c>
      <c r="C4668">
        <f t="shared" si="950"/>
        <v>0</v>
      </c>
      <c r="D4668">
        <f t="shared" si="951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2"/>
        <v>0</v>
      </c>
      <c r="G4668">
        <f t="shared" si="953"/>
        <v>0</v>
      </c>
      <c r="H4668">
        <f t="shared" si="954"/>
        <v>0</v>
      </c>
      <c r="I4668">
        <f t="shared" si="955"/>
        <v>0</v>
      </c>
      <c r="J4668">
        <f t="shared" si="956"/>
        <v>0</v>
      </c>
      <c r="K4668" s="4" t="e">
        <f t="shared" si="944"/>
        <v>#N/A</v>
      </c>
      <c r="L4668" t="e">
        <f t="shared" si="945"/>
        <v>#N/A</v>
      </c>
      <c r="M4668" s="4" t="e">
        <f t="shared" si="946"/>
        <v>#N/A</v>
      </c>
      <c r="N4668" s="4" t="e">
        <f t="shared" si="947"/>
        <v>#N/A</v>
      </c>
    </row>
    <row r="4669" spans="1:14">
      <c r="A4669">
        <f t="shared" si="948"/>
        <v>0</v>
      </c>
      <c r="B4669">
        <f t="shared" si="949"/>
        <v>0</v>
      </c>
      <c r="C4669">
        <f t="shared" si="950"/>
        <v>0</v>
      </c>
      <c r="D4669">
        <f t="shared" si="951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2"/>
        <v>0</v>
      </c>
      <c r="G4669">
        <f t="shared" si="953"/>
        <v>0</v>
      </c>
      <c r="H4669">
        <f t="shared" si="954"/>
        <v>0</v>
      </c>
      <c r="I4669">
        <f t="shared" si="955"/>
        <v>0</v>
      </c>
      <c r="J4669">
        <f t="shared" si="956"/>
        <v>0</v>
      </c>
      <c r="K4669" s="4" t="e">
        <f t="shared" ref="K4669:K4732" si="957">IF(LEFT(B4669,3)="DBM",0,VLOOKUP(E4669,tabela,2,FALSE))</f>
        <v>#N/A</v>
      </c>
      <c r="L4669" t="e">
        <f t="shared" ref="L4669:L4732" si="958">VLOOKUP(E4669,tabela,3,FALSE)</f>
        <v>#N/A</v>
      </c>
      <c r="M4669" s="4" t="e">
        <f t="shared" ref="M4669:M4732" si="959">IF(E4669="Dynamic Click",J4669*K4669,K4669*$I4669/1000)</f>
        <v>#N/A</v>
      </c>
      <c r="N4669" s="4" t="e">
        <f t="shared" ref="N4669:N4732" si="960">IF(E4669="Dynamic Click",J4669*L4669,L4669*$I4669/1000)</f>
        <v>#N/A</v>
      </c>
    </row>
    <row r="4670" spans="1:14">
      <c r="A4670">
        <f t="shared" si="948"/>
        <v>0</v>
      </c>
      <c r="B4670">
        <f t="shared" si="949"/>
        <v>0</v>
      </c>
      <c r="C4670">
        <f t="shared" si="950"/>
        <v>0</v>
      </c>
      <c r="D4670">
        <f t="shared" si="951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2"/>
        <v>0</v>
      </c>
      <c r="G4670">
        <f t="shared" si="953"/>
        <v>0</v>
      </c>
      <c r="H4670">
        <f t="shared" si="954"/>
        <v>0</v>
      </c>
      <c r="I4670">
        <f t="shared" si="955"/>
        <v>0</v>
      </c>
      <c r="J4670">
        <f t="shared" si="956"/>
        <v>0</v>
      </c>
      <c r="K4670" s="4" t="e">
        <f t="shared" si="957"/>
        <v>#N/A</v>
      </c>
      <c r="L4670" t="e">
        <f t="shared" si="958"/>
        <v>#N/A</v>
      </c>
      <c r="M4670" s="4" t="e">
        <f t="shared" si="959"/>
        <v>#N/A</v>
      </c>
      <c r="N4670" s="4" t="e">
        <f t="shared" si="960"/>
        <v>#N/A</v>
      </c>
    </row>
    <row r="4671" spans="1:14">
      <c r="A4671">
        <f t="shared" si="948"/>
        <v>0</v>
      </c>
      <c r="B4671">
        <f t="shared" si="949"/>
        <v>0</v>
      </c>
      <c r="C4671">
        <f t="shared" si="950"/>
        <v>0</v>
      </c>
      <c r="D4671">
        <f t="shared" si="951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2"/>
        <v>0</v>
      </c>
      <c r="G4671">
        <f t="shared" si="953"/>
        <v>0</v>
      </c>
      <c r="H4671">
        <f t="shared" si="954"/>
        <v>0</v>
      </c>
      <c r="I4671">
        <f t="shared" si="955"/>
        <v>0</v>
      </c>
      <c r="J4671">
        <f t="shared" si="956"/>
        <v>0</v>
      </c>
      <c r="K4671" s="4" t="e">
        <f t="shared" si="957"/>
        <v>#N/A</v>
      </c>
      <c r="L4671" t="e">
        <f t="shared" si="958"/>
        <v>#N/A</v>
      </c>
      <c r="M4671" s="4" t="e">
        <f t="shared" si="959"/>
        <v>#N/A</v>
      </c>
      <c r="N4671" s="4" t="e">
        <f t="shared" si="960"/>
        <v>#N/A</v>
      </c>
    </row>
    <row r="4672" spans="1:14">
      <c r="A4672">
        <f t="shared" si="948"/>
        <v>0</v>
      </c>
      <c r="B4672">
        <f t="shared" si="949"/>
        <v>0</v>
      </c>
      <c r="C4672">
        <f t="shared" si="950"/>
        <v>0</v>
      </c>
      <c r="D4672">
        <f t="shared" si="951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2"/>
        <v>0</v>
      </c>
      <c r="G4672">
        <f t="shared" si="953"/>
        <v>0</v>
      </c>
      <c r="H4672">
        <f t="shared" si="954"/>
        <v>0</v>
      </c>
      <c r="I4672">
        <f t="shared" si="955"/>
        <v>0</v>
      </c>
      <c r="J4672">
        <f t="shared" si="956"/>
        <v>0</v>
      </c>
      <c r="K4672" s="4" t="e">
        <f t="shared" si="957"/>
        <v>#N/A</v>
      </c>
      <c r="L4672" t="e">
        <f t="shared" si="958"/>
        <v>#N/A</v>
      </c>
      <c r="M4672" s="4" t="e">
        <f t="shared" si="959"/>
        <v>#N/A</v>
      </c>
      <c r="N4672" s="4" t="e">
        <f t="shared" si="960"/>
        <v>#N/A</v>
      </c>
    </row>
    <row r="4673" spans="1:14">
      <c r="A4673">
        <f t="shared" si="948"/>
        <v>0</v>
      </c>
      <c r="B4673">
        <f t="shared" si="949"/>
        <v>0</v>
      </c>
      <c r="C4673">
        <f t="shared" si="950"/>
        <v>0</v>
      </c>
      <c r="D4673">
        <f t="shared" si="951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2"/>
        <v>0</v>
      </c>
      <c r="G4673">
        <f t="shared" si="953"/>
        <v>0</v>
      </c>
      <c r="H4673">
        <f t="shared" si="954"/>
        <v>0</v>
      </c>
      <c r="I4673">
        <f t="shared" si="955"/>
        <v>0</v>
      </c>
      <c r="J4673">
        <f t="shared" si="956"/>
        <v>0</v>
      </c>
      <c r="K4673" s="4" t="e">
        <f t="shared" si="957"/>
        <v>#N/A</v>
      </c>
      <c r="L4673" t="e">
        <f t="shared" si="958"/>
        <v>#N/A</v>
      </c>
      <c r="M4673" s="4" t="e">
        <f t="shared" si="959"/>
        <v>#N/A</v>
      </c>
      <c r="N4673" s="4" t="e">
        <f t="shared" si="960"/>
        <v>#N/A</v>
      </c>
    </row>
    <row r="4674" spans="1:14">
      <c r="A4674">
        <f t="shared" ref="A4674:A4737" si="961">bd_campaign</f>
        <v>0</v>
      </c>
      <c r="B4674">
        <f t="shared" ref="B4674:B4737" si="962">bd_site</f>
        <v>0</v>
      </c>
      <c r="C4674">
        <f t="shared" ref="C4674:C4737" si="963">bd_placement</f>
        <v>0</v>
      </c>
      <c r="D4674">
        <f t="shared" ref="D4674:D4737" si="964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5">bd_ad</f>
        <v>0</v>
      </c>
      <c r="G4674">
        <f t="shared" ref="G4674:G4737" si="966">bd_adid</f>
        <v>0</v>
      </c>
      <c r="H4674">
        <f t="shared" ref="H4674:H4737" si="967">bd_creativetype</f>
        <v>0</v>
      </c>
      <c r="I4674">
        <f t="shared" ref="I4674:I4737" si="968">bd_impression</f>
        <v>0</v>
      </c>
      <c r="J4674">
        <f t="shared" ref="J4674:J4737" si="969">bd_clicks</f>
        <v>0</v>
      </c>
      <c r="K4674" s="4" t="e">
        <f t="shared" si="957"/>
        <v>#N/A</v>
      </c>
      <c r="L4674" t="e">
        <f t="shared" si="958"/>
        <v>#N/A</v>
      </c>
      <c r="M4674" s="4" t="e">
        <f t="shared" si="959"/>
        <v>#N/A</v>
      </c>
      <c r="N4674" s="4" t="e">
        <f t="shared" si="960"/>
        <v>#N/A</v>
      </c>
    </row>
    <row r="4675" spans="1:14">
      <c r="A4675">
        <f t="shared" si="961"/>
        <v>0</v>
      </c>
      <c r="B4675">
        <f t="shared" si="962"/>
        <v>0</v>
      </c>
      <c r="C4675">
        <f t="shared" si="963"/>
        <v>0</v>
      </c>
      <c r="D4675">
        <f t="shared" si="964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5"/>
        <v>0</v>
      </c>
      <c r="G4675">
        <f t="shared" si="966"/>
        <v>0</v>
      </c>
      <c r="H4675">
        <f t="shared" si="967"/>
        <v>0</v>
      </c>
      <c r="I4675">
        <f t="shared" si="968"/>
        <v>0</v>
      </c>
      <c r="J4675">
        <f t="shared" si="969"/>
        <v>0</v>
      </c>
      <c r="K4675" s="4" t="e">
        <f t="shared" si="957"/>
        <v>#N/A</v>
      </c>
      <c r="L4675" t="e">
        <f t="shared" si="958"/>
        <v>#N/A</v>
      </c>
      <c r="M4675" s="4" t="e">
        <f t="shared" si="959"/>
        <v>#N/A</v>
      </c>
      <c r="N4675" s="4" t="e">
        <f t="shared" si="960"/>
        <v>#N/A</v>
      </c>
    </row>
    <row r="4676" spans="1:14">
      <c r="A4676">
        <f t="shared" si="961"/>
        <v>0</v>
      </c>
      <c r="B4676">
        <f t="shared" si="962"/>
        <v>0</v>
      </c>
      <c r="C4676">
        <f t="shared" si="963"/>
        <v>0</v>
      </c>
      <c r="D4676">
        <f t="shared" si="964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5"/>
        <v>0</v>
      </c>
      <c r="G4676">
        <f t="shared" si="966"/>
        <v>0</v>
      </c>
      <c r="H4676">
        <f t="shared" si="967"/>
        <v>0</v>
      </c>
      <c r="I4676">
        <f t="shared" si="968"/>
        <v>0</v>
      </c>
      <c r="J4676">
        <f t="shared" si="969"/>
        <v>0</v>
      </c>
      <c r="K4676" s="4" t="e">
        <f t="shared" si="957"/>
        <v>#N/A</v>
      </c>
      <c r="L4676" t="e">
        <f t="shared" si="958"/>
        <v>#N/A</v>
      </c>
      <c r="M4676" s="4" t="e">
        <f t="shared" si="959"/>
        <v>#N/A</v>
      </c>
      <c r="N4676" s="4" t="e">
        <f t="shared" si="960"/>
        <v>#N/A</v>
      </c>
    </row>
    <row r="4677" spans="1:14">
      <c r="A4677">
        <f t="shared" si="961"/>
        <v>0</v>
      </c>
      <c r="B4677">
        <f t="shared" si="962"/>
        <v>0</v>
      </c>
      <c r="C4677">
        <f t="shared" si="963"/>
        <v>0</v>
      </c>
      <c r="D4677">
        <f t="shared" si="964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5"/>
        <v>0</v>
      </c>
      <c r="G4677">
        <f t="shared" si="966"/>
        <v>0</v>
      </c>
      <c r="H4677">
        <f t="shared" si="967"/>
        <v>0</v>
      </c>
      <c r="I4677">
        <f t="shared" si="968"/>
        <v>0</v>
      </c>
      <c r="J4677">
        <f t="shared" si="969"/>
        <v>0</v>
      </c>
      <c r="K4677" s="4" t="e">
        <f t="shared" si="957"/>
        <v>#N/A</v>
      </c>
      <c r="L4677" t="e">
        <f t="shared" si="958"/>
        <v>#N/A</v>
      </c>
      <c r="M4677" s="4" t="e">
        <f t="shared" si="959"/>
        <v>#N/A</v>
      </c>
      <c r="N4677" s="4" t="e">
        <f t="shared" si="960"/>
        <v>#N/A</v>
      </c>
    </row>
    <row r="4678" spans="1:14">
      <c r="A4678">
        <f t="shared" si="961"/>
        <v>0</v>
      </c>
      <c r="B4678">
        <f t="shared" si="962"/>
        <v>0</v>
      </c>
      <c r="C4678">
        <f t="shared" si="963"/>
        <v>0</v>
      </c>
      <c r="D4678">
        <f t="shared" si="964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5"/>
        <v>0</v>
      </c>
      <c r="G4678">
        <f t="shared" si="966"/>
        <v>0</v>
      </c>
      <c r="H4678">
        <f t="shared" si="967"/>
        <v>0</v>
      </c>
      <c r="I4678">
        <f t="shared" si="968"/>
        <v>0</v>
      </c>
      <c r="J4678">
        <f t="shared" si="969"/>
        <v>0</v>
      </c>
      <c r="K4678" s="4" t="e">
        <f t="shared" si="957"/>
        <v>#N/A</v>
      </c>
      <c r="L4678" t="e">
        <f t="shared" si="958"/>
        <v>#N/A</v>
      </c>
      <c r="M4678" s="4" t="e">
        <f t="shared" si="959"/>
        <v>#N/A</v>
      </c>
      <c r="N4678" s="4" t="e">
        <f t="shared" si="960"/>
        <v>#N/A</v>
      </c>
    </row>
    <row r="4679" spans="1:14">
      <c r="A4679">
        <f t="shared" si="961"/>
        <v>0</v>
      </c>
      <c r="B4679">
        <f t="shared" si="962"/>
        <v>0</v>
      </c>
      <c r="C4679">
        <f t="shared" si="963"/>
        <v>0</v>
      </c>
      <c r="D4679">
        <f t="shared" si="964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5"/>
        <v>0</v>
      </c>
      <c r="G4679">
        <f t="shared" si="966"/>
        <v>0</v>
      </c>
      <c r="H4679">
        <f t="shared" si="967"/>
        <v>0</v>
      </c>
      <c r="I4679">
        <f t="shared" si="968"/>
        <v>0</v>
      </c>
      <c r="J4679">
        <f t="shared" si="969"/>
        <v>0</v>
      </c>
      <c r="K4679" s="4" t="e">
        <f t="shared" si="957"/>
        <v>#N/A</v>
      </c>
      <c r="L4679" t="e">
        <f t="shared" si="958"/>
        <v>#N/A</v>
      </c>
      <c r="M4679" s="4" t="e">
        <f t="shared" si="959"/>
        <v>#N/A</v>
      </c>
      <c r="N4679" s="4" t="e">
        <f t="shared" si="960"/>
        <v>#N/A</v>
      </c>
    </row>
    <row r="4680" spans="1:14">
      <c r="A4680">
        <f t="shared" si="961"/>
        <v>0</v>
      </c>
      <c r="B4680">
        <f t="shared" si="962"/>
        <v>0</v>
      </c>
      <c r="C4680">
        <f t="shared" si="963"/>
        <v>0</v>
      </c>
      <c r="D4680">
        <f t="shared" si="964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5"/>
        <v>0</v>
      </c>
      <c r="G4680">
        <f t="shared" si="966"/>
        <v>0</v>
      </c>
      <c r="H4680">
        <f t="shared" si="967"/>
        <v>0</v>
      </c>
      <c r="I4680">
        <f t="shared" si="968"/>
        <v>0</v>
      </c>
      <c r="J4680">
        <f t="shared" si="969"/>
        <v>0</v>
      </c>
      <c r="K4680" s="4" t="e">
        <f t="shared" si="957"/>
        <v>#N/A</v>
      </c>
      <c r="L4680" t="e">
        <f t="shared" si="958"/>
        <v>#N/A</v>
      </c>
      <c r="M4680" s="4" t="e">
        <f t="shared" si="959"/>
        <v>#N/A</v>
      </c>
      <c r="N4680" s="4" t="e">
        <f t="shared" si="960"/>
        <v>#N/A</v>
      </c>
    </row>
    <row r="4681" spans="1:14">
      <c r="A4681">
        <f t="shared" si="961"/>
        <v>0</v>
      </c>
      <c r="B4681">
        <f t="shared" si="962"/>
        <v>0</v>
      </c>
      <c r="C4681">
        <f t="shared" si="963"/>
        <v>0</v>
      </c>
      <c r="D4681">
        <f t="shared" si="964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5"/>
        <v>0</v>
      </c>
      <c r="G4681">
        <f t="shared" si="966"/>
        <v>0</v>
      </c>
      <c r="H4681">
        <f t="shared" si="967"/>
        <v>0</v>
      </c>
      <c r="I4681">
        <f t="shared" si="968"/>
        <v>0</v>
      </c>
      <c r="J4681">
        <f t="shared" si="969"/>
        <v>0</v>
      </c>
      <c r="K4681" s="4" t="e">
        <f t="shared" si="957"/>
        <v>#N/A</v>
      </c>
      <c r="L4681" t="e">
        <f t="shared" si="958"/>
        <v>#N/A</v>
      </c>
      <c r="M4681" s="4" t="e">
        <f t="shared" si="959"/>
        <v>#N/A</v>
      </c>
      <c r="N4681" s="4" t="e">
        <f t="shared" si="960"/>
        <v>#N/A</v>
      </c>
    </row>
    <row r="4682" spans="1:14">
      <c r="A4682">
        <f t="shared" si="961"/>
        <v>0</v>
      </c>
      <c r="B4682">
        <f t="shared" si="962"/>
        <v>0</v>
      </c>
      <c r="C4682">
        <f t="shared" si="963"/>
        <v>0</v>
      </c>
      <c r="D4682">
        <f t="shared" si="964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5"/>
        <v>0</v>
      </c>
      <c r="G4682">
        <f t="shared" si="966"/>
        <v>0</v>
      </c>
      <c r="H4682">
        <f t="shared" si="967"/>
        <v>0</v>
      </c>
      <c r="I4682">
        <f t="shared" si="968"/>
        <v>0</v>
      </c>
      <c r="J4682">
        <f t="shared" si="969"/>
        <v>0</v>
      </c>
      <c r="K4682" s="4" t="e">
        <f t="shared" si="957"/>
        <v>#N/A</v>
      </c>
      <c r="L4682" t="e">
        <f t="shared" si="958"/>
        <v>#N/A</v>
      </c>
      <c r="M4682" s="4" t="e">
        <f t="shared" si="959"/>
        <v>#N/A</v>
      </c>
      <c r="N4682" s="4" t="e">
        <f t="shared" si="960"/>
        <v>#N/A</v>
      </c>
    </row>
    <row r="4683" spans="1:14">
      <c r="A4683">
        <f t="shared" si="961"/>
        <v>0</v>
      </c>
      <c r="B4683">
        <f t="shared" si="962"/>
        <v>0</v>
      </c>
      <c r="C4683">
        <f t="shared" si="963"/>
        <v>0</v>
      </c>
      <c r="D4683">
        <f t="shared" si="964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5"/>
        <v>0</v>
      </c>
      <c r="G4683">
        <f t="shared" si="966"/>
        <v>0</v>
      </c>
      <c r="H4683">
        <f t="shared" si="967"/>
        <v>0</v>
      </c>
      <c r="I4683">
        <f t="shared" si="968"/>
        <v>0</v>
      </c>
      <c r="J4683">
        <f t="shared" si="969"/>
        <v>0</v>
      </c>
      <c r="K4683" s="4" t="e">
        <f t="shared" si="957"/>
        <v>#N/A</v>
      </c>
      <c r="L4683" t="e">
        <f t="shared" si="958"/>
        <v>#N/A</v>
      </c>
      <c r="M4683" s="4" t="e">
        <f t="shared" si="959"/>
        <v>#N/A</v>
      </c>
      <c r="N4683" s="4" t="e">
        <f t="shared" si="960"/>
        <v>#N/A</v>
      </c>
    </row>
    <row r="4684" spans="1:14">
      <c r="A4684">
        <f t="shared" si="961"/>
        <v>0</v>
      </c>
      <c r="B4684">
        <f t="shared" si="962"/>
        <v>0</v>
      </c>
      <c r="C4684">
        <f t="shared" si="963"/>
        <v>0</v>
      </c>
      <c r="D4684">
        <f t="shared" si="964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5"/>
        <v>0</v>
      </c>
      <c r="G4684">
        <f t="shared" si="966"/>
        <v>0</v>
      </c>
      <c r="H4684">
        <f t="shared" si="967"/>
        <v>0</v>
      </c>
      <c r="I4684">
        <f t="shared" si="968"/>
        <v>0</v>
      </c>
      <c r="J4684">
        <f t="shared" si="969"/>
        <v>0</v>
      </c>
      <c r="K4684" s="4" t="e">
        <f t="shared" si="957"/>
        <v>#N/A</v>
      </c>
      <c r="L4684" t="e">
        <f t="shared" si="958"/>
        <v>#N/A</v>
      </c>
      <c r="M4684" s="4" t="e">
        <f t="shared" si="959"/>
        <v>#N/A</v>
      </c>
      <c r="N4684" s="4" t="e">
        <f t="shared" si="960"/>
        <v>#N/A</v>
      </c>
    </row>
    <row r="4685" spans="1:14">
      <c r="A4685">
        <f t="shared" si="961"/>
        <v>0</v>
      </c>
      <c r="B4685">
        <f t="shared" si="962"/>
        <v>0</v>
      </c>
      <c r="C4685">
        <f t="shared" si="963"/>
        <v>0</v>
      </c>
      <c r="D4685">
        <f t="shared" si="964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5"/>
        <v>0</v>
      </c>
      <c r="G4685">
        <f t="shared" si="966"/>
        <v>0</v>
      </c>
      <c r="H4685">
        <f t="shared" si="967"/>
        <v>0</v>
      </c>
      <c r="I4685">
        <f t="shared" si="968"/>
        <v>0</v>
      </c>
      <c r="J4685">
        <f t="shared" si="969"/>
        <v>0</v>
      </c>
      <c r="K4685" s="4" t="e">
        <f t="shared" si="957"/>
        <v>#N/A</v>
      </c>
      <c r="L4685" t="e">
        <f t="shared" si="958"/>
        <v>#N/A</v>
      </c>
      <c r="M4685" s="4" t="e">
        <f t="shared" si="959"/>
        <v>#N/A</v>
      </c>
      <c r="N4685" s="4" t="e">
        <f t="shared" si="960"/>
        <v>#N/A</v>
      </c>
    </row>
    <row r="4686" spans="1:14">
      <c r="A4686">
        <f t="shared" si="961"/>
        <v>0</v>
      </c>
      <c r="B4686">
        <f t="shared" si="962"/>
        <v>0</v>
      </c>
      <c r="C4686">
        <f t="shared" si="963"/>
        <v>0</v>
      </c>
      <c r="D4686">
        <f t="shared" si="964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5"/>
        <v>0</v>
      </c>
      <c r="G4686">
        <f t="shared" si="966"/>
        <v>0</v>
      </c>
      <c r="H4686">
        <f t="shared" si="967"/>
        <v>0</v>
      </c>
      <c r="I4686">
        <f t="shared" si="968"/>
        <v>0</v>
      </c>
      <c r="J4686">
        <f t="shared" si="969"/>
        <v>0</v>
      </c>
      <c r="K4686" s="4" t="e">
        <f t="shared" si="957"/>
        <v>#N/A</v>
      </c>
      <c r="L4686" t="e">
        <f t="shared" si="958"/>
        <v>#N/A</v>
      </c>
      <c r="M4686" s="4" t="e">
        <f t="shared" si="959"/>
        <v>#N/A</v>
      </c>
      <c r="N4686" s="4" t="e">
        <f t="shared" si="960"/>
        <v>#N/A</v>
      </c>
    </row>
    <row r="4687" spans="1:14">
      <c r="A4687">
        <f t="shared" si="961"/>
        <v>0</v>
      </c>
      <c r="B4687">
        <f t="shared" si="962"/>
        <v>0</v>
      </c>
      <c r="C4687">
        <f t="shared" si="963"/>
        <v>0</v>
      </c>
      <c r="D4687">
        <f t="shared" si="964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5"/>
        <v>0</v>
      </c>
      <c r="G4687">
        <f t="shared" si="966"/>
        <v>0</v>
      </c>
      <c r="H4687">
        <f t="shared" si="967"/>
        <v>0</v>
      </c>
      <c r="I4687">
        <f t="shared" si="968"/>
        <v>0</v>
      </c>
      <c r="J4687">
        <f t="shared" si="969"/>
        <v>0</v>
      </c>
      <c r="K4687" s="4" t="e">
        <f t="shared" si="957"/>
        <v>#N/A</v>
      </c>
      <c r="L4687" t="e">
        <f t="shared" si="958"/>
        <v>#N/A</v>
      </c>
      <c r="M4687" s="4" t="e">
        <f t="shared" si="959"/>
        <v>#N/A</v>
      </c>
      <c r="N4687" s="4" t="e">
        <f t="shared" si="960"/>
        <v>#N/A</v>
      </c>
    </row>
    <row r="4688" spans="1:14">
      <c r="A4688">
        <f t="shared" si="961"/>
        <v>0</v>
      </c>
      <c r="B4688">
        <f t="shared" si="962"/>
        <v>0</v>
      </c>
      <c r="C4688">
        <f t="shared" si="963"/>
        <v>0</v>
      </c>
      <c r="D4688">
        <f t="shared" si="964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5"/>
        <v>0</v>
      </c>
      <c r="G4688">
        <f t="shared" si="966"/>
        <v>0</v>
      </c>
      <c r="H4688">
        <f t="shared" si="967"/>
        <v>0</v>
      </c>
      <c r="I4688">
        <f t="shared" si="968"/>
        <v>0</v>
      </c>
      <c r="J4688">
        <f t="shared" si="969"/>
        <v>0</v>
      </c>
      <c r="K4688" s="4" t="e">
        <f t="shared" si="957"/>
        <v>#N/A</v>
      </c>
      <c r="L4688" t="e">
        <f t="shared" si="958"/>
        <v>#N/A</v>
      </c>
      <c r="M4688" s="4" t="e">
        <f t="shared" si="959"/>
        <v>#N/A</v>
      </c>
      <c r="N4688" s="4" t="e">
        <f t="shared" si="960"/>
        <v>#N/A</v>
      </c>
    </row>
    <row r="4689" spans="1:14">
      <c r="A4689">
        <f t="shared" si="961"/>
        <v>0</v>
      </c>
      <c r="B4689">
        <f t="shared" si="962"/>
        <v>0</v>
      </c>
      <c r="C4689">
        <f t="shared" si="963"/>
        <v>0</v>
      </c>
      <c r="D4689">
        <f t="shared" si="964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5"/>
        <v>0</v>
      </c>
      <c r="G4689">
        <f t="shared" si="966"/>
        <v>0</v>
      </c>
      <c r="H4689">
        <f t="shared" si="967"/>
        <v>0</v>
      </c>
      <c r="I4689">
        <f t="shared" si="968"/>
        <v>0</v>
      </c>
      <c r="J4689">
        <f t="shared" si="969"/>
        <v>0</v>
      </c>
      <c r="K4689" s="4" t="e">
        <f t="shared" si="957"/>
        <v>#N/A</v>
      </c>
      <c r="L4689" t="e">
        <f t="shared" si="958"/>
        <v>#N/A</v>
      </c>
      <c r="M4689" s="4" t="e">
        <f t="shared" si="959"/>
        <v>#N/A</v>
      </c>
      <c r="N4689" s="4" t="e">
        <f t="shared" si="960"/>
        <v>#N/A</v>
      </c>
    </row>
    <row r="4690" spans="1:14">
      <c r="A4690">
        <f t="shared" si="961"/>
        <v>0</v>
      </c>
      <c r="B4690">
        <f t="shared" si="962"/>
        <v>0</v>
      </c>
      <c r="C4690">
        <f t="shared" si="963"/>
        <v>0</v>
      </c>
      <c r="D4690">
        <f t="shared" si="964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5"/>
        <v>0</v>
      </c>
      <c r="G4690">
        <f t="shared" si="966"/>
        <v>0</v>
      </c>
      <c r="H4690">
        <f t="shared" si="967"/>
        <v>0</v>
      </c>
      <c r="I4690">
        <f t="shared" si="968"/>
        <v>0</v>
      </c>
      <c r="J4690">
        <f t="shared" si="969"/>
        <v>0</v>
      </c>
      <c r="K4690" s="4" t="e">
        <f t="shared" si="957"/>
        <v>#N/A</v>
      </c>
      <c r="L4690" t="e">
        <f t="shared" si="958"/>
        <v>#N/A</v>
      </c>
      <c r="M4690" s="4" t="e">
        <f t="shared" si="959"/>
        <v>#N/A</v>
      </c>
      <c r="N4690" s="4" t="e">
        <f t="shared" si="960"/>
        <v>#N/A</v>
      </c>
    </row>
    <row r="4691" spans="1:14">
      <c r="A4691">
        <f t="shared" si="961"/>
        <v>0</v>
      </c>
      <c r="B4691">
        <f t="shared" si="962"/>
        <v>0</v>
      </c>
      <c r="C4691">
        <f t="shared" si="963"/>
        <v>0</v>
      </c>
      <c r="D4691">
        <f t="shared" si="964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5"/>
        <v>0</v>
      </c>
      <c r="G4691">
        <f t="shared" si="966"/>
        <v>0</v>
      </c>
      <c r="H4691">
        <f t="shared" si="967"/>
        <v>0</v>
      </c>
      <c r="I4691">
        <f t="shared" si="968"/>
        <v>0</v>
      </c>
      <c r="J4691">
        <f t="shared" si="969"/>
        <v>0</v>
      </c>
      <c r="K4691" s="4" t="e">
        <f t="shared" si="957"/>
        <v>#N/A</v>
      </c>
      <c r="L4691" t="e">
        <f t="shared" si="958"/>
        <v>#N/A</v>
      </c>
      <c r="M4691" s="4" t="e">
        <f t="shared" si="959"/>
        <v>#N/A</v>
      </c>
      <c r="N4691" s="4" t="e">
        <f t="shared" si="960"/>
        <v>#N/A</v>
      </c>
    </row>
    <row r="4692" spans="1:14">
      <c r="A4692">
        <f t="shared" si="961"/>
        <v>0</v>
      </c>
      <c r="B4692">
        <f t="shared" si="962"/>
        <v>0</v>
      </c>
      <c r="C4692">
        <f t="shared" si="963"/>
        <v>0</v>
      </c>
      <c r="D4692">
        <f t="shared" si="964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5"/>
        <v>0</v>
      </c>
      <c r="G4692">
        <f t="shared" si="966"/>
        <v>0</v>
      </c>
      <c r="H4692">
        <f t="shared" si="967"/>
        <v>0</v>
      </c>
      <c r="I4692">
        <f t="shared" si="968"/>
        <v>0</v>
      </c>
      <c r="J4692">
        <f t="shared" si="969"/>
        <v>0</v>
      </c>
      <c r="K4692" s="4" t="e">
        <f t="shared" si="957"/>
        <v>#N/A</v>
      </c>
      <c r="L4692" t="e">
        <f t="shared" si="958"/>
        <v>#N/A</v>
      </c>
      <c r="M4692" s="4" t="e">
        <f t="shared" si="959"/>
        <v>#N/A</v>
      </c>
      <c r="N4692" s="4" t="e">
        <f t="shared" si="960"/>
        <v>#N/A</v>
      </c>
    </row>
    <row r="4693" spans="1:14">
      <c r="A4693">
        <f t="shared" si="961"/>
        <v>0</v>
      </c>
      <c r="B4693">
        <f t="shared" si="962"/>
        <v>0</v>
      </c>
      <c r="C4693">
        <f t="shared" si="963"/>
        <v>0</v>
      </c>
      <c r="D4693">
        <f t="shared" si="964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5"/>
        <v>0</v>
      </c>
      <c r="G4693">
        <f t="shared" si="966"/>
        <v>0</v>
      </c>
      <c r="H4693">
        <f t="shared" si="967"/>
        <v>0</v>
      </c>
      <c r="I4693">
        <f t="shared" si="968"/>
        <v>0</v>
      </c>
      <c r="J4693">
        <f t="shared" si="969"/>
        <v>0</v>
      </c>
      <c r="K4693" s="4" t="e">
        <f t="shared" si="957"/>
        <v>#N/A</v>
      </c>
      <c r="L4693" t="e">
        <f t="shared" si="958"/>
        <v>#N/A</v>
      </c>
      <c r="M4693" s="4" t="e">
        <f t="shared" si="959"/>
        <v>#N/A</v>
      </c>
      <c r="N4693" s="4" t="e">
        <f t="shared" si="960"/>
        <v>#N/A</v>
      </c>
    </row>
    <row r="4694" spans="1:14">
      <c r="A4694">
        <f t="shared" si="961"/>
        <v>0</v>
      </c>
      <c r="B4694">
        <f t="shared" si="962"/>
        <v>0</v>
      </c>
      <c r="C4694">
        <f t="shared" si="963"/>
        <v>0</v>
      </c>
      <c r="D4694">
        <f t="shared" si="964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5"/>
        <v>0</v>
      </c>
      <c r="G4694">
        <f t="shared" si="966"/>
        <v>0</v>
      </c>
      <c r="H4694">
        <f t="shared" si="967"/>
        <v>0</v>
      </c>
      <c r="I4694">
        <f t="shared" si="968"/>
        <v>0</v>
      </c>
      <c r="J4694">
        <f t="shared" si="969"/>
        <v>0</v>
      </c>
      <c r="K4694" s="4" t="e">
        <f t="shared" si="957"/>
        <v>#N/A</v>
      </c>
      <c r="L4694" t="e">
        <f t="shared" si="958"/>
        <v>#N/A</v>
      </c>
      <c r="M4694" s="4" t="e">
        <f t="shared" si="959"/>
        <v>#N/A</v>
      </c>
      <c r="N4694" s="4" t="e">
        <f t="shared" si="960"/>
        <v>#N/A</v>
      </c>
    </row>
    <row r="4695" spans="1:14">
      <c r="A4695">
        <f t="shared" si="961"/>
        <v>0</v>
      </c>
      <c r="B4695">
        <f t="shared" si="962"/>
        <v>0</v>
      </c>
      <c r="C4695">
        <f t="shared" si="963"/>
        <v>0</v>
      </c>
      <c r="D4695">
        <f t="shared" si="964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5"/>
        <v>0</v>
      </c>
      <c r="G4695">
        <f t="shared" si="966"/>
        <v>0</v>
      </c>
      <c r="H4695">
        <f t="shared" si="967"/>
        <v>0</v>
      </c>
      <c r="I4695">
        <f t="shared" si="968"/>
        <v>0</v>
      </c>
      <c r="J4695">
        <f t="shared" si="969"/>
        <v>0</v>
      </c>
      <c r="K4695" s="4" t="e">
        <f t="shared" si="957"/>
        <v>#N/A</v>
      </c>
      <c r="L4695" t="e">
        <f t="shared" si="958"/>
        <v>#N/A</v>
      </c>
      <c r="M4695" s="4" t="e">
        <f t="shared" si="959"/>
        <v>#N/A</v>
      </c>
      <c r="N4695" s="4" t="e">
        <f t="shared" si="960"/>
        <v>#N/A</v>
      </c>
    </row>
    <row r="4696" spans="1:14">
      <c r="A4696">
        <f t="shared" si="961"/>
        <v>0</v>
      </c>
      <c r="B4696">
        <f t="shared" si="962"/>
        <v>0</v>
      </c>
      <c r="C4696">
        <f t="shared" si="963"/>
        <v>0</v>
      </c>
      <c r="D4696">
        <f t="shared" si="964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5"/>
        <v>0</v>
      </c>
      <c r="G4696">
        <f t="shared" si="966"/>
        <v>0</v>
      </c>
      <c r="H4696">
        <f t="shared" si="967"/>
        <v>0</v>
      </c>
      <c r="I4696">
        <f t="shared" si="968"/>
        <v>0</v>
      </c>
      <c r="J4696">
        <f t="shared" si="969"/>
        <v>0</v>
      </c>
      <c r="K4696" s="4" t="e">
        <f t="shared" si="957"/>
        <v>#N/A</v>
      </c>
      <c r="L4696" t="e">
        <f t="shared" si="958"/>
        <v>#N/A</v>
      </c>
      <c r="M4696" s="4" t="e">
        <f t="shared" si="959"/>
        <v>#N/A</v>
      </c>
      <c r="N4696" s="4" t="e">
        <f t="shared" si="960"/>
        <v>#N/A</v>
      </c>
    </row>
    <row r="4697" spans="1:14">
      <c r="A4697">
        <f t="shared" si="961"/>
        <v>0</v>
      </c>
      <c r="B4697">
        <f t="shared" si="962"/>
        <v>0</v>
      </c>
      <c r="C4697">
        <f t="shared" si="963"/>
        <v>0</v>
      </c>
      <c r="D4697">
        <f t="shared" si="964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5"/>
        <v>0</v>
      </c>
      <c r="G4697">
        <f t="shared" si="966"/>
        <v>0</v>
      </c>
      <c r="H4697">
        <f t="shared" si="967"/>
        <v>0</v>
      </c>
      <c r="I4697">
        <f t="shared" si="968"/>
        <v>0</v>
      </c>
      <c r="J4697">
        <f t="shared" si="969"/>
        <v>0</v>
      </c>
      <c r="K4697" s="4" t="e">
        <f t="shared" si="957"/>
        <v>#N/A</v>
      </c>
      <c r="L4697" t="e">
        <f t="shared" si="958"/>
        <v>#N/A</v>
      </c>
      <c r="M4697" s="4" t="e">
        <f t="shared" si="959"/>
        <v>#N/A</v>
      </c>
      <c r="N4697" s="4" t="e">
        <f t="shared" si="960"/>
        <v>#N/A</v>
      </c>
    </row>
    <row r="4698" spans="1:14">
      <c r="A4698">
        <f t="shared" si="961"/>
        <v>0</v>
      </c>
      <c r="B4698">
        <f t="shared" si="962"/>
        <v>0</v>
      </c>
      <c r="C4698">
        <f t="shared" si="963"/>
        <v>0</v>
      </c>
      <c r="D4698">
        <f t="shared" si="964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5"/>
        <v>0</v>
      </c>
      <c r="G4698">
        <f t="shared" si="966"/>
        <v>0</v>
      </c>
      <c r="H4698">
        <f t="shared" si="967"/>
        <v>0</v>
      </c>
      <c r="I4698">
        <f t="shared" si="968"/>
        <v>0</v>
      </c>
      <c r="J4698">
        <f t="shared" si="969"/>
        <v>0</v>
      </c>
      <c r="K4698" s="4" t="e">
        <f t="shared" si="957"/>
        <v>#N/A</v>
      </c>
      <c r="L4698" t="e">
        <f t="shared" si="958"/>
        <v>#N/A</v>
      </c>
      <c r="M4698" s="4" t="e">
        <f t="shared" si="959"/>
        <v>#N/A</v>
      </c>
      <c r="N4698" s="4" t="e">
        <f t="shared" si="960"/>
        <v>#N/A</v>
      </c>
    </row>
    <row r="4699" spans="1:14">
      <c r="A4699">
        <f t="shared" si="961"/>
        <v>0</v>
      </c>
      <c r="B4699">
        <f t="shared" si="962"/>
        <v>0</v>
      </c>
      <c r="C4699">
        <f t="shared" si="963"/>
        <v>0</v>
      </c>
      <c r="D4699">
        <f t="shared" si="964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5"/>
        <v>0</v>
      </c>
      <c r="G4699">
        <f t="shared" si="966"/>
        <v>0</v>
      </c>
      <c r="H4699">
        <f t="shared" si="967"/>
        <v>0</v>
      </c>
      <c r="I4699">
        <f t="shared" si="968"/>
        <v>0</v>
      </c>
      <c r="J4699">
        <f t="shared" si="969"/>
        <v>0</v>
      </c>
      <c r="K4699" s="4" t="e">
        <f t="shared" si="957"/>
        <v>#N/A</v>
      </c>
      <c r="L4699" t="e">
        <f t="shared" si="958"/>
        <v>#N/A</v>
      </c>
      <c r="M4699" s="4" t="e">
        <f t="shared" si="959"/>
        <v>#N/A</v>
      </c>
      <c r="N4699" s="4" t="e">
        <f t="shared" si="960"/>
        <v>#N/A</v>
      </c>
    </row>
    <row r="4700" spans="1:14">
      <c r="A4700">
        <f t="shared" si="961"/>
        <v>0</v>
      </c>
      <c r="B4700">
        <f t="shared" si="962"/>
        <v>0</v>
      </c>
      <c r="C4700">
        <f t="shared" si="963"/>
        <v>0</v>
      </c>
      <c r="D4700">
        <f t="shared" si="964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5"/>
        <v>0</v>
      </c>
      <c r="G4700">
        <f t="shared" si="966"/>
        <v>0</v>
      </c>
      <c r="H4700">
        <f t="shared" si="967"/>
        <v>0</v>
      </c>
      <c r="I4700">
        <f t="shared" si="968"/>
        <v>0</v>
      </c>
      <c r="J4700">
        <f t="shared" si="969"/>
        <v>0</v>
      </c>
      <c r="K4700" s="4" t="e">
        <f t="shared" si="957"/>
        <v>#N/A</v>
      </c>
      <c r="L4700" t="e">
        <f t="shared" si="958"/>
        <v>#N/A</v>
      </c>
      <c r="M4700" s="4" t="e">
        <f t="shared" si="959"/>
        <v>#N/A</v>
      </c>
      <c r="N4700" s="4" t="e">
        <f t="shared" si="960"/>
        <v>#N/A</v>
      </c>
    </row>
    <row r="4701" spans="1:14">
      <c r="A4701">
        <f t="shared" si="961"/>
        <v>0</v>
      </c>
      <c r="B4701">
        <f t="shared" si="962"/>
        <v>0</v>
      </c>
      <c r="C4701">
        <f t="shared" si="963"/>
        <v>0</v>
      </c>
      <c r="D4701">
        <f t="shared" si="964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5"/>
        <v>0</v>
      </c>
      <c r="G4701">
        <f t="shared" si="966"/>
        <v>0</v>
      </c>
      <c r="H4701">
        <f t="shared" si="967"/>
        <v>0</v>
      </c>
      <c r="I4701">
        <f t="shared" si="968"/>
        <v>0</v>
      </c>
      <c r="J4701">
        <f t="shared" si="969"/>
        <v>0</v>
      </c>
      <c r="K4701" s="4" t="e">
        <f t="shared" si="957"/>
        <v>#N/A</v>
      </c>
      <c r="L4701" t="e">
        <f t="shared" si="958"/>
        <v>#N/A</v>
      </c>
      <c r="M4701" s="4" t="e">
        <f t="shared" si="959"/>
        <v>#N/A</v>
      </c>
      <c r="N4701" s="4" t="e">
        <f t="shared" si="960"/>
        <v>#N/A</v>
      </c>
    </row>
    <row r="4702" spans="1:14">
      <c r="A4702">
        <f t="shared" si="961"/>
        <v>0</v>
      </c>
      <c r="B4702">
        <f t="shared" si="962"/>
        <v>0</v>
      </c>
      <c r="C4702">
        <f t="shared" si="963"/>
        <v>0</v>
      </c>
      <c r="D4702">
        <f t="shared" si="964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5"/>
        <v>0</v>
      </c>
      <c r="G4702">
        <f t="shared" si="966"/>
        <v>0</v>
      </c>
      <c r="H4702">
        <f t="shared" si="967"/>
        <v>0</v>
      </c>
      <c r="I4702">
        <f t="shared" si="968"/>
        <v>0</v>
      </c>
      <c r="J4702">
        <f t="shared" si="969"/>
        <v>0</v>
      </c>
      <c r="K4702" s="4" t="e">
        <f t="shared" si="957"/>
        <v>#N/A</v>
      </c>
      <c r="L4702" t="e">
        <f t="shared" si="958"/>
        <v>#N/A</v>
      </c>
      <c r="M4702" s="4" t="e">
        <f t="shared" si="959"/>
        <v>#N/A</v>
      </c>
      <c r="N4702" s="4" t="e">
        <f t="shared" si="960"/>
        <v>#N/A</v>
      </c>
    </row>
    <row r="4703" spans="1:14">
      <c r="A4703">
        <f t="shared" si="961"/>
        <v>0</v>
      </c>
      <c r="B4703">
        <f t="shared" si="962"/>
        <v>0</v>
      </c>
      <c r="C4703">
        <f t="shared" si="963"/>
        <v>0</v>
      </c>
      <c r="D4703">
        <f t="shared" si="964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5"/>
        <v>0</v>
      </c>
      <c r="G4703">
        <f t="shared" si="966"/>
        <v>0</v>
      </c>
      <c r="H4703">
        <f t="shared" si="967"/>
        <v>0</v>
      </c>
      <c r="I4703">
        <f t="shared" si="968"/>
        <v>0</v>
      </c>
      <c r="J4703">
        <f t="shared" si="969"/>
        <v>0</v>
      </c>
      <c r="K4703" s="4" t="e">
        <f t="shared" si="957"/>
        <v>#N/A</v>
      </c>
      <c r="L4703" t="e">
        <f t="shared" si="958"/>
        <v>#N/A</v>
      </c>
      <c r="M4703" s="4" t="e">
        <f t="shared" si="959"/>
        <v>#N/A</v>
      </c>
      <c r="N4703" s="4" t="e">
        <f t="shared" si="960"/>
        <v>#N/A</v>
      </c>
    </row>
    <row r="4704" spans="1:14">
      <c r="A4704">
        <f t="shared" si="961"/>
        <v>0</v>
      </c>
      <c r="B4704">
        <f t="shared" si="962"/>
        <v>0</v>
      </c>
      <c r="C4704">
        <f t="shared" si="963"/>
        <v>0</v>
      </c>
      <c r="D4704">
        <f t="shared" si="964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5"/>
        <v>0</v>
      </c>
      <c r="G4704">
        <f t="shared" si="966"/>
        <v>0</v>
      </c>
      <c r="H4704">
        <f t="shared" si="967"/>
        <v>0</v>
      </c>
      <c r="I4704">
        <f t="shared" si="968"/>
        <v>0</v>
      </c>
      <c r="J4704">
        <f t="shared" si="969"/>
        <v>0</v>
      </c>
      <c r="K4704" s="4" t="e">
        <f t="shared" si="957"/>
        <v>#N/A</v>
      </c>
      <c r="L4704" t="e">
        <f t="shared" si="958"/>
        <v>#N/A</v>
      </c>
      <c r="M4704" s="4" t="e">
        <f t="shared" si="959"/>
        <v>#N/A</v>
      </c>
      <c r="N4704" s="4" t="e">
        <f t="shared" si="960"/>
        <v>#N/A</v>
      </c>
    </row>
    <row r="4705" spans="1:14">
      <c r="A4705">
        <f t="shared" si="961"/>
        <v>0</v>
      </c>
      <c r="B4705">
        <f t="shared" si="962"/>
        <v>0</v>
      </c>
      <c r="C4705">
        <f t="shared" si="963"/>
        <v>0</v>
      </c>
      <c r="D4705">
        <f t="shared" si="964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5"/>
        <v>0</v>
      </c>
      <c r="G4705">
        <f t="shared" si="966"/>
        <v>0</v>
      </c>
      <c r="H4705">
        <f t="shared" si="967"/>
        <v>0</v>
      </c>
      <c r="I4705">
        <f t="shared" si="968"/>
        <v>0</v>
      </c>
      <c r="J4705">
        <f t="shared" si="969"/>
        <v>0</v>
      </c>
      <c r="K4705" s="4" t="e">
        <f t="shared" si="957"/>
        <v>#N/A</v>
      </c>
      <c r="L4705" t="e">
        <f t="shared" si="958"/>
        <v>#N/A</v>
      </c>
      <c r="M4705" s="4" t="e">
        <f t="shared" si="959"/>
        <v>#N/A</v>
      </c>
      <c r="N4705" s="4" t="e">
        <f t="shared" si="960"/>
        <v>#N/A</v>
      </c>
    </row>
    <row r="4706" spans="1:14">
      <c r="A4706">
        <f t="shared" si="961"/>
        <v>0</v>
      </c>
      <c r="B4706">
        <f t="shared" si="962"/>
        <v>0</v>
      </c>
      <c r="C4706">
        <f t="shared" si="963"/>
        <v>0</v>
      </c>
      <c r="D4706">
        <f t="shared" si="964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5"/>
        <v>0</v>
      </c>
      <c r="G4706">
        <f t="shared" si="966"/>
        <v>0</v>
      </c>
      <c r="H4706">
        <f t="shared" si="967"/>
        <v>0</v>
      </c>
      <c r="I4706">
        <f t="shared" si="968"/>
        <v>0</v>
      </c>
      <c r="J4706">
        <f t="shared" si="969"/>
        <v>0</v>
      </c>
      <c r="K4706" s="4" t="e">
        <f t="shared" si="957"/>
        <v>#N/A</v>
      </c>
      <c r="L4706" t="e">
        <f t="shared" si="958"/>
        <v>#N/A</v>
      </c>
      <c r="M4706" s="4" t="e">
        <f t="shared" si="959"/>
        <v>#N/A</v>
      </c>
      <c r="N4706" s="4" t="e">
        <f t="shared" si="960"/>
        <v>#N/A</v>
      </c>
    </row>
    <row r="4707" spans="1:14">
      <c r="A4707">
        <f t="shared" si="961"/>
        <v>0</v>
      </c>
      <c r="B4707">
        <f t="shared" si="962"/>
        <v>0</v>
      </c>
      <c r="C4707">
        <f t="shared" si="963"/>
        <v>0</v>
      </c>
      <c r="D4707">
        <f t="shared" si="964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5"/>
        <v>0</v>
      </c>
      <c r="G4707">
        <f t="shared" si="966"/>
        <v>0</v>
      </c>
      <c r="H4707">
        <f t="shared" si="967"/>
        <v>0</v>
      </c>
      <c r="I4707">
        <f t="shared" si="968"/>
        <v>0</v>
      </c>
      <c r="J4707">
        <f t="shared" si="969"/>
        <v>0</v>
      </c>
      <c r="K4707" s="4" t="e">
        <f t="shared" si="957"/>
        <v>#N/A</v>
      </c>
      <c r="L4707" t="e">
        <f t="shared" si="958"/>
        <v>#N/A</v>
      </c>
      <c r="M4707" s="4" t="e">
        <f t="shared" si="959"/>
        <v>#N/A</v>
      </c>
      <c r="N4707" s="4" t="e">
        <f t="shared" si="960"/>
        <v>#N/A</v>
      </c>
    </row>
    <row r="4708" spans="1:14">
      <c r="A4708">
        <f t="shared" si="961"/>
        <v>0</v>
      </c>
      <c r="B4708">
        <f t="shared" si="962"/>
        <v>0</v>
      </c>
      <c r="C4708">
        <f t="shared" si="963"/>
        <v>0</v>
      </c>
      <c r="D4708">
        <f t="shared" si="964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5"/>
        <v>0</v>
      </c>
      <c r="G4708">
        <f t="shared" si="966"/>
        <v>0</v>
      </c>
      <c r="H4708">
        <f t="shared" si="967"/>
        <v>0</v>
      </c>
      <c r="I4708">
        <f t="shared" si="968"/>
        <v>0</v>
      </c>
      <c r="J4708">
        <f t="shared" si="969"/>
        <v>0</v>
      </c>
      <c r="K4708" s="4" t="e">
        <f t="shared" si="957"/>
        <v>#N/A</v>
      </c>
      <c r="L4708" t="e">
        <f t="shared" si="958"/>
        <v>#N/A</v>
      </c>
      <c r="M4708" s="4" t="e">
        <f t="shared" si="959"/>
        <v>#N/A</v>
      </c>
      <c r="N4708" s="4" t="e">
        <f t="shared" si="960"/>
        <v>#N/A</v>
      </c>
    </row>
    <row r="4709" spans="1:14">
      <c r="A4709">
        <f t="shared" si="961"/>
        <v>0</v>
      </c>
      <c r="B4709">
        <f t="shared" si="962"/>
        <v>0</v>
      </c>
      <c r="C4709">
        <f t="shared" si="963"/>
        <v>0</v>
      </c>
      <c r="D4709">
        <f t="shared" si="964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5"/>
        <v>0</v>
      </c>
      <c r="G4709">
        <f t="shared" si="966"/>
        <v>0</v>
      </c>
      <c r="H4709">
        <f t="shared" si="967"/>
        <v>0</v>
      </c>
      <c r="I4709">
        <f t="shared" si="968"/>
        <v>0</v>
      </c>
      <c r="J4709">
        <f t="shared" si="969"/>
        <v>0</v>
      </c>
      <c r="K4709" s="4" t="e">
        <f t="shared" si="957"/>
        <v>#N/A</v>
      </c>
      <c r="L4709" t="e">
        <f t="shared" si="958"/>
        <v>#N/A</v>
      </c>
      <c r="M4709" s="4" t="e">
        <f t="shared" si="959"/>
        <v>#N/A</v>
      </c>
      <c r="N4709" s="4" t="e">
        <f t="shared" si="960"/>
        <v>#N/A</v>
      </c>
    </row>
    <row r="4710" spans="1:14">
      <c r="A4710">
        <f t="shared" si="961"/>
        <v>0</v>
      </c>
      <c r="B4710">
        <f t="shared" si="962"/>
        <v>0</v>
      </c>
      <c r="C4710">
        <f t="shared" si="963"/>
        <v>0</v>
      </c>
      <c r="D4710">
        <f t="shared" si="964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5"/>
        <v>0</v>
      </c>
      <c r="G4710">
        <f t="shared" si="966"/>
        <v>0</v>
      </c>
      <c r="H4710">
        <f t="shared" si="967"/>
        <v>0</v>
      </c>
      <c r="I4710">
        <f t="shared" si="968"/>
        <v>0</v>
      </c>
      <c r="J4710">
        <f t="shared" si="969"/>
        <v>0</v>
      </c>
      <c r="K4710" s="4" t="e">
        <f t="shared" si="957"/>
        <v>#N/A</v>
      </c>
      <c r="L4710" t="e">
        <f t="shared" si="958"/>
        <v>#N/A</v>
      </c>
      <c r="M4710" s="4" t="e">
        <f t="shared" si="959"/>
        <v>#N/A</v>
      </c>
      <c r="N4710" s="4" t="e">
        <f t="shared" si="960"/>
        <v>#N/A</v>
      </c>
    </row>
    <row r="4711" spans="1:14">
      <c r="A4711">
        <f t="shared" si="961"/>
        <v>0</v>
      </c>
      <c r="B4711">
        <f t="shared" si="962"/>
        <v>0</v>
      </c>
      <c r="C4711">
        <f t="shared" si="963"/>
        <v>0</v>
      </c>
      <c r="D4711">
        <f t="shared" si="964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5"/>
        <v>0</v>
      </c>
      <c r="G4711">
        <f t="shared" si="966"/>
        <v>0</v>
      </c>
      <c r="H4711">
        <f t="shared" si="967"/>
        <v>0</v>
      </c>
      <c r="I4711">
        <f t="shared" si="968"/>
        <v>0</v>
      </c>
      <c r="J4711">
        <f t="shared" si="969"/>
        <v>0</v>
      </c>
      <c r="K4711" s="4" t="e">
        <f t="shared" si="957"/>
        <v>#N/A</v>
      </c>
      <c r="L4711" t="e">
        <f t="shared" si="958"/>
        <v>#N/A</v>
      </c>
      <c r="M4711" s="4" t="e">
        <f t="shared" si="959"/>
        <v>#N/A</v>
      </c>
      <c r="N4711" s="4" t="e">
        <f t="shared" si="960"/>
        <v>#N/A</v>
      </c>
    </row>
    <row r="4712" spans="1:14">
      <c r="A4712">
        <f t="shared" si="961"/>
        <v>0</v>
      </c>
      <c r="B4712">
        <f t="shared" si="962"/>
        <v>0</v>
      </c>
      <c r="C4712">
        <f t="shared" si="963"/>
        <v>0</v>
      </c>
      <c r="D4712">
        <f t="shared" si="964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5"/>
        <v>0</v>
      </c>
      <c r="G4712">
        <f t="shared" si="966"/>
        <v>0</v>
      </c>
      <c r="H4712">
        <f t="shared" si="967"/>
        <v>0</v>
      </c>
      <c r="I4712">
        <f t="shared" si="968"/>
        <v>0</v>
      </c>
      <c r="J4712">
        <f t="shared" si="969"/>
        <v>0</v>
      </c>
      <c r="K4712" s="4" t="e">
        <f t="shared" si="957"/>
        <v>#N/A</v>
      </c>
      <c r="L4712" t="e">
        <f t="shared" si="958"/>
        <v>#N/A</v>
      </c>
      <c r="M4712" s="4" t="e">
        <f t="shared" si="959"/>
        <v>#N/A</v>
      </c>
      <c r="N4712" s="4" t="e">
        <f t="shared" si="960"/>
        <v>#N/A</v>
      </c>
    </row>
    <row r="4713" spans="1:14">
      <c r="A4713">
        <f t="shared" si="961"/>
        <v>0</v>
      </c>
      <c r="B4713">
        <f t="shared" si="962"/>
        <v>0</v>
      </c>
      <c r="C4713">
        <f t="shared" si="963"/>
        <v>0</v>
      </c>
      <c r="D4713">
        <f t="shared" si="964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5"/>
        <v>0</v>
      </c>
      <c r="G4713">
        <f t="shared" si="966"/>
        <v>0</v>
      </c>
      <c r="H4713">
        <f t="shared" si="967"/>
        <v>0</v>
      </c>
      <c r="I4713">
        <f t="shared" si="968"/>
        <v>0</v>
      </c>
      <c r="J4713">
        <f t="shared" si="969"/>
        <v>0</v>
      </c>
      <c r="K4713" s="4" t="e">
        <f t="shared" si="957"/>
        <v>#N/A</v>
      </c>
      <c r="L4713" t="e">
        <f t="shared" si="958"/>
        <v>#N/A</v>
      </c>
      <c r="M4713" s="4" t="e">
        <f t="shared" si="959"/>
        <v>#N/A</v>
      </c>
      <c r="N4713" s="4" t="e">
        <f t="shared" si="960"/>
        <v>#N/A</v>
      </c>
    </row>
    <row r="4714" spans="1:14">
      <c r="A4714">
        <f t="shared" si="961"/>
        <v>0</v>
      </c>
      <c r="B4714">
        <f t="shared" si="962"/>
        <v>0</v>
      </c>
      <c r="C4714">
        <f t="shared" si="963"/>
        <v>0</v>
      </c>
      <c r="D4714">
        <f t="shared" si="964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5"/>
        <v>0</v>
      </c>
      <c r="G4714">
        <f t="shared" si="966"/>
        <v>0</v>
      </c>
      <c r="H4714">
        <f t="shared" si="967"/>
        <v>0</v>
      </c>
      <c r="I4714">
        <f t="shared" si="968"/>
        <v>0</v>
      </c>
      <c r="J4714">
        <f t="shared" si="969"/>
        <v>0</v>
      </c>
      <c r="K4714" s="4" t="e">
        <f t="shared" si="957"/>
        <v>#N/A</v>
      </c>
      <c r="L4714" t="e">
        <f t="shared" si="958"/>
        <v>#N/A</v>
      </c>
      <c r="M4714" s="4" t="e">
        <f t="shared" si="959"/>
        <v>#N/A</v>
      </c>
      <c r="N4714" s="4" t="e">
        <f t="shared" si="960"/>
        <v>#N/A</v>
      </c>
    </row>
    <row r="4715" spans="1:14">
      <c r="A4715">
        <f t="shared" si="961"/>
        <v>0</v>
      </c>
      <c r="B4715">
        <f t="shared" si="962"/>
        <v>0</v>
      </c>
      <c r="C4715">
        <f t="shared" si="963"/>
        <v>0</v>
      </c>
      <c r="D4715">
        <f t="shared" si="964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5"/>
        <v>0</v>
      </c>
      <c r="G4715">
        <f t="shared" si="966"/>
        <v>0</v>
      </c>
      <c r="H4715">
        <f t="shared" si="967"/>
        <v>0</v>
      </c>
      <c r="I4715">
        <f t="shared" si="968"/>
        <v>0</v>
      </c>
      <c r="J4715">
        <f t="shared" si="969"/>
        <v>0</v>
      </c>
      <c r="K4715" s="4" t="e">
        <f t="shared" si="957"/>
        <v>#N/A</v>
      </c>
      <c r="L4715" t="e">
        <f t="shared" si="958"/>
        <v>#N/A</v>
      </c>
      <c r="M4715" s="4" t="e">
        <f t="shared" si="959"/>
        <v>#N/A</v>
      </c>
      <c r="N4715" s="4" t="e">
        <f t="shared" si="960"/>
        <v>#N/A</v>
      </c>
    </row>
    <row r="4716" spans="1:14">
      <c r="A4716">
        <f t="shared" si="961"/>
        <v>0</v>
      </c>
      <c r="B4716">
        <f t="shared" si="962"/>
        <v>0</v>
      </c>
      <c r="C4716">
        <f t="shared" si="963"/>
        <v>0</v>
      </c>
      <c r="D4716">
        <f t="shared" si="964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5"/>
        <v>0</v>
      </c>
      <c r="G4716">
        <f t="shared" si="966"/>
        <v>0</v>
      </c>
      <c r="H4716">
        <f t="shared" si="967"/>
        <v>0</v>
      </c>
      <c r="I4716">
        <f t="shared" si="968"/>
        <v>0</v>
      </c>
      <c r="J4716">
        <f t="shared" si="969"/>
        <v>0</v>
      </c>
      <c r="K4716" s="4" t="e">
        <f t="shared" si="957"/>
        <v>#N/A</v>
      </c>
      <c r="L4716" t="e">
        <f t="shared" si="958"/>
        <v>#N/A</v>
      </c>
      <c r="M4716" s="4" t="e">
        <f t="shared" si="959"/>
        <v>#N/A</v>
      </c>
      <c r="N4716" s="4" t="e">
        <f t="shared" si="960"/>
        <v>#N/A</v>
      </c>
    </row>
    <row r="4717" spans="1:14">
      <c r="A4717">
        <f t="shared" si="961"/>
        <v>0</v>
      </c>
      <c r="B4717">
        <f t="shared" si="962"/>
        <v>0</v>
      </c>
      <c r="C4717">
        <f t="shared" si="963"/>
        <v>0</v>
      </c>
      <c r="D4717">
        <f t="shared" si="964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5"/>
        <v>0</v>
      </c>
      <c r="G4717">
        <f t="shared" si="966"/>
        <v>0</v>
      </c>
      <c r="H4717">
        <f t="shared" si="967"/>
        <v>0</v>
      </c>
      <c r="I4717">
        <f t="shared" si="968"/>
        <v>0</v>
      </c>
      <c r="J4717">
        <f t="shared" si="969"/>
        <v>0</v>
      </c>
      <c r="K4717" s="4" t="e">
        <f t="shared" si="957"/>
        <v>#N/A</v>
      </c>
      <c r="L4717" t="e">
        <f t="shared" si="958"/>
        <v>#N/A</v>
      </c>
      <c r="M4717" s="4" t="e">
        <f t="shared" si="959"/>
        <v>#N/A</v>
      </c>
      <c r="N4717" s="4" t="e">
        <f t="shared" si="960"/>
        <v>#N/A</v>
      </c>
    </row>
    <row r="4718" spans="1:14">
      <c r="A4718">
        <f t="shared" si="961"/>
        <v>0</v>
      </c>
      <c r="B4718">
        <f t="shared" si="962"/>
        <v>0</v>
      </c>
      <c r="C4718">
        <f t="shared" si="963"/>
        <v>0</v>
      </c>
      <c r="D4718">
        <f t="shared" si="964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5"/>
        <v>0</v>
      </c>
      <c r="G4718">
        <f t="shared" si="966"/>
        <v>0</v>
      </c>
      <c r="H4718">
        <f t="shared" si="967"/>
        <v>0</v>
      </c>
      <c r="I4718">
        <f t="shared" si="968"/>
        <v>0</v>
      </c>
      <c r="J4718">
        <f t="shared" si="969"/>
        <v>0</v>
      </c>
      <c r="K4718" s="4" t="e">
        <f t="shared" si="957"/>
        <v>#N/A</v>
      </c>
      <c r="L4718" t="e">
        <f t="shared" si="958"/>
        <v>#N/A</v>
      </c>
      <c r="M4718" s="4" t="e">
        <f t="shared" si="959"/>
        <v>#N/A</v>
      </c>
      <c r="N4718" s="4" t="e">
        <f t="shared" si="960"/>
        <v>#N/A</v>
      </c>
    </row>
    <row r="4719" spans="1:14">
      <c r="A4719">
        <f t="shared" si="961"/>
        <v>0</v>
      </c>
      <c r="B4719">
        <f t="shared" si="962"/>
        <v>0</v>
      </c>
      <c r="C4719">
        <f t="shared" si="963"/>
        <v>0</v>
      </c>
      <c r="D4719">
        <f t="shared" si="964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5"/>
        <v>0</v>
      </c>
      <c r="G4719">
        <f t="shared" si="966"/>
        <v>0</v>
      </c>
      <c r="H4719">
        <f t="shared" si="967"/>
        <v>0</v>
      </c>
      <c r="I4719">
        <f t="shared" si="968"/>
        <v>0</v>
      </c>
      <c r="J4719">
        <f t="shared" si="969"/>
        <v>0</v>
      </c>
      <c r="K4719" s="4" t="e">
        <f t="shared" si="957"/>
        <v>#N/A</v>
      </c>
      <c r="L4719" t="e">
        <f t="shared" si="958"/>
        <v>#N/A</v>
      </c>
      <c r="M4719" s="4" t="e">
        <f t="shared" si="959"/>
        <v>#N/A</v>
      </c>
      <c r="N4719" s="4" t="e">
        <f t="shared" si="960"/>
        <v>#N/A</v>
      </c>
    </row>
    <row r="4720" spans="1:14">
      <c r="A4720">
        <f t="shared" si="961"/>
        <v>0</v>
      </c>
      <c r="B4720">
        <f t="shared" si="962"/>
        <v>0</v>
      </c>
      <c r="C4720">
        <f t="shared" si="963"/>
        <v>0</v>
      </c>
      <c r="D4720">
        <f t="shared" si="964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5"/>
        <v>0</v>
      </c>
      <c r="G4720">
        <f t="shared" si="966"/>
        <v>0</v>
      </c>
      <c r="H4720">
        <f t="shared" si="967"/>
        <v>0</v>
      </c>
      <c r="I4720">
        <f t="shared" si="968"/>
        <v>0</v>
      </c>
      <c r="J4720">
        <f t="shared" si="969"/>
        <v>0</v>
      </c>
      <c r="K4720" s="4" t="e">
        <f t="shared" si="957"/>
        <v>#N/A</v>
      </c>
      <c r="L4720" t="e">
        <f t="shared" si="958"/>
        <v>#N/A</v>
      </c>
      <c r="M4720" s="4" t="e">
        <f t="shared" si="959"/>
        <v>#N/A</v>
      </c>
      <c r="N4720" s="4" t="e">
        <f t="shared" si="960"/>
        <v>#N/A</v>
      </c>
    </row>
    <row r="4721" spans="1:14">
      <c r="A4721">
        <f t="shared" si="961"/>
        <v>0</v>
      </c>
      <c r="B4721">
        <f t="shared" si="962"/>
        <v>0</v>
      </c>
      <c r="C4721">
        <f t="shared" si="963"/>
        <v>0</v>
      </c>
      <c r="D4721">
        <f t="shared" si="964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5"/>
        <v>0</v>
      </c>
      <c r="G4721">
        <f t="shared" si="966"/>
        <v>0</v>
      </c>
      <c r="H4721">
        <f t="shared" si="967"/>
        <v>0</v>
      </c>
      <c r="I4721">
        <f t="shared" si="968"/>
        <v>0</v>
      </c>
      <c r="J4721">
        <f t="shared" si="969"/>
        <v>0</v>
      </c>
      <c r="K4721" s="4" t="e">
        <f t="shared" si="957"/>
        <v>#N/A</v>
      </c>
      <c r="L4721" t="e">
        <f t="shared" si="958"/>
        <v>#N/A</v>
      </c>
      <c r="M4721" s="4" t="e">
        <f t="shared" si="959"/>
        <v>#N/A</v>
      </c>
      <c r="N4721" s="4" t="e">
        <f t="shared" si="960"/>
        <v>#N/A</v>
      </c>
    </row>
    <row r="4722" spans="1:14">
      <c r="A4722">
        <f t="shared" si="961"/>
        <v>0</v>
      </c>
      <c r="B4722">
        <f t="shared" si="962"/>
        <v>0</v>
      </c>
      <c r="C4722">
        <f t="shared" si="963"/>
        <v>0</v>
      </c>
      <c r="D4722">
        <f t="shared" si="964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5"/>
        <v>0</v>
      </c>
      <c r="G4722">
        <f t="shared" si="966"/>
        <v>0</v>
      </c>
      <c r="H4722">
        <f t="shared" si="967"/>
        <v>0</v>
      </c>
      <c r="I4722">
        <f t="shared" si="968"/>
        <v>0</v>
      </c>
      <c r="J4722">
        <f t="shared" si="969"/>
        <v>0</v>
      </c>
      <c r="K4722" s="4" t="e">
        <f t="shared" si="957"/>
        <v>#N/A</v>
      </c>
      <c r="L4722" t="e">
        <f t="shared" si="958"/>
        <v>#N/A</v>
      </c>
      <c r="M4722" s="4" t="e">
        <f t="shared" si="959"/>
        <v>#N/A</v>
      </c>
      <c r="N4722" s="4" t="e">
        <f t="shared" si="960"/>
        <v>#N/A</v>
      </c>
    </row>
    <row r="4723" spans="1:14">
      <c r="A4723">
        <f t="shared" si="961"/>
        <v>0</v>
      </c>
      <c r="B4723">
        <f t="shared" si="962"/>
        <v>0</v>
      </c>
      <c r="C4723">
        <f t="shared" si="963"/>
        <v>0</v>
      </c>
      <c r="D4723">
        <f t="shared" si="964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5"/>
        <v>0</v>
      </c>
      <c r="G4723">
        <f t="shared" si="966"/>
        <v>0</v>
      </c>
      <c r="H4723">
        <f t="shared" si="967"/>
        <v>0</v>
      </c>
      <c r="I4723">
        <f t="shared" si="968"/>
        <v>0</v>
      </c>
      <c r="J4723">
        <f t="shared" si="969"/>
        <v>0</v>
      </c>
      <c r="K4723" s="4" t="e">
        <f t="shared" si="957"/>
        <v>#N/A</v>
      </c>
      <c r="L4723" t="e">
        <f t="shared" si="958"/>
        <v>#N/A</v>
      </c>
      <c r="M4723" s="4" t="e">
        <f t="shared" si="959"/>
        <v>#N/A</v>
      </c>
      <c r="N4723" s="4" t="e">
        <f t="shared" si="960"/>
        <v>#N/A</v>
      </c>
    </row>
    <row r="4724" spans="1:14">
      <c r="A4724">
        <f t="shared" si="961"/>
        <v>0</v>
      </c>
      <c r="B4724">
        <f t="shared" si="962"/>
        <v>0</v>
      </c>
      <c r="C4724">
        <f t="shared" si="963"/>
        <v>0</v>
      </c>
      <c r="D4724">
        <f t="shared" si="964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5"/>
        <v>0</v>
      </c>
      <c r="G4724">
        <f t="shared" si="966"/>
        <v>0</v>
      </c>
      <c r="H4724">
        <f t="shared" si="967"/>
        <v>0</v>
      </c>
      <c r="I4724">
        <f t="shared" si="968"/>
        <v>0</v>
      </c>
      <c r="J4724">
        <f t="shared" si="969"/>
        <v>0</v>
      </c>
      <c r="K4724" s="4" t="e">
        <f t="shared" si="957"/>
        <v>#N/A</v>
      </c>
      <c r="L4724" t="e">
        <f t="shared" si="958"/>
        <v>#N/A</v>
      </c>
      <c r="M4724" s="4" t="e">
        <f t="shared" si="959"/>
        <v>#N/A</v>
      </c>
      <c r="N4724" s="4" t="e">
        <f t="shared" si="960"/>
        <v>#N/A</v>
      </c>
    </row>
    <row r="4725" spans="1:14">
      <c r="A4725">
        <f t="shared" si="961"/>
        <v>0</v>
      </c>
      <c r="B4725">
        <f t="shared" si="962"/>
        <v>0</v>
      </c>
      <c r="C4725">
        <f t="shared" si="963"/>
        <v>0</v>
      </c>
      <c r="D4725">
        <f t="shared" si="964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5"/>
        <v>0</v>
      </c>
      <c r="G4725">
        <f t="shared" si="966"/>
        <v>0</v>
      </c>
      <c r="H4725">
        <f t="shared" si="967"/>
        <v>0</v>
      </c>
      <c r="I4725">
        <f t="shared" si="968"/>
        <v>0</v>
      </c>
      <c r="J4725">
        <f t="shared" si="969"/>
        <v>0</v>
      </c>
      <c r="K4725" s="4" t="e">
        <f t="shared" si="957"/>
        <v>#N/A</v>
      </c>
      <c r="L4725" t="e">
        <f t="shared" si="958"/>
        <v>#N/A</v>
      </c>
      <c r="M4725" s="4" t="e">
        <f t="shared" si="959"/>
        <v>#N/A</v>
      </c>
      <c r="N4725" s="4" t="e">
        <f t="shared" si="960"/>
        <v>#N/A</v>
      </c>
    </row>
    <row r="4726" spans="1:14">
      <c r="A4726">
        <f t="shared" si="961"/>
        <v>0</v>
      </c>
      <c r="B4726">
        <f t="shared" si="962"/>
        <v>0</v>
      </c>
      <c r="C4726">
        <f t="shared" si="963"/>
        <v>0</v>
      </c>
      <c r="D4726">
        <f t="shared" si="964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5"/>
        <v>0</v>
      </c>
      <c r="G4726">
        <f t="shared" si="966"/>
        <v>0</v>
      </c>
      <c r="H4726">
        <f t="shared" si="967"/>
        <v>0</v>
      </c>
      <c r="I4726">
        <f t="shared" si="968"/>
        <v>0</v>
      </c>
      <c r="J4726">
        <f t="shared" si="969"/>
        <v>0</v>
      </c>
      <c r="K4726" s="4" t="e">
        <f t="shared" si="957"/>
        <v>#N/A</v>
      </c>
      <c r="L4726" t="e">
        <f t="shared" si="958"/>
        <v>#N/A</v>
      </c>
      <c r="M4726" s="4" t="e">
        <f t="shared" si="959"/>
        <v>#N/A</v>
      </c>
      <c r="N4726" s="4" t="e">
        <f t="shared" si="960"/>
        <v>#N/A</v>
      </c>
    </row>
    <row r="4727" spans="1:14">
      <c r="A4727">
        <f t="shared" si="961"/>
        <v>0</v>
      </c>
      <c r="B4727">
        <f t="shared" si="962"/>
        <v>0</v>
      </c>
      <c r="C4727">
        <f t="shared" si="963"/>
        <v>0</v>
      </c>
      <c r="D4727">
        <f t="shared" si="964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5"/>
        <v>0</v>
      </c>
      <c r="G4727">
        <f t="shared" si="966"/>
        <v>0</v>
      </c>
      <c r="H4727">
        <f t="shared" si="967"/>
        <v>0</v>
      </c>
      <c r="I4727">
        <f t="shared" si="968"/>
        <v>0</v>
      </c>
      <c r="J4727">
        <f t="shared" si="969"/>
        <v>0</v>
      </c>
      <c r="K4727" s="4" t="e">
        <f t="shared" si="957"/>
        <v>#N/A</v>
      </c>
      <c r="L4727" t="e">
        <f t="shared" si="958"/>
        <v>#N/A</v>
      </c>
      <c r="M4727" s="4" t="e">
        <f t="shared" si="959"/>
        <v>#N/A</v>
      </c>
      <c r="N4727" s="4" t="e">
        <f t="shared" si="960"/>
        <v>#N/A</v>
      </c>
    </row>
    <row r="4728" spans="1:14">
      <c r="A4728">
        <f t="shared" si="961"/>
        <v>0</v>
      </c>
      <c r="B4728">
        <f t="shared" si="962"/>
        <v>0</v>
      </c>
      <c r="C4728">
        <f t="shared" si="963"/>
        <v>0</v>
      </c>
      <c r="D4728">
        <f t="shared" si="964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5"/>
        <v>0</v>
      </c>
      <c r="G4728">
        <f t="shared" si="966"/>
        <v>0</v>
      </c>
      <c r="H4728">
        <f t="shared" si="967"/>
        <v>0</v>
      </c>
      <c r="I4728">
        <f t="shared" si="968"/>
        <v>0</v>
      </c>
      <c r="J4728">
        <f t="shared" si="969"/>
        <v>0</v>
      </c>
      <c r="K4728" s="4" t="e">
        <f t="shared" si="957"/>
        <v>#N/A</v>
      </c>
      <c r="L4728" t="e">
        <f t="shared" si="958"/>
        <v>#N/A</v>
      </c>
      <c r="M4728" s="4" t="e">
        <f t="shared" si="959"/>
        <v>#N/A</v>
      </c>
      <c r="N4728" s="4" t="e">
        <f t="shared" si="960"/>
        <v>#N/A</v>
      </c>
    </row>
    <row r="4729" spans="1:14">
      <c r="A4729">
        <f t="shared" si="961"/>
        <v>0</v>
      </c>
      <c r="B4729">
        <f t="shared" si="962"/>
        <v>0</v>
      </c>
      <c r="C4729">
        <f t="shared" si="963"/>
        <v>0</v>
      </c>
      <c r="D4729">
        <f t="shared" si="964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5"/>
        <v>0</v>
      </c>
      <c r="G4729">
        <f t="shared" si="966"/>
        <v>0</v>
      </c>
      <c r="H4729">
        <f t="shared" si="967"/>
        <v>0</v>
      </c>
      <c r="I4729">
        <f t="shared" si="968"/>
        <v>0</v>
      </c>
      <c r="J4729">
        <f t="shared" si="969"/>
        <v>0</v>
      </c>
      <c r="K4729" s="4" t="e">
        <f t="shared" si="957"/>
        <v>#N/A</v>
      </c>
      <c r="L4729" t="e">
        <f t="shared" si="958"/>
        <v>#N/A</v>
      </c>
      <c r="M4729" s="4" t="e">
        <f t="shared" si="959"/>
        <v>#N/A</v>
      </c>
      <c r="N4729" s="4" t="e">
        <f t="shared" si="960"/>
        <v>#N/A</v>
      </c>
    </row>
    <row r="4730" spans="1:14">
      <c r="A4730">
        <f t="shared" si="961"/>
        <v>0</v>
      </c>
      <c r="B4730">
        <f t="shared" si="962"/>
        <v>0</v>
      </c>
      <c r="C4730">
        <f t="shared" si="963"/>
        <v>0</v>
      </c>
      <c r="D4730">
        <f t="shared" si="964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5"/>
        <v>0</v>
      </c>
      <c r="G4730">
        <f t="shared" si="966"/>
        <v>0</v>
      </c>
      <c r="H4730">
        <f t="shared" si="967"/>
        <v>0</v>
      </c>
      <c r="I4730">
        <f t="shared" si="968"/>
        <v>0</v>
      </c>
      <c r="J4730">
        <f t="shared" si="969"/>
        <v>0</v>
      </c>
      <c r="K4730" s="4" t="e">
        <f t="shared" si="957"/>
        <v>#N/A</v>
      </c>
      <c r="L4730" t="e">
        <f t="shared" si="958"/>
        <v>#N/A</v>
      </c>
      <c r="M4730" s="4" t="e">
        <f t="shared" si="959"/>
        <v>#N/A</v>
      </c>
      <c r="N4730" s="4" t="e">
        <f t="shared" si="960"/>
        <v>#N/A</v>
      </c>
    </row>
    <row r="4731" spans="1:14">
      <c r="A4731">
        <f t="shared" si="961"/>
        <v>0</v>
      </c>
      <c r="B4731">
        <f t="shared" si="962"/>
        <v>0</v>
      </c>
      <c r="C4731">
        <f t="shared" si="963"/>
        <v>0</v>
      </c>
      <c r="D4731">
        <f t="shared" si="964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5"/>
        <v>0</v>
      </c>
      <c r="G4731">
        <f t="shared" si="966"/>
        <v>0</v>
      </c>
      <c r="H4731">
        <f t="shared" si="967"/>
        <v>0</v>
      </c>
      <c r="I4731">
        <f t="shared" si="968"/>
        <v>0</v>
      </c>
      <c r="J4731">
        <f t="shared" si="969"/>
        <v>0</v>
      </c>
      <c r="K4731" s="4" t="e">
        <f t="shared" si="957"/>
        <v>#N/A</v>
      </c>
      <c r="L4731" t="e">
        <f t="shared" si="958"/>
        <v>#N/A</v>
      </c>
      <c r="M4731" s="4" t="e">
        <f t="shared" si="959"/>
        <v>#N/A</v>
      </c>
      <c r="N4731" s="4" t="e">
        <f t="shared" si="960"/>
        <v>#N/A</v>
      </c>
    </row>
    <row r="4732" spans="1:14">
      <c r="A4732">
        <f t="shared" si="961"/>
        <v>0</v>
      </c>
      <c r="B4732">
        <f t="shared" si="962"/>
        <v>0</v>
      </c>
      <c r="C4732">
        <f t="shared" si="963"/>
        <v>0</v>
      </c>
      <c r="D4732">
        <f t="shared" si="964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5"/>
        <v>0</v>
      </c>
      <c r="G4732">
        <f t="shared" si="966"/>
        <v>0</v>
      </c>
      <c r="H4732">
        <f t="shared" si="967"/>
        <v>0</v>
      </c>
      <c r="I4732">
        <f t="shared" si="968"/>
        <v>0</v>
      </c>
      <c r="J4732">
        <f t="shared" si="969"/>
        <v>0</v>
      </c>
      <c r="K4732" s="4" t="e">
        <f t="shared" si="957"/>
        <v>#N/A</v>
      </c>
      <c r="L4732" t="e">
        <f t="shared" si="958"/>
        <v>#N/A</v>
      </c>
      <c r="M4732" s="4" t="e">
        <f t="shared" si="959"/>
        <v>#N/A</v>
      </c>
      <c r="N4732" s="4" t="e">
        <f t="shared" si="960"/>
        <v>#N/A</v>
      </c>
    </row>
    <row r="4733" spans="1:14">
      <c r="A4733">
        <f t="shared" si="961"/>
        <v>0</v>
      </c>
      <c r="B4733">
        <f t="shared" si="962"/>
        <v>0</v>
      </c>
      <c r="C4733">
        <f t="shared" si="963"/>
        <v>0</v>
      </c>
      <c r="D4733">
        <f t="shared" si="964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5"/>
        <v>0</v>
      </c>
      <c r="G4733">
        <f t="shared" si="966"/>
        <v>0</v>
      </c>
      <c r="H4733">
        <f t="shared" si="967"/>
        <v>0</v>
      </c>
      <c r="I4733">
        <f t="shared" si="968"/>
        <v>0</v>
      </c>
      <c r="J4733">
        <f t="shared" si="969"/>
        <v>0</v>
      </c>
      <c r="K4733" s="4" t="e">
        <f t="shared" ref="K4733:K4796" si="970">IF(LEFT(B4733,3)="DBM",0,VLOOKUP(E4733,tabela,2,FALSE))</f>
        <v>#N/A</v>
      </c>
      <c r="L4733" t="e">
        <f t="shared" ref="L4733:L4796" si="971">VLOOKUP(E4733,tabela,3,FALSE)</f>
        <v>#N/A</v>
      </c>
      <c r="M4733" s="4" t="e">
        <f t="shared" ref="M4733:M4796" si="972">IF(E4733="Dynamic Click",J4733*K4733,K4733*$I4733/1000)</f>
        <v>#N/A</v>
      </c>
      <c r="N4733" s="4" t="e">
        <f t="shared" ref="N4733:N4796" si="973">IF(E4733="Dynamic Click",J4733*L4733,L4733*$I4733/1000)</f>
        <v>#N/A</v>
      </c>
    </row>
    <row r="4734" spans="1:14">
      <c r="A4734">
        <f t="shared" si="961"/>
        <v>0</v>
      </c>
      <c r="B4734">
        <f t="shared" si="962"/>
        <v>0</v>
      </c>
      <c r="C4734">
        <f t="shared" si="963"/>
        <v>0</v>
      </c>
      <c r="D4734">
        <f t="shared" si="964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5"/>
        <v>0</v>
      </c>
      <c r="G4734">
        <f t="shared" si="966"/>
        <v>0</v>
      </c>
      <c r="H4734">
        <f t="shared" si="967"/>
        <v>0</v>
      </c>
      <c r="I4734">
        <f t="shared" si="968"/>
        <v>0</v>
      </c>
      <c r="J4734">
        <f t="shared" si="969"/>
        <v>0</v>
      </c>
      <c r="K4734" s="4" t="e">
        <f t="shared" si="970"/>
        <v>#N/A</v>
      </c>
      <c r="L4734" t="e">
        <f t="shared" si="971"/>
        <v>#N/A</v>
      </c>
      <c r="M4734" s="4" t="e">
        <f t="shared" si="972"/>
        <v>#N/A</v>
      </c>
      <c r="N4734" s="4" t="e">
        <f t="shared" si="973"/>
        <v>#N/A</v>
      </c>
    </row>
    <row r="4735" spans="1:14">
      <c r="A4735">
        <f t="shared" si="961"/>
        <v>0</v>
      </c>
      <c r="B4735">
        <f t="shared" si="962"/>
        <v>0</v>
      </c>
      <c r="C4735">
        <f t="shared" si="963"/>
        <v>0</v>
      </c>
      <c r="D4735">
        <f t="shared" si="964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5"/>
        <v>0</v>
      </c>
      <c r="G4735">
        <f t="shared" si="966"/>
        <v>0</v>
      </c>
      <c r="H4735">
        <f t="shared" si="967"/>
        <v>0</v>
      </c>
      <c r="I4735">
        <f t="shared" si="968"/>
        <v>0</v>
      </c>
      <c r="J4735">
        <f t="shared" si="969"/>
        <v>0</v>
      </c>
      <c r="K4735" s="4" t="e">
        <f t="shared" si="970"/>
        <v>#N/A</v>
      </c>
      <c r="L4735" t="e">
        <f t="shared" si="971"/>
        <v>#N/A</v>
      </c>
      <c r="M4735" s="4" t="e">
        <f t="shared" si="972"/>
        <v>#N/A</v>
      </c>
      <c r="N4735" s="4" t="e">
        <f t="shared" si="973"/>
        <v>#N/A</v>
      </c>
    </row>
    <row r="4736" spans="1:14">
      <c r="A4736">
        <f t="shared" si="961"/>
        <v>0</v>
      </c>
      <c r="B4736">
        <f t="shared" si="962"/>
        <v>0</v>
      </c>
      <c r="C4736">
        <f t="shared" si="963"/>
        <v>0</v>
      </c>
      <c r="D4736">
        <f t="shared" si="964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5"/>
        <v>0</v>
      </c>
      <c r="G4736">
        <f t="shared" si="966"/>
        <v>0</v>
      </c>
      <c r="H4736">
        <f t="shared" si="967"/>
        <v>0</v>
      </c>
      <c r="I4736">
        <f t="shared" si="968"/>
        <v>0</v>
      </c>
      <c r="J4736">
        <f t="shared" si="969"/>
        <v>0</v>
      </c>
      <c r="K4736" s="4" t="e">
        <f t="shared" si="970"/>
        <v>#N/A</v>
      </c>
      <c r="L4736" t="e">
        <f t="shared" si="971"/>
        <v>#N/A</v>
      </c>
      <c r="M4736" s="4" t="e">
        <f t="shared" si="972"/>
        <v>#N/A</v>
      </c>
      <c r="N4736" s="4" t="e">
        <f t="shared" si="973"/>
        <v>#N/A</v>
      </c>
    </row>
    <row r="4737" spans="1:14">
      <c r="A4737">
        <f t="shared" si="961"/>
        <v>0</v>
      </c>
      <c r="B4737">
        <f t="shared" si="962"/>
        <v>0</v>
      </c>
      <c r="C4737">
        <f t="shared" si="963"/>
        <v>0</v>
      </c>
      <c r="D4737">
        <f t="shared" si="964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5"/>
        <v>0</v>
      </c>
      <c r="G4737">
        <f t="shared" si="966"/>
        <v>0</v>
      </c>
      <c r="H4737">
        <f t="shared" si="967"/>
        <v>0</v>
      </c>
      <c r="I4737">
        <f t="shared" si="968"/>
        <v>0</v>
      </c>
      <c r="J4737">
        <f t="shared" si="969"/>
        <v>0</v>
      </c>
      <c r="K4737" s="4" t="e">
        <f t="shared" si="970"/>
        <v>#N/A</v>
      </c>
      <c r="L4737" t="e">
        <f t="shared" si="971"/>
        <v>#N/A</v>
      </c>
      <c r="M4737" s="4" t="e">
        <f t="shared" si="972"/>
        <v>#N/A</v>
      </c>
      <c r="N4737" s="4" t="e">
        <f t="shared" si="973"/>
        <v>#N/A</v>
      </c>
    </row>
    <row r="4738" spans="1:14">
      <c r="A4738">
        <f t="shared" ref="A4738:A4801" si="974">bd_campaign</f>
        <v>0</v>
      </c>
      <c r="B4738">
        <f t="shared" ref="B4738:B4801" si="975">bd_site</f>
        <v>0</v>
      </c>
      <c r="C4738">
        <f t="shared" ref="C4738:C4801" si="976">bd_placement</f>
        <v>0</v>
      </c>
      <c r="D4738">
        <f t="shared" ref="D4738:D4801" si="977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8">bd_ad</f>
        <v>0</v>
      </c>
      <c r="G4738">
        <f t="shared" ref="G4738:G4801" si="979">bd_adid</f>
        <v>0</v>
      </c>
      <c r="H4738">
        <f t="shared" ref="H4738:H4801" si="980">bd_creativetype</f>
        <v>0</v>
      </c>
      <c r="I4738">
        <f t="shared" ref="I4738:I4801" si="981">bd_impression</f>
        <v>0</v>
      </c>
      <c r="J4738">
        <f t="shared" ref="J4738:J4801" si="982">bd_clicks</f>
        <v>0</v>
      </c>
      <c r="K4738" s="4" t="e">
        <f t="shared" si="970"/>
        <v>#N/A</v>
      </c>
      <c r="L4738" t="e">
        <f t="shared" si="971"/>
        <v>#N/A</v>
      </c>
      <c r="M4738" s="4" t="e">
        <f t="shared" si="972"/>
        <v>#N/A</v>
      </c>
      <c r="N4738" s="4" t="e">
        <f t="shared" si="973"/>
        <v>#N/A</v>
      </c>
    </row>
    <row r="4739" spans="1:14">
      <c r="A4739">
        <f t="shared" si="974"/>
        <v>0</v>
      </c>
      <c r="B4739">
        <f t="shared" si="975"/>
        <v>0</v>
      </c>
      <c r="C4739">
        <f t="shared" si="976"/>
        <v>0</v>
      </c>
      <c r="D4739">
        <f t="shared" si="977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8"/>
        <v>0</v>
      </c>
      <c r="G4739">
        <f t="shared" si="979"/>
        <v>0</v>
      </c>
      <c r="H4739">
        <f t="shared" si="980"/>
        <v>0</v>
      </c>
      <c r="I4739">
        <f t="shared" si="981"/>
        <v>0</v>
      </c>
      <c r="J4739">
        <f t="shared" si="982"/>
        <v>0</v>
      </c>
      <c r="K4739" s="4" t="e">
        <f t="shared" si="970"/>
        <v>#N/A</v>
      </c>
      <c r="L4739" t="e">
        <f t="shared" si="971"/>
        <v>#N/A</v>
      </c>
      <c r="M4739" s="4" t="e">
        <f t="shared" si="972"/>
        <v>#N/A</v>
      </c>
      <c r="N4739" s="4" t="e">
        <f t="shared" si="973"/>
        <v>#N/A</v>
      </c>
    </row>
    <row r="4740" spans="1:14">
      <c r="A4740">
        <f t="shared" si="974"/>
        <v>0</v>
      </c>
      <c r="B4740">
        <f t="shared" si="975"/>
        <v>0</v>
      </c>
      <c r="C4740">
        <f t="shared" si="976"/>
        <v>0</v>
      </c>
      <c r="D4740">
        <f t="shared" si="977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8"/>
        <v>0</v>
      </c>
      <c r="G4740">
        <f t="shared" si="979"/>
        <v>0</v>
      </c>
      <c r="H4740">
        <f t="shared" si="980"/>
        <v>0</v>
      </c>
      <c r="I4740">
        <f t="shared" si="981"/>
        <v>0</v>
      </c>
      <c r="J4740">
        <f t="shared" si="982"/>
        <v>0</v>
      </c>
      <c r="K4740" s="4" t="e">
        <f t="shared" si="970"/>
        <v>#N/A</v>
      </c>
      <c r="L4740" t="e">
        <f t="shared" si="971"/>
        <v>#N/A</v>
      </c>
      <c r="M4740" s="4" t="e">
        <f t="shared" si="972"/>
        <v>#N/A</v>
      </c>
      <c r="N4740" s="4" t="e">
        <f t="shared" si="973"/>
        <v>#N/A</v>
      </c>
    </row>
    <row r="4741" spans="1:14">
      <c r="A4741">
        <f t="shared" si="974"/>
        <v>0</v>
      </c>
      <c r="B4741">
        <f t="shared" si="975"/>
        <v>0</v>
      </c>
      <c r="C4741">
        <f t="shared" si="976"/>
        <v>0</v>
      </c>
      <c r="D4741">
        <f t="shared" si="977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8"/>
        <v>0</v>
      </c>
      <c r="G4741">
        <f t="shared" si="979"/>
        <v>0</v>
      </c>
      <c r="H4741">
        <f t="shared" si="980"/>
        <v>0</v>
      </c>
      <c r="I4741">
        <f t="shared" si="981"/>
        <v>0</v>
      </c>
      <c r="J4741">
        <f t="shared" si="982"/>
        <v>0</v>
      </c>
      <c r="K4741" s="4" t="e">
        <f t="shared" si="970"/>
        <v>#N/A</v>
      </c>
      <c r="L4741" t="e">
        <f t="shared" si="971"/>
        <v>#N/A</v>
      </c>
      <c r="M4741" s="4" t="e">
        <f t="shared" si="972"/>
        <v>#N/A</v>
      </c>
      <c r="N4741" s="4" t="e">
        <f t="shared" si="973"/>
        <v>#N/A</v>
      </c>
    </row>
    <row r="4742" spans="1:14">
      <c r="A4742">
        <f t="shared" si="974"/>
        <v>0</v>
      </c>
      <c r="B4742">
        <f t="shared" si="975"/>
        <v>0</v>
      </c>
      <c r="C4742">
        <f t="shared" si="976"/>
        <v>0</v>
      </c>
      <c r="D4742">
        <f t="shared" si="977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8"/>
        <v>0</v>
      </c>
      <c r="G4742">
        <f t="shared" si="979"/>
        <v>0</v>
      </c>
      <c r="H4742">
        <f t="shared" si="980"/>
        <v>0</v>
      </c>
      <c r="I4742">
        <f t="shared" si="981"/>
        <v>0</v>
      </c>
      <c r="J4742">
        <f t="shared" si="982"/>
        <v>0</v>
      </c>
      <c r="K4742" s="4" t="e">
        <f t="shared" si="970"/>
        <v>#N/A</v>
      </c>
      <c r="L4742" t="e">
        <f t="shared" si="971"/>
        <v>#N/A</v>
      </c>
      <c r="M4742" s="4" t="e">
        <f t="shared" si="972"/>
        <v>#N/A</v>
      </c>
      <c r="N4742" s="4" t="e">
        <f t="shared" si="973"/>
        <v>#N/A</v>
      </c>
    </row>
    <row r="4743" spans="1:14">
      <c r="A4743">
        <f t="shared" si="974"/>
        <v>0</v>
      </c>
      <c r="B4743">
        <f t="shared" si="975"/>
        <v>0</v>
      </c>
      <c r="C4743">
        <f t="shared" si="976"/>
        <v>0</v>
      </c>
      <c r="D4743">
        <f t="shared" si="977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8"/>
        <v>0</v>
      </c>
      <c r="G4743">
        <f t="shared" si="979"/>
        <v>0</v>
      </c>
      <c r="H4743">
        <f t="shared" si="980"/>
        <v>0</v>
      </c>
      <c r="I4743">
        <f t="shared" si="981"/>
        <v>0</v>
      </c>
      <c r="J4743">
        <f t="shared" si="982"/>
        <v>0</v>
      </c>
      <c r="K4743" s="4" t="e">
        <f t="shared" si="970"/>
        <v>#N/A</v>
      </c>
      <c r="L4743" t="e">
        <f t="shared" si="971"/>
        <v>#N/A</v>
      </c>
      <c r="M4743" s="4" t="e">
        <f t="shared" si="972"/>
        <v>#N/A</v>
      </c>
      <c r="N4743" s="4" t="e">
        <f t="shared" si="973"/>
        <v>#N/A</v>
      </c>
    </row>
    <row r="4744" spans="1:14">
      <c r="A4744">
        <f t="shared" si="974"/>
        <v>0</v>
      </c>
      <c r="B4744">
        <f t="shared" si="975"/>
        <v>0</v>
      </c>
      <c r="C4744">
        <f t="shared" si="976"/>
        <v>0</v>
      </c>
      <c r="D4744">
        <f t="shared" si="977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8"/>
        <v>0</v>
      </c>
      <c r="G4744">
        <f t="shared" si="979"/>
        <v>0</v>
      </c>
      <c r="H4744">
        <f t="shared" si="980"/>
        <v>0</v>
      </c>
      <c r="I4744">
        <f t="shared" si="981"/>
        <v>0</v>
      </c>
      <c r="J4744">
        <f t="shared" si="982"/>
        <v>0</v>
      </c>
      <c r="K4744" s="4" t="e">
        <f t="shared" si="970"/>
        <v>#N/A</v>
      </c>
      <c r="L4744" t="e">
        <f t="shared" si="971"/>
        <v>#N/A</v>
      </c>
      <c r="M4744" s="4" t="e">
        <f t="shared" si="972"/>
        <v>#N/A</v>
      </c>
      <c r="N4744" s="4" t="e">
        <f t="shared" si="973"/>
        <v>#N/A</v>
      </c>
    </row>
    <row r="4745" spans="1:14">
      <c r="A4745">
        <f t="shared" si="974"/>
        <v>0</v>
      </c>
      <c r="B4745">
        <f t="shared" si="975"/>
        <v>0</v>
      </c>
      <c r="C4745">
        <f t="shared" si="976"/>
        <v>0</v>
      </c>
      <c r="D4745">
        <f t="shared" si="977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8"/>
        <v>0</v>
      </c>
      <c r="G4745">
        <f t="shared" si="979"/>
        <v>0</v>
      </c>
      <c r="H4745">
        <f t="shared" si="980"/>
        <v>0</v>
      </c>
      <c r="I4745">
        <f t="shared" si="981"/>
        <v>0</v>
      </c>
      <c r="J4745">
        <f t="shared" si="982"/>
        <v>0</v>
      </c>
      <c r="K4745" s="4" t="e">
        <f t="shared" si="970"/>
        <v>#N/A</v>
      </c>
      <c r="L4745" t="e">
        <f t="shared" si="971"/>
        <v>#N/A</v>
      </c>
      <c r="M4745" s="4" t="e">
        <f t="shared" si="972"/>
        <v>#N/A</v>
      </c>
      <c r="N4745" s="4" t="e">
        <f t="shared" si="973"/>
        <v>#N/A</v>
      </c>
    </row>
    <row r="4746" spans="1:14">
      <c r="A4746">
        <f t="shared" si="974"/>
        <v>0</v>
      </c>
      <c r="B4746">
        <f t="shared" si="975"/>
        <v>0</v>
      </c>
      <c r="C4746">
        <f t="shared" si="976"/>
        <v>0</v>
      </c>
      <c r="D4746">
        <f t="shared" si="977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8"/>
        <v>0</v>
      </c>
      <c r="G4746">
        <f t="shared" si="979"/>
        <v>0</v>
      </c>
      <c r="H4746">
        <f t="shared" si="980"/>
        <v>0</v>
      </c>
      <c r="I4746">
        <f t="shared" si="981"/>
        <v>0</v>
      </c>
      <c r="J4746">
        <f t="shared" si="982"/>
        <v>0</v>
      </c>
      <c r="K4746" s="4" t="e">
        <f t="shared" si="970"/>
        <v>#N/A</v>
      </c>
      <c r="L4746" t="e">
        <f t="shared" si="971"/>
        <v>#N/A</v>
      </c>
      <c r="M4746" s="4" t="e">
        <f t="shared" si="972"/>
        <v>#N/A</v>
      </c>
      <c r="N4746" s="4" t="e">
        <f t="shared" si="973"/>
        <v>#N/A</v>
      </c>
    </row>
    <row r="4747" spans="1:14">
      <c r="A4747">
        <f t="shared" si="974"/>
        <v>0</v>
      </c>
      <c r="B4747">
        <f t="shared" si="975"/>
        <v>0</v>
      </c>
      <c r="C4747">
        <f t="shared" si="976"/>
        <v>0</v>
      </c>
      <c r="D4747">
        <f t="shared" si="977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8"/>
        <v>0</v>
      </c>
      <c r="G4747">
        <f t="shared" si="979"/>
        <v>0</v>
      </c>
      <c r="H4747">
        <f t="shared" si="980"/>
        <v>0</v>
      </c>
      <c r="I4747">
        <f t="shared" si="981"/>
        <v>0</v>
      </c>
      <c r="J4747">
        <f t="shared" si="982"/>
        <v>0</v>
      </c>
      <c r="K4747" s="4" t="e">
        <f t="shared" si="970"/>
        <v>#N/A</v>
      </c>
      <c r="L4747" t="e">
        <f t="shared" si="971"/>
        <v>#N/A</v>
      </c>
      <c r="M4747" s="4" t="e">
        <f t="shared" si="972"/>
        <v>#N/A</v>
      </c>
      <c r="N4747" s="4" t="e">
        <f t="shared" si="973"/>
        <v>#N/A</v>
      </c>
    </row>
    <row r="4748" spans="1:14">
      <c r="A4748">
        <f t="shared" si="974"/>
        <v>0</v>
      </c>
      <c r="B4748">
        <f t="shared" si="975"/>
        <v>0</v>
      </c>
      <c r="C4748">
        <f t="shared" si="976"/>
        <v>0</v>
      </c>
      <c r="D4748">
        <f t="shared" si="977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8"/>
        <v>0</v>
      </c>
      <c r="G4748">
        <f t="shared" si="979"/>
        <v>0</v>
      </c>
      <c r="H4748">
        <f t="shared" si="980"/>
        <v>0</v>
      </c>
      <c r="I4748">
        <f t="shared" si="981"/>
        <v>0</v>
      </c>
      <c r="J4748">
        <f t="shared" si="982"/>
        <v>0</v>
      </c>
      <c r="K4748" s="4" t="e">
        <f t="shared" si="970"/>
        <v>#N/A</v>
      </c>
      <c r="L4748" t="e">
        <f t="shared" si="971"/>
        <v>#N/A</v>
      </c>
      <c r="M4748" s="4" t="e">
        <f t="shared" si="972"/>
        <v>#N/A</v>
      </c>
      <c r="N4748" s="4" t="e">
        <f t="shared" si="973"/>
        <v>#N/A</v>
      </c>
    </row>
    <row r="4749" spans="1:14">
      <c r="A4749">
        <f t="shared" si="974"/>
        <v>0</v>
      </c>
      <c r="B4749">
        <f t="shared" si="975"/>
        <v>0</v>
      </c>
      <c r="C4749">
        <f t="shared" si="976"/>
        <v>0</v>
      </c>
      <c r="D4749">
        <f t="shared" si="977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8"/>
        <v>0</v>
      </c>
      <c r="G4749">
        <f t="shared" si="979"/>
        <v>0</v>
      </c>
      <c r="H4749">
        <f t="shared" si="980"/>
        <v>0</v>
      </c>
      <c r="I4749">
        <f t="shared" si="981"/>
        <v>0</v>
      </c>
      <c r="J4749">
        <f t="shared" si="982"/>
        <v>0</v>
      </c>
      <c r="K4749" s="4" t="e">
        <f t="shared" si="970"/>
        <v>#N/A</v>
      </c>
      <c r="L4749" t="e">
        <f t="shared" si="971"/>
        <v>#N/A</v>
      </c>
      <c r="M4749" s="4" t="e">
        <f t="shared" si="972"/>
        <v>#N/A</v>
      </c>
      <c r="N4749" s="4" t="e">
        <f t="shared" si="973"/>
        <v>#N/A</v>
      </c>
    </row>
    <row r="4750" spans="1:14">
      <c r="A4750">
        <f t="shared" si="974"/>
        <v>0</v>
      </c>
      <c r="B4750">
        <f t="shared" si="975"/>
        <v>0</v>
      </c>
      <c r="C4750">
        <f t="shared" si="976"/>
        <v>0</v>
      </c>
      <c r="D4750">
        <f t="shared" si="977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8"/>
        <v>0</v>
      </c>
      <c r="G4750">
        <f t="shared" si="979"/>
        <v>0</v>
      </c>
      <c r="H4750">
        <f t="shared" si="980"/>
        <v>0</v>
      </c>
      <c r="I4750">
        <f t="shared" si="981"/>
        <v>0</v>
      </c>
      <c r="J4750">
        <f t="shared" si="982"/>
        <v>0</v>
      </c>
      <c r="K4750" s="4" t="e">
        <f t="shared" si="970"/>
        <v>#N/A</v>
      </c>
      <c r="L4750" t="e">
        <f t="shared" si="971"/>
        <v>#N/A</v>
      </c>
      <c r="M4750" s="4" t="e">
        <f t="shared" si="972"/>
        <v>#N/A</v>
      </c>
      <c r="N4750" s="4" t="e">
        <f t="shared" si="973"/>
        <v>#N/A</v>
      </c>
    </row>
    <row r="4751" spans="1:14">
      <c r="A4751">
        <f t="shared" si="974"/>
        <v>0</v>
      </c>
      <c r="B4751">
        <f t="shared" si="975"/>
        <v>0</v>
      </c>
      <c r="C4751">
        <f t="shared" si="976"/>
        <v>0</v>
      </c>
      <c r="D4751">
        <f t="shared" si="977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8"/>
        <v>0</v>
      </c>
      <c r="G4751">
        <f t="shared" si="979"/>
        <v>0</v>
      </c>
      <c r="H4751">
        <f t="shared" si="980"/>
        <v>0</v>
      </c>
      <c r="I4751">
        <f t="shared" si="981"/>
        <v>0</v>
      </c>
      <c r="J4751">
        <f t="shared" si="982"/>
        <v>0</v>
      </c>
      <c r="K4751" s="4" t="e">
        <f t="shared" si="970"/>
        <v>#N/A</v>
      </c>
      <c r="L4751" t="e">
        <f t="shared" si="971"/>
        <v>#N/A</v>
      </c>
      <c r="M4751" s="4" t="e">
        <f t="shared" si="972"/>
        <v>#N/A</v>
      </c>
      <c r="N4751" s="4" t="e">
        <f t="shared" si="973"/>
        <v>#N/A</v>
      </c>
    </row>
    <row r="4752" spans="1:14">
      <c r="A4752">
        <f t="shared" si="974"/>
        <v>0</v>
      </c>
      <c r="B4752">
        <f t="shared" si="975"/>
        <v>0</v>
      </c>
      <c r="C4752">
        <f t="shared" si="976"/>
        <v>0</v>
      </c>
      <c r="D4752">
        <f t="shared" si="977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8"/>
        <v>0</v>
      </c>
      <c r="G4752">
        <f t="shared" si="979"/>
        <v>0</v>
      </c>
      <c r="H4752">
        <f t="shared" si="980"/>
        <v>0</v>
      </c>
      <c r="I4752">
        <f t="shared" si="981"/>
        <v>0</v>
      </c>
      <c r="J4752">
        <f t="shared" si="982"/>
        <v>0</v>
      </c>
      <c r="K4752" s="4" t="e">
        <f t="shared" si="970"/>
        <v>#N/A</v>
      </c>
      <c r="L4752" t="e">
        <f t="shared" si="971"/>
        <v>#N/A</v>
      </c>
      <c r="M4752" s="4" t="e">
        <f t="shared" si="972"/>
        <v>#N/A</v>
      </c>
      <c r="N4752" s="4" t="e">
        <f t="shared" si="973"/>
        <v>#N/A</v>
      </c>
    </row>
    <row r="4753" spans="1:14">
      <c r="A4753">
        <f t="shared" si="974"/>
        <v>0</v>
      </c>
      <c r="B4753">
        <f t="shared" si="975"/>
        <v>0</v>
      </c>
      <c r="C4753">
        <f t="shared" si="976"/>
        <v>0</v>
      </c>
      <c r="D4753">
        <f t="shared" si="977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8"/>
        <v>0</v>
      </c>
      <c r="G4753">
        <f t="shared" si="979"/>
        <v>0</v>
      </c>
      <c r="H4753">
        <f t="shared" si="980"/>
        <v>0</v>
      </c>
      <c r="I4753">
        <f t="shared" si="981"/>
        <v>0</v>
      </c>
      <c r="J4753">
        <f t="shared" si="982"/>
        <v>0</v>
      </c>
      <c r="K4753" s="4" t="e">
        <f t="shared" si="970"/>
        <v>#N/A</v>
      </c>
      <c r="L4753" t="e">
        <f t="shared" si="971"/>
        <v>#N/A</v>
      </c>
      <c r="M4753" s="4" t="e">
        <f t="shared" si="972"/>
        <v>#N/A</v>
      </c>
      <c r="N4753" s="4" t="e">
        <f t="shared" si="973"/>
        <v>#N/A</v>
      </c>
    </row>
    <row r="4754" spans="1:14">
      <c r="A4754">
        <f t="shared" si="974"/>
        <v>0</v>
      </c>
      <c r="B4754">
        <f t="shared" si="975"/>
        <v>0</v>
      </c>
      <c r="C4754">
        <f t="shared" si="976"/>
        <v>0</v>
      </c>
      <c r="D4754">
        <f t="shared" si="977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8"/>
        <v>0</v>
      </c>
      <c r="G4754">
        <f t="shared" si="979"/>
        <v>0</v>
      </c>
      <c r="H4754">
        <f t="shared" si="980"/>
        <v>0</v>
      </c>
      <c r="I4754">
        <f t="shared" si="981"/>
        <v>0</v>
      </c>
      <c r="J4754">
        <f t="shared" si="982"/>
        <v>0</v>
      </c>
      <c r="K4754" s="4" t="e">
        <f t="shared" si="970"/>
        <v>#N/A</v>
      </c>
      <c r="L4754" t="e">
        <f t="shared" si="971"/>
        <v>#N/A</v>
      </c>
      <c r="M4754" s="4" t="e">
        <f t="shared" si="972"/>
        <v>#N/A</v>
      </c>
      <c r="N4754" s="4" t="e">
        <f t="shared" si="973"/>
        <v>#N/A</v>
      </c>
    </row>
    <row r="4755" spans="1:14">
      <c r="A4755">
        <f t="shared" si="974"/>
        <v>0</v>
      </c>
      <c r="B4755">
        <f t="shared" si="975"/>
        <v>0</v>
      </c>
      <c r="C4755">
        <f t="shared" si="976"/>
        <v>0</v>
      </c>
      <c r="D4755">
        <f t="shared" si="977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8"/>
        <v>0</v>
      </c>
      <c r="G4755">
        <f t="shared" si="979"/>
        <v>0</v>
      </c>
      <c r="H4755">
        <f t="shared" si="980"/>
        <v>0</v>
      </c>
      <c r="I4755">
        <f t="shared" si="981"/>
        <v>0</v>
      </c>
      <c r="J4755">
        <f t="shared" si="982"/>
        <v>0</v>
      </c>
      <c r="K4755" s="4" t="e">
        <f t="shared" si="970"/>
        <v>#N/A</v>
      </c>
      <c r="L4755" t="e">
        <f t="shared" si="971"/>
        <v>#N/A</v>
      </c>
      <c r="M4755" s="4" t="e">
        <f t="shared" si="972"/>
        <v>#N/A</v>
      </c>
      <c r="N4755" s="4" t="e">
        <f t="shared" si="973"/>
        <v>#N/A</v>
      </c>
    </row>
    <row r="4756" spans="1:14">
      <c r="A4756">
        <f t="shared" si="974"/>
        <v>0</v>
      </c>
      <c r="B4756">
        <f t="shared" si="975"/>
        <v>0</v>
      </c>
      <c r="C4756">
        <f t="shared" si="976"/>
        <v>0</v>
      </c>
      <c r="D4756">
        <f t="shared" si="977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8"/>
        <v>0</v>
      </c>
      <c r="G4756">
        <f t="shared" si="979"/>
        <v>0</v>
      </c>
      <c r="H4756">
        <f t="shared" si="980"/>
        <v>0</v>
      </c>
      <c r="I4756">
        <f t="shared" si="981"/>
        <v>0</v>
      </c>
      <c r="J4756">
        <f t="shared" si="982"/>
        <v>0</v>
      </c>
      <c r="K4756" s="4" t="e">
        <f t="shared" si="970"/>
        <v>#N/A</v>
      </c>
      <c r="L4756" t="e">
        <f t="shared" si="971"/>
        <v>#N/A</v>
      </c>
      <c r="M4756" s="4" t="e">
        <f t="shared" si="972"/>
        <v>#N/A</v>
      </c>
      <c r="N4756" s="4" t="e">
        <f t="shared" si="973"/>
        <v>#N/A</v>
      </c>
    </row>
    <row r="4757" spans="1:14">
      <c r="A4757">
        <f t="shared" si="974"/>
        <v>0</v>
      </c>
      <c r="B4757">
        <f t="shared" si="975"/>
        <v>0</v>
      </c>
      <c r="C4757">
        <f t="shared" si="976"/>
        <v>0</v>
      </c>
      <c r="D4757">
        <f t="shared" si="977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8"/>
        <v>0</v>
      </c>
      <c r="G4757">
        <f t="shared" si="979"/>
        <v>0</v>
      </c>
      <c r="H4757">
        <f t="shared" si="980"/>
        <v>0</v>
      </c>
      <c r="I4757">
        <f t="shared" si="981"/>
        <v>0</v>
      </c>
      <c r="J4757">
        <f t="shared" si="982"/>
        <v>0</v>
      </c>
      <c r="K4757" s="4" t="e">
        <f t="shared" si="970"/>
        <v>#N/A</v>
      </c>
      <c r="L4757" t="e">
        <f t="shared" si="971"/>
        <v>#N/A</v>
      </c>
      <c r="M4757" s="4" t="e">
        <f t="shared" si="972"/>
        <v>#N/A</v>
      </c>
      <c r="N4757" s="4" t="e">
        <f t="shared" si="973"/>
        <v>#N/A</v>
      </c>
    </row>
    <row r="4758" spans="1:14">
      <c r="A4758">
        <f t="shared" si="974"/>
        <v>0</v>
      </c>
      <c r="B4758">
        <f t="shared" si="975"/>
        <v>0</v>
      </c>
      <c r="C4758">
        <f t="shared" si="976"/>
        <v>0</v>
      </c>
      <c r="D4758">
        <f t="shared" si="977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8"/>
        <v>0</v>
      </c>
      <c r="G4758">
        <f t="shared" si="979"/>
        <v>0</v>
      </c>
      <c r="H4758">
        <f t="shared" si="980"/>
        <v>0</v>
      </c>
      <c r="I4758">
        <f t="shared" si="981"/>
        <v>0</v>
      </c>
      <c r="J4758">
        <f t="shared" si="982"/>
        <v>0</v>
      </c>
      <c r="K4758" s="4" t="e">
        <f t="shared" si="970"/>
        <v>#N/A</v>
      </c>
      <c r="L4758" t="e">
        <f t="shared" si="971"/>
        <v>#N/A</v>
      </c>
      <c r="M4758" s="4" t="e">
        <f t="shared" si="972"/>
        <v>#N/A</v>
      </c>
      <c r="N4758" s="4" t="e">
        <f t="shared" si="973"/>
        <v>#N/A</v>
      </c>
    </row>
    <row r="4759" spans="1:14">
      <c r="A4759">
        <f t="shared" si="974"/>
        <v>0</v>
      </c>
      <c r="B4759">
        <f t="shared" si="975"/>
        <v>0</v>
      </c>
      <c r="C4759">
        <f t="shared" si="976"/>
        <v>0</v>
      </c>
      <c r="D4759">
        <f t="shared" si="977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8"/>
        <v>0</v>
      </c>
      <c r="G4759">
        <f t="shared" si="979"/>
        <v>0</v>
      </c>
      <c r="H4759">
        <f t="shared" si="980"/>
        <v>0</v>
      </c>
      <c r="I4759">
        <f t="shared" si="981"/>
        <v>0</v>
      </c>
      <c r="J4759">
        <f t="shared" si="982"/>
        <v>0</v>
      </c>
      <c r="K4759" s="4" t="e">
        <f t="shared" si="970"/>
        <v>#N/A</v>
      </c>
      <c r="L4759" t="e">
        <f t="shared" si="971"/>
        <v>#N/A</v>
      </c>
      <c r="M4759" s="4" t="e">
        <f t="shared" si="972"/>
        <v>#N/A</v>
      </c>
      <c r="N4759" s="4" t="e">
        <f t="shared" si="973"/>
        <v>#N/A</v>
      </c>
    </row>
    <row r="4760" spans="1:14">
      <c r="A4760">
        <f t="shared" si="974"/>
        <v>0</v>
      </c>
      <c r="B4760">
        <f t="shared" si="975"/>
        <v>0</v>
      </c>
      <c r="C4760">
        <f t="shared" si="976"/>
        <v>0</v>
      </c>
      <c r="D4760">
        <f t="shared" si="977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8"/>
        <v>0</v>
      </c>
      <c r="G4760">
        <f t="shared" si="979"/>
        <v>0</v>
      </c>
      <c r="H4760">
        <f t="shared" si="980"/>
        <v>0</v>
      </c>
      <c r="I4760">
        <f t="shared" si="981"/>
        <v>0</v>
      </c>
      <c r="J4760">
        <f t="shared" si="982"/>
        <v>0</v>
      </c>
      <c r="K4760" s="4" t="e">
        <f t="shared" si="970"/>
        <v>#N/A</v>
      </c>
      <c r="L4760" t="e">
        <f t="shared" si="971"/>
        <v>#N/A</v>
      </c>
      <c r="M4760" s="4" t="e">
        <f t="shared" si="972"/>
        <v>#N/A</v>
      </c>
      <c r="N4760" s="4" t="e">
        <f t="shared" si="973"/>
        <v>#N/A</v>
      </c>
    </row>
    <row r="4761" spans="1:14">
      <c r="A4761">
        <f t="shared" si="974"/>
        <v>0</v>
      </c>
      <c r="B4761">
        <f t="shared" si="975"/>
        <v>0</v>
      </c>
      <c r="C4761">
        <f t="shared" si="976"/>
        <v>0</v>
      </c>
      <c r="D4761">
        <f t="shared" si="977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8"/>
        <v>0</v>
      </c>
      <c r="G4761">
        <f t="shared" si="979"/>
        <v>0</v>
      </c>
      <c r="H4761">
        <f t="shared" si="980"/>
        <v>0</v>
      </c>
      <c r="I4761">
        <f t="shared" si="981"/>
        <v>0</v>
      </c>
      <c r="J4761">
        <f t="shared" si="982"/>
        <v>0</v>
      </c>
      <c r="K4761" s="4" t="e">
        <f t="shared" si="970"/>
        <v>#N/A</v>
      </c>
      <c r="L4761" t="e">
        <f t="shared" si="971"/>
        <v>#N/A</v>
      </c>
      <c r="M4761" s="4" t="e">
        <f t="shared" si="972"/>
        <v>#N/A</v>
      </c>
      <c r="N4761" s="4" t="e">
        <f t="shared" si="973"/>
        <v>#N/A</v>
      </c>
    </row>
    <row r="4762" spans="1:14">
      <c r="A4762">
        <f t="shared" si="974"/>
        <v>0</v>
      </c>
      <c r="B4762">
        <f t="shared" si="975"/>
        <v>0</v>
      </c>
      <c r="C4762">
        <f t="shared" si="976"/>
        <v>0</v>
      </c>
      <c r="D4762">
        <f t="shared" si="977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8"/>
        <v>0</v>
      </c>
      <c r="G4762">
        <f t="shared" si="979"/>
        <v>0</v>
      </c>
      <c r="H4762">
        <f t="shared" si="980"/>
        <v>0</v>
      </c>
      <c r="I4762">
        <f t="shared" si="981"/>
        <v>0</v>
      </c>
      <c r="J4762">
        <f t="shared" si="982"/>
        <v>0</v>
      </c>
      <c r="K4762" s="4" t="e">
        <f t="shared" si="970"/>
        <v>#N/A</v>
      </c>
      <c r="L4762" t="e">
        <f t="shared" si="971"/>
        <v>#N/A</v>
      </c>
      <c r="M4762" s="4" t="e">
        <f t="shared" si="972"/>
        <v>#N/A</v>
      </c>
      <c r="N4762" s="4" t="e">
        <f t="shared" si="973"/>
        <v>#N/A</v>
      </c>
    </row>
    <row r="4763" spans="1:14">
      <c r="A4763">
        <f t="shared" si="974"/>
        <v>0</v>
      </c>
      <c r="B4763">
        <f t="shared" si="975"/>
        <v>0</v>
      </c>
      <c r="C4763">
        <f t="shared" si="976"/>
        <v>0</v>
      </c>
      <c r="D4763">
        <f t="shared" si="977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8"/>
        <v>0</v>
      </c>
      <c r="G4763">
        <f t="shared" si="979"/>
        <v>0</v>
      </c>
      <c r="H4763">
        <f t="shared" si="980"/>
        <v>0</v>
      </c>
      <c r="I4763">
        <f t="shared" si="981"/>
        <v>0</v>
      </c>
      <c r="J4763">
        <f t="shared" si="982"/>
        <v>0</v>
      </c>
      <c r="K4763" s="4" t="e">
        <f t="shared" si="970"/>
        <v>#N/A</v>
      </c>
      <c r="L4763" t="e">
        <f t="shared" si="971"/>
        <v>#N/A</v>
      </c>
      <c r="M4763" s="4" t="e">
        <f t="shared" si="972"/>
        <v>#N/A</v>
      </c>
      <c r="N4763" s="4" t="e">
        <f t="shared" si="973"/>
        <v>#N/A</v>
      </c>
    </row>
    <row r="4764" spans="1:14">
      <c r="A4764">
        <f t="shared" si="974"/>
        <v>0</v>
      </c>
      <c r="B4764">
        <f t="shared" si="975"/>
        <v>0</v>
      </c>
      <c r="C4764">
        <f t="shared" si="976"/>
        <v>0</v>
      </c>
      <c r="D4764">
        <f t="shared" si="977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8"/>
        <v>0</v>
      </c>
      <c r="G4764">
        <f t="shared" si="979"/>
        <v>0</v>
      </c>
      <c r="H4764">
        <f t="shared" si="980"/>
        <v>0</v>
      </c>
      <c r="I4764">
        <f t="shared" si="981"/>
        <v>0</v>
      </c>
      <c r="J4764">
        <f t="shared" si="982"/>
        <v>0</v>
      </c>
      <c r="K4764" s="4" t="e">
        <f t="shared" si="970"/>
        <v>#N/A</v>
      </c>
      <c r="L4764" t="e">
        <f t="shared" si="971"/>
        <v>#N/A</v>
      </c>
      <c r="M4764" s="4" t="e">
        <f t="shared" si="972"/>
        <v>#N/A</v>
      </c>
      <c r="N4764" s="4" t="e">
        <f t="shared" si="973"/>
        <v>#N/A</v>
      </c>
    </row>
    <row r="4765" spans="1:14">
      <c r="A4765">
        <f t="shared" si="974"/>
        <v>0</v>
      </c>
      <c r="B4765">
        <f t="shared" si="975"/>
        <v>0</v>
      </c>
      <c r="C4765">
        <f t="shared" si="976"/>
        <v>0</v>
      </c>
      <c r="D4765">
        <f t="shared" si="977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8"/>
        <v>0</v>
      </c>
      <c r="G4765">
        <f t="shared" si="979"/>
        <v>0</v>
      </c>
      <c r="H4765">
        <f t="shared" si="980"/>
        <v>0</v>
      </c>
      <c r="I4765">
        <f t="shared" si="981"/>
        <v>0</v>
      </c>
      <c r="J4765">
        <f t="shared" si="982"/>
        <v>0</v>
      </c>
      <c r="K4765" s="4" t="e">
        <f t="shared" si="970"/>
        <v>#N/A</v>
      </c>
      <c r="L4765" t="e">
        <f t="shared" si="971"/>
        <v>#N/A</v>
      </c>
      <c r="M4765" s="4" t="e">
        <f t="shared" si="972"/>
        <v>#N/A</v>
      </c>
      <c r="N4765" s="4" t="e">
        <f t="shared" si="973"/>
        <v>#N/A</v>
      </c>
    </row>
    <row r="4766" spans="1:14">
      <c r="A4766">
        <f t="shared" si="974"/>
        <v>0</v>
      </c>
      <c r="B4766">
        <f t="shared" si="975"/>
        <v>0</v>
      </c>
      <c r="C4766">
        <f t="shared" si="976"/>
        <v>0</v>
      </c>
      <c r="D4766">
        <f t="shared" si="977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8"/>
        <v>0</v>
      </c>
      <c r="G4766">
        <f t="shared" si="979"/>
        <v>0</v>
      </c>
      <c r="H4766">
        <f t="shared" si="980"/>
        <v>0</v>
      </c>
      <c r="I4766">
        <f t="shared" si="981"/>
        <v>0</v>
      </c>
      <c r="J4766">
        <f t="shared" si="982"/>
        <v>0</v>
      </c>
      <c r="K4766" s="4" t="e">
        <f t="shared" si="970"/>
        <v>#N/A</v>
      </c>
      <c r="L4766" t="e">
        <f t="shared" si="971"/>
        <v>#N/A</v>
      </c>
      <c r="M4766" s="4" t="e">
        <f t="shared" si="972"/>
        <v>#N/A</v>
      </c>
      <c r="N4766" s="4" t="e">
        <f t="shared" si="973"/>
        <v>#N/A</v>
      </c>
    </row>
    <row r="4767" spans="1:14">
      <c r="A4767">
        <f t="shared" si="974"/>
        <v>0</v>
      </c>
      <c r="B4767">
        <f t="shared" si="975"/>
        <v>0</v>
      </c>
      <c r="C4767">
        <f t="shared" si="976"/>
        <v>0</v>
      </c>
      <c r="D4767">
        <f t="shared" si="977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8"/>
        <v>0</v>
      </c>
      <c r="G4767">
        <f t="shared" si="979"/>
        <v>0</v>
      </c>
      <c r="H4767">
        <f t="shared" si="980"/>
        <v>0</v>
      </c>
      <c r="I4767">
        <f t="shared" si="981"/>
        <v>0</v>
      </c>
      <c r="J4767">
        <f t="shared" si="982"/>
        <v>0</v>
      </c>
      <c r="K4767" s="4" t="e">
        <f t="shared" si="970"/>
        <v>#N/A</v>
      </c>
      <c r="L4767" t="e">
        <f t="shared" si="971"/>
        <v>#N/A</v>
      </c>
      <c r="M4767" s="4" t="e">
        <f t="shared" si="972"/>
        <v>#N/A</v>
      </c>
      <c r="N4767" s="4" t="e">
        <f t="shared" si="973"/>
        <v>#N/A</v>
      </c>
    </row>
    <row r="4768" spans="1:14">
      <c r="A4768">
        <f t="shared" si="974"/>
        <v>0</v>
      </c>
      <c r="B4768">
        <f t="shared" si="975"/>
        <v>0</v>
      </c>
      <c r="C4768">
        <f t="shared" si="976"/>
        <v>0</v>
      </c>
      <c r="D4768">
        <f t="shared" si="977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8"/>
        <v>0</v>
      </c>
      <c r="G4768">
        <f t="shared" si="979"/>
        <v>0</v>
      </c>
      <c r="H4768">
        <f t="shared" si="980"/>
        <v>0</v>
      </c>
      <c r="I4768">
        <f t="shared" si="981"/>
        <v>0</v>
      </c>
      <c r="J4768">
        <f t="shared" si="982"/>
        <v>0</v>
      </c>
      <c r="K4768" s="4" t="e">
        <f t="shared" si="970"/>
        <v>#N/A</v>
      </c>
      <c r="L4768" t="e">
        <f t="shared" si="971"/>
        <v>#N/A</v>
      </c>
      <c r="M4768" s="4" t="e">
        <f t="shared" si="972"/>
        <v>#N/A</v>
      </c>
      <c r="N4768" s="4" t="e">
        <f t="shared" si="973"/>
        <v>#N/A</v>
      </c>
    </row>
    <row r="4769" spans="1:14">
      <c r="A4769">
        <f t="shared" si="974"/>
        <v>0</v>
      </c>
      <c r="B4769">
        <f t="shared" si="975"/>
        <v>0</v>
      </c>
      <c r="C4769">
        <f t="shared" si="976"/>
        <v>0</v>
      </c>
      <c r="D4769">
        <f t="shared" si="977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8"/>
        <v>0</v>
      </c>
      <c r="G4769">
        <f t="shared" si="979"/>
        <v>0</v>
      </c>
      <c r="H4769">
        <f t="shared" si="980"/>
        <v>0</v>
      </c>
      <c r="I4769">
        <f t="shared" si="981"/>
        <v>0</v>
      </c>
      <c r="J4769">
        <f t="shared" si="982"/>
        <v>0</v>
      </c>
      <c r="K4769" s="4" t="e">
        <f t="shared" si="970"/>
        <v>#N/A</v>
      </c>
      <c r="L4769" t="e">
        <f t="shared" si="971"/>
        <v>#N/A</v>
      </c>
      <c r="M4769" s="4" t="e">
        <f t="shared" si="972"/>
        <v>#N/A</v>
      </c>
      <c r="N4769" s="4" t="e">
        <f t="shared" si="973"/>
        <v>#N/A</v>
      </c>
    </row>
    <row r="4770" spans="1:14">
      <c r="A4770">
        <f t="shared" si="974"/>
        <v>0</v>
      </c>
      <c r="B4770">
        <f t="shared" si="975"/>
        <v>0</v>
      </c>
      <c r="C4770">
        <f t="shared" si="976"/>
        <v>0</v>
      </c>
      <c r="D4770">
        <f t="shared" si="977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8"/>
        <v>0</v>
      </c>
      <c r="G4770">
        <f t="shared" si="979"/>
        <v>0</v>
      </c>
      <c r="H4770">
        <f t="shared" si="980"/>
        <v>0</v>
      </c>
      <c r="I4770">
        <f t="shared" si="981"/>
        <v>0</v>
      </c>
      <c r="J4770">
        <f t="shared" si="982"/>
        <v>0</v>
      </c>
      <c r="K4770" s="4" t="e">
        <f t="shared" si="970"/>
        <v>#N/A</v>
      </c>
      <c r="L4770" t="e">
        <f t="shared" si="971"/>
        <v>#N/A</v>
      </c>
      <c r="M4770" s="4" t="e">
        <f t="shared" si="972"/>
        <v>#N/A</v>
      </c>
      <c r="N4770" s="4" t="e">
        <f t="shared" si="973"/>
        <v>#N/A</v>
      </c>
    </row>
    <row r="4771" spans="1:14">
      <c r="A4771">
        <f t="shared" si="974"/>
        <v>0</v>
      </c>
      <c r="B4771">
        <f t="shared" si="975"/>
        <v>0</v>
      </c>
      <c r="C4771">
        <f t="shared" si="976"/>
        <v>0</v>
      </c>
      <c r="D4771">
        <f t="shared" si="977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8"/>
        <v>0</v>
      </c>
      <c r="G4771">
        <f t="shared" si="979"/>
        <v>0</v>
      </c>
      <c r="H4771">
        <f t="shared" si="980"/>
        <v>0</v>
      </c>
      <c r="I4771">
        <f t="shared" si="981"/>
        <v>0</v>
      </c>
      <c r="J4771">
        <f t="shared" si="982"/>
        <v>0</v>
      </c>
      <c r="K4771" s="4" t="e">
        <f t="shared" si="970"/>
        <v>#N/A</v>
      </c>
      <c r="L4771" t="e">
        <f t="shared" si="971"/>
        <v>#N/A</v>
      </c>
      <c r="M4771" s="4" t="e">
        <f t="shared" si="972"/>
        <v>#N/A</v>
      </c>
      <c r="N4771" s="4" t="e">
        <f t="shared" si="973"/>
        <v>#N/A</v>
      </c>
    </row>
    <row r="4772" spans="1:14">
      <c r="A4772">
        <f t="shared" si="974"/>
        <v>0</v>
      </c>
      <c r="B4772">
        <f t="shared" si="975"/>
        <v>0</v>
      </c>
      <c r="C4772">
        <f t="shared" si="976"/>
        <v>0</v>
      </c>
      <c r="D4772">
        <f t="shared" si="977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8"/>
        <v>0</v>
      </c>
      <c r="G4772">
        <f t="shared" si="979"/>
        <v>0</v>
      </c>
      <c r="H4772">
        <f t="shared" si="980"/>
        <v>0</v>
      </c>
      <c r="I4772">
        <f t="shared" si="981"/>
        <v>0</v>
      </c>
      <c r="J4772">
        <f t="shared" si="982"/>
        <v>0</v>
      </c>
      <c r="K4772" s="4" t="e">
        <f t="shared" si="970"/>
        <v>#N/A</v>
      </c>
      <c r="L4772" t="e">
        <f t="shared" si="971"/>
        <v>#N/A</v>
      </c>
      <c r="M4772" s="4" t="e">
        <f t="shared" si="972"/>
        <v>#N/A</v>
      </c>
      <c r="N4772" s="4" t="e">
        <f t="shared" si="973"/>
        <v>#N/A</v>
      </c>
    </row>
    <row r="4773" spans="1:14">
      <c r="A4773">
        <f t="shared" si="974"/>
        <v>0</v>
      </c>
      <c r="B4773">
        <f t="shared" si="975"/>
        <v>0</v>
      </c>
      <c r="C4773">
        <f t="shared" si="976"/>
        <v>0</v>
      </c>
      <c r="D4773">
        <f t="shared" si="977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8"/>
        <v>0</v>
      </c>
      <c r="G4773">
        <f t="shared" si="979"/>
        <v>0</v>
      </c>
      <c r="H4773">
        <f t="shared" si="980"/>
        <v>0</v>
      </c>
      <c r="I4773">
        <f t="shared" si="981"/>
        <v>0</v>
      </c>
      <c r="J4773">
        <f t="shared" si="982"/>
        <v>0</v>
      </c>
      <c r="K4773" s="4" t="e">
        <f t="shared" si="970"/>
        <v>#N/A</v>
      </c>
      <c r="L4773" t="e">
        <f t="shared" si="971"/>
        <v>#N/A</v>
      </c>
      <c r="M4773" s="4" t="e">
        <f t="shared" si="972"/>
        <v>#N/A</v>
      </c>
      <c r="N4773" s="4" t="e">
        <f t="shared" si="973"/>
        <v>#N/A</v>
      </c>
    </row>
    <row r="4774" spans="1:14">
      <c r="A4774">
        <f t="shared" si="974"/>
        <v>0</v>
      </c>
      <c r="B4774">
        <f t="shared" si="975"/>
        <v>0</v>
      </c>
      <c r="C4774">
        <f t="shared" si="976"/>
        <v>0</v>
      </c>
      <c r="D4774">
        <f t="shared" si="977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8"/>
        <v>0</v>
      </c>
      <c r="G4774">
        <f t="shared" si="979"/>
        <v>0</v>
      </c>
      <c r="H4774">
        <f t="shared" si="980"/>
        <v>0</v>
      </c>
      <c r="I4774">
        <f t="shared" si="981"/>
        <v>0</v>
      </c>
      <c r="J4774">
        <f t="shared" si="982"/>
        <v>0</v>
      </c>
      <c r="K4774" s="4" t="e">
        <f t="shared" si="970"/>
        <v>#N/A</v>
      </c>
      <c r="L4774" t="e">
        <f t="shared" si="971"/>
        <v>#N/A</v>
      </c>
      <c r="M4774" s="4" t="e">
        <f t="shared" si="972"/>
        <v>#N/A</v>
      </c>
      <c r="N4774" s="4" t="e">
        <f t="shared" si="973"/>
        <v>#N/A</v>
      </c>
    </row>
    <row r="4775" spans="1:14">
      <c r="A4775">
        <f t="shared" si="974"/>
        <v>0</v>
      </c>
      <c r="B4775">
        <f t="shared" si="975"/>
        <v>0</v>
      </c>
      <c r="C4775">
        <f t="shared" si="976"/>
        <v>0</v>
      </c>
      <c r="D4775">
        <f t="shared" si="977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8"/>
        <v>0</v>
      </c>
      <c r="G4775">
        <f t="shared" si="979"/>
        <v>0</v>
      </c>
      <c r="H4775">
        <f t="shared" si="980"/>
        <v>0</v>
      </c>
      <c r="I4775">
        <f t="shared" si="981"/>
        <v>0</v>
      </c>
      <c r="J4775">
        <f t="shared" si="982"/>
        <v>0</v>
      </c>
      <c r="K4775" s="4" t="e">
        <f t="shared" si="970"/>
        <v>#N/A</v>
      </c>
      <c r="L4775" t="e">
        <f t="shared" si="971"/>
        <v>#N/A</v>
      </c>
      <c r="M4775" s="4" t="e">
        <f t="shared" si="972"/>
        <v>#N/A</v>
      </c>
      <c r="N4775" s="4" t="e">
        <f t="shared" si="973"/>
        <v>#N/A</v>
      </c>
    </row>
    <row r="4776" spans="1:14">
      <c r="A4776">
        <f t="shared" si="974"/>
        <v>0</v>
      </c>
      <c r="B4776">
        <f t="shared" si="975"/>
        <v>0</v>
      </c>
      <c r="C4776">
        <f t="shared" si="976"/>
        <v>0</v>
      </c>
      <c r="D4776">
        <f t="shared" si="977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8"/>
        <v>0</v>
      </c>
      <c r="G4776">
        <f t="shared" si="979"/>
        <v>0</v>
      </c>
      <c r="H4776">
        <f t="shared" si="980"/>
        <v>0</v>
      </c>
      <c r="I4776">
        <f t="shared" si="981"/>
        <v>0</v>
      </c>
      <c r="J4776">
        <f t="shared" si="982"/>
        <v>0</v>
      </c>
      <c r="K4776" s="4" t="e">
        <f t="shared" si="970"/>
        <v>#N/A</v>
      </c>
      <c r="L4776" t="e">
        <f t="shared" si="971"/>
        <v>#N/A</v>
      </c>
      <c r="M4776" s="4" t="e">
        <f t="shared" si="972"/>
        <v>#N/A</v>
      </c>
      <c r="N4776" s="4" t="e">
        <f t="shared" si="973"/>
        <v>#N/A</v>
      </c>
    </row>
    <row r="4777" spans="1:14">
      <c r="A4777">
        <f t="shared" si="974"/>
        <v>0</v>
      </c>
      <c r="B4777">
        <f t="shared" si="975"/>
        <v>0</v>
      </c>
      <c r="C4777">
        <f t="shared" si="976"/>
        <v>0</v>
      </c>
      <c r="D4777">
        <f t="shared" si="977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8"/>
        <v>0</v>
      </c>
      <c r="G4777">
        <f t="shared" si="979"/>
        <v>0</v>
      </c>
      <c r="H4777">
        <f t="shared" si="980"/>
        <v>0</v>
      </c>
      <c r="I4777">
        <f t="shared" si="981"/>
        <v>0</v>
      </c>
      <c r="J4777">
        <f t="shared" si="982"/>
        <v>0</v>
      </c>
      <c r="K4777" s="4" t="e">
        <f t="shared" si="970"/>
        <v>#N/A</v>
      </c>
      <c r="L4777" t="e">
        <f t="shared" si="971"/>
        <v>#N/A</v>
      </c>
      <c r="M4777" s="4" t="e">
        <f t="shared" si="972"/>
        <v>#N/A</v>
      </c>
      <c r="N4777" s="4" t="e">
        <f t="shared" si="973"/>
        <v>#N/A</v>
      </c>
    </row>
    <row r="4778" spans="1:14">
      <c r="A4778">
        <f t="shared" si="974"/>
        <v>0</v>
      </c>
      <c r="B4778">
        <f t="shared" si="975"/>
        <v>0</v>
      </c>
      <c r="C4778">
        <f t="shared" si="976"/>
        <v>0</v>
      </c>
      <c r="D4778">
        <f t="shared" si="977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8"/>
        <v>0</v>
      </c>
      <c r="G4778">
        <f t="shared" si="979"/>
        <v>0</v>
      </c>
      <c r="H4778">
        <f t="shared" si="980"/>
        <v>0</v>
      </c>
      <c r="I4778">
        <f t="shared" si="981"/>
        <v>0</v>
      </c>
      <c r="J4778">
        <f t="shared" si="982"/>
        <v>0</v>
      </c>
      <c r="K4778" s="4" t="e">
        <f t="shared" si="970"/>
        <v>#N/A</v>
      </c>
      <c r="L4778" t="e">
        <f t="shared" si="971"/>
        <v>#N/A</v>
      </c>
      <c r="M4778" s="4" t="e">
        <f t="shared" si="972"/>
        <v>#N/A</v>
      </c>
      <c r="N4778" s="4" t="e">
        <f t="shared" si="973"/>
        <v>#N/A</v>
      </c>
    </row>
    <row r="4779" spans="1:14">
      <c r="A4779">
        <f t="shared" si="974"/>
        <v>0</v>
      </c>
      <c r="B4779">
        <f t="shared" si="975"/>
        <v>0</v>
      </c>
      <c r="C4779">
        <f t="shared" si="976"/>
        <v>0</v>
      </c>
      <c r="D4779">
        <f t="shared" si="977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8"/>
        <v>0</v>
      </c>
      <c r="G4779">
        <f t="shared" si="979"/>
        <v>0</v>
      </c>
      <c r="H4779">
        <f t="shared" si="980"/>
        <v>0</v>
      </c>
      <c r="I4779">
        <f t="shared" si="981"/>
        <v>0</v>
      </c>
      <c r="J4779">
        <f t="shared" si="982"/>
        <v>0</v>
      </c>
      <c r="K4779" s="4" t="e">
        <f t="shared" si="970"/>
        <v>#N/A</v>
      </c>
      <c r="L4779" t="e">
        <f t="shared" si="971"/>
        <v>#N/A</v>
      </c>
      <c r="M4779" s="4" t="e">
        <f t="shared" si="972"/>
        <v>#N/A</v>
      </c>
      <c r="N4779" s="4" t="e">
        <f t="shared" si="973"/>
        <v>#N/A</v>
      </c>
    </row>
    <row r="4780" spans="1:14">
      <c r="A4780">
        <f t="shared" si="974"/>
        <v>0</v>
      </c>
      <c r="B4780">
        <f t="shared" si="975"/>
        <v>0</v>
      </c>
      <c r="C4780">
        <f t="shared" si="976"/>
        <v>0</v>
      </c>
      <c r="D4780">
        <f t="shared" si="977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8"/>
        <v>0</v>
      </c>
      <c r="G4780">
        <f t="shared" si="979"/>
        <v>0</v>
      </c>
      <c r="H4780">
        <f t="shared" si="980"/>
        <v>0</v>
      </c>
      <c r="I4780">
        <f t="shared" si="981"/>
        <v>0</v>
      </c>
      <c r="J4780">
        <f t="shared" si="982"/>
        <v>0</v>
      </c>
      <c r="K4780" s="4" t="e">
        <f t="shared" si="970"/>
        <v>#N/A</v>
      </c>
      <c r="L4780" t="e">
        <f t="shared" si="971"/>
        <v>#N/A</v>
      </c>
      <c r="M4780" s="4" t="e">
        <f t="shared" si="972"/>
        <v>#N/A</v>
      </c>
      <c r="N4780" s="4" t="e">
        <f t="shared" si="973"/>
        <v>#N/A</v>
      </c>
    </row>
    <row r="4781" spans="1:14">
      <c r="A4781">
        <f t="shared" si="974"/>
        <v>0</v>
      </c>
      <c r="B4781">
        <f t="shared" si="975"/>
        <v>0</v>
      </c>
      <c r="C4781">
        <f t="shared" si="976"/>
        <v>0</v>
      </c>
      <c r="D4781">
        <f t="shared" si="977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8"/>
        <v>0</v>
      </c>
      <c r="G4781">
        <f t="shared" si="979"/>
        <v>0</v>
      </c>
      <c r="H4781">
        <f t="shared" si="980"/>
        <v>0</v>
      </c>
      <c r="I4781">
        <f t="shared" si="981"/>
        <v>0</v>
      </c>
      <c r="J4781">
        <f t="shared" si="982"/>
        <v>0</v>
      </c>
      <c r="K4781" s="4" t="e">
        <f t="shared" si="970"/>
        <v>#N/A</v>
      </c>
      <c r="L4781" t="e">
        <f t="shared" si="971"/>
        <v>#N/A</v>
      </c>
      <c r="M4781" s="4" t="e">
        <f t="shared" si="972"/>
        <v>#N/A</v>
      </c>
      <c r="N4781" s="4" t="e">
        <f t="shared" si="973"/>
        <v>#N/A</v>
      </c>
    </row>
    <row r="4782" spans="1:14">
      <c r="A4782">
        <f t="shared" si="974"/>
        <v>0</v>
      </c>
      <c r="B4782">
        <f t="shared" si="975"/>
        <v>0</v>
      </c>
      <c r="C4782">
        <f t="shared" si="976"/>
        <v>0</v>
      </c>
      <c r="D4782">
        <f t="shared" si="977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8"/>
        <v>0</v>
      </c>
      <c r="G4782">
        <f t="shared" si="979"/>
        <v>0</v>
      </c>
      <c r="H4782">
        <f t="shared" si="980"/>
        <v>0</v>
      </c>
      <c r="I4782">
        <f t="shared" si="981"/>
        <v>0</v>
      </c>
      <c r="J4782">
        <f t="shared" si="982"/>
        <v>0</v>
      </c>
      <c r="K4782" s="4" t="e">
        <f t="shared" si="970"/>
        <v>#N/A</v>
      </c>
      <c r="L4782" t="e">
        <f t="shared" si="971"/>
        <v>#N/A</v>
      </c>
      <c r="M4782" s="4" t="e">
        <f t="shared" si="972"/>
        <v>#N/A</v>
      </c>
      <c r="N4782" s="4" t="e">
        <f t="shared" si="973"/>
        <v>#N/A</v>
      </c>
    </row>
    <row r="4783" spans="1:14">
      <c r="A4783">
        <f t="shared" si="974"/>
        <v>0</v>
      </c>
      <c r="B4783">
        <f t="shared" si="975"/>
        <v>0</v>
      </c>
      <c r="C4783">
        <f t="shared" si="976"/>
        <v>0</v>
      </c>
      <c r="D4783">
        <f t="shared" si="977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8"/>
        <v>0</v>
      </c>
      <c r="G4783">
        <f t="shared" si="979"/>
        <v>0</v>
      </c>
      <c r="H4783">
        <f t="shared" si="980"/>
        <v>0</v>
      </c>
      <c r="I4783">
        <f t="shared" si="981"/>
        <v>0</v>
      </c>
      <c r="J4783">
        <f t="shared" si="982"/>
        <v>0</v>
      </c>
      <c r="K4783" s="4" t="e">
        <f t="shared" si="970"/>
        <v>#N/A</v>
      </c>
      <c r="L4783" t="e">
        <f t="shared" si="971"/>
        <v>#N/A</v>
      </c>
      <c r="M4783" s="4" t="e">
        <f t="shared" si="972"/>
        <v>#N/A</v>
      </c>
      <c r="N4783" s="4" t="e">
        <f t="shared" si="973"/>
        <v>#N/A</v>
      </c>
    </row>
    <row r="4784" spans="1:14">
      <c r="A4784">
        <f t="shared" si="974"/>
        <v>0</v>
      </c>
      <c r="B4784">
        <f t="shared" si="975"/>
        <v>0</v>
      </c>
      <c r="C4784">
        <f t="shared" si="976"/>
        <v>0</v>
      </c>
      <c r="D4784">
        <f t="shared" si="977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8"/>
        <v>0</v>
      </c>
      <c r="G4784">
        <f t="shared" si="979"/>
        <v>0</v>
      </c>
      <c r="H4784">
        <f t="shared" si="980"/>
        <v>0</v>
      </c>
      <c r="I4784">
        <f t="shared" si="981"/>
        <v>0</v>
      </c>
      <c r="J4784">
        <f t="shared" si="982"/>
        <v>0</v>
      </c>
      <c r="K4784" s="4" t="e">
        <f t="shared" si="970"/>
        <v>#N/A</v>
      </c>
      <c r="L4784" t="e">
        <f t="shared" si="971"/>
        <v>#N/A</v>
      </c>
      <c r="M4784" s="4" t="e">
        <f t="shared" si="972"/>
        <v>#N/A</v>
      </c>
      <c r="N4784" s="4" t="e">
        <f t="shared" si="973"/>
        <v>#N/A</v>
      </c>
    </row>
    <row r="4785" spans="1:14">
      <c r="A4785">
        <f t="shared" si="974"/>
        <v>0</v>
      </c>
      <c r="B4785">
        <f t="shared" si="975"/>
        <v>0</v>
      </c>
      <c r="C4785">
        <f t="shared" si="976"/>
        <v>0</v>
      </c>
      <c r="D4785">
        <f t="shared" si="977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8"/>
        <v>0</v>
      </c>
      <c r="G4785">
        <f t="shared" si="979"/>
        <v>0</v>
      </c>
      <c r="H4785">
        <f t="shared" si="980"/>
        <v>0</v>
      </c>
      <c r="I4785">
        <f t="shared" si="981"/>
        <v>0</v>
      </c>
      <c r="J4785">
        <f t="shared" si="982"/>
        <v>0</v>
      </c>
      <c r="K4785" s="4" t="e">
        <f t="shared" si="970"/>
        <v>#N/A</v>
      </c>
      <c r="L4785" t="e">
        <f t="shared" si="971"/>
        <v>#N/A</v>
      </c>
      <c r="M4785" s="4" t="e">
        <f t="shared" si="972"/>
        <v>#N/A</v>
      </c>
      <c r="N4785" s="4" t="e">
        <f t="shared" si="973"/>
        <v>#N/A</v>
      </c>
    </row>
    <row r="4786" spans="1:14">
      <c r="A4786">
        <f t="shared" si="974"/>
        <v>0</v>
      </c>
      <c r="B4786">
        <f t="shared" si="975"/>
        <v>0</v>
      </c>
      <c r="C4786">
        <f t="shared" si="976"/>
        <v>0</v>
      </c>
      <c r="D4786">
        <f t="shared" si="977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8"/>
        <v>0</v>
      </c>
      <c r="G4786">
        <f t="shared" si="979"/>
        <v>0</v>
      </c>
      <c r="H4786">
        <f t="shared" si="980"/>
        <v>0</v>
      </c>
      <c r="I4786">
        <f t="shared" si="981"/>
        <v>0</v>
      </c>
      <c r="J4786">
        <f t="shared" si="982"/>
        <v>0</v>
      </c>
      <c r="K4786" s="4" t="e">
        <f t="shared" si="970"/>
        <v>#N/A</v>
      </c>
      <c r="L4786" t="e">
        <f t="shared" si="971"/>
        <v>#N/A</v>
      </c>
      <c r="M4786" s="4" t="e">
        <f t="shared" si="972"/>
        <v>#N/A</v>
      </c>
      <c r="N4786" s="4" t="e">
        <f t="shared" si="973"/>
        <v>#N/A</v>
      </c>
    </row>
    <row r="4787" spans="1:14">
      <c r="A4787">
        <f t="shared" si="974"/>
        <v>0</v>
      </c>
      <c r="B4787">
        <f t="shared" si="975"/>
        <v>0</v>
      </c>
      <c r="C4787">
        <f t="shared" si="976"/>
        <v>0</v>
      </c>
      <c r="D4787">
        <f t="shared" si="977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8"/>
        <v>0</v>
      </c>
      <c r="G4787">
        <f t="shared" si="979"/>
        <v>0</v>
      </c>
      <c r="H4787">
        <f t="shared" si="980"/>
        <v>0</v>
      </c>
      <c r="I4787">
        <f t="shared" si="981"/>
        <v>0</v>
      </c>
      <c r="J4787">
        <f t="shared" si="982"/>
        <v>0</v>
      </c>
      <c r="K4787" s="4" t="e">
        <f t="shared" si="970"/>
        <v>#N/A</v>
      </c>
      <c r="L4787" t="e">
        <f t="shared" si="971"/>
        <v>#N/A</v>
      </c>
      <c r="M4787" s="4" t="e">
        <f t="shared" si="972"/>
        <v>#N/A</v>
      </c>
      <c r="N4787" s="4" t="e">
        <f t="shared" si="973"/>
        <v>#N/A</v>
      </c>
    </row>
    <row r="4788" spans="1:14">
      <c r="A4788">
        <f t="shared" si="974"/>
        <v>0</v>
      </c>
      <c r="B4788">
        <f t="shared" si="975"/>
        <v>0</v>
      </c>
      <c r="C4788">
        <f t="shared" si="976"/>
        <v>0</v>
      </c>
      <c r="D4788">
        <f t="shared" si="977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8"/>
        <v>0</v>
      </c>
      <c r="G4788">
        <f t="shared" si="979"/>
        <v>0</v>
      </c>
      <c r="H4788">
        <f t="shared" si="980"/>
        <v>0</v>
      </c>
      <c r="I4788">
        <f t="shared" si="981"/>
        <v>0</v>
      </c>
      <c r="J4788">
        <f t="shared" si="982"/>
        <v>0</v>
      </c>
      <c r="K4788" s="4" t="e">
        <f t="shared" si="970"/>
        <v>#N/A</v>
      </c>
      <c r="L4788" t="e">
        <f t="shared" si="971"/>
        <v>#N/A</v>
      </c>
      <c r="M4788" s="4" t="e">
        <f t="shared" si="972"/>
        <v>#N/A</v>
      </c>
      <c r="N4788" s="4" t="e">
        <f t="shared" si="973"/>
        <v>#N/A</v>
      </c>
    </row>
    <row r="4789" spans="1:14">
      <c r="A4789">
        <f t="shared" si="974"/>
        <v>0</v>
      </c>
      <c r="B4789">
        <f t="shared" si="975"/>
        <v>0</v>
      </c>
      <c r="C4789">
        <f t="shared" si="976"/>
        <v>0</v>
      </c>
      <c r="D4789">
        <f t="shared" si="977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8"/>
        <v>0</v>
      </c>
      <c r="G4789">
        <f t="shared" si="979"/>
        <v>0</v>
      </c>
      <c r="H4789">
        <f t="shared" si="980"/>
        <v>0</v>
      </c>
      <c r="I4789">
        <f t="shared" si="981"/>
        <v>0</v>
      </c>
      <c r="J4789">
        <f t="shared" si="982"/>
        <v>0</v>
      </c>
      <c r="K4789" s="4" t="e">
        <f t="shared" si="970"/>
        <v>#N/A</v>
      </c>
      <c r="L4789" t="e">
        <f t="shared" si="971"/>
        <v>#N/A</v>
      </c>
      <c r="M4789" s="4" t="e">
        <f t="shared" si="972"/>
        <v>#N/A</v>
      </c>
      <c r="N4789" s="4" t="e">
        <f t="shared" si="973"/>
        <v>#N/A</v>
      </c>
    </row>
    <row r="4790" spans="1:14">
      <c r="A4790">
        <f t="shared" si="974"/>
        <v>0</v>
      </c>
      <c r="B4790">
        <f t="shared" si="975"/>
        <v>0</v>
      </c>
      <c r="C4790">
        <f t="shared" si="976"/>
        <v>0</v>
      </c>
      <c r="D4790">
        <f t="shared" si="977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8"/>
        <v>0</v>
      </c>
      <c r="G4790">
        <f t="shared" si="979"/>
        <v>0</v>
      </c>
      <c r="H4790">
        <f t="shared" si="980"/>
        <v>0</v>
      </c>
      <c r="I4790">
        <f t="shared" si="981"/>
        <v>0</v>
      </c>
      <c r="J4790">
        <f t="shared" si="982"/>
        <v>0</v>
      </c>
      <c r="K4790" s="4" t="e">
        <f t="shared" si="970"/>
        <v>#N/A</v>
      </c>
      <c r="L4790" t="e">
        <f t="shared" si="971"/>
        <v>#N/A</v>
      </c>
      <c r="M4790" s="4" t="e">
        <f t="shared" si="972"/>
        <v>#N/A</v>
      </c>
      <c r="N4790" s="4" t="e">
        <f t="shared" si="973"/>
        <v>#N/A</v>
      </c>
    </row>
    <row r="4791" spans="1:14">
      <c r="A4791">
        <f t="shared" si="974"/>
        <v>0</v>
      </c>
      <c r="B4791">
        <f t="shared" si="975"/>
        <v>0</v>
      </c>
      <c r="C4791">
        <f t="shared" si="976"/>
        <v>0</v>
      </c>
      <c r="D4791">
        <f t="shared" si="977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8"/>
        <v>0</v>
      </c>
      <c r="G4791">
        <f t="shared" si="979"/>
        <v>0</v>
      </c>
      <c r="H4791">
        <f t="shared" si="980"/>
        <v>0</v>
      </c>
      <c r="I4791">
        <f t="shared" si="981"/>
        <v>0</v>
      </c>
      <c r="J4791">
        <f t="shared" si="982"/>
        <v>0</v>
      </c>
      <c r="K4791" s="4" t="e">
        <f t="shared" si="970"/>
        <v>#N/A</v>
      </c>
      <c r="L4791" t="e">
        <f t="shared" si="971"/>
        <v>#N/A</v>
      </c>
      <c r="M4791" s="4" t="e">
        <f t="shared" si="972"/>
        <v>#N/A</v>
      </c>
      <c r="N4791" s="4" t="e">
        <f t="shared" si="973"/>
        <v>#N/A</v>
      </c>
    </row>
    <row r="4792" spans="1:14">
      <c r="A4792">
        <f t="shared" si="974"/>
        <v>0</v>
      </c>
      <c r="B4792">
        <f t="shared" si="975"/>
        <v>0</v>
      </c>
      <c r="C4792">
        <f t="shared" si="976"/>
        <v>0</v>
      </c>
      <c r="D4792">
        <f t="shared" si="977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8"/>
        <v>0</v>
      </c>
      <c r="G4792">
        <f t="shared" si="979"/>
        <v>0</v>
      </c>
      <c r="H4792">
        <f t="shared" si="980"/>
        <v>0</v>
      </c>
      <c r="I4792">
        <f t="shared" si="981"/>
        <v>0</v>
      </c>
      <c r="J4792">
        <f t="shared" si="982"/>
        <v>0</v>
      </c>
      <c r="K4792" s="4" t="e">
        <f t="shared" si="970"/>
        <v>#N/A</v>
      </c>
      <c r="L4792" t="e">
        <f t="shared" si="971"/>
        <v>#N/A</v>
      </c>
      <c r="M4792" s="4" t="e">
        <f t="shared" si="972"/>
        <v>#N/A</v>
      </c>
      <c r="N4792" s="4" t="e">
        <f t="shared" si="973"/>
        <v>#N/A</v>
      </c>
    </row>
    <row r="4793" spans="1:14">
      <c r="A4793">
        <f t="shared" si="974"/>
        <v>0</v>
      </c>
      <c r="B4793">
        <f t="shared" si="975"/>
        <v>0</v>
      </c>
      <c r="C4793">
        <f t="shared" si="976"/>
        <v>0</v>
      </c>
      <c r="D4793">
        <f t="shared" si="977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8"/>
        <v>0</v>
      </c>
      <c r="G4793">
        <f t="shared" si="979"/>
        <v>0</v>
      </c>
      <c r="H4793">
        <f t="shared" si="980"/>
        <v>0</v>
      </c>
      <c r="I4793">
        <f t="shared" si="981"/>
        <v>0</v>
      </c>
      <c r="J4793">
        <f t="shared" si="982"/>
        <v>0</v>
      </c>
      <c r="K4793" s="4" t="e">
        <f t="shared" si="970"/>
        <v>#N/A</v>
      </c>
      <c r="L4793" t="e">
        <f t="shared" si="971"/>
        <v>#N/A</v>
      </c>
      <c r="M4793" s="4" t="e">
        <f t="shared" si="972"/>
        <v>#N/A</v>
      </c>
      <c r="N4793" s="4" t="e">
        <f t="shared" si="973"/>
        <v>#N/A</v>
      </c>
    </row>
    <row r="4794" spans="1:14">
      <c r="A4794">
        <f t="shared" si="974"/>
        <v>0</v>
      </c>
      <c r="B4794">
        <f t="shared" si="975"/>
        <v>0</v>
      </c>
      <c r="C4794">
        <f t="shared" si="976"/>
        <v>0</v>
      </c>
      <c r="D4794">
        <f t="shared" si="977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8"/>
        <v>0</v>
      </c>
      <c r="G4794">
        <f t="shared" si="979"/>
        <v>0</v>
      </c>
      <c r="H4794">
        <f t="shared" si="980"/>
        <v>0</v>
      </c>
      <c r="I4794">
        <f t="shared" si="981"/>
        <v>0</v>
      </c>
      <c r="J4794">
        <f t="shared" si="982"/>
        <v>0</v>
      </c>
      <c r="K4794" s="4" t="e">
        <f t="shared" si="970"/>
        <v>#N/A</v>
      </c>
      <c r="L4794" t="e">
        <f t="shared" si="971"/>
        <v>#N/A</v>
      </c>
      <c r="M4794" s="4" t="e">
        <f t="shared" si="972"/>
        <v>#N/A</v>
      </c>
      <c r="N4794" s="4" t="e">
        <f t="shared" si="973"/>
        <v>#N/A</v>
      </c>
    </row>
    <row r="4795" spans="1:14">
      <c r="A4795">
        <f t="shared" si="974"/>
        <v>0</v>
      </c>
      <c r="B4795">
        <f t="shared" si="975"/>
        <v>0</v>
      </c>
      <c r="C4795">
        <f t="shared" si="976"/>
        <v>0</v>
      </c>
      <c r="D4795">
        <f t="shared" si="977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8"/>
        <v>0</v>
      </c>
      <c r="G4795">
        <f t="shared" si="979"/>
        <v>0</v>
      </c>
      <c r="H4795">
        <f t="shared" si="980"/>
        <v>0</v>
      </c>
      <c r="I4795">
        <f t="shared" si="981"/>
        <v>0</v>
      </c>
      <c r="J4795">
        <f t="shared" si="982"/>
        <v>0</v>
      </c>
      <c r="K4795" s="4" t="e">
        <f t="shared" si="970"/>
        <v>#N/A</v>
      </c>
      <c r="L4795" t="e">
        <f t="shared" si="971"/>
        <v>#N/A</v>
      </c>
      <c r="M4795" s="4" t="e">
        <f t="shared" si="972"/>
        <v>#N/A</v>
      </c>
      <c r="N4795" s="4" t="e">
        <f t="shared" si="973"/>
        <v>#N/A</v>
      </c>
    </row>
    <row r="4796" spans="1:14">
      <c r="A4796">
        <f t="shared" si="974"/>
        <v>0</v>
      </c>
      <c r="B4796">
        <f t="shared" si="975"/>
        <v>0</v>
      </c>
      <c r="C4796">
        <f t="shared" si="976"/>
        <v>0</v>
      </c>
      <c r="D4796">
        <f t="shared" si="977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8"/>
        <v>0</v>
      </c>
      <c r="G4796">
        <f t="shared" si="979"/>
        <v>0</v>
      </c>
      <c r="H4796">
        <f t="shared" si="980"/>
        <v>0</v>
      </c>
      <c r="I4796">
        <f t="shared" si="981"/>
        <v>0</v>
      </c>
      <c r="J4796">
        <f t="shared" si="982"/>
        <v>0</v>
      </c>
      <c r="K4796" s="4" t="e">
        <f t="shared" si="970"/>
        <v>#N/A</v>
      </c>
      <c r="L4796" t="e">
        <f t="shared" si="971"/>
        <v>#N/A</v>
      </c>
      <c r="M4796" s="4" t="e">
        <f t="shared" si="972"/>
        <v>#N/A</v>
      </c>
      <c r="N4796" s="4" t="e">
        <f t="shared" si="973"/>
        <v>#N/A</v>
      </c>
    </row>
    <row r="4797" spans="1:14">
      <c r="A4797">
        <f t="shared" si="974"/>
        <v>0</v>
      </c>
      <c r="B4797">
        <f t="shared" si="975"/>
        <v>0</v>
      </c>
      <c r="C4797">
        <f t="shared" si="976"/>
        <v>0</v>
      </c>
      <c r="D4797">
        <f t="shared" si="977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8"/>
        <v>0</v>
      </c>
      <c r="G4797">
        <f t="shared" si="979"/>
        <v>0</v>
      </c>
      <c r="H4797">
        <f t="shared" si="980"/>
        <v>0</v>
      </c>
      <c r="I4797">
        <f t="shared" si="981"/>
        <v>0</v>
      </c>
      <c r="J4797">
        <f t="shared" si="982"/>
        <v>0</v>
      </c>
      <c r="K4797" s="4" t="e">
        <f t="shared" ref="K4797:K4860" si="983">IF(LEFT(B4797,3)="DBM",0,VLOOKUP(E4797,tabela,2,FALSE))</f>
        <v>#N/A</v>
      </c>
      <c r="L4797" t="e">
        <f t="shared" ref="L4797:L4860" si="984">VLOOKUP(E4797,tabela,3,FALSE)</f>
        <v>#N/A</v>
      </c>
      <c r="M4797" s="4" t="e">
        <f t="shared" ref="M4797:M4860" si="985">IF(E4797="Dynamic Click",J4797*K4797,K4797*$I4797/1000)</f>
        <v>#N/A</v>
      </c>
      <c r="N4797" s="4" t="e">
        <f t="shared" ref="N4797:N4860" si="986">IF(E4797="Dynamic Click",J4797*L4797,L4797*$I4797/1000)</f>
        <v>#N/A</v>
      </c>
    </row>
    <row r="4798" spans="1:14">
      <c r="A4798">
        <f t="shared" si="974"/>
        <v>0</v>
      </c>
      <c r="B4798">
        <f t="shared" si="975"/>
        <v>0</v>
      </c>
      <c r="C4798">
        <f t="shared" si="976"/>
        <v>0</v>
      </c>
      <c r="D4798">
        <f t="shared" si="977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8"/>
        <v>0</v>
      </c>
      <c r="G4798">
        <f t="shared" si="979"/>
        <v>0</v>
      </c>
      <c r="H4798">
        <f t="shared" si="980"/>
        <v>0</v>
      </c>
      <c r="I4798">
        <f t="shared" si="981"/>
        <v>0</v>
      </c>
      <c r="J4798">
        <f t="shared" si="982"/>
        <v>0</v>
      </c>
      <c r="K4798" s="4" t="e">
        <f t="shared" si="983"/>
        <v>#N/A</v>
      </c>
      <c r="L4798" t="e">
        <f t="shared" si="984"/>
        <v>#N/A</v>
      </c>
      <c r="M4798" s="4" t="e">
        <f t="shared" si="985"/>
        <v>#N/A</v>
      </c>
      <c r="N4798" s="4" t="e">
        <f t="shared" si="986"/>
        <v>#N/A</v>
      </c>
    </row>
    <row r="4799" spans="1:14">
      <c r="A4799">
        <f t="shared" si="974"/>
        <v>0</v>
      </c>
      <c r="B4799">
        <f t="shared" si="975"/>
        <v>0</v>
      </c>
      <c r="C4799">
        <f t="shared" si="976"/>
        <v>0</v>
      </c>
      <c r="D4799">
        <f t="shared" si="977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8"/>
        <v>0</v>
      </c>
      <c r="G4799">
        <f t="shared" si="979"/>
        <v>0</v>
      </c>
      <c r="H4799">
        <f t="shared" si="980"/>
        <v>0</v>
      </c>
      <c r="I4799">
        <f t="shared" si="981"/>
        <v>0</v>
      </c>
      <c r="J4799">
        <f t="shared" si="982"/>
        <v>0</v>
      </c>
      <c r="K4799" s="4" t="e">
        <f t="shared" si="983"/>
        <v>#N/A</v>
      </c>
      <c r="L4799" t="e">
        <f t="shared" si="984"/>
        <v>#N/A</v>
      </c>
      <c r="M4799" s="4" t="e">
        <f t="shared" si="985"/>
        <v>#N/A</v>
      </c>
      <c r="N4799" s="4" t="e">
        <f t="shared" si="986"/>
        <v>#N/A</v>
      </c>
    </row>
    <row r="4800" spans="1:14">
      <c r="A4800">
        <f t="shared" si="974"/>
        <v>0</v>
      </c>
      <c r="B4800">
        <f t="shared" si="975"/>
        <v>0</v>
      </c>
      <c r="C4800">
        <f t="shared" si="976"/>
        <v>0</v>
      </c>
      <c r="D4800">
        <f t="shared" si="977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8"/>
        <v>0</v>
      </c>
      <c r="G4800">
        <f t="shared" si="979"/>
        <v>0</v>
      </c>
      <c r="H4800">
        <f t="shared" si="980"/>
        <v>0</v>
      </c>
      <c r="I4800">
        <f t="shared" si="981"/>
        <v>0</v>
      </c>
      <c r="J4800">
        <f t="shared" si="982"/>
        <v>0</v>
      </c>
      <c r="K4800" s="4" t="e">
        <f t="shared" si="983"/>
        <v>#N/A</v>
      </c>
      <c r="L4800" t="e">
        <f t="shared" si="984"/>
        <v>#N/A</v>
      </c>
      <c r="M4800" s="4" t="e">
        <f t="shared" si="985"/>
        <v>#N/A</v>
      </c>
      <c r="N4800" s="4" t="e">
        <f t="shared" si="986"/>
        <v>#N/A</v>
      </c>
    </row>
    <row r="4801" spans="1:14">
      <c r="A4801">
        <f t="shared" si="974"/>
        <v>0</v>
      </c>
      <c r="B4801">
        <f t="shared" si="975"/>
        <v>0</v>
      </c>
      <c r="C4801">
        <f t="shared" si="976"/>
        <v>0</v>
      </c>
      <c r="D4801">
        <f t="shared" si="977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8"/>
        <v>0</v>
      </c>
      <c r="G4801">
        <f t="shared" si="979"/>
        <v>0</v>
      </c>
      <c r="H4801">
        <f t="shared" si="980"/>
        <v>0</v>
      </c>
      <c r="I4801">
        <f t="shared" si="981"/>
        <v>0</v>
      </c>
      <c r="J4801">
        <f t="shared" si="982"/>
        <v>0</v>
      </c>
      <c r="K4801" s="4" t="e">
        <f t="shared" si="983"/>
        <v>#N/A</v>
      </c>
      <c r="L4801" t="e">
        <f t="shared" si="984"/>
        <v>#N/A</v>
      </c>
      <c r="M4801" s="4" t="e">
        <f t="shared" si="985"/>
        <v>#N/A</v>
      </c>
      <c r="N4801" s="4" t="e">
        <f t="shared" si="986"/>
        <v>#N/A</v>
      </c>
    </row>
    <row r="4802" spans="1:14">
      <c r="A4802">
        <f t="shared" ref="A4802:A4865" si="987">bd_campaign</f>
        <v>0</v>
      </c>
      <c r="B4802">
        <f t="shared" ref="B4802:B4865" si="988">bd_site</f>
        <v>0</v>
      </c>
      <c r="C4802">
        <f t="shared" ref="C4802:C4865" si="989">bd_placement</f>
        <v>0</v>
      </c>
      <c r="D4802">
        <f t="shared" ref="D4802:D4865" si="990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91">bd_ad</f>
        <v>0</v>
      </c>
      <c r="G4802">
        <f t="shared" ref="G4802:G4865" si="992">bd_adid</f>
        <v>0</v>
      </c>
      <c r="H4802">
        <f t="shared" ref="H4802:H4865" si="993">bd_creativetype</f>
        <v>0</v>
      </c>
      <c r="I4802">
        <f t="shared" ref="I4802:I4865" si="994">bd_impression</f>
        <v>0</v>
      </c>
      <c r="J4802">
        <f t="shared" ref="J4802:J4865" si="995">bd_clicks</f>
        <v>0</v>
      </c>
      <c r="K4802" s="4" t="e">
        <f t="shared" si="983"/>
        <v>#N/A</v>
      </c>
      <c r="L4802" t="e">
        <f t="shared" si="984"/>
        <v>#N/A</v>
      </c>
      <c r="M4802" s="4" t="e">
        <f t="shared" si="985"/>
        <v>#N/A</v>
      </c>
      <c r="N4802" s="4" t="e">
        <f t="shared" si="986"/>
        <v>#N/A</v>
      </c>
    </row>
    <row r="4803" spans="1:14">
      <c r="A4803">
        <f t="shared" si="987"/>
        <v>0</v>
      </c>
      <c r="B4803">
        <f t="shared" si="988"/>
        <v>0</v>
      </c>
      <c r="C4803">
        <f t="shared" si="989"/>
        <v>0</v>
      </c>
      <c r="D4803">
        <f t="shared" si="990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91"/>
        <v>0</v>
      </c>
      <c r="G4803">
        <f t="shared" si="992"/>
        <v>0</v>
      </c>
      <c r="H4803">
        <f t="shared" si="993"/>
        <v>0</v>
      </c>
      <c r="I4803">
        <f t="shared" si="994"/>
        <v>0</v>
      </c>
      <c r="J4803">
        <f t="shared" si="995"/>
        <v>0</v>
      </c>
      <c r="K4803" s="4" t="e">
        <f t="shared" si="983"/>
        <v>#N/A</v>
      </c>
      <c r="L4803" t="e">
        <f t="shared" si="984"/>
        <v>#N/A</v>
      </c>
      <c r="M4803" s="4" t="e">
        <f t="shared" si="985"/>
        <v>#N/A</v>
      </c>
      <c r="N4803" s="4" t="e">
        <f t="shared" si="986"/>
        <v>#N/A</v>
      </c>
    </row>
    <row r="4804" spans="1:14">
      <c r="A4804">
        <f t="shared" si="987"/>
        <v>0</v>
      </c>
      <c r="B4804">
        <f t="shared" si="988"/>
        <v>0</v>
      </c>
      <c r="C4804">
        <f t="shared" si="989"/>
        <v>0</v>
      </c>
      <c r="D4804">
        <f t="shared" si="990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91"/>
        <v>0</v>
      </c>
      <c r="G4804">
        <f t="shared" si="992"/>
        <v>0</v>
      </c>
      <c r="H4804">
        <f t="shared" si="993"/>
        <v>0</v>
      </c>
      <c r="I4804">
        <f t="shared" si="994"/>
        <v>0</v>
      </c>
      <c r="J4804">
        <f t="shared" si="995"/>
        <v>0</v>
      </c>
      <c r="K4804" s="4" t="e">
        <f t="shared" si="983"/>
        <v>#N/A</v>
      </c>
      <c r="L4804" t="e">
        <f t="shared" si="984"/>
        <v>#N/A</v>
      </c>
      <c r="M4804" s="4" t="e">
        <f t="shared" si="985"/>
        <v>#N/A</v>
      </c>
      <c r="N4804" s="4" t="e">
        <f t="shared" si="986"/>
        <v>#N/A</v>
      </c>
    </row>
    <row r="4805" spans="1:14">
      <c r="A4805">
        <f t="shared" si="987"/>
        <v>0</v>
      </c>
      <c r="B4805">
        <f t="shared" si="988"/>
        <v>0</v>
      </c>
      <c r="C4805">
        <f t="shared" si="989"/>
        <v>0</v>
      </c>
      <c r="D4805">
        <f t="shared" si="990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91"/>
        <v>0</v>
      </c>
      <c r="G4805">
        <f t="shared" si="992"/>
        <v>0</v>
      </c>
      <c r="H4805">
        <f t="shared" si="993"/>
        <v>0</v>
      </c>
      <c r="I4805">
        <f t="shared" si="994"/>
        <v>0</v>
      </c>
      <c r="J4805">
        <f t="shared" si="995"/>
        <v>0</v>
      </c>
      <c r="K4805" s="4" t="e">
        <f t="shared" si="983"/>
        <v>#N/A</v>
      </c>
      <c r="L4805" t="e">
        <f t="shared" si="984"/>
        <v>#N/A</v>
      </c>
      <c r="M4805" s="4" t="e">
        <f t="shared" si="985"/>
        <v>#N/A</v>
      </c>
      <c r="N4805" s="4" t="e">
        <f t="shared" si="986"/>
        <v>#N/A</v>
      </c>
    </row>
    <row r="4806" spans="1:14">
      <c r="A4806">
        <f t="shared" si="987"/>
        <v>0</v>
      </c>
      <c r="B4806">
        <f t="shared" si="988"/>
        <v>0</v>
      </c>
      <c r="C4806">
        <f t="shared" si="989"/>
        <v>0</v>
      </c>
      <c r="D4806">
        <f t="shared" si="990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91"/>
        <v>0</v>
      </c>
      <c r="G4806">
        <f t="shared" si="992"/>
        <v>0</v>
      </c>
      <c r="H4806">
        <f t="shared" si="993"/>
        <v>0</v>
      </c>
      <c r="I4806">
        <f t="shared" si="994"/>
        <v>0</v>
      </c>
      <c r="J4806">
        <f t="shared" si="995"/>
        <v>0</v>
      </c>
      <c r="K4806" s="4" t="e">
        <f t="shared" si="983"/>
        <v>#N/A</v>
      </c>
      <c r="L4806" t="e">
        <f t="shared" si="984"/>
        <v>#N/A</v>
      </c>
      <c r="M4806" s="4" t="e">
        <f t="shared" si="985"/>
        <v>#N/A</v>
      </c>
      <c r="N4806" s="4" t="e">
        <f t="shared" si="986"/>
        <v>#N/A</v>
      </c>
    </row>
    <row r="4807" spans="1:14">
      <c r="A4807">
        <f t="shared" si="987"/>
        <v>0</v>
      </c>
      <c r="B4807">
        <f t="shared" si="988"/>
        <v>0</v>
      </c>
      <c r="C4807">
        <f t="shared" si="989"/>
        <v>0</v>
      </c>
      <c r="D4807">
        <f t="shared" si="990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91"/>
        <v>0</v>
      </c>
      <c r="G4807">
        <f t="shared" si="992"/>
        <v>0</v>
      </c>
      <c r="H4807">
        <f t="shared" si="993"/>
        <v>0</v>
      </c>
      <c r="I4807">
        <f t="shared" si="994"/>
        <v>0</v>
      </c>
      <c r="J4807">
        <f t="shared" si="995"/>
        <v>0</v>
      </c>
      <c r="K4807" s="4" t="e">
        <f t="shared" si="983"/>
        <v>#N/A</v>
      </c>
      <c r="L4807" t="e">
        <f t="shared" si="984"/>
        <v>#N/A</v>
      </c>
      <c r="M4807" s="4" t="e">
        <f t="shared" si="985"/>
        <v>#N/A</v>
      </c>
      <c r="N4807" s="4" t="e">
        <f t="shared" si="986"/>
        <v>#N/A</v>
      </c>
    </row>
    <row r="4808" spans="1:14">
      <c r="A4808">
        <f t="shared" si="987"/>
        <v>0</v>
      </c>
      <c r="B4808">
        <f t="shared" si="988"/>
        <v>0</v>
      </c>
      <c r="C4808">
        <f t="shared" si="989"/>
        <v>0</v>
      </c>
      <c r="D4808">
        <f t="shared" si="990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91"/>
        <v>0</v>
      </c>
      <c r="G4808">
        <f t="shared" si="992"/>
        <v>0</v>
      </c>
      <c r="H4808">
        <f t="shared" si="993"/>
        <v>0</v>
      </c>
      <c r="I4808">
        <f t="shared" si="994"/>
        <v>0</v>
      </c>
      <c r="J4808">
        <f t="shared" si="995"/>
        <v>0</v>
      </c>
      <c r="K4808" s="4" t="e">
        <f t="shared" si="983"/>
        <v>#N/A</v>
      </c>
      <c r="L4808" t="e">
        <f t="shared" si="984"/>
        <v>#N/A</v>
      </c>
      <c r="M4808" s="4" t="e">
        <f t="shared" si="985"/>
        <v>#N/A</v>
      </c>
      <c r="N4808" s="4" t="e">
        <f t="shared" si="986"/>
        <v>#N/A</v>
      </c>
    </row>
    <row r="4809" spans="1:14">
      <c r="A4809">
        <f t="shared" si="987"/>
        <v>0</v>
      </c>
      <c r="B4809">
        <f t="shared" si="988"/>
        <v>0</v>
      </c>
      <c r="C4809">
        <f t="shared" si="989"/>
        <v>0</v>
      </c>
      <c r="D4809">
        <f t="shared" si="990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91"/>
        <v>0</v>
      </c>
      <c r="G4809">
        <f t="shared" si="992"/>
        <v>0</v>
      </c>
      <c r="H4809">
        <f t="shared" si="993"/>
        <v>0</v>
      </c>
      <c r="I4809">
        <f t="shared" si="994"/>
        <v>0</v>
      </c>
      <c r="J4809">
        <f t="shared" si="995"/>
        <v>0</v>
      </c>
      <c r="K4809" s="4" t="e">
        <f t="shared" si="983"/>
        <v>#N/A</v>
      </c>
      <c r="L4809" t="e">
        <f t="shared" si="984"/>
        <v>#N/A</v>
      </c>
      <c r="M4809" s="4" t="e">
        <f t="shared" si="985"/>
        <v>#N/A</v>
      </c>
      <c r="N4809" s="4" t="e">
        <f t="shared" si="986"/>
        <v>#N/A</v>
      </c>
    </row>
    <row r="4810" spans="1:14">
      <c r="A4810">
        <f t="shared" si="987"/>
        <v>0</v>
      </c>
      <c r="B4810">
        <f t="shared" si="988"/>
        <v>0</v>
      </c>
      <c r="C4810">
        <f t="shared" si="989"/>
        <v>0</v>
      </c>
      <c r="D4810">
        <f t="shared" si="990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91"/>
        <v>0</v>
      </c>
      <c r="G4810">
        <f t="shared" si="992"/>
        <v>0</v>
      </c>
      <c r="H4810">
        <f t="shared" si="993"/>
        <v>0</v>
      </c>
      <c r="I4810">
        <f t="shared" si="994"/>
        <v>0</v>
      </c>
      <c r="J4810">
        <f t="shared" si="995"/>
        <v>0</v>
      </c>
      <c r="K4810" s="4" t="e">
        <f t="shared" si="983"/>
        <v>#N/A</v>
      </c>
      <c r="L4810" t="e">
        <f t="shared" si="984"/>
        <v>#N/A</v>
      </c>
      <c r="M4810" s="4" t="e">
        <f t="shared" si="985"/>
        <v>#N/A</v>
      </c>
      <c r="N4810" s="4" t="e">
        <f t="shared" si="986"/>
        <v>#N/A</v>
      </c>
    </row>
    <row r="4811" spans="1:14">
      <c r="A4811">
        <f t="shared" si="987"/>
        <v>0</v>
      </c>
      <c r="B4811">
        <f t="shared" si="988"/>
        <v>0</v>
      </c>
      <c r="C4811">
        <f t="shared" si="989"/>
        <v>0</v>
      </c>
      <c r="D4811">
        <f t="shared" si="990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91"/>
        <v>0</v>
      </c>
      <c r="G4811">
        <f t="shared" si="992"/>
        <v>0</v>
      </c>
      <c r="H4811">
        <f t="shared" si="993"/>
        <v>0</v>
      </c>
      <c r="I4811">
        <f t="shared" si="994"/>
        <v>0</v>
      </c>
      <c r="J4811">
        <f t="shared" si="995"/>
        <v>0</v>
      </c>
      <c r="K4811" s="4" t="e">
        <f t="shared" si="983"/>
        <v>#N/A</v>
      </c>
      <c r="L4811" t="e">
        <f t="shared" si="984"/>
        <v>#N/A</v>
      </c>
      <c r="M4811" s="4" t="e">
        <f t="shared" si="985"/>
        <v>#N/A</v>
      </c>
      <c r="N4811" s="4" t="e">
        <f t="shared" si="986"/>
        <v>#N/A</v>
      </c>
    </row>
    <row r="4812" spans="1:14">
      <c r="A4812">
        <f t="shared" si="987"/>
        <v>0</v>
      </c>
      <c r="B4812">
        <f t="shared" si="988"/>
        <v>0</v>
      </c>
      <c r="C4812">
        <f t="shared" si="989"/>
        <v>0</v>
      </c>
      <c r="D4812">
        <f t="shared" si="990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91"/>
        <v>0</v>
      </c>
      <c r="G4812">
        <f t="shared" si="992"/>
        <v>0</v>
      </c>
      <c r="H4812">
        <f t="shared" si="993"/>
        <v>0</v>
      </c>
      <c r="I4812">
        <f t="shared" si="994"/>
        <v>0</v>
      </c>
      <c r="J4812">
        <f t="shared" si="995"/>
        <v>0</v>
      </c>
      <c r="K4812" s="4" t="e">
        <f t="shared" si="983"/>
        <v>#N/A</v>
      </c>
      <c r="L4812" t="e">
        <f t="shared" si="984"/>
        <v>#N/A</v>
      </c>
      <c r="M4812" s="4" t="e">
        <f t="shared" si="985"/>
        <v>#N/A</v>
      </c>
      <c r="N4812" s="4" t="e">
        <f t="shared" si="986"/>
        <v>#N/A</v>
      </c>
    </row>
    <row r="4813" spans="1:14">
      <c r="A4813">
        <f t="shared" si="987"/>
        <v>0</v>
      </c>
      <c r="B4813">
        <f t="shared" si="988"/>
        <v>0</v>
      </c>
      <c r="C4813">
        <f t="shared" si="989"/>
        <v>0</v>
      </c>
      <c r="D4813">
        <f t="shared" si="990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91"/>
        <v>0</v>
      </c>
      <c r="G4813">
        <f t="shared" si="992"/>
        <v>0</v>
      </c>
      <c r="H4813">
        <f t="shared" si="993"/>
        <v>0</v>
      </c>
      <c r="I4813">
        <f t="shared" si="994"/>
        <v>0</v>
      </c>
      <c r="J4813">
        <f t="shared" si="995"/>
        <v>0</v>
      </c>
      <c r="K4813" s="4" t="e">
        <f t="shared" si="983"/>
        <v>#N/A</v>
      </c>
      <c r="L4813" t="e">
        <f t="shared" si="984"/>
        <v>#N/A</v>
      </c>
      <c r="M4813" s="4" t="e">
        <f t="shared" si="985"/>
        <v>#N/A</v>
      </c>
      <c r="N4813" s="4" t="e">
        <f t="shared" si="986"/>
        <v>#N/A</v>
      </c>
    </row>
    <row r="4814" spans="1:14">
      <c r="A4814">
        <f t="shared" si="987"/>
        <v>0</v>
      </c>
      <c r="B4814">
        <f t="shared" si="988"/>
        <v>0</v>
      </c>
      <c r="C4814">
        <f t="shared" si="989"/>
        <v>0</v>
      </c>
      <c r="D4814">
        <f t="shared" si="990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91"/>
        <v>0</v>
      </c>
      <c r="G4814">
        <f t="shared" si="992"/>
        <v>0</v>
      </c>
      <c r="H4814">
        <f t="shared" si="993"/>
        <v>0</v>
      </c>
      <c r="I4814">
        <f t="shared" si="994"/>
        <v>0</v>
      </c>
      <c r="J4814">
        <f t="shared" si="995"/>
        <v>0</v>
      </c>
      <c r="K4814" s="4" t="e">
        <f t="shared" si="983"/>
        <v>#N/A</v>
      </c>
      <c r="L4814" t="e">
        <f t="shared" si="984"/>
        <v>#N/A</v>
      </c>
      <c r="M4814" s="4" t="e">
        <f t="shared" si="985"/>
        <v>#N/A</v>
      </c>
      <c r="N4814" s="4" t="e">
        <f t="shared" si="986"/>
        <v>#N/A</v>
      </c>
    </row>
    <row r="4815" spans="1:14">
      <c r="A4815">
        <f t="shared" si="987"/>
        <v>0</v>
      </c>
      <c r="B4815">
        <f t="shared" si="988"/>
        <v>0</v>
      </c>
      <c r="C4815">
        <f t="shared" si="989"/>
        <v>0</v>
      </c>
      <c r="D4815">
        <f t="shared" si="990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91"/>
        <v>0</v>
      </c>
      <c r="G4815">
        <f t="shared" si="992"/>
        <v>0</v>
      </c>
      <c r="H4815">
        <f t="shared" si="993"/>
        <v>0</v>
      </c>
      <c r="I4815">
        <f t="shared" si="994"/>
        <v>0</v>
      </c>
      <c r="J4815">
        <f t="shared" si="995"/>
        <v>0</v>
      </c>
      <c r="K4815" s="4" t="e">
        <f t="shared" si="983"/>
        <v>#N/A</v>
      </c>
      <c r="L4815" t="e">
        <f t="shared" si="984"/>
        <v>#N/A</v>
      </c>
      <c r="M4815" s="4" t="e">
        <f t="shared" si="985"/>
        <v>#N/A</v>
      </c>
      <c r="N4815" s="4" t="e">
        <f t="shared" si="986"/>
        <v>#N/A</v>
      </c>
    </row>
    <row r="4816" spans="1:14">
      <c r="A4816">
        <f t="shared" si="987"/>
        <v>0</v>
      </c>
      <c r="B4816">
        <f t="shared" si="988"/>
        <v>0</v>
      </c>
      <c r="C4816">
        <f t="shared" si="989"/>
        <v>0</v>
      </c>
      <c r="D4816">
        <f t="shared" si="990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91"/>
        <v>0</v>
      </c>
      <c r="G4816">
        <f t="shared" si="992"/>
        <v>0</v>
      </c>
      <c r="H4816">
        <f t="shared" si="993"/>
        <v>0</v>
      </c>
      <c r="I4816">
        <f t="shared" si="994"/>
        <v>0</v>
      </c>
      <c r="J4816">
        <f t="shared" si="995"/>
        <v>0</v>
      </c>
      <c r="K4816" s="4" t="e">
        <f t="shared" si="983"/>
        <v>#N/A</v>
      </c>
      <c r="L4816" t="e">
        <f t="shared" si="984"/>
        <v>#N/A</v>
      </c>
      <c r="M4816" s="4" t="e">
        <f t="shared" si="985"/>
        <v>#N/A</v>
      </c>
      <c r="N4816" s="4" t="e">
        <f t="shared" si="986"/>
        <v>#N/A</v>
      </c>
    </row>
    <row r="4817" spans="1:14">
      <c r="A4817">
        <f t="shared" si="987"/>
        <v>0</v>
      </c>
      <c r="B4817">
        <f t="shared" si="988"/>
        <v>0</v>
      </c>
      <c r="C4817">
        <f t="shared" si="989"/>
        <v>0</v>
      </c>
      <c r="D4817">
        <f t="shared" si="990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91"/>
        <v>0</v>
      </c>
      <c r="G4817">
        <f t="shared" si="992"/>
        <v>0</v>
      </c>
      <c r="H4817">
        <f t="shared" si="993"/>
        <v>0</v>
      </c>
      <c r="I4817">
        <f t="shared" si="994"/>
        <v>0</v>
      </c>
      <c r="J4817">
        <f t="shared" si="995"/>
        <v>0</v>
      </c>
      <c r="K4817" s="4" t="e">
        <f t="shared" si="983"/>
        <v>#N/A</v>
      </c>
      <c r="L4817" t="e">
        <f t="shared" si="984"/>
        <v>#N/A</v>
      </c>
      <c r="M4817" s="4" t="e">
        <f t="shared" si="985"/>
        <v>#N/A</v>
      </c>
      <c r="N4817" s="4" t="e">
        <f t="shared" si="986"/>
        <v>#N/A</v>
      </c>
    </row>
    <row r="4818" spans="1:14">
      <c r="A4818">
        <f t="shared" si="987"/>
        <v>0</v>
      </c>
      <c r="B4818">
        <f t="shared" si="988"/>
        <v>0</v>
      </c>
      <c r="C4818">
        <f t="shared" si="989"/>
        <v>0</v>
      </c>
      <c r="D4818">
        <f t="shared" si="990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91"/>
        <v>0</v>
      </c>
      <c r="G4818">
        <f t="shared" si="992"/>
        <v>0</v>
      </c>
      <c r="H4818">
        <f t="shared" si="993"/>
        <v>0</v>
      </c>
      <c r="I4818">
        <f t="shared" si="994"/>
        <v>0</v>
      </c>
      <c r="J4818">
        <f t="shared" si="995"/>
        <v>0</v>
      </c>
      <c r="K4818" s="4" t="e">
        <f t="shared" si="983"/>
        <v>#N/A</v>
      </c>
      <c r="L4818" t="e">
        <f t="shared" si="984"/>
        <v>#N/A</v>
      </c>
      <c r="M4818" s="4" t="e">
        <f t="shared" si="985"/>
        <v>#N/A</v>
      </c>
      <c r="N4818" s="4" t="e">
        <f t="shared" si="986"/>
        <v>#N/A</v>
      </c>
    </row>
    <row r="4819" spans="1:14">
      <c r="A4819">
        <f t="shared" si="987"/>
        <v>0</v>
      </c>
      <c r="B4819">
        <f t="shared" si="988"/>
        <v>0</v>
      </c>
      <c r="C4819">
        <f t="shared" si="989"/>
        <v>0</v>
      </c>
      <c r="D4819">
        <f t="shared" si="990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91"/>
        <v>0</v>
      </c>
      <c r="G4819">
        <f t="shared" si="992"/>
        <v>0</v>
      </c>
      <c r="H4819">
        <f t="shared" si="993"/>
        <v>0</v>
      </c>
      <c r="I4819">
        <f t="shared" si="994"/>
        <v>0</v>
      </c>
      <c r="J4819">
        <f t="shared" si="995"/>
        <v>0</v>
      </c>
      <c r="K4819" s="4" t="e">
        <f t="shared" si="983"/>
        <v>#N/A</v>
      </c>
      <c r="L4819" t="e">
        <f t="shared" si="984"/>
        <v>#N/A</v>
      </c>
      <c r="M4819" s="4" t="e">
        <f t="shared" si="985"/>
        <v>#N/A</v>
      </c>
      <c r="N4819" s="4" t="e">
        <f t="shared" si="986"/>
        <v>#N/A</v>
      </c>
    </row>
    <row r="4820" spans="1:14">
      <c r="A4820">
        <f t="shared" si="987"/>
        <v>0</v>
      </c>
      <c r="B4820">
        <f t="shared" si="988"/>
        <v>0</v>
      </c>
      <c r="C4820">
        <f t="shared" si="989"/>
        <v>0</v>
      </c>
      <c r="D4820">
        <f t="shared" si="990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91"/>
        <v>0</v>
      </c>
      <c r="G4820">
        <f t="shared" si="992"/>
        <v>0</v>
      </c>
      <c r="H4820">
        <f t="shared" si="993"/>
        <v>0</v>
      </c>
      <c r="I4820">
        <f t="shared" si="994"/>
        <v>0</v>
      </c>
      <c r="J4820">
        <f t="shared" si="995"/>
        <v>0</v>
      </c>
      <c r="K4820" s="4" t="e">
        <f t="shared" si="983"/>
        <v>#N/A</v>
      </c>
      <c r="L4820" t="e">
        <f t="shared" si="984"/>
        <v>#N/A</v>
      </c>
      <c r="M4820" s="4" t="e">
        <f t="shared" si="985"/>
        <v>#N/A</v>
      </c>
      <c r="N4820" s="4" t="e">
        <f t="shared" si="986"/>
        <v>#N/A</v>
      </c>
    </row>
    <row r="4821" spans="1:14">
      <c r="A4821">
        <f t="shared" si="987"/>
        <v>0</v>
      </c>
      <c r="B4821">
        <f t="shared" si="988"/>
        <v>0</v>
      </c>
      <c r="C4821">
        <f t="shared" si="989"/>
        <v>0</v>
      </c>
      <c r="D4821">
        <f t="shared" si="990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91"/>
        <v>0</v>
      </c>
      <c r="G4821">
        <f t="shared" si="992"/>
        <v>0</v>
      </c>
      <c r="H4821">
        <f t="shared" si="993"/>
        <v>0</v>
      </c>
      <c r="I4821">
        <f t="shared" si="994"/>
        <v>0</v>
      </c>
      <c r="J4821">
        <f t="shared" si="995"/>
        <v>0</v>
      </c>
      <c r="K4821" s="4" t="e">
        <f t="shared" si="983"/>
        <v>#N/A</v>
      </c>
      <c r="L4821" t="e">
        <f t="shared" si="984"/>
        <v>#N/A</v>
      </c>
      <c r="M4821" s="4" t="e">
        <f t="shared" si="985"/>
        <v>#N/A</v>
      </c>
      <c r="N4821" s="4" t="e">
        <f t="shared" si="986"/>
        <v>#N/A</v>
      </c>
    </row>
    <row r="4822" spans="1:14">
      <c r="A4822">
        <f t="shared" si="987"/>
        <v>0</v>
      </c>
      <c r="B4822">
        <f t="shared" si="988"/>
        <v>0</v>
      </c>
      <c r="C4822">
        <f t="shared" si="989"/>
        <v>0</v>
      </c>
      <c r="D4822">
        <f t="shared" si="990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91"/>
        <v>0</v>
      </c>
      <c r="G4822">
        <f t="shared" si="992"/>
        <v>0</v>
      </c>
      <c r="H4822">
        <f t="shared" si="993"/>
        <v>0</v>
      </c>
      <c r="I4822">
        <f t="shared" si="994"/>
        <v>0</v>
      </c>
      <c r="J4822">
        <f t="shared" si="995"/>
        <v>0</v>
      </c>
      <c r="K4822" s="4" t="e">
        <f t="shared" si="983"/>
        <v>#N/A</v>
      </c>
      <c r="L4822" t="e">
        <f t="shared" si="984"/>
        <v>#N/A</v>
      </c>
      <c r="M4822" s="4" t="e">
        <f t="shared" si="985"/>
        <v>#N/A</v>
      </c>
      <c r="N4822" s="4" t="e">
        <f t="shared" si="986"/>
        <v>#N/A</v>
      </c>
    </row>
    <row r="4823" spans="1:14">
      <c r="A4823">
        <f t="shared" si="987"/>
        <v>0</v>
      </c>
      <c r="B4823">
        <f t="shared" si="988"/>
        <v>0</v>
      </c>
      <c r="C4823">
        <f t="shared" si="989"/>
        <v>0</v>
      </c>
      <c r="D4823">
        <f t="shared" si="990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91"/>
        <v>0</v>
      </c>
      <c r="G4823">
        <f t="shared" si="992"/>
        <v>0</v>
      </c>
      <c r="H4823">
        <f t="shared" si="993"/>
        <v>0</v>
      </c>
      <c r="I4823">
        <f t="shared" si="994"/>
        <v>0</v>
      </c>
      <c r="J4823">
        <f t="shared" si="995"/>
        <v>0</v>
      </c>
      <c r="K4823" s="4" t="e">
        <f t="shared" si="983"/>
        <v>#N/A</v>
      </c>
      <c r="L4823" t="e">
        <f t="shared" si="984"/>
        <v>#N/A</v>
      </c>
      <c r="M4823" s="4" t="e">
        <f t="shared" si="985"/>
        <v>#N/A</v>
      </c>
      <c r="N4823" s="4" t="e">
        <f t="shared" si="986"/>
        <v>#N/A</v>
      </c>
    </row>
    <row r="4824" spans="1:14">
      <c r="A4824">
        <f t="shared" si="987"/>
        <v>0</v>
      </c>
      <c r="B4824">
        <f t="shared" si="988"/>
        <v>0</v>
      </c>
      <c r="C4824">
        <f t="shared" si="989"/>
        <v>0</v>
      </c>
      <c r="D4824">
        <f t="shared" si="990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91"/>
        <v>0</v>
      </c>
      <c r="G4824">
        <f t="shared" si="992"/>
        <v>0</v>
      </c>
      <c r="H4824">
        <f t="shared" si="993"/>
        <v>0</v>
      </c>
      <c r="I4824">
        <f t="shared" si="994"/>
        <v>0</v>
      </c>
      <c r="J4824">
        <f t="shared" si="995"/>
        <v>0</v>
      </c>
      <c r="K4824" s="4" t="e">
        <f t="shared" si="983"/>
        <v>#N/A</v>
      </c>
      <c r="L4824" t="e">
        <f t="shared" si="984"/>
        <v>#N/A</v>
      </c>
      <c r="M4824" s="4" t="e">
        <f t="shared" si="985"/>
        <v>#N/A</v>
      </c>
      <c r="N4824" s="4" t="e">
        <f t="shared" si="986"/>
        <v>#N/A</v>
      </c>
    </row>
    <row r="4825" spans="1:14">
      <c r="A4825">
        <f t="shared" si="987"/>
        <v>0</v>
      </c>
      <c r="B4825">
        <f t="shared" si="988"/>
        <v>0</v>
      </c>
      <c r="C4825">
        <f t="shared" si="989"/>
        <v>0</v>
      </c>
      <c r="D4825">
        <f t="shared" si="990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91"/>
        <v>0</v>
      </c>
      <c r="G4825">
        <f t="shared" si="992"/>
        <v>0</v>
      </c>
      <c r="H4825">
        <f t="shared" si="993"/>
        <v>0</v>
      </c>
      <c r="I4825">
        <f t="shared" si="994"/>
        <v>0</v>
      </c>
      <c r="J4825">
        <f t="shared" si="995"/>
        <v>0</v>
      </c>
      <c r="K4825" s="4" t="e">
        <f t="shared" si="983"/>
        <v>#N/A</v>
      </c>
      <c r="L4825" t="e">
        <f t="shared" si="984"/>
        <v>#N/A</v>
      </c>
      <c r="M4825" s="4" t="e">
        <f t="shared" si="985"/>
        <v>#N/A</v>
      </c>
      <c r="N4825" s="4" t="e">
        <f t="shared" si="986"/>
        <v>#N/A</v>
      </c>
    </row>
    <row r="4826" spans="1:14">
      <c r="A4826">
        <f t="shared" si="987"/>
        <v>0</v>
      </c>
      <c r="B4826">
        <f t="shared" si="988"/>
        <v>0</v>
      </c>
      <c r="C4826">
        <f t="shared" si="989"/>
        <v>0</v>
      </c>
      <c r="D4826">
        <f t="shared" si="990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91"/>
        <v>0</v>
      </c>
      <c r="G4826">
        <f t="shared" si="992"/>
        <v>0</v>
      </c>
      <c r="H4826">
        <f t="shared" si="993"/>
        <v>0</v>
      </c>
      <c r="I4826">
        <f t="shared" si="994"/>
        <v>0</v>
      </c>
      <c r="J4826">
        <f t="shared" si="995"/>
        <v>0</v>
      </c>
      <c r="K4826" s="4" t="e">
        <f t="shared" si="983"/>
        <v>#N/A</v>
      </c>
      <c r="L4826" t="e">
        <f t="shared" si="984"/>
        <v>#N/A</v>
      </c>
      <c r="M4826" s="4" t="e">
        <f t="shared" si="985"/>
        <v>#N/A</v>
      </c>
      <c r="N4826" s="4" t="e">
        <f t="shared" si="986"/>
        <v>#N/A</v>
      </c>
    </row>
    <row r="4827" spans="1:14">
      <c r="A4827">
        <f t="shared" si="987"/>
        <v>0</v>
      </c>
      <c r="B4827">
        <f t="shared" si="988"/>
        <v>0</v>
      </c>
      <c r="C4827">
        <f t="shared" si="989"/>
        <v>0</v>
      </c>
      <c r="D4827">
        <f t="shared" si="990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91"/>
        <v>0</v>
      </c>
      <c r="G4827">
        <f t="shared" si="992"/>
        <v>0</v>
      </c>
      <c r="H4827">
        <f t="shared" si="993"/>
        <v>0</v>
      </c>
      <c r="I4827">
        <f t="shared" si="994"/>
        <v>0</v>
      </c>
      <c r="J4827">
        <f t="shared" si="995"/>
        <v>0</v>
      </c>
      <c r="K4827" s="4" t="e">
        <f t="shared" si="983"/>
        <v>#N/A</v>
      </c>
      <c r="L4827" t="e">
        <f t="shared" si="984"/>
        <v>#N/A</v>
      </c>
      <c r="M4827" s="4" t="e">
        <f t="shared" si="985"/>
        <v>#N/A</v>
      </c>
      <c r="N4827" s="4" t="e">
        <f t="shared" si="986"/>
        <v>#N/A</v>
      </c>
    </row>
    <row r="4828" spans="1:14">
      <c r="A4828">
        <f t="shared" si="987"/>
        <v>0</v>
      </c>
      <c r="B4828">
        <f t="shared" si="988"/>
        <v>0</v>
      </c>
      <c r="C4828">
        <f t="shared" si="989"/>
        <v>0</v>
      </c>
      <c r="D4828">
        <f t="shared" si="990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91"/>
        <v>0</v>
      </c>
      <c r="G4828">
        <f t="shared" si="992"/>
        <v>0</v>
      </c>
      <c r="H4828">
        <f t="shared" si="993"/>
        <v>0</v>
      </c>
      <c r="I4828">
        <f t="shared" si="994"/>
        <v>0</v>
      </c>
      <c r="J4828">
        <f t="shared" si="995"/>
        <v>0</v>
      </c>
      <c r="K4828" s="4" t="e">
        <f t="shared" si="983"/>
        <v>#N/A</v>
      </c>
      <c r="L4828" t="e">
        <f t="shared" si="984"/>
        <v>#N/A</v>
      </c>
      <c r="M4828" s="4" t="e">
        <f t="shared" si="985"/>
        <v>#N/A</v>
      </c>
      <c r="N4828" s="4" t="e">
        <f t="shared" si="986"/>
        <v>#N/A</v>
      </c>
    </row>
    <row r="4829" spans="1:14">
      <c r="A4829">
        <f t="shared" si="987"/>
        <v>0</v>
      </c>
      <c r="B4829">
        <f t="shared" si="988"/>
        <v>0</v>
      </c>
      <c r="C4829">
        <f t="shared" si="989"/>
        <v>0</v>
      </c>
      <c r="D4829">
        <f t="shared" si="990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91"/>
        <v>0</v>
      </c>
      <c r="G4829">
        <f t="shared" si="992"/>
        <v>0</v>
      </c>
      <c r="H4829">
        <f t="shared" si="993"/>
        <v>0</v>
      </c>
      <c r="I4829">
        <f t="shared" si="994"/>
        <v>0</v>
      </c>
      <c r="J4829">
        <f t="shared" si="995"/>
        <v>0</v>
      </c>
      <c r="K4829" s="4" t="e">
        <f t="shared" si="983"/>
        <v>#N/A</v>
      </c>
      <c r="L4829" t="e">
        <f t="shared" si="984"/>
        <v>#N/A</v>
      </c>
      <c r="M4829" s="4" t="e">
        <f t="shared" si="985"/>
        <v>#N/A</v>
      </c>
      <c r="N4829" s="4" t="e">
        <f t="shared" si="986"/>
        <v>#N/A</v>
      </c>
    </row>
    <row r="4830" spans="1:14">
      <c r="A4830">
        <f t="shared" si="987"/>
        <v>0</v>
      </c>
      <c r="B4830">
        <f t="shared" si="988"/>
        <v>0</v>
      </c>
      <c r="C4830">
        <f t="shared" si="989"/>
        <v>0</v>
      </c>
      <c r="D4830">
        <f t="shared" si="990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91"/>
        <v>0</v>
      </c>
      <c r="G4830">
        <f t="shared" si="992"/>
        <v>0</v>
      </c>
      <c r="H4830">
        <f t="shared" si="993"/>
        <v>0</v>
      </c>
      <c r="I4830">
        <f t="shared" si="994"/>
        <v>0</v>
      </c>
      <c r="J4830">
        <f t="shared" si="995"/>
        <v>0</v>
      </c>
      <c r="K4830" s="4" t="e">
        <f t="shared" si="983"/>
        <v>#N/A</v>
      </c>
      <c r="L4830" t="e">
        <f t="shared" si="984"/>
        <v>#N/A</v>
      </c>
      <c r="M4830" s="4" t="e">
        <f t="shared" si="985"/>
        <v>#N/A</v>
      </c>
      <c r="N4830" s="4" t="e">
        <f t="shared" si="986"/>
        <v>#N/A</v>
      </c>
    </row>
    <row r="4831" spans="1:14">
      <c r="A4831">
        <f t="shared" si="987"/>
        <v>0</v>
      </c>
      <c r="B4831">
        <f t="shared" si="988"/>
        <v>0</v>
      </c>
      <c r="C4831">
        <f t="shared" si="989"/>
        <v>0</v>
      </c>
      <c r="D4831">
        <f t="shared" si="990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91"/>
        <v>0</v>
      </c>
      <c r="G4831">
        <f t="shared" si="992"/>
        <v>0</v>
      </c>
      <c r="H4831">
        <f t="shared" si="993"/>
        <v>0</v>
      </c>
      <c r="I4831">
        <f t="shared" si="994"/>
        <v>0</v>
      </c>
      <c r="J4831">
        <f t="shared" si="995"/>
        <v>0</v>
      </c>
      <c r="K4831" s="4" t="e">
        <f t="shared" si="983"/>
        <v>#N/A</v>
      </c>
      <c r="L4831" t="e">
        <f t="shared" si="984"/>
        <v>#N/A</v>
      </c>
      <c r="M4831" s="4" t="e">
        <f t="shared" si="985"/>
        <v>#N/A</v>
      </c>
      <c r="N4831" s="4" t="e">
        <f t="shared" si="986"/>
        <v>#N/A</v>
      </c>
    </row>
    <row r="4832" spans="1:14">
      <c r="A4832">
        <f t="shared" si="987"/>
        <v>0</v>
      </c>
      <c r="B4832">
        <f t="shared" si="988"/>
        <v>0</v>
      </c>
      <c r="C4832">
        <f t="shared" si="989"/>
        <v>0</v>
      </c>
      <c r="D4832">
        <f t="shared" si="990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91"/>
        <v>0</v>
      </c>
      <c r="G4832">
        <f t="shared" si="992"/>
        <v>0</v>
      </c>
      <c r="H4832">
        <f t="shared" si="993"/>
        <v>0</v>
      </c>
      <c r="I4832">
        <f t="shared" si="994"/>
        <v>0</v>
      </c>
      <c r="J4832">
        <f t="shared" si="995"/>
        <v>0</v>
      </c>
      <c r="K4832" s="4" t="e">
        <f t="shared" si="983"/>
        <v>#N/A</v>
      </c>
      <c r="L4832" t="e">
        <f t="shared" si="984"/>
        <v>#N/A</v>
      </c>
      <c r="M4832" s="4" t="e">
        <f t="shared" si="985"/>
        <v>#N/A</v>
      </c>
      <c r="N4832" s="4" t="e">
        <f t="shared" si="986"/>
        <v>#N/A</v>
      </c>
    </row>
    <row r="4833" spans="1:14">
      <c r="A4833">
        <f t="shared" si="987"/>
        <v>0</v>
      </c>
      <c r="B4833">
        <f t="shared" si="988"/>
        <v>0</v>
      </c>
      <c r="C4833">
        <f t="shared" si="989"/>
        <v>0</v>
      </c>
      <c r="D4833">
        <f t="shared" si="990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91"/>
        <v>0</v>
      </c>
      <c r="G4833">
        <f t="shared" si="992"/>
        <v>0</v>
      </c>
      <c r="H4833">
        <f t="shared" si="993"/>
        <v>0</v>
      </c>
      <c r="I4833">
        <f t="shared" si="994"/>
        <v>0</v>
      </c>
      <c r="J4833">
        <f t="shared" si="995"/>
        <v>0</v>
      </c>
      <c r="K4833" s="4" t="e">
        <f t="shared" si="983"/>
        <v>#N/A</v>
      </c>
      <c r="L4833" t="e">
        <f t="shared" si="984"/>
        <v>#N/A</v>
      </c>
      <c r="M4833" s="4" t="e">
        <f t="shared" si="985"/>
        <v>#N/A</v>
      </c>
      <c r="N4833" s="4" t="e">
        <f t="shared" si="986"/>
        <v>#N/A</v>
      </c>
    </row>
    <row r="4834" spans="1:14">
      <c r="A4834">
        <f t="shared" si="987"/>
        <v>0</v>
      </c>
      <c r="B4834">
        <f t="shared" si="988"/>
        <v>0</v>
      </c>
      <c r="C4834">
        <f t="shared" si="989"/>
        <v>0</v>
      </c>
      <c r="D4834">
        <f t="shared" si="990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91"/>
        <v>0</v>
      </c>
      <c r="G4834">
        <f t="shared" si="992"/>
        <v>0</v>
      </c>
      <c r="H4834">
        <f t="shared" si="993"/>
        <v>0</v>
      </c>
      <c r="I4834">
        <f t="shared" si="994"/>
        <v>0</v>
      </c>
      <c r="J4834">
        <f t="shared" si="995"/>
        <v>0</v>
      </c>
      <c r="K4834" s="4" t="e">
        <f t="shared" si="983"/>
        <v>#N/A</v>
      </c>
      <c r="L4834" t="e">
        <f t="shared" si="984"/>
        <v>#N/A</v>
      </c>
      <c r="M4834" s="4" t="e">
        <f t="shared" si="985"/>
        <v>#N/A</v>
      </c>
      <c r="N4834" s="4" t="e">
        <f t="shared" si="986"/>
        <v>#N/A</v>
      </c>
    </row>
    <row r="4835" spans="1:14">
      <c r="A4835">
        <f t="shared" si="987"/>
        <v>0</v>
      </c>
      <c r="B4835">
        <f t="shared" si="988"/>
        <v>0</v>
      </c>
      <c r="C4835">
        <f t="shared" si="989"/>
        <v>0</v>
      </c>
      <c r="D4835">
        <f t="shared" si="990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91"/>
        <v>0</v>
      </c>
      <c r="G4835">
        <f t="shared" si="992"/>
        <v>0</v>
      </c>
      <c r="H4835">
        <f t="shared" si="993"/>
        <v>0</v>
      </c>
      <c r="I4835">
        <f t="shared" si="994"/>
        <v>0</v>
      </c>
      <c r="J4835">
        <f t="shared" si="995"/>
        <v>0</v>
      </c>
      <c r="K4835" s="4" t="e">
        <f t="shared" si="983"/>
        <v>#N/A</v>
      </c>
      <c r="L4835" t="e">
        <f t="shared" si="984"/>
        <v>#N/A</v>
      </c>
      <c r="M4835" s="4" t="e">
        <f t="shared" si="985"/>
        <v>#N/A</v>
      </c>
      <c r="N4835" s="4" t="e">
        <f t="shared" si="986"/>
        <v>#N/A</v>
      </c>
    </row>
    <row r="4836" spans="1:14">
      <c r="A4836">
        <f t="shared" si="987"/>
        <v>0</v>
      </c>
      <c r="B4836">
        <f t="shared" si="988"/>
        <v>0</v>
      </c>
      <c r="C4836">
        <f t="shared" si="989"/>
        <v>0</v>
      </c>
      <c r="D4836">
        <f t="shared" si="990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91"/>
        <v>0</v>
      </c>
      <c r="G4836">
        <f t="shared" si="992"/>
        <v>0</v>
      </c>
      <c r="H4836">
        <f t="shared" si="993"/>
        <v>0</v>
      </c>
      <c r="I4836">
        <f t="shared" si="994"/>
        <v>0</v>
      </c>
      <c r="J4836">
        <f t="shared" si="995"/>
        <v>0</v>
      </c>
      <c r="K4836" s="4" t="e">
        <f t="shared" si="983"/>
        <v>#N/A</v>
      </c>
      <c r="L4836" t="e">
        <f t="shared" si="984"/>
        <v>#N/A</v>
      </c>
      <c r="M4836" s="4" t="e">
        <f t="shared" si="985"/>
        <v>#N/A</v>
      </c>
      <c r="N4836" s="4" t="e">
        <f t="shared" si="986"/>
        <v>#N/A</v>
      </c>
    </row>
    <row r="4837" spans="1:14">
      <c r="A4837">
        <f t="shared" si="987"/>
        <v>0</v>
      </c>
      <c r="B4837">
        <f t="shared" si="988"/>
        <v>0</v>
      </c>
      <c r="C4837">
        <f t="shared" si="989"/>
        <v>0</v>
      </c>
      <c r="D4837">
        <f t="shared" si="990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91"/>
        <v>0</v>
      </c>
      <c r="G4837">
        <f t="shared" si="992"/>
        <v>0</v>
      </c>
      <c r="H4837">
        <f t="shared" si="993"/>
        <v>0</v>
      </c>
      <c r="I4837">
        <f t="shared" si="994"/>
        <v>0</v>
      </c>
      <c r="J4837">
        <f t="shared" si="995"/>
        <v>0</v>
      </c>
      <c r="K4837" s="4" t="e">
        <f t="shared" si="983"/>
        <v>#N/A</v>
      </c>
      <c r="L4837" t="e">
        <f t="shared" si="984"/>
        <v>#N/A</v>
      </c>
      <c r="M4837" s="4" t="e">
        <f t="shared" si="985"/>
        <v>#N/A</v>
      </c>
      <c r="N4837" s="4" t="e">
        <f t="shared" si="986"/>
        <v>#N/A</v>
      </c>
    </row>
    <row r="4838" spans="1:14">
      <c r="A4838">
        <f t="shared" si="987"/>
        <v>0</v>
      </c>
      <c r="B4838">
        <f t="shared" si="988"/>
        <v>0</v>
      </c>
      <c r="C4838">
        <f t="shared" si="989"/>
        <v>0</v>
      </c>
      <c r="D4838">
        <f t="shared" si="990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91"/>
        <v>0</v>
      </c>
      <c r="G4838">
        <f t="shared" si="992"/>
        <v>0</v>
      </c>
      <c r="H4838">
        <f t="shared" si="993"/>
        <v>0</v>
      </c>
      <c r="I4838">
        <f t="shared" si="994"/>
        <v>0</v>
      </c>
      <c r="J4838">
        <f t="shared" si="995"/>
        <v>0</v>
      </c>
      <c r="K4838" s="4" t="e">
        <f t="shared" si="983"/>
        <v>#N/A</v>
      </c>
      <c r="L4838" t="e">
        <f t="shared" si="984"/>
        <v>#N/A</v>
      </c>
      <c r="M4838" s="4" t="e">
        <f t="shared" si="985"/>
        <v>#N/A</v>
      </c>
      <c r="N4838" s="4" t="e">
        <f t="shared" si="986"/>
        <v>#N/A</v>
      </c>
    </row>
    <row r="4839" spans="1:14">
      <c r="A4839">
        <f t="shared" si="987"/>
        <v>0</v>
      </c>
      <c r="B4839">
        <f t="shared" si="988"/>
        <v>0</v>
      </c>
      <c r="C4839">
        <f t="shared" si="989"/>
        <v>0</v>
      </c>
      <c r="D4839">
        <f t="shared" si="990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91"/>
        <v>0</v>
      </c>
      <c r="G4839">
        <f t="shared" si="992"/>
        <v>0</v>
      </c>
      <c r="H4839">
        <f t="shared" si="993"/>
        <v>0</v>
      </c>
      <c r="I4839">
        <f t="shared" si="994"/>
        <v>0</v>
      </c>
      <c r="J4839">
        <f t="shared" si="995"/>
        <v>0</v>
      </c>
      <c r="K4839" s="4" t="e">
        <f t="shared" si="983"/>
        <v>#N/A</v>
      </c>
      <c r="L4839" t="e">
        <f t="shared" si="984"/>
        <v>#N/A</v>
      </c>
      <c r="M4839" s="4" t="e">
        <f t="shared" si="985"/>
        <v>#N/A</v>
      </c>
      <c r="N4839" s="4" t="e">
        <f t="shared" si="986"/>
        <v>#N/A</v>
      </c>
    </row>
    <row r="4840" spans="1:14">
      <c r="A4840">
        <f t="shared" si="987"/>
        <v>0</v>
      </c>
      <c r="B4840">
        <f t="shared" si="988"/>
        <v>0</v>
      </c>
      <c r="C4840">
        <f t="shared" si="989"/>
        <v>0</v>
      </c>
      <c r="D4840">
        <f t="shared" si="990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91"/>
        <v>0</v>
      </c>
      <c r="G4840">
        <f t="shared" si="992"/>
        <v>0</v>
      </c>
      <c r="H4840">
        <f t="shared" si="993"/>
        <v>0</v>
      </c>
      <c r="I4840">
        <f t="shared" si="994"/>
        <v>0</v>
      </c>
      <c r="J4840">
        <f t="shared" si="995"/>
        <v>0</v>
      </c>
      <c r="K4840" s="4" t="e">
        <f t="shared" si="983"/>
        <v>#N/A</v>
      </c>
      <c r="L4840" t="e">
        <f t="shared" si="984"/>
        <v>#N/A</v>
      </c>
      <c r="M4840" s="4" t="e">
        <f t="shared" si="985"/>
        <v>#N/A</v>
      </c>
      <c r="N4840" s="4" t="e">
        <f t="shared" si="986"/>
        <v>#N/A</v>
      </c>
    </row>
    <row r="4841" spans="1:14">
      <c r="A4841">
        <f t="shared" si="987"/>
        <v>0</v>
      </c>
      <c r="B4841">
        <f t="shared" si="988"/>
        <v>0</v>
      </c>
      <c r="C4841">
        <f t="shared" si="989"/>
        <v>0</v>
      </c>
      <c r="D4841">
        <f t="shared" si="990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91"/>
        <v>0</v>
      </c>
      <c r="G4841">
        <f t="shared" si="992"/>
        <v>0</v>
      </c>
      <c r="H4841">
        <f t="shared" si="993"/>
        <v>0</v>
      </c>
      <c r="I4841">
        <f t="shared" si="994"/>
        <v>0</v>
      </c>
      <c r="J4841">
        <f t="shared" si="995"/>
        <v>0</v>
      </c>
      <c r="K4841" s="4" t="e">
        <f t="shared" si="983"/>
        <v>#N/A</v>
      </c>
      <c r="L4841" t="e">
        <f t="shared" si="984"/>
        <v>#N/A</v>
      </c>
      <c r="M4841" s="4" t="e">
        <f t="shared" si="985"/>
        <v>#N/A</v>
      </c>
      <c r="N4841" s="4" t="e">
        <f t="shared" si="986"/>
        <v>#N/A</v>
      </c>
    </row>
    <row r="4842" spans="1:14">
      <c r="A4842">
        <f t="shared" si="987"/>
        <v>0</v>
      </c>
      <c r="B4842">
        <f t="shared" si="988"/>
        <v>0</v>
      </c>
      <c r="C4842">
        <f t="shared" si="989"/>
        <v>0</v>
      </c>
      <c r="D4842">
        <f t="shared" si="990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91"/>
        <v>0</v>
      </c>
      <c r="G4842">
        <f t="shared" si="992"/>
        <v>0</v>
      </c>
      <c r="H4842">
        <f t="shared" si="993"/>
        <v>0</v>
      </c>
      <c r="I4842">
        <f t="shared" si="994"/>
        <v>0</v>
      </c>
      <c r="J4842">
        <f t="shared" si="995"/>
        <v>0</v>
      </c>
      <c r="K4842" s="4" t="e">
        <f t="shared" si="983"/>
        <v>#N/A</v>
      </c>
      <c r="L4842" t="e">
        <f t="shared" si="984"/>
        <v>#N/A</v>
      </c>
      <c r="M4842" s="4" t="e">
        <f t="shared" si="985"/>
        <v>#N/A</v>
      </c>
      <c r="N4842" s="4" t="e">
        <f t="shared" si="986"/>
        <v>#N/A</v>
      </c>
    </row>
    <row r="4843" spans="1:14">
      <c r="A4843">
        <f t="shared" si="987"/>
        <v>0</v>
      </c>
      <c r="B4843">
        <f t="shared" si="988"/>
        <v>0</v>
      </c>
      <c r="C4843">
        <f t="shared" si="989"/>
        <v>0</v>
      </c>
      <c r="D4843">
        <f t="shared" si="990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91"/>
        <v>0</v>
      </c>
      <c r="G4843">
        <f t="shared" si="992"/>
        <v>0</v>
      </c>
      <c r="H4843">
        <f t="shared" si="993"/>
        <v>0</v>
      </c>
      <c r="I4843">
        <f t="shared" si="994"/>
        <v>0</v>
      </c>
      <c r="J4843">
        <f t="shared" si="995"/>
        <v>0</v>
      </c>
      <c r="K4843" s="4" t="e">
        <f t="shared" si="983"/>
        <v>#N/A</v>
      </c>
      <c r="L4843" t="e">
        <f t="shared" si="984"/>
        <v>#N/A</v>
      </c>
      <c r="M4843" s="4" t="e">
        <f t="shared" si="985"/>
        <v>#N/A</v>
      </c>
      <c r="N4843" s="4" t="e">
        <f t="shared" si="986"/>
        <v>#N/A</v>
      </c>
    </row>
    <row r="4844" spans="1:14">
      <c r="A4844">
        <f t="shared" si="987"/>
        <v>0</v>
      </c>
      <c r="B4844">
        <f t="shared" si="988"/>
        <v>0</v>
      </c>
      <c r="C4844">
        <f t="shared" si="989"/>
        <v>0</v>
      </c>
      <c r="D4844">
        <f t="shared" si="990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91"/>
        <v>0</v>
      </c>
      <c r="G4844">
        <f t="shared" si="992"/>
        <v>0</v>
      </c>
      <c r="H4844">
        <f t="shared" si="993"/>
        <v>0</v>
      </c>
      <c r="I4844">
        <f t="shared" si="994"/>
        <v>0</v>
      </c>
      <c r="J4844">
        <f t="shared" si="995"/>
        <v>0</v>
      </c>
      <c r="K4844" s="4" t="e">
        <f t="shared" si="983"/>
        <v>#N/A</v>
      </c>
      <c r="L4844" t="e">
        <f t="shared" si="984"/>
        <v>#N/A</v>
      </c>
      <c r="M4844" s="4" t="e">
        <f t="shared" si="985"/>
        <v>#N/A</v>
      </c>
      <c r="N4844" s="4" t="e">
        <f t="shared" si="986"/>
        <v>#N/A</v>
      </c>
    </row>
    <row r="4845" spans="1:14">
      <c r="A4845">
        <f t="shared" si="987"/>
        <v>0</v>
      </c>
      <c r="B4845">
        <f t="shared" si="988"/>
        <v>0</v>
      </c>
      <c r="C4845">
        <f t="shared" si="989"/>
        <v>0</v>
      </c>
      <c r="D4845">
        <f t="shared" si="990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91"/>
        <v>0</v>
      </c>
      <c r="G4845">
        <f t="shared" si="992"/>
        <v>0</v>
      </c>
      <c r="H4845">
        <f t="shared" si="993"/>
        <v>0</v>
      </c>
      <c r="I4845">
        <f t="shared" si="994"/>
        <v>0</v>
      </c>
      <c r="J4845">
        <f t="shared" si="995"/>
        <v>0</v>
      </c>
      <c r="K4845" s="4" t="e">
        <f t="shared" si="983"/>
        <v>#N/A</v>
      </c>
      <c r="L4845" t="e">
        <f t="shared" si="984"/>
        <v>#N/A</v>
      </c>
      <c r="M4845" s="4" t="e">
        <f t="shared" si="985"/>
        <v>#N/A</v>
      </c>
      <c r="N4845" s="4" t="e">
        <f t="shared" si="986"/>
        <v>#N/A</v>
      </c>
    </row>
    <row r="4846" spans="1:14">
      <c r="A4846">
        <f t="shared" si="987"/>
        <v>0</v>
      </c>
      <c r="B4846">
        <f t="shared" si="988"/>
        <v>0</v>
      </c>
      <c r="C4846">
        <f t="shared" si="989"/>
        <v>0</v>
      </c>
      <c r="D4846">
        <f t="shared" si="990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91"/>
        <v>0</v>
      </c>
      <c r="G4846">
        <f t="shared" si="992"/>
        <v>0</v>
      </c>
      <c r="H4846">
        <f t="shared" si="993"/>
        <v>0</v>
      </c>
      <c r="I4846">
        <f t="shared" si="994"/>
        <v>0</v>
      </c>
      <c r="J4846">
        <f t="shared" si="995"/>
        <v>0</v>
      </c>
      <c r="K4846" s="4" t="e">
        <f t="shared" si="983"/>
        <v>#N/A</v>
      </c>
      <c r="L4846" t="e">
        <f t="shared" si="984"/>
        <v>#N/A</v>
      </c>
      <c r="M4846" s="4" t="e">
        <f t="shared" si="985"/>
        <v>#N/A</v>
      </c>
      <c r="N4846" s="4" t="e">
        <f t="shared" si="986"/>
        <v>#N/A</v>
      </c>
    </row>
    <row r="4847" spans="1:14">
      <c r="A4847">
        <f t="shared" si="987"/>
        <v>0</v>
      </c>
      <c r="B4847">
        <f t="shared" si="988"/>
        <v>0</v>
      </c>
      <c r="C4847">
        <f t="shared" si="989"/>
        <v>0</v>
      </c>
      <c r="D4847">
        <f t="shared" si="990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91"/>
        <v>0</v>
      </c>
      <c r="G4847">
        <f t="shared" si="992"/>
        <v>0</v>
      </c>
      <c r="H4847">
        <f t="shared" si="993"/>
        <v>0</v>
      </c>
      <c r="I4847">
        <f t="shared" si="994"/>
        <v>0</v>
      </c>
      <c r="J4847">
        <f t="shared" si="995"/>
        <v>0</v>
      </c>
      <c r="K4847" s="4" t="e">
        <f t="shared" si="983"/>
        <v>#N/A</v>
      </c>
      <c r="L4847" t="e">
        <f t="shared" si="984"/>
        <v>#N/A</v>
      </c>
      <c r="M4847" s="4" t="e">
        <f t="shared" si="985"/>
        <v>#N/A</v>
      </c>
      <c r="N4847" s="4" t="e">
        <f t="shared" si="986"/>
        <v>#N/A</v>
      </c>
    </row>
    <row r="4848" spans="1:14">
      <c r="A4848">
        <f t="shared" si="987"/>
        <v>0</v>
      </c>
      <c r="B4848">
        <f t="shared" si="988"/>
        <v>0</v>
      </c>
      <c r="C4848">
        <f t="shared" si="989"/>
        <v>0</v>
      </c>
      <c r="D4848">
        <f t="shared" si="990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91"/>
        <v>0</v>
      </c>
      <c r="G4848">
        <f t="shared" si="992"/>
        <v>0</v>
      </c>
      <c r="H4848">
        <f t="shared" si="993"/>
        <v>0</v>
      </c>
      <c r="I4848">
        <f t="shared" si="994"/>
        <v>0</v>
      </c>
      <c r="J4848">
        <f t="shared" si="995"/>
        <v>0</v>
      </c>
      <c r="K4848" s="4" t="e">
        <f t="shared" si="983"/>
        <v>#N/A</v>
      </c>
      <c r="L4848" t="e">
        <f t="shared" si="984"/>
        <v>#N/A</v>
      </c>
      <c r="M4848" s="4" t="e">
        <f t="shared" si="985"/>
        <v>#N/A</v>
      </c>
      <c r="N4848" s="4" t="e">
        <f t="shared" si="986"/>
        <v>#N/A</v>
      </c>
    </row>
    <row r="4849" spans="1:14">
      <c r="A4849">
        <f t="shared" si="987"/>
        <v>0</v>
      </c>
      <c r="B4849">
        <f t="shared" si="988"/>
        <v>0</v>
      </c>
      <c r="C4849">
        <f t="shared" si="989"/>
        <v>0</v>
      </c>
      <c r="D4849">
        <f t="shared" si="990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91"/>
        <v>0</v>
      </c>
      <c r="G4849">
        <f t="shared" si="992"/>
        <v>0</v>
      </c>
      <c r="H4849">
        <f t="shared" si="993"/>
        <v>0</v>
      </c>
      <c r="I4849">
        <f t="shared" si="994"/>
        <v>0</v>
      </c>
      <c r="J4849">
        <f t="shared" si="995"/>
        <v>0</v>
      </c>
      <c r="K4849" s="4" t="e">
        <f t="shared" si="983"/>
        <v>#N/A</v>
      </c>
      <c r="L4849" t="e">
        <f t="shared" si="984"/>
        <v>#N/A</v>
      </c>
      <c r="M4849" s="4" t="e">
        <f t="shared" si="985"/>
        <v>#N/A</v>
      </c>
      <c r="N4849" s="4" t="e">
        <f t="shared" si="986"/>
        <v>#N/A</v>
      </c>
    </row>
    <row r="4850" spans="1:14">
      <c r="A4850">
        <f t="shared" si="987"/>
        <v>0</v>
      </c>
      <c r="B4850">
        <f t="shared" si="988"/>
        <v>0</v>
      </c>
      <c r="C4850">
        <f t="shared" si="989"/>
        <v>0</v>
      </c>
      <c r="D4850">
        <f t="shared" si="990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91"/>
        <v>0</v>
      </c>
      <c r="G4850">
        <f t="shared" si="992"/>
        <v>0</v>
      </c>
      <c r="H4850">
        <f t="shared" si="993"/>
        <v>0</v>
      </c>
      <c r="I4850">
        <f t="shared" si="994"/>
        <v>0</v>
      </c>
      <c r="J4850">
        <f t="shared" si="995"/>
        <v>0</v>
      </c>
      <c r="K4850" s="4" t="e">
        <f t="shared" si="983"/>
        <v>#N/A</v>
      </c>
      <c r="L4850" t="e">
        <f t="shared" si="984"/>
        <v>#N/A</v>
      </c>
      <c r="M4850" s="4" t="e">
        <f t="shared" si="985"/>
        <v>#N/A</v>
      </c>
      <c r="N4850" s="4" t="e">
        <f t="shared" si="986"/>
        <v>#N/A</v>
      </c>
    </row>
    <row r="4851" spans="1:14">
      <c r="A4851">
        <f t="shared" si="987"/>
        <v>0</v>
      </c>
      <c r="B4851">
        <f t="shared" si="988"/>
        <v>0</v>
      </c>
      <c r="C4851">
        <f t="shared" si="989"/>
        <v>0</v>
      </c>
      <c r="D4851">
        <f t="shared" si="990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91"/>
        <v>0</v>
      </c>
      <c r="G4851">
        <f t="shared" si="992"/>
        <v>0</v>
      </c>
      <c r="H4851">
        <f t="shared" si="993"/>
        <v>0</v>
      </c>
      <c r="I4851">
        <f t="shared" si="994"/>
        <v>0</v>
      </c>
      <c r="J4851">
        <f t="shared" si="995"/>
        <v>0</v>
      </c>
      <c r="K4851" s="4" t="e">
        <f t="shared" si="983"/>
        <v>#N/A</v>
      </c>
      <c r="L4851" t="e">
        <f t="shared" si="984"/>
        <v>#N/A</v>
      </c>
      <c r="M4851" s="4" t="e">
        <f t="shared" si="985"/>
        <v>#N/A</v>
      </c>
      <c r="N4851" s="4" t="e">
        <f t="shared" si="986"/>
        <v>#N/A</v>
      </c>
    </row>
    <row r="4852" spans="1:14">
      <c r="A4852">
        <f t="shared" si="987"/>
        <v>0</v>
      </c>
      <c r="B4852">
        <f t="shared" si="988"/>
        <v>0</v>
      </c>
      <c r="C4852">
        <f t="shared" si="989"/>
        <v>0</v>
      </c>
      <c r="D4852">
        <f t="shared" si="990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91"/>
        <v>0</v>
      </c>
      <c r="G4852">
        <f t="shared" si="992"/>
        <v>0</v>
      </c>
      <c r="H4852">
        <f t="shared" si="993"/>
        <v>0</v>
      </c>
      <c r="I4852">
        <f t="shared" si="994"/>
        <v>0</v>
      </c>
      <c r="J4852">
        <f t="shared" si="995"/>
        <v>0</v>
      </c>
      <c r="K4852" s="4" t="e">
        <f t="shared" si="983"/>
        <v>#N/A</v>
      </c>
      <c r="L4852" t="e">
        <f t="shared" si="984"/>
        <v>#N/A</v>
      </c>
      <c r="M4852" s="4" t="e">
        <f t="shared" si="985"/>
        <v>#N/A</v>
      </c>
      <c r="N4852" s="4" t="e">
        <f t="shared" si="986"/>
        <v>#N/A</v>
      </c>
    </row>
    <row r="4853" spans="1:14">
      <c r="A4853">
        <f t="shared" si="987"/>
        <v>0</v>
      </c>
      <c r="B4853">
        <f t="shared" si="988"/>
        <v>0</v>
      </c>
      <c r="C4853">
        <f t="shared" si="989"/>
        <v>0</v>
      </c>
      <c r="D4853">
        <f t="shared" si="990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91"/>
        <v>0</v>
      </c>
      <c r="G4853">
        <f t="shared" si="992"/>
        <v>0</v>
      </c>
      <c r="H4853">
        <f t="shared" si="993"/>
        <v>0</v>
      </c>
      <c r="I4853">
        <f t="shared" si="994"/>
        <v>0</v>
      </c>
      <c r="J4853">
        <f t="shared" si="995"/>
        <v>0</v>
      </c>
      <c r="K4853" s="4" t="e">
        <f t="shared" si="983"/>
        <v>#N/A</v>
      </c>
      <c r="L4853" t="e">
        <f t="shared" si="984"/>
        <v>#N/A</v>
      </c>
      <c r="M4853" s="4" t="e">
        <f t="shared" si="985"/>
        <v>#N/A</v>
      </c>
      <c r="N4853" s="4" t="e">
        <f t="shared" si="986"/>
        <v>#N/A</v>
      </c>
    </row>
    <row r="4854" spans="1:14">
      <c r="A4854">
        <f t="shared" si="987"/>
        <v>0</v>
      </c>
      <c r="B4854">
        <f t="shared" si="988"/>
        <v>0</v>
      </c>
      <c r="C4854">
        <f t="shared" si="989"/>
        <v>0</v>
      </c>
      <c r="D4854">
        <f t="shared" si="990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91"/>
        <v>0</v>
      </c>
      <c r="G4854">
        <f t="shared" si="992"/>
        <v>0</v>
      </c>
      <c r="H4854">
        <f t="shared" si="993"/>
        <v>0</v>
      </c>
      <c r="I4854">
        <f t="shared" si="994"/>
        <v>0</v>
      </c>
      <c r="J4854">
        <f t="shared" si="995"/>
        <v>0</v>
      </c>
      <c r="K4854" s="4" t="e">
        <f t="shared" si="983"/>
        <v>#N/A</v>
      </c>
      <c r="L4854" t="e">
        <f t="shared" si="984"/>
        <v>#N/A</v>
      </c>
      <c r="M4854" s="4" t="e">
        <f t="shared" si="985"/>
        <v>#N/A</v>
      </c>
      <c r="N4854" s="4" t="e">
        <f t="shared" si="986"/>
        <v>#N/A</v>
      </c>
    </row>
    <row r="4855" spans="1:14">
      <c r="A4855">
        <f t="shared" si="987"/>
        <v>0</v>
      </c>
      <c r="B4855">
        <f t="shared" si="988"/>
        <v>0</v>
      </c>
      <c r="C4855">
        <f t="shared" si="989"/>
        <v>0</v>
      </c>
      <c r="D4855">
        <f t="shared" si="990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91"/>
        <v>0</v>
      </c>
      <c r="G4855">
        <f t="shared" si="992"/>
        <v>0</v>
      </c>
      <c r="H4855">
        <f t="shared" si="993"/>
        <v>0</v>
      </c>
      <c r="I4855">
        <f t="shared" si="994"/>
        <v>0</v>
      </c>
      <c r="J4855">
        <f t="shared" si="995"/>
        <v>0</v>
      </c>
      <c r="K4855" s="4" t="e">
        <f t="shared" si="983"/>
        <v>#N/A</v>
      </c>
      <c r="L4855" t="e">
        <f t="shared" si="984"/>
        <v>#N/A</v>
      </c>
      <c r="M4855" s="4" t="e">
        <f t="shared" si="985"/>
        <v>#N/A</v>
      </c>
      <c r="N4855" s="4" t="e">
        <f t="shared" si="986"/>
        <v>#N/A</v>
      </c>
    </row>
    <row r="4856" spans="1:14">
      <c r="A4856">
        <f t="shared" si="987"/>
        <v>0</v>
      </c>
      <c r="B4856">
        <f t="shared" si="988"/>
        <v>0</v>
      </c>
      <c r="C4856">
        <f t="shared" si="989"/>
        <v>0</v>
      </c>
      <c r="D4856">
        <f t="shared" si="990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91"/>
        <v>0</v>
      </c>
      <c r="G4856">
        <f t="shared" si="992"/>
        <v>0</v>
      </c>
      <c r="H4856">
        <f t="shared" si="993"/>
        <v>0</v>
      </c>
      <c r="I4856">
        <f t="shared" si="994"/>
        <v>0</v>
      </c>
      <c r="J4856">
        <f t="shared" si="995"/>
        <v>0</v>
      </c>
      <c r="K4856" s="4" t="e">
        <f t="shared" si="983"/>
        <v>#N/A</v>
      </c>
      <c r="L4856" t="e">
        <f t="shared" si="984"/>
        <v>#N/A</v>
      </c>
      <c r="M4856" s="4" t="e">
        <f t="shared" si="985"/>
        <v>#N/A</v>
      </c>
      <c r="N4856" s="4" t="e">
        <f t="shared" si="986"/>
        <v>#N/A</v>
      </c>
    </row>
    <row r="4857" spans="1:14">
      <c r="A4857">
        <f t="shared" si="987"/>
        <v>0</v>
      </c>
      <c r="B4857">
        <f t="shared" si="988"/>
        <v>0</v>
      </c>
      <c r="C4857">
        <f t="shared" si="989"/>
        <v>0</v>
      </c>
      <c r="D4857">
        <f t="shared" si="990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91"/>
        <v>0</v>
      </c>
      <c r="G4857">
        <f t="shared" si="992"/>
        <v>0</v>
      </c>
      <c r="H4857">
        <f t="shared" si="993"/>
        <v>0</v>
      </c>
      <c r="I4857">
        <f t="shared" si="994"/>
        <v>0</v>
      </c>
      <c r="J4857">
        <f t="shared" si="995"/>
        <v>0</v>
      </c>
      <c r="K4857" s="4" t="e">
        <f t="shared" si="983"/>
        <v>#N/A</v>
      </c>
      <c r="L4857" t="e">
        <f t="shared" si="984"/>
        <v>#N/A</v>
      </c>
      <c r="M4857" s="4" t="e">
        <f t="shared" si="985"/>
        <v>#N/A</v>
      </c>
      <c r="N4857" s="4" t="e">
        <f t="shared" si="986"/>
        <v>#N/A</v>
      </c>
    </row>
    <row r="4858" spans="1:14">
      <c r="A4858">
        <f t="shared" si="987"/>
        <v>0</v>
      </c>
      <c r="B4858">
        <f t="shared" si="988"/>
        <v>0</v>
      </c>
      <c r="C4858">
        <f t="shared" si="989"/>
        <v>0</v>
      </c>
      <c r="D4858">
        <f t="shared" si="990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91"/>
        <v>0</v>
      </c>
      <c r="G4858">
        <f t="shared" si="992"/>
        <v>0</v>
      </c>
      <c r="H4858">
        <f t="shared" si="993"/>
        <v>0</v>
      </c>
      <c r="I4858">
        <f t="shared" si="994"/>
        <v>0</v>
      </c>
      <c r="J4858">
        <f t="shared" si="995"/>
        <v>0</v>
      </c>
      <c r="K4858" s="4" t="e">
        <f t="shared" si="983"/>
        <v>#N/A</v>
      </c>
      <c r="L4858" t="e">
        <f t="shared" si="984"/>
        <v>#N/A</v>
      </c>
      <c r="M4858" s="4" t="e">
        <f t="shared" si="985"/>
        <v>#N/A</v>
      </c>
      <c r="N4858" s="4" t="e">
        <f t="shared" si="986"/>
        <v>#N/A</v>
      </c>
    </row>
    <row r="4859" spans="1:14">
      <c r="A4859">
        <f t="shared" si="987"/>
        <v>0</v>
      </c>
      <c r="B4859">
        <f t="shared" si="988"/>
        <v>0</v>
      </c>
      <c r="C4859">
        <f t="shared" si="989"/>
        <v>0</v>
      </c>
      <c r="D4859">
        <f t="shared" si="990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91"/>
        <v>0</v>
      </c>
      <c r="G4859">
        <f t="shared" si="992"/>
        <v>0</v>
      </c>
      <c r="H4859">
        <f t="shared" si="993"/>
        <v>0</v>
      </c>
      <c r="I4859">
        <f t="shared" si="994"/>
        <v>0</v>
      </c>
      <c r="J4859">
        <f t="shared" si="995"/>
        <v>0</v>
      </c>
      <c r="K4859" s="4" t="e">
        <f t="shared" si="983"/>
        <v>#N/A</v>
      </c>
      <c r="L4859" t="e">
        <f t="shared" si="984"/>
        <v>#N/A</v>
      </c>
      <c r="M4859" s="4" t="e">
        <f t="shared" si="985"/>
        <v>#N/A</v>
      </c>
      <c r="N4859" s="4" t="e">
        <f t="shared" si="986"/>
        <v>#N/A</v>
      </c>
    </row>
    <row r="4860" spans="1:14">
      <c r="A4860">
        <f t="shared" si="987"/>
        <v>0</v>
      </c>
      <c r="B4860">
        <f t="shared" si="988"/>
        <v>0</v>
      </c>
      <c r="C4860">
        <f t="shared" si="989"/>
        <v>0</v>
      </c>
      <c r="D4860">
        <f t="shared" si="990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91"/>
        <v>0</v>
      </c>
      <c r="G4860">
        <f t="shared" si="992"/>
        <v>0</v>
      </c>
      <c r="H4860">
        <f t="shared" si="993"/>
        <v>0</v>
      </c>
      <c r="I4860">
        <f t="shared" si="994"/>
        <v>0</v>
      </c>
      <c r="J4860">
        <f t="shared" si="995"/>
        <v>0</v>
      </c>
      <c r="K4860" s="4" t="e">
        <f t="shared" si="983"/>
        <v>#N/A</v>
      </c>
      <c r="L4860" t="e">
        <f t="shared" si="984"/>
        <v>#N/A</v>
      </c>
      <c r="M4860" s="4" t="e">
        <f t="shared" si="985"/>
        <v>#N/A</v>
      </c>
      <c r="N4860" s="4" t="e">
        <f t="shared" si="986"/>
        <v>#N/A</v>
      </c>
    </row>
    <row r="4861" spans="1:14">
      <c r="A4861">
        <f t="shared" si="987"/>
        <v>0</v>
      </c>
      <c r="B4861">
        <f t="shared" si="988"/>
        <v>0</v>
      </c>
      <c r="C4861">
        <f t="shared" si="989"/>
        <v>0</v>
      </c>
      <c r="D4861">
        <f t="shared" si="990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91"/>
        <v>0</v>
      </c>
      <c r="G4861">
        <f t="shared" si="992"/>
        <v>0</v>
      </c>
      <c r="H4861">
        <f t="shared" si="993"/>
        <v>0</v>
      </c>
      <c r="I4861">
        <f t="shared" si="994"/>
        <v>0</v>
      </c>
      <c r="J4861">
        <f t="shared" si="995"/>
        <v>0</v>
      </c>
      <c r="K4861" s="4" t="e">
        <f t="shared" ref="K4861:K4924" si="996">IF(LEFT(B4861,3)="DBM",0,VLOOKUP(E4861,tabela,2,FALSE))</f>
        <v>#N/A</v>
      </c>
      <c r="L4861" t="e">
        <f t="shared" ref="L4861:L4924" si="997">VLOOKUP(E4861,tabela,3,FALSE)</f>
        <v>#N/A</v>
      </c>
      <c r="M4861" s="4" t="e">
        <f t="shared" ref="M4861:M4924" si="998">IF(E4861="Dynamic Click",J4861*K4861,K4861*$I4861/1000)</f>
        <v>#N/A</v>
      </c>
      <c r="N4861" s="4" t="e">
        <f t="shared" ref="N4861:N4924" si="999">IF(E4861="Dynamic Click",J4861*L4861,L4861*$I4861/1000)</f>
        <v>#N/A</v>
      </c>
    </row>
    <row r="4862" spans="1:14">
      <c r="A4862">
        <f t="shared" si="987"/>
        <v>0</v>
      </c>
      <c r="B4862">
        <f t="shared" si="988"/>
        <v>0</v>
      </c>
      <c r="C4862">
        <f t="shared" si="989"/>
        <v>0</v>
      </c>
      <c r="D4862">
        <f t="shared" si="990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91"/>
        <v>0</v>
      </c>
      <c r="G4862">
        <f t="shared" si="992"/>
        <v>0</v>
      </c>
      <c r="H4862">
        <f t="shared" si="993"/>
        <v>0</v>
      </c>
      <c r="I4862">
        <f t="shared" si="994"/>
        <v>0</v>
      </c>
      <c r="J4862">
        <f t="shared" si="995"/>
        <v>0</v>
      </c>
      <c r="K4862" s="4" t="e">
        <f t="shared" si="996"/>
        <v>#N/A</v>
      </c>
      <c r="L4862" t="e">
        <f t="shared" si="997"/>
        <v>#N/A</v>
      </c>
      <c r="M4862" s="4" t="e">
        <f t="shared" si="998"/>
        <v>#N/A</v>
      </c>
      <c r="N4862" s="4" t="e">
        <f t="shared" si="999"/>
        <v>#N/A</v>
      </c>
    </row>
    <row r="4863" spans="1:14">
      <c r="A4863">
        <f t="shared" si="987"/>
        <v>0</v>
      </c>
      <c r="B4863">
        <f t="shared" si="988"/>
        <v>0</v>
      </c>
      <c r="C4863">
        <f t="shared" si="989"/>
        <v>0</v>
      </c>
      <c r="D4863">
        <f t="shared" si="990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91"/>
        <v>0</v>
      </c>
      <c r="G4863">
        <f t="shared" si="992"/>
        <v>0</v>
      </c>
      <c r="H4863">
        <f t="shared" si="993"/>
        <v>0</v>
      </c>
      <c r="I4863">
        <f t="shared" si="994"/>
        <v>0</v>
      </c>
      <c r="J4863">
        <f t="shared" si="995"/>
        <v>0</v>
      </c>
      <c r="K4863" s="4" t="e">
        <f t="shared" si="996"/>
        <v>#N/A</v>
      </c>
      <c r="L4863" t="e">
        <f t="shared" si="997"/>
        <v>#N/A</v>
      </c>
      <c r="M4863" s="4" t="e">
        <f t="shared" si="998"/>
        <v>#N/A</v>
      </c>
      <c r="N4863" s="4" t="e">
        <f t="shared" si="999"/>
        <v>#N/A</v>
      </c>
    </row>
    <row r="4864" spans="1:14">
      <c r="A4864">
        <f t="shared" si="987"/>
        <v>0</v>
      </c>
      <c r="B4864">
        <f t="shared" si="988"/>
        <v>0</v>
      </c>
      <c r="C4864">
        <f t="shared" si="989"/>
        <v>0</v>
      </c>
      <c r="D4864">
        <f t="shared" si="990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91"/>
        <v>0</v>
      </c>
      <c r="G4864">
        <f t="shared" si="992"/>
        <v>0</v>
      </c>
      <c r="H4864">
        <f t="shared" si="993"/>
        <v>0</v>
      </c>
      <c r="I4864">
        <f t="shared" si="994"/>
        <v>0</v>
      </c>
      <c r="J4864">
        <f t="shared" si="995"/>
        <v>0</v>
      </c>
      <c r="K4864" s="4" t="e">
        <f t="shared" si="996"/>
        <v>#N/A</v>
      </c>
      <c r="L4864" t="e">
        <f t="shared" si="997"/>
        <v>#N/A</v>
      </c>
      <c r="M4864" s="4" t="e">
        <f t="shared" si="998"/>
        <v>#N/A</v>
      </c>
      <c r="N4864" s="4" t="e">
        <f t="shared" si="999"/>
        <v>#N/A</v>
      </c>
    </row>
    <row r="4865" spans="1:14">
      <c r="A4865">
        <f t="shared" si="987"/>
        <v>0</v>
      </c>
      <c r="B4865">
        <f t="shared" si="988"/>
        <v>0</v>
      </c>
      <c r="C4865">
        <f t="shared" si="989"/>
        <v>0</v>
      </c>
      <c r="D4865">
        <f t="shared" si="990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91"/>
        <v>0</v>
      </c>
      <c r="G4865">
        <f t="shared" si="992"/>
        <v>0</v>
      </c>
      <c r="H4865">
        <f t="shared" si="993"/>
        <v>0</v>
      </c>
      <c r="I4865">
        <f t="shared" si="994"/>
        <v>0</v>
      </c>
      <c r="J4865">
        <f t="shared" si="995"/>
        <v>0</v>
      </c>
      <c r="K4865" s="4" t="e">
        <f t="shared" si="996"/>
        <v>#N/A</v>
      </c>
      <c r="L4865" t="e">
        <f t="shared" si="997"/>
        <v>#N/A</v>
      </c>
      <c r="M4865" s="4" t="e">
        <f t="shared" si="998"/>
        <v>#N/A</v>
      </c>
      <c r="N4865" s="4" t="e">
        <f t="shared" si="999"/>
        <v>#N/A</v>
      </c>
    </row>
    <row r="4866" spans="1:14">
      <c r="A4866">
        <f t="shared" ref="A4866:A4929" si="1000">bd_campaign</f>
        <v>0</v>
      </c>
      <c r="B4866">
        <f t="shared" ref="B4866:B4929" si="1001">bd_site</f>
        <v>0</v>
      </c>
      <c r="C4866">
        <f t="shared" ref="C4866:C4929" si="1002">bd_placement</f>
        <v>0</v>
      </c>
      <c r="D4866">
        <f t="shared" ref="D4866:D4929" si="1003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4">bd_ad</f>
        <v>0</v>
      </c>
      <c r="G4866">
        <f t="shared" ref="G4866:G4929" si="1005">bd_adid</f>
        <v>0</v>
      </c>
      <c r="H4866">
        <f t="shared" ref="H4866:H4929" si="1006">bd_creativetype</f>
        <v>0</v>
      </c>
      <c r="I4866">
        <f t="shared" ref="I4866:I4929" si="1007">bd_impression</f>
        <v>0</v>
      </c>
      <c r="J4866">
        <f t="shared" ref="J4866:J4929" si="1008">bd_clicks</f>
        <v>0</v>
      </c>
      <c r="K4866" s="4" t="e">
        <f t="shared" si="996"/>
        <v>#N/A</v>
      </c>
      <c r="L4866" t="e">
        <f t="shared" si="997"/>
        <v>#N/A</v>
      </c>
      <c r="M4866" s="4" t="e">
        <f t="shared" si="998"/>
        <v>#N/A</v>
      </c>
      <c r="N4866" s="4" t="e">
        <f t="shared" si="999"/>
        <v>#N/A</v>
      </c>
    </row>
    <row r="4867" spans="1:14">
      <c r="A4867">
        <f t="shared" si="1000"/>
        <v>0</v>
      </c>
      <c r="B4867">
        <f t="shared" si="1001"/>
        <v>0</v>
      </c>
      <c r="C4867">
        <f t="shared" si="1002"/>
        <v>0</v>
      </c>
      <c r="D4867">
        <f t="shared" si="1003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4"/>
        <v>0</v>
      </c>
      <c r="G4867">
        <f t="shared" si="1005"/>
        <v>0</v>
      </c>
      <c r="H4867">
        <f t="shared" si="1006"/>
        <v>0</v>
      </c>
      <c r="I4867">
        <f t="shared" si="1007"/>
        <v>0</v>
      </c>
      <c r="J4867">
        <f t="shared" si="1008"/>
        <v>0</v>
      </c>
      <c r="K4867" s="4" t="e">
        <f t="shared" si="996"/>
        <v>#N/A</v>
      </c>
      <c r="L4867" t="e">
        <f t="shared" si="997"/>
        <v>#N/A</v>
      </c>
      <c r="M4867" s="4" t="e">
        <f t="shared" si="998"/>
        <v>#N/A</v>
      </c>
      <c r="N4867" s="4" t="e">
        <f t="shared" si="999"/>
        <v>#N/A</v>
      </c>
    </row>
    <row r="4868" spans="1:14">
      <c r="A4868">
        <f t="shared" si="1000"/>
        <v>0</v>
      </c>
      <c r="B4868">
        <f t="shared" si="1001"/>
        <v>0</v>
      </c>
      <c r="C4868">
        <f t="shared" si="1002"/>
        <v>0</v>
      </c>
      <c r="D4868">
        <f t="shared" si="1003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4"/>
        <v>0</v>
      </c>
      <c r="G4868">
        <f t="shared" si="1005"/>
        <v>0</v>
      </c>
      <c r="H4868">
        <f t="shared" si="1006"/>
        <v>0</v>
      </c>
      <c r="I4868">
        <f t="shared" si="1007"/>
        <v>0</v>
      </c>
      <c r="J4868">
        <f t="shared" si="1008"/>
        <v>0</v>
      </c>
      <c r="K4868" s="4" t="e">
        <f t="shared" si="996"/>
        <v>#N/A</v>
      </c>
      <c r="L4868" t="e">
        <f t="shared" si="997"/>
        <v>#N/A</v>
      </c>
      <c r="M4868" s="4" t="e">
        <f t="shared" si="998"/>
        <v>#N/A</v>
      </c>
      <c r="N4868" s="4" t="e">
        <f t="shared" si="999"/>
        <v>#N/A</v>
      </c>
    </row>
    <row r="4869" spans="1:14">
      <c r="A4869">
        <f t="shared" si="1000"/>
        <v>0</v>
      </c>
      <c r="B4869">
        <f t="shared" si="1001"/>
        <v>0</v>
      </c>
      <c r="C4869">
        <f t="shared" si="1002"/>
        <v>0</v>
      </c>
      <c r="D4869">
        <f t="shared" si="1003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4"/>
        <v>0</v>
      </c>
      <c r="G4869">
        <f t="shared" si="1005"/>
        <v>0</v>
      </c>
      <c r="H4869">
        <f t="shared" si="1006"/>
        <v>0</v>
      </c>
      <c r="I4869">
        <f t="shared" si="1007"/>
        <v>0</v>
      </c>
      <c r="J4869">
        <f t="shared" si="1008"/>
        <v>0</v>
      </c>
      <c r="K4869" s="4" t="e">
        <f t="shared" si="996"/>
        <v>#N/A</v>
      </c>
      <c r="L4869" t="e">
        <f t="shared" si="997"/>
        <v>#N/A</v>
      </c>
      <c r="M4869" s="4" t="e">
        <f t="shared" si="998"/>
        <v>#N/A</v>
      </c>
      <c r="N4869" s="4" t="e">
        <f t="shared" si="999"/>
        <v>#N/A</v>
      </c>
    </row>
    <row r="4870" spans="1:14">
      <c r="A4870">
        <f t="shared" si="1000"/>
        <v>0</v>
      </c>
      <c r="B4870">
        <f t="shared" si="1001"/>
        <v>0</v>
      </c>
      <c r="C4870">
        <f t="shared" si="1002"/>
        <v>0</v>
      </c>
      <c r="D4870">
        <f t="shared" si="1003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4"/>
        <v>0</v>
      </c>
      <c r="G4870">
        <f t="shared" si="1005"/>
        <v>0</v>
      </c>
      <c r="H4870">
        <f t="shared" si="1006"/>
        <v>0</v>
      </c>
      <c r="I4870">
        <f t="shared" si="1007"/>
        <v>0</v>
      </c>
      <c r="J4870">
        <f t="shared" si="1008"/>
        <v>0</v>
      </c>
      <c r="K4870" s="4" t="e">
        <f t="shared" si="996"/>
        <v>#N/A</v>
      </c>
      <c r="L4870" t="e">
        <f t="shared" si="997"/>
        <v>#N/A</v>
      </c>
      <c r="M4870" s="4" t="e">
        <f t="shared" si="998"/>
        <v>#N/A</v>
      </c>
      <c r="N4870" s="4" t="e">
        <f t="shared" si="999"/>
        <v>#N/A</v>
      </c>
    </row>
    <row r="4871" spans="1:14">
      <c r="A4871">
        <f t="shared" si="1000"/>
        <v>0</v>
      </c>
      <c r="B4871">
        <f t="shared" si="1001"/>
        <v>0</v>
      </c>
      <c r="C4871">
        <f t="shared" si="1002"/>
        <v>0</v>
      </c>
      <c r="D4871">
        <f t="shared" si="1003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4"/>
        <v>0</v>
      </c>
      <c r="G4871">
        <f t="shared" si="1005"/>
        <v>0</v>
      </c>
      <c r="H4871">
        <f t="shared" si="1006"/>
        <v>0</v>
      </c>
      <c r="I4871">
        <f t="shared" si="1007"/>
        <v>0</v>
      </c>
      <c r="J4871">
        <f t="shared" si="1008"/>
        <v>0</v>
      </c>
      <c r="K4871" s="4" t="e">
        <f t="shared" si="996"/>
        <v>#N/A</v>
      </c>
      <c r="L4871" t="e">
        <f t="shared" si="997"/>
        <v>#N/A</v>
      </c>
      <c r="M4871" s="4" t="e">
        <f t="shared" si="998"/>
        <v>#N/A</v>
      </c>
      <c r="N4871" s="4" t="e">
        <f t="shared" si="999"/>
        <v>#N/A</v>
      </c>
    </row>
    <row r="4872" spans="1:14">
      <c r="A4872">
        <f t="shared" si="1000"/>
        <v>0</v>
      </c>
      <c r="B4872">
        <f t="shared" si="1001"/>
        <v>0</v>
      </c>
      <c r="C4872">
        <f t="shared" si="1002"/>
        <v>0</v>
      </c>
      <c r="D4872">
        <f t="shared" si="1003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4"/>
        <v>0</v>
      </c>
      <c r="G4872">
        <f t="shared" si="1005"/>
        <v>0</v>
      </c>
      <c r="H4872">
        <f t="shared" si="1006"/>
        <v>0</v>
      </c>
      <c r="I4872">
        <f t="shared" si="1007"/>
        <v>0</v>
      </c>
      <c r="J4872">
        <f t="shared" si="1008"/>
        <v>0</v>
      </c>
      <c r="K4872" s="4" t="e">
        <f t="shared" si="996"/>
        <v>#N/A</v>
      </c>
      <c r="L4872" t="e">
        <f t="shared" si="997"/>
        <v>#N/A</v>
      </c>
      <c r="M4872" s="4" t="e">
        <f t="shared" si="998"/>
        <v>#N/A</v>
      </c>
      <c r="N4872" s="4" t="e">
        <f t="shared" si="999"/>
        <v>#N/A</v>
      </c>
    </row>
    <row r="4873" spans="1:14">
      <c r="A4873">
        <f t="shared" si="1000"/>
        <v>0</v>
      </c>
      <c r="B4873">
        <f t="shared" si="1001"/>
        <v>0</v>
      </c>
      <c r="C4873">
        <f t="shared" si="1002"/>
        <v>0</v>
      </c>
      <c r="D4873">
        <f t="shared" si="1003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4"/>
        <v>0</v>
      </c>
      <c r="G4873">
        <f t="shared" si="1005"/>
        <v>0</v>
      </c>
      <c r="H4873">
        <f t="shared" si="1006"/>
        <v>0</v>
      </c>
      <c r="I4873">
        <f t="shared" si="1007"/>
        <v>0</v>
      </c>
      <c r="J4873">
        <f t="shared" si="1008"/>
        <v>0</v>
      </c>
      <c r="K4873" s="4" t="e">
        <f t="shared" si="996"/>
        <v>#N/A</v>
      </c>
      <c r="L4873" t="e">
        <f t="shared" si="997"/>
        <v>#N/A</v>
      </c>
      <c r="M4873" s="4" t="e">
        <f t="shared" si="998"/>
        <v>#N/A</v>
      </c>
      <c r="N4873" s="4" t="e">
        <f t="shared" si="999"/>
        <v>#N/A</v>
      </c>
    </row>
    <row r="4874" spans="1:14">
      <c r="A4874">
        <f t="shared" si="1000"/>
        <v>0</v>
      </c>
      <c r="B4874">
        <f t="shared" si="1001"/>
        <v>0</v>
      </c>
      <c r="C4874">
        <f t="shared" si="1002"/>
        <v>0</v>
      </c>
      <c r="D4874">
        <f t="shared" si="1003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4"/>
        <v>0</v>
      </c>
      <c r="G4874">
        <f t="shared" si="1005"/>
        <v>0</v>
      </c>
      <c r="H4874">
        <f t="shared" si="1006"/>
        <v>0</v>
      </c>
      <c r="I4874">
        <f t="shared" si="1007"/>
        <v>0</v>
      </c>
      <c r="J4874">
        <f t="shared" si="1008"/>
        <v>0</v>
      </c>
      <c r="K4874" s="4" t="e">
        <f t="shared" si="996"/>
        <v>#N/A</v>
      </c>
      <c r="L4874" t="e">
        <f t="shared" si="997"/>
        <v>#N/A</v>
      </c>
      <c r="M4874" s="4" t="e">
        <f t="shared" si="998"/>
        <v>#N/A</v>
      </c>
      <c r="N4874" s="4" t="e">
        <f t="shared" si="999"/>
        <v>#N/A</v>
      </c>
    </row>
    <row r="4875" spans="1:14">
      <c r="A4875">
        <f t="shared" si="1000"/>
        <v>0</v>
      </c>
      <c r="B4875">
        <f t="shared" si="1001"/>
        <v>0</v>
      </c>
      <c r="C4875">
        <f t="shared" si="1002"/>
        <v>0</v>
      </c>
      <c r="D4875">
        <f t="shared" si="1003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4"/>
        <v>0</v>
      </c>
      <c r="G4875">
        <f t="shared" si="1005"/>
        <v>0</v>
      </c>
      <c r="H4875">
        <f t="shared" si="1006"/>
        <v>0</v>
      </c>
      <c r="I4875">
        <f t="shared" si="1007"/>
        <v>0</v>
      </c>
      <c r="J4875">
        <f t="shared" si="1008"/>
        <v>0</v>
      </c>
      <c r="K4875" s="4" t="e">
        <f t="shared" si="996"/>
        <v>#N/A</v>
      </c>
      <c r="L4875" t="e">
        <f t="shared" si="997"/>
        <v>#N/A</v>
      </c>
      <c r="M4875" s="4" t="e">
        <f t="shared" si="998"/>
        <v>#N/A</v>
      </c>
      <c r="N4875" s="4" t="e">
        <f t="shared" si="999"/>
        <v>#N/A</v>
      </c>
    </row>
    <row r="4876" spans="1:14">
      <c r="A4876">
        <f t="shared" si="1000"/>
        <v>0</v>
      </c>
      <c r="B4876">
        <f t="shared" si="1001"/>
        <v>0</v>
      </c>
      <c r="C4876">
        <f t="shared" si="1002"/>
        <v>0</v>
      </c>
      <c r="D4876">
        <f t="shared" si="1003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4"/>
        <v>0</v>
      </c>
      <c r="G4876">
        <f t="shared" si="1005"/>
        <v>0</v>
      </c>
      <c r="H4876">
        <f t="shared" si="1006"/>
        <v>0</v>
      </c>
      <c r="I4876">
        <f t="shared" si="1007"/>
        <v>0</v>
      </c>
      <c r="J4876">
        <f t="shared" si="1008"/>
        <v>0</v>
      </c>
      <c r="K4876" s="4" t="e">
        <f t="shared" si="996"/>
        <v>#N/A</v>
      </c>
      <c r="L4876" t="e">
        <f t="shared" si="997"/>
        <v>#N/A</v>
      </c>
      <c r="M4876" s="4" t="e">
        <f t="shared" si="998"/>
        <v>#N/A</v>
      </c>
      <c r="N4876" s="4" t="e">
        <f t="shared" si="999"/>
        <v>#N/A</v>
      </c>
    </row>
    <row r="4877" spans="1:14">
      <c r="A4877">
        <f t="shared" si="1000"/>
        <v>0</v>
      </c>
      <c r="B4877">
        <f t="shared" si="1001"/>
        <v>0</v>
      </c>
      <c r="C4877">
        <f t="shared" si="1002"/>
        <v>0</v>
      </c>
      <c r="D4877">
        <f t="shared" si="1003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4"/>
        <v>0</v>
      </c>
      <c r="G4877">
        <f t="shared" si="1005"/>
        <v>0</v>
      </c>
      <c r="H4877">
        <f t="shared" si="1006"/>
        <v>0</v>
      </c>
      <c r="I4877">
        <f t="shared" si="1007"/>
        <v>0</v>
      </c>
      <c r="J4877">
        <f t="shared" si="1008"/>
        <v>0</v>
      </c>
      <c r="K4877" s="4" t="e">
        <f t="shared" si="996"/>
        <v>#N/A</v>
      </c>
      <c r="L4877" t="e">
        <f t="shared" si="997"/>
        <v>#N/A</v>
      </c>
      <c r="M4877" s="4" t="e">
        <f t="shared" si="998"/>
        <v>#N/A</v>
      </c>
      <c r="N4877" s="4" t="e">
        <f t="shared" si="999"/>
        <v>#N/A</v>
      </c>
    </row>
    <row r="4878" spans="1:14">
      <c r="A4878">
        <f t="shared" si="1000"/>
        <v>0</v>
      </c>
      <c r="B4878">
        <f t="shared" si="1001"/>
        <v>0</v>
      </c>
      <c r="C4878">
        <f t="shared" si="1002"/>
        <v>0</v>
      </c>
      <c r="D4878">
        <f t="shared" si="1003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4"/>
        <v>0</v>
      </c>
      <c r="G4878">
        <f t="shared" si="1005"/>
        <v>0</v>
      </c>
      <c r="H4878">
        <f t="shared" si="1006"/>
        <v>0</v>
      </c>
      <c r="I4878">
        <f t="shared" si="1007"/>
        <v>0</v>
      </c>
      <c r="J4878">
        <f t="shared" si="1008"/>
        <v>0</v>
      </c>
      <c r="K4878" s="4" t="e">
        <f t="shared" si="996"/>
        <v>#N/A</v>
      </c>
      <c r="L4878" t="e">
        <f t="shared" si="997"/>
        <v>#N/A</v>
      </c>
      <c r="M4878" s="4" t="e">
        <f t="shared" si="998"/>
        <v>#N/A</v>
      </c>
      <c r="N4878" s="4" t="e">
        <f t="shared" si="999"/>
        <v>#N/A</v>
      </c>
    </row>
    <row r="4879" spans="1:14">
      <c r="A4879">
        <f t="shared" si="1000"/>
        <v>0</v>
      </c>
      <c r="B4879">
        <f t="shared" si="1001"/>
        <v>0</v>
      </c>
      <c r="C4879">
        <f t="shared" si="1002"/>
        <v>0</v>
      </c>
      <c r="D4879">
        <f t="shared" si="1003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4"/>
        <v>0</v>
      </c>
      <c r="G4879">
        <f t="shared" si="1005"/>
        <v>0</v>
      </c>
      <c r="H4879">
        <f t="shared" si="1006"/>
        <v>0</v>
      </c>
      <c r="I4879">
        <f t="shared" si="1007"/>
        <v>0</v>
      </c>
      <c r="J4879">
        <f t="shared" si="1008"/>
        <v>0</v>
      </c>
      <c r="K4879" s="4" t="e">
        <f t="shared" si="996"/>
        <v>#N/A</v>
      </c>
      <c r="L4879" t="e">
        <f t="shared" si="997"/>
        <v>#N/A</v>
      </c>
      <c r="M4879" s="4" t="e">
        <f t="shared" si="998"/>
        <v>#N/A</v>
      </c>
      <c r="N4879" s="4" t="e">
        <f t="shared" si="999"/>
        <v>#N/A</v>
      </c>
    </row>
    <row r="4880" spans="1:14">
      <c r="A4880">
        <f t="shared" si="1000"/>
        <v>0</v>
      </c>
      <c r="B4880">
        <f t="shared" si="1001"/>
        <v>0</v>
      </c>
      <c r="C4880">
        <f t="shared" si="1002"/>
        <v>0</v>
      </c>
      <c r="D4880">
        <f t="shared" si="1003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4"/>
        <v>0</v>
      </c>
      <c r="G4880">
        <f t="shared" si="1005"/>
        <v>0</v>
      </c>
      <c r="H4880">
        <f t="shared" si="1006"/>
        <v>0</v>
      </c>
      <c r="I4880">
        <f t="shared" si="1007"/>
        <v>0</v>
      </c>
      <c r="J4880">
        <f t="shared" si="1008"/>
        <v>0</v>
      </c>
      <c r="K4880" s="4" t="e">
        <f t="shared" si="996"/>
        <v>#N/A</v>
      </c>
      <c r="L4880" t="e">
        <f t="shared" si="997"/>
        <v>#N/A</v>
      </c>
      <c r="M4880" s="4" t="e">
        <f t="shared" si="998"/>
        <v>#N/A</v>
      </c>
      <c r="N4880" s="4" t="e">
        <f t="shared" si="999"/>
        <v>#N/A</v>
      </c>
    </row>
    <row r="4881" spans="1:14">
      <c r="A4881">
        <f t="shared" si="1000"/>
        <v>0</v>
      </c>
      <c r="B4881">
        <f t="shared" si="1001"/>
        <v>0</v>
      </c>
      <c r="C4881">
        <f t="shared" si="1002"/>
        <v>0</v>
      </c>
      <c r="D4881">
        <f t="shared" si="1003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4"/>
        <v>0</v>
      </c>
      <c r="G4881">
        <f t="shared" si="1005"/>
        <v>0</v>
      </c>
      <c r="H4881">
        <f t="shared" si="1006"/>
        <v>0</v>
      </c>
      <c r="I4881">
        <f t="shared" si="1007"/>
        <v>0</v>
      </c>
      <c r="J4881">
        <f t="shared" si="1008"/>
        <v>0</v>
      </c>
      <c r="K4881" s="4" t="e">
        <f t="shared" si="996"/>
        <v>#N/A</v>
      </c>
      <c r="L4881" t="e">
        <f t="shared" si="997"/>
        <v>#N/A</v>
      </c>
      <c r="M4881" s="4" t="e">
        <f t="shared" si="998"/>
        <v>#N/A</v>
      </c>
      <c r="N4881" s="4" t="e">
        <f t="shared" si="999"/>
        <v>#N/A</v>
      </c>
    </row>
    <row r="4882" spans="1:14">
      <c r="A4882">
        <f t="shared" si="1000"/>
        <v>0</v>
      </c>
      <c r="B4882">
        <f t="shared" si="1001"/>
        <v>0</v>
      </c>
      <c r="C4882">
        <f t="shared" si="1002"/>
        <v>0</v>
      </c>
      <c r="D4882">
        <f t="shared" si="1003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4"/>
        <v>0</v>
      </c>
      <c r="G4882">
        <f t="shared" si="1005"/>
        <v>0</v>
      </c>
      <c r="H4882">
        <f t="shared" si="1006"/>
        <v>0</v>
      </c>
      <c r="I4882">
        <f t="shared" si="1007"/>
        <v>0</v>
      </c>
      <c r="J4882">
        <f t="shared" si="1008"/>
        <v>0</v>
      </c>
      <c r="K4882" s="4" t="e">
        <f t="shared" si="996"/>
        <v>#N/A</v>
      </c>
      <c r="L4882" t="e">
        <f t="shared" si="997"/>
        <v>#N/A</v>
      </c>
      <c r="M4882" s="4" t="e">
        <f t="shared" si="998"/>
        <v>#N/A</v>
      </c>
      <c r="N4882" s="4" t="e">
        <f t="shared" si="999"/>
        <v>#N/A</v>
      </c>
    </row>
    <row r="4883" spans="1:14">
      <c r="A4883">
        <f t="shared" si="1000"/>
        <v>0</v>
      </c>
      <c r="B4883">
        <f t="shared" si="1001"/>
        <v>0</v>
      </c>
      <c r="C4883">
        <f t="shared" si="1002"/>
        <v>0</v>
      </c>
      <c r="D4883">
        <f t="shared" si="1003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4"/>
        <v>0</v>
      </c>
      <c r="G4883">
        <f t="shared" si="1005"/>
        <v>0</v>
      </c>
      <c r="H4883">
        <f t="shared" si="1006"/>
        <v>0</v>
      </c>
      <c r="I4883">
        <f t="shared" si="1007"/>
        <v>0</v>
      </c>
      <c r="J4883">
        <f t="shared" si="1008"/>
        <v>0</v>
      </c>
      <c r="K4883" s="4" t="e">
        <f t="shared" si="996"/>
        <v>#N/A</v>
      </c>
      <c r="L4883" t="e">
        <f t="shared" si="997"/>
        <v>#N/A</v>
      </c>
      <c r="M4883" s="4" t="e">
        <f t="shared" si="998"/>
        <v>#N/A</v>
      </c>
      <c r="N4883" s="4" t="e">
        <f t="shared" si="999"/>
        <v>#N/A</v>
      </c>
    </row>
    <row r="4884" spans="1:14">
      <c r="A4884">
        <f t="shared" si="1000"/>
        <v>0</v>
      </c>
      <c r="B4884">
        <f t="shared" si="1001"/>
        <v>0</v>
      </c>
      <c r="C4884">
        <f t="shared" si="1002"/>
        <v>0</v>
      </c>
      <c r="D4884">
        <f t="shared" si="1003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4"/>
        <v>0</v>
      </c>
      <c r="G4884">
        <f t="shared" si="1005"/>
        <v>0</v>
      </c>
      <c r="H4884">
        <f t="shared" si="1006"/>
        <v>0</v>
      </c>
      <c r="I4884">
        <f t="shared" si="1007"/>
        <v>0</v>
      </c>
      <c r="J4884">
        <f t="shared" si="1008"/>
        <v>0</v>
      </c>
      <c r="K4884" s="4" t="e">
        <f t="shared" si="996"/>
        <v>#N/A</v>
      </c>
      <c r="L4884" t="e">
        <f t="shared" si="997"/>
        <v>#N/A</v>
      </c>
      <c r="M4884" s="4" t="e">
        <f t="shared" si="998"/>
        <v>#N/A</v>
      </c>
      <c r="N4884" s="4" t="e">
        <f t="shared" si="999"/>
        <v>#N/A</v>
      </c>
    </row>
    <row r="4885" spans="1:14">
      <c r="A4885">
        <f t="shared" si="1000"/>
        <v>0</v>
      </c>
      <c r="B4885">
        <f t="shared" si="1001"/>
        <v>0</v>
      </c>
      <c r="C4885">
        <f t="shared" si="1002"/>
        <v>0</v>
      </c>
      <c r="D4885">
        <f t="shared" si="1003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4"/>
        <v>0</v>
      </c>
      <c r="G4885">
        <f t="shared" si="1005"/>
        <v>0</v>
      </c>
      <c r="H4885">
        <f t="shared" si="1006"/>
        <v>0</v>
      </c>
      <c r="I4885">
        <f t="shared" si="1007"/>
        <v>0</v>
      </c>
      <c r="J4885">
        <f t="shared" si="1008"/>
        <v>0</v>
      </c>
      <c r="K4885" s="4" t="e">
        <f t="shared" si="996"/>
        <v>#N/A</v>
      </c>
      <c r="L4885" t="e">
        <f t="shared" si="997"/>
        <v>#N/A</v>
      </c>
      <c r="M4885" s="4" t="e">
        <f t="shared" si="998"/>
        <v>#N/A</v>
      </c>
      <c r="N4885" s="4" t="e">
        <f t="shared" si="999"/>
        <v>#N/A</v>
      </c>
    </row>
    <row r="4886" spans="1:14">
      <c r="A4886">
        <f t="shared" si="1000"/>
        <v>0</v>
      </c>
      <c r="B4886">
        <f t="shared" si="1001"/>
        <v>0</v>
      </c>
      <c r="C4886">
        <f t="shared" si="1002"/>
        <v>0</v>
      </c>
      <c r="D4886">
        <f t="shared" si="1003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4"/>
        <v>0</v>
      </c>
      <c r="G4886">
        <f t="shared" si="1005"/>
        <v>0</v>
      </c>
      <c r="H4886">
        <f t="shared" si="1006"/>
        <v>0</v>
      </c>
      <c r="I4886">
        <f t="shared" si="1007"/>
        <v>0</v>
      </c>
      <c r="J4886">
        <f t="shared" si="1008"/>
        <v>0</v>
      </c>
      <c r="K4886" s="4" t="e">
        <f t="shared" si="996"/>
        <v>#N/A</v>
      </c>
      <c r="L4886" t="e">
        <f t="shared" si="997"/>
        <v>#N/A</v>
      </c>
      <c r="M4886" s="4" t="e">
        <f t="shared" si="998"/>
        <v>#N/A</v>
      </c>
      <c r="N4886" s="4" t="e">
        <f t="shared" si="999"/>
        <v>#N/A</v>
      </c>
    </row>
    <row r="4887" spans="1:14">
      <c r="A4887">
        <f t="shared" si="1000"/>
        <v>0</v>
      </c>
      <c r="B4887">
        <f t="shared" si="1001"/>
        <v>0</v>
      </c>
      <c r="C4887">
        <f t="shared" si="1002"/>
        <v>0</v>
      </c>
      <c r="D4887">
        <f t="shared" si="1003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4"/>
        <v>0</v>
      </c>
      <c r="G4887">
        <f t="shared" si="1005"/>
        <v>0</v>
      </c>
      <c r="H4887">
        <f t="shared" si="1006"/>
        <v>0</v>
      </c>
      <c r="I4887">
        <f t="shared" si="1007"/>
        <v>0</v>
      </c>
      <c r="J4887">
        <f t="shared" si="1008"/>
        <v>0</v>
      </c>
      <c r="K4887" s="4" t="e">
        <f t="shared" si="996"/>
        <v>#N/A</v>
      </c>
      <c r="L4887" t="e">
        <f t="shared" si="997"/>
        <v>#N/A</v>
      </c>
      <c r="M4887" s="4" t="e">
        <f t="shared" si="998"/>
        <v>#N/A</v>
      </c>
      <c r="N4887" s="4" t="e">
        <f t="shared" si="999"/>
        <v>#N/A</v>
      </c>
    </row>
    <row r="4888" spans="1:14">
      <c r="A4888">
        <f t="shared" si="1000"/>
        <v>0</v>
      </c>
      <c r="B4888">
        <f t="shared" si="1001"/>
        <v>0</v>
      </c>
      <c r="C4888">
        <f t="shared" si="1002"/>
        <v>0</v>
      </c>
      <c r="D4888">
        <f t="shared" si="1003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4"/>
        <v>0</v>
      </c>
      <c r="G4888">
        <f t="shared" si="1005"/>
        <v>0</v>
      </c>
      <c r="H4888">
        <f t="shared" si="1006"/>
        <v>0</v>
      </c>
      <c r="I4888">
        <f t="shared" si="1007"/>
        <v>0</v>
      </c>
      <c r="J4888">
        <f t="shared" si="1008"/>
        <v>0</v>
      </c>
      <c r="K4888" s="4" t="e">
        <f t="shared" si="996"/>
        <v>#N/A</v>
      </c>
      <c r="L4888" t="e">
        <f t="shared" si="997"/>
        <v>#N/A</v>
      </c>
      <c r="M4888" s="4" t="e">
        <f t="shared" si="998"/>
        <v>#N/A</v>
      </c>
      <c r="N4888" s="4" t="e">
        <f t="shared" si="999"/>
        <v>#N/A</v>
      </c>
    </row>
    <row r="4889" spans="1:14">
      <c r="A4889">
        <f t="shared" si="1000"/>
        <v>0</v>
      </c>
      <c r="B4889">
        <f t="shared" si="1001"/>
        <v>0</v>
      </c>
      <c r="C4889">
        <f t="shared" si="1002"/>
        <v>0</v>
      </c>
      <c r="D4889">
        <f t="shared" si="1003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4"/>
        <v>0</v>
      </c>
      <c r="G4889">
        <f t="shared" si="1005"/>
        <v>0</v>
      </c>
      <c r="H4889">
        <f t="shared" si="1006"/>
        <v>0</v>
      </c>
      <c r="I4889">
        <f t="shared" si="1007"/>
        <v>0</v>
      </c>
      <c r="J4889">
        <f t="shared" si="1008"/>
        <v>0</v>
      </c>
      <c r="K4889" s="4" t="e">
        <f t="shared" si="996"/>
        <v>#N/A</v>
      </c>
      <c r="L4889" t="e">
        <f t="shared" si="997"/>
        <v>#N/A</v>
      </c>
      <c r="M4889" s="4" t="e">
        <f t="shared" si="998"/>
        <v>#N/A</v>
      </c>
      <c r="N4889" s="4" t="e">
        <f t="shared" si="999"/>
        <v>#N/A</v>
      </c>
    </row>
    <row r="4890" spans="1:14">
      <c r="A4890">
        <f t="shared" si="1000"/>
        <v>0</v>
      </c>
      <c r="B4890">
        <f t="shared" si="1001"/>
        <v>0</v>
      </c>
      <c r="C4890">
        <f t="shared" si="1002"/>
        <v>0</v>
      </c>
      <c r="D4890">
        <f t="shared" si="1003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4"/>
        <v>0</v>
      </c>
      <c r="G4890">
        <f t="shared" si="1005"/>
        <v>0</v>
      </c>
      <c r="H4890">
        <f t="shared" si="1006"/>
        <v>0</v>
      </c>
      <c r="I4890">
        <f t="shared" si="1007"/>
        <v>0</v>
      </c>
      <c r="J4890">
        <f t="shared" si="1008"/>
        <v>0</v>
      </c>
      <c r="K4890" s="4" t="e">
        <f t="shared" si="996"/>
        <v>#N/A</v>
      </c>
      <c r="L4890" t="e">
        <f t="shared" si="997"/>
        <v>#N/A</v>
      </c>
      <c r="M4890" s="4" t="e">
        <f t="shared" si="998"/>
        <v>#N/A</v>
      </c>
      <c r="N4890" s="4" t="e">
        <f t="shared" si="999"/>
        <v>#N/A</v>
      </c>
    </row>
    <row r="4891" spans="1:14">
      <c r="A4891">
        <f t="shared" si="1000"/>
        <v>0</v>
      </c>
      <c r="B4891">
        <f t="shared" si="1001"/>
        <v>0</v>
      </c>
      <c r="C4891">
        <f t="shared" si="1002"/>
        <v>0</v>
      </c>
      <c r="D4891">
        <f t="shared" si="1003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4"/>
        <v>0</v>
      </c>
      <c r="G4891">
        <f t="shared" si="1005"/>
        <v>0</v>
      </c>
      <c r="H4891">
        <f t="shared" si="1006"/>
        <v>0</v>
      </c>
      <c r="I4891">
        <f t="shared" si="1007"/>
        <v>0</v>
      </c>
      <c r="J4891">
        <f t="shared" si="1008"/>
        <v>0</v>
      </c>
      <c r="K4891" s="4" t="e">
        <f t="shared" si="996"/>
        <v>#N/A</v>
      </c>
      <c r="L4891" t="e">
        <f t="shared" si="997"/>
        <v>#N/A</v>
      </c>
      <c r="M4891" s="4" t="e">
        <f t="shared" si="998"/>
        <v>#N/A</v>
      </c>
      <c r="N4891" s="4" t="e">
        <f t="shared" si="999"/>
        <v>#N/A</v>
      </c>
    </row>
    <row r="4892" spans="1:14">
      <c r="A4892">
        <f t="shared" si="1000"/>
        <v>0</v>
      </c>
      <c r="B4892">
        <f t="shared" si="1001"/>
        <v>0</v>
      </c>
      <c r="C4892">
        <f t="shared" si="1002"/>
        <v>0</v>
      </c>
      <c r="D4892">
        <f t="shared" si="1003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4"/>
        <v>0</v>
      </c>
      <c r="G4892">
        <f t="shared" si="1005"/>
        <v>0</v>
      </c>
      <c r="H4892">
        <f t="shared" si="1006"/>
        <v>0</v>
      </c>
      <c r="I4892">
        <f t="shared" si="1007"/>
        <v>0</v>
      </c>
      <c r="J4892">
        <f t="shared" si="1008"/>
        <v>0</v>
      </c>
      <c r="K4892" s="4" t="e">
        <f t="shared" si="996"/>
        <v>#N/A</v>
      </c>
      <c r="L4892" t="e">
        <f t="shared" si="997"/>
        <v>#N/A</v>
      </c>
      <c r="M4892" s="4" t="e">
        <f t="shared" si="998"/>
        <v>#N/A</v>
      </c>
      <c r="N4892" s="4" t="e">
        <f t="shared" si="999"/>
        <v>#N/A</v>
      </c>
    </row>
    <row r="4893" spans="1:14">
      <c r="A4893">
        <f t="shared" si="1000"/>
        <v>0</v>
      </c>
      <c r="B4893">
        <f t="shared" si="1001"/>
        <v>0</v>
      </c>
      <c r="C4893">
        <f t="shared" si="1002"/>
        <v>0</v>
      </c>
      <c r="D4893">
        <f t="shared" si="1003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4"/>
        <v>0</v>
      </c>
      <c r="G4893">
        <f t="shared" si="1005"/>
        <v>0</v>
      </c>
      <c r="H4893">
        <f t="shared" si="1006"/>
        <v>0</v>
      </c>
      <c r="I4893">
        <f t="shared" si="1007"/>
        <v>0</v>
      </c>
      <c r="J4893">
        <f t="shared" si="1008"/>
        <v>0</v>
      </c>
      <c r="K4893" s="4" t="e">
        <f t="shared" si="996"/>
        <v>#N/A</v>
      </c>
      <c r="L4893" t="e">
        <f t="shared" si="997"/>
        <v>#N/A</v>
      </c>
      <c r="M4893" s="4" t="e">
        <f t="shared" si="998"/>
        <v>#N/A</v>
      </c>
      <c r="N4893" s="4" t="e">
        <f t="shared" si="999"/>
        <v>#N/A</v>
      </c>
    </row>
    <row r="4894" spans="1:14">
      <c r="A4894">
        <f t="shared" si="1000"/>
        <v>0</v>
      </c>
      <c r="B4894">
        <f t="shared" si="1001"/>
        <v>0</v>
      </c>
      <c r="C4894">
        <f t="shared" si="1002"/>
        <v>0</v>
      </c>
      <c r="D4894">
        <f t="shared" si="1003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4"/>
        <v>0</v>
      </c>
      <c r="G4894">
        <f t="shared" si="1005"/>
        <v>0</v>
      </c>
      <c r="H4894">
        <f t="shared" si="1006"/>
        <v>0</v>
      </c>
      <c r="I4894">
        <f t="shared" si="1007"/>
        <v>0</v>
      </c>
      <c r="J4894">
        <f t="shared" si="1008"/>
        <v>0</v>
      </c>
      <c r="K4894" s="4" t="e">
        <f t="shared" si="996"/>
        <v>#N/A</v>
      </c>
      <c r="L4894" t="e">
        <f t="shared" si="997"/>
        <v>#N/A</v>
      </c>
      <c r="M4894" s="4" t="e">
        <f t="shared" si="998"/>
        <v>#N/A</v>
      </c>
      <c r="N4894" s="4" t="e">
        <f t="shared" si="999"/>
        <v>#N/A</v>
      </c>
    </row>
    <row r="4895" spans="1:14">
      <c r="A4895">
        <f t="shared" si="1000"/>
        <v>0</v>
      </c>
      <c r="B4895">
        <f t="shared" si="1001"/>
        <v>0</v>
      </c>
      <c r="C4895">
        <f t="shared" si="1002"/>
        <v>0</v>
      </c>
      <c r="D4895">
        <f t="shared" si="1003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4"/>
        <v>0</v>
      </c>
      <c r="G4895">
        <f t="shared" si="1005"/>
        <v>0</v>
      </c>
      <c r="H4895">
        <f t="shared" si="1006"/>
        <v>0</v>
      </c>
      <c r="I4895">
        <f t="shared" si="1007"/>
        <v>0</v>
      </c>
      <c r="J4895">
        <f t="shared" si="1008"/>
        <v>0</v>
      </c>
      <c r="K4895" s="4" t="e">
        <f t="shared" si="996"/>
        <v>#N/A</v>
      </c>
      <c r="L4895" t="e">
        <f t="shared" si="997"/>
        <v>#N/A</v>
      </c>
      <c r="M4895" s="4" t="e">
        <f t="shared" si="998"/>
        <v>#N/A</v>
      </c>
      <c r="N4895" s="4" t="e">
        <f t="shared" si="999"/>
        <v>#N/A</v>
      </c>
    </row>
    <row r="4896" spans="1:14">
      <c r="A4896">
        <f t="shared" si="1000"/>
        <v>0</v>
      </c>
      <c r="B4896">
        <f t="shared" si="1001"/>
        <v>0</v>
      </c>
      <c r="C4896">
        <f t="shared" si="1002"/>
        <v>0</v>
      </c>
      <c r="D4896">
        <f t="shared" si="1003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4"/>
        <v>0</v>
      </c>
      <c r="G4896">
        <f t="shared" si="1005"/>
        <v>0</v>
      </c>
      <c r="H4896">
        <f t="shared" si="1006"/>
        <v>0</v>
      </c>
      <c r="I4896">
        <f t="shared" si="1007"/>
        <v>0</v>
      </c>
      <c r="J4896">
        <f t="shared" si="1008"/>
        <v>0</v>
      </c>
      <c r="K4896" s="4" t="e">
        <f t="shared" si="996"/>
        <v>#N/A</v>
      </c>
      <c r="L4896" t="e">
        <f t="shared" si="997"/>
        <v>#N/A</v>
      </c>
      <c r="M4896" s="4" t="e">
        <f t="shared" si="998"/>
        <v>#N/A</v>
      </c>
      <c r="N4896" s="4" t="e">
        <f t="shared" si="999"/>
        <v>#N/A</v>
      </c>
    </row>
    <row r="4897" spans="1:14">
      <c r="A4897">
        <f t="shared" si="1000"/>
        <v>0</v>
      </c>
      <c r="B4897">
        <f t="shared" si="1001"/>
        <v>0</v>
      </c>
      <c r="C4897">
        <f t="shared" si="1002"/>
        <v>0</v>
      </c>
      <c r="D4897">
        <f t="shared" si="1003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4"/>
        <v>0</v>
      </c>
      <c r="G4897">
        <f t="shared" si="1005"/>
        <v>0</v>
      </c>
      <c r="H4897">
        <f t="shared" si="1006"/>
        <v>0</v>
      </c>
      <c r="I4897">
        <f t="shared" si="1007"/>
        <v>0</v>
      </c>
      <c r="J4897">
        <f t="shared" si="1008"/>
        <v>0</v>
      </c>
      <c r="K4897" s="4" t="e">
        <f t="shared" si="996"/>
        <v>#N/A</v>
      </c>
      <c r="L4897" t="e">
        <f t="shared" si="997"/>
        <v>#N/A</v>
      </c>
      <c r="M4897" s="4" t="e">
        <f t="shared" si="998"/>
        <v>#N/A</v>
      </c>
      <c r="N4897" s="4" t="e">
        <f t="shared" si="999"/>
        <v>#N/A</v>
      </c>
    </row>
    <row r="4898" spans="1:14">
      <c r="A4898">
        <f t="shared" si="1000"/>
        <v>0</v>
      </c>
      <c r="B4898">
        <f t="shared" si="1001"/>
        <v>0</v>
      </c>
      <c r="C4898">
        <f t="shared" si="1002"/>
        <v>0</v>
      </c>
      <c r="D4898">
        <f t="shared" si="1003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4"/>
        <v>0</v>
      </c>
      <c r="G4898">
        <f t="shared" si="1005"/>
        <v>0</v>
      </c>
      <c r="H4898">
        <f t="shared" si="1006"/>
        <v>0</v>
      </c>
      <c r="I4898">
        <f t="shared" si="1007"/>
        <v>0</v>
      </c>
      <c r="J4898">
        <f t="shared" si="1008"/>
        <v>0</v>
      </c>
      <c r="K4898" s="4" t="e">
        <f t="shared" si="996"/>
        <v>#N/A</v>
      </c>
      <c r="L4898" t="e">
        <f t="shared" si="997"/>
        <v>#N/A</v>
      </c>
      <c r="M4898" s="4" t="e">
        <f t="shared" si="998"/>
        <v>#N/A</v>
      </c>
      <c r="N4898" s="4" t="e">
        <f t="shared" si="999"/>
        <v>#N/A</v>
      </c>
    </row>
    <row r="4899" spans="1:14">
      <c r="A4899">
        <f t="shared" si="1000"/>
        <v>0</v>
      </c>
      <c r="B4899">
        <f t="shared" si="1001"/>
        <v>0</v>
      </c>
      <c r="C4899">
        <f t="shared" si="1002"/>
        <v>0</v>
      </c>
      <c r="D4899">
        <f t="shared" si="1003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4"/>
        <v>0</v>
      </c>
      <c r="G4899">
        <f t="shared" si="1005"/>
        <v>0</v>
      </c>
      <c r="H4899">
        <f t="shared" si="1006"/>
        <v>0</v>
      </c>
      <c r="I4899">
        <f t="shared" si="1007"/>
        <v>0</v>
      </c>
      <c r="J4899">
        <f t="shared" si="1008"/>
        <v>0</v>
      </c>
      <c r="K4899" s="4" t="e">
        <f t="shared" si="996"/>
        <v>#N/A</v>
      </c>
      <c r="L4899" t="e">
        <f t="shared" si="997"/>
        <v>#N/A</v>
      </c>
      <c r="M4899" s="4" t="e">
        <f t="shared" si="998"/>
        <v>#N/A</v>
      </c>
      <c r="N4899" s="4" t="e">
        <f t="shared" si="999"/>
        <v>#N/A</v>
      </c>
    </row>
    <row r="4900" spans="1:14">
      <c r="A4900">
        <f t="shared" si="1000"/>
        <v>0</v>
      </c>
      <c r="B4900">
        <f t="shared" si="1001"/>
        <v>0</v>
      </c>
      <c r="C4900">
        <f t="shared" si="1002"/>
        <v>0</v>
      </c>
      <c r="D4900">
        <f t="shared" si="1003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4"/>
        <v>0</v>
      </c>
      <c r="G4900">
        <f t="shared" si="1005"/>
        <v>0</v>
      </c>
      <c r="H4900">
        <f t="shared" si="1006"/>
        <v>0</v>
      </c>
      <c r="I4900">
        <f t="shared" si="1007"/>
        <v>0</v>
      </c>
      <c r="J4900">
        <f t="shared" si="1008"/>
        <v>0</v>
      </c>
      <c r="K4900" s="4" t="e">
        <f t="shared" si="996"/>
        <v>#N/A</v>
      </c>
      <c r="L4900" t="e">
        <f t="shared" si="997"/>
        <v>#N/A</v>
      </c>
      <c r="M4900" s="4" t="e">
        <f t="shared" si="998"/>
        <v>#N/A</v>
      </c>
      <c r="N4900" s="4" t="e">
        <f t="shared" si="999"/>
        <v>#N/A</v>
      </c>
    </row>
    <row r="4901" spans="1:14">
      <c r="A4901">
        <f t="shared" si="1000"/>
        <v>0</v>
      </c>
      <c r="B4901">
        <f t="shared" si="1001"/>
        <v>0</v>
      </c>
      <c r="C4901">
        <f t="shared" si="1002"/>
        <v>0</v>
      </c>
      <c r="D4901">
        <f t="shared" si="1003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4"/>
        <v>0</v>
      </c>
      <c r="G4901">
        <f t="shared" si="1005"/>
        <v>0</v>
      </c>
      <c r="H4901">
        <f t="shared" si="1006"/>
        <v>0</v>
      </c>
      <c r="I4901">
        <f t="shared" si="1007"/>
        <v>0</v>
      </c>
      <c r="J4901">
        <f t="shared" si="1008"/>
        <v>0</v>
      </c>
      <c r="K4901" s="4" t="e">
        <f t="shared" si="996"/>
        <v>#N/A</v>
      </c>
      <c r="L4901" t="e">
        <f t="shared" si="997"/>
        <v>#N/A</v>
      </c>
      <c r="M4901" s="4" t="e">
        <f t="shared" si="998"/>
        <v>#N/A</v>
      </c>
      <c r="N4901" s="4" t="e">
        <f t="shared" si="999"/>
        <v>#N/A</v>
      </c>
    </row>
    <row r="4902" spans="1:14">
      <c r="A4902">
        <f t="shared" si="1000"/>
        <v>0</v>
      </c>
      <c r="B4902">
        <f t="shared" si="1001"/>
        <v>0</v>
      </c>
      <c r="C4902">
        <f t="shared" si="1002"/>
        <v>0</v>
      </c>
      <c r="D4902">
        <f t="shared" si="1003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4"/>
        <v>0</v>
      </c>
      <c r="G4902">
        <f t="shared" si="1005"/>
        <v>0</v>
      </c>
      <c r="H4902">
        <f t="shared" si="1006"/>
        <v>0</v>
      </c>
      <c r="I4902">
        <f t="shared" si="1007"/>
        <v>0</v>
      </c>
      <c r="J4902">
        <f t="shared" si="1008"/>
        <v>0</v>
      </c>
      <c r="K4902" s="4" t="e">
        <f t="shared" si="996"/>
        <v>#N/A</v>
      </c>
      <c r="L4902" t="e">
        <f t="shared" si="997"/>
        <v>#N/A</v>
      </c>
      <c r="M4902" s="4" t="e">
        <f t="shared" si="998"/>
        <v>#N/A</v>
      </c>
      <c r="N4902" s="4" t="e">
        <f t="shared" si="999"/>
        <v>#N/A</v>
      </c>
    </row>
    <row r="4903" spans="1:14">
      <c r="A4903">
        <f t="shared" si="1000"/>
        <v>0</v>
      </c>
      <c r="B4903">
        <f t="shared" si="1001"/>
        <v>0</v>
      </c>
      <c r="C4903">
        <f t="shared" si="1002"/>
        <v>0</v>
      </c>
      <c r="D4903">
        <f t="shared" si="1003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4"/>
        <v>0</v>
      </c>
      <c r="G4903">
        <f t="shared" si="1005"/>
        <v>0</v>
      </c>
      <c r="H4903">
        <f t="shared" si="1006"/>
        <v>0</v>
      </c>
      <c r="I4903">
        <f t="shared" si="1007"/>
        <v>0</v>
      </c>
      <c r="J4903">
        <f t="shared" si="1008"/>
        <v>0</v>
      </c>
      <c r="K4903" s="4" t="e">
        <f t="shared" si="996"/>
        <v>#N/A</v>
      </c>
      <c r="L4903" t="e">
        <f t="shared" si="997"/>
        <v>#N/A</v>
      </c>
      <c r="M4903" s="4" t="e">
        <f t="shared" si="998"/>
        <v>#N/A</v>
      </c>
      <c r="N4903" s="4" t="e">
        <f t="shared" si="999"/>
        <v>#N/A</v>
      </c>
    </row>
    <row r="4904" spans="1:14">
      <c r="A4904">
        <f t="shared" si="1000"/>
        <v>0</v>
      </c>
      <c r="B4904">
        <f t="shared" si="1001"/>
        <v>0</v>
      </c>
      <c r="C4904">
        <f t="shared" si="1002"/>
        <v>0</v>
      </c>
      <c r="D4904">
        <f t="shared" si="1003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4"/>
        <v>0</v>
      </c>
      <c r="G4904">
        <f t="shared" si="1005"/>
        <v>0</v>
      </c>
      <c r="H4904">
        <f t="shared" si="1006"/>
        <v>0</v>
      </c>
      <c r="I4904">
        <f t="shared" si="1007"/>
        <v>0</v>
      </c>
      <c r="J4904">
        <f t="shared" si="1008"/>
        <v>0</v>
      </c>
      <c r="K4904" s="4" t="e">
        <f t="shared" si="996"/>
        <v>#N/A</v>
      </c>
      <c r="L4904" t="e">
        <f t="shared" si="997"/>
        <v>#N/A</v>
      </c>
      <c r="M4904" s="4" t="e">
        <f t="shared" si="998"/>
        <v>#N/A</v>
      </c>
      <c r="N4904" s="4" t="e">
        <f t="shared" si="999"/>
        <v>#N/A</v>
      </c>
    </row>
    <row r="4905" spans="1:14">
      <c r="A4905">
        <f t="shared" si="1000"/>
        <v>0</v>
      </c>
      <c r="B4905">
        <f t="shared" si="1001"/>
        <v>0</v>
      </c>
      <c r="C4905">
        <f t="shared" si="1002"/>
        <v>0</v>
      </c>
      <c r="D4905">
        <f t="shared" si="1003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4"/>
        <v>0</v>
      </c>
      <c r="G4905">
        <f t="shared" si="1005"/>
        <v>0</v>
      </c>
      <c r="H4905">
        <f t="shared" si="1006"/>
        <v>0</v>
      </c>
      <c r="I4905">
        <f t="shared" si="1007"/>
        <v>0</v>
      </c>
      <c r="J4905">
        <f t="shared" si="1008"/>
        <v>0</v>
      </c>
      <c r="K4905" s="4" t="e">
        <f t="shared" si="996"/>
        <v>#N/A</v>
      </c>
      <c r="L4905" t="e">
        <f t="shared" si="997"/>
        <v>#N/A</v>
      </c>
      <c r="M4905" s="4" t="e">
        <f t="shared" si="998"/>
        <v>#N/A</v>
      </c>
      <c r="N4905" s="4" t="e">
        <f t="shared" si="999"/>
        <v>#N/A</v>
      </c>
    </row>
    <row r="4906" spans="1:14">
      <c r="A4906">
        <f t="shared" si="1000"/>
        <v>0</v>
      </c>
      <c r="B4906">
        <f t="shared" si="1001"/>
        <v>0</v>
      </c>
      <c r="C4906">
        <f t="shared" si="1002"/>
        <v>0</v>
      </c>
      <c r="D4906">
        <f t="shared" si="1003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4"/>
        <v>0</v>
      </c>
      <c r="G4906">
        <f t="shared" si="1005"/>
        <v>0</v>
      </c>
      <c r="H4906">
        <f t="shared" si="1006"/>
        <v>0</v>
      </c>
      <c r="I4906">
        <f t="shared" si="1007"/>
        <v>0</v>
      </c>
      <c r="J4906">
        <f t="shared" si="1008"/>
        <v>0</v>
      </c>
      <c r="K4906" s="4" t="e">
        <f t="shared" si="996"/>
        <v>#N/A</v>
      </c>
      <c r="L4906" t="e">
        <f t="shared" si="997"/>
        <v>#N/A</v>
      </c>
      <c r="M4906" s="4" t="e">
        <f t="shared" si="998"/>
        <v>#N/A</v>
      </c>
      <c r="N4906" s="4" t="e">
        <f t="shared" si="999"/>
        <v>#N/A</v>
      </c>
    </row>
    <row r="4907" spans="1:14">
      <c r="A4907">
        <f t="shared" si="1000"/>
        <v>0</v>
      </c>
      <c r="B4907">
        <f t="shared" si="1001"/>
        <v>0</v>
      </c>
      <c r="C4907">
        <f t="shared" si="1002"/>
        <v>0</v>
      </c>
      <c r="D4907">
        <f t="shared" si="1003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4"/>
        <v>0</v>
      </c>
      <c r="G4907">
        <f t="shared" si="1005"/>
        <v>0</v>
      </c>
      <c r="H4907">
        <f t="shared" si="1006"/>
        <v>0</v>
      </c>
      <c r="I4907">
        <f t="shared" si="1007"/>
        <v>0</v>
      </c>
      <c r="J4907">
        <f t="shared" si="1008"/>
        <v>0</v>
      </c>
      <c r="K4907" s="4" t="e">
        <f t="shared" si="996"/>
        <v>#N/A</v>
      </c>
      <c r="L4907" t="e">
        <f t="shared" si="997"/>
        <v>#N/A</v>
      </c>
      <c r="M4907" s="4" t="e">
        <f t="shared" si="998"/>
        <v>#N/A</v>
      </c>
      <c r="N4907" s="4" t="e">
        <f t="shared" si="999"/>
        <v>#N/A</v>
      </c>
    </row>
    <row r="4908" spans="1:14">
      <c r="A4908">
        <f t="shared" si="1000"/>
        <v>0</v>
      </c>
      <c r="B4908">
        <f t="shared" si="1001"/>
        <v>0</v>
      </c>
      <c r="C4908">
        <f t="shared" si="1002"/>
        <v>0</v>
      </c>
      <c r="D4908">
        <f t="shared" si="1003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4"/>
        <v>0</v>
      </c>
      <c r="G4908">
        <f t="shared" si="1005"/>
        <v>0</v>
      </c>
      <c r="H4908">
        <f t="shared" si="1006"/>
        <v>0</v>
      </c>
      <c r="I4908">
        <f t="shared" si="1007"/>
        <v>0</v>
      </c>
      <c r="J4908">
        <f t="shared" si="1008"/>
        <v>0</v>
      </c>
      <c r="K4908" s="4" t="e">
        <f t="shared" si="996"/>
        <v>#N/A</v>
      </c>
      <c r="L4908" t="e">
        <f t="shared" si="997"/>
        <v>#N/A</v>
      </c>
      <c r="M4908" s="4" t="e">
        <f t="shared" si="998"/>
        <v>#N/A</v>
      </c>
      <c r="N4908" s="4" t="e">
        <f t="shared" si="999"/>
        <v>#N/A</v>
      </c>
    </row>
    <row r="4909" spans="1:14">
      <c r="A4909">
        <f t="shared" si="1000"/>
        <v>0</v>
      </c>
      <c r="B4909">
        <f t="shared" si="1001"/>
        <v>0</v>
      </c>
      <c r="C4909">
        <f t="shared" si="1002"/>
        <v>0</v>
      </c>
      <c r="D4909">
        <f t="shared" si="1003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4"/>
        <v>0</v>
      </c>
      <c r="G4909">
        <f t="shared" si="1005"/>
        <v>0</v>
      </c>
      <c r="H4909">
        <f t="shared" si="1006"/>
        <v>0</v>
      </c>
      <c r="I4909">
        <f t="shared" si="1007"/>
        <v>0</v>
      </c>
      <c r="J4909">
        <f t="shared" si="1008"/>
        <v>0</v>
      </c>
      <c r="K4909" s="4" t="e">
        <f t="shared" si="996"/>
        <v>#N/A</v>
      </c>
      <c r="L4909" t="e">
        <f t="shared" si="997"/>
        <v>#N/A</v>
      </c>
      <c r="M4909" s="4" t="e">
        <f t="shared" si="998"/>
        <v>#N/A</v>
      </c>
      <c r="N4909" s="4" t="e">
        <f t="shared" si="999"/>
        <v>#N/A</v>
      </c>
    </row>
    <row r="4910" spans="1:14">
      <c r="A4910">
        <f t="shared" si="1000"/>
        <v>0</v>
      </c>
      <c r="B4910">
        <f t="shared" si="1001"/>
        <v>0</v>
      </c>
      <c r="C4910">
        <f t="shared" si="1002"/>
        <v>0</v>
      </c>
      <c r="D4910">
        <f t="shared" si="1003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4"/>
        <v>0</v>
      </c>
      <c r="G4910">
        <f t="shared" si="1005"/>
        <v>0</v>
      </c>
      <c r="H4910">
        <f t="shared" si="1006"/>
        <v>0</v>
      </c>
      <c r="I4910">
        <f t="shared" si="1007"/>
        <v>0</v>
      </c>
      <c r="J4910">
        <f t="shared" si="1008"/>
        <v>0</v>
      </c>
      <c r="K4910" s="4" t="e">
        <f t="shared" si="996"/>
        <v>#N/A</v>
      </c>
      <c r="L4910" t="e">
        <f t="shared" si="997"/>
        <v>#N/A</v>
      </c>
      <c r="M4910" s="4" t="e">
        <f t="shared" si="998"/>
        <v>#N/A</v>
      </c>
      <c r="N4910" s="4" t="e">
        <f t="shared" si="999"/>
        <v>#N/A</v>
      </c>
    </row>
    <row r="4911" spans="1:14">
      <c r="A4911">
        <f t="shared" si="1000"/>
        <v>0</v>
      </c>
      <c r="B4911">
        <f t="shared" si="1001"/>
        <v>0</v>
      </c>
      <c r="C4911">
        <f t="shared" si="1002"/>
        <v>0</v>
      </c>
      <c r="D4911">
        <f t="shared" si="1003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4"/>
        <v>0</v>
      </c>
      <c r="G4911">
        <f t="shared" si="1005"/>
        <v>0</v>
      </c>
      <c r="H4911">
        <f t="shared" si="1006"/>
        <v>0</v>
      </c>
      <c r="I4911">
        <f t="shared" si="1007"/>
        <v>0</v>
      </c>
      <c r="J4911">
        <f t="shared" si="1008"/>
        <v>0</v>
      </c>
      <c r="K4911" s="4" t="e">
        <f t="shared" si="996"/>
        <v>#N/A</v>
      </c>
      <c r="L4911" t="e">
        <f t="shared" si="997"/>
        <v>#N/A</v>
      </c>
      <c r="M4911" s="4" t="e">
        <f t="shared" si="998"/>
        <v>#N/A</v>
      </c>
      <c r="N4911" s="4" t="e">
        <f t="shared" si="999"/>
        <v>#N/A</v>
      </c>
    </row>
    <row r="4912" spans="1:14">
      <c r="A4912">
        <f t="shared" si="1000"/>
        <v>0</v>
      </c>
      <c r="B4912">
        <f t="shared" si="1001"/>
        <v>0</v>
      </c>
      <c r="C4912">
        <f t="shared" si="1002"/>
        <v>0</v>
      </c>
      <c r="D4912">
        <f t="shared" si="1003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4"/>
        <v>0</v>
      </c>
      <c r="G4912">
        <f t="shared" si="1005"/>
        <v>0</v>
      </c>
      <c r="H4912">
        <f t="shared" si="1006"/>
        <v>0</v>
      </c>
      <c r="I4912">
        <f t="shared" si="1007"/>
        <v>0</v>
      </c>
      <c r="J4912">
        <f t="shared" si="1008"/>
        <v>0</v>
      </c>
      <c r="K4912" s="4" t="e">
        <f t="shared" si="996"/>
        <v>#N/A</v>
      </c>
      <c r="L4912" t="e">
        <f t="shared" si="997"/>
        <v>#N/A</v>
      </c>
      <c r="M4912" s="4" t="e">
        <f t="shared" si="998"/>
        <v>#N/A</v>
      </c>
      <c r="N4912" s="4" t="e">
        <f t="shared" si="999"/>
        <v>#N/A</v>
      </c>
    </row>
    <row r="4913" spans="1:14">
      <c r="A4913">
        <f t="shared" si="1000"/>
        <v>0</v>
      </c>
      <c r="B4913">
        <f t="shared" si="1001"/>
        <v>0</v>
      </c>
      <c r="C4913">
        <f t="shared" si="1002"/>
        <v>0</v>
      </c>
      <c r="D4913">
        <f t="shared" si="1003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4"/>
        <v>0</v>
      </c>
      <c r="G4913">
        <f t="shared" si="1005"/>
        <v>0</v>
      </c>
      <c r="H4913">
        <f t="shared" si="1006"/>
        <v>0</v>
      </c>
      <c r="I4913">
        <f t="shared" si="1007"/>
        <v>0</v>
      </c>
      <c r="J4913">
        <f t="shared" si="1008"/>
        <v>0</v>
      </c>
      <c r="K4913" s="4" t="e">
        <f t="shared" si="996"/>
        <v>#N/A</v>
      </c>
      <c r="L4913" t="e">
        <f t="shared" si="997"/>
        <v>#N/A</v>
      </c>
      <c r="M4913" s="4" t="e">
        <f t="shared" si="998"/>
        <v>#N/A</v>
      </c>
      <c r="N4913" s="4" t="e">
        <f t="shared" si="999"/>
        <v>#N/A</v>
      </c>
    </row>
    <row r="4914" spans="1:14">
      <c r="A4914">
        <f t="shared" si="1000"/>
        <v>0</v>
      </c>
      <c r="B4914">
        <f t="shared" si="1001"/>
        <v>0</v>
      </c>
      <c r="C4914">
        <f t="shared" si="1002"/>
        <v>0</v>
      </c>
      <c r="D4914">
        <f t="shared" si="1003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4"/>
        <v>0</v>
      </c>
      <c r="G4914">
        <f t="shared" si="1005"/>
        <v>0</v>
      </c>
      <c r="H4914">
        <f t="shared" si="1006"/>
        <v>0</v>
      </c>
      <c r="I4914">
        <f t="shared" si="1007"/>
        <v>0</v>
      </c>
      <c r="J4914">
        <f t="shared" si="1008"/>
        <v>0</v>
      </c>
      <c r="K4914" s="4" t="e">
        <f t="shared" si="996"/>
        <v>#N/A</v>
      </c>
      <c r="L4914" t="e">
        <f t="shared" si="997"/>
        <v>#N/A</v>
      </c>
      <c r="M4914" s="4" t="e">
        <f t="shared" si="998"/>
        <v>#N/A</v>
      </c>
      <c r="N4914" s="4" t="e">
        <f t="shared" si="999"/>
        <v>#N/A</v>
      </c>
    </row>
    <row r="4915" spans="1:14">
      <c r="A4915">
        <f t="shared" si="1000"/>
        <v>0</v>
      </c>
      <c r="B4915">
        <f t="shared" si="1001"/>
        <v>0</v>
      </c>
      <c r="C4915">
        <f t="shared" si="1002"/>
        <v>0</v>
      </c>
      <c r="D4915">
        <f t="shared" si="1003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4"/>
        <v>0</v>
      </c>
      <c r="G4915">
        <f t="shared" si="1005"/>
        <v>0</v>
      </c>
      <c r="H4915">
        <f t="shared" si="1006"/>
        <v>0</v>
      </c>
      <c r="I4915">
        <f t="shared" si="1007"/>
        <v>0</v>
      </c>
      <c r="J4915">
        <f t="shared" si="1008"/>
        <v>0</v>
      </c>
      <c r="K4915" s="4" t="e">
        <f t="shared" si="996"/>
        <v>#N/A</v>
      </c>
      <c r="L4915" t="e">
        <f t="shared" si="997"/>
        <v>#N/A</v>
      </c>
      <c r="M4915" s="4" t="e">
        <f t="shared" si="998"/>
        <v>#N/A</v>
      </c>
      <c r="N4915" s="4" t="e">
        <f t="shared" si="999"/>
        <v>#N/A</v>
      </c>
    </row>
    <row r="4916" spans="1:14">
      <c r="A4916">
        <f t="shared" si="1000"/>
        <v>0</v>
      </c>
      <c r="B4916">
        <f t="shared" si="1001"/>
        <v>0</v>
      </c>
      <c r="C4916">
        <f t="shared" si="1002"/>
        <v>0</v>
      </c>
      <c r="D4916">
        <f t="shared" si="1003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4"/>
        <v>0</v>
      </c>
      <c r="G4916">
        <f t="shared" si="1005"/>
        <v>0</v>
      </c>
      <c r="H4916">
        <f t="shared" si="1006"/>
        <v>0</v>
      </c>
      <c r="I4916">
        <f t="shared" si="1007"/>
        <v>0</v>
      </c>
      <c r="J4916">
        <f t="shared" si="1008"/>
        <v>0</v>
      </c>
      <c r="K4916" s="4" t="e">
        <f t="shared" si="996"/>
        <v>#N/A</v>
      </c>
      <c r="L4916" t="e">
        <f t="shared" si="997"/>
        <v>#N/A</v>
      </c>
      <c r="M4916" s="4" t="e">
        <f t="shared" si="998"/>
        <v>#N/A</v>
      </c>
      <c r="N4916" s="4" t="e">
        <f t="shared" si="999"/>
        <v>#N/A</v>
      </c>
    </row>
    <row r="4917" spans="1:14">
      <c r="A4917">
        <f t="shared" si="1000"/>
        <v>0</v>
      </c>
      <c r="B4917">
        <f t="shared" si="1001"/>
        <v>0</v>
      </c>
      <c r="C4917">
        <f t="shared" si="1002"/>
        <v>0</v>
      </c>
      <c r="D4917">
        <f t="shared" si="1003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4"/>
        <v>0</v>
      </c>
      <c r="G4917">
        <f t="shared" si="1005"/>
        <v>0</v>
      </c>
      <c r="H4917">
        <f t="shared" si="1006"/>
        <v>0</v>
      </c>
      <c r="I4917">
        <f t="shared" si="1007"/>
        <v>0</v>
      </c>
      <c r="J4917">
        <f t="shared" si="1008"/>
        <v>0</v>
      </c>
      <c r="K4917" s="4" t="e">
        <f t="shared" si="996"/>
        <v>#N/A</v>
      </c>
      <c r="L4917" t="e">
        <f t="shared" si="997"/>
        <v>#N/A</v>
      </c>
      <c r="M4917" s="4" t="e">
        <f t="shared" si="998"/>
        <v>#N/A</v>
      </c>
      <c r="N4917" s="4" t="e">
        <f t="shared" si="999"/>
        <v>#N/A</v>
      </c>
    </row>
    <row r="4918" spans="1:14">
      <c r="A4918">
        <f t="shared" si="1000"/>
        <v>0</v>
      </c>
      <c r="B4918">
        <f t="shared" si="1001"/>
        <v>0</v>
      </c>
      <c r="C4918">
        <f t="shared" si="1002"/>
        <v>0</v>
      </c>
      <c r="D4918">
        <f t="shared" si="1003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4"/>
        <v>0</v>
      </c>
      <c r="G4918">
        <f t="shared" si="1005"/>
        <v>0</v>
      </c>
      <c r="H4918">
        <f t="shared" si="1006"/>
        <v>0</v>
      </c>
      <c r="I4918">
        <f t="shared" si="1007"/>
        <v>0</v>
      </c>
      <c r="J4918">
        <f t="shared" si="1008"/>
        <v>0</v>
      </c>
      <c r="K4918" s="4" t="e">
        <f t="shared" si="996"/>
        <v>#N/A</v>
      </c>
      <c r="L4918" t="e">
        <f t="shared" si="997"/>
        <v>#N/A</v>
      </c>
      <c r="M4918" s="4" t="e">
        <f t="shared" si="998"/>
        <v>#N/A</v>
      </c>
      <c r="N4918" s="4" t="e">
        <f t="shared" si="999"/>
        <v>#N/A</v>
      </c>
    </row>
    <row r="4919" spans="1:14">
      <c r="A4919">
        <f t="shared" si="1000"/>
        <v>0</v>
      </c>
      <c r="B4919">
        <f t="shared" si="1001"/>
        <v>0</v>
      </c>
      <c r="C4919">
        <f t="shared" si="1002"/>
        <v>0</v>
      </c>
      <c r="D4919">
        <f t="shared" si="1003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4"/>
        <v>0</v>
      </c>
      <c r="G4919">
        <f t="shared" si="1005"/>
        <v>0</v>
      </c>
      <c r="H4919">
        <f t="shared" si="1006"/>
        <v>0</v>
      </c>
      <c r="I4919">
        <f t="shared" si="1007"/>
        <v>0</v>
      </c>
      <c r="J4919">
        <f t="shared" si="1008"/>
        <v>0</v>
      </c>
      <c r="K4919" s="4" t="e">
        <f t="shared" si="996"/>
        <v>#N/A</v>
      </c>
      <c r="L4919" t="e">
        <f t="shared" si="997"/>
        <v>#N/A</v>
      </c>
      <c r="M4919" s="4" t="e">
        <f t="shared" si="998"/>
        <v>#N/A</v>
      </c>
      <c r="N4919" s="4" t="e">
        <f t="shared" si="999"/>
        <v>#N/A</v>
      </c>
    </row>
    <row r="4920" spans="1:14">
      <c r="A4920">
        <f t="shared" si="1000"/>
        <v>0</v>
      </c>
      <c r="B4920">
        <f t="shared" si="1001"/>
        <v>0</v>
      </c>
      <c r="C4920">
        <f t="shared" si="1002"/>
        <v>0</v>
      </c>
      <c r="D4920">
        <f t="shared" si="1003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4"/>
        <v>0</v>
      </c>
      <c r="G4920">
        <f t="shared" si="1005"/>
        <v>0</v>
      </c>
      <c r="H4920">
        <f t="shared" si="1006"/>
        <v>0</v>
      </c>
      <c r="I4920">
        <f t="shared" si="1007"/>
        <v>0</v>
      </c>
      <c r="J4920">
        <f t="shared" si="1008"/>
        <v>0</v>
      </c>
      <c r="K4920" s="4" t="e">
        <f t="shared" si="996"/>
        <v>#N/A</v>
      </c>
      <c r="L4920" t="e">
        <f t="shared" si="997"/>
        <v>#N/A</v>
      </c>
      <c r="M4920" s="4" t="e">
        <f t="shared" si="998"/>
        <v>#N/A</v>
      </c>
      <c r="N4920" s="4" t="e">
        <f t="shared" si="999"/>
        <v>#N/A</v>
      </c>
    </row>
    <row r="4921" spans="1:14">
      <c r="A4921">
        <f t="shared" si="1000"/>
        <v>0</v>
      </c>
      <c r="B4921">
        <f t="shared" si="1001"/>
        <v>0</v>
      </c>
      <c r="C4921">
        <f t="shared" si="1002"/>
        <v>0</v>
      </c>
      <c r="D4921">
        <f t="shared" si="1003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4"/>
        <v>0</v>
      </c>
      <c r="G4921">
        <f t="shared" si="1005"/>
        <v>0</v>
      </c>
      <c r="H4921">
        <f t="shared" si="1006"/>
        <v>0</v>
      </c>
      <c r="I4921">
        <f t="shared" si="1007"/>
        <v>0</v>
      </c>
      <c r="J4921">
        <f t="shared" si="1008"/>
        <v>0</v>
      </c>
      <c r="K4921" s="4" t="e">
        <f t="shared" si="996"/>
        <v>#N/A</v>
      </c>
      <c r="L4921" t="e">
        <f t="shared" si="997"/>
        <v>#N/A</v>
      </c>
      <c r="M4921" s="4" t="e">
        <f t="shared" si="998"/>
        <v>#N/A</v>
      </c>
      <c r="N4921" s="4" t="e">
        <f t="shared" si="999"/>
        <v>#N/A</v>
      </c>
    </row>
    <row r="4922" spans="1:14">
      <c r="A4922">
        <f t="shared" si="1000"/>
        <v>0</v>
      </c>
      <c r="B4922">
        <f t="shared" si="1001"/>
        <v>0</v>
      </c>
      <c r="C4922">
        <f t="shared" si="1002"/>
        <v>0</v>
      </c>
      <c r="D4922">
        <f t="shared" si="1003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4"/>
        <v>0</v>
      </c>
      <c r="G4922">
        <f t="shared" si="1005"/>
        <v>0</v>
      </c>
      <c r="H4922">
        <f t="shared" si="1006"/>
        <v>0</v>
      </c>
      <c r="I4922">
        <f t="shared" si="1007"/>
        <v>0</v>
      </c>
      <c r="J4922">
        <f t="shared" si="1008"/>
        <v>0</v>
      </c>
      <c r="K4922" s="4" t="e">
        <f t="shared" si="996"/>
        <v>#N/A</v>
      </c>
      <c r="L4922" t="e">
        <f t="shared" si="997"/>
        <v>#N/A</v>
      </c>
      <c r="M4922" s="4" t="e">
        <f t="shared" si="998"/>
        <v>#N/A</v>
      </c>
      <c r="N4922" s="4" t="e">
        <f t="shared" si="999"/>
        <v>#N/A</v>
      </c>
    </row>
    <row r="4923" spans="1:14">
      <c r="A4923">
        <f t="shared" si="1000"/>
        <v>0</v>
      </c>
      <c r="B4923">
        <f t="shared" si="1001"/>
        <v>0</v>
      </c>
      <c r="C4923">
        <f t="shared" si="1002"/>
        <v>0</v>
      </c>
      <c r="D4923">
        <f t="shared" si="1003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4"/>
        <v>0</v>
      </c>
      <c r="G4923">
        <f t="shared" si="1005"/>
        <v>0</v>
      </c>
      <c r="H4923">
        <f t="shared" si="1006"/>
        <v>0</v>
      </c>
      <c r="I4923">
        <f t="shared" si="1007"/>
        <v>0</v>
      </c>
      <c r="J4923">
        <f t="shared" si="1008"/>
        <v>0</v>
      </c>
      <c r="K4923" s="4" t="e">
        <f t="shared" si="996"/>
        <v>#N/A</v>
      </c>
      <c r="L4923" t="e">
        <f t="shared" si="997"/>
        <v>#N/A</v>
      </c>
      <c r="M4923" s="4" t="e">
        <f t="shared" si="998"/>
        <v>#N/A</v>
      </c>
      <c r="N4923" s="4" t="e">
        <f t="shared" si="999"/>
        <v>#N/A</v>
      </c>
    </row>
    <row r="4924" spans="1:14">
      <c r="A4924">
        <f t="shared" si="1000"/>
        <v>0</v>
      </c>
      <c r="B4924">
        <f t="shared" si="1001"/>
        <v>0</v>
      </c>
      <c r="C4924">
        <f t="shared" si="1002"/>
        <v>0</v>
      </c>
      <c r="D4924">
        <f t="shared" si="1003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4"/>
        <v>0</v>
      </c>
      <c r="G4924">
        <f t="shared" si="1005"/>
        <v>0</v>
      </c>
      <c r="H4924">
        <f t="shared" si="1006"/>
        <v>0</v>
      </c>
      <c r="I4924">
        <f t="shared" si="1007"/>
        <v>0</v>
      </c>
      <c r="J4924">
        <f t="shared" si="1008"/>
        <v>0</v>
      </c>
      <c r="K4924" s="4" t="e">
        <f t="shared" si="996"/>
        <v>#N/A</v>
      </c>
      <c r="L4924" t="e">
        <f t="shared" si="997"/>
        <v>#N/A</v>
      </c>
      <c r="M4924" s="4" t="e">
        <f t="shared" si="998"/>
        <v>#N/A</v>
      </c>
      <c r="N4924" s="4" t="e">
        <f t="shared" si="999"/>
        <v>#N/A</v>
      </c>
    </row>
    <row r="4925" spans="1:14">
      <c r="A4925">
        <f t="shared" si="1000"/>
        <v>0</v>
      </c>
      <c r="B4925">
        <f t="shared" si="1001"/>
        <v>0</v>
      </c>
      <c r="C4925">
        <f t="shared" si="1002"/>
        <v>0</v>
      </c>
      <c r="D4925">
        <f t="shared" si="1003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4"/>
        <v>0</v>
      </c>
      <c r="G4925">
        <f t="shared" si="1005"/>
        <v>0</v>
      </c>
      <c r="H4925">
        <f t="shared" si="1006"/>
        <v>0</v>
      </c>
      <c r="I4925">
        <f t="shared" si="1007"/>
        <v>0</v>
      </c>
      <c r="J4925">
        <f t="shared" si="1008"/>
        <v>0</v>
      </c>
      <c r="K4925" s="4" t="e">
        <f t="shared" ref="K4925:K4988" si="1009">IF(LEFT(B4925,3)="DBM",0,VLOOKUP(E4925,tabela,2,FALSE))</f>
        <v>#N/A</v>
      </c>
      <c r="L4925" t="e">
        <f t="shared" ref="L4925:L4988" si="1010">VLOOKUP(E4925,tabela,3,FALSE)</f>
        <v>#N/A</v>
      </c>
      <c r="M4925" s="4" t="e">
        <f t="shared" ref="M4925:M4988" si="1011">IF(E4925="Dynamic Click",J4925*K4925,K4925*$I4925/1000)</f>
        <v>#N/A</v>
      </c>
      <c r="N4925" s="4" t="e">
        <f t="shared" ref="N4925:N4988" si="1012">IF(E4925="Dynamic Click",J4925*L4925,L4925*$I4925/1000)</f>
        <v>#N/A</v>
      </c>
    </row>
    <row r="4926" spans="1:14">
      <c r="A4926">
        <f t="shared" si="1000"/>
        <v>0</v>
      </c>
      <c r="B4926">
        <f t="shared" si="1001"/>
        <v>0</v>
      </c>
      <c r="C4926">
        <f t="shared" si="1002"/>
        <v>0</v>
      </c>
      <c r="D4926">
        <f t="shared" si="1003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4"/>
        <v>0</v>
      </c>
      <c r="G4926">
        <f t="shared" si="1005"/>
        <v>0</v>
      </c>
      <c r="H4926">
        <f t="shared" si="1006"/>
        <v>0</v>
      </c>
      <c r="I4926">
        <f t="shared" si="1007"/>
        <v>0</v>
      </c>
      <c r="J4926">
        <f t="shared" si="1008"/>
        <v>0</v>
      </c>
      <c r="K4926" s="4" t="e">
        <f t="shared" si="1009"/>
        <v>#N/A</v>
      </c>
      <c r="L4926" t="e">
        <f t="shared" si="1010"/>
        <v>#N/A</v>
      </c>
      <c r="M4926" s="4" t="e">
        <f t="shared" si="1011"/>
        <v>#N/A</v>
      </c>
      <c r="N4926" s="4" t="e">
        <f t="shared" si="1012"/>
        <v>#N/A</v>
      </c>
    </row>
    <row r="4927" spans="1:14">
      <c r="A4927">
        <f t="shared" si="1000"/>
        <v>0</v>
      </c>
      <c r="B4927">
        <f t="shared" si="1001"/>
        <v>0</v>
      </c>
      <c r="C4927">
        <f t="shared" si="1002"/>
        <v>0</v>
      </c>
      <c r="D4927">
        <f t="shared" si="1003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4"/>
        <v>0</v>
      </c>
      <c r="G4927">
        <f t="shared" si="1005"/>
        <v>0</v>
      </c>
      <c r="H4927">
        <f t="shared" si="1006"/>
        <v>0</v>
      </c>
      <c r="I4927">
        <f t="shared" si="1007"/>
        <v>0</v>
      </c>
      <c r="J4927">
        <f t="shared" si="1008"/>
        <v>0</v>
      </c>
      <c r="K4927" s="4" t="e">
        <f t="shared" si="1009"/>
        <v>#N/A</v>
      </c>
      <c r="L4927" t="e">
        <f t="shared" si="1010"/>
        <v>#N/A</v>
      </c>
      <c r="M4927" s="4" t="e">
        <f t="shared" si="1011"/>
        <v>#N/A</v>
      </c>
      <c r="N4927" s="4" t="e">
        <f t="shared" si="1012"/>
        <v>#N/A</v>
      </c>
    </row>
    <row r="4928" spans="1:14">
      <c r="A4928">
        <f t="shared" si="1000"/>
        <v>0</v>
      </c>
      <c r="B4928">
        <f t="shared" si="1001"/>
        <v>0</v>
      </c>
      <c r="C4928">
        <f t="shared" si="1002"/>
        <v>0</v>
      </c>
      <c r="D4928">
        <f t="shared" si="1003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4"/>
        <v>0</v>
      </c>
      <c r="G4928">
        <f t="shared" si="1005"/>
        <v>0</v>
      </c>
      <c r="H4928">
        <f t="shared" si="1006"/>
        <v>0</v>
      </c>
      <c r="I4928">
        <f t="shared" si="1007"/>
        <v>0</v>
      </c>
      <c r="J4928">
        <f t="shared" si="1008"/>
        <v>0</v>
      </c>
      <c r="K4928" s="4" t="e">
        <f t="shared" si="1009"/>
        <v>#N/A</v>
      </c>
      <c r="L4928" t="e">
        <f t="shared" si="1010"/>
        <v>#N/A</v>
      </c>
      <c r="M4928" s="4" t="e">
        <f t="shared" si="1011"/>
        <v>#N/A</v>
      </c>
      <c r="N4928" s="4" t="e">
        <f t="shared" si="1012"/>
        <v>#N/A</v>
      </c>
    </row>
    <row r="4929" spans="1:14">
      <c r="A4929">
        <f t="shared" si="1000"/>
        <v>0</v>
      </c>
      <c r="B4929">
        <f t="shared" si="1001"/>
        <v>0</v>
      </c>
      <c r="C4929">
        <f t="shared" si="1002"/>
        <v>0</v>
      </c>
      <c r="D4929">
        <f t="shared" si="1003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4"/>
        <v>0</v>
      </c>
      <c r="G4929">
        <f t="shared" si="1005"/>
        <v>0</v>
      </c>
      <c r="H4929">
        <f t="shared" si="1006"/>
        <v>0</v>
      </c>
      <c r="I4929">
        <f t="shared" si="1007"/>
        <v>0</v>
      </c>
      <c r="J4929">
        <f t="shared" si="1008"/>
        <v>0</v>
      </c>
      <c r="K4929" s="4" t="e">
        <f t="shared" si="1009"/>
        <v>#N/A</v>
      </c>
      <c r="L4929" t="e">
        <f t="shared" si="1010"/>
        <v>#N/A</v>
      </c>
      <c r="M4929" s="4" t="e">
        <f t="shared" si="1011"/>
        <v>#N/A</v>
      </c>
      <c r="N4929" s="4" t="e">
        <f t="shared" si="1012"/>
        <v>#N/A</v>
      </c>
    </row>
    <row r="4930" spans="1:14">
      <c r="A4930">
        <f t="shared" ref="A4930:A4993" si="1013">bd_campaign</f>
        <v>0</v>
      </c>
      <c r="B4930">
        <f t="shared" ref="B4930:B4993" si="1014">bd_site</f>
        <v>0</v>
      </c>
      <c r="C4930">
        <f t="shared" ref="C4930:C4993" si="1015">bd_placement</f>
        <v>0</v>
      </c>
      <c r="D4930">
        <f t="shared" ref="D4930:D4993" si="1016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7">bd_ad</f>
        <v>0</v>
      </c>
      <c r="G4930">
        <f t="shared" ref="G4930:G4993" si="1018">bd_adid</f>
        <v>0</v>
      </c>
      <c r="H4930">
        <f t="shared" ref="H4930:H4993" si="1019">bd_creativetype</f>
        <v>0</v>
      </c>
      <c r="I4930">
        <f t="shared" ref="I4930:I4993" si="1020">bd_impression</f>
        <v>0</v>
      </c>
      <c r="J4930">
        <f t="shared" ref="J4930:J4993" si="1021">bd_clicks</f>
        <v>0</v>
      </c>
      <c r="K4930" s="4" t="e">
        <f t="shared" si="1009"/>
        <v>#N/A</v>
      </c>
      <c r="L4930" t="e">
        <f t="shared" si="1010"/>
        <v>#N/A</v>
      </c>
      <c r="M4930" s="4" t="e">
        <f t="shared" si="1011"/>
        <v>#N/A</v>
      </c>
      <c r="N4930" s="4" t="e">
        <f t="shared" si="1012"/>
        <v>#N/A</v>
      </c>
    </row>
    <row r="4931" spans="1:14">
      <c r="A4931">
        <f t="shared" si="1013"/>
        <v>0</v>
      </c>
      <c r="B4931">
        <f t="shared" si="1014"/>
        <v>0</v>
      </c>
      <c r="C4931">
        <f t="shared" si="1015"/>
        <v>0</v>
      </c>
      <c r="D4931">
        <f t="shared" si="1016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7"/>
        <v>0</v>
      </c>
      <c r="G4931">
        <f t="shared" si="1018"/>
        <v>0</v>
      </c>
      <c r="H4931">
        <f t="shared" si="1019"/>
        <v>0</v>
      </c>
      <c r="I4931">
        <f t="shared" si="1020"/>
        <v>0</v>
      </c>
      <c r="J4931">
        <f t="shared" si="1021"/>
        <v>0</v>
      </c>
      <c r="K4931" s="4" t="e">
        <f t="shared" si="1009"/>
        <v>#N/A</v>
      </c>
      <c r="L4931" t="e">
        <f t="shared" si="1010"/>
        <v>#N/A</v>
      </c>
      <c r="M4931" s="4" t="e">
        <f t="shared" si="1011"/>
        <v>#N/A</v>
      </c>
      <c r="N4931" s="4" t="e">
        <f t="shared" si="1012"/>
        <v>#N/A</v>
      </c>
    </row>
    <row r="4932" spans="1:14">
      <c r="A4932">
        <f t="shared" si="1013"/>
        <v>0</v>
      </c>
      <c r="B4932">
        <f t="shared" si="1014"/>
        <v>0</v>
      </c>
      <c r="C4932">
        <f t="shared" si="1015"/>
        <v>0</v>
      </c>
      <c r="D4932">
        <f t="shared" si="1016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7"/>
        <v>0</v>
      </c>
      <c r="G4932">
        <f t="shared" si="1018"/>
        <v>0</v>
      </c>
      <c r="H4932">
        <f t="shared" si="1019"/>
        <v>0</v>
      </c>
      <c r="I4932">
        <f t="shared" si="1020"/>
        <v>0</v>
      </c>
      <c r="J4932">
        <f t="shared" si="1021"/>
        <v>0</v>
      </c>
      <c r="K4932" s="4" t="e">
        <f t="shared" si="1009"/>
        <v>#N/A</v>
      </c>
      <c r="L4932" t="e">
        <f t="shared" si="1010"/>
        <v>#N/A</v>
      </c>
      <c r="M4932" s="4" t="e">
        <f t="shared" si="1011"/>
        <v>#N/A</v>
      </c>
      <c r="N4932" s="4" t="e">
        <f t="shared" si="1012"/>
        <v>#N/A</v>
      </c>
    </row>
    <row r="4933" spans="1:14">
      <c r="A4933">
        <f t="shared" si="1013"/>
        <v>0</v>
      </c>
      <c r="B4933">
        <f t="shared" si="1014"/>
        <v>0</v>
      </c>
      <c r="C4933">
        <f t="shared" si="1015"/>
        <v>0</v>
      </c>
      <c r="D4933">
        <f t="shared" si="1016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7"/>
        <v>0</v>
      </c>
      <c r="G4933">
        <f t="shared" si="1018"/>
        <v>0</v>
      </c>
      <c r="H4933">
        <f t="shared" si="1019"/>
        <v>0</v>
      </c>
      <c r="I4933">
        <f t="shared" si="1020"/>
        <v>0</v>
      </c>
      <c r="J4933">
        <f t="shared" si="1021"/>
        <v>0</v>
      </c>
      <c r="K4933" s="4" t="e">
        <f t="shared" si="1009"/>
        <v>#N/A</v>
      </c>
      <c r="L4933" t="e">
        <f t="shared" si="1010"/>
        <v>#N/A</v>
      </c>
      <c r="M4933" s="4" t="e">
        <f t="shared" si="1011"/>
        <v>#N/A</v>
      </c>
      <c r="N4933" s="4" t="e">
        <f t="shared" si="1012"/>
        <v>#N/A</v>
      </c>
    </row>
    <row r="4934" spans="1:14">
      <c r="A4934">
        <f t="shared" si="1013"/>
        <v>0</v>
      </c>
      <c r="B4934">
        <f t="shared" si="1014"/>
        <v>0</v>
      </c>
      <c r="C4934">
        <f t="shared" si="1015"/>
        <v>0</v>
      </c>
      <c r="D4934">
        <f t="shared" si="1016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7"/>
        <v>0</v>
      </c>
      <c r="G4934">
        <f t="shared" si="1018"/>
        <v>0</v>
      </c>
      <c r="H4934">
        <f t="shared" si="1019"/>
        <v>0</v>
      </c>
      <c r="I4934">
        <f t="shared" si="1020"/>
        <v>0</v>
      </c>
      <c r="J4934">
        <f t="shared" si="1021"/>
        <v>0</v>
      </c>
      <c r="K4934" s="4" t="e">
        <f t="shared" si="1009"/>
        <v>#N/A</v>
      </c>
      <c r="L4934" t="e">
        <f t="shared" si="1010"/>
        <v>#N/A</v>
      </c>
      <c r="M4934" s="4" t="e">
        <f t="shared" si="1011"/>
        <v>#N/A</v>
      </c>
      <c r="N4934" s="4" t="e">
        <f t="shared" si="1012"/>
        <v>#N/A</v>
      </c>
    </row>
    <row r="4935" spans="1:14">
      <c r="A4935">
        <f t="shared" si="1013"/>
        <v>0</v>
      </c>
      <c r="B4935">
        <f t="shared" si="1014"/>
        <v>0</v>
      </c>
      <c r="C4935">
        <f t="shared" si="1015"/>
        <v>0</v>
      </c>
      <c r="D4935">
        <f t="shared" si="1016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7"/>
        <v>0</v>
      </c>
      <c r="G4935">
        <f t="shared" si="1018"/>
        <v>0</v>
      </c>
      <c r="H4935">
        <f t="shared" si="1019"/>
        <v>0</v>
      </c>
      <c r="I4935">
        <f t="shared" si="1020"/>
        <v>0</v>
      </c>
      <c r="J4935">
        <f t="shared" si="1021"/>
        <v>0</v>
      </c>
      <c r="K4935" s="4" t="e">
        <f t="shared" si="1009"/>
        <v>#N/A</v>
      </c>
      <c r="L4935" t="e">
        <f t="shared" si="1010"/>
        <v>#N/A</v>
      </c>
      <c r="M4935" s="4" t="e">
        <f t="shared" si="1011"/>
        <v>#N/A</v>
      </c>
      <c r="N4935" s="4" t="e">
        <f t="shared" si="1012"/>
        <v>#N/A</v>
      </c>
    </row>
    <row r="4936" spans="1:14">
      <c r="A4936">
        <f t="shared" si="1013"/>
        <v>0</v>
      </c>
      <c r="B4936">
        <f t="shared" si="1014"/>
        <v>0</v>
      </c>
      <c r="C4936">
        <f t="shared" si="1015"/>
        <v>0</v>
      </c>
      <c r="D4936">
        <f t="shared" si="1016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7"/>
        <v>0</v>
      </c>
      <c r="G4936">
        <f t="shared" si="1018"/>
        <v>0</v>
      </c>
      <c r="H4936">
        <f t="shared" si="1019"/>
        <v>0</v>
      </c>
      <c r="I4936">
        <f t="shared" si="1020"/>
        <v>0</v>
      </c>
      <c r="J4936">
        <f t="shared" si="1021"/>
        <v>0</v>
      </c>
      <c r="K4936" s="4" t="e">
        <f t="shared" si="1009"/>
        <v>#N/A</v>
      </c>
      <c r="L4936" t="e">
        <f t="shared" si="1010"/>
        <v>#N/A</v>
      </c>
      <c r="M4936" s="4" t="e">
        <f t="shared" si="1011"/>
        <v>#N/A</v>
      </c>
      <c r="N4936" s="4" t="e">
        <f t="shared" si="1012"/>
        <v>#N/A</v>
      </c>
    </row>
    <row r="4937" spans="1:14">
      <c r="A4937">
        <f t="shared" si="1013"/>
        <v>0</v>
      </c>
      <c r="B4937">
        <f t="shared" si="1014"/>
        <v>0</v>
      </c>
      <c r="C4937">
        <f t="shared" si="1015"/>
        <v>0</v>
      </c>
      <c r="D4937">
        <f t="shared" si="1016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7"/>
        <v>0</v>
      </c>
      <c r="G4937">
        <f t="shared" si="1018"/>
        <v>0</v>
      </c>
      <c r="H4937">
        <f t="shared" si="1019"/>
        <v>0</v>
      </c>
      <c r="I4937">
        <f t="shared" si="1020"/>
        <v>0</v>
      </c>
      <c r="J4937">
        <f t="shared" si="1021"/>
        <v>0</v>
      </c>
      <c r="K4937" s="4" t="e">
        <f t="shared" si="1009"/>
        <v>#N/A</v>
      </c>
      <c r="L4937" t="e">
        <f t="shared" si="1010"/>
        <v>#N/A</v>
      </c>
      <c r="M4937" s="4" t="e">
        <f t="shared" si="1011"/>
        <v>#N/A</v>
      </c>
      <c r="N4937" s="4" t="e">
        <f t="shared" si="1012"/>
        <v>#N/A</v>
      </c>
    </row>
    <row r="4938" spans="1:14">
      <c r="A4938">
        <f t="shared" si="1013"/>
        <v>0</v>
      </c>
      <c r="B4938">
        <f t="shared" si="1014"/>
        <v>0</v>
      </c>
      <c r="C4938">
        <f t="shared" si="1015"/>
        <v>0</v>
      </c>
      <c r="D4938">
        <f t="shared" si="1016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7"/>
        <v>0</v>
      </c>
      <c r="G4938">
        <f t="shared" si="1018"/>
        <v>0</v>
      </c>
      <c r="H4938">
        <f t="shared" si="1019"/>
        <v>0</v>
      </c>
      <c r="I4938">
        <f t="shared" si="1020"/>
        <v>0</v>
      </c>
      <c r="J4938">
        <f t="shared" si="1021"/>
        <v>0</v>
      </c>
      <c r="K4938" s="4" t="e">
        <f t="shared" si="1009"/>
        <v>#N/A</v>
      </c>
      <c r="L4938" t="e">
        <f t="shared" si="1010"/>
        <v>#N/A</v>
      </c>
      <c r="M4938" s="4" t="e">
        <f t="shared" si="1011"/>
        <v>#N/A</v>
      </c>
      <c r="N4938" s="4" t="e">
        <f t="shared" si="1012"/>
        <v>#N/A</v>
      </c>
    </row>
    <row r="4939" spans="1:14">
      <c r="A4939">
        <f t="shared" si="1013"/>
        <v>0</v>
      </c>
      <c r="B4939">
        <f t="shared" si="1014"/>
        <v>0</v>
      </c>
      <c r="C4939">
        <f t="shared" si="1015"/>
        <v>0</v>
      </c>
      <c r="D4939">
        <f t="shared" si="1016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7"/>
        <v>0</v>
      </c>
      <c r="G4939">
        <f t="shared" si="1018"/>
        <v>0</v>
      </c>
      <c r="H4939">
        <f t="shared" si="1019"/>
        <v>0</v>
      </c>
      <c r="I4939">
        <f t="shared" si="1020"/>
        <v>0</v>
      </c>
      <c r="J4939">
        <f t="shared" si="1021"/>
        <v>0</v>
      </c>
      <c r="K4939" s="4" t="e">
        <f t="shared" si="1009"/>
        <v>#N/A</v>
      </c>
      <c r="L4939" t="e">
        <f t="shared" si="1010"/>
        <v>#N/A</v>
      </c>
      <c r="M4939" s="4" t="e">
        <f t="shared" si="1011"/>
        <v>#N/A</v>
      </c>
      <c r="N4939" s="4" t="e">
        <f t="shared" si="1012"/>
        <v>#N/A</v>
      </c>
    </row>
    <row r="4940" spans="1:14">
      <c r="A4940">
        <f t="shared" si="1013"/>
        <v>0</v>
      </c>
      <c r="B4940">
        <f t="shared" si="1014"/>
        <v>0</v>
      </c>
      <c r="C4940">
        <f t="shared" si="1015"/>
        <v>0</v>
      </c>
      <c r="D4940">
        <f t="shared" si="1016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7"/>
        <v>0</v>
      </c>
      <c r="G4940">
        <f t="shared" si="1018"/>
        <v>0</v>
      </c>
      <c r="H4940">
        <f t="shared" si="1019"/>
        <v>0</v>
      </c>
      <c r="I4940">
        <f t="shared" si="1020"/>
        <v>0</v>
      </c>
      <c r="J4940">
        <f t="shared" si="1021"/>
        <v>0</v>
      </c>
      <c r="K4940" s="4" t="e">
        <f t="shared" si="1009"/>
        <v>#N/A</v>
      </c>
      <c r="L4940" t="e">
        <f t="shared" si="1010"/>
        <v>#N/A</v>
      </c>
      <c r="M4940" s="4" t="e">
        <f t="shared" si="1011"/>
        <v>#N/A</v>
      </c>
      <c r="N4940" s="4" t="e">
        <f t="shared" si="1012"/>
        <v>#N/A</v>
      </c>
    </row>
    <row r="4941" spans="1:14">
      <c r="A4941">
        <f t="shared" si="1013"/>
        <v>0</v>
      </c>
      <c r="B4941">
        <f t="shared" si="1014"/>
        <v>0</v>
      </c>
      <c r="C4941">
        <f t="shared" si="1015"/>
        <v>0</v>
      </c>
      <c r="D4941">
        <f t="shared" si="1016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7"/>
        <v>0</v>
      </c>
      <c r="G4941">
        <f t="shared" si="1018"/>
        <v>0</v>
      </c>
      <c r="H4941">
        <f t="shared" si="1019"/>
        <v>0</v>
      </c>
      <c r="I4941">
        <f t="shared" si="1020"/>
        <v>0</v>
      </c>
      <c r="J4941">
        <f t="shared" si="1021"/>
        <v>0</v>
      </c>
      <c r="K4941" s="4" t="e">
        <f t="shared" si="1009"/>
        <v>#N/A</v>
      </c>
      <c r="L4941" t="e">
        <f t="shared" si="1010"/>
        <v>#N/A</v>
      </c>
      <c r="M4941" s="4" t="e">
        <f t="shared" si="1011"/>
        <v>#N/A</v>
      </c>
      <c r="N4941" s="4" t="e">
        <f t="shared" si="1012"/>
        <v>#N/A</v>
      </c>
    </row>
    <row r="4942" spans="1:14">
      <c r="A4942">
        <f t="shared" si="1013"/>
        <v>0</v>
      </c>
      <c r="B4942">
        <f t="shared" si="1014"/>
        <v>0</v>
      </c>
      <c r="C4942">
        <f t="shared" si="1015"/>
        <v>0</v>
      </c>
      <c r="D4942">
        <f t="shared" si="1016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7"/>
        <v>0</v>
      </c>
      <c r="G4942">
        <f t="shared" si="1018"/>
        <v>0</v>
      </c>
      <c r="H4942">
        <f t="shared" si="1019"/>
        <v>0</v>
      </c>
      <c r="I4942">
        <f t="shared" si="1020"/>
        <v>0</v>
      </c>
      <c r="J4942">
        <f t="shared" si="1021"/>
        <v>0</v>
      </c>
      <c r="K4942" s="4" t="e">
        <f t="shared" si="1009"/>
        <v>#N/A</v>
      </c>
      <c r="L4942" t="e">
        <f t="shared" si="1010"/>
        <v>#N/A</v>
      </c>
      <c r="M4942" s="4" t="e">
        <f t="shared" si="1011"/>
        <v>#N/A</v>
      </c>
      <c r="N4942" s="4" t="e">
        <f t="shared" si="1012"/>
        <v>#N/A</v>
      </c>
    </row>
    <row r="4943" spans="1:14">
      <c r="A4943">
        <f t="shared" si="1013"/>
        <v>0</v>
      </c>
      <c r="B4943">
        <f t="shared" si="1014"/>
        <v>0</v>
      </c>
      <c r="C4943">
        <f t="shared" si="1015"/>
        <v>0</v>
      </c>
      <c r="D4943">
        <f t="shared" si="1016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7"/>
        <v>0</v>
      </c>
      <c r="G4943">
        <f t="shared" si="1018"/>
        <v>0</v>
      </c>
      <c r="H4943">
        <f t="shared" si="1019"/>
        <v>0</v>
      </c>
      <c r="I4943">
        <f t="shared" si="1020"/>
        <v>0</v>
      </c>
      <c r="J4943">
        <f t="shared" si="1021"/>
        <v>0</v>
      </c>
      <c r="K4943" s="4" t="e">
        <f t="shared" si="1009"/>
        <v>#N/A</v>
      </c>
      <c r="L4943" t="e">
        <f t="shared" si="1010"/>
        <v>#N/A</v>
      </c>
      <c r="M4943" s="4" t="e">
        <f t="shared" si="1011"/>
        <v>#N/A</v>
      </c>
      <c r="N4943" s="4" t="e">
        <f t="shared" si="1012"/>
        <v>#N/A</v>
      </c>
    </row>
    <row r="4944" spans="1:14">
      <c r="A4944">
        <f t="shared" si="1013"/>
        <v>0</v>
      </c>
      <c r="B4944">
        <f t="shared" si="1014"/>
        <v>0</v>
      </c>
      <c r="C4944">
        <f t="shared" si="1015"/>
        <v>0</v>
      </c>
      <c r="D4944">
        <f t="shared" si="1016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7"/>
        <v>0</v>
      </c>
      <c r="G4944">
        <f t="shared" si="1018"/>
        <v>0</v>
      </c>
      <c r="H4944">
        <f t="shared" si="1019"/>
        <v>0</v>
      </c>
      <c r="I4944">
        <f t="shared" si="1020"/>
        <v>0</v>
      </c>
      <c r="J4944">
        <f t="shared" si="1021"/>
        <v>0</v>
      </c>
      <c r="K4944" s="4" t="e">
        <f t="shared" si="1009"/>
        <v>#N/A</v>
      </c>
      <c r="L4944" t="e">
        <f t="shared" si="1010"/>
        <v>#N/A</v>
      </c>
      <c r="M4944" s="4" t="e">
        <f t="shared" si="1011"/>
        <v>#N/A</v>
      </c>
      <c r="N4944" s="4" t="e">
        <f t="shared" si="1012"/>
        <v>#N/A</v>
      </c>
    </row>
    <row r="4945" spans="1:14">
      <c r="A4945">
        <f t="shared" si="1013"/>
        <v>0</v>
      </c>
      <c r="B4945">
        <f t="shared" si="1014"/>
        <v>0</v>
      </c>
      <c r="C4945">
        <f t="shared" si="1015"/>
        <v>0</v>
      </c>
      <c r="D4945">
        <f t="shared" si="1016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7"/>
        <v>0</v>
      </c>
      <c r="G4945">
        <f t="shared" si="1018"/>
        <v>0</v>
      </c>
      <c r="H4945">
        <f t="shared" si="1019"/>
        <v>0</v>
      </c>
      <c r="I4945">
        <f t="shared" si="1020"/>
        <v>0</v>
      </c>
      <c r="J4945">
        <f t="shared" si="1021"/>
        <v>0</v>
      </c>
      <c r="K4945" s="4" t="e">
        <f t="shared" si="1009"/>
        <v>#N/A</v>
      </c>
      <c r="L4945" t="e">
        <f t="shared" si="1010"/>
        <v>#N/A</v>
      </c>
      <c r="M4945" s="4" t="e">
        <f t="shared" si="1011"/>
        <v>#N/A</v>
      </c>
      <c r="N4945" s="4" t="e">
        <f t="shared" si="1012"/>
        <v>#N/A</v>
      </c>
    </row>
    <row r="4946" spans="1:14">
      <c r="A4946">
        <f t="shared" si="1013"/>
        <v>0</v>
      </c>
      <c r="B4946">
        <f t="shared" si="1014"/>
        <v>0</v>
      </c>
      <c r="C4946">
        <f t="shared" si="1015"/>
        <v>0</v>
      </c>
      <c r="D4946">
        <f t="shared" si="1016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7"/>
        <v>0</v>
      </c>
      <c r="G4946">
        <f t="shared" si="1018"/>
        <v>0</v>
      </c>
      <c r="H4946">
        <f t="shared" si="1019"/>
        <v>0</v>
      </c>
      <c r="I4946">
        <f t="shared" si="1020"/>
        <v>0</v>
      </c>
      <c r="J4946">
        <f t="shared" si="1021"/>
        <v>0</v>
      </c>
      <c r="K4946" s="4" t="e">
        <f t="shared" si="1009"/>
        <v>#N/A</v>
      </c>
      <c r="L4946" t="e">
        <f t="shared" si="1010"/>
        <v>#N/A</v>
      </c>
      <c r="M4946" s="4" t="e">
        <f t="shared" si="1011"/>
        <v>#N/A</v>
      </c>
      <c r="N4946" s="4" t="e">
        <f t="shared" si="1012"/>
        <v>#N/A</v>
      </c>
    </row>
    <row r="4947" spans="1:14">
      <c r="A4947">
        <f t="shared" si="1013"/>
        <v>0</v>
      </c>
      <c r="B4947">
        <f t="shared" si="1014"/>
        <v>0</v>
      </c>
      <c r="C4947">
        <f t="shared" si="1015"/>
        <v>0</v>
      </c>
      <c r="D4947">
        <f t="shared" si="1016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7"/>
        <v>0</v>
      </c>
      <c r="G4947">
        <f t="shared" si="1018"/>
        <v>0</v>
      </c>
      <c r="H4947">
        <f t="shared" si="1019"/>
        <v>0</v>
      </c>
      <c r="I4947">
        <f t="shared" si="1020"/>
        <v>0</v>
      </c>
      <c r="J4947">
        <f t="shared" si="1021"/>
        <v>0</v>
      </c>
      <c r="K4947" s="4" t="e">
        <f t="shared" si="1009"/>
        <v>#N/A</v>
      </c>
      <c r="L4947" t="e">
        <f t="shared" si="1010"/>
        <v>#N/A</v>
      </c>
      <c r="M4947" s="4" t="e">
        <f t="shared" si="1011"/>
        <v>#N/A</v>
      </c>
      <c r="N4947" s="4" t="e">
        <f t="shared" si="1012"/>
        <v>#N/A</v>
      </c>
    </row>
    <row r="4948" spans="1:14">
      <c r="A4948">
        <f t="shared" si="1013"/>
        <v>0</v>
      </c>
      <c r="B4948">
        <f t="shared" si="1014"/>
        <v>0</v>
      </c>
      <c r="C4948">
        <f t="shared" si="1015"/>
        <v>0</v>
      </c>
      <c r="D4948">
        <f t="shared" si="1016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7"/>
        <v>0</v>
      </c>
      <c r="G4948">
        <f t="shared" si="1018"/>
        <v>0</v>
      </c>
      <c r="H4948">
        <f t="shared" si="1019"/>
        <v>0</v>
      </c>
      <c r="I4948">
        <f t="shared" si="1020"/>
        <v>0</v>
      </c>
      <c r="J4948">
        <f t="shared" si="1021"/>
        <v>0</v>
      </c>
      <c r="K4948" s="4" t="e">
        <f t="shared" si="1009"/>
        <v>#N/A</v>
      </c>
      <c r="L4948" t="e">
        <f t="shared" si="1010"/>
        <v>#N/A</v>
      </c>
      <c r="M4948" s="4" t="e">
        <f t="shared" si="1011"/>
        <v>#N/A</v>
      </c>
      <c r="N4948" s="4" t="e">
        <f t="shared" si="1012"/>
        <v>#N/A</v>
      </c>
    </row>
    <row r="4949" spans="1:14">
      <c r="A4949">
        <f t="shared" si="1013"/>
        <v>0</v>
      </c>
      <c r="B4949">
        <f t="shared" si="1014"/>
        <v>0</v>
      </c>
      <c r="C4949">
        <f t="shared" si="1015"/>
        <v>0</v>
      </c>
      <c r="D4949">
        <f t="shared" si="1016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7"/>
        <v>0</v>
      </c>
      <c r="G4949">
        <f t="shared" si="1018"/>
        <v>0</v>
      </c>
      <c r="H4949">
        <f t="shared" si="1019"/>
        <v>0</v>
      </c>
      <c r="I4949">
        <f t="shared" si="1020"/>
        <v>0</v>
      </c>
      <c r="J4949">
        <f t="shared" si="1021"/>
        <v>0</v>
      </c>
      <c r="K4949" s="4" t="e">
        <f t="shared" si="1009"/>
        <v>#N/A</v>
      </c>
      <c r="L4949" t="e">
        <f t="shared" si="1010"/>
        <v>#N/A</v>
      </c>
      <c r="M4949" s="4" t="e">
        <f t="shared" si="1011"/>
        <v>#N/A</v>
      </c>
      <c r="N4949" s="4" t="e">
        <f t="shared" si="1012"/>
        <v>#N/A</v>
      </c>
    </row>
    <row r="4950" spans="1:14">
      <c r="A4950">
        <f t="shared" si="1013"/>
        <v>0</v>
      </c>
      <c r="B4950">
        <f t="shared" si="1014"/>
        <v>0</v>
      </c>
      <c r="C4950">
        <f t="shared" si="1015"/>
        <v>0</v>
      </c>
      <c r="D4950">
        <f t="shared" si="1016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7"/>
        <v>0</v>
      </c>
      <c r="G4950">
        <f t="shared" si="1018"/>
        <v>0</v>
      </c>
      <c r="H4950">
        <f t="shared" si="1019"/>
        <v>0</v>
      </c>
      <c r="I4950">
        <f t="shared" si="1020"/>
        <v>0</v>
      </c>
      <c r="J4950">
        <f t="shared" si="1021"/>
        <v>0</v>
      </c>
      <c r="K4950" s="4" t="e">
        <f t="shared" si="1009"/>
        <v>#N/A</v>
      </c>
      <c r="L4950" t="e">
        <f t="shared" si="1010"/>
        <v>#N/A</v>
      </c>
      <c r="M4950" s="4" t="e">
        <f t="shared" si="1011"/>
        <v>#N/A</v>
      </c>
      <c r="N4950" s="4" t="e">
        <f t="shared" si="1012"/>
        <v>#N/A</v>
      </c>
    </row>
    <row r="4951" spans="1:14">
      <c r="A4951">
        <f t="shared" si="1013"/>
        <v>0</v>
      </c>
      <c r="B4951">
        <f t="shared" si="1014"/>
        <v>0</v>
      </c>
      <c r="C4951">
        <f t="shared" si="1015"/>
        <v>0</v>
      </c>
      <c r="D4951">
        <f t="shared" si="1016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7"/>
        <v>0</v>
      </c>
      <c r="G4951">
        <f t="shared" si="1018"/>
        <v>0</v>
      </c>
      <c r="H4951">
        <f t="shared" si="1019"/>
        <v>0</v>
      </c>
      <c r="I4951">
        <f t="shared" si="1020"/>
        <v>0</v>
      </c>
      <c r="J4951">
        <f t="shared" si="1021"/>
        <v>0</v>
      </c>
      <c r="K4951" s="4" t="e">
        <f t="shared" si="1009"/>
        <v>#N/A</v>
      </c>
      <c r="L4951" t="e">
        <f t="shared" si="1010"/>
        <v>#N/A</v>
      </c>
      <c r="M4951" s="4" t="e">
        <f t="shared" si="1011"/>
        <v>#N/A</v>
      </c>
      <c r="N4951" s="4" t="e">
        <f t="shared" si="1012"/>
        <v>#N/A</v>
      </c>
    </row>
    <row r="4952" spans="1:14">
      <c r="A4952">
        <f t="shared" si="1013"/>
        <v>0</v>
      </c>
      <c r="B4952">
        <f t="shared" si="1014"/>
        <v>0</v>
      </c>
      <c r="C4952">
        <f t="shared" si="1015"/>
        <v>0</v>
      </c>
      <c r="D4952">
        <f t="shared" si="1016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7"/>
        <v>0</v>
      </c>
      <c r="G4952">
        <f t="shared" si="1018"/>
        <v>0</v>
      </c>
      <c r="H4952">
        <f t="shared" si="1019"/>
        <v>0</v>
      </c>
      <c r="I4952">
        <f t="shared" si="1020"/>
        <v>0</v>
      </c>
      <c r="J4952">
        <f t="shared" si="1021"/>
        <v>0</v>
      </c>
      <c r="K4952" s="4" t="e">
        <f t="shared" si="1009"/>
        <v>#N/A</v>
      </c>
      <c r="L4952" t="e">
        <f t="shared" si="1010"/>
        <v>#N/A</v>
      </c>
      <c r="M4952" s="4" t="e">
        <f t="shared" si="1011"/>
        <v>#N/A</v>
      </c>
      <c r="N4952" s="4" t="e">
        <f t="shared" si="1012"/>
        <v>#N/A</v>
      </c>
    </row>
    <row r="4953" spans="1:14">
      <c r="A4953">
        <f t="shared" si="1013"/>
        <v>0</v>
      </c>
      <c r="B4953">
        <f t="shared" si="1014"/>
        <v>0</v>
      </c>
      <c r="C4953">
        <f t="shared" si="1015"/>
        <v>0</v>
      </c>
      <c r="D4953">
        <f t="shared" si="1016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7"/>
        <v>0</v>
      </c>
      <c r="G4953">
        <f t="shared" si="1018"/>
        <v>0</v>
      </c>
      <c r="H4953">
        <f t="shared" si="1019"/>
        <v>0</v>
      </c>
      <c r="I4953">
        <f t="shared" si="1020"/>
        <v>0</v>
      </c>
      <c r="J4953">
        <f t="shared" si="1021"/>
        <v>0</v>
      </c>
      <c r="K4953" s="4" t="e">
        <f t="shared" si="1009"/>
        <v>#N/A</v>
      </c>
      <c r="L4953" t="e">
        <f t="shared" si="1010"/>
        <v>#N/A</v>
      </c>
      <c r="M4953" s="4" t="e">
        <f t="shared" si="1011"/>
        <v>#N/A</v>
      </c>
      <c r="N4953" s="4" t="e">
        <f t="shared" si="1012"/>
        <v>#N/A</v>
      </c>
    </row>
    <row r="4954" spans="1:14">
      <c r="A4954">
        <f t="shared" si="1013"/>
        <v>0</v>
      </c>
      <c r="B4954">
        <f t="shared" si="1014"/>
        <v>0</v>
      </c>
      <c r="C4954">
        <f t="shared" si="1015"/>
        <v>0</v>
      </c>
      <c r="D4954">
        <f t="shared" si="1016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7"/>
        <v>0</v>
      </c>
      <c r="G4954">
        <f t="shared" si="1018"/>
        <v>0</v>
      </c>
      <c r="H4954">
        <f t="shared" si="1019"/>
        <v>0</v>
      </c>
      <c r="I4954">
        <f t="shared" si="1020"/>
        <v>0</v>
      </c>
      <c r="J4954">
        <f t="shared" si="1021"/>
        <v>0</v>
      </c>
      <c r="K4954" s="4" t="e">
        <f t="shared" si="1009"/>
        <v>#N/A</v>
      </c>
      <c r="L4954" t="e">
        <f t="shared" si="1010"/>
        <v>#N/A</v>
      </c>
      <c r="M4954" s="4" t="e">
        <f t="shared" si="1011"/>
        <v>#N/A</v>
      </c>
      <c r="N4954" s="4" t="e">
        <f t="shared" si="1012"/>
        <v>#N/A</v>
      </c>
    </row>
    <row r="4955" spans="1:14">
      <c r="A4955">
        <f t="shared" si="1013"/>
        <v>0</v>
      </c>
      <c r="B4955">
        <f t="shared" si="1014"/>
        <v>0</v>
      </c>
      <c r="C4955">
        <f t="shared" si="1015"/>
        <v>0</v>
      </c>
      <c r="D4955">
        <f t="shared" si="1016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7"/>
        <v>0</v>
      </c>
      <c r="G4955">
        <f t="shared" si="1018"/>
        <v>0</v>
      </c>
      <c r="H4955">
        <f t="shared" si="1019"/>
        <v>0</v>
      </c>
      <c r="I4955">
        <f t="shared" si="1020"/>
        <v>0</v>
      </c>
      <c r="J4955">
        <f t="shared" si="1021"/>
        <v>0</v>
      </c>
      <c r="K4955" s="4" t="e">
        <f t="shared" si="1009"/>
        <v>#N/A</v>
      </c>
      <c r="L4955" t="e">
        <f t="shared" si="1010"/>
        <v>#N/A</v>
      </c>
      <c r="M4955" s="4" t="e">
        <f t="shared" si="1011"/>
        <v>#N/A</v>
      </c>
      <c r="N4955" s="4" t="e">
        <f t="shared" si="1012"/>
        <v>#N/A</v>
      </c>
    </row>
    <row r="4956" spans="1:14">
      <c r="A4956">
        <f t="shared" si="1013"/>
        <v>0</v>
      </c>
      <c r="B4956">
        <f t="shared" si="1014"/>
        <v>0</v>
      </c>
      <c r="C4956">
        <f t="shared" si="1015"/>
        <v>0</v>
      </c>
      <c r="D4956">
        <f t="shared" si="1016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7"/>
        <v>0</v>
      </c>
      <c r="G4956">
        <f t="shared" si="1018"/>
        <v>0</v>
      </c>
      <c r="H4956">
        <f t="shared" si="1019"/>
        <v>0</v>
      </c>
      <c r="I4956">
        <f t="shared" si="1020"/>
        <v>0</v>
      </c>
      <c r="J4956">
        <f t="shared" si="1021"/>
        <v>0</v>
      </c>
      <c r="K4956" s="4" t="e">
        <f t="shared" si="1009"/>
        <v>#N/A</v>
      </c>
      <c r="L4956" t="e">
        <f t="shared" si="1010"/>
        <v>#N/A</v>
      </c>
      <c r="M4956" s="4" t="e">
        <f t="shared" si="1011"/>
        <v>#N/A</v>
      </c>
      <c r="N4956" s="4" t="e">
        <f t="shared" si="1012"/>
        <v>#N/A</v>
      </c>
    </row>
    <row r="4957" spans="1:14">
      <c r="A4957">
        <f t="shared" si="1013"/>
        <v>0</v>
      </c>
      <c r="B4957">
        <f t="shared" si="1014"/>
        <v>0</v>
      </c>
      <c r="C4957">
        <f t="shared" si="1015"/>
        <v>0</v>
      </c>
      <c r="D4957">
        <f t="shared" si="1016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7"/>
        <v>0</v>
      </c>
      <c r="G4957">
        <f t="shared" si="1018"/>
        <v>0</v>
      </c>
      <c r="H4957">
        <f t="shared" si="1019"/>
        <v>0</v>
      </c>
      <c r="I4957">
        <f t="shared" si="1020"/>
        <v>0</v>
      </c>
      <c r="J4957">
        <f t="shared" si="1021"/>
        <v>0</v>
      </c>
      <c r="K4957" s="4" t="e">
        <f t="shared" si="1009"/>
        <v>#N/A</v>
      </c>
      <c r="L4957" t="e">
        <f t="shared" si="1010"/>
        <v>#N/A</v>
      </c>
      <c r="M4957" s="4" t="e">
        <f t="shared" si="1011"/>
        <v>#N/A</v>
      </c>
      <c r="N4957" s="4" t="e">
        <f t="shared" si="1012"/>
        <v>#N/A</v>
      </c>
    </row>
    <row r="4958" spans="1:14">
      <c r="A4958">
        <f t="shared" si="1013"/>
        <v>0</v>
      </c>
      <c r="B4958">
        <f t="shared" si="1014"/>
        <v>0</v>
      </c>
      <c r="C4958">
        <f t="shared" si="1015"/>
        <v>0</v>
      </c>
      <c r="D4958">
        <f t="shared" si="1016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7"/>
        <v>0</v>
      </c>
      <c r="G4958">
        <f t="shared" si="1018"/>
        <v>0</v>
      </c>
      <c r="H4958">
        <f t="shared" si="1019"/>
        <v>0</v>
      </c>
      <c r="I4958">
        <f t="shared" si="1020"/>
        <v>0</v>
      </c>
      <c r="J4958">
        <f t="shared" si="1021"/>
        <v>0</v>
      </c>
      <c r="K4958" s="4" t="e">
        <f t="shared" si="1009"/>
        <v>#N/A</v>
      </c>
      <c r="L4958" t="e">
        <f t="shared" si="1010"/>
        <v>#N/A</v>
      </c>
      <c r="M4958" s="4" t="e">
        <f t="shared" si="1011"/>
        <v>#N/A</v>
      </c>
      <c r="N4958" s="4" t="e">
        <f t="shared" si="1012"/>
        <v>#N/A</v>
      </c>
    </row>
    <row r="4959" spans="1:14">
      <c r="A4959">
        <f t="shared" si="1013"/>
        <v>0</v>
      </c>
      <c r="B4959">
        <f t="shared" si="1014"/>
        <v>0</v>
      </c>
      <c r="C4959">
        <f t="shared" si="1015"/>
        <v>0</v>
      </c>
      <c r="D4959">
        <f t="shared" si="1016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7"/>
        <v>0</v>
      </c>
      <c r="G4959">
        <f t="shared" si="1018"/>
        <v>0</v>
      </c>
      <c r="H4959">
        <f t="shared" si="1019"/>
        <v>0</v>
      </c>
      <c r="I4959">
        <f t="shared" si="1020"/>
        <v>0</v>
      </c>
      <c r="J4959">
        <f t="shared" si="1021"/>
        <v>0</v>
      </c>
      <c r="K4959" s="4" t="e">
        <f t="shared" si="1009"/>
        <v>#N/A</v>
      </c>
      <c r="L4959" t="e">
        <f t="shared" si="1010"/>
        <v>#N/A</v>
      </c>
      <c r="M4959" s="4" t="e">
        <f t="shared" si="1011"/>
        <v>#N/A</v>
      </c>
      <c r="N4959" s="4" t="e">
        <f t="shared" si="1012"/>
        <v>#N/A</v>
      </c>
    </row>
    <row r="4960" spans="1:14">
      <c r="A4960">
        <f t="shared" si="1013"/>
        <v>0</v>
      </c>
      <c r="B4960">
        <f t="shared" si="1014"/>
        <v>0</v>
      </c>
      <c r="C4960">
        <f t="shared" si="1015"/>
        <v>0</v>
      </c>
      <c r="D4960">
        <f t="shared" si="1016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7"/>
        <v>0</v>
      </c>
      <c r="G4960">
        <f t="shared" si="1018"/>
        <v>0</v>
      </c>
      <c r="H4960">
        <f t="shared" si="1019"/>
        <v>0</v>
      </c>
      <c r="I4960">
        <f t="shared" si="1020"/>
        <v>0</v>
      </c>
      <c r="J4960">
        <f t="shared" si="1021"/>
        <v>0</v>
      </c>
      <c r="K4960" s="4" t="e">
        <f t="shared" si="1009"/>
        <v>#N/A</v>
      </c>
      <c r="L4960" t="e">
        <f t="shared" si="1010"/>
        <v>#N/A</v>
      </c>
      <c r="M4960" s="4" t="e">
        <f t="shared" si="1011"/>
        <v>#N/A</v>
      </c>
      <c r="N4960" s="4" t="e">
        <f t="shared" si="1012"/>
        <v>#N/A</v>
      </c>
    </row>
    <row r="4961" spans="1:14">
      <c r="A4961">
        <f t="shared" si="1013"/>
        <v>0</v>
      </c>
      <c r="B4961">
        <f t="shared" si="1014"/>
        <v>0</v>
      </c>
      <c r="C4961">
        <f t="shared" si="1015"/>
        <v>0</v>
      </c>
      <c r="D4961">
        <f t="shared" si="1016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7"/>
        <v>0</v>
      </c>
      <c r="G4961">
        <f t="shared" si="1018"/>
        <v>0</v>
      </c>
      <c r="H4961">
        <f t="shared" si="1019"/>
        <v>0</v>
      </c>
      <c r="I4961">
        <f t="shared" si="1020"/>
        <v>0</v>
      </c>
      <c r="J4961">
        <f t="shared" si="1021"/>
        <v>0</v>
      </c>
      <c r="K4961" s="4" t="e">
        <f t="shared" si="1009"/>
        <v>#N/A</v>
      </c>
      <c r="L4961" t="e">
        <f t="shared" si="1010"/>
        <v>#N/A</v>
      </c>
      <c r="M4961" s="4" t="e">
        <f t="shared" si="1011"/>
        <v>#N/A</v>
      </c>
      <c r="N4961" s="4" t="e">
        <f t="shared" si="1012"/>
        <v>#N/A</v>
      </c>
    </row>
    <row r="4962" spans="1:14">
      <c r="A4962">
        <f t="shared" si="1013"/>
        <v>0</v>
      </c>
      <c r="B4962">
        <f t="shared" si="1014"/>
        <v>0</v>
      </c>
      <c r="C4962">
        <f t="shared" si="1015"/>
        <v>0</v>
      </c>
      <c r="D4962">
        <f t="shared" si="1016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7"/>
        <v>0</v>
      </c>
      <c r="G4962">
        <f t="shared" si="1018"/>
        <v>0</v>
      </c>
      <c r="H4962">
        <f t="shared" si="1019"/>
        <v>0</v>
      </c>
      <c r="I4962">
        <f t="shared" si="1020"/>
        <v>0</v>
      </c>
      <c r="J4962">
        <f t="shared" si="1021"/>
        <v>0</v>
      </c>
      <c r="K4962" s="4" t="e">
        <f t="shared" si="1009"/>
        <v>#N/A</v>
      </c>
      <c r="L4962" t="e">
        <f t="shared" si="1010"/>
        <v>#N/A</v>
      </c>
      <c r="M4962" s="4" t="e">
        <f t="shared" si="1011"/>
        <v>#N/A</v>
      </c>
      <c r="N4962" s="4" t="e">
        <f t="shared" si="1012"/>
        <v>#N/A</v>
      </c>
    </row>
    <row r="4963" spans="1:14">
      <c r="A4963">
        <f t="shared" si="1013"/>
        <v>0</v>
      </c>
      <c r="B4963">
        <f t="shared" si="1014"/>
        <v>0</v>
      </c>
      <c r="C4963">
        <f t="shared" si="1015"/>
        <v>0</v>
      </c>
      <c r="D4963">
        <f t="shared" si="1016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7"/>
        <v>0</v>
      </c>
      <c r="G4963">
        <f t="shared" si="1018"/>
        <v>0</v>
      </c>
      <c r="H4963">
        <f t="shared" si="1019"/>
        <v>0</v>
      </c>
      <c r="I4963">
        <f t="shared" si="1020"/>
        <v>0</v>
      </c>
      <c r="J4963">
        <f t="shared" si="1021"/>
        <v>0</v>
      </c>
      <c r="K4963" s="4" t="e">
        <f t="shared" si="1009"/>
        <v>#N/A</v>
      </c>
      <c r="L4963" t="e">
        <f t="shared" si="1010"/>
        <v>#N/A</v>
      </c>
      <c r="M4963" s="4" t="e">
        <f t="shared" si="1011"/>
        <v>#N/A</v>
      </c>
      <c r="N4963" s="4" t="e">
        <f t="shared" si="1012"/>
        <v>#N/A</v>
      </c>
    </row>
    <row r="4964" spans="1:14">
      <c r="A4964">
        <f t="shared" si="1013"/>
        <v>0</v>
      </c>
      <c r="B4964">
        <f t="shared" si="1014"/>
        <v>0</v>
      </c>
      <c r="C4964">
        <f t="shared" si="1015"/>
        <v>0</v>
      </c>
      <c r="D4964">
        <f t="shared" si="1016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7"/>
        <v>0</v>
      </c>
      <c r="G4964">
        <f t="shared" si="1018"/>
        <v>0</v>
      </c>
      <c r="H4964">
        <f t="shared" si="1019"/>
        <v>0</v>
      </c>
      <c r="I4964">
        <f t="shared" si="1020"/>
        <v>0</v>
      </c>
      <c r="J4964">
        <f t="shared" si="1021"/>
        <v>0</v>
      </c>
      <c r="K4964" s="4" t="e">
        <f t="shared" si="1009"/>
        <v>#N/A</v>
      </c>
      <c r="L4964" t="e">
        <f t="shared" si="1010"/>
        <v>#N/A</v>
      </c>
      <c r="M4964" s="4" t="e">
        <f t="shared" si="1011"/>
        <v>#N/A</v>
      </c>
      <c r="N4964" s="4" t="e">
        <f t="shared" si="1012"/>
        <v>#N/A</v>
      </c>
    </row>
    <row r="4965" spans="1:14">
      <c r="A4965">
        <f t="shared" si="1013"/>
        <v>0</v>
      </c>
      <c r="B4965">
        <f t="shared" si="1014"/>
        <v>0</v>
      </c>
      <c r="C4965">
        <f t="shared" si="1015"/>
        <v>0</v>
      </c>
      <c r="D4965">
        <f t="shared" si="1016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7"/>
        <v>0</v>
      </c>
      <c r="G4965">
        <f t="shared" si="1018"/>
        <v>0</v>
      </c>
      <c r="H4965">
        <f t="shared" si="1019"/>
        <v>0</v>
      </c>
      <c r="I4965">
        <f t="shared" si="1020"/>
        <v>0</v>
      </c>
      <c r="J4965">
        <f t="shared" si="1021"/>
        <v>0</v>
      </c>
      <c r="K4965" s="4" t="e">
        <f t="shared" si="1009"/>
        <v>#N/A</v>
      </c>
      <c r="L4965" t="e">
        <f t="shared" si="1010"/>
        <v>#N/A</v>
      </c>
      <c r="M4965" s="4" t="e">
        <f t="shared" si="1011"/>
        <v>#N/A</v>
      </c>
      <c r="N4965" s="4" t="e">
        <f t="shared" si="1012"/>
        <v>#N/A</v>
      </c>
    </row>
    <row r="4966" spans="1:14">
      <c r="A4966">
        <f t="shared" si="1013"/>
        <v>0</v>
      </c>
      <c r="B4966">
        <f t="shared" si="1014"/>
        <v>0</v>
      </c>
      <c r="C4966">
        <f t="shared" si="1015"/>
        <v>0</v>
      </c>
      <c r="D4966">
        <f t="shared" si="1016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7"/>
        <v>0</v>
      </c>
      <c r="G4966">
        <f t="shared" si="1018"/>
        <v>0</v>
      </c>
      <c r="H4966">
        <f t="shared" si="1019"/>
        <v>0</v>
      </c>
      <c r="I4966">
        <f t="shared" si="1020"/>
        <v>0</v>
      </c>
      <c r="J4966">
        <f t="shared" si="1021"/>
        <v>0</v>
      </c>
      <c r="K4966" s="4" t="e">
        <f t="shared" si="1009"/>
        <v>#N/A</v>
      </c>
      <c r="L4966" t="e">
        <f t="shared" si="1010"/>
        <v>#N/A</v>
      </c>
      <c r="M4966" s="4" t="e">
        <f t="shared" si="1011"/>
        <v>#N/A</v>
      </c>
      <c r="N4966" s="4" t="e">
        <f t="shared" si="1012"/>
        <v>#N/A</v>
      </c>
    </row>
    <row r="4967" spans="1:14">
      <c r="A4967">
        <f t="shared" si="1013"/>
        <v>0</v>
      </c>
      <c r="B4967">
        <f t="shared" si="1014"/>
        <v>0</v>
      </c>
      <c r="C4967">
        <f t="shared" si="1015"/>
        <v>0</v>
      </c>
      <c r="D4967">
        <f t="shared" si="1016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7"/>
        <v>0</v>
      </c>
      <c r="G4967">
        <f t="shared" si="1018"/>
        <v>0</v>
      </c>
      <c r="H4967">
        <f t="shared" si="1019"/>
        <v>0</v>
      </c>
      <c r="I4967">
        <f t="shared" si="1020"/>
        <v>0</v>
      </c>
      <c r="J4967">
        <f t="shared" si="1021"/>
        <v>0</v>
      </c>
      <c r="K4967" s="4" t="e">
        <f t="shared" si="1009"/>
        <v>#N/A</v>
      </c>
      <c r="L4967" t="e">
        <f t="shared" si="1010"/>
        <v>#N/A</v>
      </c>
      <c r="M4967" s="4" t="e">
        <f t="shared" si="1011"/>
        <v>#N/A</v>
      </c>
      <c r="N4967" s="4" t="e">
        <f t="shared" si="1012"/>
        <v>#N/A</v>
      </c>
    </row>
    <row r="4968" spans="1:14">
      <c r="A4968">
        <f t="shared" si="1013"/>
        <v>0</v>
      </c>
      <c r="B4968">
        <f t="shared" si="1014"/>
        <v>0</v>
      </c>
      <c r="C4968">
        <f t="shared" si="1015"/>
        <v>0</v>
      </c>
      <c r="D4968">
        <f t="shared" si="1016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7"/>
        <v>0</v>
      </c>
      <c r="G4968">
        <f t="shared" si="1018"/>
        <v>0</v>
      </c>
      <c r="H4968">
        <f t="shared" si="1019"/>
        <v>0</v>
      </c>
      <c r="I4968">
        <f t="shared" si="1020"/>
        <v>0</v>
      </c>
      <c r="J4968">
        <f t="shared" si="1021"/>
        <v>0</v>
      </c>
      <c r="K4968" s="4" t="e">
        <f t="shared" si="1009"/>
        <v>#N/A</v>
      </c>
      <c r="L4968" t="e">
        <f t="shared" si="1010"/>
        <v>#N/A</v>
      </c>
      <c r="M4968" s="4" t="e">
        <f t="shared" si="1011"/>
        <v>#N/A</v>
      </c>
      <c r="N4968" s="4" t="e">
        <f t="shared" si="1012"/>
        <v>#N/A</v>
      </c>
    </row>
    <row r="4969" spans="1:14">
      <c r="A4969">
        <f t="shared" si="1013"/>
        <v>0</v>
      </c>
      <c r="B4969">
        <f t="shared" si="1014"/>
        <v>0</v>
      </c>
      <c r="C4969">
        <f t="shared" si="1015"/>
        <v>0</v>
      </c>
      <c r="D4969">
        <f t="shared" si="1016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7"/>
        <v>0</v>
      </c>
      <c r="G4969">
        <f t="shared" si="1018"/>
        <v>0</v>
      </c>
      <c r="H4969">
        <f t="shared" si="1019"/>
        <v>0</v>
      </c>
      <c r="I4969">
        <f t="shared" si="1020"/>
        <v>0</v>
      </c>
      <c r="J4969">
        <f t="shared" si="1021"/>
        <v>0</v>
      </c>
      <c r="K4969" s="4" t="e">
        <f t="shared" si="1009"/>
        <v>#N/A</v>
      </c>
      <c r="L4969" t="e">
        <f t="shared" si="1010"/>
        <v>#N/A</v>
      </c>
      <c r="M4969" s="4" t="e">
        <f t="shared" si="1011"/>
        <v>#N/A</v>
      </c>
      <c r="N4969" s="4" t="e">
        <f t="shared" si="1012"/>
        <v>#N/A</v>
      </c>
    </row>
    <row r="4970" spans="1:14">
      <c r="A4970">
        <f t="shared" si="1013"/>
        <v>0</v>
      </c>
      <c r="B4970">
        <f t="shared" si="1014"/>
        <v>0</v>
      </c>
      <c r="C4970">
        <f t="shared" si="1015"/>
        <v>0</v>
      </c>
      <c r="D4970">
        <f t="shared" si="1016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7"/>
        <v>0</v>
      </c>
      <c r="G4970">
        <f t="shared" si="1018"/>
        <v>0</v>
      </c>
      <c r="H4970">
        <f t="shared" si="1019"/>
        <v>0</v>
      </c>
      <c r="I4970">
        <f t="shared" si="1020"/>
        <v>0</v>
      </c>
      <c r="J4970">
        <f t="shared" si="1021"/>
        <v>0</v>
      </c>
      <c r="K4970" s="4" t="e">
        <f t="shared" si="1009"/>
        <v>#N/A</v>
      </c>
      <c r="L4970" t="e">
        <f t="shared" si="1010"/>
        <v>#N/A</v>
      </c>
      <c r="M4970" s="4" t="e">
        <f t="shared" si="1011"/>
        <v>#N/A</v>
      </c>
      <c r="N4970" s="4" t="e">
        <f t="shared" si="1012"/>
        <v>#N/A</v>
      </c>
    </row>
    <row r="4971" spans="1:14">
      <c r="A4971">
        <f t="shared" si="1013"/>
        <v>0</v>
      </c>
      <c r="B4971">
        <f t="shared" si="1014"/>
        <v>0</v>
      </c>
      <c r="C4971">
        <f t="shared" si="1015"/>
        <v>0</v>
      </c>
      <c r="D4971">
        <f t="shared" si="1016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7"/>
        <v>0</v>
      </c>
      <c r="G4971">
        <f t="shared" si="1018"/>
        <v>0</v>
      </c>
      <c r="H4971">
        <f t="shared" si="1019"/>
        <v>0</v>
      </c>
      <c r="I4971">
        <f t="shared" si="1020"/>
        <v>0</v>
      </c>
      <c r="J4971">
        <f t="shared" si="1021"/>
        <v>0</v>
      </c>
      <c r="K4971" s="4" t="e">
        <f t="shared" si="1009"/>
        <v>#N/A</v>
      </c>
      <c r="L4971" t="e">
        <f t="shared" si="1010"/>
        <v>#N/A</v>
      </c>
      <c r="M4971" s="4" t="e">
        <f t="shared" si="1011"/>
        <v>#N/A</v>
      </c>
      <c r="N4971" s="4" t="e">
        <f t="shared" si="1012"/>
        <v>#N/A</v>
      </c>
    </row>
    <row r="4972" spans="1:14">
      <c r="A4972">
        <f t="shared" si="1013"/>
        <v>0</v>
      </c>
      <c r="B4972">
        <f t="shared" si="1014"/>
        <v>0</v>
      </c>
      <c r="C4972">
        <f t="shared" si="1015"/>
        <v>0</v>
      </c>
      <c r="D4972">
        <f t="shared" si="1016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7"/>
        <v>0</v>
      </c>
      <c r="G4972">
        <f t="shared" si="1018"/>
        <v>0</v>
      </c>
      <c r="H4972">
        <f t="shared" si="1019"/>
        <v>0</v>
      </c>
      <c r="I4972">
        <f t="shared" si="1020"/>
        <v>0</v>
      </c>
      <c r="J4972">
        <f t="shared" si="1021"/>
        <v>0</v>
      </c>
      <c r="K4972" s="4" t="e">
        <f t="shared" si="1009"/>
        <v>#N/A</v>
      </c>
      <c r="L4972" t="e">
        <f t="shared" si="1010"/>
        <v>#N/A</v>
      </c>
      <c r="M4972" s="4" t="e">
        <f t="shared" si="1011"/>
        <v>#N/A</v>
      </c>
      <c r="N4972" s="4" t="e">
        <f t="shared" si="1012"/>
        <v>#N/A</v>
      </c>
    </row>
    <row r="4973" spans="1:14">
      <c r="A4973">
        <f t="shared" si="1013"/>
        <v>0</v>
      </c>
      <c r="B4973">
        <f t="shared" si="1014"/>
        <v>0</v>
      </c>
      <c r="C4973">
        <f t="shared" si="1015"/>
        <v>0</v>
      </c>
      <c r="D4973">
        <f t="shared" si="1016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7"/>
        <v>0</v>
      </c>
      <c r="G4973">
        <f t="shared" si="1018"/>
        <v>0</v>
      </c>
      <c r="H4973">
        <f t="shared" si="1019"/>
        <v>0</v>
      </c>
      <c r="I4973">
        <f t="shared" si="1020"/>
        <v>0</v>
      </c>
      <c r="J4973">
        <f t="shared" si="1021"/>
        <v>0</v>
      </c>
      <c r="K4973" s="4" t="e">
        <f t="shared" si="1009"/>
        <v>#N/A</v>
      </c>
      <c r="L4973" t="e">
        <f t="shared" si="1010"/>
        <v>#N/A</v>
      </c>
      <c r="M4973" s="4" t="e">
        <f t="shared" si="1011"/>
        <v>#N/A</v>
      </c>
      <c r="N4973" s="4" t="e">
        <f t="shared" si="1012"/>
        <v>#N/A</v>
      </c>
    </row>
    <row r="4974" spans="1:14">
      <c r="A4974">
        <f t="shared" si="1013"/>
        <v>0</v>
      </c>
      <c r="B4974">
        <f t="shared" si="1014"/>
        <v>0</v>
      </c>
      <c r="C4974">
        <f t="shared" si="1015"/>
        <v>0</v>
      </c>
      <c r="D4974">
        <f t="shared" si="1016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7"/>
        <v>0</v>
      </c>
      <c r="G4974">
        <f t="shared" si="1018"/>
        <v>0</v>
      </c>
      <c r="H4974">
        <f t="shared" si="1019"/>
        <v>0</v>
      </c>
      <c r="I4974">
        <f t="shared" si="1020"/>
        <v>0</v>
      </c>
      <c r="J4974">
        <f t="shared" si="1021"/>
        <v>0</v>
      </c>
      <c r="K4974" s="4" t="e">
        <f t="shared" si="1009"/>
        <v>#N/A</v>
      </c>
      <c r="L4974" t="e">
        <f t="shared" si="1010"/>
        <v>#N/A</v>
      </c>
      <c r="M4974" s="4" t="e">
        <f t="shared" si="1011"/>
        <v>#N/A</v>
      </c>
      <c r="N4974" s="4" t="e">
        <f t="shared" si="1012"/>
        <v>#N/A</v>
      </c>
    </row>
    <row r="4975" spans="1:14">
      <c r="A4975">
        <f t="shared" si="1013"/>
        <v>0</v>
      </c>
      <c r="B4975">
        <f t="shared" si="1014"/>
        <v>0</v>
      </c>
      <c r="C4975">
        <f t="shared" si="1015"/>
        <v>0</v>
      </c>
      <c r="D4975">
        <f t="shared" si="1016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7"/>
        <v>0</v>
      </c>
      <c r="G4975">
        <f t="shared" si="1018"/>
        <v>0</v>
      </c>
      <c r="H4975">
        <f t="shared" si="1019"/>
        <v>0</v>
      </c>
      <c r="I4975">
        <f t="shared" si="1020"/>
        <v>0</v>
      </c>
      <c r="J4975">
        <f t="shared" si="1021"/>
        <v>0</v>
      </c>
      <c r="K4975" s="4" t="e">
        <f t="shared" si="1009"/>
        <v>#N/A</v>
      </c>
      <c r="L4975" t="e">
        <f t="shared" si="1010"/>
        <v>#N/A</v>
      </c>
      <c r="M4975" s="4" t="e">
        <f t="shared" si="1011"/>
        <v>#N/A</v>
      </c>
      <c r="N4975" s="4" t="e">
        <f t="shared" si="1012"/>
        <v>#N/A</v>
      </c>
    </row>
    <row r="4976" spans="1:14">
      <c r="A4976">
        <f t="shared" si="1013"/>
        <v>0</v>
      </c>
      <c r="B4976">
        <f t="shared" si="1014"/>
        <v>0</v>
      </c>
      <c r="C4976">
        <f t="shared" si="1015"/>
        <v>0</v>
      </c>
      <c r="D4976">
        <f t="shared" si="1016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7"/>
        <v>0</v>
      </c>
      <c r="G4976">
        <f t="shared" si="1018"/>
        <v>0</v>
      </c>
      <c r="H4976">
        <f t="shared" si="1019"/>
        <v>0</v>
      </c>
      <c r="I4976">
        <f t="shared" si="1020"/>
        <v>0</v>
      </c>
      <c r="J4976">
        <f t="shared" si="1021"/>
        <v>0</v>
      </c>
      <c r="K4976" s="4" t="e">
        <f t="shared" si="1009"/>
        <v>#N/A</v>
      </c>
      <c r="L4976" t="e">
        <f t="shared" si="1010"/>
        <v>#N/A</v>
      </c>
      <c r="M4976" s="4" t="e">
        <f t="shared" si="1011"/>
        <v>#N/A</v>
      </c>
      <c r="N4976" s="4" t="e">
        <f t="shared" si="1012"/>
        <v>#N/A</v>
      </c>
    </row>
    <row r="4977" spans="1:14">
      <c r="A4977">
        <f t="shared" si="1013"/>
        <v>0</v>
      </c>
      <c r="B4977">
        <f t="shared" si="1014"/>
        <v>0</v>
      </c>
      <c r="C4977">
        <f t="shared" si="1015"/>
        <v>0</v>
      </c>
      <c r="D4977">
        <f t="shared" si="1016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7"/>
        <v>0</v>
      </c>
      <c r="G4977">
        <f t="shared" si="1018"/>
        <v>0</v>
      </c>
      <c r="H4977">
        <f t="shared" si="1019"/>
        <v>0</v>
      </c>
      <c r="I4977">
        <f t="shared" si="1020"/>
        <v>0</v>
      </c>
      <c r="J4977">
        <f t="shared" si="1021"/>
        <v>0</v>
      </c>
      <c r="K4977" s="4" t="e">
        <f t="shared" si="1009"/>
        <v>#N/A</v>
      </c>
      <c r="L4977" t="e">
        <f t="shared" si="1010"/>
        <v>#N/A</v>
      </c>
      <c r="M4977" s="4" t="e">
        <f t="shared" si="1011"/>
        <v>#N/A</v>
      </c>
      <c r="N4977" s="4" t="e">
        <f t="shared" si="1012"/>
        <v>#N/A</v>
      </c>
    </row>
    <row r="4978" spans="1:14">
      <c r="A4978">
        <f t="shared" si="1013"/>
        <v>0</v>
      </c>
      <c r="B4978">
        <f t="shared" si="1014"/>
        <v>0</v>
      </c>
      <c r="C4978">
        <f t="shared" si="1015"/>
        <v>0</v>
      </c>
      <c r="D4978">
        <f t="shared" si="1016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7"/>
        <v>0</v>
      </c>
      <c r="G4978">
        <f t="shared" si="1018"/>
        <v>0</v>
      </c>
      <c r="H4978">
        <f t="shared" si="1019"/>
        <v>0</v>
      </c>
      <c r="I4978">
        <f t="shared" si="1020"/>
        <v>0</v>
      </c>
      <c r="J4978">
        <f t="shared" si="1021"/>
        <v>0</v>
      </c>
      <c r="K4978" s="4" t="e">
        <f t="shared" si="1009"/>
        <v>#N/A</v>
      </c>
      <c r="L4978" t="e">
        <f t="shared" si="1010"/>
        <v>#N/A</v>
      </c>
      <c r="M4978" s="4" t="e">
        <f t="shared" si="1011"/>
        <v>#N/A</v>
      </c>
      <c r="N4978" s="4" t="e">
        <f t="shared" si="1012"/>
        <v>#N/A</v>
      </c>
    </row>
    <row r="4979" spans="1:14">
      <c r="A4979">
        <f t="shared" si="1013"/>
        <v>0</v>
      </c>
      <c r="B4979">
        <f t="shared" si="1014"/>
        <v>0</v>
      </c>
      <c r="C4979">
        <f t="shared" si="1015"/>
        <v>0</v>
      </c>
      <c r="D4979">
        <f t="shared" si="1016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7"/>
        <v>0</v>
      </c>
      <c r="G4979">
        <f t="shared" si="1018"/>
        <v>0</v>
      </c>
      <c r="H4979">
        <f t="shared" si="1019"/>
        <v>0</v>
      </c>
      <c r="I4979">
        <f t="shared" si="1020"/>
        <v>0</v>
      </c>
      <c r="J4979">
        <f t="shared" si="1021"/>
        <v>0</v>
      </c>
      <c r="K4979" s="4" t="e">
        <f t="shared" si="1009"/>
        <v>#N/A</v>
      </c>
      <c r="L4979" t="e">
        <f t="shared" si="1010"/>
        <v>#N/A</v>
      </c>
      <c r="M4979" s="4" t="e">
        <f t="shared" si="1011"/>
        <v>#N/A</v>
      </c>
      <c r="N4979" s="4" t="e">
        <f t="shared" si="1012"/>
        <v>#N/A</v>
      </c>
    </row>
    <row r="4980" spans="1:14">
      <c r="A4980">
        <f t="shared" si="1013"/>
        <v>0</v>
      </c>
      <c r="B4980">
        <f t="shared" si="1014"/>
        <v>0</v>
      </c>
      <c r="C4980">
        <f t="shared" si="1015"/>
        <v>0</v>
      </c>
      <c r="D4980">
        <f t="shared" si="1016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7"/>
        <v>0</v>
      </c>
      <c r="G4980">
        <f t="shared" si="1018"/>
        <v>0</v>
      </c>
      <c r="H4980">
        <f t="shared" si="1019"/>
        <v>0</v>
      </c>
      <c r="I4980">
        <f t="shared" si="1020"/>
        <v>0</v>
      </c>
      <c r="J4980">
        <f t="shared" si="1021"/>
        <v>0</v>
      </c>
      <c r="K4980" s="4" t="e">
        <f t="shared" si="1009"/>
        <v>#N/A</v>
      </c>
      <c r="L4980" t="e">
        <f t="shared" si="1010"/>
        <v>#N/A</v>
      </c>
      <c r="M4980" s="4" t="e">
        <f t="shared" si="1011"/>
        <v>#N/A</v>
      </c>
      <c r="N4980" s="4" t="e">
        <f t="shared" si="1012"/>
        <v>#N/A</v>
      </c>
    </row>
    <row r="4981" spans="1:14">
      <c r="A4981">
        <f t="shared" si="1013"/>
        <v>0</v>
      </c>
      <c r="B4981">
        <f t="shared" si="1014"/>
        <v>0</v>
      </c>
      <c r="C4981">
        <f t="shared" si="1015"/>
        <v>0</v>
      </c>
      <c r="D4981">
        <f t="shared" si="1016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7"/>
        <v>0</v>
      </c>
      <c r="G4981">
        <f t="shared" si="1018"/>
        <v>0</v>
      </c>
      <c r="H4981">
        <f t="shared" si="1019"/>
        <v>0</v>
      </c>
      <c r="I4981">
        <f t="shared" si="1020"/>
        <v>0</v>
      </c>
      <c r="J4981">
        <f t="shared" si="1021"/>
        <v>0</v>
      </c>
      <c r="K4981" s="4" t="e">
        <f t="shared" si="1009"/>
        <v>#N/A</v>
      </c>
      <c r="L4981" t="e">
        <f t="shared" si="1010"/>
        <v>#N/A</v>
      </c>
      <c r="M4981" s="4" t="e">
        <f t="shared" si="1011"/>
        <v>#N/A</v>
      </c>
      <c r="N4981" s="4" t="e">
        <f t="shared" si="1012"/>
        <v>#N/A</v>
      </c>
    </row>
    <row r="4982" spans="1:14">
      <c r="A4982">
        <f t="shared" si="1013"/>
        <v>0</v>
      </c>
      <c r="B4982">
        <f t="shared" si="1014"/>
        <v>0</v>
      </c>
      <c r="C4982">
        <f t="shared" si="1015"/>
        <v>0</v>
      </c>
      <c r="D4982">
        <f t="shared" si="1016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7"/>
        <v>0</v>
      </c>
      <c r="G4982">
        <f t="shared" si="1018"/>
        <v>0</v>
      </c>
      <c r="H4982">
        <f t="shared" si="1019"/>
        <v>0</v>
      </c>
      <c r="I4982">
        <f t="shared" si="1020"/>
        <v>0</v>
      </c>
      <c r="J4982">
        <f t="shared" si="1021"/>
        <v>0</v>
      </c>
      <c r="K4982" s="4" t="e">
        <f t="shared" si="1009"/>
        <v>#N/A</v>
      </c>
      <c r="L4982" t="e">
        <f t="shared" si="1010"/>
        <v>#N/A</v>
      </c>
      <c r="M4982" s="4" t="e">
        <f t="shared" si="1011"/>
        <v>#N/A</v>
      </c>
      <c r="N4982" s="4" t="e">
        <f t="shared" si="1012"/>
        <v>#N/A</v>
      </c>
    </row>
    <row r="4983" spans="1:14">
      <c r="A4983">
        <f t="shared" si="1013"/>
        <v>0</v>
      </c>
      <c r="B4983">
        <f t="shared" si="1014"/>
        <v>0</v>
      </c>
      <c r="C4983">
        <f t="shared" si="1015"/>
        <v>0</v>
      </c>
      <c r="D4983">
        <f t="shared" si="1016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7"/>
        <v>0</v>
      </c>
      <c r="G4983">
        <f t="shared" si="1018"/>
        <v>0</v>
      </c>
      <c r="H4983">
        <f t="shared" si="1019"/>
        <v>0</v>
      </c>
      <c r="I4983">
        <f t="shared" si="1020"/>
        <v>0</v>
      </c>
      <c r="J4983">
        <f t="shared" si="1021"/>
        <v>0</v>
      </c>
      <c r="K4983" s="4" t="e">
        <f t="shared" si="1009"/>
        <v>#N/A</v>
      </c>
      <c r="L4983" t="e">
        <f t="shared" si="1010"/>
        <v>#N/A</v>
      </c>
      <c r="M4983" s="4" t="e">
        <f t="shared" si="1011"/>
        <v>#N/A</v>
      </c>
      <c r="N4983" s="4" t="e">
        <f t="shared" si="1012"/>
        <v>#N/A</v>
      </c>
    </row>
    <row r="4984" spans="1:14">
      <c r="A4984">
        <f t="shared" si="1013"/>
        <v>0</v>
      </c>
      <c r="B4984">
        <f t="shared" si="1014"/>
        <v>0</v>
      </c>
      <c r="C4984">
        <f t="shared" si="1015"/>
        <v>0</v>
      </c>
      <c r="D4984">
        <f t="shared" si="1016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7"/>
        <v>0</v>
      </c>
      <c r="G4984">
        <f t="shared" si="1018"/>
        <v>0</v>
      </c>
      <c r="H4984">
        <f t="shared" si="1019"/>
        <v>0</v>
      </c>
      <c r="I4984">
        <f t="shared" si="1020"/>
        <v>0</v>
      </c>
      <c r="J4984">
        <f t="shared" si="1021"/>
        <v>0</v>
      </c>
      <c r="K4984" s="4" t="e">
        <f t="shared" si="1009"/>
        <v>#N/A</v>
      </c>
      <c r="L4984" t="e">
        <f t="shared" si="1010"/>
        <v>#N/A</v>
      </c>
      <c r="M4984" s="4" t="e">
        <f t="shared" si="1011"/>
        <v>#N/A</v>
      </c>
      <c r="N4984" s="4" t="e">
        <f t="shared" si="1012"/>
        <v>#N/A</v>
      </c>
    </row>
    <row r="4985" spans="1:14">
      <c r="A4985">
        <f t="shared" si="1013"/>
        <v>0</v>
      </c>
      <c r="B4985">
        <f t="shared" si="1014"/>
        <v>0</v>
      </c>
      <c r="C4985">
        <f t="shared" si="1015"/>
        <v>0</v>
      </c>
      <c r="D4985">
        <f t="shared" si="1016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7"/>
        <v>0</v>
      </c>
      <c r="G4985">
        <f t="shared" si="1018"/>
        <v>0</v>
      </c>
      <c r="H4985">
        <f t="shared" si="1019"/>
        <v>0</v>
      </c>
      <c r="I4985">
        <f t="shared" si="1020"/>
        <v>0</v>
      </c>
      <c r="J4985">
        <f t="shared" si="1021"/>
        <v>0</v>
      </c>
      <c r="K4985" s="4" t="e">
        <f t="shared" si="1009"/>
        <v>#N/A</v>
      </c>
      <c r="L4985" t="e">
        <f t="shared" si="1010"/>
        <v>#N/A</v>
      </c>
      <c r="M4985" s="4" t="e">
        <f t="shared" si="1011"/>
        <v>#N/A</v>
      </c>
      <c r="N4985" s="4" t="e">
        <f t="shared" si="1012"/>
        <v>#N/A</v>
      </c>
    </row>
    <row r="4986" spans="1:14">
      <c r="A4986">
        <f t="shared" si="1013"/>
        <v>0</v>
      </c>
      <c r="B4986">
        <f t="shared" si="1014"/>
        <v>0</v>
      </c>
      <c r="C4986">
        <f t="shared" si="1015"/>
        <v>0</v>
      </c>
      <c r="D4986">
        <f t="shared" si="1016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7"/>
        <v>0</v>
      </c>
      <c r="G4986">
        <f t="shared" si="1018"/>
        <v>0</v>
      </c>
      <c r="H4986">
        <f t="shared" si="1019"/>
        <v>0</v>
      </c>
      <c r="I4986">
        <f t="shared" si="1020"/>
        <v>0</v>
      </c>
      <c r="J4986">
        <f t="shared" si="1021"/>
        <v>0</v>
      </c>
      <c r="K4986" s="4" t="e">
        <f t="shared" si="1009"/>
        <v>#N/A</v>
      </c>
      <c r="L4986" t="e">
        <f t="shared" si="1010"/>
        <v>#N/A</v>
      </c>
      <c r="M4986" s="4" t="e">
        <f t="shared" si="1011"/>
        <v>#N/A</v>
      </c>
      <c r="N4986" s="4" t="e">
        <f t="shared" si="1012"/>
        <v>#N/A</v>
      </c>
    </row>
    <row r="4987" spans="1:14">
      <c r="A4987">
        <f t="shared" si="1013"/>
        <v>0</v>
      </c>
      <c r="B4987">
        <f t="shared" si="1014"/>
        <v>0</v>
      </c>
      <c r="C4987">
        <f t="shared" si="1015"/>
        <v>0</v>
      </c>
      <c r="D4987">
        <f t="shared" si="1016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7"/>
        <v>0</v>
      </c>
      <c r="G4987">
        <f t="shared" si="1018"/>
        <v>0</v>
      </c>
      <c r="H4987">
        <f t="shared" si="1019"/>
        <v>0</v>
      </c>
      <c r="I4987">
        <f t="shared" si="1020"/>
        <v>0</v>
      </c>
      <c r="J4987">
        <f t="shared" si="1021"/>
        <v>0</v>
      </c>
      <c r="K4987" s="4" t="e">
        <f t="shared" si="1009"/>
        <v>#N/A</v>
      </c>
      <c r="L4987" t="e">
        <f t="shared" si="1010"/>
        <v>#N/A</v>
      </c>
      <c r="M4987" s="4" t="e">
        <f t="shared" si="1011"/>
        <v>#N/A</v>
      </c>
      <c r="N4987" s="4" t="e">
        <f t="shared" si="1012"/>
        <v>#N/A</v>
      </c>
    </row>
    <row r="4988" spans="1:14">
      <c r="A4988">
        <f t="shared" si="1013"/>
        <v>0</v>
      </c>
      <c r="B4988">
        <f t="shared" si="1014"/>
        <v>0</v>
      </c>
      <c r="C4988">
        <f t="shared" si="1015"/>
        <v>0</v>
      </c>
      <c r="D4988">
        <f t="shared" si="1016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7"/>
        <v>0</v>
      </c>
      <c r="G4988">
        <f t="shared" si="1018"/>
        <v>0</v>
      </c>
      <c r="H4988">
        <f t="shared" si="1019"/>
        <v>0</v>
      </c>
      <c r="I4988">
        <f t="shared" si="1020"/>
        <v>0</v>
      </c>
      <c r="J4988">
        <f t="shared" si="1021"/>
        <v>0</v>
      </c>
      <c r="K4988" s="4" t="e">
        <f t="shared" si="1009"/>
        <v>#N/A</v>
      </c>
      <c r="L4988" t="e">
        <f t="shared" si="1010"/>
        <v>#N/A</v>
      </c>
      <c r="M4988" s="4" t="e">
        <f t="shared" si="1011"/>
        <v>#N/A</v>
      </c>
      <c r="N4988" s="4" t="e">
        <f t="shared" si="1012"/>
        <v>#N/A</v>
      </c>
    </row>
    <row r="4989" spans="1:14">
      <c r="A4989">
        <f t="shared" si="1013"/>
        <v>0</v>
      </c>
      <c r="B4989">
        <f t="shared" si="1014"/>
        <v>0</v>
      </c>
      <c r="C4989">
        <f t="shared" si="1015"/>
        <v>0</v>
      </c>
      <c r="D4989">
        <f t="shared" si="1016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7"/>
        <v>0</v>
      </c>
      <c r="G4989">
        <f t="shared" si="1018"/>
        <v>0</v>
      </c>
      <c r="H4989">
        <f t="shared" si="1019"/>
        <v>0</v>
      </c>
      <c r="I4989">
        <f t="shared" si="1020"/>
        <v>0</v>
      </c>
      <c r="J4989">
        <f t="shared" si="1021"/>
        <v>0</v>
      </c>
      <c r="K4989" s="4" t="e">
        <f t="shared" ref="K4989:K5052" si="1022">IF(LEFT(B4989,3)="DBM",0,VLOOKUP(E4989,tabela,2,FALSE))</f>
        <v>#N/A</v>
      </c>
      <c r="L4989" t="e">
        <f t="shared" ref="L4989:L5052" si="1023">VLOOKUP(E4989,tabela,3,FALSE)</f>
        <v>#N/A</v>
      </c>
      <c r="M4989" s="4" t="e">
        <f t="shared" ref="M4989:M5052" si="1024">IF(E4989="Dynamic Click",J4989*K4989,K4989*$I4989/1000)</f>
        <v>#N/A</v>
      </c>
      <c r="N4989" s="4" t="e">
        <f t="shared" ref="N4989:N5052" si="1025">IF(E4989="Dynamic Click",J4989*L4989,L4989*$I4989/1000)</f>
        <v>#N/A</v>
      </c>
    </row>
    <row r="4990" spans="1:14">
      <c r="A4990">
        <f t="shared" si="1013"/>
        <v>0</v>
      </c>
      <c r="B4990">
        <f t="shared" si="1014"/>
        <v>0</v>
      </c>
      <c r="C4990">
        <f t="shared" si="1015"/>
        <v>0</v>
      </c>
      <c r="D4990">
        <f t="shared" si="1016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7"/>
        <v>0</v>
      </c>
      <c r="G4990">
        <f t="shared" si="1018"/>
        <v>0</v>
      </c>
      <c r="H4990">
        <f t="shared" si="1019"/>
        <v>0</v>
      </c>
      <c r="I4990">
        <f t="shared" si="1020"/>
        <v>0</v>
      </c>
      <c r="J4990">
        <f t="shared" si="1021"/>
        <v>0</v>
      </c>
      <c r="K4990" s="4" t="e">
        <f t="shared" si="1022"/>
        <v>#N/A</v>
      </c>
      <c r="L4990" t="e">
        <f t="shared" si="1023"/>
        <v>#N/A</v>
      </c>
      <c r="M4990" s="4" t="e">
        <f t="shared" si="1024"/>
        <v>#N/A</v>
      </c>
      <c r="N4990" s="4" t="e">
        <f t="shared" si="1025"/>
        <v>#N/A</v>
      </c>
    </row>
    <row r="4991" spans="1:14">
      <c r="A4991">
        <f t="shared" si="1013"/>
        <v>0</v>
      </c>
      <c r="B4991">
        <f t="shared" si="1014"/>
        <v>0</v>
      </c>
      <c r="C4991">
        <f t="shared" si="1015"/>
        <v>0</v>
      </c>
      <c r="D4991">
        <f t="shared" si="1016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7"/>
        <v>0</v>
      </c>
      <c r="G4991">
        <f t="shared" si="1018"/>
        <v>0</v>
      </c>
      <c r="H4991">
        <f t="shared" si="1019"/>
        <v>0</v>
      </c>
      <c r="I4991">
        <f t="shared" si="1020"/>
        <v>0</v>
      </c>
      <c r="J4991">
        <f t="shared" si="1021"/>
        <v>0</v>
      </c>
      <c r="K4991" s="4" t="e">
        <f t="shared" si="1022"/>
        <v>#N/A</v>
      </c>
      <c r="L4991" t="e">
        <f t="shared" si="1023"/>
        <v>#N/A</v>
      </c>
      <c r="M4991" s="4" t="e">
        <f t="shared" si="1024"/>
        <v>#N/A</v>
      </c>
      <c r="N4991" s="4" t="e">
        <f t="shared" si="1025"/>
        <v>#N/A</v>
      </c>
    </row>
    <row r="4992" spans="1:14">
      <c r="A4992">
        <f t="shared" si="1013"/>
        <v>0</v>
      </c>
      <c r="B4992">
        <f t="shared" si="1014"/>
        <v>0</v>
      </c>
      <c r="C4992">
        <f t="shared" si="1015"/>
        <v>0</v>
      </c>
      <c r="D4992">
        <f t="shared" si="1016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7"/>
        <v>0</v>
      </c>
      <c r="G4992">
        <f t="shared" si="1018"/>
        <v>0</v>
      </c>
      <c r="H4992">
        <f t="shared" si="1019"/>
        <v>0</v>
      </c>
      <c r="I4992">
        <f t="shared" si="1020"/>
        <v>0</v>
      </c>
      <c r="J4992">
        <f t="shared" si="1021"/>
        <v>0</v>
      </c>
      <c r="K4992" s="4" t="e">
        <f t="shared" si="1022"/>
        <v>#N/A</v>
      </c>
      <c r="L4992" t="e">
        <f t="shared" si="1023"/>
        <v>#N/A</v>
      </c>
      <c r="M4992" s="4" t="e">
        <f t="shared" si="1024"/>
        <v>#N/A</v>
      </c>
      <c r="N4992" s="4" t="e">
        <f t="shared" si="1025"/>
        <v>#N/A</v>
      </c>
    </row>
    <row r="4993" spans="1:14">
      <c r="A4993">
        <f t="shared" si="1013"/>
        <v>0</v>
      </c>
      <c r="B4993">
        <f t="shared" si="1014"/>
        <v>0</v>
      </c>
      <c r="C4993">
        <f t="shared" si="1015"/>
        <v>0</v>
      </c>
      <c r="D4993">
        <f t="shared" si="1016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7"/>
        <v>0</v>
      </c>
      <c r="G4993">
        <f t="shared" si="1018"/>
        <v>0</v>
      </c>
      <c r="H4993">
        <f t="shared" si="1019"/>
        <v>0</v>
      </c>
      <c r="I4993">
        <f t="shared" si="1020"/>
        <v>0</v>
      </c>
      <c r="J4993">
        <f t="shared" si="1021"/>
        <v>0</v>
      </c>
      <c r="K4993" s="4" t="e">
        <f t="shared" si="1022"/>
        <v>#N/A</v>
      </c>
      <c r="L4993" t="e">
        <f t="shared" si="1023"/>
        <v>#N/A</v>
      </c>
      <c r="M4993" s="4" t="e">
        <f t="shared" si="1024"/>
        <v>#N/A</v>
      </c>
      <c r="N4993" s="4" t="e">
        <f t="shared" si="1025"/>
        <v>#N/A</v>
      </c>
    </row>
    <row r="4994" spans="1:14">
      <c r="A4994">
        <f t="shared" ref="A4994:A5057" si="1026">bd_campaign</f>
        <v>0</v>
      </c>
      <c r="B4994">
        <f t="shared" ref="B4994:B5057" si="1027">bd_site</f>
        <v>0</v>
      </c>
      <c r="C4994">
        <f t="shared" ref="C4994:C5057" si="1028">bd_placement</f>
        <v>0</v>
      </c>
      <c r="D4994">
        <f t="shared" ref="D4994:D5057" si="1029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30">bd_ad</f>
        <v>0</v>
      </c>
      <c r="G4994">
        <f t="shared" ref="G4994:G5057" si="1031">bd_adid</f>
        <v>0</v>
      </c>
      <c r="H4994">
        <f t="shared" ref="H4994:H5057" si="1032">bd_creativetype</f>
        <v>0</v>
      </c>
      <c r="I4994">
        <f t="shared" ref="I4994:I5057" si="1033">bd_impression</f>
        <v>0</v>
      </c>
      <c r="J4994">
        <f t="shared" ref="J4994:J5057" si="1034">bd_clicks</f>
        <v>0</v>
      </c>
      <c r="K4994" s="4" t="e">
        <f t="shared" si="1022"/>
        <v>#N/A</v>
      </c>
      <c r="L4994" t="e">
        <f t="shared" si="1023"/>
        <v>#N/A</v>
      </c>
      <c r="M4994" s="4" t="e">
        <f t="shared" si="1024"/>
        <v>#N/A</v>
      </c>
      <c r="N4994" s="4" t="e">
        <f t="shared" si="1025"/>
        <v>#N/A</v>
      </c>
    </row>
    <row r="4995" spans="1:14">
      <c r="A4995">
        <f t="shared" si="1026"/>
        <v>0</v>
      </c>
      <c r="B4995">
        <f t="shared" si="1027"/>
        <v>0</v>
      </c>
      <c r="C4995">
        <f t="shared" si="1028"/>
        <v>0</v>
      </c>
      <c r="D4995">
        <f t="shared" si="1029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30"/>
        <v>0</v>
      </c>
      <c r="G4995">
        <f t="shared" si="1031"/>
        <v>0</v>
      </c>
      <c r="H4995">
        <f t="shared" si="1032"/>
        <v>0</v>
      </c>
      <c r="I4995">
        <f t="shared" si="1033"/>
        <v>0</v>
      </c>
      <c r="J4995">
        <f t="shared" si="1034"/>
        <v>0</v>
      </c>
      <c r="K4995" s="4" t="e">
        <f t="shared" si="1022"/>
        <v>#N/A</v>
      </c>
      <c r="L4995" t="e">
        <f t="shared" si="1023"/>
        <v>#N/A</v>
      </c>
      <c r="M4995" s="4" t="e">
        <f t="shared" si="1024"/>
        <v>#N/A</v>
      </c>
      <c r="N4995" s="4" t="e">
        <f t="shared" si="1025"/>
        <v>#N/A</v>
      </c>
    </row>
    <row r="4996" spans="1:14">
      <c r="A4996">
        <f t="shared" si="1026"/>
        <v>0</v>
      </c>
      <c r="B4996">
        <f t="shared" si="1027"/>
        <v>0</v>
      </c>
      <c r="C4996">
        <f t="shared" si="1028"/>
        <v>0</v>
      </c>
      <c r="D4996">
        <f t="shared" si="1029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30"/>
        <v>0</v>
      </c>
      <c r="G4996">
        <f t="shared" si="1031"/>
        <v>0</v>
      </c>
      <c r="H4996">
        <f t="shared" si="1032"/>
        <v>0</v>
      </c>
      <c r="I4996">
        <f t="shared" si="1033"/>
        <v>0</v>
      </c>
      <c r="J4996">
        <f t="shared" si="1034"/>
        <v>0</v>
      </c>
      <c r="K4996" s="4" t="e">
        <f t="shared" si="1022"/>
        <v>#N/A</v>
      </c>
      <c r="L4996" t="e">
        <f t="shared" si="1023"/>
        <v>#N/A</v>
      </c>
      <c r="M4996" s="4" t="e">
        <f t="shared" si="1024"/>
        <v>#N/A</v>
      </c>
      <c r="N4996" s="4" t="e">
        <f t="shared" si="1025"/>
        <v>#N/A</v>
      </c>
    </row>
    <row r="4997" spans="1:14">
      <c r="A4997">
        <f t="shared" si="1026"/>
        <v>0</v>
      </c>
      <c r="B4997">
        <f t="shared" si="1027"/>
        <v>0</v>
      </c>
      <c r="C4997">
        <f t="shared" si="1028"/>
        <v>0</v>
      </c>
      <c r="D4997">
        <f t="shared" si="1029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30"/>
        <v>0</v>
      </c>
      <c r="G4997">
        <f t="shared" si="1031"/>
        <v>0</v>
      </c>
      <c r="H4997">
        <f t="shared" si="1032"/>
        <v>0</v>
      </c>
      <c r="I4997">
        <f t="shared" si="1033"/>
        <v>0</v>
      </c>
      <c r="J4997">
        <f t="shared" si="1034"/>
        <v>0</v>
      </c>
      <c r="K4997" s="4" t="e">
        <f t="shared" si="1022"/>
        <v>#N/A</v>
      </c>
      <c r="L4997" t="e">
        <f t="shared" si="1023"/>
        <v>#N/A</v>
      </c>
      <c r="M4997" s="4" t="e">
        <f t="shared" si="1024"/>
        <v>#N/A</v>
      </c>
      <c r="N4997" s="4" t="e">
        <f t="shared" si="1025"/>
        <v>#N/A</v>
      </c>
    </row>
    <row r="4998" spans="1:14">
      <c r="A4998">
        <f t="shared" si="1026"/>
        <v>0</v>
      </c>
      <c r="B4998">
        <f t="shared" si="1027"/>
        <v>0</v>
      </c>
      <c r="C4998">
        <f t="shared" si="1028"/>
        <v>0</v>
      </c>
      <c r="D4998">
        <f t="shared" si="1029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30"/>
        <v>0</v>
      </c>
      <c r="G4998">
        <f t="shared" si="1031"/>
        <v>0</v>
      </c>
      <c r="H4998">
        <f t="shared" si="1032"/>
        <v>0</v>
      </c>
      <c r="I4998">
        <f t="shared" si="1033"/>
        <v>0</v>
      </c>
      <c r="J4998">
        <f t="shared" si="1034"/>
        <v>0</v>
      </c>
      <c r="K4998" s="4" t="e">
        <f t="shared" si="1022"/>
        <v>#N/A</v>
      </c>
      <c r="L4998" t="e">
        <f t="shared" si="1023"/>
        <v>#N/A</v>
      </c>
      <c r="M4998" s="4" t="e">
        <f t="shared" si="1024"/>
        <v>#N/A</v>
      </c>
      <c r="N4998" s="4" t="e">
        <f t="shared" si="1025"/>
        <v>#N/A</v>
      </c>
    </row>
    <row r="4999" spans="1:14">
      <c r="A4999">
        <f t="shared" si="1026"/>
        <v>0</v>
      </c>
      <c r="B4999">
        <f t="shared" si="1027"/>
        <v>0</v>
      </c>
      <c r="C4999">
        <f t="shared" si="1028"/>
        <v>0</v>
      </c>
      <c r="D4999">
        <f t="shared" si="1029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30"/>
        <v>0</v>
      </c>
      <c r="G4999">
        <f t="shared" si="1031"/>
        <v>0</v>
      </c>
      <c r="H4999">
        <f t="shared" si="1032"/>
        <v>0</v>
      </c>
      <c r="I4999">
        <f t="shared" si="1033"/>
        <v>0</v>
      </c>
      <c r="J4999">
        <f t="shared" si="1034"/>
        <v>0</v>
      </c>
      <c r="K4999" s="4" t="e">
        <f t="shared" si="1022"/>
        <v>#N/A</v>
      </c>
      <c r="L4999" t="e">
        <f t="shared" si="1023"/>
        <v>#N/A</v>
      </c>
      <c r="M4999" s="4" t="e">
        <f t="shared" si="1024"/>
        <v>#N/A</v>
      </c>
      <c r="N4999" s="4" t="e">
        <f t="shared" si="1025"/>
        <v>#N/A</v>
      </c>
    </row>
    <row r="5000" spans="1:14">
      <c r="A5000">
        <f t="shared" si="1026"/>
        <v>0</v>
      </c>
      <c r="B5000">
        <f t="shared" si="1027"/>
        <v>0</v>
      </c>
      <c r="C5000">
        <f t="shared" si="1028"/>
        <v>0</v>
      </c>
      <c r="D5000">
        <f t="shared" si="1029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30"/>
        <v>0</v>
      </c>
      <c r="G5000">
        <f t="shared" si="1031"/>
        <v>0</v>
      </c>
      <c r="H5000">
        <f t="shared" si="1032"/>
        <v>0</v>
      </c>
      <c r="I5000">
        <f t="shared" si="1033"/>
        <v>0</v>
      </c>
      <c r="J5000">
        <f t="shared" si="1034"/>
        <v>0</v>
      </c>
      <c r="K5000" s="4" t="e">
        <f t="shared" si="1022"/>
        <v>#N/A</v>
      </c>
      <c r="L5000" t="e">
        <f t="shared" si="1023"/>
        <v>#N/A</v>
      </c>
      <c r="M5000" s="4" t="e">
        <f t="shared" si="1024"/>
        <v>#N/A</v>
      </c>
      <c r="N5000" s="4" t="e">
        <f t="shared" si="1025"/>
        <v>#N/A</v>
      </c>
    </row>
    <row r="5001" spans="1:14">
      <c r="A5001">
        <f t="shared" si="1026"/>
        <v>0</v>
      </c>
      <c r="B5001">
        <f t="shared" si="1027"/>
        <v>0</v>
      </c>
      <c r="C5001">
        <f t="shared" si="1028"/>
        <v>0</v>
      </c>
      <c r="D5001">
        <f t="shared" si="1029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30"/>
        <v>0</v>
      </c>
      <c r="G5001">
        <f t="shared" si="1031"/>
        <v>0</v>
      </c>
      <c r="H5001">
        <f t="shared" si="1032"/>
        <v>0</v>
      </c>
      <c r="I5001">
        <f t="shared" si="1033"/>
        <v>0</v>
      </c>
      <c r="J5001">
        <f t="shared" si="1034"/>
        <v>0</v>
      </c>
      <c r="K5001" s="4" t="e">
        <f t="shared" si="1022"/>
        <v>#N/A</v>
      </c>
      <c r="L5001" t="e">
        <f t="shared" si="1023"/>
        <v>#N/A</v>
      </c>
      <c r="M5001" s="4" t="e">
        <f t="shared" si="1024"/>
        <v>#N/A</v>
      </c>
      <c r="N5001" s="4" t="e">
        <f t="shared" si="1025"/>
        <v>#N/A</v>
      </c>
    </row>
    <row r="5002" spans="1:14">
      <c r="A5002">
        <f t="shared" si="1026"/>
        <v>0</v>
      </c>
      <c r="B5002">
        <f t="shared" si="1027"/>
        <v>0</v>
      </c>
      <c r="C5002">
        <f t="shared" si="1028"/>
        <v>0</v>
      </c>
      <c r="D5002">
        <f t="shared" si="1029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30"/>
        <v>0</v>
      </c>
      <c r="G5002">
        <f t="shared" si="1031"/>
        <v>0</v>
      </c>
      <c r="H5002">
        <f t="shared" si="1032"/>
        <v>0</v>
      </c>
      <c r="I5002">
        <f t="shared" si="1033"/>
        <v>0</v>
      </c>
      <c r="J5002">
        <f t="shared" si="1034"/>
        <v>0</v>
      </c>
      <c r="K5002" s="4" t="e">
        <f t="shared" si="1022"/>
        <v>#N/A</v>
      </c>
      <c r="L5002" t="e">
        <f t="shared" si="1023"/>
        <v>#N/A</v>
      </c>
      <c r="M5002" s="4" t="e">
        <f t="shared" si="1024"/>
        <v>#N/A</v>
      </c>
      <c r="N5002" s="4" t="e">
        <f t="shared" si="1025"/>
        <v>#N/A</v>
      </c>
    </row>
    <row r="5003" spans="1:14">
      <c r="A5003">
        <f t="shared" si="1026"/>
        <v>0</v>
      </c>
      <c r="B5003">
        <f t="shared" si="1027"/>
        <v>0</v>
      </c>
      <c r="C5003">
        <f t="shared" si="1028"/>
        <v>0</v>
      </c>
      <c r="D5003">
        <f t="shared" si="1029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30"/>
        <v>0</v>
      </c>
      <c r="G5003">
        <f t="shared" si="1031"/>
        <v>0</v>
      </c>
      <c r="H5003">
        <f t="shared" si="1032"/>
        <v>0</v>
      </c>
      <c r="I5003">
        <f t="shared" si="1033"/>
        <v>0</v>
      </c>
      <c r="J5003">
        <f t="shared" si="1034"/>
        <v>0</v>
      </c>
      <c r="K5003" s="4" t="e">
        <f t="shared" si="1022"/>
        <v>#N/A</v>
      </c>
      <c r="L5003" t="e">
        <f t="shared" si="1023"/>
        <v>#N/A</v>
      </c>
      <c r="M5003" s="4" t="e">
        <f t="shared" si="1024"/>
        <v>#N/A</v>
      </c>
      <c r="N5003" s="4" t="e">
        <f t="shared" si="1025"/>
        <v>#N/A</v>
      </c>
    </row>
    <row r="5004" spans="1:14">
      <c r="A5004">
        <f t="shared" si="1026"/>
        <v>0</v>
      </c>
      <c r="B5004">
        <f t="shared" si="1027"/>
        <v>0</v>
      </c>
      <c r="C5004">
        <f t="shared" si="1028"/>
        <v>0</v>
      </c>
      <c r="D5004">
        <f t="shared" si="1029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30"/>
        <v>0</v>
      </c>
      <c r="G5004">
        <f t="shared" si="1031"/>
        <v>0</v>
      </c>
      <c r="H5004">
        <f t="shared" si="1032"/>
        <v>0</v>
      </c>
      <c r="I5004">
        <f t="shared" si="1033"/>
        <v>0</v>
      </c>
      <c r="J5004">
        <f t="shared" si="1034"/>
        <v>0</v>
      </c>
      <c r="K5004" s="4" t="e">
        <f t="shared" si="1022"/>
        <v>#N/A</v>
      </c>
      <c r="L5004" t="e">
        <f t="shared" si="1023"/>
        <v>#N/A</v>
      </c>
      <c r="M5004" s="4" t="e">
        <f t="shared" si="1024"/>
        <v>#N/A</v>
      </c>
      <c r="N5004" s="4" t="e">
        <f t="shared" si="1025"/>
        <v>#N/A</v>
      </c>
    </row>
    <row r="5005" spans="1:14">
      <c r="A5005">
        <f t="shared" si="1026"/>
        <v>0</v>
      </c>
      <c r="B5005">
        <f t="shared" si="1027"/>
        <v>0</v>
      </c>
      <c r="C5005">
        <f t="shared" si="1028"/>
        <v>0</v>
      </c>
      <c r="D5005">
        <f t="shared" si="1029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30"/>
        <v>0</v>
      </c>
      <c r="G5005">
        <f t="shared" si="1031"/>
        <v>0</v>
      </c>
      <c r="H5005">
        <f t="shared" si="1032"/>
        <v>0</v>
      </c>
      <c r="I5005">
        <f t="shared" si="1033"/>
        <v>0</v>
      </c>
      <c r="J5005">
        <f t="shared" si="1034"/>
        <v>0</v>
      </c>
      <c r="K5005" s="4" t="e">
        <f t="shared" si="1022"/>
        <v>#N/A</v>
      </c>
      <c r="L5005" t="e">
        <f t="shared" si="1023"/>
        <v>#N/A</v>
      </c>
      <c r="M5005" s="4" t="e">
        <f t="shared" si="1024"/>
        <v>#N/A</v>
      </c>
      <c r="N5005" s="4" t="e">
        <f t="shared" si="1025"/>
        <v>#N/A</v>
      </c>
    </row>
    <row r="5006" spans="1:14">
      <c r="A5006">
        <f t="shared" si="1026"/>
        <v>0</v>
      </c>
      <c r="B5006">
        <f t="shared" si="1027"/>
        <v>0</v>
      </c>
      <c r="C5006">
        <f t="shared" si="1028"/>
        <v>0</v>
      </c>
      <c r="D5006">
        <f t="shared" si="1029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30"/>
        <v>0</v>
      </c>
      <c r="G5006">
        <f t="shared" si="1031"/>
        <v>0</v>
      </c>
      <c r="H5006">
        <f t="shared" si="1032"/>
        <v>0</v>
      </c>
      <c r="I5006">
        <f t="shared" si="1033"/>
        <v>0</v>
      </c>
      <c r="J5006">
        <f t="shared" si="1034"/>
        <v>0</v>
      </c>
      <c r="K5006" s="4" t="e">
        <f t="shared" si="1022"/>
        <v>#N/A</v>
      </c>
      <c r="L5006" t="e">
        <f t="shared" si="1023"/>
        <v>#N/A</v>
      </c>
      <c r="M5006" s="4" t="e">
        <f t="shared" si="1024"/>
        <v>#N/A</v>
      </c>
      <c r="N5006" s="4" t="e">
        <f t="shared" si="1025"/>
        <v>#N/A</v>
      </c>
    </row>
    <row r="5007" spans="1:14">
      <c r="A5007">
        <f t="shared" si="1026"/>
        <v>0</v>
      </c>
      <c r="B5007">
        <f t="shared" si="1027"/>
        <v>0</v>
      </c>
      <c r="C5007">
        <f t="shared" si="1028"/>
        <v>0</v>
      </c>
      <c r="D5007">
        <f t="shared" si="1029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30"/>
        <v>0</v>
      </c>
      <c r="G5007">
        <f t="shared" si="1031"/>
        <v>0</v>
      </c>
      <c r="H5007">
        <f t="shared" si="1032"/>
        <v>0</v>
      </c>
      <c r="I5007">
        <f t="shared" si="1033"/>
        <v>0</v>
      </c>
      <c r="J5007">
        <f t="shared" si="1034"/>
        <v>0</v>
      </c>
      <c r="K5007" s="4" t="e">
        <f t="shared" si="1022"/>
        <v>#N/A</v>
      </c>
      <c r="L5007" t="e">
        <f t="shared" si="1023"/>
        <v>#N/A</v>
      </c>
      <c r="M5007" s="4" t="e">
        <f t="shared" si="1024"/>
        <v>#N/A</v>
      </c>
      <c r="N5007" s="4" t="e">
        <f t="shared" si="1025"/>
        <v>#N/A</v>
      </c>
    </row>
    <row r="5008" spans="1:14">
      <c r="A5008">
        <f t="shared" si="1026"/>
        <v>0</v>
      </c>
      <c r="B5008">
        <f t="shared" si="1027"/>
        <v>0</v>
      </c>
      <c r="C5008">
        <f t="shared" si="1028"/>
        <v>0</v>
      </c>
      <c r="D5008">
        <f t="shared" si="1029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30"/>
        <v>0</v>
      </c>
      <c r="G5008">
        <f t="shared" si="1031"/>
        <v>0</v>
      </c>
      <c r="H5008">
        <f t="shared" si="1032"/>
        <v>0</v>
      </c>
      <c r="I5008">
        <f t="shared" si="1033"/>
        <v>0</v>
      </c>
      <c r="J5008">
        <f t="shared" si="1034"/>
        <v>0</v>
      </c>
      <c r="K5008" s="4" t="e">
        <f t="shared" si="1022"/>
        <v>#N/A</v>
      </c>
      <c r="L5008" t="e">
        <f t="shared" si="1023"/>
        <v>#N/A</v>
      </c>
      <c r="M5008" s="4" t="e">
        <f t="shared" si="1024"/>
        <v>#N/A</v>
      </c>
      <c r="N5008" s="4" t="e">
        <f t="shared" si="1025"/>
        <v>#N/A</v>
      </c>
    </row>
    <row r="5009" spans="1:14">
      <c r="A5009">
        <f t="shared" si="1026"/>
        <v>0</v>
      </c>
      <c r="B5009">
        <f t="shared" si="1027"/>
        <v>0</v>
      </c>
      <c r="C5009">
        <f t="shared" si="1028"/>
        <v>0</v>
      </c>
      <c r="D5009">
        <f t="shared" si="1029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30"/>
        <v>0</v>
      </c>
      <c r="G5009">
        <f t="shared" si="1031"/>
        <v>0</v>
      </c>
      <c r="H5009">
        <f t="shared" si="1032"/>
        <v>0</v>
      </c>
      <c r="I5009">
        <f t="shared" si="1033"/>
        <v>0</v>
      </c>
      <c r="J5009">
        <f t="shared" si="1034"/>
        <v>0</v>
      </c>
      <c r="K5009" s="4" t="e">
        <f t="shared" si="1022"/>
        <v>#N/A</v>
      </c>
      <c r="L5009" t="e">
        <f t="shared" si="1023"/>
        <v>#N/A</v>
      </c>
      <c r="M5009" s="4" t="e">
        <f t="shared" si="1024"/>
        <v>#N/A</v>
      </c>
      <c r="N5009" s="4" t="e">
        <f t="shared" si="1025"/>
        <v>#N/A</v>
      </c>
    </row>
    <row r="5010" spans="1:14">
      <c r="A5010">
        <f t="shared" si="1026"/>
        <v>0</v>
      </c>
      <c r="B5010">
        <f t="shared" si="1027"/>
        <v>0</v>
      </c>
      <c r="C5010">
        <f t="shared" si="1028"/>
        <v>0</v>
      </c>
      <c r="D5010">
        <f t="shared" si="1029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30"/>
        <v>0</v>
      </c>
      <c r="G5010">
        <f t="shared" si="1031"/>
        <v>0</v>
      </c>
      <c r="H5010">
        <f t="shared" si="1032"/>
        <v>0</v>
      </c>
      <c r="I5010">
        <f t="shared" si="1033"/>
        <v>0</v>
      </c>
      <c r="J5010">
        <f t="shared" si="1034"/>
        <v>0</v>
      </c>
      <c r="K5010" s="4" t="e">
        <f t="shared" si="1022"/>
        <v>#N/A</v>
      </c>
      <c r="L5010" t="e">
        <f t="shared" si="1023"/>
        <v>#N/A</v>
      </c>
      <c r="M5010" s="4" t="e">
        <f t="shared" si="1024"/>
        <v>#N/A</v>
      </c>
      <c r="N5010" s="4" t="e">
        <f t="shared" si="1025"/>
        <v>#N/A</v>
      </c>
    </row>
    <row r="5011" spans="1:14">
      <c r="A5011">
        <f t="shared" si="1026"/>
        <v>0</v>
      </c>
      <c r="B5011">
        <f t="shared" si="1027"/>
        <v>0</v>
      </c>
      <c r="C5011">
        <f t="shared" si="1028"/>
        <v>0</v>
      </c>
      <c r="D5011">
        <f t="shared" si="1029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30"/>
        <v>0</v>
      </c>
      <c r="G5011">
        <f t="shared" si="1031"/>
        <v>0</v>
      </c>
      <c r="H5011">
        <f t="shared" si="1032"/>
        <v>0</v>
      </c>
      <c r="I5011">
        <f t="shared" si="1033"/>
        <v>0</v>
      </c>
      <c r="J5011">
        <f t="shared" si="1034"/>
        <v>0</v>
      </c>
      <c r="K5011" s="4" t="e">
        <f t="shared" si="1022"/>
        <v>#N/A</v>
      </c>
      <c r="L5011" t="e">
        <f t="shared" si="1023"/>
        <v>#N/A</v>
      </c>
      <c r="M5011" s="4" t="e">
        <f t="shared" si="1024"/>
        <v>#N/A</v>
      </c>
      <c r="N5011" s="4" t="e">
        <f t="shared" si="1025"/>
        <v>#N/A</v>
      </c>
    </row>
    <row r="5012" spans="1:14">
      <c r="A5012">
        <f t="shared" si="1026"/>
        <v>0</v>
      </c>
      <c r="B5012">
        <f t="shared" si="1027"/>
        <v>0</v>
      </c>
      <c r="C5012">
        <f t="shared" si="1028"/>
        <v>0</v>
      </c>
      <c r="D5012">
        <f t="shared" si="1029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30"/>
        <v>0</v>
      </c>
      <c r="G5012">
        <f t="shared" si="1031"/>
        <v>0</v>
      </c>
      <c r="H5012">
        <f t="shared" si="1032"/>
        <v>0</v>
      </c>
      <c r="I5012">
        <f t="shared" si="1033"/>
        <v>0</v>
      </c>
      <c r="J5012">
        <f t="shared" si="1034"/>
        <v>0</v>
      </c>
      <c r="K5012" s="4" t="e">
        <f t="shared" si="1022"/>
        <v>#N/A</v>
      </c>
      <c r="L5012" t="e">
        <f t="shared" si="1023"/>
        <v>#N/A</v>
      </c>
      <c r="M5012" s="4" t="e">
        <f t="shared" si="1024"/>
        <v>#N/A</v>
      </c>
      <c r="N5012" s="4" t="e">
        <f t="shared" si="1025"/>
        <v>#N/A</v>
      </c>
    </row>
    <row r="5013" spans="1:14">
      <c r="A5013">
        <f t="shared" si="1026"/>
        <v>0</v>
      </c>
      <c r="B5013">
        <f t="shared" si="1027"/>
        <v>0</v>
      </c>
      <c r="C5013">
        <f t="shared" si="1028"/>
        <v>0</v>
      </c>
      <c r="D5013">
        <f t="shared" si="1029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30"/>
        <v>0</v>
      </c>
      <c r="G5013">
        <f t="shared" si="1031"/>
        <v>0</v>
      </c>
      <c r="H5013">
        <f t="shared" si="1032"/>
        <v>0</v>
      </c>
      <c r="I5013">
        <f t="shared" si="1033"/>
        <v>0</v>
      </c>
      <c r="J5013">
        <f t="shared" si="1034"/>
        <v>0</v>
      </c>
      <c r="K5013" s="4" t="e">
        <f t="shared" si="1022"/>
        <v>#N/A</v>
      </c>
      <c r="L5013" t="e">
        <f t="shared" si="1023"/>
        <v>#N/A</v>
      </c>
      <c r="M5013" s="4" t="e">
        <f t="shared" si="1024"/>
        <v>#N/A</v>
      </c>
      <c r="N5013" s="4" t="e">
        <f t="shared" si="1025"/>
        <v>#N/A</v>
      </c>
    </row>
    <row r="5014" spans="1:14">
      <c r="A5014">
        <f t="shared" si="1026"/>
        <v>0</v>
      </c>
      <c r="B5014">
        <f t="shared" si="1027"/>
        <v>0</v>
      </c>
      <c r="C5014">
        <f t="shared" si="1028"/>
        <v>0</v>
      </c>
      <c r="D5014">
        <f t="shared" si="1029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30"/>
        <v>0</v>
      </c>
      <c r="G5014">
        <f t="shared" si="1031"/>
        <v>0</v>
      </c>
      <c r="H5014">
        <f t="shared" si="1032"/>
        <v>0</v>
      </c>
      <c r="I5014">
        <f t="shared" si="1033"/>
        <v>0</v>
      </c>
      <c r="J5014">
        <f t="shared" si="1034"/>
        <v>0</v>
      </c>
      <c r="K5014" s="4" t="e">
        <f t="shared" si="1022"/>
        <v>#N/A</v>
      </c>
      <c r="L5014" t="e">
        <f t="shared" si="1023"/>
        <v>#N/A</v>
      </c>
      <c r="M5014" s="4" t="e">
        <f t="shared" si="1024"/>
        <v>#N/A</v>
      </c>
      <c r="N5014" s="4" t="e">
        <f t="shared" si="1025"/>
        <v>#N/A</v>
      </c>
    </row>
    <row r="5015" spans="1:14">
      <c r="A5015">
        <f t="shared" si="1026"/>
        <v>0</v>
      </c>
      <c r="B5015">
        <f t="shared" si="1027"/>
        <v>0</v>
      </c>
      <c r="C5015">
        <f t="shared" si="1028"/>
        <v>0</v>
      </c>
      <c r="D5015">
        <f t="shared" si="1029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30"/>
        <v>0</v>
      </c>
      <c r="G5015">
        <f t="shared" si="1031"/>
        <v>0</v>
      </c>
      <c r="H5015">
        <f t="shared" si="1032"/>
        <v>0</v>
      </c>
      <c r="I5015">
        <f t="shared" si="1033"/>
        <v>0</v>
      </c>
      <c r="J5015">
        <f t="shared" si="1034"/>
        <v>0</v>
      </c>
      <c r="K5015" s="4" t="e">
        <f t="shared" si="1022"/>
        <v>#N/A</v>
      </c>
      <c r="L5015" t="e">
        <f t="shared" si="1023"/>
        <v>#N/A</v>
      </c>
      <c r="M5015" s="4" t="e">
        <f t="shared" si="1024"/>
        <v>#N/A</v>
      </c>
      <c r="N5015" s="4" t="e">
        <f t="shared" si="1025"/>
        <v>#N/A</v>
      </c>
    </row>
    <row r="5016" spans="1:14">
      <c r="A5016">
        <f t="shared" si="1026"/>
        <v>0</v>
      </c>
      <c r="B5016">
        <f t="shared" si="1027"/>
        <v>0</v>
      </c>
      <c r="C5016">
        <f t="shared" si="1028"/>
        <v>0</v>
      </c>
      <c r="D5016">
        <f t="shared" si="1029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30"/>
        <v>0</v>
      </c>
      <c r="G5016">
        <f t="shared" si="1031"/>
        <v>0</v>
      </c>
      <c r="H5016">
        <f t="shared" si="1032"/>
        <v>0</v>
      </c>
      <c r="I5016">
        <f t="shared" si="1033"/>
        <v>0</v>
      </c>
      <c r="J5016">
        <f t="shared" si="1034"/>
        <v>0</v>
      </c>
      <c r="K5016" s="4" t="e">
        <f t="shared" si="1022"/>
        <v>#N/A</v>
      </c>
      <c r="L5016" t="e">
        <f t="shared" si="1023"/>
        <v>#N/A</v>
      </c>
      <c r="M5016" s="4" t="e">
        <f t="shared" si="1024"/>
        <v>#N/A</v>
      </c>
      <c r="N5016" s="4" t="e">
        <f t="shared" si="1025"/>
        <v>#N/A</v>
      </c>
    </row>
    <row r="5017" spans="1:14">
      <c r="A5017">
        <f t="shared" si="1026"/>
        <v>0</v>
      </c>
      <c r="B5017">
        <f t="shared" si="1027"/>
        <v>0</v>
      </c>
      <c r="C5017">
        <f t="shared" si="1028"/>
        <v>0</v>
      </c>
      <c r="D5017">
        <f t="shared" si="1029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30"/>
        <v>0</v>
      </c>
      <c r="G5017">
        <f t="shared" si="1031"/>
        <v>0</v>
      </c>
      <c r="H5017">
        <f t="shared" si="1032"/>
        <v>0</v>
      </c>
      <c r="I5017">
        <f t="shared" si="1033"/>
        <v>0</v>
      </c>
      <c r="J5017">
        <f t="shared" si="1034"/>
        <v>0</v>
      </c>
      <c r="K5017" s="4" t="e">
        <f t="shared" si="1022"/>
        <v>#N/A</v>
      </c>
      <c r="L5017" t="e">
        <f t="shared" si="1023"/>
        <v>#N/A</v>
      </c>
      <c r="M5017" s="4" t="e">
        <f t="shared" si="1024"/>
        <v>#N/A</v>
      </c>
      <c r="N5017" s="4" t="e">
        <f t="shared" si="1025"/>
        <v>#N/A</v>
      </c>
    </row>
    <row r="5018" spans="1:14">
      <c r="A5018">
        <f t="shared" si="1026"/>
        <v>0</v>
      </c>
      <c r="B5018">
        <f t="shared" si="1027"/>
        <v>0</v>
      </c>
      <c r="C5018">
        <f t="shared" si="1028"/>
        <v>0</v>
      </c>
      <c r="D5018">
        <f t="shared" si="1029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30"/>
        <v>0</v>
      </c>
      <c r="G5018">
        <f t="shared" si="1031"/>
        <v>0</v>
      </c>
      <c r="H5018">
        <f t="shared" si="1032"/>
        <v>0</v>
      </c>
      <c r="I5018">
        <f t="shared" si="1033"/>
        <v>0</v>
      </c>
      <c r="J5018">
        <f t="shared" si="1034"/>
        <v>0</v>
      </c>
      <c r="K5018" s="4" t="e">
        <f t="shared" si="1022"/>
        <v>#N/A</v>
      </c>
      <c r="L5018" t="e">
        <f t="shared" si="1023"/>
        <v>#N/A</v>
      </c>
      <c r="M5018" s="4" t="e">
        <f t="shared" si="1024"/>
        <v>#N/A</v>
      </c>
      <c r="N5018" s="4" t="e">
        <f t="shared" si="1025"/>
        <v>#N/A</v>
      </c>
    </row>
    <row r="5019" spans="1:14">
      <c r="A5019">
        <f t="shared" si="1026"/>
        <v>0</v>
      </c>
      <c r="B5019">
        <f t="shared" si="1027"/>
        <v>0</v>
      </c>
      <c r="C5019">
        <f t="shared" si="1028"/>
        <v>0</v>
      </c>
      <c r="D5019">
        <f t="shared" si="1029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30"/>
        <v>0</v>
      </c>
      <c r="G5019">
        <f t="shared" si="1031"/>
        <v>0</v>
      </c>
      <c r="H5019">
        <f t="shared" si="1032"/>
        <v>0</v>
      </c>
      <c r="I5019">
        <f t="shared" si="1033"/>
        <v>0</v>
      </c>
      <c r="J5019">
        <f t="shared" si="1034"/>
        <v>0</v>
      </c>
      <c r="K5019" s="4" t="e">
        <f t="shared" si="1022"/>
        <v>#N/A</v>
      </c>
      <c r="L5019" t="e">
        <f t="shared" si="1023"/>
        <v>#N/A</v>
      </c>
      <c r="M5019" s="4" t="e">
        <f t="shared" si="1024"/>
        <v>#N/A</v>
      </c>
      <c r="N5019" s="4" t="e">
        <f t="shared" si="1025"/>
        <v>#N/A</v>
      </c>
    </row>
    <row r="5020" spans="1:14">
      <c r="A5020">
        <f t="shared" si="1026"/>
        <v>0</v>
      </c>
      <c r="B5020">
        <f t="shared" si="1027"/>
        <v>0</v>
      </c>
      <c r="C5020">
        <f t="shared" si="1028"/>
        <v>0</v>
      </c>
      <c r="D5020">
        <f t="shared" si="1029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30"/>
        <v>0</v>
      </c>
      <c r="G5020">
        <f t="shared" si="1031"/>
        <v>0</v>
      </c>
      <c r="H5020">
        <f t="shared" si="1032"/>
        <v>0</v>
      </c>
      <c r="I5020">
        <f t="shared" si="1033"/>
        <v>0</v>
      </c>
      <c r="J5020">
        <f t="shared" si="1034"/>
        <v>0</v>
      </c>
      <c r="K5020" s="4" t="e">
        <f t="shared" si="1022"/>
        <v>#N/A</v>
      </c>
      <c r="L5020" t="e">
        <f t="shared" si="1023"/>
        <v>#N/A</v>
      </c>
      <c r="M5020" s="4" t="e">
        <f t="shared" si="1024"/>
        <v>#N/A</v>
      </c>
      <c r="N5020" s="4" t="e">
        <f t="shared" si="1025"/>
        <v>#N/A</v>
      </c>
    </row>
    <row r="5021" spans="1:14">
      <c r="A5021">
        <f t="shared" si="1026"/>
        <v>0</v>
      </c>
      <c r="B5021">
        <f t="shared" si="1027"/>
        <v>0</v>
      </c>
      <c r="C5021">
        <f t="shared" si="1028"/>
        <v>0</v>
      </c>
      <c r="D5021">
        <f t="shared" si="1029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30"/>
        <v>0</v>
      </c>
      <c r="G5021">
        <f t="shared" si="1031"/>
        <v>0</v>
      </c>
      <c r="H5021">
        <f t="shared" si="1032"/>
        <v>0</v>
      </c>
      <c r="I5021">
        <f t="shared" si="1033"/>
        <v>0</v>
      </c>
      <c r="J5021">
        <f t="shared" si="1034"/>
        <v>0</v>
      </c>
      <c r="K5021" s="4" t="e">
        <f t="shared" si="1022"/>
        <v>#N/A</v>
      </c>
      <c r="L5021" t="e">
        <f t="shared" si="1023"/>
        <v>#N/A</v>
      </c>
      <c r="M5021" s="4" t="e">
        <f t="shared" si="1024"/>
        <v>#N/A</v>
      </c>
      <c r="N5021" s="4" t="e">
        <f t="shared" si="1025"/>
        <v>#N/A</v>
      </c>
    </row>
    <row r="5022" spans="1:14">
      <c r="A5022">
        <f t="shared" si="1026"/>
        <v>0</v>
      </c>
      <c r="B5022">
        <f t="shared" si="1027"/>
        <v>0</v>
      </c>
      <c r="C5022">
        <f t="shared" si="1028"/>
        <v>0</v>
      </c>
      <c r="D5022">
        <f t="shared" si="1029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30"/>
        <v>0</v>
      </c>
      <c r="G5022">
        <f t="shared" si="1031"/>
        <v>0</v>
      </c>
      <c r="H5022">
        <f t="shared" si="1032"/>
        <v>0</v>
      </c>
      <c r="I5022">
        <f t="shared" si="1033"/>
        <v>0</v>
      </c>
      <c r="J5022">
        <f t="shared" si="1034"/>
        <v>0</v>
      </c>
      <c r="K5022" s="4" t="e">
        <f t="shared" si="1022"/>
        <v>#N/A</v>
      </c>
      <c r="L5022" t="e">
        <f t="shared" si="1023"/>
        <v>#N/A</v>
      </c>
      <c r="M5022" s="4" t="e">
        <f t="shared" si="1024"/>
        <v>#N/A</v>
      </c>
      <c r="N5022" s="4" t="e">
        <f t="shared" si="1025"/>
        <v>#N/A</v>
      </c>
    </row>
    <row r="5023" spans="1:14">
      <c r="A5023">
        <f t="shared" si="1026"/>
        <v>0</v>
      </c>
      <c r="B5023">
        <f t="shared" si="1027"/>
        <v>0</v>
      </c>
      <c r="C5023">
        <f t="shared" si="1028"/>
        <v>0</v>
      </c>
      <c r="D5023">
        <f t="shared" si="1029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30"/>
        <v>0</v>
      </c>
      <c r="G5023">
        <f t="shared" si="1031"/>
        <v>0</v>
      </c>
      <c r="H5023">
        <f t="shared" si="1032"/>
        <v>0</v>
      </c>
      <c r="I5023">
        <f t="shared" si="1033"/>
        <v>0</v>
      </c>
      <c r="J5023">
        <f t="shared" si="1034"/>
        <v>0</v>
      </c>
      <c r="K5023" s="4" t="e">
        <f t="shared" si="1022"/>
        <v>#N/A</v>
      </c>
      <c r="L5023" t="e">
        <f t="shared" si="1023"/>
        <v>#N/A</v>
      </c>
      <c r="M5023" s="4" t="e">
        <f t="shared" si="1024"/>
        <v>#N/A</v>
      </c>
      <c r="N5023" s="4" t="e">
        <f t="shared" si="1025"/>
        <v>#N/A</v>
      </c>
    </row>
    <row r="5024" spans="1:14">
      <c r="A5024">
        <f t="shared" si="1026"/>
        <v>0</v>
      </c>
      <c r="B5024">
        <f t="shared" si="1027"/>
        <v>0</v>
      </c>
      <c r="C5024">
        <f t="shared" si="1028"/>
        <v>0</v>
      </c>
      <c r="D5024">
        <f t="shared" si="1029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30"/>
        <v>0</v>
      </c>
      <c r="G5024">
        <f t="shared" si="1031"/>
        <v>0</v>
      </c>
      <c r="H5024">
        <f t="shared" si="1032"/>
        <v>0</v>
      </c>
      <c r="I5024">
        <f t="shared" si="1033"/>
        <v>0</v>
      </c>
      <c r="J5024">
        <f t="shared" si="1034"/>
        <v>0</v>
      </c>
      <c r="K5024" s="4" t="e">
        <f t="shared" si="1022"/>
        <v>#N/A</v>
      </c>
      <c r="L5024" t="e">
        <f t="shared" si="1023"/>
        <v>#N/A</v>
      </c>
      <c r="M5024" s="4" t="e">
        <f t="shared" si="1024"/>
        <v>#N/A</v>
      </c>
      <c r="N5024" s="4" t="e">
        <f t="shared" si="1025"/>
        <v>#N/A</v>
      </c>
    </row>
    <row r="5025" spans="1:14">
      <c r="A5025">
        <f t="shared" si="1026"/>
        <v>0</v>
      </c>
      <c r="B5025">
        <f t="shared" si="1027"/>
        <v>0</v>
      </c>
      <c r="C5025">
        <f t="shared" si="1028"/>
        <v>0</v>
      </c>
      <c r="D5025">
        <f t="shared" si="1029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30"/>
        <v>0</v>
      </c>
      <c r="G5025">
        <f t="shared" si="1031"/>
        <v>0</v>
      </c>
      <c r="H5025">
        <f t="shared" si="1032"/>
        <v>0</v>
      </c>
      <c r="I5025">
        <f t="shared" si="1033"/>
        <v>0</v>
      </c>
      <c r="J5025">
        <f t="shared" si="1034"/>
        <v>0</v>
      </c>
      <c r="K5025" s="4" t="e">
        <f t="shared" si="1022"/>
        <v>#N/A</v>
      </c>
      <c r="L5025" t="e">
        <f t="shared" si="1023"/>
        <v>#N/A</v>
      </c>
      <c r="M5025" s="4" t="e">
        <f t="shared" si="1024"/>
        <v>#N/A</v>
      </c>
      <c r="N5025" s="4" t="e">
        <f t="shared" si="1025"/>
        <v>#N/A</v>
      </c>
    </row>
    <row r="5026" spans="1:14">
      <c r="A5026">
        <f t="shared" si="1026"/>
        <v>0</v>
      </c>
      <c r="B5026">
        <f t="shared" si="1027"/>
        <v>0</v>
      </c>
      <c r="C5026">
        <f t="shared" si="1028"/>
        <v>0</v>
      </c>
      <c r="D5026">
        <f t="shared" si="1029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30"/>
        <v>0</v>
      </c>
      <c r="G5026">
        <f t="shared" si="1031"/>
        <v>0</v>
      </c>
      <c r="H5026">
        <f t="shared" si="1032"/>
        <v>0</v>
      </c>
      <c r="I5026">
        <f t="shared" si="1033"/>
        <v>0</v>
      </c>
      <c r="J5026">
        <f t="shared" si="1034"/>
        <v>0</v>
      </c>
      <c r="K5026" s="4" t="e">
        <f t="shared" si="1022"/>
        <v>#N/A</v>
      </c>
      <c r="L5026" t="e">
        <f t="shared" si="1023"/>
        <v>#N/A</v>
      </c>
      <c r="M5026" s="4" t="e">
        <f t="shared" si="1024"/>
        <v>#N/A</v>
      </c>
      <c r="N5026" s="4" t="e">
        <f t="shared" si="1025"/>
        <v>#N/A</v>
      </c>
    </row>
    <row r="5027" spans="1:14">
      <c r="A5027">
        <f t="shared" si="1026"/>
        <v>0</v>
      </c>
      <c r="B5027">
        <f t="shared" si="1027"/>
        <v>0</v>
      </c>
      <c r="C5027">
        <f t="shared" si="1028"/>
        <v>0</v>
      </c>
      <c r="D5027">
        <f t="shared" si="1029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30"/>
        <v>0</v>
      </c>
      <c r="G5027">
        <f t="shared" si="1031"/>
        <v>0</v>
      </c>
      <c r="H5027">
        <f t="shared" si="1032"/>
        <v>0</v>
      </c>
      <c r="I5027">
        <f t="shared" si="1033"/>
        <v>0</v>
      </c>
      <c r="J5027">
        <f t="shared" si="1034"/>
        <v>0</v>
      </c>
      <c r="K5027" s="4" t="e">
        <f t="shared" si="1022"/>
        <v>#N/A</v>
      </c>
      <c r="L5027" t="e">
        <f t="shared" si="1023"/>
        <v>#N/A</v>
      </c>
      <c r="M5027" s="4" t="e">
        <f t="shared" si="1024"/>
        <v>#N/A</v>
      </c>
      <c r="N5027" s="4" t="e">
        <f t="shared" si="1025"/>
        <v>#N/A</v>
      </c>
    </row>
    <row r="5028" spans="1:14">
      <c r="A5028">
        <f t="shared" si="1026"/>
        <v>0</v>
      </c>
      <c r="B5028">
        <f t="shared" si="1027"/>
        <v>0</v>
      </c>
      <c r="C5028">
        <f t="shared" si="1028"/>
        <v>0</v>
      </c>
      <c r="D5028">
        <f t="shared" si="1029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30"/>
        <v>0</v>
      </c>
      <c r="G5028">
        <f t="shared" si="1031"/>
        <v>0</v>
      </c>
      <c r="H5028">
        <f t="shared" si="1032"/>
        <v>0</v>
      </c>
      <c r="I5028">
        <f t="shared" si="1033"/>
        <v>0</v>
      </c>
      <c r="J5028">
        <f t="shared" si="1034"/>
        <v>0</v>
      </c>
      <c r="K5028" s="4" t="e">
        <f t="shared" si="1022"/>
        <v>#N/A</v>
      </c>
      <c r="L5028" t="e">
        <f t="shared" si="1023"/>
        <v>#N/A</v>
      </c>
      <c r="M5028" s="4" t="e">
        <f t="shared" si="1024"/>
        <v>#N/A</v>
      </c>
      <c r="N5028" s="4" t="e">
        <f t="shared" si="1025"/>
        <v>#N/A</v>
      </c>
    </row>
    <row r="5029" spans="1:14">
      <c r="A5029">
        <f t="shared" si="1026"/>
        <v>0</v>
      </c>
      <c r="B5029">
        <f t="shared" si="1027"/>
        <v>0</v>
      </c>
      <c r="C5029">
        <f t="shared" si="1028"/>
        <v>0</v>
      </c>
      <c r="D5029">
        <f t="shared" si="1029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30"/>
        <v>0</v>
      </c>
      <c r="G5029">
        <f t="shared" si="1031"/>
        <v>0</v>
      </c>
      <c r="H5029">
        <f t="shared" si="1032"/>
        <v>0</v>
      </c>
      <c r="I5029">
        <f t="shared" si="1033"/>
        <v>0</v>
      </c>
      <c r="J5029">
        <f t="shared" si="1034"/>
        <v>0</v>
      </c>
      <c r="K5029" s="4" t="e">
        <f t="shared" si="1022"/>
        <v>#N/A</v>
      </c>
      <c r="L5029" t="e">
        <f t="shared" si="1023"/>
        <v>#N/A</v>
      </c>
      <c r="M5029" s="4" t="e">
        <f t="shared" si="1024"/>
        <v>#N/A</v>
      </c>
      <c r="N5029" s="4" t="e">
        <f t="shared" si="1025"/>
        <v>#N/A</v>
      </c>
    </row>
    <row r="5030" spans="1:14">
      <c r="A5030">
        <f t="shared" si="1026"/>
        <v>0</v>
      </c>
      <c r="B5030">
        <f t="shared" si="1027"/>
        <v>0</v>
      </c>
      <c r="C5030">
        <f t="shared" si="1028"/>
        <v>0</v>
      </c>
      <c r="D5030">
        <f t="shared" si="1029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30"/>
        <v>0</v>
      </c>
      <c r="G5030">
        <f t="shared" si="1031"/>
        <v>0</v>
      </c>
      <c r="H5030">
        <f t="shared" si="1032"/>
        <v>0</v>
      </c>
      <c r="I5030">
        <f t="shared" si="1033"/>
        <v>0</v>
      </c>
      <c r="J5030">
        <f t="shared" si="1034"/>
        <v>0</v>
      </c>
      <c r="K5030" s="4" t="e">
        <f t="shared" si="1022"/>
        <v>#N/A</v>
      </c>
      <c r="L5030" t="e">
        <f t="shared" si="1023"/>
        <v>#N/A</v>
      </c>
      <c r="M5030" s="4" t="e">
        <f t="shared" si="1024"/>
        <v>#N/A</v>
      </c>
      <c r="N5030" s="4" t="e">
        <f t="shared" si="1025"/>
        <v>#N/A</v>
      </c>
    </row>
    <row r="5031" spans="1:14">
      <c r="A5031">
        <f t="shared" si="1026"/>
        <v>0</v>
      </c>
      <c r="B5031">
        <f t="shared" si="1027"/>
        <v>0</v>
      </c>
      <c r="C5031">
        <f t="shared" si="1028"/>
        <v>0</v>
      </c>
      <c r="D5031">
        <f t="shared" si="1029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30"/>
        <v>0</v>
      </c>
      <c r="G5031">
        <f t="shared" si="1031"/>
        <v>0</v>
      </c>
      <c r="H5031">
        <f t="shared" si="1032"/>
        <v>0</v>
      </c>
      <c r="I5031">
        <f t="shared" si="1033"/>
        <v>0</v>
      </c>
      <c r="J5031">
        <f t="shared" si="1034"/>
        <v>0</v>
      </c>
      <c r="K5031" s="4" t="e">
        <f t="shared" si="1022"/>
        <v>#N/A</v>
      </c>
      <c r="L5031" t="e">
        <f t="shared" si="1023"/>
        <v>#N/A</v>
      </c>
      <c r="M5031" s="4" t="e">
        <f t="shared" si="1024"/>
        <v>#N/A</v>
      </c>
      <c r="N5031" s="4" t="e">
        <f t="shared" si="1025"/>
        <v>#N/A</v>
      </c>
    </row>
    <row r="5032" spans="1:14">
      <c r="A5032">
        <f t="shared" si="1026"/>
        <v>0</v>
      </c>
      <c r="B5032">
        <f t="shared" si="1027"/>
        <v>0</v>
      </c>
      <c r="C5032">
        <f t="shared" si="1028"/>
        <v>0</v>
      </c>
      <c r="D5032">
        <f t="shared" si="1029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30"/>
        <v>0</v>
      </c>
      <c r="G5032">
        <f t="shared" si="1031"/>
        <v>0</v>
      </c>
      <c r="H5032">
        <f t="shared" si="1032"/>
        <v>0</v>
      </c>
      <c r="I5032">
        <f t="shared" si="1033"/>
        <v>0</v>
      </c>
      <c r="J5032">
        <f t="shared" si="1034"/>
        <v>0</v>
      </c>
      <c r="K5032" s="4" t="e">
        <f t="shared" si="1022"/>
        <v>#N/A</v>
      </c>
      <c r="L5032" t="e">
        <f t="shared" si="1023"/>
        <v>#N/A</v>
      </c>
      <c r="M5032" s="4" t="e">
        <f t="shared" si="1024"/>
        <v>#N/A</v>
      </c>
      <c r="N5032" s="4" t="e">
        <f t="shared" si="1025"/>
        <v>#N/A</v>
      </c>
    </row>
    <row r="5033" spans="1:14">
      <c r="A5033">
        <f t="shared" si="1026"/>
        <v>0</v>
      </c>
      <c r="B5033">
        <f t="shared" si="1027"/>
        <v>0</v>
      </c>
      <c r="C5033">
        <f t="shared" si="1028"/>
        <v>0</v>
      </c>
      <c r="D5033">
        <f t="shared" si="1029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30"/>
        <v>0</v>
      </c>
      <c r="G5033">
        <f t="shared" si="1031"/>
        <v>0</v>
      </c>
      <c r="H5033">
        <f t="shared" si="1032"/>
        <v>0</v>
      </c>
      <c r="I5033">
        <f t="shared" si="1033"/>
        <v>0</v>
      </c>
      <c r="J5033">
        <f t="shared" si="1034"/>
        <v>0</v>
      </c>
      <c r="K5033" s="4" t="e">
        <f t="shared" si="1022"/>
        <v>#N/A</v>
      </c>
      <c r="L5033" t="e">
        <f t="shared" si="1023"/>
        <v>#N/A</v>
      </c>
      <c r="M5033" s="4" t="e">
        <f t="shared" si="1024"/>
        <v>#N/A</v>
      </c>
      <c r="N5033" s="4" t="e">
        <f t="shared" si="1025"/>
        <v>#N/A</v>
      </c>
    </row>
    <row r="5034" spans="1:14">
      <c r="A5034">
        <f t="shared" si="1026"/>
        <v>0</v>
      </c>
      <c r="B5034">
        <f t="shared" si="1027"/>
        <v>0</v>
      </c>
      <c r="C5034">
        <f t="shared" si="1028"/>
        <v>0</v>
      </c>
      <c r="D5034">
        <f t="shared" si="1029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30"/>
        <v>0</v>
      </c>
      <c r="G5034">
        <f t="shared" si="1031"/>
        <v>0</v>
      </c>
      <c r="H5034">
        <f t="shared" si="1032"/>
        <v>0</v>
      </c>
      <c r="I5034">
        <f t="shared" si="1033"/>
        <v>0</v>
      </c>
      <c r="J5034">
        <f t="shared" si="1034"/>
        <v>0</v>
      </c>
      <c r="K5034" s="4" t="e">
        <f t="shared" si="1022"/>
        <v>#N/A</v>
      </c>
      <c r="L5034" t="e">
        <f t="shared" si="1023"/>
        <v>#N/A</v>
      </c>
      <c r="M5034" s="4" t="e">
        <f t="shared" si="1024"/>
        <v>#N/A</v>
      </c>
      <c r="N5034" s="4" t="e">
        <f t="shared" si="1025"/>
        <v>#N/A</v>
      </c>
    </row>
    <row r="5035" spans="1:14">
      <c r="A5035">
        <f t="shared" si="1026"/>
        <v>0</v>
      </c>
      <c r="B5035">
        <f t="shared" si="1027"/>
        <v>0</v>
      </c>
      <c r="C5035">
        <f t="shared" si="1028"/>
        <v>0</v>
      </c>
      <c r="D5035">
        <f t="shared" si="1029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30"/>
        <v>0</v>
      </c>
      <c r="G5035">
        <f t="shared" si="1031"/>
        <v>0</v>
      </c>
      <c r="H5035">
        <f t="shared" si="1032"/>
        <v>0</v>
      </c>
      <c r="I5035">
        <f t="shared" si="1033"/>
        <v>0</v>
      </c>
      <c r="J5035">
        <f t="shared" si="1034"/>
        <v>0</v>
      </c>
      <c r="K5035" s="4" t="e">
        <f t="shared" si="1022"/>
        <v>#N/A</v>
      </c>
      <c r="L5035" t="e">
        <f t="shared" si="1023"/>
        <v>#N/A</v>
      </c>
      <c r="M5035" s="4" t="e">
        <f t="shared" si="1024"/>
        <v>#N/A</v>
      </c>
      <c r="N5035" s="4" t="e">
        <f t="shared" si="1025"/>
        <v>#N/A</v>
      </c>
    </row>
    <row r="5036" spans="1:14">
      <c r="A5036">
        <f t="shared" si="1026"/>
        <v>0</v>
      </c>
      <c r="B5036">
        <f t="shared" si="1027"/>
        <v>0</v>
      </c>
      <c r="C5036">
        <f t="shared" si="1028"/>
        <v>0</v>
      </c>
      <c r="D5036">
        <f t="shared" si="1029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30"/>
        <v>0</v>
      </c>
      <c r="G5036">
        <f t="shared" si="1031"/>
        <v>0</v>
      </c>
      <c r="H5036">
        <f t="shared" si="1032"/>
        <v>0</v>
      </c>
      <c r="I5036">
        <f t="shared" si="1033"/>
        <v>0</v>
      </c>
      <c r="J5036">
        <f t="shared" si="1034"/>
        <v>0</v>
      </c>
      <c r="K5036" s="4" t="e">
        <f t="shared" si="1022"/>
        <v>#N/A</v>
      </c>
      <c r="L5036" t="e">
        <f t="shared" si="1023"/>
        <v>#N/A</v>
      </c>
      <c r="M5036" s="4" t="e">
        <f t="shared" si="1024"/>
        <v>#N/A</v>
      </c>
      <c r="N5036" s="4" t="e">
        <f t="shared" si="1025"/>
        <v>#N/A</v>
      </c>
    </row>
    <row r="5037" spans="1:14">
      <c r="A5037">
        <f t="shared" si="1026"/>
        <v>0</v>
      </c>
      <c r="B5037">
        <f t="shared" si="1027"/>
        <v>0</v>
      </c>
      <c r="C5037">
        <f t="shared" si="1028"/>
        <v>0</v>
      </c>
      <c r="D5037">
        <f t="shared" si="1029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30"/>
        <v>0</v>
      </c>
      <c r="G5037">
        <f t="shared" si="1031"/>
        <v>0</v>
      </c>
      <c r="H5037">
        <f t="shared" si="1032"/>
        <v>0</v>
      </c>
      <c r="I5037">
        <f t="shared" si="1033"/>
        <v>0</v>
      </c>
      <c r="J5037">
        <f t="shared" si="1034"/>
        <v>0</v>
      </c>
      <c r="K5037" s="4" t="e">
        <f t="shared" si="1022"/>
        <v>#N/A</v>
      </c>
      <c r="L5037" t="e">
        <f t="shared" si="1023"/>
        <v>#N/A</v>
      </c>
      <c r="M5037" s="4" t="e">
        <f t="shared" si="1024"/>
        <v>#N/A</v>
      </c>
      <c r="N5037" s="4" t="e">
        <f t="shared" si="1025"/>
        <v>#N/A</v>
      </c>
    </row>
    <row r="5038" spans="1:14">
      <c r="A5038">
        <f t="shared" si="1026"/>
        <v>0</v>
      </c>
      <c r="B5038">
        <f t="shared" si="1027"/>
        <v>0</v>
      </c>
      <c r="C5038">
        <f t="shared" si="1028"/>
        <v>0</v>
      </c>
      <c r="D5038">
        <f t="shared" si="1029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30"/>
        <v>0</v>
      </c>
      <c r="G5038">
        <f t="shared" si="1031"/>
        <v>0</v>
      </c>
      <c r="H5038">
        <f t="shared" si="1032"/>
        <v>0</v>
      </c>
      <c r="I5038">
        <f t="shared" si="1033"/>
        <v>0</v>
      </c>
      <c r="J5038">
        <f t="shared" si="1034"/>
        <v>0</v>
      </c>
      <c r="K5038" s="4" t="e">
        <f t="shared" si="1022"/>
        <v>#N/A</v>
      </c>
      <c r="L5038" t="e">
        <f t="shared" si="1023"/>
        <v>#N/A</v>
      </c>
      <c r="M5038" s="4" t="e">
        <f t="shared" si="1024"/>
        <v>#N/A</v>
      </c>
      <c r="N5038" s="4" t="e">
        <f t="shared" si="1025"/>
        <v>#N/A</v>
      </c>
    </row>
    <row r="5039" spans="1:14">
      <c r="A5039">
        <f t="shared" si="1026"/>
        <v>0</v>
      </c>
      <c r="B5039">
        <f t="shared" si="1027"/>
        <v>0</v>
      </c>
      <c r="C5039">
        <f t="shared" si="1028"/>
        <v>0</v>
      </c>
      <c r="D5039">
        <f t="shared" si="1029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30"/>
        <v>0</v>
      </c>
      <c r="G5039">
        <f t="shared" si="1031"/>
        <v>0</v>
      </c>
      <c r="H5039">
        <f t="shared" si="1032"/>
        <v>0</v>
      </c>
      <c r="I5039">
        <f t="shared" si="1033"/>
        <v>0</v>
      </c>
      <c r="J5039">
        <f t="shared" si="1034"/>
        <v>0</v>
      </c>
      <c r="K5039" s="4" t="e">
        <f t="shared" si="1022"/>
        <v>#N/A</v>
      </c>
      <c r="L5039" t="e">
        <f t="shared" si="1023"/>
        <v>#N/A</v>
      </c>
      <c r="M5039" s="4" t="e">
        <f t="shared" si="1024"/>
        <v>#N/A</v>
      </c>
      <c r="N5039" s="4" t="e">
        <f t="shared" si="1025"/>
        <v>#N/A</v>
      </c>
    </row>
    <row r="5040" spans="1:14">
      <c r="A5040">
        <f t="shared" si="1026"/>
        <v>0</v>
      </c>
      <c r="B5040">
        <f t="shared" si="1027"/>
        <v>0</v>
      </c>
      <c r="C5040">
        <f t="shared" si="1028"/>
        <v>0</v>
      </c>
      <c r="D5040">
        <f t="shared" si="1029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30"/>
        <v>0</v>
      </c>
      <c r="G5040">
        <f t="shared" si="1031"/>
        <v>0</v>
      </c>
      <c r="H5040">
        <f t="shared" si="1032"/>
        <v>0</v>
      </c>
      <c r="I5040">
        <f t="shared" si="1033"/>
        <v>0</v>
      </c>
      <c r="J5040">
        <f t="shared" si="1034"/>
        <v>0</v>
      </c>
      <c r="K5040" s="4" t="e">
        <f t="shared" si="1022"/>
        <v>#N/A</v>
      </c>
      <c r="L5040" t="e">
        <f t="shared" si="1023"/>
        <v>#N/A</v>
      </c>
      <c r="M5040" s="4" t="e">
        <f t="shared" si="1024"/>
        <v>#N/A</v>
      </c>
      <c r="N5040" s="4" t="e">
        <f t="shared" si="1025"/>
        <v>#N/A</v>
      </c>
    </row>
    <row r="5041" spans="1:14">
      <c r="A5041">
        <f t="shared" si="1026"/>
        <v>0</v>
      </c>
      <c r="B5041">
        <f t="shared" si="1027"/>
        <v>0</v>
      </c>
      <c r="C5041">
        <f t="shared" si="1028"/>
        <v>0</v>
      </c>
      <c r="D5041">
        <f t="shared" si="1029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30"/>
        <v>0</v>
      </c>
      <c r="G5041">
        <f t="shared" si="1031"/>
        <v>0</v>
      </c>
      <c r="H5041">
        <f t="shared" si="1032"/>
        <v>0</v>
      </c>
      <c r="I5041">
        <f t="shared" si="1033"/>
        <v>0</v>
      </c>
      <c r="J5041">
        <f t="shared" si="1034"/>
        <v>0</v>
      </c>
      <c r="K5041" s="4" t="e">
        <f t="shared" si="1022"/>
        <v>#N/A</v>
      </c>
      <c r="L5041" t="e">
        <f t="shared" si="1023"/>
        <v>#N/A</v>
      </c>
      <c r="M5041" s="4" t="e">
        <f t="shared" si="1024"/>
        <v>#N/A</v>
      </c>
      <c r="N5041" s="4" t="e">
        <f t="shared" si="1025"/>
        <v>#N/A</v>
      </c>
    </row>
    <row r="5042" spans="1:14">
      <c r="A5042">
        <f t="shared" si="1026"/>
        <v>0</v>
      </c>
      <c r="B5042">
        <f t="shared" si="1027"/>
        <v>0</v>
      </c>
      <c r="C5042">
        <f t="shared" si="1028"/>
        <v>0</v>
      </c>
      <c r="D5042">
        <f t="shared" si="1029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30"/>
        <v>0</v>
      </c>
      <c r="G5042">
        <f t="shared" si="1031"/>
        <v>0</v>
      </c>
      <c r="H5042">
        <f t="shared" si="1032"/>
        <v>0</v>
      </c>
      <c r="I5042">
        <f t="shared" si="1033"/>
        <v>0</v>
      </c>
      <c r="J5042">
        <f t="shared" si="1034"/>
        <v>0</v>
      </c>
      <c r="K5042" s="4" t="e">
        <f t="shared" si="1022"/>
        <v>#N/A</v>
      </c>
      <c r="L5042" t="e">
        <f t="shared" si="1023"/>
        <v>#N/A</v>
      </c>
      <c r="M5042" s="4" t="e">
        <f t="shared" si="1024"/>
        <v>#N/A</v>
      </c>
      <c r="N5042" s="4" t="e">
        <f t="shared" si="1025"/>
        <v>#N/A</v>
      </c>
    </row>
    <row r="5043" spans="1:14">
      <c r="A5043">
        <f t="shared" si="1026"/>
        <v>0</v>
      </c>
      <c r="B5043">
        <f t="shared" si="1027"/>
        <v>0</v>
      </c>
      <c r="C5043">
        <f t="shared" si="1028"/>
        <v>0</v>
      </c>
      <c r="D5043">
        <f t="shared" si="1029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30"/>
        <v>0</v>
      </c>
      <c r="G5043">
        <f t="shared" si="1031"/>
        <v>0</v>
      </c>
      <c r="H5043">
        <f t="shared" si="1032"/>
        <v>0</v>
      </c>
      <c r="I5043">
        <f t="shared" si="1033"/>
        <v>0</v>
      </c>
      <c r="J5043">
        <f t="shared" si="1034"/>
        <v>0</v>
      </c>
      <c r="K5043" s="4" t="e">
        <f t="shared" si="1022"/>
        <v>#N/A</v>
      </c>
      <c r="L5043" t="e">
        <f t="shared" si="1023"/>
        <v>#N/A</v>
      </c>
      <c r="M5043" s="4" t="e">
        <f t="shared" si="1024"/>
        <v>#N/A</v>
      </c>
      <c r="N5043" s="4" t="e">
        <f t="shared" si="1025"/>
        <v>#N/A</v>
      </c>
    </row>
    <row r="5044" spans="1:14">
      <c r="A5044">
        <f t="shared" si="1026"/>
        <v>0</v>
      </c>
      <c r="B5044">
        <f t="shared" si="1027"/>
        <v>0</v>
      </c>
      <c r="C5044">
        <f t="shared" si="1028"/>
        <v>0</v>
      </c>
      <c r="D5044">
        <f t="shared" si="1029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30"/>
        <v>0</v>
      </c>
      <c r="G5044">
        <f t="shared" si="1031"/>
        <v>0</v>
      </c>
      <c r="H5044">
        <f t="shared" si="1032"/>
        <v>0</v>
      </c>
      <c r="I5044">
        <f t="shared" si="1033"/>
        <v>0</v>
      </c>
      <c r="J5044">
        <f t="shared" si="1034"/>
        <v>0</v>
      </c>
      <c r="K5044" s="4" t="e">
        <f t="shared" si="1022"/>
        <v>#N/A</v>
      </c>
      <c r="L5044" t="e">
        <f t="shared" si="1023"/>
        <v>#N/A</v>
      </c>
      <c r="M5044" s="4" t="e">
        <f t="shared" si="1024"/>
        <v>#N/A</v>
      </c>
      <c r="N5044" s="4" t="e">
        <f t="shared" si="1025"/>
        <v>#N/A</v>
      </c>
    </row>
    <row r="5045" spans="1:14">
      <c r="A5045">
        <f t="shared" si="1026"/>
        <v>0</v>
      </c>
      <c r="B5045">
        <f t="shared" si="1027"/>
        <v>0</v>
      </c>
      <c r="C5045">
        <f t="shared" si="1028"/>
        <v>0</v>
      </c>
      <c r="D5045">
        <f t="shared" si="1029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30"/>
        <v>0</v>
      </c>
      <c r="G5045">
        <f t="shared" si="1031"/>
        <v>0</v>
      </c>
      <c r="H5045">
        <f t="shared" si="1032"/>
        <v>0</v>
      </c>
      <c r="I5045">
        <f t="shared" si="1033"/>
        <v>0</v>
      </c>
      <c r="J5045">
        <f t="shared" si="1034"/>
        <v>0</v>
      </c>
      <c r="K5045" s="4" t="e">
        <f t="shared" si="1022"/>
        <v>#N/A</v>
      </c>
      <c r="L5045" t="e">
        <f t="shared" si="1023"/>
        <v>#N/A</v>
      </c>
      <c r="M5045" s="4" t="e">
        <f t="shared" si="1024"/>
        <v>#N/A</v>
      </c>
      <c r="N5045" s="4" t="e">
        <f t="shared" si="1025"/>
        <v>#N/A</v>
      </c>
    </row>
    <row r="5046" spans="1:14">
      <c r="A5046">
        <f t="shared" si="1026"/>
        <v>0</v>
      </c>
      <c r="B5046">
        <f t="shared" si="1027"/>
        <v>0</v>
      </c>
      <c r="C5046">
        <f t="shared" si="1028"/>
        <v>0</v>
      </c>
      <c r="D5046">
        <f t="shared" si="1029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30"/>
        <v>0</v>
      </c>
      <c r="G5046">
        <f t="shared" si="1031"/>
        <v>0</v>
      </c>
      <c r="H5046">
        <f t="shared" si="1032"/>
        <v>0</v>
      </c>
      <c r="I5046">
        <f t="shared" si="1033"/>
        <v>0</v>
      </c>
      <c r="J5046">
        <f t="shared" si="1034"/>
        <v>0</v>
      </c>
      <c r="K5046" s="4" t="e">
        <f t="shared" si="1022"/>
        <v>#N/A</v>
      </c>
      <c r="L5046" t="e">
        <f t="shared" si="1023"/>
        <v>#N/A</v>
      </c>
      <c r="M5046" s="4" t="e">
        <f t="shared" si="1024"/>
        <v>#N/A</v>
      </c>
      <c r="N5046" s="4" t="e">
        <f t="shared" si="1025"/>
        <v>#N/A</v>
      </c>
    </row>
    <row r="5047" spans="1:14">
      <c r="A5047">
        <f t="shared" si="1026"/>
        <v>0</v>
      </c>
      <c r="B5047">
        <f t="shared" si="1027"/>
        <v>0</v>
      </c>
      <c r="C5047">
        <f t="shared" si="1028"/>
        <v>0</v>
      </c>
      <c r="D5047">
        <f t="shared" si="1029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30"/>
        <v>0</v>
      </c>
      <c r="G5047">
        <f t="shared" si="1031"/>
        <v>0</v>
      </c>
      <c r="H5047">
        <f t="shared" si="1032"/>
        <v>0</v>
      </c>
      <c r="I5047">
        <f t="shared" si="1033"/>
        <v>0</v>
      </c>
      <c r="J5047">
        <f t="shared" si="1034"/>
        <v>0</v>
      </c>
      <c r="K5047" s="4" t="e">
        <f t="shared" si="1022"/>
        <v>#N/A</v>
      </c>
      <c r="L5047" t="e">
        <f t="shared" si="1023"/>
        <v>#N/A</v>
      </c>
      <c r="M5047" s="4" t="e">
        <f t="shared" si="1024"/>
        <v>#N/A</v>
      </c>
      <c r="N5047" s="4" t="e">
        <f t="shared" si="1025"/>
        <v>#N/A</v>
      </c>
    </row>
    <row r="5048" spans="1:14">
      <c r="A5048">
        <f t="shared" si="1026"/>
        <v>0</v>
      </c>
      <c r="B5048">
        <f t="shared" si="1027"/>
        <v>0</v>
      </c>
      <c r="C5048">
        <f t="shared" si="1028"/>
        <v>0</v>
      </c>
      <c r="D5048">
        <f t="shared" si="1029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30"/>
        <v>0</v>
      </c>
      <c r="G5048">
        <f t="shared" si="1031"/>
        <v>0</v>
      </c>
      <c r="H5048">
        <f t="shared" si="1032"/>
        <v>0</v>
      </c>
      <c r="I5048">
        <f t="shared" si="1033"/>
        <v>0</v>
      </c>
      <c r="J5048">
        <f t="shared" si="1034"/>
        <v>0</v>
      </c>
      <c r="K5048" s="4" t="e">
        <f t="shared" si="1022"/>
        <v>#N/A</v>
      </c>
      <c r="L5048" t="e">
        <f t="shared" si="1023"/>
        <v>#N/A</v>
      </c>
      <c r="M5048" s="4" t="e">
        <f t="shared" si="1024"/>
        <v>#N/A</v>
      </c>
      <c r="N5048" s="4" t="e">
        <f t="shared" si="1025"/>
        <v>#N/A</v>
      </c>
    </row>
    <row r="5049" spans="1:14">
      <c r="A5049">
        <f t="shared" si="1026"/>
        <v>0</v>
      </c>
      <c r="B5049">
        <f t="shared" si="1027"/>
        <v>0</v>
      </c>
      <c r="C5049">
        <f t="shared" si="1028"/>
        <v>0</v>
      </c>
      <c r="D5049">
        <f t="shared" si="1029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30"/>
        <v>0</v>
      </c>
      <c r="G5049">
        <f t="shared" si="1031"/>
        <v>0</v>
      </c>
      <c r="H5049">
        <f t="shared" si="1032"/>
        <v>0</v>
      </c>
      <c r="I5049">
        <f t="shared" si="1033"/>
        <v>0</v>
      </c>
      <c r="J5049">
        <f t="shared" si="1034"/>
        <v>0</v>
      </c>
      <c r="K5049" s="4" t="e">
        <f t="shared" si="1022"/>
        <v>#N/A</v>
      </c>
      <c r="L5049" t="e">
        <f t="shared" si="1023"/>
        <v>#N/A</v>
      </c>
      <c r="M5049" s="4" t="e">
        <f t="shared" si="1024"/>
        <v>#N/A</v>
      </c>
      <c r="N5049" s="4" t="e">
        <f t="shared" si="1025"/>
        <v>#N/A</v>
      </c>
    </row>
    <row r="5050" spans="1:14">
      <c r="A5050">
        <f t="shared" si="1026"/>
        <v>0</v>
      </c>
      <c r="B5050">
        <f t="shared" si="1027"/>
        <v>0</v>
      </c>
      <c r="C5050">
        <f t="shared" si="1028"/>
        <v>0</v>
      </c>
      <c r="D5050">
        <f t="shared" si="1029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30"/>
        <v>0</v>
      </c>
      <c r="G5050">
        <f t="shared" si="1031"/>
        <v>0</v>
      </c>
      <c r="H5050">
        <f t="shared" si="1032"/>
        <v>0</v>
      </c>
      <c r="I5050">
        <f t="shared" si="1033"/>
        <v>0</v>
      </c>
      <c r="J5050">
        <f t="shared" si="1034"/>
        <v>0</v>
      </c>
      <c r="K5050" s="4" t="e">
        <f t="shared" si="1022"/>
        <v>#N/A</v>
      </c>
      <c r="L5050" t="e">
        <f t="shared" si="1023"/>
        <v>#N/A</v>
      </c>
      <c r="M5050" s="4" t="e">
        <f t="shared" si="1024"/>
        <v>#N/A</v>
      </c>
      <c r="N5050" s="4" t="e">
        <f t="shared" si="1025"/>
        <v>#N/A</v>
      </c>
    </row>
    <row r="5051" spans="1:14">
      <c r="A5051">
        <f t="shared" si="1026"/>
        <v>0</v>
      </c>
      <c r="B5051">
        <f t="shared" si="1027"/>
        <v>0</v>
      </c>
      <c r="C5051">
        <f t="shared" si="1028"/>
        <v>0</v>
      </c>
      <c r="D5051">
        <f t="shared" si="1029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30"/>
        <v>0</v>
      </c>
      <c r="G5051">
        <f t="shared" si="1031"/>
        <v>0</v>
      </c>
      <c r="H5051">
        <f t="shared" si="1032"/>
        <v>0</v>
      </c>
      <c r="I5051">
        <f t="shared" si="1033"/>
        <v>0</v>
      </c>
      <c r="J5051">
        <f t="shared" si="1034"/>
        <v>0</v>
      </c>
      <c r="K5051" s="4" t="e">
        <f t="shared" si="1022"/>
        <v>#N/A</v>
      </c>
      <c r="L5051" t="e">
        <f t="shared" si="1023"/>
        <v>#N/A</v>
      </c>
      <c r="M5051" s="4" t="e">
        <f t="shared" si="1024"/>
        <v>#N/A</v>
      </c>
      <c r="N5051" s="4" t="e">
        <f t="shared" si="1025"/>
        <v>#N/A</v>
      </c>
    </row>
    <row r="5052" spans="1:14">
      <c r="A5052">
        <f t="shared" si="1026"/>
        <v>0</v>
      </c>
      <c r="B5052">
        <f t="shared" si="1027"/>
        <v>0</v>
      </c>
      <c r="C5052">
        <f t="shared" si="1028"/>
        <v>0</v>
      </c>
      <c r="D5052">
        <f t="shared" si="1029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30"/>
        <v>0</v>
      </c>
      <c r="G5052">
        <f t="shared" si="1031"/>
        <v>0</v>
      </c>
      <c r="H5052">
        <f t="shared" si="1032"/>
        <v>0</v>
      </c>
      <c r="I5052">
        <f t="shared" si="1033"/>
        <v>0</v>
      </c>
      <c r="J5052">
        <f t="shared" si="1034"/>
        <v>0</v>
      </c>
      <c r="K5052" s="4" t="e">
        <f t="shared" si="1022"/>
        <v>#N/A</v>
      </c>
      <c r="L5052" t="e">
        <f t="shared" si="1023"/>
        <v>#N/A</v>
      </c>
      <c r="M5052" s="4" t="e">
        <f t="shared" si="1024"/>
        <v>#N/A</v>
      </c>
      <c r="N5052" s="4" t="e">
        <f t="shared" si="1025"/>
        <v>#N/A</v>
      </c>
    </row>
    <row r="5053" spans="1:14">
      <c r="A5053">
        <f t="shared" si="1026"/>
        <v>0</v>
      </c>
      <c r="B5053">
        <f t="shared" si="1027"/>
        <v>0</v>
      </c>
      <c r="C5053">
        <f t="shared" si="1028"/>
        <v>0</v>
      </c>
      <c r="D5053">
        <f t="shared" si="1029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30"/>
        <v>0</v>
      </c>
      <c r="G5053">
        <f t="shared" si="1031"/>
        <v>0</v>
      </c>
      <c r="H5053">
        <f t="shared" si="1032"/>
        <v>0</v>
      </c>
      <c r="I5053">
        <f t="shared" si="1033"/>
        <v>0</v>
      </c>
      <c r="J5053">
        <f t="shared" si="1034"/>
        <v>0</v>
      </c>
      <c r="K5053" s="4" t="e">
        <f t="shared" ref="K5053:K5116" si="1035">IF(LEFT(B5053,3)="DBM",0,VLOOKUP(E5053,tabela,2,FALSE))</f>
        <v>#N/A</v>
      </c>
      <c r="L5053" t="e">
        <f t="shared" ref="L5053:L5116" si="1036">VLOOKUP(E5053,tabela,3,FALSE)</f>
        <v>#N/A</v>
      </c>
      <c r="M5053" s="4" t="e">
        <f t="shared" ref="M5053:M5116" si="1037">IF(E5053="Dynamic Click",J5053*K5053,K5053*$I5053/1000)</f>
        <v>#N/A</v>
      </c>
      <c r="N5053" s="4" t="e">
        <f t="shared" ref="N5053:N5116" si="1038">IF(E5053="Dynamic Click",J5053*L5053,L5053*$I5053/1000)</f>
        <v>#N/A</v>
      </c>
    </row>
    <row r="5054" spans="1:14">
      <c r="A5054">
        <f t="shared" si="1026"/>
        <v>0</v>
      </c>
      <c r="B5054">
        <f t="shared" si="1027"/>
        <v>0</v>
      </c>
      <c r="C5054">
        <f t="shared" si="1028"/>
        <v>0</v>
      </c>
      <c r="D5054">
        <f t="shared" si="1029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30"/>
        <v>0</v>
      </c>
      <c r="G5054">
        <f t="shared" si="1031"/>
        <v>0</v>
      </c>
      <c r="H5054">
        <f t="shared" si="1032"/>
        <v>0</v>
      </c>
      <c r="I5054">
        <f t="shared" si="1033"/>
        <v>0</v>
      </c>
      <c r="J5054">
        <f t="shared" si="1034"/>
        <v>0</v>
      </c>
      <c r="K5054" s="4" t="e">
        <f t="shared" si="1035"/>
        <v>#N/A</v>
      </c>
      <c r="L5054" t="e">
        <f t="shared" si="1036"/>
        <v>#N/A</v>
      </c>
      <c r="M5054" s="4" t="e">
        <f t="shared" si="1037"/>
        <v>#N/A</v>
      </c>
      <c r="N5054" s="4" t="e">
        <f t="shared" si="1038"/>
        <v>#N/A</v>
      </c>
    </row>
    <row r="5055" spans="1:14">
      <c r="A5055">
        <f t="shared" si="1026"/>
        <v>0</v>
      </c>
      <c r="B5055">
        <f t="shared" si="1027"/>
        <v>0</v>
      </c>
      <c r="C5055">
        <f t="shared" si="1028"/>
        <v>0</v>
      </c>
      <c r="D5055">
        <f t="shared" si="1029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30"/>
        <v>0</v>
      </c>
      <c r="G5055">
        <f t="shared" si="1031"/>
        <v>0</v>
      </c>
      <c r="H5055">
        <f t="shared" si="1032"/>
        <v>0</v>
      </c>
      <c r="I5055">
        <f t="shared" si="1033"/>
        <v>0</v>
      </c>
      <c r="J5055">
        <f t="shared" si="1034"/>
        <v>0</v>
      </c>
      <c r="K5055" s="4" t="e">
        <f t="shared" si="1035"/>
        <v>#N/A</v>
      </c>
      <c r="L5055" t="e">
        <f t="shared" si="1036"/>
        <v>#N/A</v>
      </c>
      <c r="M5055" s="4" t="e">
        <f t="shared" si="1037"/>
        <v>#N/A</v>
      </c>
      <c r="N5055" s="4" t="e">
        <f t="shared" si="1038"/>
        <v>#N/A</v>
      </c>
    </row>
    <row r="5056" spans="1:14">
      <c r="A5056">
        <f t="shared" si="1026"/>
        <v>0</v>
      </c>
      <c r="B5056">
        <f t="shared" si="1027"/>
        <v>0</v>
      </c>
      <c r="C5056">
        <f t="shared" si="1028"/>
        <v>0</v>
      </c>
      <c r="D5056">
        <f t="shared" si="1029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30"/>
        <v>0</v>
      </c>
      <c r="G5056">
        <f t="shared" si="1031"/>
        <v>0</v>
      </c>
      <c r="H5056">
        <f t="shared" si="1032"/>
        <v>0</v>
      </c>
      <c r="I5056">
        <f t="shared" si="1033"/>
        <v>0</v>
      </c>
      <c r="J5056">
        <f t="shared" si="1034"/>
        <v>0</v>
      </c>
      <c r="K5056" s="4" t="e">
        <f t="shared" si="1035"/>
        <v>#N/A</v>
      </c>
      <c r="L5056" t="e">
        <f t="shared" si="1036"/>
        <v>#N/A</v>
      </c>
      <c r="M5056" s="4" t="e">
        <f t="shared" si="1037"/>
        <v>#N/A</v>
      </c>
      <c r="N5056" s="4" t="e">
        <f t="shared" si="1038"/>
        <v>#N/A</v>
      </c>
    </row>
    <row r="5057" spans="1:14">
      <c r="A5057">
        <f t="shared" si="1026"/>
        <v>0</v>
      </c>
      <c r="B5057">
        <f t="shared" si="1027"/>
        <v>0</v>
      </c>
      <c r="C5057">
        <f t="shared" si="1028"/>
        <v>0</v>
      </c>
      <c r="D5057">
        <f t="shared" si="1029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30"/>
        <v>0</v>
      </c>
      <c r="G5057">
        <f t="shared" si="1031"/>
        <v>0</v>
      </c>
      <c r="H5057">
        <f t="shared" si="1032"/>
        <v>0</v>
      </c>
      <c r="I5057">
        <f t="shared" si="1033"/>
        <v>0</v>
      </c>
      <c r="J5057">
        <f t="shared" si="1034"/>
        <v>0</v>
      </c>
      <c r="K5057" s="4" t="e">
        <f t="shared" si="1035"/>
        <v>#N/A</v>
      </c>
      <c r="L5057" t="e">
        <f t="shared" si="1036"/>
        <v>#N/A</v>
      </c>
      <c r="M5057" s="4" t="e">
        <f t="shared" si="1037"/>
        <v>#N/A</v>
      </c>
      <c r="N5057" s="4" t="e">
        <f t="shared" si="1038"/>
        <v>#N/A</v>
      </c>
    </row>
    <row r="5058" spans="1:14">
      <c r="A5058">
        <f t="shared" ref="A5058:A5121" si="1039">bd_campaign</f>
        <v>0</v>
      </c>
      <c r="B5058">
        <f t="shared" ref="B5058:B5121" si="1040">bd_site</f>
        <v>0</v>
      </c>
      <c r="C5058">
        <f t="shared" ref="C5058:C5121" si="1041">bd_placement</f>
        <v>0</v>
      </c>
      <c r="D5058">
        <f t="shared" ref="D5058:D5121" si="1042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3">bd_ad</f>
        <v>0</v>
      </c>
      <c r="G5058">
        <f t="shared" ref="G5058:G5121" si="1044">bd_adid</f>
        <v>0</v>
      </c>
      <c r="H5058">
        <f t="shared" ref="H5058:H5121" si="1045">bd_creativetype</f>
        <v>0</v>
      </c>
      <c r="I5058">
        <f t="shared" ref="I5058:I5121" si="1046">bd_impression</f>
        <v>0</v>
      </c>
      <c r="J5058">
        <f t="shared" ref="J5058:J5121" si="1047">bd_clicks</f>
        <v>0</v>
      </c>
      <c r="K5058" s="4" t="e">
        <f t="shared" si="1035"/>
        <v>#N/A</v>
      </c>
      <c r="L5058" t="e">
        <f t="shared" si="1036"/>
        <v>#N/A</v>
      </c>
      <c r="M5058" s="4" t="e">
        <f t="shared" si="1037"/>
        <v>#N/A</v>
      </c>
      <c r="N5058" s="4" t="e">
        <f t="shared" si="1038"/>
        <v>#N/A</v>
      </c>
    </row>
    <row r="5059" spans="1:14">
      <c r="A5059">
        <f t="shared" si="1039"/>
        <v>0</v>
      </c>
      <c r="B5059">
        <f t="shared" si="1040"/>
        <v>0</v>
      </c>
      <c r="C5059">
        <f t="shared" si="1041"/>
        <v>0</v>
      </c>
      <c r="D5059">
        <f t="shared" si="1042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3"/>
        <v>0</v>
      </c>
      <c r="G5059">
        <f t="shared" si="1044"/>
        <v>0</v>
      </c>
      <c r="H5059">
        <f t="shared" si="1045"/>
        <v>0</v>
      </c>
      <c r="I5059">
        <f t="shared" si="1046"/>
        <v>0</v>
      </c>
      <c r="J5059">
        <f t="shared" si="1047"/>
        <v>0</v>
      </c>
      <c r="K5059" s="4" t="e">
        <f t="shared" si="1035"/>
        <v>#N/A</v>
      </c>
      <c r="L5059" t="e">
        <f t="shared" si="1036"/>
        <v>#N/A</v>
      </c>
      <c r="M5059" s="4" t="e">
        <f t="shared" si="1037"/>
        <v>#N/A</v>
      </c>
      <c r="N5059" s="4" t="e">
        <f t="shared" si="1038"/>
        <v>#N/A</v>
      </c>
    </row>
    <row r="5060" spans="1:14">
      <c r="A5060">
        <f t="shared" si="1039"/>
        <v>0</v>
      </c>
      <c r="B5060">
        <f t="shared" si="1040"/>
        <v>0</v>
      </c>
      <c r="C5060">
        <f t="shared" si="1041"/>
        <v>0</v>
      </c>
      <c r="D5060">
        <f t="shared" si="1042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3"/>
        <v>0</v>
      </c>
      <c r="G5060">
        <f t="shared" si="1044"/>
        <v>0</v>
      </c>
      <c r="H5060">
        <f t="shared" si="1045"/>
        <v>0</v>
      </c>
      <c r="I5060">
        <f t="shared" si="1046"/>
        <v>0</v>
      </c>
      <c r="J5060">
        <f t="shared" si="1047"/>
        <v>0</v>
      </c>
      <c r="K5060" s="4" t="e">
        <f t="shared" si="1035"/>
        <v>#N/A</v>
      </c>
      <c r="L5060" t="e">
        <f t="shared" si="1036"/>
        <v>#N/A</v>
      </c>
      <c r="M5060" s="4" t="e">
        <f t="shared" si="1037"/>
        <v>#N/A</v>
      </c>
      <c r="N5060" s="4" t="e">
        <f t="shared" si="1038"/>
        <v>#N/A</v>
      </c>
    </row>
    <row r="5061" spans="1:14">
      <c r="A5061">
        <f t="shared" si="1039"/>
        <v>0</v>
      </c>
      <c r="B5061">
        <f t="shared" si="1040"/>
        <v>0</v>
      </c>
      <c r="C5061">
        <f t="shared" si="1041"/>
        <v>0</v>
      </c>
      <c r="D5061">
        <f t="shared" si="1042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3"/>
        <v>0</v>
      </c>
      <c r="G5061">
        <f t="shared" si="1044"/>
        <v>0</v>
      </c>
      <c r="H5061">
        <f t="shared" si="1045"/>
        <v>0</v>
      </c>
      <c r="I5061">
        <f t="shared" si="1046"/>
        <v>0</v>
      </c>
      <c r="J5061">
        <f t="shared" si="1047"/>
        <v>0</v>
      </c>
      <c r="K5061" s="4" t="e">
        <f t="shared" si="1035"/>
        <v>#N/A</v>
      </c>
      <c r="L5061" t="e">
        <f t="shared" si="1036"/>
        <v>#N/A</v>
      </c>
      <c r="M5061" s="4" t="e">
        <f t="shared" si="1037"/>
        <v>#N/A</v>
      </c>
      <c r="N5061" s="4" t="e">
        <f t="shared" si="1038"/>
        <v>#N/A</v>
      </c>
    </row>
    <row r="5062" spans="1:14">
      <c r="A5062">
        <f t="shared" si="1039"/>
        <v>0</v>
      </c>
      <c r="B5062">
        <f t="shared" si="1040"/>
        <v>0</v>
      </c>
      <c r="C5062">
        <f t="shared" si="1041"/>
        <v>0</v>
      </c>
      <c r="D5062">
        <f t="shared" si="1042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3"/>
        <v>0</v>
      </c>
      <c r="G5062">
        <f t="shared" si="1044"/>
        <v>0</v>
      </c>
      <c r="H5062">
        <f t="shared" si="1045"/>
        <v>0</v>
      </c>
      <c r="I5062">
        <f t="shared" si="1046"/>
        <v>0</v>
      </c>
      <c r="J5062">
        <f t="shared" si="1047"/>
        <v>0</v>
      </c>
      <c r="K5062" s="4" t="e">
        <f t="shared" si="1035"/>
        <v>#N/A</v>
      </c>
      <c r="L5062" t="e">
        <f t="shared" si="1036"/>
        <v>#N/A</v>
      </c>
      <c r="M5062" s="4" t="e">
        <f t="shared" si="1037"/>
        <v>#N/A</v>
      </c>
      <c r="N5062" s="4" t="e">
        <f t="shared" si="1038"/>
        <v>#N/A</v>
      </c>
    </row>
    <row r="5063" spans="1:14">
      <c r="A5063">
        <f t="shared" si="1039"/>
        <v>0</v>
      </c>
      <c r="B5063">
        <f t="shared" si="1040"/>
        <v>0</v>
      </c>
      <c r="C5063">
        <f t="shared" si="1041"/>
        <v>0</v>
      </c>
      <c r="D5063">
        <f t="shared" si="1042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3"/>
        <v>0</v>
      </c>
      <c r="G5063">
        <f t="shared" si="1044"/>
        <v>0</v>
      </c>
      <c r="H5063">
        <f t="shared" si="1045"/>
        <v>0</v>
      </c>
      <c r="I5063">
        <f t="shared" si="1046"/>
        <v>0</v>
      </c>
      <c r="J5063">
        <f t="shared" si="1047"/>
        <v>0</v>
      </c>
      <c r="K5063" s="4" t="e">
        <f t="shared" si="1035"/>
        <v>#N/A</v>
      </c>
      <c r="L5063" t="e">
        <f t="shared" si="1036"/>
        <v>#N/A</v>
      </c>
      <c r="M5063" s="4" t="e">
        <f t="shared" si="1037"/>
        <v>#N/A</v>
      </c>
      <c r="N5063" s="4" t="e">
        <f t="shared" si="1038"/>
        <v>#N/A</v>
      </c>
    </row>
    <row r="5064" spans="1:14">
      <c r="A5064">
        <f t="shared" si="1039"/>
        <v>0</v>
      </c>
      <c r="B5064">
        <f t="shared" si="1040"/>
        <v>0</v>
      </c>
      <c r="C5064">
        <f t="shared" si="1041"/>
        <v>0</v>
      </c>
      <c r="D5064">
        <f t="shared" si="1042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3"/>
        <v>0</v>
      </c>
      <c r="G5064">
        <f t="shared" si="1044"/>
        <v>0</v>
      </c>
      <c r="H5064">
        <f t="shared" si="1045"/>
        <v>0</v>
      </c>
      <c r="I5064">
        <f t="shared" si="1046"/>
        <v>0</v>
      </c>
      <c r="J5064">
        <f t="shared" si="1047"/>
        <v>0</v>
      </c>
      <c r="K5064" s="4" t="e">
        <f t="shared" si="1035"/>
        <v>#N/A</v>
      </c>
      <c r="L5064" t="e">
        <f t="shared" si="1036"/>
        <v>#N/A</v>
      </c>
      <c r="M5064" s="4" t="e">
        <f t="shared" si="1037"/>
        <v>#N/A</v>
      </c>
      <c r="N5064" s="4" t="e">
        <f t="shared" si="1038"/>
        <v>#N/A</v>
      </c>
    </row>
    <row r="5065" spans="1:14">
      <c r="A5065">
        <f t="shared" si="1039"/>
        <v>0</v>
      </c>
      <c r="B5065">
        <f t="shared" si="1040"/>
        <v>0</v>
      </c>
      <c r="C5065">
        <f t="shared" si="1041"/>
        <v>0</v>
      </c>
      <c r="D5065">
        <f t="shared" si="1042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3"/>
        <v>0</v>
      </c>
      <c r="G5065">
        <f t="shared" si="1044"/>
        <v>0</v>
      </c>
      <c r="H5065">
        <f t="shared" si="1045"/>
        <v>0</v>
      </c>
      <c r="I5065">
        <f t="shared" si="1046"/>
        <v>0</v>
      </c>
      <c r="J5065">
        <f t="shared" si="1047"/>
        <v>0</v>
      </c>
      <c r="K5065" s="4" t="e">
        <f t="shared" si="1035"/>
        <v>#N/A</v>
      </c>
      <c r="L5065" t="e">
        <f t="shared" si="1036"/>
        <v>#N/A</v>
      </c>
      <c r="M5065" s="4" t="e">
        <f t="shared" si="1037"/>
        <v>#N/A</v>
      </c>
      <c r="N5065" s="4" t="e">
        <f t="shared" si="1038"/>
        <v>#N/A</v>
      </c>
    </row>
    <row r="5066" spans="1:14">
      <c r="A5066">
        <f t="shared" si="1039"/>
        <v>0</v>
      </c>
      <c r="B5066">
        <f t="shared" si="1040"/>
        <v>0</v>
      </c>
      <c r="C5066">
        <f t="shared" si="1041"/>
        <v>0</v>
      </c>
      <c r="D5066">
        <f t="shared" si="1042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3"/>
        <v>0</v>
      </c>
      <c r="G5066">
        <f t="shared" si="1044"/>
        <v>0</v>
      </c>
      <c r="H5066">
        <f t="shared" si="1045"/>
        <v>0</v>
      </c>
      <c r="I5066">
        <f t="shared" si="1046"/>
        <v>0</v>
      </c>
      <c r="J5066">
        <f t="shared" si="1047"/>
        <v>0</v>
      </c>
      <c r="K5066" s="4" t="e">
        <f t="shared" si="1035"/>
        <v>#N/A</v>
      </c>
      <c r="L5066" t="e">
        <f t="shared" si="1036"/>
        <v>#N/A</v>
      </c>
      <c r="M5066" s="4" t="e">
        <f t="shared" si="1037"/>
        <v>#N/A</v>
      </c>
      <c r="N5066" s="4" t="e">
        <f t="shared" si="1038"/>
        <v>#N/A</v>
      </c>
    </row>
    <row r="5067" spans="1:14">
      <c r="A5067">
        <f t="shared" si="1039"/>
        <v>0</v>
      </c>
      <c r="B5067">
        <f t="shared" si="1040"/>
        <v>0</v>
      </c>
      <c r="C5067">
        <f t="shared" si="1041"/>
        <v>0</v>
      </c>
      <c r="D5067">
        <f t="shared" si="1042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3"/>
        <v>0</v>
      </c>
      <c r="G5067">
        <f t="shared" si="1044"/>
        <v>0</v>
      </c>
      <c r="H5067">
        <f t="shared" si="1045"/>
        <v>0</v>
      </c>
      <c r="I5067">
        <f t="shared" si="1046"/>
        <v>0</v>
      </c>
      <c r="J5067">
        <f t="shared" si="1047"/>
        <v>0</v>
      </c>
      <c r="K5067" s="4" t="e">
        <f t="shared" si="1035"/>
        <v>#N/A</v>
      </c>
      <c r="L5067" t="e">
        <f t="shared" si="1036"/>
        <v>#N/A</v>
      </c>
      <c r="M5067" s="4" t="e">
        <f t="shared" si="1037"/>
        <v>#N/A</v>
      </c>
      <c r="N5067" s="4" t="e">
        <f t="shared" si="1038"/>
        <v>#N/A</v>
      </c>
    </row>
    <row r="5068" spans="1:14">
      <c r="A5068">
        <f t="shared" si="1039"/>
        <v>0</v>
      </c>
      <c r="B5068">
        <f t="shared" si="1040"/>
        <v>0</v>
      </c>
      <c r="C5068">
        <f t="shared" si="1041"/>
        <v>0</v>
      </c>
      <c r="D5068">
        <f t="shared" si="1042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3"/>
        <v>0</v>
      </c>
      <c r="G5068">
        <f t="shared" si="1044"/>
        <v>0</v>
      </c>
      <c r="H5068">
        <f t="shared" si="1045"/>
        <v>0</v>
      </c>
      <c r="I5068">
        <f t="shared" si="1046"/>
        <v>0</v>
      </c>
      <c r="J5068">
        <f t="shared" si="1047"/>
        <v>0</v>
      </c>
      <c r="K5068" s="4" t="e">
        <f t="shared" si="1035"/>
        <v>#N/A</v>
      </c>
      <c r="L5068" t="e">
        <f t="shared" si="1036"/>
        <v>#N/A</v>
      </c>
      <c r="M5068" s="4" t="e">
        <f t="shared" si="1037"/>
        <v>#N/A</v>
      </c>
      <c r="N5068" s="4" t="e">
        <f t="shared" si="1038"/>
        <v>#N/A</v>
      </c>
    </row>
    <row r="5069" spans="1:14">
      <c r="A5069">
        <f t="shared" si="1039"/>
        <v>0</v>
      </c>
      <c r="B5069">
        <f t="shared" si="1040"/>
        <v>0</v>
      </c>
      <c r="C5069">
        <f t="shared" si="1041"/>
        <v>0</v>
      </c>
      <c r="D5069">
        <f t="shared" si="1042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3"/>
        <v>0</v>
      </c>
      <c r="G5069">
        <f t="shared" si="1044"/>
        <v>0</v>
      </c>
      <c r="H5069">
        <f t="shared" si="1045"/>
        <v>0</v>
      </c>
      <c r="I5069">
        <f t="shared" si="1046"/>
        <v>0</v>
      </c>
      <c r="J5069">
        <f t="shared" si="1047"/>
        <v>0</v>
      </c>
      <c r="K5069" s="4" t="e">
        <f t="shared" si="1035"/>
        <v>#N/A</v>
      </c>
      <c r="L5069" t="e">
        <f t="shared" si="1036"/>
        <v>#N/A</v>
      </c>
      <c r="M5069" s="4" t="e">
        <f t="shared" si="1037"/>
        <v>#N/A</v>
      </c>
      <c r="N5069" s="4" t="e">
        <f t="shared" si="1038"/>
        <v>#N/A</v>
      </c>
    </row>
    <row r="5070" spans="1:14">
      <c r="A5070">
        <f t="shared" si="1039"/>
        <v>0</v>
      </c>
      <c r="B5070">
        <f t="shared" si="1040"/>
        <v>0</v>
      </c>
      <c r="C5070">
        <f t="shared" si="1041"/>
        <v>0</v>
      </c>
      <c r="D5070">
        <f t="shared" si="1042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3"/>
        <v>0</v>
      </c>
      <c r="G5070">
        <f t="shared" si="1044"/>
        <v>0</v>
      </c>
      <c r="H5070">
        <f t="shared" si="1045"/>
        <v>0</v>
      </c>
      <c r="I5070">
        <f t="shared" si="1046"/>
        <v>0</v>
      </c>
      <c r="J5070">
        <f t="shared" si="1047"/>
        <v>0</v>
      </c>
      <c r="K5070" s="4" t="e">
        <f t="shared" si="1035"/>
        <v>#N/A</v>
      </c>
      <c r="L5070" t="e">
        <f t="shared" si="1036"/>
        <v>#N/A</v>
      </c>
      <c r="M5070" s="4" t="e">
        <f t="shared" si="1037"/>
        <v>#N/A</v>
      </c>
      <c r="N5070" s="4" t="e">
        <f t="shared" si="1038"/>
        <v>#N/A</v>
      </c>
    </row>
    <row r="5071" spans="1:14">
      <c r="A5071">
        <f t="shared" si="1039"/>
        <v>0</v>
      </c>
      <c r="B5071">
        <f t="shared" si="1040"/>
        <v>0</v>
      </c>
      <c r="C5071">
        <f t="shared" si="1041"/>
        <v>0</v>
      </c>
      <c r="D5071">
        <f t="shared" si="1042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3"/>
        <v>0</v>
      </c>
      <c r="G5071">
        <f t="shared" si="1044"/>
        <v>0</v>
      </c>
      <c r="H5071">
        <f t="shared" si="1045"/>
        <v>0</v>
      </c>
      <c r="I5071">
        <f t="shared" si="1046"/>
        <v>0</v>
      </c>
      <c r="J5071">
        <f t="shared" si="1047"/>
        <v>0</v>
      </c>
      <c r="K5071" s="4" t="e">
        <f t="shared" si="1035"/>
        <v>#N/A</v>
      </c>
      <c r="L5071" t="e">
        <f t="shared" si="1036"/>
        <v>#N/A</v>
      </c>
      <c r="M5071" s="4" t="e">
        <f t="shared" si="1037"/>
        <v>#N/A</v>
      </c>
      <c r="N5071" s="4" t="e">
        <f t="shared" si="1038"/>
        <v>#N/A</v>
      </c>
    </row>
    <row r="5072" spans="1:14">
      <c r="A5072">
        <f t="shared" si="1039"/>
        <v>0</v>
      </c>
      <c r="B5072">
        <f t="shared" si="1040"/>
        <v>0</v>
      </c>
      <c r="C5072">
        <f t="shared" si="1041"/>
        <v>0</v>
      </c>
      <c r="D5072">
        <f t="shared" si="1042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3"/>
        <v>0</v>
      </c>
      <c r="G5072">
        <f t="shared" si="1044"/>
        <v>0</v>
      </c>
      <c r="H5072">
        <f t="shared" si="1045"/>
        <v>0</v>
      </c>
      <c r="I5072">
        <f t="shared" si="1046"/>
        <v>0</v>
      </c>
      <c r="J5072">
        <f t="shared" si="1047"/>
        <v>0</v>
      </c>
      <c r="K5072" s="4" t="e">
        <f t="shared" si="1035"/>
        <v>#N/A</v>
      </c>
      <c r="L5072" t="e">
        <f t="shared" si="1036"/>
        <v>#N/A</v>
      </c>
      <c r="M5072" s="4" t="e">
        <f t="shared" si="1037"/>
        <v>#N/A</v>
      </c>
      <c r="N5072" s="4" t="e">
        <f t="shared" si="1038"/>
        <v>#N/A</v>
      </c>
    </row>
    <row r="5073" spans="1:14">
      <c r="A5073">
        <f t="shared" si="1039"/>
        <v>0</v>
      </c>
      <c r="B5073">
        <f t="shared" si="1040"/>
        <v>0</v>
      </c>
      <c r="C5073">
        <f t="shared" si="1041"/>
        <v>0</v>
      </c>
      <c r="D5073">
        <f t="shared" si="1042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3"/>
        <v>0</v>
      </c>
      <c r="G5073">
        <f t="shared" si="1044"/>
        <v>0</v>
      </c>
      <c r="H5073">
        <f t="shared" si="1045"/>
        <v>0</v>
      </c>
      <c r="I5073">
        <f t="shared" si="1046"/>
        <v>0</v>
      </c>
      <c r="J5073">
        <f t="shared" si="1047"/>
        <v>0</v>
      </c>
      <c r="K5073" s="4" t="e">
        <f t="shared" si="1035"/>
        <v>#N/A</v>
      </c>
      <c r="L5073" t="e">
        <f t="shared" si="1036"/>
        <v>#N/A</v>
      </c>
      <c r="M5073" s="4" t="e">
        <f t="shared" si="1037"/>
        <v>#N/A</v>
      </c>
      <c r="N5073" s="4" t="e">
        <f t="shared" si="1038"/>
        <v>#N/A</v>
      </c>
    </row>
    <row r="5074" spans="1:14">
      <c r="A5074">
        <f t="shared" si="1039"/>
        <v>0</v>
      </c>
      <c r="B5074">
        <f t="shared" si="1040"/>
        <v>0</v>
      </c>
      <c r="C5074">
        <f t="shared" si="1041"/>
        <v>0</v>
      </c>
      <c r="D5074">
        <f t="shared" si="1042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3"/>
        <v>0</v>
      </c>
      <c r="G5074">
        <f t="shared" si="1044"/>
        <v>0</v>
      </c>
      <c r="H5074">
        <f t="shared" si="1045"/>
        <v>0</v>
      </c>
      <c r="I5074">
        <f t="shared" si="1046"/>
        <v>0</v>
      </c>
      <c r="J5074">
        <f t="shared" si="1047"/>
        <v>0</v>
      </c>
      <c r="K5074" s="4" t="e">
        <f t="shared" si="1035"/>
        <v>#N/A</v>
      </c>
      <c r="L5074" t="e">
        <f t="shared" si="1036"/>
        <v>#N/A</v>
      </c>
      <c r="M5074" s="4" t="e">
        <f t="shared" si="1037"/>
        <v>#N/A</v>
      </c>
      <c r="N5074" s="4" t="e">
        <f t="shared" si="1038"/>
        <v>#N/A</v>
      </c>
    </row>
    <row r="5075" spans="1:14">
      <c r="A5075">
        <f t="shared" si="1039"/>
        <v>0</v>
      </c>
      <c r="B5075">
        <f t="shared" si="1040"/>
        <v>0</v>
      </c>
      <c r="C5075">
        <f t="shared" si="1041"/>
        <v>0</v>
      </c>
      <c r="D5075">
        <f t="shared" si="1042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3"/>
        <v>0</v>
      </c>
      <c r="G5075">
        <f t="shared" si="1044"/>
        <v>0</v>
      </c>
      <c r="H5075">
        <f t="shared" si="1045"/>
        <v>0</v>
      </c>
      <c r="I5075">
        <f t="shared" si="1046"/>
        <v>0</v>
      </c>
      <c r="J5075">
        <f t="shared" si="1047"/>
        <v>0</v>
      </c>
      <c r="K5075" s="4" t="e">
        <f t="shared" si="1035"/>
        <v>#N/A</v>
      </c>
      <c r="L5075" t="e">
        <f t="shared" si="1036"/>
        <v>#N/A</v>
      </c>
      <c r="M5075" s="4" t="e">
        <f t="shared" si="1037"/>
        <v>#N/A</v>
      </c>
      <c r="N5075" s="4" t="e">
        <f t="shared" si="1038"/>
        <v>#N/A</v>
      </c>
    </row>
    <row r="5076" spans="1:14">
      <c r="A5076">
        <f t="shared" si="1039"/>
        <v>0</v>
      </c>
      <c r="B5076">
        <f t="shared" si="1040"/>
        <v>0</v>
      </c>
      <c r="C5076">
        <f t="shared" si="1041"/>
        <v>0</v>
      </c>
      <c r="D5076">
        <f t="shared" si="1042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3"/>
        <v>0</v>
      </c>
      <c r="G5076">
        <f t="shared" si="1044"/>
        <v>0</v>
      </c>
      <c r="H5076">
        <f t="shared" si="1045"/>
        <v>0</v>
      </c>
      <c r="I5076">
        <f t="shared" si="1046"/>
        <v>0</v>
      </c>
      <c r="J5076">
        <f t="shared" si="1047"/>
        <v>0</v>
      </c>
      <c r="K5076" s="4" t="e">
        <f t="shared" si="1035"/>
        <v>#N/A</v>
      </c>
      <c r="L5076" t="e">
        <f t="shared" si="1036"/>
        <v>#N/A</v>
      </c>
      <c r="M5076" s="4" t="e">
        <f t="shared" si="1037"/>
        <v>#N/A</v>
      </c>
      <c r="N5076" s="4" t="e">
        <f t="shared" si="1038"/>
        <v>#N/A</v>
      </c>
    </row>
    <row r="5077" spans="1:14">
      <c r="A5077">
        <f t="shared" si="1039"/>
        <v>0</v>
      </c>
      <c r="B5077">
        <f t="shared" si="1040"/>
        <v>0</v>
      </c>
      <c r="C5077">
        <f t="shared" si="1041"/>
        <v>0</v>
      </c>
      <c r="D5077">
        <f t="shared" si="1042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3"/>
        <v>0</v>
      </c>
      <c r="G5077">
        <f t="shared" si="1044"/>
        <v>0</v>
      </c>
      <c r="H5077">
        <f t="shared" si="1045"/>
        <v>0</v>
      </c>
      <c r="I5077">
        <f t="shared" si="1046"/>
        <v>0</v>
      </c>
      <c r="J5077">
        <f t="shared" si="1047"/>
        <v>0</v>
      </c>
      <c r="K5077" s="4" t="e">
        <f t="shared" si="1035"/>
        <v>#N/A</v>
      </c>
      <c r="L5077" t="e">
        <f t="shared" si="1036"/>
        <v>#N/A</v>
      </c>
      <c r="M5077" s="4" t="e">
        <f t="shared" si="1037"/>
        <v>#N/A</v>
      </c>
      <c r="N5077" s="4" t="e">
        <f t="shared" si="1038"/>
        <v>#N/A</v>
      </c>
    </row>
    <row r="5078" spans="1:14">
      <c r="A5078">
        <f t="shared" si="1039"/>
        <v>0</v>
      </c>
      <c r="B5078">
        <f t="shared" si="1040"/>
        <v>0</v>
      </c>
      <c r="C5078">
        <f t="shared" si="1041"/>
        <v>0</v>
      </c>
      <c r="D5078">
        <f t="shared" si="1042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3"/>
        <v>0</v>
      </c>
      <c r="G5078">
        <f t="shared" si="1044"/>
        <v>0</v>
      </c>
      <c r="H5078">
        <f t="shared" si="1045"/>
        <v>0</v>
      </c>
      <c r="I5078">
        <f t="shared" si="1046"/>
        <v>0</v>
      </c>
      <c r="J5078">
        <f t="shared" si="1047"/>
        <v>0</v>
      </c>
      <c r="K5078" s="4" t="e">
        <f t="shared" si="1035"/>
        <v>#N/A</v>
      </c>
      <c r="L5078" t="e">
        <f t="shared" si="1036"/>
        <v>#N/A</v>
      </c>
      <c r="M5078" s="4" t="e">
        <f t="shared" si="1037"/>
        <v>#N/A</v>
      </c>
      <c r="N5078" s="4" t="e">
        <f t="shared" si="1038"/>
        <v>#N/A</v>
      </c>
    </row>
    <row r="5079" spans="1:14">
      <c r="A5079">
        <f t="shared" si="1039"/>
        <v>0</v>
      </c>
      <c r="B5079">
        <f t="shared" si="1040"/>
        <v>0</v>
      </c>
      <c r="C5079">
        <f t="shared" si="1041"/>
        <v>0</v>
      </c>
      <c r="D5079">
        <f t="shared" si="1042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3"/>
        <v>0</v>
      </c>
      <c r="G5079">
        <f t="shared" si="1044"/>
        <v>0</v>
      </c>
      <c r="H5079">
        <f t="shared" si="1045"/>
        <v>0</v>
      </c>
      <c r="I5079">
        <f t="shared" si="1046"/>
        <v>0</v>
      </c>
      <c r="J5079">
        <f t="shared" si="1047"/>
        <v>0</v>
      </c>
      <c r="K5079" s="4" t="e">
        <f t="shared" si="1035"/>
        <v>#N/A</v>
      </c>
      <c r="L5079" t="e">
        <f t="shared" si="1036"/>
        <v>#N/A</v>
      </c>
      <c r="M5079" s="4" t="e">
        <f t="shared" si="1037"/>
        <v>#N/A</v>
      </c>
      <c r="N5079" s="4" t="e">
        <f t="shared" si="1038"/>
        <v>#N/A</v>
      </c>
    </row>
    <row r="5080" spans="1:14">
      <c r="A5080">
        <f t="shared" si="1039"/>
        <v>0</v>
      </c>
      <c r="B5080">
        <f t="shared" si="1040"/>
        <v>0</v>
      </c>
      <c r="C5080">
        <f t="shared" si="1041"/>
        <v>0</v>
      </c>
      <c r="D5080">
        <f t="shared" si="1042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3"/>
        <v>0</v>
      </c>
      <c r="G5080">
        <f t="shared" si="1044"/>
        <v>0</v>
      </c>
      <c r="H5080">
        <f t="shared" si="1045"/>
        <v>0</v>
      </c>
      <c r="I5080">
        <f t="shared" si="1046"/>
        <v>0</v>
      </c>
      <c r="J5080">
        <f t="shared" si="1047"/>
        <v>0</v>
      </c>
      <c r="K5080" s="4" t="e">
        <f t="shared" si="1035"/>
        <v>#N/A</v>
      </c>
      <c r="L5080" t="e">
        <f t="shared" si="1036"/>
        <v>#N/A</v>
      </c>
      <c r="M5080" s="4" t="e">
        <f t="shared" si="1037"/>
        <v>#N/A</v>
      </c>
      <c r="N5080" s="4" t="e">
        <f t="shared" si="1038"/>
        <v>#N/A</v>
      </c>
    </row>
    <row r="5081" spans="1:14">
      <c r="A5081">
        <f t="shared" si="1039"/>
        <v>0</v>
      </c>
      <c r="B5081">
        <f t="shared" si="1040"/>
        <v>0</v>
      </c>
      <c r="C5081">
        <f t="shared" si="1041"/>
        <v>0</v>
      </c>
      <c r="D5081">
        <f t="shared" si="1042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3"/>
        <v>0</v>
      </c>
      <c r="G5081">
        <f t="shared" si="1044"/>
        <v>0</v>
      </c>
      <c r="H5081">
        <f t="shared" si="1045"/>
        <v>0</v>
      </c>
      <c r="I5081">
        <f t="shared" si="1046"/>
        <v>0</v>
      </c>
      <c r="J5081">
        <f t="shared" si="1047"/>
        <v>0</v>
      </c>
      <c r="K5081" s="4" t="e">
        <f t="shared" si="1035"/>
        <v>#N/A</v>
      </c>
      <c r="L5081" t="e">
        <f t="shared" si="1036"/>
        <v>#N/A</v>
      </c>
      <c r="M5081" s="4" t="e">
        <f t="shared" si="1037"/>
        <v>#N/A</v>
      </c>
      <c r="N5081" s="4" t="e">
        <f t="shared" si="1038"/>
        <v>#N/A</v>
      </c>
    </row>
    <row r="5082" spans="1:14">
      <c r="A5082">
        <f t="shared" si="1039"/>
        <v>0</v>
      </c>
      <c r="B5082">
        <f t="shared" si="1040"/>
        <v>0</v>
      </c>
      <c r="C5082">
        <f t="shared" si="1041"/>
        <v>0</v>
      </c>
      <c r="D5082">
        <f t="shared" si="1042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3"/>
        <v>0</v>
      </c>
      <c r="G5082">
        <f t="shared" si="1044"/>
        <v>0</v>
      </c>
      <c r="H5082">
        <f t="shared" si="1045"/>
        <v>0</v>
      </c>
      <c r="I5082">
        <f t="shared" si="1046"/>
        <v>0</v>
      </c>
      <c r="J5082">
        <f t="shared" si="1047"/>
        <v>0</v>
      </c>
      <c r="K5082" s="4" t="e">
        <f t="shared" si="1035"/>
        <v>#N/A</v>
      </c>
      <c r="L5082" t="e">
        <f t="shared" si="1036"/>
        <v>#N/A</v>
      </c>
      <c r="M5082" s="4" t="e">
        <f t="shared" si="1037"/>
        <v>#N/A</v>
      </c>
      <c r="N5082" s="4" t="e">
        <f t="shared" si="1038"/>
        <v>#N/A</v>
      </c>
    </row>
    <row r="5083" spans="1:14">
      <c r="A5083">
        <f t="shared" si="1039"/>
        <v>0</v>
      </c>
      <c r="B5083">
        <f t="shared" si="1040"/>
        <v>0</v>
      </c>
      <c r="C5083">
        <f t="shared" si="1041"/>
        <v>0</v>
      </c>
      <c r="D5083">
        <f t="shared" si="1042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3"/>
        <v>0</v>
      </c>
      <c r="G5083">
        <f t="shared" si="1044"/>
        <v>0</v>
      </c>
      <c r="H5083">
        <f t="shared" si="1045"/>
        <v>0</v>
      </c>
      <c r="I5083">
        <f t="shared" si="1046"/>
        <v>0</v>
      </c>
      <c r="J5083">
        <f t="shared" si="1047"/>
        <v>0</v>
      </c>
      <c r="K5083" s="4" t="e">
        <f t="shared" si="1035"/>
        <v>#N/A</v>
      </c>
      <c r="L5083" t="e">
        <f t="shared" si="1036"/>
        <v>#N/A</v>
      </c>
      <c r="M5083" s="4" t="e">
        <f t="shared" si="1037"/>
        <v>#N/A</v>
      </c>
      <c r="N5083" s="4" t="e">
        <f t="shared" si="1038"/>
        <v>#N/A</v>
      </c>
    </row>
    <row r="5084" spans="1:14">
      <c r="A5084">
        <f t="shared" si="1039"/>
        <v>0</v>
      </c>
      <c r="B5084">
        <f t="shared" si="1040"/>
        <v>0</v>
      </c>
      <c r="C5084">
        <f t="shared" si="1041"/>
        <v>0</v>
      </c>
      <c r="D5084">
        <f t="shared" si="1042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3"/>
        <v>0</v>
      </c>
      <c r="G5084">
        <f t="shared" si="1044"/>
        <v>0</v>
      </c>
      <c r="H5084">
        <f t="shared" si="1045"/>
        <v>0</v>
      </c>
      <c r="I5084">
        <f t="shared" si="1046"/>
        <v>0</v>
      </c>
      <c r="J5084">
        <f t="shared" si="1047"/>
        <v>0</v>
      </c>
      <c r="K5084" s="4" t="e">
        <f t="shared" si="1035"/>
        <v>#N/A</v>
      </c>
      <c r="L5084" t="e">
        <f t="shared" si="1036"/>
        <v>#N/A</v>
      </c>
      <c r="M5084" s="4" t="e">
        <f t="shared" si="1037"/>
        <v>#N/A</v>
      </c>
      <c r="N5084" s="4" t="e">
        <f t="shared" si="1038"/>
        <v>#N/A</v>
      </c>
    </row>
    <row r="5085" spans="1:14">
      <c r="A5085">
        <f t="shared" si="1039"/>
        <v>0</v>
      </c>
      <c r="B5085">
        <f t="shared" si="1040"/>
        <v>0</v>
      </c>
      <c r="C5085">
        <f t="shared" si="1041"/>
        <v>0</v>
      </c>
      <c r="D5085">
        <f t="shared" si="1042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3"/>
        <v>0</v>
      </c>
      <c r="G5085">
        <f t="shared" si="1044"/>
        <v>0</v>
      </c>
      <c r="H5085">
        <f t="shared" si="1045"/>
        <v>0</v>
      </c>
      <c r="I5085">
        <f t="shared" si="1046"/>
        <v>0</v>
      </c>
      <c r="J5085">
        <f t="shared" si="1047"/>
        <v>0</v>
      </c>
      <c r="K5085" s="4" t="e">
        <f t="shared" si="1035"/>
        <v>#N/A</v>
      </c>
      <c r="L5085" t="e">
        <f t="shared" si="1036"/>
        <v>#N/A</v>
      </c>
      <c r="M5085" s="4" t="e">
        <f t="shared" si="1037"/>
        <v>#N/A</v>
      </c>
      <c r="N5085" s="4" t="e">
        <f t="shared" si="1038"/>
        <v>#N/A</v>
      </c>
    </row>
    <row r="5086" spans="1:14">
      <c r="A5086">
        <f t="shared" si="1039"/>
        <v>0</v>
      </c>
      <c r="B5086">
        <f t="shared" si="1040"/>
        <v>0</v>
      </c>
      <c r="C5086">
        <f t="shared" si="1041"/>
        <v>0</v>
      </c>
      <c r="D5086">
        <f t="shared" si="1042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3"/>
        <v>0</v>
      </c>
      <c r="G5086">
        <f t="shared" si="1044"/>
        <v>0</v>
      </c>
      <c r="H5086">
        <f t="shared" si="1045"/>
        <v>0</v>
      </c>
      <c r="I5086">
        <f t="shared" si="1046"/>
        <v>0</v>
      </c>
      <c r="J5086">
        <f t="shared" si="1047"/>
        <v>0</v>
      </c>
      <c r="K5086" s="4" t="e">
        <f t="shared" si="1035"/>
        <v>#N/A</v>
      </c>
      <c r="L5086" t="e">
        <f t="shared" si="1036"/>
        <v>#N/A</v>
      </c>
      <c r="M5086" s="4" t="e">
        <f t="shared" si="1037"/>
        <v>#N/A</v>
      </c>
      <c r="N5086" s="4" t="e">
        <f t="shared" si="1038"/>
        <v>#N/A</v>
      </c>
    </row>
    <row r="5087" spans="1:14">
      <c r="A5087">
        <f t="shared" si="1039"/>
        <v>0</v>
      </c>
      <c r="B5087">
        <f t="shared" si="1040"/>
        <v>0</v>
      </c>
      <c r="C5087">
        <f t="shared" si="1041"/>
        <v>0</v>
      </c>
      <c r="D5087">
        <f t="shared" si="1042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3"/>
        <v>0</v>
      </c>
      <c r="G5087">
        <f t="shared" si="1044"/>
        <v>0</v>
      </c>
      <c r="H5087">
        <f t="shared" si="1045"/>
        <v>0</v>
      </c>
      <c r="I5087">
        <f t="shared" si="1046"/>
        <v>0</v>
      </c>
      <c r="J5087">
        <f t="shared" si="1047"/>
        <v>0</v>
      </c>
      <c r="K5087" s="4" t="e">
        <f t="shared" si="1035"/>
        <v>#N/A</v>
      </c>
      <c r="L5087" t="e">
        <f t="shared" si="1036"/>
        <v>#N/A</v>
      </c>
      <c r="M5087" s="4" t="e">
        <f t="shared" si="1037"/>
        <v>#N/A</v>
      </c>
      <c r="N5087" s="4" t="e">
        <f t="shared" si="1038"/>
        <v>#N/A</v>
      </c>
    </row>
    <row r="5088" spans="1:14">
      <c r="A5088">
        <f t="shared" si="1039"/>
        <v>0</v>
      </c>
      <c r="B5088">
        <f t="shared" si="1040"/>
        <v>0</v>
      </c>
      <c r="C5088">
        <f t="shared" si="1041"/>
        <v>0</v>
      </c>
      <c r="D5088">
        <f t="shared" si="1042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3"/>
        <v>0</v>
      </c>
      <c r="G5088">
        <f t="shared" si="1044"/>
        <v>0</v>
      </c>
      <c r="H5088">
        <f t="shared" si="1045"/>
        <v>0</v>
      </c>
      <c r="I5088">
        <f t="shared" si="1046"/>
        <v>0</v>
      </c>
      <c r="J5088">
        <f t="shared" si="1047"/>
        <v>0</v>
      </c>
      <c r="K5088" s="4" t="e">
        <f t="shared" si="1035"/>
        <v>#N/A</v>
      </c>
      <c r="L5088" t="e">
        <f t="shared" si="1036"/>
        <v>#N/A</v>
      </c>
      <c r="M5088" s="4" t="e">
        <f t="shared" si="1037"/>
        <v>#N/A</v>
      </c>
      <c r="N5088" s="4" t="e">
        <f t="shared" si="1038"/>
        <v>#N/A</v>
      </c>
    </row>
    <row r="5089" spans="1:14">
      <c r="A5089">
        <f t="shared" si="1039"/>
        <v>0</v>
      </c>
      <c r="B5089">
        <f t="shared" si="1040"/>
        <v>0</v>
      </c>
      <c r="C5089">
        <f t="shared" si="1041"/>
        <v>0</v>
      </c>
      <c r="D5089">
        <f t="shared" si="1042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3"/>
        <v>0</v>
      </c>
      <c r="G5089">
        <f t="shared" si="1044"/>
        <v>0</v>
      </c>
      <c r="H5089">
        <f t="shared" si="1045"/>
        <v>0</v>
      </c>
      <c r="I5089">
        <f t="shared" si="1046"/>
        <v>0</v>
      </c>
      <c r="J5089">
        <f t="shared" si="1047"/>
        <v>0</v>
      </c>
      <c r="K5089" s="4" t="e">
        <f t="shared" si="1035"/>
        <v>#N/A</v>
      </c>
      <c r="L5089" t="e">
        <f t="shared" si="1036"/>
        <v>#N/A</v>
      </c>
      <c r="M5089" s="4" t="e">
        <f t="shared" si="1037"/>
        <v>#N/A</v>
      </c>
      <c r="N5089" s="4" t="e">
        <f t="shared" si="1038"/>
        <v>#N/A</v>
      </c>
    </row>
    <row r="5090" spans="1:14">
      <c r="A5090">
        <f t="shared" si="1039"/>
        <v>0</v>
      </c>
      <c r="B5090">
        <f t="shared" si="1040"/>
        <v>0</v>
      </c>
      <c r="C5090">
        <f t="shared" si="1041"/>
        <v>0</v>
      </c>
      <c r="D5090">
        <f t="shared" si="1042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3"/>
        <v>0</v>
      </c>
      <c r="G5090">
        <f t="shared" si="1044"/>
        <v>0</v>
      </c>
      <c r="H5090">
        <f t="shared" si="1045"/>
        <v>0</v>
      </c>
      <c r="I5090">
        <f t="shared" si="1046"/>
        <v>0</v>
      </c>
      <c r="J5090">
        <f t="shared" si="1047"/>
        <v>0</v>
      </c>
      <c r="K5090" s="4" t="e">
        <f t="shared" si="1035"/>
        <v>#N/A</v>
      </c>
      <c r="L5090" t="e">
        <f t="shared" si="1036"/>
        <v>#N/A</v>
      </c>
      <c r="M5090" s="4" t="e">
        <f t="shared" si="1037"/>
        <v>#N/A</v>
      </c>
      <c r="N5090" s="4" t="e">
        <f t="shared" si="1038"/>
        <v>#N/A</v>
      </c>
    </row>
    <row r="5091" spans="1:14">
      <c r="A5091">
        <f t="shared" si="1039"/>
        <v>0</v>
      </c>
      <c r="B5091">
        <f t="shared" si="1040"/>
        <v>0</v>
      </c>
      <c r="C5091">
        <f t="shared" si="1041"/>
        <v>0</v>
      </c>
      <c r="D5091">
        <f t="shared" si="1042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3"/>
        <v>0</v>
      </c>
      <c r="G5091">
        <f t="shared" si="1044"/>
        <v>0</v>
      </c>
      <c r="H5091">
        <f t="shared" si="1045"/>
        <v>0</v>
      </c>
      <c r="I5091">
        <f t="shared" si="1046"/>
        <v>0</v>
      </c>
      <c r="J5091">
        <f t="shared" si="1047"/>
        <v>0</v>
      </c>
      <c r="K5091" s="4" t="e">
        <f t="shared" si="1035"/>
        <v>#N/A</v>
      </c>
      <c r="L5091" t="e">
        <f t="shared" si="1036"/>
        <v>#N/A</v>
      </c>
      <c r="M5091" s="4" t="e">
        <f t="shared" si="1037"/>
        <v>#N/A</v>
      </c>
      <c r="N5091" s="4" t="e">
        <f t="shared" si="1038"/>
        <v>#N/A</v>
      </c>
    </row>
    <row r="5092" spans="1:14">
      <c r="A5092">
        <f t="shared" si="1039"/>
        <v>0</v>
      </c>
      <c r="B5092">
        <f t="shared" si="1040"/>
        <v>0</v>
      </c>
      <c r="C5092">
        <f t="shared" si="1041"/>
        <v>0</v>
      </c>
      <c r="D5092">
        <f t="shared" si="1042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3"/>
        <v>0</v>
      </c>
      <c r="G5092">
        <f t="shared" si="1044"/>
        <v>0</v>
      </c>
      <c r="H5092">
        <f t="shared" si="1045"/>
        <v>0</v>
      </c>
      <c r="I5092">
        <f t="shared" si="1046"/>
        <v>0</v>
      </c>
      <c r="J5092">
        <f t="shared" si="1047"/>
        <v>0</v>
      </c>
      <c r="K5092" s="4" t="e">
        <f t="shared" si="1035"/>
        <v>#N/A</v>
      </c>
      <c r="L5092" t="e">
        <f t="shared" si="1036"/>
        <v>#N/A</v>
      </c>
      <c r="M5092" s="4" t="e">
        <f t="shared" si="1037"/>
        <v>#N/A</v>
      </c>
      <c r="N5092" s="4" t="e">
        <f t="shared" si="1038"/>
        <v>#N/A</v>
      </c>
    </row>
    <row r="5093" spans="1:14">
      <c r="A5093">
        <f t="shared" si="1039"/>
        <v>0</v>
      </c>
      <c r="B5093">
        <f t="shared" si="1040"/>
        <v>0</v>
      </c>
      <c r="C5093">
        <f t="shared" si="1041"/>
        <v>0</v>
      </c>
      <c r="D5093">
        <f t="shared" si="1042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3"/>
        <v>0</v>
      </c>
      <c r="G5093">
        <f t="shared" si="1044"/>
        <v>0</v>
      </c>
      <c r="H5093">
        <f t="shared" si="1045"/>
        <v>0</v>
      </c>
      <c r="I5093">
        <f t="shared" si="1046"/>
        <v>0</v>
      </c>
      <c r="J5093">
        <f t="shared" si="1047"/>
        <v>0</v>
      </c>
      <c r="K5093" s="4" t="e">
        <f t="shared" si="1035"/>
        <v>#N/A</v>
      </c>
      <c r="L5093" t="e">
        <f t="shared" si="1036"/>
        <v>#N/A</v>
      </c>
      <c r="M5093" s="4" t="e">
        <f t="shared" si="1037"/>
        <v>#N/A</v>
      </c>
      <c r="N5093" s="4" t="e">
        <f t="shared" si="1038"/>
        <v>#N/A</v>
      </c>
    </row>
    <row r="5094" spans="1:14">
      <c r="A5094">
        <f t="shared" si="1039"/>
        <v>0</v>
      </c>
      <c r="B5094">
        <f t="shared" si="1040"/>
        <v>0</v>
      </c>
      <c r="C5094">
        <f t="shared" si="1041"/>
        <v>0</v>
      </c>
      <c r="D5094">
        <f t="shared" si="1042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3"/>
        <v>0</v>
      </c>
      <c r="G5094">
        <f t="shared" si="1044"/>
        <v>0</v>
      </c>
      <c r="H5094">
        <f t="shared" si="1045"/>
        <v>0</v>
      </c>
      <c r="I5094">
        <f t="shared" si="1046"/>
        <v>0</v>
      </c>
      <c r="J5094">
        <f t="shared" si="1047"/>
        <v>0</v>
      </c>
      <c r="K5094" s="4" t="e">
        <f t="shared" si="1035"/>
        <v>#N/A</v>
      </c>
      <c r="L5094" t="e">
        <f t="shared" si="1036"/>
        <v>#N/A</v>
      </c>
      <c r="M5094" s="4" t="e">
        <f t="shared" si="1037"/>
        <v>#N/A</v>
      </c>
      <c r="N5094" s="4" t="e">
        <f t="shared" si="1038"/>
        <v>#N/A</v>
      </c>
    </row>
    <row r="5095" spans="1:14">
      <c r="A5095">
        <f t="shared" si="1039"/>
        <v>0</v>
      </c>
      <c r="B5095">
        <f t="shared" si="1040"/>
        <v>0</v>
      </c>
      <c r="C5095">
        <f t="shared" si="1041"/>
        <v>0</v>
      </c>
      <c r="D5095">
        <f t="shared" si="1042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3"/>
        <v>0</v>
      </c>
      <c r="G5095">
        <f t="shared" si="1044"/>
        <v>0</v>
      </c>
      <c r="H5095">
        <f t="shared" si="1045"/>
        <v>0</v>
      </c>
      <c r="I5095">
        <f t="shared" si="1046"/>
        <v>0</v>
      </c>
      <c r="J5095">
        <f t="shared" si="1047"/>
        <v>0</v>
      </c>
      <c r="K5095" s="4" t="e">
        <f t="shared" si="1035"/>
        <v>#N/A</v>
      </c>
      <c r="L5095" t="e">
        <f t="shared" si="1036"/>
        <v>#N/A</v>
      </c>
      <c r="M5095" s="4" t="e">
        <f t="shared" si="1037"/>
        <v>#N/A</v>
      </c>
      <c r="N5095" s="4" t="e">
        <f t="shared" si="1038"/>
        <v>#N/A</v>
      </c>
    </row>
    <row r="5096" spans="1:14">
      <c r="A5096">
        <f t="shared" si="1039"/>
        <v>0</v>
      </c>
      <c r="B5096">
        <f t="shared" si="1040"/>
        <v>0</v>
      </c>
      <c r="C5096">
        <f t="shared" si="1041"/>
        <v>0</v>
      </c>
      <c r="D5096">
        <f t="shared" si="1042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3"/>
        <v>0</v>
      </c>
      <c r="G5096">
        <f t="shared" si="1044"/>
        <v>0</v>
      </c>
      <c r="H5096">
        <f t="shared" si="1045"/>
        <v>0</v>
      </c>
      <c r="I5096">
        <f t="shared" si="1046"/>
        <v>0</v>
      </c>
      <c r="J5096">
        <f t="shared" si="1047"/>
        <v>0</v>
      </c>
      <c r="K5096" s="4" t="e">
        <f t="shared" si="1035"/>
        <v>#N/A</v>
      </c>
      <c r="L5096" t="e">
        <f t="shared" si="1036"/>
        <v>#N/A</v>
      </c>
      <c r="M5096" s="4" t="e">
        <f t="shared" si="1037"/>
        <v>#N/A</v>
      </c>
      <c r="N5096" s="4" t="e">
        <f t="shared" si="1038"/>
        <v>#N/A</v>
      </c>
    </row>
    <row r="5097" spans="1:14">
      <c r="A5097">
        <f t="shared" si="1039"/>
        <v>0</v>
      </c>
      <c r="B5097">
        <f t="shared" si="1040"/>
        <v>0</v>
      </c>
      <c r="C5097">
        <f t="shared" si="1041"/>
        <v>0</v>
      </c>
      <c r="D5097">
        <f t="shared" si="1042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3"/>
        <v>0</v>
      </c>
      <c r="G5097">
        <f t="shared" si="1044"/>
        <v>0</v>
      </c>
      <c r="H5097">
        <f t="shared" si="1045"/>
        <v>0</v>
      </c>
      <c r="I5097">
        <f t="shared" si="1046"/>
        <v>0</v>
      </c>
      <c r="J5097">
        <f t="shared" si="1047"/>
        <v>0</v>
      </c>
      <c r="K5097" s="4" t="e">
        <f t="shared" si="1035"/>
        <v>#N/A</v>
      </c>
      <c r="L5097" t="e">
        <f t="shared" si="1036"/>
        <v>#N/A</v>
      </c>
      <c r="M5097" s="4" t="e">
        <f t="shared" si="1037"/>
        <v>#N/A</v>
      </c>
      <c r="N5097" s="4" t="e">
        <f t="shared" si="1038"/>
        <v>#N/A</v>
      </c>
    </row>
    <row r="5098" spans="1:14">
      <c r="A5098">
        <f t="shared" si="1039"/>
        <v>0</v>
      </c>
      <c r="B5098">
        <f t="shared" si="1040"/>
        <v>0</v>
      </c>
      <c r="C5098">
        <f t="shared" si="1041"/>
        <v>0</v>
      </c>
      <c r="D5098">
        <f t="shared" si="1042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3"/>
        <v>0</v>
      </c>
      <c r="G5098">
        <f t="shared" si="1044"/>
        <v>0</v>
      </c>
      <c r="H5098">
        <f t="shared" si="1045"/>
        <v>0</v>
      </c>
      <c r="I5098">
        <f t="shared" si="1046"/>
        <v>0</v>
      </c>
      <c r="J5098">
        <f t="shared" si="1047"/>
        <v>0</v>
      </c>
      <c r="K5098" s="4" t="e">
        <f t="shared" si="1035"/>
        <v>#N/A</v>
      </c>
      <c r="L5098" t="e">
        <f t="shared" si="1036"/>
        <v>#N/A</v>
      </c>
      <c r="M5098" s="4" t="e">
        <f t="shared" si="1037"/>
        <v>#N/A</v>
      </c>
      <c r="N5098" s="4" t="e">
        <f t="shared" si="1038"/>
        <v>#N/A</v>
      </c>
    </row>
    <row r="5099" spans="1:14">
      <c r="A5099">
        <f t="shared" si="1039"/>
        <v>0</v>
      </c>
      <c r="B5099">
        <f t="shared" si="1040"/>
        <v>0</v>
      </c>
      <c r="C5099">
        <f t="shared" si="1041"/>
        <v>0</v>
      </c>
      <c r="D5099">
        <f t="shared" si="1042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3"/>
        <v>0</v>
      </c>
      <c r="G5099">
        <f t="shared" si="1044"/>
        <v>0</v>
      </c>
      <c r="H5099">
        <f t="shared" si="1045"/>
        <v>0</v>
      </c>
      <c r="I5099">
        <f t="shared" si="1046"/>
        <v>0</v>
      </c>
      <c r="J5099">
        <f t="shared" si="1047"/>
        <v>0</v>
      </c>
      <c r="K5099" s="4" t="e">
        <f t="shared" si="1035"/>
        <v>#N/A</v>
      </c>
      <c r="L5099" t="e">
        <f t="shared" si="1036"/>
        <v>#N/A</v>
      </c>
      <c r="M5099" s="4" t="e">
        <f t="shared" si="1037"/>
        <v>#N/A</v>
      </c>
      <c r="N5099" s="4" t="e">
        <f t="shared" si="1038"/>
        <v>#N/A</v>
      </c>
    </row>
    <row r="5100" spans="1:14">
      <c r="A5100">
        <f t="shared" si="1039"/>
        <v>0</v>
      </c>
      <c r="B5100">
        <f t="shared" si="1040"/>
        <v>0</v>
      </c>
      <c r="C5100">
        <f t="shared" si="1041"/>
        <v>0</v>
      </c>
      <c r="D5100">
        <f t="shared" si="1042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3"/>
        <v>0</v>
      </c>
      <c r="G5100">
        <f t="shared" si="1044"/>
        <v>0</v>
      </c>
      <c r="H5100">
        <f t="shared" si="1045"/>
        <v>0</v>
      </c>
      <c r="I5100">
        <f t="shared" si="1046"/>
        <v>0</v>
      </c>
      <c r="J5100">
        <f t="shared" si="1047"/>
        <v>0</v>
      </c>
      <c r="K5100" s="4" t="e">
        <f t="shared" si="1035"/>
        <v>#N/A</v>
      </c>
      <c r="L5100" t="e">
        <f t="shared" si="1036"/>
        <v>#N/A</v>
      </c>
      <c r="M5100" s="4" t="e">
        <f t="shared" si="1037"/>
        <v>#N/A</v>
      </c>
      <c r="N5100" s="4" t="e">
        <f t="shared" si="1038"/>
        <v>#N/A</v>
      </c>
    </row>
    <row r="5101" spans="1:14">
      <c r="A5101">
        <f t="shared" si="1039"/>
        <v>0</v>
      </c>
      <c r="B5101">
        <f t="shared" si="1040"/>
        <v>0</v>
      </c>
      <c r="C5101">
        <f t="shared" si="1041"/>
        <v>0</v>
      </c>
      <c r="D5101">
        <f t="shared" si="1042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3"/>
        <v>0</v>
      </c>
      <c r="G5101">
        <f t="shared" si="1044"/>
        <v>0</v>
      </c>
      <c r="H5101">
        <f t="shared" si="1045"/>
        <v>0</v>
      </c>
      <c r="I5101">
        <f t="shared" si="1046"/>
        <v>0</v>
      </c>
      <c r="J5101">
        <f t="shared" si="1047"/>
        <v>0</v>
      </c>
      <c r="K5101" s="4" t="e">
        <f t="shared" si="1035"/>
        <v>#N/A</v>
      </c>
      <c r="L5101" t="e">
        <f t="shared" si="1036"/>
        <v>#N/A</v>
      </c>
      <c r="M5101" s="4" t="e">
        <f t="shared" si="1037"/>
        <v>#N/A</v>
      </c>
      <c r="N5101" s="4" t="e">
        <f t="shared" si="1038"/>
        <v>#N/A</v>
      </c>
    </row>
    <row r="5102" spans="1:14">
      <c r="A5102">
        <f t="shared" si="1039"/>
        <v>0</v>
      </c>
      <c r="B5102">
        <f t="shared" si="1040"/>
        <v>0</v>
      </c>
      <c r="C5102">
        <f t="shared" si="1041"/>
        <v>0</v>
      </c>
      <c r="D5102">
        <f t="shared" si="1042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3"/>
        <v>0</v>
      </c>
      <c r="G5102">
        <f t="shared" si="1044"/>
        <v>0</v>
      </c>
      <c r="H5102">
        <f t="shared" si="1045"/>
        <v>0</v>
      </c>
      <c r="I5102">
        <f t="shared" si="1046"/>
        <v>0</v>
      </c>
      <c r="J5102">
        <f t="shared" si="1047"/>
        <v>0</v>
      </c>
      <c r="K5102" s="4" t="e">
        <f t="shared" si="1035"/>
        <v>#N/A</v>
      </c>
      <c r="L5102" t="e">
        <f t="shared" si="1036"/>
        <v>#N/A</v>
      </c>
      <c r="M5102" s="4" t="e">
        <f t="shared" si="1037"/>
        <v>#N/A</v>
      </c>
      <c r="N5102" s="4" t="e">
        <f t="shared" si="1038"/>
        <v>#N/A</v>
      </c>
    </row>
    <row r="5103" spans="1:14">
      <c r="A5103">
        <f t="shared" si="1039"/>
        <v>0</v>
      </c>
      <c r="B5103">
        <f t="shared" si="1040"/>
        <v>0</v>
      </c>
      <c r="C5103">
        <f t="shared" si="1041"/>
        <v>0</v>
      </c>
      <c r="D5103">
        <f t="shared" si="1042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3"/>
        <v>0</v>
      </c>
      <c r="G5103">
        <f t="shared" si="1044"/>
        <v>0</v>
      </c>
      <c r="H5103">
        <f t="shared" si="1045"/>
        <v>0</v>
      </c>
      <c r="I5103">
        <f t="shared" si="1046"/>
        <v>0</v>
      </c>
      <c r="J5103">
        <f t="shared" si="1047"/>
        <v>0</v>
      </c>
      <c r="K5103" s="4" t="e">
        <f t="shared" si="1035"/>
        <v>#N/A</v>
      </c>
      <c r="L5103" t="e">
        <f t="shared" si="1036"/>
        <v>#N/A</v>
      </c>
      <c r="M5103" s="4" t="e">
        <f t="shared" si="1037"/>
        <v>#N/A</v>
      </c>
      <c r="N5103" s="4" t="e">
        <f t="shared" si="1038"/>
        <v>#N/A</v>
      </c>
    </row>
    <row r="5104" spans="1:14">
      <c r="A5104">
        <f t="shared" si="1039"/>
        <v>0</v>
      </c>
      <c r="B5104">
        <f t="shared" si="1040"/>
        <v>0</v>
      </c>
      <c r="C5104">
        <f t="shared" si="1041"/>
        <v>0</v>
      </c>
      <c r="D5104">
        <f t="shared" si="1042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3"/>
        <v>0</v>
      </c>
      <c r="G5104">
        <f t="shared" si="1044"/>
        <v>0</v>
      </c>
      <c r="H5104">
        <f t="shared" si="1045"/>
        <v>0</v>
      </c>
      <c r="I5104">
        <f t="shared" si="1046"/>
        <v>0</v>
      </c>
      <c r="J5104">
        <f t="shared" si="1047"/>
        <v>0</v>
      </c>
      <c r="K5104" s="4" t="e">
        <f t="shared" si="1035"/>
        <v>#N/A</v>
      </c>
      <c r="L5104" t="e">
        <f t="shared" si="1036"/>
        <v>#N/A</v>
      </c>
      <c r="M5104" s="4" t="e">
        <f t="shared" si="1037"/>
        <v>#N/A</v>
      </c>
      <c r="N5104" s="4" t="e">
        <f t="shared" si="1038"/>
        <v>#N/A</v>
      </c>
    </row>
    <row r="5105" spans="1:14">
      <c r="A5105">
        <f t="shared" si="1039"/>
        <v>0</v>
      </c>
      <c r="B5105">
        <f t="shared" si="1040"/>
        <v>0</v>
      </c>
      <c r="C5105">
        <f t="shared" si="1041"/>
        <v>0</v>
      </c>
      <c r="D5105">
        <f t="shared" si="1042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3"/>
        <v>0</v>
      </c>
      <c r="G5105">
        <f t="shared" si="1044"/>
        <v>0</v>
      </c>
      <c r="H5105">
        <f t="shared" si="1045"/>
        <v>0</v>
      </c>
      <c r="I5105">
        <f t="shared" si="1046"/>
        <v>0</v>
      </c>
      <c r="J5105">
        <f t="shared" si="1047"/>
        <v>0</v>
      </c>
      <c r="K5105" s="4" t="e">
        <f t="shared" si="1035"/>
        <v>#N/A</v>
      </c>
      <c r="L5105" t="e">
        <f t="shared" si="1036"/>
        <v>#N/A</v>
      </c>
      <c r="M5105" s="4" t="e">
        <f t="shared" si="1037"/>
        <v>#N/A</v>
      </c>
      <c r="N5105" s="4" t="e">
        <f t="shared" si="1038"/>
        <v>#N/A</v>
      </c>
    </row>
    <row r="5106" spans="1:14">
      <c r="A5106">
        <f t="shared" si="1039"/>
        <v>0</v>
      </c>
      <c r="B5106">
        <f t="shared" si="1040"/>
        <v>0</v>
      </c>
      <c r="C5106">
        <f t="shared" si="1041"/>
        <v>0</v>
      </c>
      <c r="D5106">
        <f t="shared" si="1042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3"/>
        <v>0</v>
      </c>
      <c r="G5106">
        <f t="shared" si="1044"/>
        <v>0</v>
      </c>
      <c r="H5106">
        <f t="shared" si="1045"/>
        <v>0</v>
      </c>
      <c r="I5106">
        <f t="shared" si="1046"/>
        <v>0</v>
      </c>
      <c r="J5106">
        <f t="shared" si="1047"/>
        <v>0</v>
      </c>
      <c r="K5106" s="4" t="e">
        <f t="shared" si="1035"/>
        <v>#N/A</v>
      </c>
      <c r="L5106" t="e">
        <f t="shared" si="1036"/>
        <v>#N/A</v>
      </c>
      <c r="M5106" s="4" t="e">
        <f t="shared" si="1037"/>
        <v>#N/A</v>
      </c>
      <c r="N5106" s="4" t="e">
        <f t="shared" si="1038"/>
        <v>#N/A</v>
      </c>
    </row>
    <row r="5107" spans="1:14">
      <c r="A5107">
        <f t="shared" si="1039"/>
        <v>0</v>
      </c>
      <c r="B5107">
        <f t="shared" si="1040"/>
        <v>0</v>
      </c>
      <c r="C5107">
        <f t="shared" si="1041"/>
        <v>0</v>
      </c>
      <c r="D5107">
        <f t="shared" si="1042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3"/>
        <v>0</v>
      </c>
      <c r="G5107">
        <f t="shared" si="1044"/>
        <v>0</v>
      </c>
      <c r="H5107">
        <f t="shared" si="1045"/>
        <v>0</v>
      </c>
      <c r="I5107">
        <f t="shared" si="1046"/>
        <v>0</v>
      </c>
      <c r="J5107">
        <f t="shared" si="1047"/>
        <v>0</v>
      </c>
      <c r="K5107" s="4" t="e">
        <f t="shared" si="1035"/>
        <v>#N/A</v>
      </c>
      <c r="L5107" t="e">
        <f t="shared" si="1036"/>
        <v>#N/A</v>
      </c>
      <c r="M5107" s="4" t="e">
        <f t="shared" si="1037"/>
        <v>#N/A</v>
      </c>
      <c r="N5107" s="4" t="e">
        <f t="shared" si="1038"/>
        <v>#N/A</v>
      </c>
    </row>
    <row r="5108" spans="1:14">
      <c r="A5108">
        <f t="shared" si="1039"/>
        <v>0</v>
      </c>
      <c r="B5108">
        <f t="shared" si="1040"/>
        <v>0</v>
      </c>
      <c r="C5108">
        <f t="shared" si="1041"/>
        <v>0</v>
      </c>
      <c r="D5108">
        <f t="shared" si="1042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3"/>
        <v>0</v>
      </c>
      <c r="G5108">
        <f t="shared" si="1044"/>
        <v>0</v>
      </c>
      <c r="H5108">
        <f t="shared" si="1045"/>
        <v>0</v>
      </c>
      <c r="I5108">
        <f t="shared" si="1046"/>
        <v>0</v>
      </c>
      <c r="J5108">
        <f t="shared" si="1047"/>
        <v>0</v>
      </c>
      <c r="K5108" s="4" t="e">
        <f t="shared" si="1035"/>
        <v>#N/A</v>
      </c>
      <c r="L5108" t="e">
        <f t="shared" si="1036"/>
        <v>#N/A</v>
      </c>
      <c r="M5108" s="4" t="e">
        <f t="shared" si="1037"/>
        <v>#N/A</v>
      </c>
      <c r="N5108" s="4" t="e">
        <f t="shared" si="1038"/>
        <v>#N/A</v>
      </c>
    </row>
    <row r="5109" spans="1:14">
      <c r="A5109">
        <f t="shared" si="1039"/>
        <v>0</v>
      </c>
      <c r="B5109">
        <f t="shared" si="1040"/>
        <v>0</v>
      </c>
      <c r="C5109">
        <f t="shared" si="1041"/>
        <v>0</v>
      </c>
      <c r="D5109">
        <f t="shared" si="1042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3"/>
        <v>0</v>
      </c>
      <c r="G5109">
        <f t="shared" si="1044"/>
        <v>0</v>
      </c>
      <c r="H5109">
        <f t="shared" si="1045"/>
        <v>0</v>
      </c>
      <c r="I5109">
        <f t="shared" si="1046"/>
        <v>0</v>
      </c>
      <c r="J5109">
        <f t="shared" si="1047"/>
        <v>0</v>
      </c>
      <c r="K5109" s="4" t="e">
        <f t="shared" si="1035"/>
        <v>#N/A</v>
      </c>
      <c r="L5109" t="e">
        <f t="shared" si="1036"/>
        <v>#N/A</v>
      </c>
      <c r="M5109" s="4" t="e">
        <f t="shared" si="1037"/>
        <v>#N/A</v>
      </c>
      <c r="N5109" s="4" t="e">
        <f t="shared" si="1038"/>
        <v>#N/A</v>
      </c>
    </row>
    <row r="5110" spans="1:14">
      <c r="A5110">
        <f t="shared" si="1039"/>
        <v>0</v>
      </c>
      <c r="B5110">
        <f t="shared" si="1040"/>
        <v>0</v>
      </c>
      <c r="C5110">
        <f t="shared" si="1041"/>
        <v>0</v>
      </c>
      <c r="D5110">
        <f t="shared" si="1042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3"/>
        <v>0</v>
      </c>
      <c r="G5110">
        <f t="shared" si="1044"/>
        <v>0</v>
      </c>
      <c r="H5110">
        <f t="shared" si="1045"/>
        <v>0</v>
      </c>
      <c r="I5110">
        <f t="shared" si="1046"/>
        <v>0</v>
      </c>
      <c r="J5110">
        <f t="shared" si="1047"/>
        <v>0</v>
      </c>
      <c r="K5110" s="4" t="e">
        <f t="shared" si="1035"/>
        <v>#N/A</v>
      </c>
      <c r="L5110" t="e">
        <f t="shared" si="1036"/>
        <v>#N/A</v>
      </c>
      <c r="M5110" s="4" t="e">
        <f t="shared" si="1037"/>
        <v>#N/A</v>
      </c>
      <c r="N5110" s="4" t="e">
        <f t="shared" si="1038"/>
        <v>#N/A</v>
      </c>
    </row>
    <row r="5111" spans="1:14">
      <c r="A5111">
        <f t="shared" si="1039"/>
        <v>0</v>
      </c>
      <c r="B5111">
        <f t="shared" si="1040"/>
        <v>0</v>
      </c>
      <c r="C5111">
        <f t="shared" si="1041"/>
        <v>0</v>
      </c>
      <c r="D5111">
        <f t="shared" si="1042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3"/>
        <v>0</v>
      </c>
      <c r="G5111">
        <f t="shared" si="1044"/>
        <v>0</v>
      </c>
      <c r="H5111">
        <f t="shared" si="1045"/>
        <v>0</v>
      </c>
      <c r="I5111">
        <f t="shared" si="1046"/>
        <v>0</v>
      </c>
      <c r="J5111">
        <f t="shared" si="1047"/>
        <v>0</v>
      </c>
      <c r="K5111" s="4" t="e">
        <f t="shared" si="1035"/>
        <v>#N/A</v>
      </c>
      <c r="L5111" t="e">
        <f t="shared" si="1036"/>
        <v>#N/A</v>
      </c>
      <c r="M5111" s="4" t="e">
        <f t="shared" si="1037"/>
        <v>#N/A</v>
      </c>
      <c r="N5111" s="4" t="e">
        <f t="shared" si="1038"/>
        <v>#N/A</v>
      </c>
    </row>
    <row r="5112" spans="1:14">
      <c r="A5112">
        <f t="shared" si="1039"/>
        <v>0</v>
      </c>
      <c r="B5112">
        <f t="shared" si="1040"/>
        <v>0</v>
      </c>
      <c r="C5112">
        <f t="shared" si="1041"/>
        <v>0</v>
      </c>
      <c r="D5112">
        <f t="shared" si="1042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3"/>
        <v>0</v>
      </c>
      <c r="G5112">
        <f t="shared" si="1044"/>
        <v>0</v>
      </c>
      <c r="H5112">
        <f t="shared" si="1045"/>
        <v>0</v>
      </c>
      <c r="I5112">
        <f t="shared" si="1046"/>
        <v>0</v>
      </c>
      <c r="J5112">
        <f t="shared" si="1047"/>
        <v>0</v>
      </c>
      <c r="K5112" s="4" t="e">
        <f t="shared" si="1035"/>
        <v>#N/A</v>
      </c>
      <c r="L5112" t="e">
        <f t="shared" si="1036"/>
        <v>#N/A</v>
      </c>
      <c r="M5112" s="4" t="e">
        <f t="shared" si="1037"/>
        <v>#N/A</v>
      </c>
      <c r="N5112" s="4" t="e">
        <f t="shared" si="1038"/>
        <v>#N/A</v>
      </c>
    </row>
    <row r="5113" spans="1:14">
      <c r="A5113">
        <f t="shared" si="1039"/>
        <v>0</v>
      </c>
      <c r="B5113">
        <f t="shared" si="1040"/>
        <v>0</v>
      </c>
      <c r="C5113">
        <f t="shared" si="1041"/>
        <v>0</v>
      </c>
      <c r="D5113">
        <f t="shared" si="1042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3"/>
        <v>0</v>
      </c>
      <c r="G5113">
        <f t="shared" si="1044"/>
        <v>0</v>
      </c>
      <c r="H5113">
        <f t="shared" si="1045"/>
        <v>0</v>
      </c>
      <c r="I5113">
        <f t="shared" si="1046"/>
        <v>0</v>
      </c>
      <c r="J5113">
        <f t="shared" si="1047"/>
        <v>0</v>
      </c>
      <c r="K5113" s="4" t="e">
        <f t="shared" si="1035"/>
        <v>#N/A</v>
      </c>
      <c r="L5113" t="e">
        <f t="shared" si="1036"/>
        <v>#N/A</v>
      </c>
      <c r="M5113" s="4" t="e">
        <f t="shared" si="1037"/>
        <v>#N/A</v>
      </c>
      <c r="N5113" s="4" t="e">
        <f t="shared" si="1038"/>
        <v>#N/A</v>
      </c>
    </row>
    <row r="5114" spans="1:14">
      <c r="A5114">
        <f t="shared" si="1039"/>
        <v>0</v>
      </c>
      <c r="B5114">
        <f t="shared" si="1040"/>
        <v>0</v>
      </c>
      <c r="C5114">
        <f t="shared" si="1041"/>
        <v>0</v>
      </c>
      <c r="D5114">
        <f t="shared" si="1042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3"/>
        <v>0</v>
      </c>
      <c r="G5114">
        <f t="shared" si="1044"/>
        <v>0</v>
      </c>
      <c r="H5114">
        <f t="shared" si="1045"/>
        <v>0</v>
      </c>
      <c r="I5114">
        <f t="shared" si="1046"/>
        <v>0</v>
      </c>
      <c r="J5114">
        <f t="shared" si="1047"/>
        <v>0</v>
      </c>
      <c r="K5114" s="4" t="e">
        <f t="shared" si="1035"/>
        <v>#N/A</v>
      </c>
      <c r="L5114" t="e">
        <f t="shared" si="1036"/>
        <v>#N/A</v>
      </c>
      <c r="M5114" s="4" t="e">
        <f t="shared" si="1037"/>
        <v>#N/A</v>
      </c>
      <c r="N5114" s="4" t="e">
        <f t="shared" si="1038"/>
        <v>#N/A</v>
      </c>
    </row>
    <row r="5115" spans="1:14">
      <c r="A5115">
        <f t="shared" si="1039"/>
        <v>0</v>
      </c>
      <c r="B5115">
        <f t="shared" si="1040"/>
        <v>0</v>
      </c>
      <c r="C5115">
        <f t="shared" si="1041"/>
        <v>0</v>
      </c>
      <c r="D5115">
        <f t="shared" si="1042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3"/>
        <v>0</v>
      </c>
      <c r="G5115">
        <f t="shared" si="1044"/>
        <v>0</v>
      </c>
      <c r="H5115">
        <f t="shared" si="1045"/>
        <v>0</v>
      </c>
      <c r="I5115">
        <f t="shared" si="1046"/>
        <v>0</v>
      </c>
      <c r="J5115">
        <f t="shared" si="1047"/>
        <v>0</v>
      </c>
      <c r="K5115" s="4" t="e">
        <f t="shared" si="1035"/>
        <v>#N/A</v>
      </c>
      <c r="L5115" t="e">
        <f t="shared" si="1036"/>
        <v>#N/A</v>
      </c>
      <c r="M5115" s="4" t="e">
        <f t="shared" si="1037"/>
        <v>#N/A</v>
      </c>
      <c r="N5115" s="4" t="e">
        <f t="shared" si="1038"/>
        <v>#N/A</v>
      </c>
    </row>
    <row r="5116" spans="1:14">
      <c r="A5116">
        <f t="shared" si="1039"/>
        <v>0</v>
      </c>
      <c r="B5116">
        <f t="shared" si="1040"/>
        <v>0</v>
      </c>
      <c r="C5116">
        <f t="shared" si="1041"/>
        <v>0</v>
      </c>
      <c r="D5116">
        <f t="shared" si="1042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3"/>
        <v>0</v>
      </c>
      <c r="G5116">
        <f t="shared" si="1044"/>
        <v>0</v>
      </c>
      <c r="H5116">
        <f t="shared" si="1045"/>
        <v>0</v>
      </c>
      <c r="I5116">
        <f t="shared" si="1046"/>
        <v>0</v>
      </c>
      <c r="J5116">
        <f t="shared" si="1047"/>
        <v>0</v>
      </c>
      <c r="K5116" s="4" t="e">
        <f t="shared" si="1035"/>
        <v>#N/A</v>
      </c>
      <c r="L5116" t="e">
        <f t="shared" si="1036"/>
        <v>#N/A</v>
      </c>
      <c r="M5116" s="4" t="e">
        <f t="shared" si="1037"/>
        <v>#N/A</v>
      </c>
      <c r="N5116" s="4" t="e">
        <f t="shared" si="1038"/>
        <v>#N/A</v>
      </c>
    </row>
    <row r="5117" spans="1:14">
      <c r="A5117">
        <f t="shared" si="1039"/>
        <v>0</v>
      </c>
      <c r="B5117">
        <f t="shared" si="1040"/>
        <v>0</v>
      </c>
      <c r="C5117">
        <f t="shared" si="1041"/>
        <v>0</v>
      </c>
      <c r="D5117">
        <f t="shared" si="1042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3"/>
        <v>0</v>
      </c>
      <c r="G5117">
        <f t="shared" si="1044"/>
        <v>0</v>
      </c>
      <c r="H5117">
        <f t="shared" si="1045"/>
        <v>0</v>
      </c>
      <c r="I5117">
        <f t="shared" si="1046"/>
        <v>0</v>
      </c>
      <c r="J5117">
        <f t="shared" si="1047"/>
        <v>0</v>
      </c>
      <c r="K5117" s="4" t="e">
        <f t="shared" ref="K5117:K5180" si="1048">IF(LEFT(B5117,3)="DBM",0,VLOOKUP(E5117,tabela,2,FALSE))</f>
        <v>#N/A</v>
      </c>
      <c r="L5117" t="e">
        <f t="shared" ref="L5117:L5180" si="1049">VLOOKUP(E5117,tabela,3,FALSE)</f>
        <v>#N/A</v>
      </c>
      <c r="M5117" s="4" t="e">
        <f t="shared" ref="M5117:M5180" si="1050">IF(E5117="Dynamic Click",J5117*K5117,K5117*$I5117/1000)</f>
        <v>#N/A</v>
      </c>
      <c r="N5117" s="4" t="e">
        <f t="shared" ref="N5117:N5180" si="1051">IF(E5117="Dynamic Click",J5117*L5117,L5117*$I5117/1000)</f>
        <v>#N/A</v>
      </c>
    </row>
    <row r="5118" spans="1:14">
      <c r="A5118">
        <f t="shared" si="1039"/>
        <v>0</v>
      </c>
      <c r="B5118">
        <f t="shared" si="1040"/>
        <v>0</v>
      </c>
      <c r="C5118">
        <f t="shared" si="1041"/>
        <v>0</v>
      </c>
      <c r="D5118">
        <f t="shared" si="1042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3"/>
        <v>0</v>
      </c>
      <c r="G5118">
        <f t="shared" si="1044"/>
        <v>0</v>
      </c>
      <c r="H5118">
        <f t="shared" si="1045"/>
        <v>0</v>
      </c>
      <c r="I5118">
        <f t="shared" si="1046"/>
        <v>0</v>
      </c>
      <c r="J5118">
        <f t="shared" si="1047"/>
        <v>0</v>
      </c>
      <c r="K5118" s="4" t="e">
        <f t="shared" si="1048"/>
        <v>#N/A</v>
      </c>
      <c r="L5118" t="e">
        <f t="shared" si="1049"/>
        <v>#N/A</v>
      </c>
      <c r="M5118" s="4" t="e">
        <f t="shared" si="1050"/>
        <v>#N/A</v>
      </c>
      <c r="N5118" s="4" t="e">
        <f t="shared" si="1051"/>
        <v>#N/A</v>
      </c>
    </row>
    <row r="5119" spans="1:14">
      <c r="A5119">
        <f t="shared" si="1039"/>
        <v>0</v>
      </c>
      <c r="B5119">
        <f t="shared" si="1040"/>
        <v>0</v>
      </c>
      <c r="C5119">
        <f t="shared" si="1041"/>
        <v>0</v>
      </c>
      <c r="D5119">
        <f t="shared" si="1042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3"/>
        <v>0</v>
      </c>
      <c r="G5119">
        <f t="shared" si="1044"/>
        <v>0</v>
      </c>
      <c r="H5119">
        <f t="shared" si="1045"/>
        <v>0</v>
      </c>
      <c r="I5119">
        <f t="shared" si="1046"/>
        <v>0</v>
      </c>
      <c r="J5119">
        <f t="shared" si="1047"/>
        <v>0</v>
      </c>
      <c r="K5119" s="4" t="e">
        <f t="shared" si="1048"/>
        <v>#N/A</v>
      </c>
      <c r="L5119" t="e">
        <f t="shared" si="1049"/>
        <v>#N/A</v>
      </c>
      <c r="M5119" s="4" t="e">
        <f t="shared" si="1050"/>
        <v>#N/A</v>
      </c>
      <c r="N5119" s="4" t="e">
        <f t="shared" si="1051"/>
        <v>#N/A</v>
      </c>
    </row>
    <row r="5120" spans="1:14">
      <c r="A5120">
        <f t="shared" si="1039"/>
        <v>0</v>
      </c>
      <c r="B5120">
        <f t="shared" si="1040"/>
        <v>0</v>
      </c>
      <c r="C5120">
        <f t="shared" si="1041"/>
        <v>0</v>
      </c>
      <c r="D5120">
        <f t="shared" si="1042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3"/>
        <v>0</v>
      </c>
      <c r="G5120">
        <f t="shared" si="1044"/>
        <v>0</v>
      </c>
      <c r="H5120">
        <f t="shared" si="1045"/>
        <v>0</v>
      </c>
      <c r="I5120">
        <f t="shared" si="1046"/>
        <v>0</v>
      </c>
      <c r="J5120">
        <f t="shared" si="1047"/>
        <v>0</v>
      </c>
      <c r="K5120" s="4" t="e">
        <f t="shared" si="1048"/>
        <v>#N/A</v>
      </c>
      <c r="L5120" t="e">
        <f t="shared" si="1049"/>
        <v>#N/A</v>
      </c>
      <c r="M5120" s="4" t="e">
        <f t="shared" si="1050"/>
        <v>#N/A</v>
      </c>
      <c r="N5120" s="4" t="e">
        <f t="shared" si="1051"/>
        <v>#N/A</v>
      </c>
    </row>
    <row r="5121" spans="1:14">
      <c r="A5121">
        <f t="shared" si="1039"/>
        <v>0</v>
      </c>
      <c r="B5121">
        <f t="shared" si="1040"/>
        <v>0</v>
      </c>
      <c r="C5121">
        <f t="shared" si="1041"/>
        <v>0</v>
      </c>
      <c r="D5121">
        <f t="shared" si="1042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3"/>
        <v>0</v>
      </c>
      <c r="G5121">
        <f t="shared" si="1044"/>
        <v>0</v>
      </c>
      <c r="H5121">
        <f t="shared" si="1045"/>
        <v>0</v>
      </c>
      <c r="I5121">
        <f t="shared" si="1046"/>
        <v>0</v>
      </c>
      <c r="J5121">
        <f t="shared" si="1047"/>
        <v>0</v>
      </c>
      <c r="K5121" s="4" t="e">
        <f t="shared" si="1048"/>
        <v>#N/A</v>
      </c>
      <c r="L5121" t="e">
        <f t="shared" si="1049"/>
        <v>#N/A</v>
      </c>
      <c r="M5121" s="4" t="e">
        <f t="shared" si="1050"/>
        <v>#N/A</v>
      </c>
      <c r="N5121" s="4" t="e">
        <f t="shared" si="1051"/>
        <v>#N/A</v>
      </c>
    </row>
    <row r="5122" spans="1:14">
      <c r="A5122">
        <f t="shared" ref="A5122:A5185" si="1052">bd_campaign</f>
        <v>0</v>
      </c>
      <c r="B5122">
        <f t="shared" ref="B5122:B5185" si="1053">bd_site</f>
        <v>0</v>
      </c>
      <c r="C5122">
        <f t="shared" ref="C5122:C5185" si="1054">bd_placement</f>
        <v>0</v>
      </c>
      <c r="D5122">
        <f t="shared" ref="D5122:D5185" si="1055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6">bd_ad</f>
        <v>0</v>
      </c>
      <c r="G5122">
        <f t="shared" ref="G5122:G5185" si="1057">bd_adid</f>
        <v>0</v>
      </c>
      <c r="H5122">
        <f t="shared" ref="H5122:H5185" si="1058">bd_creativetype</f>
        <v>0</v>
      </c>
      <c r="I5122">
        <f t="shared" ref="I5122:I5185" si="1059">bd_impression</f>
        <v>0</v>
      </c>
      <c r="J5122">
        <f t="shared" ref="J5122:J5185" si="1060">bd_clicks</f>
        <v>0</v>
      </c>
      <c r="K5122" s="4" t="e">
        <f t="shared" si="1048"/>
        <v>#N/A</v>
      </c>
      <c r="L5122" t="e">
        <f t="shared" si="1049"/>
        <v>#N/A</v>
      </c>
      <c r="M5122" s="4" t="e">
        <f t="shared" si="1050"/>
        <v>#N/A</v>
      </c>
      <c r="N5122" s="4" t="e">
        <f t="shared" si="1051"/>
        <v>#N/A</v>
      </c>
    </row>
    <row r="5123" spans="1:14">
      <c r="A5123">
        <f t="shared" si="1052"/>
        <v>0</v>
      </c>
      <c r="B5123">
        <f t="shared" si="1053"/>
        <v>0</v>
      </c>
      <c r="C5123">
        <f t="shared" si="1054"/>
        <v>0</v>
      </c>
      <c r="D5123">
        <f t="shared" si="1055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6"/>
        <v>0</v>
      </c>
      <c r="G5123">
        <f t="shared" si="1057"/>
        <v>0</v>
      </c>
      <c r="H5123">
        <f t="shared" si="1058"/>
        <v>0</v>
      </c>
      <c r="I5123">
        <f t="shared" si="1059"/>
        <v>0</v>
      </c>
      <c r="J5123">
        <f t="shared" si="1060"/>
        <v>0</v>
      </c>
      <c r="K5123" s="4" t="e">
        <f t="shared" si="1048"/>
        <v>#N/A</v>
      </c>
      <c r="L5123" t="e">
        <f t="shared" si="1049"/>
        <v>#N/A</v>
      </c>
      <c r="M5123" s="4" t="e">
        <f t="shared" si="1050"/>
        <v>#N/A</v>
      </c>
      <c r="N5123" s="4" t="e">
        <f t="shared" si="1051"/>
        <v>#N/A</v>
      </c>
    </row>
    <row r="5124" spans="1:14">
      <c r="A5124">
        <f t="shared" si="1052"/>
        <v>0</v>
      </c>
      <c r="B5124">
        <f t="shared" si="1053"/>
        <v>0</v>
      </c>
      <c r="C5124">
        <f t="shared" si="1054"/>
        <v>0</v>
      </c>
      <c r="D5124">
        <f t="shared" si="1055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6"/>
        <v>0</v>
      </c>
      <c r="G5124">
        <f t="shared" si="1057"/>
        <v>0</v>
      </c>
      <c r="H5124">
        <f t="shared" si="1058"/>
        <v>0</v>
      </c>
      <c r="I5124">
        <f t="shared" si="1059"/>
        <v>0</v>
      </c>
      <c r="J5124">
        <f t="shared" si="1060"/>
        <v>0</v>
      </c>
      <c r="K5124" s="4" t="e">
        <f t="shared" si="1048"/>
        <v>#N/A</v>
      </c>
      <c r="L5124" t="e">
        <f t="shared" si="1049"/>
        <v>#N/A</v>
      </c>
      <c r="M5124" s="4" t="e">
        <f t="shared" si="1050"/>
        <v>#N/A</v>
      </c>
      <c r="N5124" s="4" t="e">
        <f t="shared" si="1051"/>
        <v>#N/A</v>
      </c>
    </row>
    <row r="5125" spans="1:14">
      <c r="A5125">
        <f t="shared" si="1052"/>
        <v>0</v>
      </c>
      <c r="B5125">
        <f t="shared" si="1053"/>
        <v>0</v>
      </c>
      <c r="C5125">
        <f t="shared" si="1054"/>
        <v>0</v>
      </c>
      <c r="D5125">
        <f t="shared" si="1055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6"/>
        <v>0</v>
      </c>
      <c r="G5125">
        <f t="shared" si="1057"/>
        <v>0</v>
      </c>
      <c r="H5125">
        <f t="shared" si="1058"/>
        <v>0</v>
      </c>
      <c r="I5125">
        <f t="shared" si="1059"/>
        <v>0</v>
      </c>
      <c r="J5125">
        <f t="shared" si="1060"/>
        <v>0</v>
      </c>
      <c r="K5125" s="4" t="e">
        <f t="shared" si="1048"/>
        <v>#N/A</v>
      </c>
      <c r="L5125" t="e">
        <f t="shared" si="1049"/>
        <v>#N/A</v>
      </c>
      <c r="M5125" s="4" t="e">
        <f t="shared" si="1050"/>
        <v>#N/A</v>
      </c>
      <c r="N5125" s="4" t="e">
        <f t="shared" si="1051"/>
        <v>#N/A</v>
      </c>
    </row>
    <row r="5126" spans="1:14">
      <c r="A5126">
        <f t="shared" si="1052"/>
        <v>0</v>
      </c>
      <c r="B5126">
        <f t="shared" si="1053"/>
        <v>0</v>
      </c>
      <c r="C5126">
        <f t="shared" si="1054"/>
        <v>0</v>
      </c>
      <c r="D5126">
        <f t="shared" si="1055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6"/>
        <v>0</v>
      </c>
      <c r="G5126">
        <f t="shared" si="1057"/>
        <v>0</v>
      </c>
      <c r="H5126">
        <f t="shared" si="1058"/>
        <v>0</v>
      </c>
      <c r="I5126">
        <f t="shared" si="1059"/>
        <v>0</v>
      </c>
      <c r="J5126">
        <f t="shared" si="1060"/>
        <v>0</v>
      </c>
      <c r="K5126" s="4" t="e">
        <f t="shared" si="1048"/>
        <v>#N/A</v>
      </c>
      <c r="L5126" t="e">
        <f t="shared" si="1049"/>
        <v>#N/A</v>
      </c>
      <c r="M5126" s="4" t="e">
        <f t="shared" si="1050"/>
        <v>#N/A</v>
      </c>
      <c r="N5126" s="4" t="e">
        <f t="shared" si="1051"/>
        <v>#N/A</v>
      </c>
    </row>
    <row r="5127" spans="1:14">
      <c r="A5127">
        <f t="shared" si="1052"/>
        <v>0</v>
      </c>
      <c r="B5127">
        <f t="shared" si="1053"/>
        <v>0</v>
      </c>
      <c r="C5127">
        <f t="shared" si="1054"/>
        <v>0</v>
      </c>
      <c r="D5127">
        <f t="shared" si="1055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6"/>
        <v>0</v>
      </c>
      <c r="G5127">
        <f t="shared" si="1057"/>
        <v>0</v>
      </c>
      <c r="H5127">
        <f t="shared" si="1058"/>
        <v>0</v>
      </c>
      <c r="I5127">
        <f t="shared" si="1059"/>
        <v>0</v>
      </c>
      <c r="J5127">
        <f t="shared" si="1060"/>
        <v>0</v>
      </c>
      <c r="K5127" s="4" t="e">
        <f t="shared" si="1048"/>
        <v>#N/A</v>
      </c>
      <c r="L5127" t="e">
        <f t="shared" si="1049"/>
        <v>#N/A</v>
      </c>
      <c r="M5127" s="4" t="e">
        <f t="shared" si="1050"/>
        <v>#N/A</v>
      </c>
      <c r="N5127" s="4" t="e">
        <f t="shared" si="1051"/>
        <v>#N/A</v>
      </c>
    </row>
    <row r="5128" spans="1:14">
      <c r="A5128">
        <f t="shared" si="1052"/>
        <v>0</v>
      </c>
      <c r="B5128">
        <f t="shared" si="1053"/>
        <v>0</v>
      </c>
      <c r="C5128">
        <f t="shared" si="1054"/>
        <v>0</v>
      </c>
      <c r="D5128">
        <f t="shared" si="1055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6"/>
        <v>0</v>
      </c>
      <c r="G5128">
        <f t="shared" si="1057"/>
        <v>0</v>
      </c>
      <c r="H5128">
        <f t="shared" si="1058"/>
        <v>0</v>
      </c>
      <c r="I5128">
        <f t="shared" si="1059"/>
        <v>0</v>
      </c>
      <c r="J5128">
        <f t="shared" si="1060"/>
        <v>0</v>
      </c>
      <c r="K5128" s="4" t="e">
        <f t="shared" si="1048"/>
        <v>#N/A</v>
      </c>
      <c r="L5128" t="e">
        <f t="shared" si="1049"/>
        <v>#N/A</v>
      </c>
      <c r="M5128" s="4" t="e">
        <f t="shared" si="1050"/>
        <v>#N/A</v>
      </c>
      <c r="N5128" s="4" t="e">
        <f t="shared" si="1051"/>
        <v>#N/A</v>
      </c>
    </row>
    <row r="5129" spans="1:14">
      <c r="A5129">
        <f t="shared" si="1052"/>
        <v>0</v>
      </c>
      <c r="B5129">
        <f t="shared" si="1053"/>
        <v>0</v>
      </c>
      <c r="C5129">
        <f t="shared" si="1054"/>
        <v>0</v>
      </c>
      <c r="D5129">
        <f t="shared" si="1055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6"/>
        <v>0</v>
      </c>
      <c r="G5129">
        <f t="shared" si="1057"/>
        <v>0</v>
      </c>
      <c r="H5129">
        <f t="shared" si="1058"/>
        <v>0</v>
      </c>
      <c r="I5129">
        <f t="shared" si="1059"/>
        <v>0</v>
      </c>
      <c r="J5129">
        <f t="shared" si="1060"/>
        <v>0</v>
      </c>
      <c r="K5129" s="4" t="e">
        <f t="shared" si="1048"/>
        <v>#N/A</v>
      </c>
      <c r="L5129" t="e">
        <f t="shared" si="1049"/>
        <v>#N/A</v>
      </c>
      <c r="M5129" s="4" t="e">
        <f t="shared" si="1050"/>
        <v>#N/A</v>
      </c>
      <c r="N5129" s="4" t="e">
        <f t="shared" si="1051"/>
        <v>#N/A</v>
      </c>
    </row>
    <row r="5130" spans="1:14">
      <c r="A5130">
        <f t="shared" si="1052"/>
        <v>0</v>
      </c>
      <c r="B5130">
        <f t="shared" si="1053"/>
        <v>0</v>
      </c>
      <c r="C5130">
        <f t="shared" si="1054"/>
        <v>0</v>
      </c>
      <c r="D5130">
        <f t="shared" si="1055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6"/>
        <v>0</v>
      </c>
      <c r="G5130">
        <f t="shared" si="1057"/>
        <v>0</v>
      </c>
      <c r="H5130">
        <f t="shared" si="1058"/>
        <v>0</v>
      </c>
      <c r="I5130">
        <f t="shared" si="1059"/>
        <v>0</v>
      </c>
      <c r="J5130">
        <f t="shared" si="1060"/>
        <v>0</v>
      </c>
      <c r="K5130" s="4" t="e">
        <f t="shared" si="1048"/>
        <v>#N/A</v>
      </c>
      <c r="L5130" t="e">
        <f t="shared" si="1049"/>
        <v>#N/A</v>
      </c>
      <c r="M5130" s="4" t="e">
        <f t="shared" si="1050"/>
        <v>#N/A</v>
      </c>
      <c r="N5130" s="4" t="e">
        <f t="shared" si="1051"/>
        <v>#N/A</v>
      </c>
    </row>
    <row r="5131" spans="1:14">
      <c r="A5131">
        <f t="shared" si="1052"/>
        <v>0</v>
      </c>
      <c r="B5131">
        <f t="shared" si="1053"/>
        <v>0</v>
      </c>
      <c r="C5131">
        <f t="shared" si="1054"/>
        <v>0</v>
      </c>
      <c r="D5131">
        <f t="shared" si="1055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6"/>
        <v>0</v>
      </c>
      <c r="G5131">
        <f t="shared" si="1057"/>
        <v>0</v>
      </c>
      <c r="H5131">
        <f t="shared" si="1058"/>
        <v>0</v>
      </c>
      <c r="I5131">
        <f t="shared" si="1059"/>
        <v>0</v>
      </c>
      <c r="J5131">
        <f t="shared" si="1060"/>
        <v>0</v>
      </c>
      <c r="K5131" s="4" t="e">
        <f t="shared" si="1048"/>
        <v>#N/A</v>
      </c>
      <c r="L5131" t="e">
        <f t="shared" si="1049"/>
        <v>#N/A</v>
      </c>
      <c r="M5131" s="4" t="e">
        <f t="shared" si="1050"/>
        <v>#N/A</v>
      </c>
      <c r="N5131" s="4" t="e">
        <f t="shared" si="1051"/>
        <v>#N/A</v>
      </c>
    </row>
    <row r="5132" spans="1:14">
      <c r="A5132">
        <f t="shared" si="1052"/>
        <v>0</v>
      </c>
      <c r="B5132">
        <f t="shared" si="1053"/>
        <v>0</v>
      </c>
      <c r="C5132">
        <f t="shared" si="1054"/>
        <v>0</v>
      </c>
      <c r="D5132">
        <f t="shared" si="1055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6"/>
        <v>0</v>
      </c>
      <c r="G5132">
        <f t="shared" si="1057"/>
        <v>0</v>
      </c>
      <c r="H5132">
        <f t="shared" si="1058"/>
        <v>0</v>
      </c>
      <c r="I5132">
        <f t="shared" si="1059"/>
        <v>0</v>
      </c>
      <c r="J5132">
        <f t="shared" si="1060"/>
        <v>0</v>
      </c>
      <c r="K5132" s="4" t="e">
        <f t="shared" si="1048"/>
        <v>#N/A</v>
      </c>
      <c r="L5132" t="e">
        <f t="shared" si="1049"/>
        <v>#N/A</v>
      </c>
      <c r="M5132" s="4" t="e">
        <f t="shared" si="1050"/>
        <v>#N/A</v>
      </c>
      <c r="N5132" s="4" t="e">
        <f t="shared" si="1051"/>
        <v>#N/A</v>
      </c>
    </row>
    <row r="5133" spans="1:14">
      <c r="A5133">
        <f t="shared" si="1052"/>
        <v>0</v>
      </c>
      <c r="B5133">
        <f t="shared" si="1053"/>
        <v>0</v>
      </c>
      <c r="C5133">
        <f t="shared" si="1054"/>
        <v>0</v>
      </c>
      <c r="D5133">
        <f t="shared" si="1055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6"/>
        <v>0</v>
      </c>
      <c r="G5133">
        <f t="shared" si="1057"/>
        <v>0</v>
      </c>
      <c r="H5133">
        <f t="shared" si="1058"/>
        <v>0</v>
      </c>
      <c r="I5133">
        <f t="shared" si="1059"/>
        <v>0</v>
      </c>
      <c r="J5133">
        <f t="shared" si="1060"/>
        <v>0</v>
      </c>
      <c r="K5133" s="4" t="e">
        <f t="shared" si="1048"/>
        <v>#N/A</v>
      </c>
      <c r="L5133" t="e">
        <f t="shared" si="1049"/>
        <v>#N/A</v>
      </c>
      <c r="M5133" s="4" t="e">
        <f t="shared" si="1050"/>
        <v>#N/A</v>
      </c>
      <c r="N5133" s="4" t="e">
        <f t="shared" si="1051"/>
        <v>#N/A</v>
      </c>
    </row>
    <row r="5134" spans="1:14">
      <c r="A5134">
        <f t="shared" si="1052"/>
        <v>0</v>
      </c>
      <c r="B5134">
        <f t="shared" si="1053"/>
        <v>0</v>
      </c>
      <c r="C5134">
        <f t="shared" si="1054"/>
        <v>0</v>
      </c>
      <c r="D5134">
        <f t="shared" si="1055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6"/>
        <v>0</v>
      </c>
      <c r="G5134">
        <f t="shared" si="1057"/>
        <v>0</v>
      </c>
      <c r="H5134">
        <f t="shared" si="1058"/>
        <v>0</v>
      </c>
      <c r="I5134">
        <f t="shared" si="1059"/>
        <v>0</v>
      </c>
      <c r="J5134">
        <f t="shared" si="1060"/>
        <v>0</v>
      </c>
      <c r="K5134" s="4" t="e">
        <f t="shared" si="1048"/>
        <v>#N/A</v>
      </c>
      <c r="L5134" t="e">
        <f t="shared" si="1049"/>
        <v>#N/A</v>
      </c>
      <c r="M5134" s="4" t="e">
        <f t="shared" si="1050"/>
        <v>#N/A</v>
      </c>
      <c r="N5134" s="4" t="e">
        <f t="shared" si="1051"/>
        <v>#N/A</v>
      </c>
    </row>
    <row r="5135" spans="1:14">
      <c r="A5135">
        <f t="shared" si="1052"/>
        <v>0</v>
      </c>
      <c r="B5135">
        <f t="shared" si="1053"/>
        <v>0</v>
      </c>
      <c r="C5135">
        <f t="shared" si="1054"/>
        <v>0</v>
      </c>
      <c r="D5135">
        <f t="shared" si="1055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6"/>
        <v>0</v>
      </c>
      <c r="G5135">
        <f t="shared" si="1057"/>
        <v>0</v>
      </c>
      <c r="H5135">
        <f t="shared" si="1058"/>
        <v>0</v>
      </c>
      <c r="I5135">
        <f t="shared" si="1059"/>
        <v>0</v>
      </c>
      <c r="J5135">
        <f t="shared" si="1060"/>
        <v>0</v>
      </c>
      <c r="K5135" s="4" t="e">
        <f t="shared" si="1048"/>
        <v>#N/A</v>
      </c>
      <c r="L5135" t="e">
        <f t="shared" si="1049"/>
        <v>#N/A</v>
      </c>
      <c r="M5135" s="4" t="e">
        <f t="shared" si="1050"/>
        <v>#N/A</v>
      </c>
      <c r="N5135" s="4" t="e">
        <f t="shared" si="1051"/>
        <v>#N/A</v>
      </c>
    </row>
    <row r="5136" spans="1:14">
      <c r="A5136">
        <f t="shared" si="1052"/>
        <v>0</v>
      </c>
      <c r="B5136">
        <f t="shared" si="1053"/>
        <v>0</v>
      </c>
      <c r="C5136">
        <f t="shared" si="1054"/>
        <v>0</v>
      </c>
      <c r="D5136">
        <f t="shared" si="1055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6"/>
        <v>0</v>
      </c>
      <c r="G5136">
        <f t="shared" si="1057"/>
        <v>0</v>
      </c>
      <c r="H5136">
        <f t="shared" si="1058"/>
        <v>0</v>
      </c>
      <c r="I5136">
        <f t="shared" si="1059"/>
        <v>0</v>
      </c>
      <c r="J5136">
        <f t="shared" si="1060"/>
        <v>0</v>
      </c>
      <c r="K5136" s="4" t="e">
        <f t="shared" si="1048"/>
        <v>#N/A</v>
      </c>
      <c r="L5136" t="e">
        <f t="shared" si="1049"/>
        <v>#N/A</v>
      </c>
      <c r="M5136" s="4" t="e">
        <f t="shared" si="1050"/>
        <v>#N/A</v>
      </c>
      <c r="N5136" s="4" t="e">
        <f t="shared" si="1051"/>
        <v>#N/A</v>
      </c>
    </row>
    <row r="5137" spans="1:14">
      <c r="A5137">
        <f t="shared" si="1052"/>
        <v>0</v>
      </c>
      <c r="B5137">
        <f t="shared" si="1053"/>
        <v>0</v>
      </c>
      <c r="C5137">
        <f t="shared" si="1054"/>
        <v>0</v>
      </c>
      <c r="D5137">
        <f t="shared" si="1055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6"/>
        <v>0</v>
      </c>
      <c r="G5137">
        <f t="shared" si="1057"/>
        <v>0</v>
      </c>
      <c r="H5137">
        <f t="shared" si="1058"/>
        <v>0</v>
      </c>
      <c r="I5137">
        <f t="shared" si="1059"/>
        <v>0</v>
      </c>
      <c r="J5137">
        <f t="shared" si="1060"/>
        <v>0</v>
      </c>
      <c r="K5137" s="4" t="e">
        <f t="shared" si="1048"/>
        <v>#N/A</v>
      </c>
      <c r="L5137" t="e">
        <f t="shared" si="1049"/>
        <v>#N/A</v>
      </c>
      <c r="M5137" s="4" t="e">
        <f t="shared" si="1050"/>
        <v>#N/A</v>
      </c>
      <c r="N5137" s="4" t="e">
        <f t="shared" si="1051"/>
        <v>#N/A</v>
      </c>
    </row>
    <row r="5138" spans="1:14">
      <c r="A5138">
        <f t="shared" si="1052"/>
        <v>0</v>
      </c>
      <c r="B5138">
        <f t="shared" si="1053"/>
        <v>0</v>
      </c>
      <c r="C5138">
        <f t="shared" si="1054"/>
        <v>0</v>
      </c>
      <c r="D5138">
        <f t="shared" si="1055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6"/>
        <v>0</v>
      </c>
      <c r="G5138">
        <f t="shared" si="1057"/>
        <v>0</v>
      </c>
      <c r="H5138">
        <f t="shared" si="1058"/>
        <v>0</v>
      </c>
      <c r="I5138">
        <f t="shared" si="1059"/>
        <v>0</v>
      </c>
      <c r="J5138">
        <f t="shared" si="1060"/>
        <v>0</v>
      </c>
      <c r="K5138" s="4" t="e">
        <f t="shared" si="1048"/>
        <v>#N/A</v>
      </c>
      <c r="L5138" t="e">
        <f t="shared" si="1049"/>
        <v>#N/A</v>
      </c>
      <c r="M5138" s="4" t="e">
        <f t="shared" si="1050"/>
        <v>#N/A</v>
      </c>
      <c r="N5138" s="4" t="e">
        <f t="shared" si="1051"/>
        <v>#N/A</v>
      </c>
    </row>
    <row r="5139" spans="1:14">
      <c r="A5139">
        <f t="shared" si="1052"/>
        <v>0</v>
      </c>
      <c r="B5139">
        <f t="shared" si="1053"/>
        <v>0</v>
      </c>
      <c r="C5139">
        <f t="shared" si="1054"/>
        <v>0</v>
      </c>
      <c r="D5139">
        <f t="shared" si="1055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6"/>
        <v>0</v>
      </c>
      <c r="G5139">
        <f t="shared" si="1057"/>
        <v>0</v>
      </c>
      <c r="H5139">
        <f t="shared" si="1058"/>
        <v>0</v>
      </c>
      <c r="I5139">
        <f t="shared" si="1059"/>
        <v>0</v>
      </c>
      <c r="J5139">
        <f t="shared" si="1060"/>
        <v>0</v>
      </c>
      <c r="K5139" s="4" t="e">
        <f t="shared" si="1048"/>
        <v>#N/A</v>
      </c>
      <c r="L5139" t="e">
        <f t="shared" si="1049"/>
        <v>#N/A</v>
      </c>
      <c r="M5139" s="4" t="e">
        <f t="shared" si="1050"/>
        <v>#N/A</v>
      </c>
      <c r="N5139" s="4" t="e">
        <f t="shared" si="1051"/>
        <v>#N/A</v>
      </c>
    </row>
    <row r="5140" spans="1:14">
      <c r="A5140">
        <f t="shared" si="1052"/>
        <v>0</v>
      </c>
      <c r="B5140">
        <f t="shared" si="1053"/>
        <v>0</v>
      </c>
      <c r="C5140">
        <f t="shared" si="1054"/>
        <v>0</v>
      </c>
      <c r="D5140">
        <f t="shared" si="1055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6"/>
        <v>0</v>
      </c>
      <c r="G5140">
        <f t="shared" si="1057"/>
        <v>0</v>
      </c>
      <c r="H5140">
        <f t="shared" si="1058"/>
        <v>0</v>
      </c>
      <c r="I5140">
        <f t="shared" si="1059"/>
        <v>0</v>
      </c>
      <c r="J5140">
        <f t="shared" si="1060"/>
        <v>0</v>
      </c>
      <c r="K5140" s="4" t="e">
        <f t="shared" si="1048"/>
        <v>#N/A</v>
      </c>
      <c r="L5140" t="e">
        <f t="shared" si="1049"/>
        <v>#N/A</v>
      </c>
      <c r="M5140" s="4" t="e">
        <f t="shared" si="1050"/>
        <v>#N/A</v>
      </c>
      <c r="N5140" s="4" t="e">
        <f t="shared" si="1051"/>
        <v>#N/A</v>
      </c>
    </row>
    <row r="5141" spans="1:14">
      <c r="A5141">
        <f t="shared" si="1052"/>
        <v>0</v>
      </c>
      <c r="B5141">
        <f t="shared" si="1053"/>
        <v>0</v>
      </c>
      <c r="C5141">
        <f t="shared" si="1054"/>
        <v>0</v>
      </c>
      <c r="D5141">
        <f t="shared" si="1055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6"/>
        <v>0</v>
      </c>
      <c r="G5141">
        <f t="shared" si="1057"/>
        <v>0</v>
      </c>
      <c r="H5141">
        <f t="shared" si="1058"/>
        <v>0</v>
      </c>
      <c r="I5141">
        <f t="shared" si="1059"/>
        <v>0</v>
      </c>
      <c r="J5141">
        <f t="shared" si="1060"/>
        <v>0</v>
      </c>
      <c r="K5141" s="4" t="e">
        <f t="shared" si="1048"/>
        <v>#N/A</v>
      </c>
      <c r="L5141" t="e">
        <f t="shared" si="1049"/>
        <v>#N/A</v>
      </c>
      <c r="M5141" s="4" t="e">
        <f t="shared" si="1050"/>
        <v>#N/A</v>
      </c>
      <c r="N5141" s="4" t="e">
        <f t="shared" si="1051"/>
        <v>#N/A</v>
      </c>
    </row>
    <row r="5142" spans="1:14">
      <c r="A5142">
        <f t="shared" si="1052"/>
        <v>0</v>
      </c>
      <c r="B5142">
        <f t="shared" si="1053"/>
        <v>0</v>
      </c>
      <c r="C5142">
        <f t="shared" si="1054"/>
        <v>0</v>
      </c>
      <c r="D5142">
        <f t="shared" si="1055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6"/>
        <v>0</v>
      </c>
      <c r="G5142">
        <f t="shared" si="1057"/>
        <v>0</v>
      </c>
      <c r="H5142">
        <f t="shared" si="1058"/>
        <v>0</v>
      </c>
      <c r="I5142">
        <f t="shared" si="1059"/>
        <v>0</v>
      </c>
      <c r="J5142">
        <f t="shared" si="1060"/>
        <v>0</v>
      </c>
      <c r="K5142" s="4" t="e">
        <f t="shared" si="1048"/>
        <v>#N/A</v>
      </c>
      <c r="L5142" t="e">
        <f t="shared" si="1049"/>
        <v>#N/A</v>
      </c>
      <c r="M5142" s="4" t="e">
        <f t="shared" si="1050"/>
        <v>#N/A</v>
      </c>
      <c r="N5142" s="4" t="e">
        <f t="shared" si="1051"/>
        <v>#N/A</v>
      </c>
    </row>
    <row r="5143" spans="1:14">
      <c r="A5143">
        <f t="shared" si="1052"/>
        <v>0</v>
      </c>
      <c r="B5143">
        <f t="shared" si="1053"/>
        <v>0</v>
      </c>
      <c r="C5143">
        <f t="shared" si="1054"/>
        <v>0</v>
      </c>
      <c r="D5143">
        <f t="shared" si="1055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6"/>
        <v>0</v>
      </c>
      <c r="G5143">
        <f t="shared" si="1057"/>
        <v>0</v>
      </c>
      <c r="H5143">
        <f t="shared" si="1058"/>
        <v>0</v>
      </c>
      <c r="I5143">
        <f t="shared" si="1059"/>
        <v>0</v>
      </c>
      <c r="J5143">
        <f t="shared" si="1060"/>
        <v>0</v>
      </c>
      <c r="K5143" s="4" t="e">
        <f t="shared" si="1048"/>
        <v>#N/A</v>
      </c>
      <c r="L5143" t="e">
        <f t="shared" si="1049"/>
        <v>#N/A</v>
      </c>
      <c r="M5143" s="4" t="e">
        <f t="shared" si="1050"/>
        <v>#N/A</v>
      </c>
      <c r="N5143" s="4" t="e">
        <f t="shared" si="1051"/>
        <v>#N/A</v>
      </c>
    </row>
    <row r="5144" spans="1:14">
      <c r="A5144">
        <f t="shared" si="1052"/>
        <v>0</v>
      </c>
      <c r="B5144">
        <f t="shared" si="1053"/>
        <v>0</v>
      </c>
      <c r="C5144">
        <f t="shared" si="1054"/>
        <v>0</v>
      </c>
      <c r="D5144">
        <f t="shared" si="1055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6"/>
        <v>0</v>
      </c>
      <c r="G5144">
        <f t="shared" si="1057"/>
        <v>0</v>
      </c>
      <c r="H5144">
        <f t="shared" si="1058"/>
        <v>0</v>
      </c>
      <c r="I5144">
        <f t="shared" si="1059"/>
        <v>0</v>
      </c>
      <c r="J5144">
        <f t="shared" si="1060"/>
        <v>0</v>
      </c>
      <c r="K5144" s="4" t="e">
        <f t="shared" si="1048"/>
        <v>#N/A</v>
      </c>
      <c r="L5144" t="e">
        <f t="shared" si="1049"/>
        <v>#N/A</v>
      </c>
      <c r="M5144" s="4" t="e">
        <f t="shared" si="1050"/>
        <v>#N/A</v>
      </c>
      <c r="N5144" s="4" t="e">
        <f t="shared" si="1051"/>
        <v>#N/A</v>
      </c>
    </row>
    <row r="5145" spans="1:14">
      <c r="A5145">
        <f t="shared" si="1052"/>
        <v>0</v>
      </c>
      <c r="B5145">
        <f t="shared" si="1053"/>
        <v>0</v>
      </c>
      <c r="C5145">
        <f t="shared" si="1054"/>
        <v>0</v>
      </c>
      <c r="D5145">
        <f t="shared" si="1055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6"/>
        <v>0</v>
      </c>
      <c r="G5145">
        <f t="shared" si="1057"/>
        <v>0</v>
      </c>
      <c r="H5145">
        <f t="shared" si="1058"/>
        <v>0</v>
      </c>
      <c r="I5145">
        <f t="shared" si="1059"/>
        <v>0</v>
      </c>
      <c r="J5145">
        <f t="shared" si="1060"/>
        <v>0</v>
      </c>
      <c r="K5145" s="4" t="e">
        <f t="shared" si="1048"/>
        <v>#N/A</v>
      </c>
      <c r="L5145" t="e">
        <f t="shared" si="1049"/>
        <v>#N/A</v>
      </c>
      <c r="M5145" s="4" t="e">
        <f t="shared" si="1050"/>
        <v>#N/A</v>
      </c>
      <c r="N5145" s="4" t="e">
        <f t="shared" si="1051"/>
        <v>#N/A</v>
      </c>
    </row>
    <row r="5146" spans="1:14">
      <c r="A5146">
        <f t="shared" si="1052"/>
        <v>0</v>
      </c>
      <c r="B5146">
        <f t="shared" si="1053"/>
        <v>0</v>
      </c>
      <c r="C5146">
        <f t="shared" si="1054"/>
        <v>0</v>
      </c>
      <c r="D5146">
        <f t="shared" si="1055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6"/>
        <v>0</v>
      </c>
      <c r="G5146">
        <f t="shared" si="1057"/>
        <v>0</v>
      </c>
      <c r="H5146">
        <f t="shared" si="1058"/>
        <v>0</v>
      </c>
      <c r="I5146">
        <f t="shared" si="1059"/>
        <v>0</v>
      </c>
      <c r="J5146">
        <f t="shared" si="1060"/>
        <v>0</v>
      </c>
      <c r="K5146" s="4" t="e">
        <f t="shared" si="1048"/>
        <v>#N/A</v>
      </c>
      <c r="L5146" t="e">
        <f t="shared" si="1049"/>
        <v>#N/A</v>
      </c>
      <c r="M5146" s="4" t="e">
        <f t="shared" si="1050"/>
        <v>#N/A</v>
      </c>
      <c r="N5146" s="4" t="e">
        <f t="shared" si="1051"/>
        <v>#N/A</v>
      </c>
    </row>
    <row r="5147" spans="1:14">
      <c r="A5147">
        <f t="shared" si="1052"/>
        <v>0</v>
      </c>
      <c r="B5147">
        <f t="shared" si="1053"/>
        <v>0</v>
      </c>
      <c r="C5147">
        <f t="shared" si="1054"/>
        <v>0</v>
      </c>
      <c r="D5147">
        <f t="shared" si="1055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6"/>
        <v>0</v>
      </c>
      <c r="G5147">
        <f t="shared" si="1057"/>
        <v>0</v>
      </c>
      <c r="H5147">
        <f t="shared" si="1058"/>
        <v>0</v>
      </c>
      <c r="I5147">
        <f t="shared" si="1059"/>
        <v>0</v>
      </c>
      <c r="J5147">
        <f t="shared" si="1060"/>
        <v>0</v>
      </c>
      <c r="K5147" s="4" t="e">
        <f t="shared" si="1048"/>
        <v>#N/A</v>
      </c>
      <c r="L5147" t="e">
        <f t="shared" si="1049"/>
        <v>#N/A</v>
      </c>
      <c r="M5147" s="4" t="e">
        <f t="shared" si="1050"/>
        <v>#N/A</v>
      </c>
      <c r="N5147" s="4" t="e">
        <f t="shared" si="1051"/>
        <v>#N/A</v>
      </c>
    </row>
    <row r="5148" spans="1:14">
      <c r="A5148">
        <f t="shared" si="1052"/>
        <v>0</v>
      </c>
      <c r="B5148">
        <f t="shared" si="1053"/>
        <v>0</v>
      </c>
      <c r="C5148">
        <f t="shared" si="1054"/>
        <v>0</v>
      </c>
      <c r="D5148">
        <f t="shared" si="1055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6"/>
        <v>0</v>
      </c>
      <c r="G5148">
        <f t="shared" si="1057"/>
        <v>0</v>
      </c>
      <c r="H5148">
        <f t="shared" si="1058"/>
        <v>0</v>
      </c>
      <c r="I5148">
        <f t="shared" si="1059"/>
        <v>0</v>
      </c>
      <c r="J5148">
        <f t="shared" si="1060"/>
        <v>0</v>
      </c>
      <c r="K5148" s="4" t="e">
        <f t="shared" si="1048"/>
        <v>#N/A</v>
      </c>
      <c r="L5148" t="e">
        <f t="shared" si="1049"/>
        <v>#N/A</v>
      </c>
      <c r="M5148" s="4" t="e">
        <f t="shared" si="1050"/>
        <v>#N/A</v>
      </c>
      <c r="N5148" s="4" t="e">
        <f t="shared" si="1051"/>
        <v>#N/A</v>
      </c>
    </row>
    <row r="5149" spans="1:14">
      <c r="A5149">
        <f t="shared" si="1052"/>
        <v>0</v>
      </c>
      <c r="B5149">
        <f t="shared" si="1053"/>
        <v>0</v>
      </c>
      <c r="C5149">
        <f t="shared" si="1054"/>
        <v>0</v>
      </c>
      <c r="D5149">
        <f t="shared" si="1055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6"/>
        <v>0</v>
      </c>
      <c r="G5149">
        <f t="shared" si="1057"/>
        <v>0</v>
      </c>
      <c r="H5149">
        <f t="shared" si="1058"/>
        <v>0</v>
      </c>
      <c r="I5149">
        <f t="shared" si="1059"/>
        <v>0</v>
      </c>
      <c r="J5149">
        <f t="shared" si="1060"/>
        <v>0</v>
      </c>
      <c r="K5149" s="4" t="e">
        <f t="shared" si="1048"/>
        <v>#N/A</v>
      </c>
      <c r="L5149" t="e">
        <f t="shared" si="1049"/>
        <v>#N/A</v>
      </c>
      <c r="M5149" s="4" t="e">
        <f t="shared" si="1050"/>
        <v>#N/A</v>
      </c>
      <c r="N5149" s="4" t="e">
        <f t="shared" si="1051"/>
        <v>#N/A</v>
      </c>
    </row>
    <row r="5150" spans="1:14">
      <c r="A5150">
        <f t="shared" si="1052"/>
        <v>0</v>
      </c>
      <c r="B5150">
        <f t="shared" si="1053"/>
        <v>0</v>
      </c>
      <c r="C5150">
        <f t="shared" si="1054"/>
        <v>0</v>
      </c>
      <c r="D5150">
        <f t="shared" si="1055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6"/>
        <v>0</v>
      </c>
      <c r="G5150">
        <f t="shared" si="1057"/>
        <v>0</v>
      </c>
      <c r="H5150">
        <f t="shared" si="1058"/>
        <v>0</v>
      </c>
      <c r="I5150">
        <f t="shared" si="1059"/>
        <v>0</v>
      </c>
      <c r="J5150">
        <f t="shared" si="1060"/>
        <v>0</v>
      </c>
      <c r="K5150" s="4" t="e">
        <f t="shared" si="1048"/>
        <v>#N/A</v>
      </c>
      <c r="L5150" t="e">
        <f t="shared" si="1049"/>
        <v>#N/A</v>
      </c>
      <c r="M5150" s="4" t="e">
        <f t="shared" si="1050"/>
        <v>#N/A</v>
      </c>
      <c r="N5150" s="4" t="e">
        <f t="shared" si="1051"/>
        <v>#N/A</v>
      </c>
    </row>
    <row r="5151" spans="1:14">
      <c r="A5151">
        <f t="shared" si="1052"/>
        <v>0</v>
      </c>
      <c r="B5151">
        <f t="shared" si="1053"/>
        <v>0</v>
      </c>
      <c r="C5151">
        <f t="shared" si="1054"/>
        <v>0</v>
      </c>
      <c r="D5151">
        <f t="shared" si="1055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6"/>
        <v>0</v>
      </c>
      <c r="G5151">
        <f t="shared" si="1057"/>
        <v>0</v>
      </c>
      <c r="H5151">
        <f t="shared" si="1058"/>
        <v>0</v>
      </c>
      <c r="I5151">
        <f t="shared" si="1059"/>
        <v>0</v>
      </c>
      <c r="J5151">
        <f t="shared" si="1060"/>
        <v>0</v>
      </c>
      <c r="K5151" s="4" t="e">
        <f t="shared" si="1048"/>
        <v>#N/A</v>
      </c>
      <c r="L5151" t="e">
        <f t="shared" si="1049"/>
        <v>#N/A</v>
      </c>
      <c r="M5151" s="4" t="e">
        <f t="shared" si="1050"/>
        <v>#N/A</v>
      </c>
      <c r="N5151" s="4" t="e">
        <f t="shared" si="1051"/>
        <v>#N/A</v>
      </c>
    </row>
    <row r="5152" spans="1:14">
      <c r="A5152">
        <f t="shared" si="1052"/>
        <v>0</v>
      </c>
      <c r="B5152">
        <f t="shared" si="1053"/>
        <v>0</v>
      </c>
      <c r="C5152">
        <f t="shared" si="1054"/>
        <v>0</v>
      </c>
      <c r="D5152">
        <f t="shared" si="1055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6"/>
        <v>0</v>
      </c>
      <c r="G5152">
        <f t="shared" si="1057"/>
        <v>0</v>
      </c>
      <c r="H5152">
        <f t="shared" si="1058"/>
        <v>0</v>
      </c>
      <c r="I5152">
        <f t="shared" si="1059"/>
        <v>0</v>
      </c>
      <c r="J5152">
        <f t="shared" si="1060"/>
        <v>0</v>
      </c>
      <c r="K5152" s="4" t="e">
        <f t="shared" si="1048"/>
        <v>#N/A</v>
      </c>
      <c r="L5152" t="e">
        <f t="shared" si="1049"/>
        <v>#N/A</v>
      </c>
      <c r="M5152" s="4" t="e">
        <f t="shared" si="1050"/>
        <v>#N/A</v>
      </c>
      <c r="N5152" s="4" t="e">
        <f t="shared" si="1051"/>
        <v>#N/A</v>
      </c>
    </row>
    <row r="5153" spans="1:14">
      <c r="A5153">
        <f t="shared" si="1052"/>
        <v>0</v>
      </c>
      <c r="B5153">
        <f t="shared" si="1053"/>
        <v>0</v>
      </c>
      <c r="C5153">
        <f t="shared" si="1054"/>
        <v>0</v>
      </c>
      <c r="D5153">
        <f t="shared" si="1055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6"/>
        <v>0</v>
      </c>
      <c r="G5153">
        <f t="shared" si="1057"/>
        <v>0</v>
      </c>
      <c r="H5153">
        <f t="shared" si="1058"/>
        <v>0</v>
      </c>
      <c r="I5153">
        <f t="shared" si="1059"/>
        <v>0</v>
      </c>
      <c r="J5153">
        <f t="shared" si="1060"/>
        <v>0</v>
      </c>
      <c r="K5153" s="4" t="e">
        <f t="shared" si="1048"/>
        <v>#N/A</v>
      </c>
      <c r="L5153" t="e">
        <f t="shared" si="1049"/>
        <v>#N/A</v>
      </c>
      <c r="M5153" s="4" t="e">
        <f t="shared" si="1050"/>
        <v>#N/A</v>
      </c>
      <c r="N5153" s="4" t="e">
        <f t="shared" si="1051"/>
        <v>#N/A</v>
      </c>
    </row>
    <row r="5154" spans="1:14">
      <c r="A5154">
        <f t="shared" si="1052"/>
        <v>0</v>
      </c>
      <c r="B5154">
        <f t="shared" si="1053"/>
        <v>0</v>
      </c>
      <c r="C5154">
        <f t="shared" si="1054"/>
        <v>0</v>
      </c>
      <c r="D5154">
        <f t="shared" si="1055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6"/>
        <v>0</v>
      </c>
      <c r="G5154">
        <f t="shared" si="1057"/>
        <v>0</v>
      </c>
      <c r="H5154">
        <f t="shared" si="1058"/>
        <v>0</v>
      </c>
      <c r="I5154">
        <f t="shared" si="1059"/>
        <v>0</v>
      </c>
      <c r="J5154">
        <f t="shared" si="1060"/>
        <v>0</v>
      </c>
      <c r="K5154" s="4" t="e">
        <f t="shared" si="1048"/>
        <v>#N/A</v>
      </c>
      <c r="L5154" t="e">
        <f t="shared" si="1049"/>
        <v>#N/A</v>
      </c>
      <c r="M5154" s="4" t="e">
        <f t="shared" si="1050"/>
        <v>#N/A</v>
      </c>
      <c r="N5154" s="4" t="e">
        <f t="shared" si="1051"/>
        <v>#N/A</v>
      </c>
    </row>
    <row r="5155" spans="1:14">
      <c r="A5155">
        <f t="shared" si="1052"/>
        <v>0</v>
      </c>
      <c r="B5155">
        <f t="shared" si="1053"/>
        <v>0</v>
      </c>
      <c r="C5155">
        <f t="shared" si="1054"/>
        <v>0</v>
      </c>
      <c r="D5155">
        <f t="shared" si="1055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6"/>
        <v>0</v>
      </c>
      <c r="G5155">
        <f t="shared" si="1057"/>
        <v>0</v>
      </c>
      <c r="H5155">
        <f t="shared" si="1058"/>
        <v>0</v>
      </c>
      <c r="I5155">
        <f t="shared" si="1059"/>
        <v>0</v>
      </c>
      <c r="J5155">
        <f t="shared" si="1060"/>
        <v>0</v>
      </c>
      <c r="K5155" s="4" t="e">
        <f t="shared" si="1048"/>
        <v>#N/A</v>
      </c>
      <c r="L5155" t="e">
        <f t="shared" si="1049"/>
        <v>#N/A</v>
      </c>
      <c r="M5155" s="4" t="e">
        <f t="shared" si="1050"/>
        <v>#N/A</v>
      </c>
      <c r="N5155" s="4" t="e">
        <f t="shared" si="1051"/>
        <v>#N/A</v>
      </c>
    </row>
    <row r="5156" spans="1:14">
      <c r="A5156">
        <f t="shared" si="1052"/>
        <v>0</v>
      </c>
      <c r="B5156">
        <f t="shared" si="1053"/>
        <v>0</v>
      </c>
      <c r="C5156">
        <f t="shared" si="1054"/>
        <v>0</v>
      </c>
      <c r="D5156">
        <f t="shared" si="1055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6"/>
        <v>0</v>
      </c>
      <c r="G5156">
        <f t="shared" si="1057"/>
        <v>0</v>
      </c>
      <c r="H5156">
        <f t="shared" si="1058"/>
        <v>0</v>
      </c>
      <c r="I5156">
        <f t="shared" si="1059"/>
        <v>0</v>
      </c>
      <c r="J5156">
        <f t="shared" si="1060"/>
        <v>0</v>
      </c>
      <c r="K5156" s="4" t="e">
        <f t="shared" si="1048"/>
        <v>#N/A</v>
      </c>
      <c r="L5156" t="e">
        <f t="shared" si="1049"/>
        <v>#N/A</v>
      </c>
      <c r="M5156" s="4" t="e">
        <f t="shared" si="1050"/>
        <v>#N/A</v>
      </c>
      <c r="N5156" s="4" t="e">
        <f t="shared" si="1051"/>
        <v>#N/A</v>
      </c>
    </row>
    <row r="5157" spans="1:14">
      <c r="A5157">
        <f t="shared" si="1052"/>
        <v>0</v>
      </c>
      <c r="B5157">
        <f t="shared" si="1053"/>
        <v>0</v>
      </c>
      <c r="C5157">
        <f t="shared" si="1054"/>
        <v>0</v>
      </c>
      <c r="D5157">
        <f t="shared" si="1055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6"/>
        <v>0</v>
      </c>
      <c r="G5157">
        <f t="shared" si="1057"/>
        <v>0</v>
      </c>
      <c r="H5157">
        <f t="shared" si="1058"/>
        <v>0</v>
      </c>
      <c r="I5157">
        <f t="shared" si="1059"/>
        <v>0</v>
      </c>
      <c r="J5157">
        <f t="shared" si="1060"/>
        <v>0</v>
      </c>
      <c r="K5157" s="4" t="e">
        <f t="shared" si="1048"/>
        <v>#N/A</v>
      </c>
      <c r="L5157" t="e">
        <f t="shared" si="1049"/>
        <v>#N/A</v>
      </c>
      <c r="M5157" s="4" t="e">
        <f t="shared" si="1050"/>
        <v>#N/A</v>
      </c>
      <c r="N5157" s="4" t="e">
        <f t="shared" si="1051"/>
        <v>#N/A</v>
      </c>
    </row>
    <row r="5158" spans="1:14">
      <c r="A5158">
        <f t="shared" si="1052"/>
        <v>0</v>
      </c>
      <c r="B5158">
        <f t="shared" si="1053"/>
        <v>0</v>
      </c>
      <c r="C5158">
        <f t="shared" si="1054"/>
        <v>0</v>
      </c>
      <c r="D5158">
        <f t="shared" si="1055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6"/>
        <v>0</v>
      </c>
      <c r="G5158">
        <f t="shared" si="1057"/>
        <v>0</v>
      </c>
      <c r="H5158">
        <f t="shared" si="1058"/>
        <v>0</v>
      </c>
      <c r="I5158">
        <f t="shared" si="1059"/>
        <v>0</v>
      </c>
      <c r="J5158">
        <f t="shared" si="1060"/>
        <v>0</v>
      </c>
      <c r="K5158" s="4" t="e">
        <f t="shared" si="1048"/>
        <v>#N/A</v>
      </c>
      <c r="L5158" t="e">
        <f t="shared" si="1049"/>
        <v>#N/A</v>
      </c>
      <c r="M5158" s="4" t="e">
        <f t="shared" si="1050"/>
        <v>#N/A</v>
      </c>
      <c r="N5158" s="4" t="e">
        <f t="shared" si="1051"/>
        <v>#N/A</v>
      </c>
    </row>
    <row r="5159" spans="1:14">
      <c r="A5159">
        <f t="shared" si="1052"/>
        <v>0</v>
      </c>
      <c r="B5159">
        <f t="shared" si="1053"/>
        <v>0</v>
      </c>
      <c r="C5159">
        <f t="shared" si="1054"/>
        <v>0</v>
      </c>
      <c r="D5159">
        <f t="shared" si="1055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6"/>
        <v>0</v>
      </c>
      <c r="G5159">
        <f t="shared" si="1057"/>
        <v>0</v>
      </c>
      <c r="H5159">
        <f t="shared" si="1058"/>
        <v>0</v>
      </c>
      <c r="I5159">
        <f t="shared" si="1059"/>
        <v>0</v>
      </c>
      <c r="J5159">
        <f t="shared" si="1060"/>
        <v>0</v>
      </c>
      <c r="K5159" s="4" t="e">
        <f t="shared" si="1048"/>
        <v>#N/A</v>
      </c>
      <c r="L5159" t="e">
        <f t="shared" si="1049"/>
        <v>#N/A</v>
      </c>
      <c r="M5159" s="4" t="e">
        <f t="shared" si="1050"/>
        <v>#N/A</v>
      </c>
      <c r="N5159" s="4" t="e">
        <f t="shared" si="1051"/>
        <v>#N/A</v>
      </c>
    </row>
    <row r="5160" spans="1:14">
      <c r="A5160">
        <f t="shared" si="1052"/>
        <v>0</v>
      </c>
      <c r="B5160">
        <f t="shared" si="1053"/>
        <v>0</v>
      </c>
      <c r="C5160">
        <f t="shared" si="1054"/>
        <v>0</v>
      </c>
      <c r="D5160">
        <f t="shared" si="1055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6"/>
        <v>0</v>
      </c>
      <c r="G5160">
        <f t="shared" si="1057"/>
        <v>0</v>
      </c>
      <c r="H5160">
        <f t="shared" si="1058"/>
        <v>0</v>
      </c>
      <c r="I5160">
        <f t="shared" si="1059"/>
        <v>0</v>
      </c>
      <c r="J5160">
        <f t="shared" si="1060"/>
        <v>0</v>
      </c>
      <c r="K5160" s="4" t="e">
        <f t="shared" si="1048"/>
        <v>#N/A</v>
      </c>
      <c r="L5160" t="e">
        <f t="shared" si="1049"/>
        <v>#N/A</v>
      </c>
      <c r="M5160" s="4" t="e">
        <f t="shared" si="1050"/>
        <v>#N/A</v>
      </c>
      <c r="N5160" s="4" t="e">
        <f t="shared" si="1051"/>
        <v>#N/A</v>
      </c>
    </row>
    <row r="5161" spans="1:14">
      <c r="A5161">
        <f t="shared" si="1052"/>
        <v>0</v>
      </c>
      <c r="B5161">
        <f t="shared" si="1053"/>
        <v>0</v>
      </c>
      <c r="C5161">
        <f t="shared" si="1054"/>
        <v>0</v>
      </c>
      <c r="D5161">
        <f t="shared" si="1055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6"/>
        <v>0</v>
      </c>
      <c r="G5161">
        <f t="shared" si="1057"/>
        <v>0</v>
      </c>
      <c r="H5161">
        <f t="shared" si="1058"/>
        <v>0</v>
      </c>
      <c r="I5161">
        <f t="shared" si="1059"/>
        <v>0</v>
      </c>
      <c r="J5161">
        <f t="shared" si="1060"/>
        <v>0</v>
      </c>
      <c r="K5161" s="4" t="e">
        <f t="shared" si="1048"/>
        <v>#N/A</v>
      </c>
      <c r="L5161" t="e">
        <f t="shared" si="1049"/>
        <v>#N/A</v>
      </c>
      <c r="M5161" s="4" t="e">
        <f t="shared" si="1050"/>
        <v>#N/A</v>
      </c>
      <c r="N5161" s="4" t="e">
        <f t="shared" si="1051"/>
        <v>#N/A</v>
      </c>
    </row>
    <row r="5162" spans="1:14">
      <c r="A5162">
        <f t="shared" si="1052"/>
        <v>0</v>
      </c>
      <c r="B5162">
        <f t="shared" si="1053"/>
        <v>0</v>
      </c>
      <c r="C5162">
        <f t="shared" si="1054"/>
        <v>0</v>
      </c>
      <c r="D5162">
        <f t="shared" si="1055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6"/>
        <v>0</v>
      </c>
      <c r="G5162">
        <f t="shared" si="1057"/>
        <v>0</v>
      </c>
      <c r="H5162">
        <f t="shared" si="1058"/>
        <v>0</v>
      </c>
      <c r="I5162">
        <f t="shared" si="1059"/>
        <v>0</v>
      </c>
      <c r="J5162">
        <f t="shared" si="1060"/>
        <v>0</v>
      </c>
      <c r="K5162" s="4" t="e">
        <f t="shared" si="1048"/>
        <v>#N/A</v>
      </c>
      <c r="L5162" t="e">
        <f t="shared" si="1049"/>
        <v>#N/A</v>
      </c>
      <c r="M5162" s="4" t="e">
        <f t="shared" si="1050"/>
        <v>#N/A</v>
      </c>
      <c r="N5162" s="4" t="e">
        <f t="shared" si="1051"/>
        <v>#N/A</v>
      </c>
    </row>
    <row r="5163" spans="1:14">
      <c r="A5163">
        <f t="shared" si="1052"/>
        <v>0</v>
      </c>
      <c r="B5163">
        <f t="shared" si="1053"/>
        <v>0</v>
      </c>
      <c r="C5163">
        <f t="shared" si="1054"/>
        <v>0</v>
      </c>
      <c r="D5163">
        <f t="shared" si="1055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6"/>
        <v>0</v>
      </c>
      <c r="G5163">
        <f t="shared" si="1057"/>
        <v>0</v>
      </c>
      <c r="H5163">
        <f t="shared" si="1058"/>
        <v>0</v>
      </c>
      <c r="I5163">
        <f t="shared" si="1059"/>
        <v>0</v>
      </c>
      <c r="J5163">
        <f t="shared" si="1060"/>
        <v>0</v>
      </c>
      <c r="K5163" s="4" t="e">
        <f t="shared" si="1048"/>
        <v>#N/A</v>
      </c>
      <c r="L5163" t="e">
        <f t="shared" si="1049"/>
        <v>#N/A</v>
      </c>
      <c r="M5163" s="4" t="e">
        <f t="shared" si="1050"/>
        <v>#N/A</v>
      </c>
      <c r="N5163" s="4" t="e">
        <f t="shared" si="1051"/>
        <v>#N/A</v>
      </c>
    </row>
    <row r="5164" spans="1:14">
      <c r="A5164">
        <f t="shared" si="1052"/>
        <v>0</v>
      </c>
      <c r="B5164">
        <f t="shared" si="1053"/>
        <v>0</v>
      </c>
      <c r="C5164">
        <f t="shared" si="1054"/>
        <v>0</v>
      </c>
      <c r="D5164">
        <f t="shared" si="1055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6"/>
        <v>0</v>
      </c>
      <c r="G5164">
        <f t="shared" si="1057"/>
        <v>0</v>
      </c>
      <c r="H5164">
        <f t="shared" si="1058"/>
        <v>0</v>
      </c>
      <c r="I5164">
        <f t="shared" si="1059"/>
        <v>0</v>
      </c>
      <c r="J5164">
        <f t="shared" si="1060"/>
        <v>0</v>
      </c>
      <c r="K5164" s="4" t="e">
        <f t="shared" si="1048"/>
        <v>#N/A</v>
      </c>
      <c r="L5164" t="e">
        <f t="shared" si="1049"/>
        <v>#N/A</v>
      </c>
      <c r="M5164" s="4" t="e">
        <f t="shared" si="1050"/>
        <v>#N/A</v>
      </c>
      <c r="N5164" s="4" t="e">
        <f t="shared" si="1051"/>
        <v>#N/A</v>
      </c>
    </row>
    <row r="5165" spans="1:14">
      <c r="A5165">
        <f t="shared" si="1052"/>
        <v>0</v>
      </c>
      <c r="B5165">
        <f t="shared" si="1053"/>
        <v>0</v>
      </c>
      <c r="C5165">
        <f t="shared" si="1054"/>
        <v>0</v>
      </c>
      <c r="D5165">
        <f t="shared" si="1055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6"/>
        <v>0</v>
      </c>
      <c r="G5165">
        <f t="shared" si="1057"/>
        <v>0</v>
      </c>
      <c r="H5165">
        <f t="shared" si="1058"/>
        <v>0</v>
      </c>
      <c r="I5165">
        <f t="shared" si="1059"/>
        <v>0</v>
      </c>
      <c r="J5165">
        <f t="shared" si="1060"/>
        <v>0</v>
      </c>
      <c r="K5165" s="4" t="e">
        <f t="shared" si="1048"/>
        <v>#N/A</v>
      </c>
      <c r="L5165" t="e">
        <f t="shared" si="1049"/>
        <v>#N/A</v>
      </c>
      <c r="M5165" s="4" t="e">
        <f t="shared" si="1050"/>
        <v>#N/A</v>
      </c>
      <c r="N5165" s="4" t="e">
        <f t="shared" si="1051"/>
        <v>#N/A</v>
      </c>
    </row>
    <row r="5166" spans="1:14">
      <c r="A5166">
        <f t="shared" si="1052"/>
        <v>0</v>
      </c>
      <c r="B5166">
        <f t="shared" si="1053"/>
        <v>0</v>
      </c>
      <c r="C5166">
        <f t="shared" si="1054"/>
        <v>0</v>
      </c>
      <c r="D5166">
        <f t="shared" si="1055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6"/>
        <v>0</v>
      </c>
      <c r="G5166">
        <f t="shared" si="1057"/>
        <v>0</v>
      </c>
      <c r="H5166">
        <f t="shared" si="1058"/>
        <v>0</v>
      </c>
      <c r="I5166">
        <f t="shared" si="1059"/>
        <v>0</v>
      </c>
      <c r="J5166">
        <f t="shared" si="1060"/>
        <v>0</v>
      </c>
      <c r="K5166" s="4" t="e">
        <f t="shared" si="1048"/>
        <v>#N/A</v>
      </c>
      <c r="L5166" t="e">
        <f t="shared" si="1049"/>
        <v>#N/A</v>
      </c>
      <c r="M5166" s="4" t="e">
        <f t="shared" si="1050"/>
        <v>#N/A</v>
      </c>
      <c r="N5166" s="4" t="e">
        <f t="shared" si="1051"/>
        <v>#N/A</v>
      </c>
    </row>
    <row r="5167" spans="1:14">
      <c r="A5167">
        <f t="shared" si="1052"/>
        <v>0</v>
      </c>
      <c r="B5167">
        <f t="shared" si="1053"/>
        <v>0</v>
      </c>
      <c r="C5167">
        <f t="shared" si="1054"/>
        <v>0</v>
      </c>
      <c r="D5167">
        <f t="shared" si="1055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6"/>
        <v>0</v>
      </c>
      <c r="G5167">
        <f t="shared" si="1057"/>
        <v>0</v>
      </c>
      <c r="H5167">
        <f t="shared" si="1058"/>
        <v>0</v>
      </c>
      <c r="I5167">
        <f t="shared" si="1059"/>
        <v>0</v>
      </c>
      <c r="J5167">
        <f t="shared" si="1060"/>
        <v>0</v>
      </c>
      <c r="K5167" s="4" t="e">
        <f t="shared" si="1048"/>
        <v>#N/A</v>
      </c>
      <c r="L5167" t="e">
        <f t="shared" si="1049"/>
        <v>#N/A</v>
      </c>
      <c r="M5167" s="4" t="e">
        <f t="shared" si="1050"/>
        <v>#N/A</v>
      </c>
      <c r="N5167" s="4" t="e">
        <f t="shared" si="1051"/>
        <v>#N/A</v>
      </c>
    </row>
    <row r="5168" spans="1:14">
      <c r="A5168">
        <f t="shared" si="1052"/>
        <v>0</v>
      </c>
      <c r="B5168">
        <f t="shared" si="1053"/>
        <v>0</v>
      </c>
      <c r="C5168">
        <f t="shared" si="1054"/>
        <v>0</v>
      </c>
      <c r="D5168">
        <f t="shared" si="1055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6"/>
        <v>0</v>
      </c>
      <c r="G5168">
        <f t="shared" si="1057"/>
        <v>0</v>
      </c>
      <c r="H5168">
        <f t="shared" si="1058"/>
        <v>0</v>
      </c>
      <c r="I5168">
        <f t="shared" si="1059"/>
        <v>0</v>
      </c>
      <c r="J5168">
        <f t="shared" si="1060"/>
        <v>0</v>
      </c>
      <c r="K5168" s="4" t="e">
        <f t="shared" si="1048"/>
        <v>#N/A</v>
      </c>
      <c r="L5168" t="e">
        <f t="shared" si="1049"/>
        <v>#N/A</v>
      </c>
      <c r="M5168" s="4" t="e">
        <f t="shared" si="1050"/>
        <v>#N/A</v>
      </c>
      <c r="N5168" s="4" t="e">
        <f t="shared" si="1051"/>
        <v>#N/A</v>
      </c>
    </row>
    <row r="5169" spans="1:14">
      <c r="A5169">
        <f t="shared" si="1052"/>
        <v>0</v>
      </c>
      <c r="B5169">
        <f t="shared" si="1053"/>
        <v>0</v>
      </c>
      <c r="C5169">
        <f t="shared" si="1054"/>
        <v>0</v>
      </c>
      <c r="D5169">
        <f t="shared" si="1055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6"/>
        <v>0</v>
      </c>
      <c r="G5169">
        <f t="shared" si="1057"/>
        <v>0</v>
      </c>
      <c r="H5169">
        <f t="shared" si="1058"/>
        <v>0</v>
      </c>
      <c r="I5169">
        <f t="shared" si="1059"/>
        <v>0</v>
      </c>
      <c r="J5169">
        <f t="shared" si="1060"/>
        <v>0</v>
      </c>
      <c r="K5169" s="4" t="e">
        <f t="shared" si="1048"/>
        <v>#N/A</v>
      </c>
      <c r="L5169" t="e">
        <f t="shared" si="1049"/>
        <v>#N/A</v>
      </c>
      <c r="M5169" s="4" t="e">
        <f t="shared" si="1050"/>
        <v>#N/A</v>
      </c>
      <c r="N5169" s="4" t="e">
        <f t="shared" si="1051"/>
        <v>#N/A</v>
      </c>
    </row>
    <row r="5170" spans="1:14">
      <c r="A5170">
        <f t="shared" si="1052"/>
        <v>0</v>
      </c>
      <c r="B5170">
        <f t="shared" si="1053"/>
        <v>0</v>
      </c>
      <c r="C5170">
        <f t="shared" si="1054"/>
        <v>0</v>
      </c>
      <c r="D5170">
        <f t="shared" si="1055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6"/>
        <v>0</v>
      </c>
      <c r="G5170">
        <f t="shared" si="1057"/>
        <v>0</v>
      </c>
      <c r="H5170">
        <f t="shared" si="1058"/>
        <v>0</v>
      </c>
      <c r="I5170">
        <f t="shared" si="1059"/>
        <v>0</v>
      </c>
      <c r="J5170">
        <f t="shared" si="1060"/>
        <v>0</v>
      </c>
      <c r="K5170" s="4" t="e">
        <f t="shared" si="1048"/>
        <v>#N/A</v>
      </c>
      <c r="L5170" t="e">
        <f t="shared" si="1049"/>
        <v>#N/A</v>
      </c>
      <c r="M5170" s="4" t="e">
        <f t="shared" si="1050"/>
        <v>#N/A</v>
      </c>
      <c r="N5170" s="4" t="e">
        <f t="shared" si="1051"/>
        <v>#N/A</v>
      </c>
    </row>
    <row r="5171" spans="1:14">
      <c r="A5171">
        <f t="shared" si="1052"/>
        <v>0</v>
      </c>
      <c r="B5171">
        <f t="shared" si="1053"/>
        <v>0</v>
      </c>
      <c r="C5171">
        <f t="shared" si="1054"/>
        <v>0</v>
      </c>
      <c r="D5171">
        <f t="shared" si="1055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6"/>
        <v>0</v>
      </c>
      <c r="G5171">
        <f t="shared" si="1057"/>
        <v>0</v>
      </c>
      <c r="H5171">
        <f t="shared" si="1058"/>
        <v>0</v>
      </c>
      <c r="I5171">
        <f t="shared" si="1059"/>
        <v>0</v>
      </c>
      <c r="J5171">
        <f t="shared" si="1060"/>
        <v>0</v>
      </c>
      <c r="K5171" s="4" t="e">
        <f t="shared" si="1048"/>
        <v>#N/A</v>
      </c>
      <c r="L5171" t="e">
        <f t="shared" si="1049"/>
        <v>#N/A</v>
      </c>
      <c r="M5171" s="4" t="e">
        <f t="shared" si="1050"/>
        <v>#N/A</v>
      </c>
      <c r="N5171" s="4" t="e">
        <f t="shared" si="1051"/>
        <v>#N/A</v>
      </c>
    </row>
    <row r="5172" spans="1:14">
      <c r="A5172">
        <f t="shared" si="1052"/>
        <v>0</v>
      </c>
      <c r="B5172">
        <f t="shared" si="1053"/>
        <v>0</v>
      </c>
      <c r="C5172">
        <f t="shared" si="1054"/>
        <v>0</v>
      </c>
      <c r="D5172">
        <f t="shared" si="1055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6"/>
        <v>0</v>
      </c>
      <c r="G5172">
        <f t="shared" si="1057"/>
        <v>0</v>
      </c>
      <c r="H5172">
        <f t="shared" si="1058"/>
        <v>0</v>
      </c>
      <c r="I5172">
        <f t="shared" si="1059"/>
        <v>0</v>
      </c>
      <c r="J5172">
        <f t="shared" si="1060"/>
        <v>0</v>
      </c>
      <c r="K5172" s="4" t="e">
        <f t="shared" si="1048"/>
        <v>#N/A</v>
      </c>
      <c r="L5172" t="e">
        <f t="shared" si="1049"/>
        <v>#N/A</v>
      </c>
      <c r="M5172" s="4" t="e">
        <f t="shared" si="1050"/>
        <v>#N/A</v>
      </c>
      <c r="N5172" s="4" t="e">
        <f t="shared" si="1051"/>
        <v>#N/A</v>
      </c>
    </row>
    <row r="5173" spans="1:14">
      <c r="A5173">
        <f t="shared" si="1052"/>
        <v>0</v>
      </c>
      <c r="B5173">
        <f t="shared" si="1053"/>
        <v>0</v>
      </c>
      <c r="C5173">
        <f t="shared" si="1054"/>
        <v>0</v>
      </c>
      <c r="D5173">
        <f t="shared" si="1055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6"/>
        <v>0</v>
      </c>
      <c r="G5173">
        <f t="shared" si="1057"/>
        <v>0</v>
      </c>
      <c r="H5173">
        <f t="shared" si="1058"/>
        <v>0</v>
      </c>
      <c r="I5173">
        <f t="shared" si="1059"/>
        <v>0</v>
      </c>
      <c r="J5173">
        <f t="shared" si="1060"/>
        <v>0</v>
      </c>
      <c r="K5173" s="4" t="e">
        <f t="shared" si="1048"/>
        <v>#N/A</v>
      </c>
      <c r="L5173" t="e">
        <f t="shared" si="1049"/>
        <v>#N/A</v>
      </c>
      <c r="M5173" s="4" t="e">
        <f t="shared" si="1050"/>
        <v>#N/A</v>
      </c>
      <c r="N5173" s="4" t="e">
        <f t="shared" si="1051"/>
        <v>#N/A</v>
      </c>
    </row>
    <row r="5174" spans="1:14">
      <c r="A5174">
        <f t="shared" si="1052"/>
        <v>0</v>
      </c>
      <c r="B5174">
        <f t="shared" si="1053"/>
        <v>0</v>
      </c>
      <c r="C5174">
        <f t="shared" si="1054"/>
        <v>0</v>
      </c>
      <c r="D5174">
        <f t="shared" si="1055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6"/>
        <v>0</v>
      </c>
      <c r="G5174">
        <f t="shared" si="1057"/>
        <v>0</v>
      </c>
      <c r="H5174">
        <f t="shared" si="1058"/>
        <v>0</v>
      </c>
      <c r="I5174">
        <f t="shared" si="1059"/>
        <v>0</v>
      </c>
      <c r="J5174">
        <f t="shared" si="1060"/>
        <v>0</v>
      </c>
      <c r="K5174" s="4" t="e">
        <f t="shared" si="1048"/>
        <v>#N/A</v>
      </c>
      <c r="L5174" t="e">
        <f t="shared" si="1049"/>
        <v>#N/A</v>
      </c>
      <c r="M5174" s="4" t="e">
        <f t="shared" si="1050"/>
        <v>#N/A</v>
      </c>
      <c r="N5174" s="4" t="e">
        <f t="shared" si="1051"/>
        <v>#N/A</v>
      </c>
    </row>
    <row r="5175" spans="1:14">
      <c r="A5175">
        <f t="shared" si="1052"/>
        <v>0</v>
      </c>
      <c r="B5175">
        <f t="shared" si="1053"/>
        <v>0</v>
      </c>
      <c r="C5175">
        <f t="shared" si="1054"/>
        <v>0</v>
      </c>
      <c r="D5175">
        <f t="shared" si="1055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6"/>
        <v>0</v>
      </c>
      <c r="G5175">
        <f t="shared" si="1057"/>
        <v>0</v>
      </c>
      <c r="H5175">
        <f t="shared" si="1058"/>
        <v>0</v>
      </c>
      <c r="I5175">
        <f t="shared" si="1059"/>
        <v>0</v>
      </c>
      <c r="J5175">
        <f t="shared" si="1060"/>
        <v>0</v>
      </c>
      <c r="K5175" s="4" t="e">
        <f t="shared" si="1048"/>
        <v>#N/A</v>
      </c>
      <c r="L5175" t="e">
        <f t="shared" si="1049"/>
        <v>#N/A</v>
      </c>
      <c r="M5175" s="4" t="e">
        <f t="shared" si="1050"/>
        <v>#N/A</v>
      </c>
      <c r="N5175" s="4" t="e">
        <f t="shared" si="1051"/>
        <v>#N/A</v>
      </c>
    </row>
    <row r="5176" spans="1:14">
      <c r="A5176">
        <f t="shared" si="1052"/>
        <v>0</v>
      </c>
      <c r="B5176">
        <f t="shared" si="1053"/>
        <v>0</v>
      </c>
      <c r="C5176">
        <f t="shared" si="1054"/>
        <v>0</v>
      </c>
      <c r="D5176">
        <f t="shared" si="1055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6"/>
        <v>0</v>
      </c>
      <c r="G5176">
        <f t="shared" si="1057"/>
        <v>0</v>
      </c>
      <c r="H5176">
        <f t="shared" si="1058"/>
        <v>0</v>
      </c>
      <c r="I5176">
        <f t="shared" si="1059"/>
        <v>0</v>
      </c>
      <c r="J5176">
        <f t="shared" si="1060"/>
        <v>0</v>
      </c>
      <c r="K5176" s="4" t="e">
        <f t="shared" si="1048"/>
        <v>#N/A</v>
      </c>
      <c r="L5176" t="e">
        <f t="shared" si="1049"/>
        <v>#N/A</v>
      </c>
      <c r="M5176" s="4" t="e">
        <f t="shared" si="1050"/>
        <v>#N/A</v>
      </c>
      <c r="N5176" s="4" t="e">
        <f t="shared" si="1051"/>
        <v>#N/A</v>
      </c>
    </row>
    <row r="5177" spans="1:14">
      <c r="A5177">
        <f t="shared" si="1052"/>
        <v>0</v>
      </c>
      <c r="B5177">
        <f t="shared" si="1053"/>
        <v>0</v>
      </c>
      <c r="C5177">
        <f t="shared" si="1054"/>
        <v>0</v>
      </c>
      <c r="D5177">
        <f t="shared" si="1055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6"/>
        <v>0</v>
      </c>
      <c r="G5177">
        <f t="shared" si="1057"/>
        <v>0</v>
      </c>
      <c r="H5177">
        <f t="shared" si="1058"/>
        <v>0</v>
      </c>
      <c r="I5177">
        <f t="shared" si="1059"/>
        <v>0</v>
      </c>
      <c r="J5177">
        <f t="shared" si="1060"/>
        <v>0</v>
      </c>
      <c r="K5177" s="4" t="e">
        <f t="shared" si="1048"/>
        <v>#N/A</v>
      </c>
      <c r="L5177" t="e">
        <f t="shared" si="1049"/>
        <v>#N/A</v>
      </c>
      <c r="M5177" s="4" t="e">
        <f t="shared" si="1050"/>
        <v>#N/A</v>
      </c>
      <c r="N5177" s="4" t="e">
        <f t="shared" si="1051"/>
        <v>#N/A</v>
      </c>
    </row>
    <row r="5178" spans="1:14">
      <c r="A5178">
        <f t="shared" si="1052"/>
        <v>0</v>
      </c>
      <c r="B5178">
        <f t="shared" si="1053"/>
        <v>0</v>
      </c>
      <c r="C5178">
        <f t="shared" si="1054"/>
        <v>0</v>
      </c>
      <c r="D5178">
        <f t="shared" si="1055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6"/>
        <v>0</v>
      </c>
      <c r="G5178">
        <f t="shared" si="1057"/>
        <v>0</v>
      </c>
      <c r="H5178">
        <f t="shared" si="1058"/>
        <v>0</v>
      </c>
      <c r="I5178">
        <f t="shared" si="1059"/>
        <v>0</v>
      </c>
      <c r="J5178">
        <f t="shared" si="1060"/>
        <v>0</v>
      </c>
      <c r="K5178" s="4" t="e">
        <f t="shared" si="1048"/>
        <v>#N/A</v>
      </c>
      <c r="L5178" t="e">
        <f t="shared" si="1049"/>
        <v>#N/A</v>
      </c>
      <c r="M5178" s="4" t="e">
        <f t="shared" si="1050"/>
        <v>#N/A</v>
      </c>
      <c r="N5178" s="4" t="e">
        <f t="shared" si="1051"/>
        <v>#N/A</v>
      </c>
    </row>
    <row r="5179" spans="1:14">
      <c r="A5179">
        <f t="shared" si="1052"/>
        <v>0</v>
      </c>
      <c r="B5179">
        <f t="shared" si="1053"/>
        <v>0</v>
      </c>
      <c r="C5179">
        <f t="shared" si="1054"/>
        <v>0</v>
      </c>
      <c r="D5179">
        <f t="shared" si="1055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6"/>
        <v>0</v>
      </c>
      <c r="G5179">
        <f t="shared" si="1057"/>
        <v>0</v>
      </c>
      <c r="H5179">
        <f t="shared" si="1058"/>
        <v>0</v>
      </c>
      <c r="I5179">
        <f t="shared" si="1059"/>
        <v>0</v>
      </c>
      <c r="J5179">
        <f t="shared" si="1060"/>
        <v>0</v>
      </c>
      <c r="K5179" s="4" t="e">
        <f t="shared" si="1048"/>
        <v>#N/A</v>
      </c>
      <c r="L5179" t="e">
        <f t="shared" si="1049"/>
        <v>#N/A</v>
      </c>
      <c r="M5179" s="4" t="e">
        <f t="shared" si="1050"/>
        <v>#N/A</v>
      </c>
      <c r="N5179" s="4" t="e">
        <f t="shared" si="1051"/>
        <v>#N/A</v>
      </c>
    </row>
    <row r="5180" spans="1:14">
      <c r="A5180">
        <f t="shared" si="1052"/>
        <v>0</v>
      </c>
      <c r="B5180">
        <f t="shared" si="1053"/>
        <v>0</v>
      </c>
      <c r="C5180">
        <f t="shared" si="1054"/>
        <v>0</v>
      </c>
      <c r="D5180">
        <f t="shared" si="1055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6"/>
        <v>0</v>
      </c>
      <c r="G5180">
        <f t="shared" si="1057"/>
        <v>0</v>
      </c>
      <c r="H5180">
        <f t="shared" si="1058"/>
        <v>0</v>
      </c>
      <c r="I5180">
        <f t="shared" si="1059"/>
        <v>0</v>
      </c>
      <c r="J5180">
        <f t="shared" si="1060"/>
        <v>0</v>
      </c>
      <c r="K5180" s="4" t="e">
        <f t="shared" si="1048"/>
        <v>#N/A</v>
      </c>
      <c r="L5180" t="e">
        <f t="shared" si="1049"/>
        <v>#N/A</v>
      </c>
      <c r="M5180" s="4" t="e">
        <f t="shared" si="1050"/>
        <v>#N/A</v>
      </c>
      <c r="N5180" s="4" t="e">
        <f t="shared" si="1051"/>
        <v>#N/A</v>
      </c>
    </row>
    <row r="5181" spans="1:14">
      <c r="A5181">
        <f t="shared" si="1052"/>
        <v>0</v>
      </c>
      <c r="B5181">
        <f t="shared" si="1053"/>
        <v>0</v>
      </c>
      <c r="C5181">
        <f t="shared" si="1054"/>
        <v>0</v>
      </c>
      <c r="D5181">
        <f t="shared" si="1055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6"/>
        <v>0</v>
      </c>
      <c r="G5181">
        <f t="shared" si="1057"/>
        <v>0</v>
      </c>
      <c r="H5181">
        <f t="shared" si="1058"/>
        <v>0</v>
      </c>
      <c r="I5181">
        <f t="shared" si="1059"/>
        <v>0</v>
      </c>
      <c r="J5181">
        <f t="shared" si="1060"/>
        <v>0</v>
      </c>
      <c r="K5181" s="4" t="e">
        <f t="shared" ref="K5181:K5244" si="1061">IF(LEFT(B5181,3)="DBM",0,VLOOKUP(E5181,tabela,2,FALSE))</f>
        <v>#N/A</v>
      </c>
      <c r="L5181" t="e">
        <f t="shared" ref="L5181:L5244" si="1062">VLOOKUP(E5181,tabela,3,FALSE)</f>
        <v>#N/A</v>
      </c>
      <c r="M5181" s="4" t="e">
        <f t="shared" ref="M5181:M5244" si="1063">IF(E5181="Dynamic Click",J5181*K5181,K5181*$I5181/1000)</f>
        <v>#N/A</v>
      </c>
      <c r="N5181" s="4" t="e">
        <f t="shared" ref="N5181:N5244" si="1064">IF(E5181="Dynamic Click",J5181*L5181,L5181*$I5181/1000)</f>
        <v>#N/A</v>
      </c>
    </row>
    <row r="5182" spans="1:14">
      <c r="A5182">
        <f t="shared" si="1052"/>
        <v>0</v>
      </c>
      <c r="B5182">
        <f t="shared" si="1053"/>
        <v>0</v>
      </c>
      <c r="C5182">
        <f t="shared" si="1054"/>
        <v>0</v>
      </c>
      <c r="D5182">
        <f t="shared" si="1055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6"/>
        <v>0</v>
      </c>
      <c r="G5182">
        <f t="shared" si="1057"/>
        <v>0</v>
      </c>
      <c r="H5182">
        <f t="shared" si="1058"/>
        <v>0</v>
      </c>
      <c r="I5182">
        <f t="shared" si="1059"/>
        <v>0</v>
      </c>
      <c r="J5182">
        <f t="shared" si="1060"/>
        <v>0</v>
      </c>
      <c r="K5182" s="4" t="e">
        <f t="shared" si="1061"/>
        <v>#N/A</v>
      </c>
      <c r="L5182" t="e">
        <f t="shared" si="1062"/>
        <v>#N/A</v>
      </c>
      <c r="M5182" s="4" t="e">
        <f t="shared" si="1063"/>
        <v>#N/A</v>
      </c>
      <c r="N5182" s="4" t="e">
        <f t="shared" si="1064"/>
        <v>#N/A</v>
      </c>
    </row>
    <row r="5183" spans="1:14">
      <c r="A5183">
        <f t="shared" si="1052"/>
        <v>0</v>
      </c>
      <c r="B5183">
        <f t="shared" si="1053"/>
        <v>0</v>
      </c>
      <c r="C5183">
        <f t="shared" si="1054"/>
        <v>0</v>
      </c>
      <c r="D5183">
        <f t="shared" si="1055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6"/>
        <v>0</v>
      </c>
      <c r="G5183">
        <f t="shared" si="1057"/>
        <v>0</v>
      </c>
      <c r="H5183">
        <f t="shared" si="1058"/>
        <v>0</v>
      </c>
      <c r="I5183">
        <f t="shared" si="1059"/>
        <v>0</v>
      </c>
      <c r="J5183">
        <f t="shared" si="1060"/>
        <v>0</v>
      </c>
      <c r="K5183" s="4" t="e">
        <f t="shared" si="1061"/>
        <v>#N/A</v>
      </c>
      <c r="L5183" t="e">
        <f t="shared" si="1062"/>
        <v>#N/A</v>
      </c>
      <c r="M5183" s="4" t="e">
        <f t="shared" si="1063"/>
        <v>#N/A</v>
      </c>
      <c r="N5183" s="4" t="e">
        <f t="shared" si="1064"/>
        <v>#N/A</v>
      </c>
    </row>
    <row r="5184" spans="1:14">
      <c r="A5184">
        <f t="shared" si="1052"/>
        <v>0</v>
      </c>
      <c r="B5184">
        <f t="shared" si="1053"/>
        <v>0</v>
      </c>
      <c r="C5184">
        <f t="shared" si="1054"/>
        <v>0</v>
      </c>
      <c r="D5184">
        <f t="shared" si="1055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6"/>
        <v>0</v>
      </c>
      <c r="G5184">
        <f t="shared" si="1057"/>
        <v>0</v>
      </c>
      <c r="H5184">
        <f t="shared" si="1058"/>
        <v>0</v>
      </c>
      <c r="I5184">
        <f t="shared" si="1059"/>
        <v>0</v>
      </c>
      <c r="J5184">
        <f t="shared" si="1060"/>
        <v>0</v>
      </c>
      <c r="K5184" s="4" t="e">
        <f t="shared" si="1061"/>
        <v>#N/A</v>
      </c>
      <c r="L5184" t="e">
        <f t="shared" si="1062"/>
        <v>#N/A</v>
      </c>
      <c r="M5184" s="4" t="e">
        <f t="shared" si="1063"/>
        <v>#N/A</v>
      </c>
      <c r="N5184" s="4" t="e">
        <f t="shared" si="1064"/>
        <v>#N/A</v>
      </c>
    </row>
    <row r="5185" spans="1:14">
      <c r="A5185">
        <f t="shared" si="1052"/>
        <v>0</v>
      </c>
      <c r="B5185">
        <f t="shared" si="1053"/>
        <v>0</v>
      </c>
      <c r="C5185">
        <f t="shared" si="1054"/>
        <v>0</v>
      </c>
      <c r="D5185">
        <f t="shared" si="1055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6"/>
        <v>0</v>
      </c>
      <c r="G5185">
        <f t="shared" si="1057"/>
        <v>0</v>
      </c>
      <c r="H5185">
        <f t="shared" si="1058"/>
        <v>0</v>
      </c>
      <c r="I5185">
        <f t="shared" si="1059"/>
        <v>0</v>
      </c>
      <c r="J5185">
        <f t="shared" si="1060"/>
        <v>0</v>
      </c>
      <c r="K5185" s="4" t="e">
        <f t="shared" si="1061"/>
        <v>#N/A</v>
      </c>
      <c r="L5185" t="e">
        <f t="shared" si="1062"/>
        <v>#N/A</v>
      </c>
      <c r="M5185" s="4" t="e">
        <f t="shared" si="1063"/>
        <v>#N/A</v>
      </c>
      <c r="N5185" s="4" t="e">
        <f t="shared" si="1064"/>
        <v>#N/A</v>
      </c>
    </row>
    <row r="5186" spans="1:14">
      <c r="A5186">
        <f t="shared" ref="A5186:A5249" si="1065">bd_campaign</f>
        <v>0</v>
      </c>
      <c r="B5186">
        <f t="shared" ref="B5186:B5249" si="1066">bd_site</f>
        <v>0</v>
      </c>
      <c r="C5186">
        <f t="shared" ref="C5186:C5249" si="1067">bd_placement</f>
        <v>0</v>
      </c>
      <c r="D5186">
        <f t="shared" ref="D5186:D5249" si="1068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9">bd_ad</f>
        <v>0</v>
      </c>
      <c r="G5186">
        <f t="shared" ref="G5186:G5249" si="1070">bd_adid</f>
        <v>0</v>
      </c>
      <c r="H5186">
        <f t="shared" ref="H5186:H5249" si="1071">bd_creativetype</f>
        <v>0</v>
      </c>
      <c r="I5186">
        <f t="shared" ref="I5186:I5249" si="1072">bd_impression</f>
        <v>0</v>
      </c>
      <c r="J5186">
        <f t="shared" ref="J5186:J5249" si="1073">bd_clicks</f>
        <v>0</v>
      </c>
      <c r="K5186" s="4" t="e">
        <f t="shared" si="1061"/>
        <v>#N/A</v>
      </c>
      <c r="L5186" t="e">
        <f t="shared" si="1062"/>
        <v>#N/A</v>
      </c>
      <c r="M5186" s="4" t="e">
        <f t="shared" si="1063"/>
        <v>#N/A</v>
      </c>
      <c r="N5186" s="4" t="e">
        <f t="shared" si="1064"/>
        <v>#N/A</v>
      </c>
    </row>
    <row r="5187" spans="1:14">
      <c r="A5187">
        <f t="shared" si="1065"/>
        <v>0</v>
      </c>
      <c r="B5187">
        <f t="shared" si="1066"/>
        <v>0</v>
      </c>
      <c r="C5187">
        <f t="shared" si="1067"/>
        <v>0</v>
      </c>
      <c r="D5187">
        <f t="shared" si="1068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9"/>
        <v>0</v>
      </c>
      <c r="G5187">
        <f t="shared" si="1070"/>
        <v>0</v>
      </c>
      <c r="H5187">
        <f t="shared" si="1071"/>
        <v>0</v>
      </c>
      <c r="I5187">
        <f t="shared" si="1072"/>
        <v>0</v>
      </c>
      <c r="J5187">
        <f t="shared" si="1073"/>
        <v>0</v>
      </c>
      <c r="K5187" s="4" t="e">
        <f t="shared" si="1061"/>
        <v>#N/A</v>
      </c>
      <c r="L5187" t="e">
        <f t="shared" si="1062"/>
        <v>#N/A</v>
      </c>
      <c r="M5187" s="4" t="e">
        <f t="shared" si="1063"/>
        <v>#N/A</v>
      </c>
      <c r="N5187" s="4" t="e">
        <f t="shared" si="1064"/>
        <v>#N/A</v>
      </c>
    </row>
    <row r="5188" spans="1:14">
      <c r="A5188">
        <f t="shared" si="1065"/>
        <v>0</v>
      </c>
      <c r="B5188">
        <f t="shared" si="1066"/>
        <v>0</v>
      </c>
      <c r="C5188">
        <f t="shared" si="1067"/>
        <v>0</v>
      </c>
      <c r="D5188">
        <f t="shared" si="1068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9"/>
        <v>0</v>
      </c>
      <c r="G5188">
        <f t="shared" si="1070"/>
        <v>0</v>
      </c>
      <c r="H5188">
        <f t="shared" si="1071"/>
        <v>0</v>
      </c>
      <c r="I5188">
        <f t="shared" si="1072"/>
        <v>0</v>
      </c>
      <c r="J5188">
        <f t="shared" si="1073"/>
        <v>0</v>
      </c>
      <c r="K5188" s="4" t="e">
        <f t="shared" si="1061"/>
        <v>#N/A</v>
      </c>
      <c r="L5188" t="e">
        <f t="shared" si="1062"/>
        <v>#N/A</v>
      </c>
      <c r="M5188" s="4" t="e">
        <f t="shared" si="1063"/>
        <v>#N/A</v>
      </c>
      <c r="N5188" s="4" t="e">
        <f t="shared" si="1064"/>
        <v>#N/A</v>
      </c>
    </row>
    <row r="5189" spans="1:14">
      <c r="A5189">
        <f t="shared" si="1065"/>
        <v>0</v>
      </c>
      <c r="B5189">
        <f t="shared" si="1066"/>
        <v>0</v>
      </c>
      <c r="C5189">
        <f t="shared" si="1067"/>
        <v>0</v>
      </c>
      <c r="D5189">
        <f t="shared" si="1068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9"/>
        <v>0</v>
      </c>
      <c r="G5189">
        <f t="shared" si="1070"/>
        <v>0</v>
      </c>
      <c r="H5189">
        <f t="shared" si="1071"/>
        <v>0</v>
      </c>
      <c r="I5189">
        <f t="shared" si="1072"/>
        <v>0</v>
      </c>
      <c r="J5189">
        <f t="shared" si="1073"/>
        <v>0</v>
      </c>
      <c r="K5189" s="4" t="e">
        <f t="shared" si="1061"/>
        <v>#N/A</v>
      </c>
      <c r="L5189" t="e">
        <f t="shared" si="1062"/>
        <v>#N/A</v>
      </c>
      <c r="M5189" s="4" t="e">
        <f t="shared" si="1063"/>
        <v>#N/A</v>
      </c>
      <c r="N5189" s="4" t="e">
        <f t="shared" si="1064"/>
        <v>#N/A</v>
      </c>
    </row>
    <row r="5190" spans="1:14">
      <c r="A5190">
        <f t="shared" si="1065"/>
        <v>0</v>
      </c>
      <c r="B5190">
        <f t="shared" si="1066"/>
        <v>0</v>
      </c>
      <c r="C5190">
        <f t="shared" si="1067"/>
        <v>0</v>
      </c>
      <c r="D5190">
        <f t="shared" si="1068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9"/>
        <v>0</v>
      </c>
      <c r="G5190">
        <f t="shared" si="1070"/>
        <v>0</v>
      </c>
      <c r="H5190">
        <f t="shared" si="1071"/>
        <v>0</v>
      </c>
      <c r="I5190">
        <f t="shared" si="1072"/>
        <v>0</v>
      </c>
      <c r="J5190">
        <f t="shared" si="1073"/>
        <v>0</v>
      </c>
      <c r="K5190" s="4" t="e">
        <f t="shared" si="1061"/>
        <v>#N/A</v>
      </c>
      <c r="L5190" t="e">
        <f t="shared" si="1062"/>
        <v>#N/A</v>
      </c>
      <c r="M5190" s="4" t="e">
        <f t="shared" si="1063"/>
        <v>#N/A</v>
      </c>
      <c r="N5190" s="4" t="e">
        <f t="shared" si="1064"/>
        <v>#N/A</v>
      </c>
    </row>
    <row r="5191" spans="1:14">
      <c r="A5191">
        <f t="shared" si="1065"/>
        <v>0</v>
      </c>
      <c r="B5191">
        <f t="shared" si="1066"/>
        <v>0</v>
      </c>
      <c r="C5191">
        <f t="shared" si="1067"/>
        <v>0</v>
      </c>
      <c r="D5191">
        <f t="shared" si="1068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9"/>
        <v>0</v>
      </c>
      <c r="G5191">
        <f t="shared" si="1070"/>
        <v>0</v>
      </c>
      <c r="H5191">
        <f t="shared" si="1071"/>
        <v>0</v>
      </c>
      <c r="I5191">
        <f t="shared" si="1072"/>
        <v>0</v>
      </c>
      <c r="J5191">
        <f t="shared" si="1073"/>
        <v>0</v>
      </c>
      <c r="K5191" s="4" t="e">
        <f t="shared" si="1061"/>
        <v>#N/A</v>
      </c>
      <c r="L5191" t="e">
        <f t="shared" si="1062"/>
        <v>#N/A</v>
      </c>
      <c r="M5191" s="4" t="e">
        <f t="shared" si="1063"/>
        <v>#N/A</v>
      </c>
      <c r="N5191" s="4" t="e">
        <f t="shared" si="1064"/>
        <v>#N/A</v>
      </c>
    </row>
    <row r="5192" spans="1:14">
      <c r="A5192">
        <f t="shared" si="1065"/>
        <v>0</v>
      </c>
      <c r="B5192">
        <f t="shared" si="1066"/>
        <v>0</v>
      </c>
      <c r="C5192">
        <f t="shared" si="1067"/>
        <v>0</v>
      </c>
      <c r="D5192">
        <f t="shared" si="1068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9"/>
        <v>0</v>
      </c>
      <c r="G5192">
        <f t="shared" si="1070"/>
        <v>0</v>
      </c>
      <c r="H5192">
        <f t="shared" si="1071"/>
        <v>0</v>
      </c>
      <c r="I5192">
        <f t="shared" si="1072"/>
        <v>0</v>
      </c>
      <c r="J5192">
        <f t="shared" si="1073"/>
        <v>0</v>
      </c>
      <c r="K5192" s="4" t="e">
        <f t="shared" si="1061"/>
        <v>#N/A</v>
      </c>
      <c r="L5192" t="e">
        <f t="shared" si="1062"/>
        <v>#N/A</v>
      </c>
      <c r="M5192" s="4" t="e">
        <f t="shared" si="1063"/>
        <v>#N/A</v>
      </c>
      <c r="N5192" s="4" t="e">
        <f t="shared" si="1064"/>
        <v>#N/A</v>
      </c>
    </row>
    <row r="5193" spans="1:14">
      <c r="A5193">
        <f t="shared" si="1065"/>
        <v>0</v>
      </c>
      <c r="B5193">
        <f t="shared" si="1066"/>
        <v>0</v>
      </c>
      <c r="C5193">
        <f t="shared" si="1067"/>
        <v>0</v>
      </c>
      <c r="D5193">
        <f t="shared" si="1068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9"/>
        <v>0</v>
      </c>
      <c r="G5193">
        <f t="shared" si="1070"/>
        <v>0</v>
      </c>
      <c r="H5193">
        <f t="shared" si="1071"/>
        <v>0</v>
      </c>
      <c r="I5193">
        <f t="shared" si="1072"/>
        <v>0</v>
      </c>
      <c r="J5193">
        <f t="shared" si="1073"/>
        <v>0</v>
      </c>
      <c r="K5193" s="4" t="e">
        <f t="shared" si="1061"/>
        <v>#N/A</v>
      </c>
      <c r="L5193" t="e">
        <f t="shared" si="1062"/>
        <v>#N/A</v>
      </c>
      <c r="M5193" s="4" t="e">
        <f t="shared" si="1063"/>
        <v>#N/A</v>
      </c>
      <c r="N5193" s="4" t="e">
        <f t="shared" si="1064"/>
        <v>#N/A</v>
      </c>
    </row>
    <row r="5194" spans="1:14">
      <c r="A5194">
        <f t="shared" si="1065"/>
        <v>0</v>
      </c>
      <c r="B5194">
        <f t="shared" si="1066"/>
        <v>0</v>
      </c>
      <c r="C5194">
        <f t="shared" si="1067"/>
        <v>0</v>
      </c>
      <c r="D5194">
        <f t="shared" si="1068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9"/>
        <v>0</v>
      </c>
      <c r="G5194">
        <f t="shared" si="1070"/>
        <v>0</v>
      </c>
      <c r="H5194">
        <f t="shared" si="1071"/>
        <v>0</v>
      </c>
      <c r="I5194">
        <f t="shared" si="1072"/>
        <v>0</v>
      </c>
      <c r="J5194">
        <f t="shared" si="1073"/>
        <v>0</v>
      </c>
      <c r="K5194" s="4" t="e">
        <f t="shared" si="1061"/>
        <v>#N/A</v>
      </c>
      <c r="L5194" t="e">
        <f t="shared" si="1062"/>
        <v>#N/A</v>
      </c>
      <c r="M5194" s="4" t="e">
        <f t="shared" si="1063"/>
        <v>#N/A</v>
      </c>
      <c r="N5194" s="4" t="e">
        <f t="shared" si="1064"/>
        <v>#N/A</v>
      </c>
    </row>
    <row r="5195" spans="1:14">
      <c r="A5195">
        <f t="shared" si="1065"/>
        <v>0</v>
      </c>
      <c r="B5195">
        <f t="shared" si="1066"/>
        <v>0</v>
      </c>
      <c r="C5195">
        <f t="shared" si="1067"/>
        <v>0</v>
      </c>
      <c r="D5195">
        <f t="shared" si="1068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9"/>
        <v>0</v>
      </c>
      <c r="G5195">
        <f t="shared" si="1070"/>
        <v>0</v>
      </c>
      <c r="H5195">
        <f t="shared" si="1071"/>
        <v>0</v>
      </c>
      <c r="I5195">
        <f t="shared" si="1072"/>
        <v>0</v>
      </c>
      <c r="J5195">
        <f t="shared" si="1073"/>
        <v>0</v>
      </c>
      <c r="K5195" s="4" t="e">
        <f t="shared" si="1061"/>
        <v>#N/A</v>
      </c>
      <c r="L5195" t="e">
        <f t="shared" si="1062"/>
        <v>#N/A</v>
      </c>
      <c r="M5195" s="4" t="e">
        <f t="shared" si="1063"/>
        <v>#N/A</v>
      </c>
      <c r="N5195" s="4" t="e">
        <f t="shared" si="1064"/>
        <v>#N/A</v>
      </c>
    </row>
    <row r="5196" spans="1:14">
      <c r="A5196">
        <f t="shared" si="1065"/>
        <v>0</v>
      </c>
      <c r="B5196">
        <f t="shared" si="1066"/>
        <v>0</v>
      </c>
      <c r="C5196">
        <f t="shared" si="1067"/>
        <v>0</v>
      </c>
      <c r="D5196">
        <f t="shared" si="1068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9"/>
        <v>0</v>
      </c>
      <c r="G5196">
        <f t="shared" si="1070"/>
        <v>0</v>
      </c>
      <c r="H5196">
        <f t="shared" si="1071"/>
        <v>0</v>
      </c>
      <c r="I5196">
        <f t="shared" si="1072"/>
        <v>0</v>
      </c>
      <c r="J5196">
        <f t="shared" si="1073"/>
        <v>0</v>
      </c>
      <c r="K5196" s="4" t="e">
        <f t="shared" si="1061"/>
        <v>#N/A</v>
      </c>
      <c r="L5196" t="e">
        <f t="shared" si="1062"/>
        <v>#N/A</v>
      </c>
      <c r="M5196" s="4" t="e">
        <f t="shared" si="1063"/>
        <v>#N/A</v>
      </c>
      <c r="N5196" s="4" t="e">
        <f t="shared" si="1064"/>
        <v>#N/A</v>
      </c>
    </row>
    <row r="5197" spans="1:14">
      <c r="A5197">
        <f t="shared" si="1065"/>
        <v>0</v>
      </c>
      <c r="B5197">
        <f t="shared" si="1066"/>
        <v>0</v>
      </c>
      <c r="C5197">
        <f t="shared" si="1067"/>
        <v>0</v>
      </c>
      <c r="D5197">
        <f t="shared" si="1068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9"/>
        <v>0</v>
      </c>
      <c r="G5197">
        <f t="shared" si="1070"/>
        <v>0</v>
      </c>
      <c r="H5197">
        <f t="shared" si="1071"/>
        <v>0</v>
      </c>
      <c r="I5197">
        <f t="shared" si="1072"/>
        <v>0</v>
      </c>
      <c r="J5197">
        <f t="shared" si="1073"/>
        <v>0</v>
      </c>
      <c r="K5197" s="4" t="e">
        <f t="shared" si="1061"/>
        <v>#N/A</v>
      </c>
      <c r="L5197" t="e">
        <f t="shared" si="1062"/>
        <v>#N/A</v>
      </c>
      <c r="M5197" s="4" t="e">
        <f t="shared" si="1063"/>
        <v>#N/A</v>
      </c>
      <c r="N5197" s="4" t="e">
        <f t="shared" si="1064"/>
        <v>#N/A</v>
      </c>
    </row>
    <row r="5198" spans="1:14">
      <c r="A5198">
        <f t="shared" si="1065"/>
        <v>0</v>
      </c>
      <c r="B5198">
        <f t="shared" si="1066"/>
        <v>0</v>
      </c>
      <c r="C5198">
        <f t="shared" si="1067"/>
        <v>0</v>
      </c>
      <c r="D5198">
        <f t="shared" si="1068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9"/>
        <v>0</v>
      </c>
      <c r="G5198">
        <f t="shared" si="1070"/>
        <v>0</v>
      </c>
      <c r="H5198">
        <f t="shared" si="1071"/>
        <v>0</v>
      </c>
      <c r="I5198">
        <f t="shared" si="1072"/>
        <v>0</v>
      </c>
      <c r="J5198">
        <f t="shared" si="1073"/>
        <v>0</v>
      </c>
      <c r="K5198" s="4" t="e">
        <f t="shared" si="1061"/>
        <v>#N/A</v>
      </c>
      <c r="L5198" t="e">
        <f t="shared" si="1062"/>
        <v>#N/A</v>
      </c>
      <c r="M5198" s="4" t="e">
        <f t="shared" si="1063"/>
        <v>#N/A</v>
      </c>
      <c r="N5198" s="4" t="e">
        <f t="shared" si="1064"/>
        <v>#N/A</v>
      </c>
    </row>
    <row r="5199" spans="1:14">
      <c r="A5199">
        <f t="shared" si="1065"/>
        <v>0</v>
      </c>
      <c r="B5199">
        <f t="shared" si="1066"/>
        <v>0</v>
      </c>
      <c r="C5199">
        <f t="shared" si="1067"/>
        <v>0</v>
      </c>
      <c r="D5199">
        <f t="shared" si="1068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9"/>
        <v>0</v>
      </c>
      <c r="G5199">
        <f t="shared" si="1070"/>
        <v>0</v>
      </c>
      <c r="H5199">
        <f t="shared" si="1071"/>
        <v>0</v>
      </c>
      <c r="I5199">
        <f t="shared" si="1072"/>
        <v>0</v>
      </c>
      <c r="J5199">
        <f t="shared" si="1073"/>
        <v>0</v>
      </c>
      <c r="K5199" s="4" t="e">
        <f t="shared" si="1061"/>
        <v>#N/A</v>
      </c>
      <c r="L5199" t="e">
        <f t="shared" si="1062"/>
        <v>#N/A</v>
      </c>
      <c r="M5199" s="4" t="e">
        <f t="shared" si="1063"/>
        <v>#N/A</v>
      </c>
      <c r="N5199" s="4" t="e">
        <f t="shared" si="1064"/>
        <v>#N/A</v>
      </c>
    </row>
    <row r="5200" spans="1:14">
      <c r="A5200">
        <f t="shared" si="1065"/>
        <v>0</v>
      </c>
      <c r="B5200">
        <f t="shared" si="1066"/>
        <v>0</v>
      </c>
      <c r="C5200">
        <f t="shared" si="1067"/>
        <v>0</v>
      </c>
      <c r="D5200">
        <f t="shared" si="1068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9"/>
        <v>0</v>
      </c>
      <c r="G5200">
        <f t="shared" si="1070"/>
        <v>0</v>
      </c>
      <c r="H5200">
        <f t="shared" si="1071"/>
        <v>0</v>
      </c>
      <c r="I5200">
        <f t="shared" si="1072"/>
        <v>0</v>
      </c>
      <c r="J5200">
        <f t="shared" si="1073"/>
        <v>0</v>
      </c>
      <c r="K5200" s="4" t="e">
        <f t="shared" si="1061"/>
        <v>#N/A</v>
      </c>
      <c r="L5200" t="e">
        <f t="shared" si="1062"/>
        <v>#N/A</v>
      </c>
      <c r="M5200" s="4" t="e">
        <f t="shared" si="1063"/>
        <v>#N/A</v>
      </c>
      <c r="N5200" s="4" t="e">
        <f t="shared" si="1064"/>
        <v>#N/A</v>
      </c>
    </row>
    <row r="5201" spans="1:14">
      <c r="A5201">
        <f t="shared" si="1065"/>
        <v>0</v>
      </c>
      <c r="B5201">
        <f t="shared" si="1066"/>
        <v>0</v>
      </c>
      <c r="C5201">
        <f t="shared" si="1067"/>
        <v>0</v>
      </c>
      <c r="D5201">
        <f t="shared" si="1068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9"/>
        <v>0</v>
      </c>
      <c r="G5201">
        <f t="shared" si="1070"/>
        <v>0</v>
      </c>
      <c r="H5201">
        <f t="shared" si="1071"/>
        <v>0</v>
      </c>
      <c r="I5201">
        <f t="shared" si="1072"/>
        <v>0</v>
      </c>
      <c r="J5201">
        <f t="shared" si="1073"/>
        <v>0</v>
      </c>
      <c r="K5201" s="4" t="e">
        <f t="shared" si="1061"/>
        <v>#N/A</v>
      </c>
      <c r="L5201" t="e">
        <f t="shared" si="1062"/>
        <v>#N/A</v>
      </c>
      <c r="M5201" s="4" t="e">
        <f t="shared" si="1063"/>
        <v>#N/A</v>
      </c>
      <c r="N5201" s="4" t="e">
        <f t="shared" si="1064"/>
        <v>#N/A</v>
      </c>
    </row>
    <row r="5202" spans="1:14">
      <c r="A5202">
        <f t="shared" si="1065"/>
        <v>0</v>
      </c>
      <c r="B5202">
        <f t="shared" si="1066"/>
        <v>0</v>
      </c>
      <c r="C5202">
        <f t="shared" si="1067"/>
        <v>0</v>
      </c>
      <c r="D5202">
        <f t="shared" si="1068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9"/>
        <v>0</v>
      </c>
      <c r="G5202">
        <f t="shared" si="1070"/>
        <v>0</v>
      </c>
      <c r="H5202">
        <f t="shared" si="1071"/>
        <v>0</v>
      </c>
      <c r="I5202">
        <f t="shared" si="1072"/>
        <v>0</v>
      </c>
      <c r="J5202">
        <f t="shared" si="1073"/>
        <v>0</v>
      </c>
      <c r="K5202" s="4" t="e">
        <f t="shared" si="1061"/>
        <v>#N/A</v>
      </c>
      <c r="L5202" t="e">
        <f t="shared" si="1062"/>
        <v>#N/A</v>
      </c>
      <c r="M5202" s="4" t="e">
        <f t="shared" si="1063"/>
        <v>#N/A</v>
      </c>
      <c r="N5202" s="4" t="e">
        <f t="shared" si="1064"/>
        <v>#N/A</v>
      </c>
    </row>
    <row r="5203" spans="1:14">
      <c r="A5203">
        <f t="shared" si="1065"/>
        <v>0</v>
      </c>
      <c r="B5203">
        <f t="shared" si="1066"/>
        <v>0</v>
      </c>
      <c r="C5203">
        <f t="shared" si="1067"/>
        <v>0</v>
      </c>
      <c r="D5203">
        <f t="shared" si="1068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9"/>
        <v>0</v>
      </c>
      <c r="G5203">
        <f t="shared" si="1070"/>
        <v>0</v>
      </c>
      <c r="H5203">
        <f t="shared" si="1071"/>
        <v>0</v>
      </c>
      <c r="I5203">
        <f t="shared" si="1072"/>
        <v>0</v>
      </c>
      <c r="J5203">
        <f t="shared" si="1073"/>
        <v>0</v>
      </c>
      <c r="K5203" s="4" t="e">
        <f t="shared" si="1061"/>
        <v>#N/A</v>
      </c>
      <c r="L5203" t="e">
        <f t="shared" si="1062"/>
        <v>#N/A</v>
      </c>
      <c r="M5203" s="4" t="e">
        <f t="shared" si="1063"/>
        <v>#N/A</v>
      </c>
      <c r="N5203" s="4" t="e">
        <f t="shared" si="1064"/>
        <v>#N/A</v>
      </c>
    </row>
    <row r="5204" spans="1:14">
      <c r="A5204">
        <f t="shared" si="1065"/>
        <v>0</v>
      </c>
      <c r="B5204">
        <f t="shared" si="1066"/>
        <v>0</v>
      </c>
      <c r="C5204">
        <f t="shared" si="1067"/>
        <v>0</v>
      </c>
      <c r="D5204">
        <f t="shared" si="1068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9"/>
        <v>0</v>
      </c>
      <c r="G5204">
        <f t="shared" si="1070"/>
        <v>0</v>
      </c>
      <c r="H5204">
        <f t="shared" si="1071"/>
        <v>0</v>
      </c>
      <c r="I5204">
        <f t="shared" si="1072"/>
        <v>0</v>
      </c>
      <c r="J5204">
        <f t="shared" si="1073"/>
        <v>0</v>
      </c>
      <c r="K5204" s="4" t="e">
        <f t="shared" si="1061"/>
        <v>#N/A</v>
      </c>
      <c r="L5204" t="e">
        <f t="shared" si="1062"/>
        <v>#N/A</v>
      </c>
      <c r="M5204" s="4" t="e">
        <f t="shared" si="1063"/>
        <v>#N/A</v>
      </c>
      <c r="N5204" s="4" t="e">
        <f t="shared" si="1064"/>
        <v>#N/A</v>
      </c>
    </row>
    <row r="5205" spans="1:14">
      <c r="A5205">
        <f t="shared" si="1065"/>
        <v>0</v>
      </c>
      <c r="B5205">
        <f t="shared" si="1066"/>
        <v>0</v>
      </c>
      <c r="C5205">
        <f t="shared" si="1067"/>
        <v>0</v>
      </c>
      <c r="D5205">
        <f t="shared" si="1068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9"/>
        <v>0</v>
      </c>
      <c r="G5205">
        <f t="shared" si="1070"/>
        <v>0</v>
      </c>
      <c r="H5205">
        <f t="shared" si="1071"/>
        <v>0</v>
      </c>
      <c r="I5205">
        <f t="shared" si="1072"/>
        <v>0</v>
      </c>
      <c r="J5205">
        <f t="shared" si="1073"/>
        <v>0</v>
      </c>
      <c r="K5205" s="4" t="e">
        <f t="shared" si="1061"/>
        <v>#N/A</v>
      </c>
      <c r="L5205" t="e">
        <f t="shared" si="1062"/>
        <v>#N/A</v>
      </c>
      <c r="M5205" s="4" t="e">
        <f t="shared" si="1063"/>
        <v>#N/A</v>
      </c>
      <c r="N5205" s="4" t="e">
        <f t="shared" si="1064"/>
        <v>#N/A</v>
      </c>
    </row>
    <row r="5206" spans="1:14">
      <c r="A5206">
        <f t="shared" si="1065"/>
        <v>0</v>
      </c>
      <c r="B5206">
        <f t="shared" si="1066"/>
        <v>0</v>
      </c>
      <c r="C5206">
        <f t="shared" si="1067"/>
        <v>0</v>
      </c>
      <c r="D5206">
        <f t="shared" si="1068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9"/>
        <v>0</v>
      </c>
      <c r="G5206">
        <f t="shared" si="1070"/>
        <v>0</v>
      </c>
      <c r="H5206">
        <f t="shared" si="1071"/>
        <v>0</v>
      </c>
      <c r="I5206">
        <f t="shared" si="1072"/>
        <v>0</v>
      </c>
      <c r="J5206">
        <f t="shared" si="1073"/>
        <v>0</v>
      </c>
      <c r="K5206" s="4" t="e">
        <f t="shared" si="1061"/>
        <v>#N/A</v>
      </c>
      <c r="L5206" t="e">
        <f t="shared" si="1062"/>
        <v>#N/A</v>
      </c>
      <c r="M5206" s="4" t="e">
        <f t="shared" si="1063"/>
        <v>#N/A</v>
      </c>
      <c r="N5206" s="4" t="e">
        <f t="shared" si="1064"/>
        <v>#N/A</v>
      </c>
    </row>
    <row r="5207" spans="1:14">
      <c r="A5207">
        <f t="shared" si="1065"/>
        <v>0</v>
      </c>
      <c r="B5207">
        <f t="shared" si="1066"/>
        <v>0</v>
      </c>
      <c r="C5207">
        <f t="shared" si="1067"/>
        <v>0</v>
      </c>
      <c r="D5207">
        <f t="shared" si="1068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9"/>
        <v>0</v>
      </c>
      <c r="G5207">
        <f t="shared" si="1070"/>
        <v>0</v>
      </c>
      <c r="H5207">
        <f t="shared" si="1071"/>
        <v>0</v>
      </c>
      <c r="I5207">
        <f t="shared" si="1072"/>
        <v>0</v>
      </c>
      <c r="J5207">
        <f t="shared" si="1073"/>
        <v>0</v>
      </c>
      <c r="K5207" s="4" t="e">
        <f t="shared" si="1061"/>
        <v>#N/A</v>
      </c>
      <c r="L5207" t="e">
        <f t="shared" si="1062"/>
        <v>#N/A</v>
      </c>
      <c r="M5207" s="4" t="e">
        <f t="shared" si="1063"/>
        <v>#N/A</v>
      </c>
      <c r="N5207" s="4" t="e">
        <f t="shared" si="1064"/>
        <v>#N/A</v>
      </c>
    </row>
    <row r="5208" spans="1:14">
      <c r="A5208">
        <f t="shared" si="1065"/>
        <v>0</v>
      </c>
      <c r="B5208">
        <f t="shared" si="1066"/>
        <v>0</v>
      </c>
      <c r="C5208">
        <f t="shared" si="1067"/>
        <v>0</v>
      </c>
      <c r="D5208">
        <f t="shared" si="1068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9"/>
        <v>0</v>
      </c>
      <c r="G5208">
        <f t="shared" si="1070"/>
        <v>0</v>
      </c>
      <c r="H5208">
        <f t="shared" si="1071"/>
        <v>0</v>
      </c>
      <c r="I5208">
        <f t="shared" si="1072"/>
        <v>0</v>
      </c>
      <c r="J5208">
        <f t="shared" si="1073"/>
        <v>0</v>
      </c>
      <c r="K5208" s="4" t="e">
        <f t="shared" si="1061"/>
        <v>#N/A</v>
      </c>
      <c r="L5208" t="e">
        <f t="shared" si="1062"/>
        <v>#N/A</v>
      </c>
      <c r="M5208" s="4" t="e">
        <f t="shared" si="1063"/>
        <v>#N/A</v>
      </c>
      <c r="N5208" s="4" t="e">
        <f t="shared" si="1064"/>
        <v>#N/A</v>
      </c>
    </row>
    <row r="5209" spans="1:14">
      <c r="A5209">
        <f t="shared" si="1065"/>
        <v>0</v>
      </c>
      <c r="B5209">
        <f t="shared" si="1066"/>
        <v>0</v>
      </c>
      <c r="C5209">
        <f t="shared" si="1067"/>
        <v>0</v>
      </c>
      <c r="D5209">
        <f t="shared" si="1068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9"/>
        <v>0</v>
      </c>
      <c r="G5209">
        <f t="shared" si="1070"/>
        <v>0</v>
      </c>
      <c r="H5209">
        <f t="shared" si="1071"/>
        <v>0</v>
      </c>
      <c r="I5209">
        <f t="shared" si="1072"/>
        <v>0</v>
      </c>
      <c r="J5209">
        <f t="shared" si="1073"/>
        <v>0</v>
      </c>
      <c r="K5209" s="4" t="e">
        <f t="shared" si="1061"/>
        <v>#N/A</v>
      </c>
      <c r="L5209" t="e">
        <f t="shared" si="1062"/>
        <v>#N/A</v>
      </c>
      <c r="M5209" s="4" t="e">
        <f t="shared" si="1063"/>
        <v>#N/A</v>
      </c>
      <c r="N5209" s="4" t="e">
        <f t="shared" si="1064"/>
        <v>#N/A</v>
      </c>
    </row>
    <row r="5210" spans="1:14">
      <c r="A5210">
        <f t="shared" si="1065"/>
        <v>0</v>
      </c>
      <c r="B5210">
        <f t="shared" si="1066"/>
        <v>0</v>
      </c>
      <c r="C5210">
        <f t="shared" si="1067"/>
        <v>0</v>
      </c>
      <c r="D5210">
        <f t="shared" si="1068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9"/>
        <v>0</v>
      </c>
      <c r="G5210">
        <f t="shared" si="1070"/>
        <v>0</v>
      </c>
      <c r="H5210">
        <f t="shared" si="1071"/>
        <v>0</v>
      </c>
      <c r="I5210">
        <f t="shared" si="1072"/>
        <v>0</v>
      </c>
      <c r="J5210">
        <f t="shared" si="1073"/>
        <v>0</v>
      </c>
      <c r="K5210" s="4" t="e">
        <f t="shared" si="1061"/>
        <v>#N/A</v>
      </c>
      <c r="L5210" t="e">
        <f t="shared" si="1062"/>
        <v>#N/A</v>
      </c>
      <c r="M5210" s="4" t="e">
        <f t="shared" si="1063"/>
        <v>#N/A</v>
      </c>
      <c r="N5210" s="4" t="e">
        <f t="shared" si="1064"/>
        <v>#N/A</v>
      </c>
    </row>
    <row r="5211" spans="1:14">
      <c r="A5211">
        <f t="shared" si="1065"/>
        <v>0</v>
      </c>
      <c r="B5211">
        <f t="shared" si="1066"/>
        <v>0</v>
      </c>
      <c r="C5211">
        <f t="shared" si="1067"/>
        <v>0</v>
      </c>
      <c r="D5211">
        <f t="shared" si="1068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9"/>
        <v>0</v>
      </c>
      <c r="G5211">
        <f t="shared" si="1070"/>
        <v>0</v>
      </c>
      <c r="H5211">
        <f t="shared" si="1071"/>
        <v>0</v>
      </c>
      <c r="I5211">
        <f t="shared" si="1072"/>
        <v>0</v>
      </c>
      <c r="J5211">
        <f t="shared" si="1073"/>
        <v>0</v>
      </c>
      <c r="K5211" s="4" t="e">
        <f t="shared" si="1061"/>
        <v>#N/A</v>
      </c>
      <c r="L5211" t="e">
        <f t="shared" si="1062"/>
        <v>#N/A</v>
      </c>
      <c r="M5211" s="4" t="e">
        <f t="shared" si="1063"/>
        <v>#N/A</v>
      </c>
      <c r="N5211" s="4" t="e">
        <f t="shared" si="1064"/>
        <v>#N/A</v>
      </c>
    </row>
    <row r="5212" spans="1:14">
      <c r="A5212">
        <f t="shared" si="1065"/>
        <v>0</v>
      </c>
      <c r="B5212">
        <f t="shared" si="1066"/>
        <v>0</v>
      </c>
      <c r="C5212">
        <f t="shared" si="1067"/>
        <v>0</v>
      </c>
      <c r="D5212">
        <f t="shared" si="1068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9"/>
        <v>0</v>
      </c>
      <c r="G5212">
        <f t="shared" si="1070"/>
        <v>0</v>
      </c>
      <c r="H5212">
        <f t="shared" si="1071"/>
        <v>0</v>
      </c>
      <c r="I5212">
        <f t="shared" si="1072"/>
        <v>0</v>
      </c>
      <c r="J5212">
        <f t="shared" si="1073"/>
        <v>0</v>
      </c>
      <c r="K5212" s="4" t="e">
        <f t="shared" si="1061"/>
        <v>#N/A</v>
      </c>
      <c r="L5212" t="e">
        <f t="shared" si="1062"/>
        <v>#N/A</v>
      </c>
      <c r="M5212" s="4" t="e">
        <f t="shared" si="1063"/>
        <v>#N/A</v>
      </c>
      <c r="N5212" s="4" t="e">
        <f t="shared" si="1064"/>
        <v>#N/A</v>
      </c>
    </row>
    <row r="5213" spans="1:14">
      <c r="A5213">
        <f t="shared" si="1065"/>
        <v>0</v>
      </c>
      <c r="B5213">
        <f t="shared" si="1066"/>
        <v>0</v>
      </c>
      <c r="C5213">
        <f t="shared" si="1067"/>
        <v>0</v>
      </c>
      <c r="D5213">
        <f t="shared" si="1068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9"/>
        <v>0</v>
      </c>
      <c r="G5213">
        <f t="shared" si="1070"/>
        <v>0</v>
      </c>
      <c r="H5213">
        <f t="shared" si="1071"/>
        <v>0</v>
      </c>
      <c r="I5213">
        <f t="shared" si="1072"/>
        <v>0</v>
      </c>
      <c r="J5213">
        <f t="shared" si="1073"/>
        <v>0</v>
      </c>
      <c r="K5213" s="4" t="e">
        <f t="shared" si="1061"/>
        <v>#N/A</v>
      </c>
      <c r="L5213" t="e">
        <f t="shared" si="1062"/>
        <v>#N/A</v>
      </c>
      <c r="M5213" s="4" t="e">
        <f t="shared" si="1063"/>
        <v>#N/A</v>
      </c>
      <c r="N5213" s="4" t="e">
        <f t="shared" si="1064"/>
        <v>#N/A</v>
      </c>
    </row>
    <row r="5214" spans="1:14">
      <c r="A5214">
        <f t="shared" si="1065"/>
        <v>0</v>
      </c>
      <c r="B5214">
        <f t="shared" si="1066"/>
        <v>0</v>
      </c>
      <c r="C5214">
        <f t="shared" si="1067"/>
        <v>0</v>
      </c>
      <c r="D5214">
        <f t="shared" si="1068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9"/>
        <v>0</v>
      </c>
      <c r="G5214">
        <f t="shared" si="1070"/>
        <v>0</v>
      </c>
      <c r="H5214">
        <f t="shared" si="1071"/>
        <v>0</v>
      </c>
      <c r="I5214">
        <f t="shared" si="1072"/>
        <v>0</v>
      </c>
      <c r="J5214">
        <f t="shared" si="1073"/>
        <v>0</v>
      </c>
      <c r="K5214" s="4" t="e">
        <f t="shared" si="1061"/>
        <v>#N/A</v>
      </c>
      <c r="L5214" t="e">
        <f t="shared" si="1062"/>
        <v>#N/A</v>
      </c>
      <c r="M5214" s="4" t="e">
        <f t="shared" si="1063"/>
        <v>#N/A</v>
      </c>
      <c r="N5214" s="4" t="e">
        <f t="shared" si="1064"/>
        <v>#N/A</v>
      </c>
    </row>
    <row r="5215" spans="1:14">
      <c r="A5215">
        <f t="shared" si="1065"/>
        <v>0</v>
      </c>
      <c r="B5215">
        <f t="shared" si="1066"/>
        <v>0</v>
      </c>
      <c r="C5215">
        <f t="shared" si="1067"/>
        <v>0</v>
      </c>
      <c r="D5215">
        <f t="shared" si="1068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9"/>
        <v>0</v>
      </c>
      <c r="G5215">
        <f t="shared" si="1070"/>
        <v>0</v>
      </c>
      <c r="H5215">
        <f t="shared" si="1071"/>
        <v>0</v>
      </c>
      <c r="I5215">
        <f t="shared" si="1072"/>
        <v>0</v>
      </c>
      <c r="J5215">
        <f t="shared" si="1073"/>
        <v>0</v>
      </c>
      <c r="K5215" s="4" t="e">
        <f t="shared" si="1061"/>
        <v>#N/A</v>
      </c>
      <c r="L5215" t="e">
        <f t="shared" si="1062"/>
        <v>#N/A</v>
      </c>
      <c r="M5215" s="4" t="e">
        <f t="shared" si="1063"/>
        <v>#N/A</v>
      </c>
      <c r="N5215" s="4" t="e">
        <f t="shared" si="1064"/>
        <v>#N/A</v>
      </c>
    </row>
    <row r="5216" spans="1:14">
      <c r="A5216">
        <f t="shared" si="1065"/>
        <v>0</v>
      </c>
      <c r="B5216">
        <f t="shared" si="1066"/>
        <v>0</v>
      </c>
      <c r="C5216">
        <f t="shared" si="1067"/>
        <v>0</v>
      </c>
      <c r="D5216">
        <f t="shared" si="1068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9"/>
        <v>0</v>
      </c>
      <c r="G5216">
        <f t="shared" si="1070"/>
        <v>0</v>
      </c>
      <c r="H5216">
        <f t="shared" si="1071"/>
        <v>0</v>
      </c>
      <c r="I5216">
        <f t="shared" si="1072"/>
        <v>0</v>
      </c>
      <c r="J5216">
        <f t="shared" si="1073"/>
        <v>0</v>
      </c>
      <c r="K5216" s="4" t="e">
        <f t="shared" si="1061"/>
        <v>#N/A</v>
      </c>
      <c r="L5216" t="e">
        <f t="shared" si="1062"/>
        <v>#N/A</v>
      </c>
      <c r="M5216" s="4" t="e">
        <f t="shared" si="1063"/>
        <v>#N/A</v>
      </c>
      <c r="N5216" s="4" t="e">
        <f t="shared" si="1064"/>
        <v>#N/A</v>
      </c>
    </row>
    <row r="5217" spans="1:14">
      <c r="A5217">
        <f t="shared" si="1065"/>
        <v>0</v>
      </c>
      <c r="B5217">
        <f t="shared" si="1066"/>
        <v>0</v>
      </c>
      <c r="C5217">
        <f t="shared" si="1067"/>
        <v>0</v>
      </c>
      <c r="D5217">
        <f t="shared" si="1068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9"/>
        <v>0</v>
      </c>
      <c r="G5217">
        <f t="shared" si="1070"/>
        <v>0</v>
      </c>
      <c r="H5217">
        <f t="shared" si="1071"/>
        <v>0</v>
      </c>
      <c r="I5217">
        <f t="shared" si="1072"/>
        <v>0</v>
      </c>
      <c r="J5217">
        <f t="shared" si="1073"/>
        <v>0</v>
      </c>
      <c r="K5217" s="4" t="e">
        <f t="shared" si="1061"/>
        <v>#N/A</v>
      </c>
      <c r="L5217" t="e">
        <f t="shared" si="1062"/>
        <v>#N/A</v>
      </c>
      <c r="M5217" s="4" t="e">
        <f t="shared" si="1063"/>
        <v>#N/A</v>
      </c>
      <c r="N5217" s="4" t="e">
        <f t="shared" si="1064"/>
        <v>#N/A</v>
      </c>
    </row>
    <row r="5218" spans="1:14">
      <c r="A5218">
        <f t="shared" si="1065"/>
        <v>0</v>
      </c>
      <c r="B5218">
        <f t="shared" si="1066"/>
        <v>0</v>
      </c>
      <c r="C5218">
        <f t="shared" si="1067"/>
        <v>0</v>
      </c>
      <c r="D5218">
        <f t="shared" si="1068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9"/>
        <v>0</v>
      </c>
      <c r="G5218">
        <f t="shared" si="1070"/>
        <v>0</v>
      </c>
      <c r="H5218">
        <f t="shared" si="1071"/>
        <v>0</v>
      </c>
      <c r="I5218">
        <f t="shared" si="1072"/>
        <v>0</v>
      </c>
      <c r="J5218">
        <f t="shared" si="1073"/>
        <v>0</v>
      </c>
      <c r="K5218" s="4" t="e">
        <f t="shared" si="1061"/>
        <v>#N/A</v>
      </c>
      <c r="L5218" t="e">
        <f t="shared" si="1062"/>
        <v>#N/A</v>
      </c>
      <c r="M5218" s="4" t="e">
        <f t="shared" si="1063"/>
        <v>#N/A</v>
      </c>
      <c r="N5218" s="4" t="e">
        <f t="shared" si="1064"/>
        <v>#N/A</v>
      </c>
    </row>
    <row r="5219" spans="1:14">
      <c r="A5219">
        <f t="shared" si="1065"/>
        <v>0</v>
      </c>
      <c r="B5219">
        <f t="shared" si="1066"/>
        <v>0</v>
      </c>
      <c r="C5219">
        <f t="shared" si="1067"/>
        <v>0</v>
      </c>
      <c r="D5219">
        <f t="shared" si="1068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9"/>
        <v>0</v>
      </c>
      <c r="G5219">
        <f t="shared" si="1070"/>
        <v>0</v>
      </c>
      <c r="H5219">
        <f t="shared" si="1071"/>
        <v>0</v>
      </c>
      <c r="I5219">
        <f t="shared" si="1072"/>
        <v>0</v>
      </c>
      <c r="J5219">
        <f t="shared" si="1073"/>
        <v>0</v>
      </c>
      <c r="K5219" s="4" t="e">
        <f t="shared" si="1061"/>
        <v>#N/A</v>
      </c>
      <c r="L5219" t="e">
        <f t="shared" si="1062"/>
        <v>#N/A</v>
      </c>
      <c r="M5219" s="4" t="e">
        <f t="shared" si="1063"/>
        <v>#N/A</v>
      </c>
      <c r="N5219" s="4" t="e">
        <f t="shared" si="1064"/>
        <v>#N/A</v>
      </c>
    </row>
    <row r="5220" spans="1:14">
      <c r="A5220">
        <f t="shared" si="1065"/>
        <v>0</v>
      </c>
      <c r="B5220">
        <f t="shared" si="1066"/>
        <v>0</v>
      </c>
      <c r="C5220">
        <f t="shared" si="1067"/>
        <v>0</v>
      </c>
      <c r="D5220">
        <f t="shared" si="1068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9"/>
        <v>0</v>
      </c>
      <c r="G5220">
        <f t="shared" si="1070"/>
        <v>0</v>
      </c>
      <c r="H5220">
        <f t="shared" si="1071"/>
        <v>0</v>
      </c>
      <c r="I5220">
        <f t="shared" si="1072"/>
        <v>0</v>
      </c>
      <c r="J5220">
        <f t="shared" si="1073"/>
        <v>0</v>
      </c>
      <c r="K5220" s="4" t="e">
        <f t="shared" si="1061"/>
        <v>#N/A</v>
      </c>
      <c r="L5220" t="e">
        <f t="shared" si="1062"/>
        <v>#N/A</v>
      </c>
      <c r="M5220" s="4" t="e">
        <f t="shared" si="1063"/>
        <v>#N/A</v>
      </c>
      <c r="N5220" s="4" t="e">
        <f t="shared" si="1064"/>
        <v>#N/A</v>
      </c>
    </row>
    <row r="5221" spans="1:14">
      <c r="A5221">
        <f t="shared" si="1065"/>
        <v>0</v>
      </c>
      <c r="B5221">
        <f t="shared" si="1066"/>
        <v>0</v>
      </c>
      <c r="C5221">
        <f t="shared" si="1067"/>
        <v>0</v>
      </c>
      <c r="D5221">
        <f t="shared" si="1068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9"/>
        <v>0</v>
      </c>
      <c r="G5221">
        <f t="shared" si="1070"/>
        <v>0</v>
      </c>
      <c r="H5221">
        <f t="shared" si="1071"/>
        <v>0</v>
      </c>
      <c r="I5221">
        <f t="shared" si="1072"/>
        <v>0</v>
      </c>
      <c r="J5221">
        <f t="shared" si="1073"/>
        <v>0</v>
      </c>
      <c r="K5221" s="4" t="e">
        <f t="shared" si="1061"/>
        <v>#N/A</v>
      </c>
      <c r="L5221" t="e">
        <f t="shared" si="1062"/>
        <v>#N/A</v>
      </c>
      <c r="M5221" s="4" t="e">
        <f t="shared" si="1063"/>
        <v>#N/A</v>
      </c>
      <c r="N5221" s="4" t="e">
        <f t="shared" si="1064"/>
        <v>#N/A</v>
      </c>
    </row>
    <row r="5222" spans="1:14">
      <c r="A5222">
        <f t="shared" si="1065"/>
        <v>0</v>
      </c>
      <c r="B5222">
        <f t="shared" si="1066"/>
        <v>0</v>
      </c>
      <c r="C5222">
        <f t="shared" si="1067"/>
        <v>0</v>
      </c>
      <c r="D5222">
        <f t="shared" si="1068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9"/>
        <v>0</v>
      </c>
      <c r="G5222">
        <f t="shared" si="1070"/>
        <v>0</v>
      </c>
      <c r="H5222">
        <f t="shared" si="1071"/>
        <v>0</v>
      </c>
      <c r="I5222">
        <f t="shared" si="1072"/>
        <v>0</v>
      </c>
      <c r="J5222">
        <f t="shared" si="1073"/>
        <v>0</v>
      </c>
      <c r="K5222" s="4" t="e">
        <f t="shared" si="1061"/>
        <v>#N/A</v>
      </c>
      <c r="L5222" t="e">
        <f t="shared" si="1062"/>
        <v>#N/A</v>
      </c>
      <c r="M5222" s="4" t="e">
        <f t="shared" si="1063"/>
        <v>#N/A</v>
      </c>
      <c r="N5222" s="4" t="e">
        <f t="shared" si="1064"/>
        <v>#N/A</v>
      </c>
    </row>
    <row r="5223" spans="1:14">
      <c r="A5223">
        <f t="shared" si="1065"/>
        <v>0</v>
      </c>
      <c r="B5223">
        <f t="shared" si="1066"/>
        <v>0</v>
      </c>
      <c r="C5223">
        <f t="shared" si="1067"/>
        <v>0</v>
      </c>
      <c r="D5223">
        <f t="shared" si="1068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9"/>
        <v>0</v>
      </c>
      <c r="G5223">
        <f t="shared" si="1070"/>
        <v>0</v>
      </c>
      <c r="H5223">
        <f t="shared" si="1071"/>
        <v>0</v>
      </c>
      <c r="I5223">
        <f t="shared" si="1072"/>
        <v>0</v>
      </c>
      <c r="J5223">
        <f t="shared" si="1073"/>
        <v>0</v>
      </c>
      <c r="K5223" s="4" t="e">
        <f t="shared" si="1061"/>
        <v>#N/A</v>
      </c>
      <c r="L5223" t="e">
        <f t="shared" si="1062"/>
        <v>#N/A</v>
      </c>
      <c r="M5223" s="4" t="e">
        <f t="shared" si="1063"/>
        <v>#N/A</v>
      </c>
      <c r="N5223" s="4" t="e">
        <f t="shared" si="1064"/>
        <v>#N/A</v>
      </c>
    </row>
    <row r="5224" spans="1:14">
      <c r="A5224">
        <f t="shared" si="1065"/>
        <v>0</v>
      </c>
      <c r="B5224">
        <f t="shared" si="1066"/>
        <v>0</v>
      </c>
      <c r="C5224">
        <f t="shared" si="1067"/>
        <v>0</v>
      </c>
      <c r="D5224">
        <f t="shared" si="1068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9"/>
        <v>0</v>
      </c>
      <c r="G5224">
        <f t="shared" si="1070"/>
        <v>0</v>
      </c>
      <c r="H5224">
        <f t="shared" si="1071"/>
        <v>0</v>
      </c>
      <c r="I5224">
        <f t="shared" si="1072"/>
        <v>0</v>
      </c>
      <c r="J5224">
        <f t="shared" si="1073"/>
        <v>0</v>
      </c>
      <c r="K5224" s="4" t="e">
        <f t="shared" si="1061"/>
        <v>#N/A</v>
      </c>
      <c r="L5224" t="e">
        <f t="shared" si="1062"/>
        <v>#N/A</v>
      </c>
      <c r="M5224" s="4" t="e">
        <f t="shared" si="1063"/>
        <v>#N/A</v>
      </c>
      <c r="N5224" s="4" t="e">
        <f t="shared" si="1064"/>
        <v>#N/A</v>
      </c>
    </row>
    <row r="5225" spans="1:14">
      <c r="A5225">
        <f t="shared" si="1065"/>
        <v>0</v>
      </c>
      <c r="B5225">
        <f t="shared" si="1066"/>
        <v>0</v>
      </c>
      <c r="C5225">
        <f t="shared" si="1067"/>
        <v>0</v>
      </c>
      <c r="D5225">
        <f t="shared" si="1068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9"/>
        <v>0</v>
      </c>
      <c r="G5225">
        <f t="shared" si="1070"/>
        <v>0</v>
      </c>
      <c r="H5225">
        <f t="shared" si="1071"/>
        <v>0</v>
      </c>
      <c r="I5225">
        <f t="shared" si="1072"/>
        <v>0</v>
      </c>
      <c r="J5225">
        <f t="shared" si="1073"/>
        <v>0</v>
      </c>
      <c r="K5225" s="4" t="e">
        <f t="shared" si="1061"/>
        <v>#N/A</v>
      </c>
      <c r="L5225" t="e">
        <f t="shared" si="1062"/>
        <v>#N/A</v>
      </c>
      <c r="M5225" s="4" t="e">
        <f t="shared" si="1063"/>
        <v>#N/A</v>
      </c>
      <c r="N5225" s="4" t="e">
        <f t="shared" si="1064"/>
        <v>#N/A</v>
      </c>
    </row>
    <row r="5226" spans="1:14">
      <c r="A5226">
        <f t="shared" si="1065"/>
        <v>0</v>
      </c>
      <c r="B5226">
        <f t="shared" si="1066"/>
        <v>0</v>
      </c>
      <c r="C5226">
        <f t="shared" si="1067"/>
        <v>0</v>
      </c>
      <c r="D5226">
        <f t="shared" si="1068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9"/>
        <v>0</v>
      </c>
      <c r="G5226">
        <f t="shared" si="1070"/>
        <v>0</v>
      </c>
      <c r="H5226">
        <f t="shared" si="1071"/>
        <v>0</v>
      </c>
      <c r="I5226">
        <f t="shared" si="1072"/>
        <v>0</v>
      </c>
      <c r="J5226">
        <f t="shared" si="1073"/>
        <v>0</v>
      </c>
      <c r="K5226" s="4" t="e">
        <f t="shared" si="1061"/>
        <v>#N/A</v>
      </c>
      <c r="L5226" t="e">
        <f t="shared" si="1062"/>
        <v>#N/A</v>
      </c>
      <c r="M5226" s="4" t="e">
        <f t="shared" si="1063"/>
        <v>#N/A</v>
      </c>
      <c r="N5226" s="4" t="e">
        <f t="shared" si="1064"/>
        <v>#N/A</v>
      </c>
    </row>
    <row r="5227" spans="1:14">
      <c r="A5227">
        <f t="shared" si="1065"/>
        <v>0</v>
      </c>
      <c r="B5227">
        <f t="shared" si="1066"/>
        <v>0</v>
      </c>
      <c r="C5227">
        <f t="shared" si="1067"/>
        <v>0</v>
      </c>
      <c r="D5227">
        <f t="shared" si="1068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9"/>
        <v>0</v>
      </c>
      <c r="G5227">
        <f t="shared" si="1070"/>
        <v>0</v>
      </c>
      <c r="H5227">
        <f t="shared" si="1071"/>
        <v>0</v>
      </c>
      <c r="I5227">
        <f t="shared" si="1072"/>
        <v>0</v>
      </c>
      <c r="J5227">
        <f t="shared" si="1073"/>
        <v>0</v>
      </c>
      <c r="K5227" s="4" t="e">
        <f t="shared" si="1061"/>
        <v>#N/A</v>
      </c>
      <c r="L5227" t="e">
        <f t="shared" si="1062"/>
        <v>#N/A</v>
      </c>
      <c r="M5227" s="4" t="e">
        <f t="shared" si="1063"/>
        <v>#N/A</v>
      </c>
      <c r="N5227" s="4" t="e">
        <f t="shared" si="1064"/>
        <v>#N/A</v>
      </c>
    </row>
    <row r="5228" spans="1:14">
      <c r="A5228">
        <f t="shared" si="1065"/>
        <v>0</v>
      </c>
      <c r="B5228">
        <f t="shared" si="1066"/>
        <v>0</v>
      </c>
      <c r="C5228">
        <f t="shared" si="1067"/>
        <v>0</v>
      </c>
      <c r="D5228">
        <f t="shared" si="1068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9"/>
        <v>0</v>
      </c>
      <c r="G5228">
        <f t="shared" si="1070"/>
        <v>0</v>
      </c>
      <c r="H5228">
        <f t="shared" si="1071"/>
        <v>0</v>
      </c>
      <c r="I5228">
        <f t="shared" si="1072"/>
        <v>0</v>
      </c>
      <c r="J5228">
        <f t="shared" si="1073"/>
        <v>0</v>
      </c>
      <c r="K5228" s="4" t="e">
        <f t="shared" si="1061"/>
        <v>#N/A</v>
      </c>
      <c r="L5228" t="e">
        <f t="shared" si="1062"/>
        <v>#N/A</v>
      </c>
      <c r="M5228" s="4" t="e">
        <f t="shared" si="1063"/>
        <v>#N/A</v>
      </c>
      <c r="N5228" s="4" t="e">
        <f t="shared" si="1064"/>
        <v>#N/A</v>
      </c>
    </row>
    <row r="5229" spans="1:14">
      <c r="A5229">
        <f t="shared" si="1065"/>
        <v>0</v>
      </c>
      <c r="B5229">
        <f t="shared" si="1066"/>
        <v>0</v>
      </c>
      <c r="C5229">
        <f t="shared" si="1067"/>
        <v>0</v>
      </c>
      <c r="D5229">
        <f t="shared" si="1068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9"/>
        <v>0</v>
      </c>
      <c r="G5229">
        <f t="shared" si="1070"/>
        <v>0</v>
      </c>
      <c r="H5229">
        <f t="shared" si="1071"/>
        <v>0</v>
      </c>
      <c r="I5229">
        <f t="shared" si="1072"/>
        <v>0</v>
      </c>
      <c r="J5229">
        <f t="shared" si="1073"/>
        <v>0</v>
      </c>
      <c r="K5229" s="4" t="e">
        <f t="shared" si="1061"/>
        <v>#N/A</v>
      </c>
      <c r="L5229" t="e">
        <f t="shared" si="1062"/>
        <v>#N/A</v>
      </c>
      <c r="M5229" s="4" t="e">
        <f t="shared" si="1063"/>
        <v>#N/A</v>
      </c>
      <c r="N5229" s="4" t="e">
        <f t="shared" si="1064"/>
        <v>#N/A</v>
      </c>
    </row>
    <row r="5230" spans="1:14">
      <c r="A5230">
        <f t="shared" si="1065"/>
        <v>0</v>
      </c>
      <c r="B5230">
        <f t="shared" si="1066"/>
        <v>0</v>
      </c>
      <c r="C5230">
        <f t="shared" si="1067"/>
        <v>0</v>
      </c>
      <c r="D5230">
        <f t="shared" si="1068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9"/>
        <v>0</v>
      </c>
      <c r="G5230">
        <f t="shared" si="1070"/>
        <v>0</v>
      </c>
      <c r="H5230">
        <f t="shared" si="1071"/>
        <v>0</v>
      </c>
      <c r="I5230">
        <f t="shared" si="1072"/>
        <v>0</v>
      </c>
      <c r="J5230">
        <f t="shared" si="1073"/>
        <v>0</v>
      </c>
      <c r="K5230" s="4" t="e">
        <f t="shared" si="1061"/>
        <v>#N/A</v>
      </c>
      <c r="L5230" t="e">
        <f t="shared" si="1062"/>
        <v>#N/A</v>
      </c>
      <c r="M5230" s="4" t="e">
        <f t="shared" si="1063"/>
        <v>#N/A</v>
      </c>
      <c r="N5230" s="4" t="e">
        <f t="shared" si="1064"/>
        <v>#N/A</v>
      </c>
    </row>
    <row r="5231" spans="1:14">
      <c r="A5231">
        <f t="shared" si="1065"/>
        <v>0</v>
      </c>
      <c r="B5231">
        <f t="shared" si="1066"/>
        <v>0</v>
      </c>
      <c r="C5231">
        <f t="shared" si="1067"/>
        <v>0</v>
      </c>
      <c r="D5231">
        <f t="shared" si="1068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9"/>
        <v>0</v>
      </c>
      <c r="G5231">
        <f t="shared" si="1070"/>
        <v>0</v>
      </c>
      <c r="H5231">
        <f t="shared" si="1071"/>
        <v>0</v>
      </c>
      <c r="I5231">
        <f t="shared" si="1072"/>
        <v>0</v>
      </c>
      <c r="J5231">
        <f t="shared" si="1073"/>
        <v>0</v>
      </c>
      <c r="K5231" s="4" t="e">
        <f t="shared" si="1061"/>
        <v>#N/A</v>
      </c>
      <c r="L5231" t="e">
        <f t="shared" si="1062"/>
        <v>#N/A</v>
      </c>
      <c r="M5231" s="4" t="e">
        <f t="shared" si="1063"/>
        <v>#N/A</v>
      </c>
      <c r="N5231" s="4" t="e">
        <f t="shared" si="1064"/>
        <v>#N/A</v>
      </c>
    </row>
    <row r="5232" spans="1:14">
      <c r="A5232">
        <f t="shared" si="1065"/>
        <v>0</v>
      </c>
      <c r="B5232">
        <f t="shared" si="1066"/>
        <v>0</v>
      </c>
      <c r="C5232">
        <f t="shared" si="1067"/>
        <v>0</v>
      </c>
      <c r="D5232">
        <f t="shared" si="1068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9"/>
        <v>0</v>
      </c>
      <c r="G5232">
        <f t="shared" si="1070"/>
        <v>0</v>
      </c>
      <c r="H5232">
        <f t="shared" si="1071"/>
        <v>0</v>
      </c>
      <c r="I5232">
        <f t="shared" si="1072"/>
        <v>0</v>
      </c>
      <c r="J5232">
        <f t="shared" si="1073"/>
        <v>0</v>
      </c>
      <c r="K5232" s="4" t="e">
        <f t="shared" si="1061"/>
        <v>#N/A</v>
      </c>
      <c r="L5232" t="e">
        <f t="shared" si="1062"/>
        <v>#N/A</v>
      </c>
      <c r="M5232" s="4" t="e">
        <f t="shared" si="1063"/>
        <v>#N/A</v>
      </c>
      <c r="N5232" s="4" t="e">
        <f t="shared" si="1064"/>
        <v>#N/A</v>
      </c>
    </row>
    <row r="5233" spans="1:14">
      <c r="A5233">
        <f t="shared" si="1065"/>
        <v>0</v>
      </c>
      <c r="B5233">
        <f t="shared" si="1066"/>
        <v>0</v>
      </c>
      <c r="C5233">
        <f t="shared" si="1067"/>
        <v>0</v>
      </c>
      <c r="D5233">
        <f t="shared" si="1068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9"/>
        <v>0</v>
      </c>
      <c r="G5233">
        <f t="shared" si="1070"/>
        <v>0</v>
      </c>
      <c r="H5233">
        <f t="shared" si="1071"/>
        <v>0</v>
      </c>
      <c r="I5233">
        <f t="shared" si="1072"/>
        <v>0</v>
      </c>
      <c r="J5233">
        <f t="shared" si="1073"/>
        <v>0</v>
      </c>
      <c r="K5233" s="4" t="e">
        <f t="shared" si="1061"/>
        <v>#N/A</v>
      </c>
      <c r="L5233" t="e">
        <f t="shared" si="1062"/>
        <v>#N/A</v>
      </c>
      <c r="M5233" s="4" t="e">
        <f t="shared" si="1063"/>
        <v>#N/A</v>
      </c>
      <c r="N5233" s="4" t="e">
        <f t="shared" si="1064"/>
        <v>#N/A</v>
      </c>
    </row>
    <row r="5234" spans="1:14">
      <c r="A5234">
        <f t="shared" si="1065"/>
        <v>0</v>
      </c>
      <c r="B5234">
        <f t="shared" si="1066"/>
        <v>0</v>
      </c>
      <c r="C5234">
        <f t="shared" si="1067"/>
        <v>0</v>
      </c>
      <c r="D5234">
        <f t="shared" si="1068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9"/>
        <v>0</v>
      </c>
      <c r="G5234">
        <f t="shared" si="1070"/>
        <v>0</v>
      </c>
      <c r="H5234">
        <f t="shared" si="1071"/>
        <v>0</v>
      </c>
      <c r="I5234">
        <f t="shared" si="1072"/>
        <v>0</v>
      </c>
      <c r="J5234">
        <f t="shared" si="1073"/>
        <v>0</v>
      </c>
      <c r="K5234" s="4" t="e">
        <f t="shared" si="1061"/>
        <v>#N/A</v>
      </c>
      <c r="L5234" t="e">
        <f t="shared" si="1062"/>
        <v>#N/A</v>
      </c>
      <c r="M5234" s="4" t="e">
        <f t="shared" si="1063"/>
        <v>#N/A</v>
      </c>
      <c r="N5234" s="4" t="e">
        <f t="shared" si="1064"/>
        <v>#N/A</v>
      </c>
    </row>
    <row r="5235" spans="1:14">
      <c r="A5235">
        <f t="shared" si="1065"/>
        <v>0</v>
      </c>
      <c r="B5235">
        <f t="shared" si="1066"/>
        <v>0</v>
      </c>
      <c r="C5235">
        <f t="shared" si="1067"/>
        <v>0</v>
      </c>
      <c r="D5235">
        <f t="shared" si="1068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9"/>
        <v>0</v>
      </c>
      <c r="G5235">
        <f t="shared" si="1070"/>
        <v>0</v>
      </c>
      <c r="H5235">
        <f t="shared" si="1071"/>
        <v>0</v>
      </c>
      <c r="I5235">
        <f t="shared" si="1072"/>
        <v>0</v>
      </c>
      <c r="J5235">
        <f t="shared" si="1073"/>
        <v>0</v>
      </c>
      <c r="K5235" s="4" t="e">
        <f t="shared" si="1061"/>
        <v>#N/A</v>
      </c>
      <c r="L5235" t="e">
        <f t="shared" si="1062"/>
        <v>#N/A</v>
      </c>
      <c r="M5235" s="4" t="e">
        <f t="shared" si="1063"/>
        <v>#N/A</v>
      </c>
      <c r="N5235" s="4" t="e">
        <f t="shared" si="1064"/>
        <v>#N/A</v>
      </c>
    </row>
    <row r="5236" spans="1:14">
      <c r="A5236">
        <f t="shared" si="1065"/>
        <v>0</v>
      </c>
      <c r="B5236">
        <f t="shared" si="1066"/>
        <v>0</v>
      </c>
      <c r="C5236">
        <f t="shared" si="1067"/>
        <v>0</v>
      </c>
      <c r="D5236">
        <f t="shared" si="1068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9"/>
        <v>0</v>
      </c>
      <c r="G5236">
        <f t="shared" si="1070"/>
        <v>0</v>
      </c>
      <c r="H5236">
        <f t="shared" si="1071"/>
        <v>0</v>
      </c>
      <c r="I5236">
        <f t="shared" si="1072"/>
        <v>0</v>
      </c>
      <c r="J5236">
        <f t="shared" si="1073"/>
        <v>0</v>
      </c>
      <c r="K5236" s="4" t="e">
        <f t="shared" si="1061"/>
        <v>#N/A</v>
      </c>
      <c r="L5236" t="e">
        <f t="shared" si="1062"/>
        <v>#N/A</v>
      </c>
      <c r="M5236" s="4" t="e">
        <f t="shared" si="1063"/>
        <v>#N/A</v>
      </c>
      <c r="N5236" s="4" t="e">
        <f t="shared" si="1064"/>
        <v>#N/A</v>
      </c>
    </row>
    <row r="5237" spans="1:14">
      <c r="A5237">
        <f t="shared" si="1065"/>
        <v>0</v>
      </c>
      <c r="B5237">
        <f t="shared" si="1066"/>
        <v>0</v>
      </c>
      <c r="C5237">
        <f t="shared" si="1067"/>
        <v>0</v>
      </c>
      <c r="D5237">
        <f t="shared" si="1068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9"/>
        <v>0</v>
      </c>
      <c r="G5237">
        <f t="shared" si="1070"/>
        <v>0</v>
      </c>
      <c r="H5237">
        <f t="shared" si="1071"/>
        <v>0</v>
      </c>
      <c r="I5237">
        <f t="shared" si="1072"/>
        <v>0</v>
      </c>
      <c r="J5237">
        <f t="shared" si="1073"/>
        <v>0</v>
      </c>
      <c r="K5237" s="4" t="e">
        <f t="shared" si="1061"/>
        <v>#N/A</v>
      </c>
      <c r="L5237" t="e">
        <f t="shared" si="1062"/>
        <v>#N/A</v>
      </c>
      <c r="M5237" s="4" t="e">
        <f t="shared" si="1063"/>
        <v>#N/A</v>
      </c>
      <c r="N5237" s="4" t="e">
        <f t="shared" si="1064"/>
        <v>#N/A</v>
      </c>
    </row>
    <row r="5238" spans="1:14">
      <c r="A5238">
        <f t="shared" si="1065"/>
        <v>0</v>
      </c>
      <c r="B5238">
        <f t="shared" si="1066"/>
        <v>0</v>
      </c>
      <c r="C5238">
        <f t="shared" si="1067"/>
        <v>0</v>
      </c>
      <c r="D5238">
        <f t="shared" si="1068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9"/>
        <v>0</v>
      </c>
      <c r="G5238">
        <f t="shared" si="1070"/>
        <v>0</v>
      </c>
      <c r="H5238">
        <f t="shared" si="1071"/>
        <v>0</v>
      </c>
      <c r="I5238">
        <f t="shared" si="1072"/>
        <v>0</v>
      </c>
      <c r="J5238">
        <f t="shared" si="1073"/>
        <v>0</v>
      </c>
      <c r="K5238" s="4" t="e">
        <f t="shared" si="1061"/>
        <v>#N/A</v>
      </c>
      <c r="L5238" t="e">
        <f t="shared" si="1062"/>
        <v>#N/A</v>
      </c>
      <c r="M5238" s="4" t="e">
        <f t="shared" si="1063"/>
        <v>#N/A</v>
      </c>
      <c r="N5238" s="4" t="e">
        <f t="shared" si="1064"/>
        <v>#N/A</v>
      </c>
    </row>
    <row r="5239" spans="1:14">
      <c r="A5239">
        <f t="shared" si="1065"/>
        <v>0</v>
      </c>
      <c r="B5239">
        <f t="shared" si="1066"/>
        <v>0</v>
      </c>
      <c r="C5239">
        <f t="shared" si="1067"/>
        <v>0</v>
      </c>
      <c r="D5239">
        <f t="shared" si="1068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9"/>
        <v>0</v>
      </c>
      <c r="G5239">
        <f t="shared" si="1070"/>
        <v>0</v>
      </c>
      <c r="H5239">
        <f t="shared" si="1071"/>
        <v>0</v>
      </c>
      <c r="I5239">
        <f t="shared" si="1072"/>
        <v>0</v>
      </c>
      <c r="J5239">
        <f t="shared" si="1073"/>
        <v>0</v>
      </c>
      <c r="K5239" s="4" t="e">
        <f t="shared" si="1061"/>
        <v>#N/A</v>
      </c>
      <c r="L5239" t="e">
        <f t="shared" si="1062"/>
        <v>#N/A</v>
      </c>
      <c r="M5239" s="4" t="e">
        <f t="shared" si="1063"/>
        <v>#N/A</v>
      </c>
      <c r="N5239" s="4" t="e">
        <f t="shared" si="1064"/>
        <v>#N/A</v>
      </c>
    </row>
    <row r="5240" spans="1:14">
      <c r="A5240">
        <f t="shared" si="1065"/>
        <v>0</v>
      </c>
      <c r="B5240">
        <f t="shared" si="1066"/>
        <v>0</v>
      </c>
      <c r="C5240">
        <f t="shared" si="1067"/>
        <v>0</v>
      </c>
      <c r="D5240">
        <f t="shared" si="1068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9"/>
        <v>0</v>
      </c>
      <c r="G5240">
        <f t="shared" si="1070"/>
        <v>0</v>
      </c>
      <c r="H5240">
        <f t="shared" si="1071"/>
        <v>0</v>
      </c>
      <c r="I5240">
        <f t="shared" si="1072"/>
        <v>0</v>
      </c>
      <c r="J5240">
        <f t="shared" si="1073"/>
        <v>0</v>
      </c>
      <c r="K5240" s="4" t="e">
        <f t="shared" si="1061"/>
        <v>#N/A</v>
      </c>
      <c r="L5240" t="e">
        <f t="shared" si="1062"/>
        <v>#N/A</v>
      </c>
      <c r="M5240" s="4" t="e">
        <f t="shared" si="1063"/>
        <v>#N/A</v>
      </c>
      <c r="N5240" s="4" t="e">
        <f t="shared" si="1064"/>
        <v>#N/A</v>
      </c>
    </row>
    <row r="5241" spans="1:14">
      <c r="A5241">
        <f t="shared" si="1065"/>
        <v>0</v>
      </c>
      <c r="B5241">
        <f t="shared" si="1066"/>
        <v>0</v>
      </c>
      <c r="C5241">
        <f t="shared" si="1067"/>
        <v>0</v>
      </c>
      <c r="D5241">
        <f t="shared" si="1068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9"/>
        <v>0</v>
      </c>
      <c r="G5241">
        <f t="shared" si="1070"/>
        <v>0</v>
      </c>
      <c r="H5241">
        <f t="shared" si="1071"/>
        <v>0</v>
      </c>
      <c r="I5241">
        <f t="shared" si="1072"/>
        <v>0</v>
      </c>
      <c r="J5241">
        <f t="shared" si="1073"/>
        <v>0</v>
      </c>
      <c r="K5241" s="4" t="e">
        <f t="shared" si="1061"/>
        <v>#N/A</v>
      </c>
      <c r="L5241" t="e">
        <f t="shared" si="1062"/>
        <v>#N/A</v>
      </c>
      <c r="M5241" s="4" t="e">
        <f t="shared" si="1063"/>
        <v>#N/A</v>
      </c>
      <c r="N5241" s="4" t="e">
        <f t="shared" si="1064"/>
        <v>#N/A</v>
      </c>
    </row>
    <row r="5242" spans="1:14">
      <c r="A5242">
        <f t="shared" si="1065"/>
        <v>0</v>
      </c>
      <c r="B5242">
        <f t="shared" si="1066"/>
        <v>0</v>
      </c>
      <c r="C5242">
        <f t="shared" si="1067"/>
        <v>0</v>
      </c>
      <c r="D5242">
        <f t="shared" si="1068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9"/>
        <v>0</v>
      </c>
      <c r="G5242">
        <f t="shared" si="1070"/>
        <v>0</v>
      </c>
      <c r="H5242">
        <f t="shared" si="1071"/>
        <v>0</v>
      </c>
      <c r="I5242">
        <f t="shared" si="1072"/>
        <v>0</v>
      </c>
      <c r="J5242">
        <f t="shared" si="1073"/>
        <v>0</v>
      </c>
      <c r="K5242" s="4" t="e">
        <f t="shared" si="1061"/>
        <v>#N/A</v>
      </c>
      <c r="L5242" t="e">
        <f t="shared" si="1062"/>
        <v>#N/A</v>
      </c>
      <c r="M5242" s="4" t="e">
        <f t="shared" si="1063"/>
        <v>#N/A</v>
      </c>
      <c r="N5242" s="4" t="e">
        <f t="shared" si="1064"/>
        <v>#N/A</v>
      </c>
    </row>
    <row r="5243" spans="1:14">
      <c r="A5243">
        <f t="shared" si="1065"/>
        <v>0</v>
      </c>
      <c r="B5243">
        <f t="shared" si="1066"/>
        <v>0</v>
      </c>
      <c r="C5243">
        <f t="shared" si="1067"/>
        <v>0</v>
      </c>
      <c r="D5243">
        <f t="shared" si="1068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9"/>
        <v>0</v>
      </c>
      <c r="G5243">
        <f t="shared" si="1070"/>
        <v>0</v>
      </c>
      <c r="H5243">
        <f t="shared" si="1071"/>
        <v>0</v>
      </c>
      <c r="I5243">
        <f t="shared" si="1072"/>
        <v>0</v>
      </c>
      <c r="J5243">
        <f t="shared" si="1073"/>
        <v>0</v>
      </c>
      <c r="K5243" s="4" t="e">
        <f t="shared" si="1061"/>
        <v>#N/A</v>
      </c>
      <c r="L5243" t="e">
        <f t="shared" si="1062"/>
        <v>#N/A</v>
      </c>
      <c r="M5243" s="4" t="e">
        <f t="shared" si="1063"/>
        <v>#N/A</v>
      </c>
      <c r="N5243" s="4" t="e">
        <f t="shared" si="1064"/>
        <v>#N/A</v>
      </c>
    </row>
    <row r="5244" spans="1:14">
      <c r="A5244">
        <f t="shared" si="1065"/>
        <v>0</v>
      </c>
      <c r="B5244">
        <f t="shared" si="1066"/>
        <v>0</v>
      </c>
      <c r="C5244">
        <f t="shared" si="1067"/>
        <v>0</v>
      </c>
      <c r="D5244">
        <f t="shared" si="1068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9"/>
        <v>0</v>
      </c>
      <c r="G5244">
        <f t="shared" si="1070"/>
        <v>0</v>
      </c>
      <c r="H5244">
        <f t="shared" si="1071"/>
        <v>0</v>
      </c>
      <c r="I5244">
        <f t="shared" si="1072"/>
        <v>0</v>
      </c>
      <c r="J5244">
        <f t="shared" si="1073"/>
        <v>0</v>
      </c>
      <c r="K5244" s="4" t="e">
        <f t="shared" si="1061"/>
        <v>#N/A</v>
      </c>
      <c r="L5244" t="e">
        <f t="shared" si="1062"/>
        <v>#N/A</v>
      </c>
      <c r="M5244" s="4" t="e">
        <f t="shared" si="1063"/>
        <v>#N/A</v>
      </c>
      <c r="N5244" s="4" t="e">
        <f t="shared" si="1064"/>
        <v>#N/A</v>
      </c>
    </row>
    <row r="5245" spans="1:14">
      <c r="A5245">
        <f t="shared" si="1065"/>
        <v>0</v>
      </c>
      <c r="B5245">
        <f t="shared" si="1066"/>
        <v>0</v>
      </c>
      <c r="C5245">
        <f t="shared" si="1067"/>
        <v>0</v>
      </c>
      <c r="D5245">
        <f t="shared" si="1068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9"/>
        <v>0</v>
      </c>
      <c r="G5245">
        <f t="shared" si="1070"/>
        <v>0</v>
      </c>
      <c r="H5245">
        <f t="shared" si="1071"/>
        <v>0</v>
      </c>
      <c r="I5245">
        <f t="shared" si="1072"/>
        <v>0</v>
      </c>
      <c r="J5245">
        <f t="shared" si="1073"/>
        <v>0</v>
      </c>
      <c r="K5245" s="4" t="e">
        <f t="shared" ref="K5245:K5308" si="1074">IF(LEFT(B5245,3)="DBM",0,VLOOKUP(E5245,tabela,2,FALSE))</f>
        <v>#N/A</v>
      </c>
      <c r="L5245" t="e">
        <f t="shared" ref="L5245:L5308" si="1075">VLOOKUP(E5245,tabela,3,FALSE)</f>
        <v>#N/A</v>
      </c>
      <c r="M5245" s="4" t="e">
        <f t="shared" ref="M5245:M5308" si="1076">IF(E5245="Dynamic Click",J5245*K5245,K5245*$I5245/1000)</f>
        <v>#N/A</v>
      </c>
      <c r="N5245" s="4" t="e">
        <f t="shared" ref="N5245:N5308" si="1077">IF(E5245="Dynamic Click",J5245*L5245,L5245*$I5245/1000)</f>
        <v>#N/A</v>
      </c>
    </row>
    <row r="5246" spans="1:14">
      <c r="A5246">
        <f t="shared" si="1065"/>
        <v>0</v>
      </c>
      <c r="B5246">
        <f t="shared" si="1066"/>
        <v>0</v>
      </c>
      <c r="C5246">
        <f t="shared" si="1067"/>
        <v>0</v>
      </c>
      <c r="D5246">
        <f t="shared" si="1068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9"/>
        <v>0</v>
      </c>
      <c r="G5246">
        <f t="shared" si="1070"/>
        <v>0</v>
      </c>
      <c r="H5246">
        <f t="shared" si="1071"/>
        <v>0</v>
      </c>
      <c r="I5246">
        <f t="shared" si="1072"/>
        <v>0</v>
      </c>
      <c r="J5246">
        <f t="shared" si="1073"/>
        <v>0</v>
      </c>
      <c r="K5246" s="4" t="e">
        <f t="shared" si="1074"/>
        <v>#N/A</v>
      </c>
      <c r="L5246" t="e">
        <f t="shared" si="1075"/>
        <v>#N/A</v>
      </c>
      <c r="M5246" s="4" t="e">
        <f t="shared" si="1076"/>
        <v>#N/A</v>
      </c>
      <c r="N5246" s="4" t="e">
        <f t="shared" si="1077"/>
        <v>#N/A</v>
      </c>
    </row>
    <row r="5247" spans="1:14">
      <c r="A5247">
        <f t="shared" si="1065"/>
        <v>0</v>
      </c>
      <c r="B5247">
        <f t="shared" si="1066"/>
        <v>0</v>
      </c>
      <c r="C5247">
        <f t="shared" si="1067"/>
        <v>0</v>
      </c>
      <c r="D5247">
        <f t="shared" si="1068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9"/>
        <v>0</v>
      </c>
      <c r="G5247">
        <f t="shared" si="1070"/>
        <v>0</v>
      </c>
      <c r="H5247">
        <f t="shared" si="1071"/>
        <v>0</v>
      </c>
      <c r="I5247">
        <f t="shared" si="1072"/>
        <v>0</v>
      </c>
      <c r="J5247">
        <f t="shared" si="1073"/>
        <v>0</v>
      </c>
      <c r="K5247" s="4" t="e">
        <f t="shared" si="1074"/>
        <v>#N/A</v>
      </c>
      <c r="L5247" t="e">
        <f t="shared" si="1075"/>
        <v>#N/A</v>
      </c>
      <c r="M5247" s="4" t="e">
        <f t="shared" si="1076"/>
        <v>#N/A</v>
      </c>
      <c r="N5247" s="4" t="e">
        <f t="shared" si="1077"/>
        <v>#N/A</v>
      </c>
    </row>
    <row r="5248" spans="1:14">
      <c r="A5248">
        <f t="shared" si="1065"/>
        <v>0</v>
      </c>
      <c r="B5248">
        <f t="shared" si="1066"/>
        <v>0</v>
      </c>
      <c r="C5248">
        <f t="shared" si="1067"/>
        <v>0</v>
      </c>
      <c r="D5248">
        <f t="shared" si="1068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9"/>
        <v>0</v>
      </c>
      <c r="G5248">
        <f t="shared" si="1070"/>
        <v>0</v>
      </c>
      <c r="H5248">
        <f t="shared" si="1071"/>
        <v>0</v>
      </c>
      <c r="I5248">
        <f t="shared" si="1072"/>
        <v>0</v>
      </c>
      <c r="J5248">
        <f t="shared" si="1073"/>
        <v>0</v>
      </c>
      <c r="K5248" s="4" t="e">
        <f t="shared" si="1074"/>
        <v>#N/A</v>
      </c>
      <c r="L5248" t="e">
        <f t="shared" si="1075"/>
        <v>#N/A</v>
      </c>
      <c r="M5248" s="4" t="e">
        <f t="shared" si="1076"/>
        <v>#N/A</v>
      </c>
      <c r="N5248" s="4" t="e">
        <f t="shared" si="1077"/>
        <v>#N/A</v>
      </c>
    </row>
    <row r="5249" spans="1:14">
      <c r="A5249">
        <f t="shared" si="1065"/>
        <v>0</v>
      </c>
      <c r="B5249">
        <f t="shared" si="1066"/>
        <v>0</v>
      </c>
      <c r="C5249">
        <f t="shared" si="1067"/>
        <v>0</v>
      </c>
      <c r="D5249">
        <f t="shared" si="1068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9"/>
        <v>0</v>
      </c>
      <c r="G5249">
        <f t="shared" si="1070"/>
        <v>0</v>
      </c>
      <c r="H5249">
        <f t="shared" si="1071"/>
        <v>0</v>
      </c>
      <c r="I5249">
        <f t="shared" si="1072"/>
        <v>0</v>
      </c>
      <c r="J5249">
        <f t="shared" si="1073"/>
        <v>0</v>
      </c>
      <c r="K5249" s="4" t="e">
        <f t="shared" si="1074"/>
        <v>#N/A</v>
      </c>
      <c r="L5249" t="e">
        <f t="shared" si="1075"/>
        <v>#N/A</v>
      </c>
      <c r="M5249" s="4" t="e">
        <f t="shared" si="1076"/>
        <v>#N/A</v>
      </c>
      <c r="N5249" s="4" t="e">
        <f t="shared" si="1077"/>
        <v>#N/A</v>
      </c>
    </row>
    <row r="5250" spans="1:14">
      <c r="A5250">
        <f t="shared" ref="A5250:A5313" si="1078">bd_campaign</f>
        <v>0</v>
      </c>
      <c r="B5250">
        <f t="shared" ref="B5250:B5313" si="1079">bd_site</f>
        <v>0</v>
      </c>
      <c r="C5250">
        <f t="shared" ref="C5250:C5313" si="1080">bd_placement</f>
        <v>0</v>
      </c>
      <c r="D5250">
        <f t="shared" ref="D5250:D5313" si="1081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2">bd_ad</f>
        <v>0</v>
      </c>
      <c r="G5250">
        <f t="shared" ref="G5250:G5313" si="1083">bd_adid</f>
        <v>0</v>
      </c>
      <c r="H5250">
        <f t="shared" ref="H5250:H5313" si="1084">bd_creativetype</f>
        <v>0</v>
      </c>
      <c r="I5250">
        <f t="shared" ref="I5250:I5313" si="1085">bd_impression</f>
        <v>0</v>
      </c>
      <c r="J5250">
        <f t="shared" ref="J5250:J5313" si="1086">bd_clicks</f>
        <v>0</v>
      </c>
      <c r="K5250" s="4" t="e">
        <f t="shared" si="1074"/>
        <v>#N/A</v>
      </c>
      <c r="L5250" t="e">
        <f t="shared" si="1075"/>
        <v>#N/A</v>
      </c>
      <c r="M5250" s="4" t="e">
        <f t="shared" si="1076"/>
        <v>#N/A</v>
      </c>
      <c r="N5250" s="4" t="e">
        <f t="shared" si="1077"/>
        <v>#N/A</v>
      </c>
    </row>
    <row r="5251" spans="1:14">
      <c r="A5251">
        <f t="shared" si="1078"/>
        <v>0</v>
      </c>
      <c r="B5251">
        <f t="shared" si="1079"/>
        <v>0</v>
      </c>
      <c r="C5251">
        <f t="shared" si="1080"/>
        <v>0</v>
      </c>
      <c r="D5251">
        <f t="shared" si="1081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2"/>
        <v>0</v>
      </c>
      <c r="G5251">
        <f t="shared" si="1083"/>
        <v>0</v>
      </c>
      <c r="H5251">
        <f t="shared" si="1084"/>
        <v>0</v>
      </c>
      <c r="I5251">
        <f t="shared" si="1085"/>
        <v>0</v>
      </c>
      <c r="J5251">
        <f t="shared" si="1086"/>
        <v>0</v>
      </c>
      <c r="K5251" s="4" t="e">
        <f t="shared" si="1074"/>
        <v>#N/A</v>
      </c>
      <c r="L5251" t="e">
        <f t="shared" si="1075"/>
        <v>#N/A</v>
      </c>
      <c r="M5251" s="4" t="e">
        <f t="shared" si="1076"/>
        <v>#N/A</v>
      </c>
      <c r="N5251" s="4" t="e">
        <f t="shared" si="1077"/>
        <v>#N/A</v>
      </c>
    </row>
    <row r="5252" spans="1:14">
      <c r="A5252">
        <f t="shared" si="1078"/>
        <v>0</v>
      </c>
      <c r="B5252">
        <f t="shared" si="1079"/>
        <v>0</v>
      </c>
      <c r="C5252">
        <f t="shared" si="1080"/>
        <v>0</v>
      </c>
      <c r="D5252">
        <f t="shared" si="1081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2"/>
        <v>0</v>
      </c>
      <c r="G5252">
        <f t="shared" si="1083"/>
        <v>0</v>
      </c>
      <c r="H5252">
        <f t="shared" si="1084"/>
        <v>0</v>
      </c>
      <c r="I5252">
        <f t="shared" si="1085"/>
        <v>0</v>
      </c>
      <c r="J5252">
        <f t="shared" si="1086"/>
        <v>0</v>
      </c>
      <c r="K5252" s="4" t="e">
        <f t="shared" si="1074"/>
        <v>#N/A</v>
      </c>
      <c r="L5252" t="e">
        <f t="shared" si="1075"/>
        <v>#N/A</v>
      </c>
      <c r="M5252" s="4" t="e">
        <f t="shared" si="1076"/>
        <v>#N/A</v>
      </c>
      <c r="N5252" s="4" t="e">
        <f t="shared" si="1077"/>
        <v>#N/A</v>
      </c>
    </row>
    <row r="5253" spans="1:14">
      <c r="A5253">
        <f t="shared" si="1078"/>
        <v>0</v>
      </c>
      <c r="B5253">
        <f t="shared" si="1079"/>
        <v>0</v>
      </c>
      <c r="C5253">
        <f t="shared" si="1080"/>
        <v>0</v>
      </c>
      <c r="D5253">
        <f t="shared" si="1081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2"/>
        <v>0</v>
      </c>
      <c r="G5253">
        <f t="shared" si="1083"/>
        <v>0</v>
      </c>
      <c r="H5253">
        <f t="shared" si="1084"/>
        <v>0</v>
      </c>
      <c r="I5253">
        <f t="shared" si="1085"/>
        <v>0</v>
      </c>
      <c r="J5253">
        <f t="shared" si="1086"/>
        <v>0</v>
      </c>
      <c r="K5253" s="4" t="e">
        <f t="shared" si="1074"/>
        <v>#N/A</v>
      </c>
      <c r="L5253" t="e">
        <f t="shared" si="1075"/>
        <v>#N/A</v>
      </c>
      <c r="M5253" s="4" t="e">
        <f t="shared" si="1076"/>
        <v>#N/A</v>
      </c>
      <c r="N5253" s="4" t="e">
        <f t="shared" si="1077"/>
        <v>#N/A</v>
      </c>
    </row>
    <row r="5254" spans="1:14">
      <c r="A5254">
        <f t="shared" si="1078"/>
        <v>0</v>
      </c>
      <c r="B5254">
        <f t="shared" si="1079"/>
        <v>0</v>
      </c>
      <c r="C5254">
        <f t="shared" si="1080"/>
        <v>0</v>
      </c>
      <c r="D5254">
        <f t="shared" si="1081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2"/>
        <v>0</v>
      </c>
      <c r="G5254">
        <f t="shared" si="1083"/>
        <v>0</v>
      </c>
      <c r="H5254">
        <f t="shared" si="1084"/>
        <v>0</v>
      </c>
      <c r="I5254">
        <f t="shared" si="1085"/>
        <v>0</v>
      </c>
      <c r="J5254">
        <f t="shared" si="1086"/>
        <v>0</v>
      </c>
      <c r="K5254" s="4" t="e">
        <f t="shared" si="1074"/>
        <v>#N/A</v>
      </c>
      <c r="L5254" t="e">
        <f t="shared" si="1075"/>
        <v>#N/A</v>
      </c>
      <c r="M5254" s="4" t="e">
        <f t="shared" si="1076"/>
        <v>#N/A</v>
      </c>
      <c r="N5254" s="4" t="e">
        <f t="shared" si="1077"/>
        <v>#N/A</v>
      </c>
    </row>
    <row r="5255" spans="1:14">
      <c r="A5255">
        <f t="shared" si="1078"/>
        <v>0</v>
      </c>
      <c r="B5255">
        <f t="shared" si="1079"/>
        <v>0</v>
      </c>
      <c r="C5255">
        <f t="shared" si="1080"/>
        <v>0</v>
      </c>
      <c r="D5255">
        <f t="shared" si="1081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2"/>
        <v>0</v>
      </c>
      <c r="G5255">
        <f t="shared" si="1083"/>
        <v>0</v>
      </c>
      <c r="H5255">
        <f t="shared" si="1084"/>
        <v>0</v>
      </c>
      <c r="I5255">
        <f t="shared" si="1085"/>
        <v>0</v>
      </c>
      <c r="J5255">
        <f t="shared" si="1086"/>
        <v>0</v>
      </c>
      <c r="K5255" s="4" t="e">
        <f t="shared" si="1074"/>
        <v>#N/A</v>
      </c>
      <c r="L5255" t="e">
        <f t="shared" si="1075"/>
        <v>#N/A</v>
      </c>
      <c r="M5255" s="4" t="e">
        <f t="shared" si="1076"/>
        <v>#N/A</v>
      </c>
      <c r="N5255" s="4" t="e">
        <f t="shared" si="1077"/>
        <v>#N/A</v>
      </c>
    </row>
    <row r="5256" spans="1:14">
      <c r="A5256">
        <f t="shared" si="1078"/>
        <v>0</v>
      </c>
      <c r="B5256">
        <f t="shared" si="1079"/>
        <v>0</v>
      </c>
      <c r="C5256">
        <f t="shared" si="1080"/>
        <v>0</v>
      </c>
      <c r="D5256">
        <f t="shared" si="1081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2"/>
        <v>0</v>
      </c>
      <c r="G5256">
        <f t="shared" si="1083"/>
        <v>0</v>
      </c>
      <c r="H5256">
        <f t="shared" si="1084"/>
        <v>0</v>
      </c>
      <c r="I5256">
        <f t="shared" si="1085"/>
        <v>0</v>
      </c>
      <c r="J5256">
        <f t="shared" si="1086"/>
        <v>0</v>
      </c>
      <c r="K5256" s="4" t="e">
        <f t="shared" si="1074"/>
        <v>#N/A</v>
      </c>
      <c r="L5256" t="e">
        <f t="shared" si="1075"/>
        <v>#N/A</v>
      </c>
      <c r="M5256" s="4" t="e">
        <f t="shared" si="1076"/>
        <v>#N/A</v>
      </c>
      <c r="N5256" s="4" t="e">
        <f t="shared" si="1077"/>
        <v>#N/A</v>
      </c>
    </row>
    <row r="5257" spans="1:14">
      <c r="A5257">
        <f t="shared" si="1078"/>
        <v>0</v>
      </c>
      <c r="B5257">
        <f t="shared" si="1079"/>
        <v>0</v>
      </c>
      <c r="C5257">
        <f t="shared" si="1080"/>
        <v>0</v>
      </c>
      <c r="D5257">
        <f t="shared" si="1081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2"/>
        <v>0</v>
      </c>
      <c r="G5257">
        <f t="shared" si="1083"/>
        <v>0</v>
      </c>
      <c r="H5257">
        <f t="shared" si="1084"/>
        <v>0</v>
      </c>
      <c r="I5257">
        <f t="shared" si="1085"/>
        <v>0</v>
      </c>
      <c r="J5257">
        <f t="shared" si="1086"/>
        <v>0</v>
      </c>
      <c r="K5257" s="4" t="e">
        <f t="shared" si="1074"/>
        <v>#N/A</v>
      </c>
      <c r="L5257" t="e">
        <f t="shared" si="1075"/>
        <v>#N/A</v>
      </c>
      <c r="M5257" s="4" t="e">
        <f t="shared" si="1076"/>
        <v>#N/A</v>
      </c>
      <c r="N5257" s="4" t="e">
        <f t="shared" si="1077"/>
        <v>#N/A</v>
      </c>
    </row>
    <row r="5258" spans="1:14">
      <c r="A5258">
        <f t="shared" si="1078"/>
        <v>0</v>
      </c>
      <c r="B5258">
        <f t="shared" si="1079"/>
        <v>0</v>
      </c>
      <c r="C5258">
        <f t="shared" si="1080"/>
        <v>0</v>
      </c>
      <c r="D5258">
        <f t="shared" si="1081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2"/>
        <v>0</v>
      </c>
      <c r="G5258">
        <f t="shared" si="1083"/>
        <v>0</v>
      </c>
      <c r="H5258">
        <f t="shared" si="1084"/>
        <v>0</v>
      </c>
      <c r="I5258">
        <f t="shared" si="1085"/>
        <v>0</v>
      </c>
      <c r="J5258">
        <f t="shared" si="1086"/>
        <v>0</v>
      </c>
      <c r="K5258" s="4" t="e">
        <f t="shared" si="1074"/>
        <v>#N/A</v>
      </c>
      <c r="L5258" t="e">
        <f t="shared" si="1075"/>
        <v>#N/A</v>
      </c>
      <c r="M5258" s="4" t="e">
        <f t="shared" si="1076"/>
        <v>#N/A</v>
      </c>
      <c r="N5258" s="4" t="e">
        <f t="shared" si="1077"/>
        <v>#N/A</v>
      </c>
    </row>
    <row r="5259" spans="1:14">
      <c r="A5259">
        <f t="shared" si="1078"/>
        <v>0</v>
      </c>
      <c r="B5259">
        <f t="shared" si="1079"/>
        <v>0</v>
      </c>
      <c r="C5259">
        <f t="shared" si="1080"/>
        <v>0</v>
      </c>
      <c r="D5259">
        <f t="shared" si="1081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2"/>
        <v>0</v>
      </c>
      <c r="G5259">
        <f t="shared" si="1083"/>
        <v>0</v>
      </c>
      <c r="H5259">
        <f t="shared" si="1084"/>
        <v>0</v>
      </c>
      <c r="I5259">
        <f t="shared" si="1085"/>
        <v>0</v>
      </c>
      <c r="J5259">
        <f t="shared" si="1086"/>
        <v>0</v>
      </c>
      <c r="K5259" s="4" t="e">
        <f t="shared" si="1074"/>
        <v>#N/A</v>
      </c>
      <c r="L5259" t="e">
        <f t="shared" si="1075"/>
        <v>#N/A</v>
      </c>
      <c r="M5259" s="4" t="e">
        <f t="shared" si="1076"/>
        <v>#N/A</v>
      </c>
      <c r="N5259" s="4" t="e">
        <f t="shared" si="1077"/>
        <v>#N/A</v>
      </c>
    </row>
    <row r="5260" spans="1:14">
      <c r="A5260">
        <f t="shared" si="1078"/>
        <v>0</v>
      </c>
      <c r="B5260">
        <f t="shared" si="1079"/>
        <v>0</v>
      </c>
      <c r="C5260">
        <f t="shared" si="1080"/>
        <v>0</v>
      </c>
      <c r="D5260">
        <f t="shared" si="1081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2"/>
        <v>0</v>
      </c>
      <c r="G5260">
        <f t="shared" si="1083"/>
        <v>0</v>
      </c>
      <c r="H5260">
        <f t="shared" si="1084"/>
        <v>0</v>
      </c>
      <c r="I5260">
        <f t="shared" si="1085"/>
        <v>0</v>
      </c>
      <c r="J5260">
        <f t="shared" si="1086"/>
        <v>0</v>
      </c>
      <c r="K5260" s="4" t="e">
        <f t="shared" si="1074"/>
        <v>#N/A</v>
      </c>
      <c r="L5260" t="e">
        <f t="shared" si="1075"/>
        <v>#N/A</v>
      </c>
      <c r="M5260" s="4" t="e">
        <f t="shared" si="1076"/>
        <v>#N/A</v>
      </c>
      <c r="N5260" s="4" t="e">
        <f t="shared" si="1077"/>
        <v>#N/A</v>
      </c>
    </row>
    <row r="5261" spans="1:14">
      <c r="A5261">
        <f t="shared" si="1078"/>
        <v>0</v>
      </c>
      <c r="B5261">
        <f t="shared" si="1079"/>
        <v>0</v>
      </c>
      <c r="C5261">
        <f t="shared" si="1080"/>
        <v>0</v>
      </c>
      <c r="D5261">
        <f t="shared" si="1081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2"/>
        <v>0</v>
      </c>
      <c r="G5261">
        <f t="shared" si="1083"/>
        <v>0</v>
      </c>
      <c r="H5261">
        <f t="shared" si="1084"/>
        <v>0</v>
      </c>
      <c r="I5261">
        <f t="shared" si="1085"/>
        <v>0</v>
      </c>
      <c r="J5261">
        <f t="shared" si="1086"/>
        <v>0</v>
      </c>
      <c r="K5261" s="4" t="e">
        <f t="shared" si="1074"/>
        <v>#N/A</v>
      </c>
      <c r="L5261" t="e">
        <f t="shared" si="1075"/>
        <v>#N/A</v>
      </c>
      <c r="M5261" s="4" t="e">
        <f t="shared" si="1076"/>
        <v>#N/A</v>
      </c>
      <c r="N5261" s="4" t="e">
        <f t="shared" si="1077"/>
        <v>#N/A</v>
      </c>
    </row>
    <row r="5262" spans="1:14">
      <c r="A5262">
        <f t="shared" si="1078"/>
        <v>0</v>
      </c>
      <c r="B5262">
        <f t="shared" si="1079"/>
        <v>0</v>
      </c>
      <c r="C5262">
        <f t="shared" si="1080"/>
        <v>0</v>
      </c>
      <c r="D5262">
        <f t="shared" si="1081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2"/>
        <v>0</v>
      </c>
      <c r="G5262">
        <f t="shared" si="1083"/>
        <v>0</v>
      </c>
      <c r="H5262">
        <f t="shared" si="1084"/>
        <v>0</v>
      </c>
      <c r="I5262">
        <f t="shared" si="1085"/>
        <v>0</v>
      </c>
      <c r="J5262">
        <f t="shared" si="1086"/>
        <v>0</v>
      </c>
      <c r="K5262" s="4" t="e">
        <f t="shared" si="1074"/>
        <v>#N/A</v>
      </c>
      <c r="L5262" t="e">
        <f t="shared" si="1075"/>
        <v>#N/A</v>
      </c>
      <c r="M5262" s="4" t="e">
        <f t="shared" si="1076"/>
        <v>#N/A</v>
      </c>
      <c r="N5262" s="4" t="e">
        <f t="shared" si="1077"/>
        <v>#N/A</v>
      </c>
    </row>
    <row r="5263" spans="1:14">
      <c r="A5263">
        <f t="shared" si="1078"/>
        <v>0</v>
      </c>
      <c r="B5263">
        <f t="shared" si="1079"/>
        <v>0</v>
      </c>
      <c r="C5263">
        <f t="shared" si="1080"/>
        <v>0</v>
      </c>
      <c r="D5263">
        <f t="shared" si="1081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2"/>
        <v>0</v>
      </c>
      <c r="G5263">
        <f t="shared" si="1083"/>
        <v>0</v>
      </c>
      <c r="H5263">
        <f t="shared" si="1084"/>
        <v>0</v>
      </c>
      <c r="I5263">
        <f t="shared" si="1085"/>
        <v>0</v>
      </c>
      <c r="J5263">
        <f t="shared" si="1086"/>
        <v>0</v>
      </c>
      <c r="K5263" s="4" t="e">
        <f t="shared" si="1074"/>
        <v>#N/A</v>
      </c>
      <c r="L5263" t="e">
        <f t="shared" si="1075"/>
        <v>#N/A</v>
      </c>
      <c r="M5263" s="4" t="e">
        <f t="shared" si="1076"/>
        <v>#N/A</v>
      </c>
      <c r="N5263" s="4" t="e">
        <f t="shared" si="1077"/>
        <v>#N/A</v>
      </c>
    </row>
    <row r="5264" spans="1:14">
      <c r="A5264">
        <f t="shared" si="1078"/>
        <v>0</v>
      </c>
      <c r="B5264">
        <f t="shared" si="1079"/>
        <v>0</v>
      </c>
      <c r="C5264">
        <f t="shared" si="1080"/>
        <v>0</v>
      </c>
      <c r="D5264">
        <f t="shared" si="1081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2"/>
        <v>0</v>
      </c>
      <c r="G5264">
        <f t="shared" si="1083"/>
        <v>0</v>
      </c>
      <c r="H5264">
        <f t="shared" si="1084"/>
        <v>0</v>
      </c>
      <c r="I5264">
        <f t="shared" si="1085"/>
        <v>0</v>
      </c>
      <c r="J5264">
        <f t="shared" si="1086"/>
        <v>0</v>
      </c>
      <c r="K5264" s="4" t="e">
        <f t="shared" si="1074"/>
        <v>#N/A</v>
      </c>
      <c r="L5264" t="e">
        <f t="shared" si="1075"/>
        <v>#N/A</v>
      </c>
      <c r="M5264" s="4" t="e">
        <f t="shared" si="1076"/>
        <v>#N/A</v>
      </c>
      <c r="N5264" s="4" t="e">
        <f t="shared" si="1077"/>
        <v>#N/A</v>
      </c>
    </row>
    <row r="5265" spans="1:14">
      <c r="A5265">
        <f t="shared" si="1078"/>
        <v>0</v>
      </c>
      <c r="B5265">
        <f t="shared" si="1079"/>
        <v>0</v>
      </c>
      <c r="C5265">
        <f t="shared" si="1080"/>
        <v>0</v>
      </c>
      <c r="D5265">
        <f t="shared" si="1081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2"/>
        <v>0</v>
      </c>
      <c r="G5265">
        <f t="shared" si="1083"/>
        <v>0</v>
      </c>
      <c r="H5265">
        <f t="shared" si="1084"/>
        <v>0</v>
      </c>
      <c r="I5265">
        <f t="shared" si="1085"/>
        <v>0</v>
      </c>
      <c r="J5265">
        <f t="shared" si="1086"/>
        <v>0</v>
      </c>
      <c r="K5265" s="4" t="e">
        <f t="shared" si="1074"/>
        <v>#N/A</v>
      </c>
      <c r="L5265" t="e">
        <f t="shared" si="1075"/>
        <v>#N/A</v>
      </c>
      <c r="M5265" s="4" t="e">
        <f t="shared" si="1076"/>
        <v>#N/A</v>
      </c>
      <c r="N5265" s="4" t="e">
        <f t="shared" si="1077"/>
        <v>#N/A</v>
      </c>
    </row>
    <row r="5266" spans="1:14">
      <c r="A5266">
        <f t="shared" si="1078"/>
        <v>0</v>
      </c>
      <c r="B5266">
        <f t="shared" si="1079"/>
        <v>0</v>
      </c>
      <c r="C5266">
        <f t="shared" si="1080"/>
        <v>0</v>
      </c>
      <c r="D5266">
        <f t="shared" si="1081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2"/>
        <v>0</v>
      </c>
      <c r="G5266">
        <f t="shared" si="1083"/>
        <v>0</v>
      </c>
      <c r="H5266">
        <f t="shared" si="1084"/>
        <v>0</v>
      </c>
      <c r="I5266">
        <f t="shared" si="1085"/>
        <v>0</v>
      </c>
      <c r="J5266">
        <f t="shared" si="1086"/>
        <v>0</v>
      </c>
      <c r="K5266" s="4" t="e">
        <f t="shared" si="1074"/>
        <v>#N/A</v>
      </c>
      <c r="L5266" t="e">
        <f t="shared" si="1075"/>
        <v>#N/A</v>
      </c>
      <c r="M5266" s="4" t="e">
        <f t="shared" si="1076"/>
        <v>#N/A</v>
      </c>
      <c r="N5266" s="4" t="e">
        <f t="shared" si="1077"/>
        <v>#N/A</v>
      </c>
    </row>
    <row r="5267" spans="1:14">
      <c r="A5267">
        <f t="shared" si="1078"/>
        <v>0</v>
      </c>
      <c r="B5267">
        <f t="shared" si="1079"/>
        <v>0</v>
      </c>
      <c r="C5267">
        <f t="shared" si="1080"/>
        <v>0</v>
      </c>
      <c r="D5267">
        <f t="shared" si="1081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2"/>
        <v>0</v>
      </c>
      <c r="G5267">
        <f t="shared" si="1083"/>
        <v>0</v>
      </c>
      <c r="H5267">
        <f t="shared" si="1084"/>
        <v>0</v>
      </c>
      <c r="I5267">
        <f t="shared" si="1085"/>
        <v>0</v>
      </c>
      <c r="J5267">
        <f t="shared" si="1086"/>
        <v>0</v>
      </c>
      <c r="K5267" s="4" t="e">
        <f t="shared" si="1074"/>
        <v>#N/A</v>
      </c>
      <c r="L5267" t="e">
        <f t="shared" si="1075"/>
        <v>#N/A</v>
      </c>
      <c r="M5267" s="4" t="e">
        <f t="shared" si="1076"/>
        <v>#N/A</v>
      </c>
      <c r="N5267" s="4" t="e">
        <f t="shared" si="1077"/>
        <v>#N/A</v>
      </c>
    </row>
    <row r="5268" spans="1:14">
      <c r="A5268">
        <f t="shared" si="1078"/>
        <v>0</v>
      </c>
      <c r="B5268">
        <f t="shared" si="1079"/>
        <v>0</v>
      </c>
      <c r="C5268">
        <f t="shared" si="1080"/>
        <v>0</v>
      </c>
      <c r="D5268">
        <f t="shared" si="1081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2"/>
        <v>0</v>
      </c>
      <c r="G5268">
        <f t="shared" si="1083"/>
        <v>0</v>
      </c>
      <c r="H5268">
        <f t="shared" si="1084"/>
        <v>0</v>
      </c>
      <c r="I5268">
        <f t="shared" si="1085"/>
        <v>0</v>
      </c>
      <c r="J5268">
        <f t="shared" si="1086"/>
        <v>0</v>
      </c>
      <c r="K5268" s="4" t="e">
        <f t="shared" si="1074"/>
        <v>#N/A</v>
      </c>
      <c r="L5268" t="e">
        <f t="shared" si="1075"/>
        <v>#N/A</v>
      </c>
      <c r="M5268" s="4" t="e">
        <f t="shared" si="1076"/>
        <v>#N/A</v>
      </c>
      <c r="N5268" s="4" t="e">
        <f t="shared" si="1077"/>
        <v>#N/A</v>
      </c>
    </row>
    <row r="5269" spans="1:14">
      <c r="A5269">
        <f t="shared" si="1078"/>
        <v>0</v>
      </c>
      <c r="B5269">
        <f t="shared" si="1079"/>
        <v>0</v>
      </c>
      <c r="C5269">
        <f t="shared" si="1080"/>
        <v>0</v>
      </c>
      <c r="D5269">
        <f t="shared" si="1081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2"/>
        <v>0</v>
      </c>
      <c r="G5269">
        <f t="shared" si="1083"/>
        <v>0</v>
      </c>
      <c r="H5269">
        <f t="shared" si="1084"/>
        <v>0</v>
      </c>
      <c r="I5269">
        <f t="shared" si="1085"/>
        <v>0</v>
      </c>
      <c r="J5269">
        <f t="shared" si="1086"/>
        <v>0</v>
      </c>
      <c r="K5269" s="4" t="e">
        <f t="shared" si="1074"/>
        <v>#N/A</v>
      </c>
      <c r="L5269" t="e">
        <f t="shared" si="1075"/>
        <v>#N/A</v>
      </c>
      <c r="M5269" s="4" t="e">
        <f t="shared" si="1076"/>
        <v>#N/A</v>
      </c>
      <c r="N5269" s="4" t="e">
        <f t="shared" si="1077"/>
        <v>#N/A</v>
      </c>
    </row>
    <row r="5270" spans="1:14">
      <c r="A5270">
        <f t="shared" si="1078"/>
        <v>0</v>
      </c>
      <c r="B5270">
        <f t="shared" si="1079"/>
        <v>0</v>
      </c>
      <c r="C5270">
        <f t="shared" si="1080"/>
        <v>0</v>
      </c>
      <c r="D5270">
        <f t="shared" si="1081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2"/>
        <v>0</v>
      </c>
      <c r="G5270">
        <f t="shared" si="1083"/>
        <v>0</v>
      </c>
      <c r="H5270">
        <f t="shared" si="1084"/>
        <v>0</v>
      </c>
      <c r="I5270">
        <f t="shared" si="1085"/>
        <v>0</v>
      </c>
      <c r="J5270">
        <f t="shared" si="1086"/>
        <v>0</v>
      </c>
      <c r="K5270" s="4" t="e">
        <f t="shared" si="1074"/>
        <v>#N/A</v>
      </c>
      <c r="L5270" t="e">
        <f t="shared" si="1075"/>
        <v>#N/A</v>
      </c>
      <c r="M5270" s="4" t="e">
        <f t="shared" si="1076"/>
        <v>#N/A</v>
      </c>
      <c r="N5270" s="4" t="e">
        <f t="shared" si="1077"/>
        <v>#N/A</v>
      </c>
    </row>
    <row r="5271" spans="1:14">
      <c r="A5271">
        <f t="shared" si="1078"/>
        <v>0</v>
      </c>
      <c r="B5271">
        <f t="shared" si="1079"/>
        <v>0</v>
      </c>
      <c r="C5271">
        <f t="shared" si="1080"/>
        <v>0</v>
      </c>
      <c r="D5271">
        <f t="shared" si="1081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2"/>
        <v>0</v>
      </c>
      <c r="G5271">
        <f t="shared" si="1083"/>
        <v>0</v>
      </c>
      <c r="H5271">
        <f t="shared" si="1084"/>
        <v>0</v>
      </c>
      <c r="I5271">
        <f t="shared" si="1085"/>
        <v>0</v>
      </c>
      <c r="J5271">
        <f t="shared" si="1086"/>
        <v>0</v>
      </c>
      <c r="K5271" s="4" t="e">
        <f t="shared" si="1074"/>
        <v>#N/A</v>
      </c>
      <c r="L5271" t="e">
        <f t="shared" si="1075"/>
        <v>#N/A</v>
      </c>
      <c r="M5271" s="4" t="e">
        <f t="shared" si="1076"/>
        <v>#N/A</v>
      </c>
      <c r="N5271" s="4" t="e">
        <f t="shared" si="1077"/>
        <v>#N/A</v>
      </c>
    </row>
    <row r="5272" spans="1:14">
      <c r="A5272">
        <f t="shared" si="1078"/>
        <v>0</v>
      </c>
      <c r="B5272">
        <f t="shared" si="1079"/>
        <v>0</v>
      </c>
      <c r="C5272">
        <f t="shared" si="1080"/>
        <v>0</v>
      </c>
      <c r="D5272">
        <f t="shared" si="1081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2"/>
        <v>0</v>
      </c>
      <c r="G5272">
        <f t="shared" si="1083"/>
        <v>0</v>
      </c>
      <c r="H5272">
        <f t="shared" si="1084"/>
        <v>0</v>
      </c>
      <c r="I5272">
        <f t="shared" si="1085"/>
        <v>0</v>
      </c>
      <c r="J5272">
        <f t="shared" si="1086"/>
        <v>0</v>
      </c>
      <c r="K5272" s="4" t="e">
        <f t="shared" si="1074"/>
        <v>#N/A</v>
      </c>
      <c r="L5272" t="e">
        <f t="shared" si="1075"/>
        <v>#N/A</v>
      </c>
      <c r="M5272" s="4" t="e">
        <f t="shared" si="1076"/>
        <v>#N/A</v>
      </c>
      <c r="N5272" s="4" t="e">
        <f t="shared" si="1077"/>
        <v>#N/A</v>
      </c>
    </row>
    <row r="5273" spans="1:14">
      <c r="A5273">
        <f t="shared" si="1078"/>
        <v>0</v>
      </c>
      <c r="B5273">
        <f t="shared" si="1079"/>
        <v>0</v>
      </c>
      <c r="C5273">
        <f t="shared" si="1080"/>
        <v>0</v>
      </c>
      <c r="D5273">
        <f t="shared" si="1081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2"/>
        <v>0</v>
      </c>
      <c r="G5273">
        <f t="shared" si="1083"/>
        <v>0</v>
      </c>
      <c r="H5273">
        <f t="shared" si="1084"/>
        <v>0</v>
      </c>
      <c r="I5273">
        <f t="shared" si="1085"/>
        <v>0</v>
      </c>
      <c r="J5273">
        <f t="shared" si="1086"/>
        <v>0</v>
      </c>
      <c r="K5273" s="4" t="e">
        <f t="shared" si="1074"/>
        <v>#N/A</v>
      </c>
      <c r="L5273" t="e">
        <f t="shared" si="1075"/>
        <v>#N/A</v>
      </c>
      <c r="M5273" s="4" t="e">
        <f t="shared" si="1076"/>
        <v>#N/A</v>
      </c>
      <c r="N5273" s="4" t="e">
        <f t="shared" si="1077"/>
        <v>#N/A</v>
      </c>
    </row>
    <row r="5274" spans="1:14">
      <c r="A5274">
        <f t="shared" si="1078"/>
        <v>0</v>
      </c>
      <c r="B5274">
        <f t="shared" si="1079"/>
        <v>0</v>
      </c>
      <c r="C5274">
        <f t="shared" si="1080"/>
        <v>0</v>
      </c>
      <c r="D5274">
        <f t="shared" si="1081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2"/>
        <v>0</v>
      </c>
      <c r="G5274">
        <f t="shared" si="1083"/>
        <v>0</v>
      </c>
      <c r="H5274">
        <f t="shared" si="1084"/>
        <v>0</v>
      </c>
      <c r="I5274">
        <f t="shared" si="1085"/>
        <v>0</v>
      </c>
      <c r="J5274">
        <f t="shared" si="1086"/>
        <v>0</v>
      </c>
      <c r="K5274" s="4" t="e">
        <f t="shared" si="1074"/>
        <v>#N/A</v>
      </c>
      <c r="L5274" t="e">
        <f t="shared" si="1075"/>
        <v>#N/A</v>
      </c>
      <c r="M5274" s="4" t="e">
        <f t="shared" si="1076"/>
        <v>#N/A</v>
      </c>
      <c r="N5274" s="4" t="e">
        <f t="shared" si="1077"/>
        <v>#N/A</v>
      </c>
    </row>
    <row r="5275" spans="1:14">
      <c r="A5275">
        <f t="shared" si="1078"/>
        <v>0</v>
      </c>
      <c r="B5275">
        <f t="shared" si="1079"/>
        <v>0</v>
      </c>
      <c r="C5275">
        <f t="shared" si="1080"/>
        <v>0</v>
      </c>
      <c r="D5275">
        <f t="shared" si="1081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2"/>
        <v>0</v>
      </c>
      <c r="G5275">
        <f t="shared" si="1083"/>
        <v>0</v>
      </c>
      <c r="H5275">
        <f t="shared" si="1084"/>
        <v>0</v>
      </c>
      <c r="I5275">
        <f t="shared" si="1085"/>
        <v>0</v>
      </c>
      <c r="J5275">
        <f t="shared" si="1086"/>
        <v>0</v>
      </c>
      <c r="K5275" s="4" t="e">
        <f t="shared" si="1074"/>
        <v>#N/A</v>
      </c>
      <c r="L5275" t="e">
        <f t="shared" si="1075"/>
        <v>#N/A</v>
      </c>
      <c r="M5275" s="4" t="e">
        <f t="shared" si="1076"/>
        <v>#N/A</v>
      </c>
      <c r="N5275" s="4" t="e">
        <f t="shared" si="1077"/>
        <v>#N/A</v>
      </c>
    </row>
    <row r="5276" spans="1:14">
      <c r="A5276">
        <f t="shared" si="1078"/>
        <v>0</v>
      </c>
      <c r="B5276">
        <f t="shared" si="1079"/>
        <v>0</v>
      </c>
      <c r="C5276">
        <f t="shared" si="1080"/>
        <v>0</v>
      </c>
      <c r="D5276">
        <f t="shared" si="1081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2"/>
        <v>0</v>
      </c>
      <c r="G5276">
        <f t="shared" si="1083"/>
        <v>0</v>
      </c>
      <c r="H5276">
        <f t="shared" si="1084"/>
        <v>0</v>
      </c>
      <c r="I5276">
        <f t="shared" si="1085"/>
        <v>0</v>
      </c>
      <c r="J5276">
        <f t="shared" si="1086"/>
        <v>0</v>
      </c>
      <c r="K5276" s="4" t="e">
        <f t="shared" si="1074"/>
        <v>#N/A</v>
      </c>
      <c r="L5276" t="e">
        <f t="shared" si="1075"/>
        <v>#N/A</v>
      </c>
      <c r="M5276" s="4" t="e">
        <f t="shared" si="1076"/>
        <v>#N/A</v>
      </c>
      <c r="N5276" s="4" t="e">
        <f t="shared" si="1077"/>
        <v>#N/A</v>
      </c>
    </row>
    <row r="5277" spans="1:14">
      <c r="A5277">
        <f t="shared" si="1078"/>
        <v>0</v>
      </c>
      <c r="B5277">
        <f t="shared" si="1079"/>
        <v>0</v>
      </c>
      <c r="C5277">
        <f t="shared" si="1080"/>
        <v>0</v>
      </c>
      <c r="D5277">
        <f t="shared" si="1081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2"/>
        <v>0</v>
      </c>
      <c r="G5277">
        <f t="shared" si="1083"/>
        <v>0</v>
      </c>
      <c r="H5277">
        <f t="shared" si="1084"/>
        <v>0</v>
      </c>
      <c r="I5277">
        <f t="shared" si="1085"/>
        <v>0</v>
      </c>
      <c r="J5277">
        <f t="shared" si="1086"/>
        <v>0</v>
      </c>
      <c r="K5277" s="4" t="e">
        <f t="shared" si="1074"/>
        <v>#N/A</v>
      </c>
      <c r="L5277" t="e">
        <f t="shared" si="1075"/>
        <v>#N/A</v>
      </c>
      <c r="M5277" s="4" t="e">
        <f t="shared" si="1076"/>
        <v>#N/A</v>
      </c>
      <c r="N5277" s="4" t="e">
        <f t="shared" si="1077"/>
        <v>#N/A</v>
      </c>
    </row>
    <row r="5278" spans="1:14">
      <c r="A5278">
        <f t="shared" si="1078"/>
        <v>0</v>
      </c>
      <c r="B5278">
        <f t="shared" si="1079"/>
        <v>0</v>
      </c>
      <c r="C5278">
        <f t="shared" si="1080"/>
        <v>0</v>
      </c>
      <c r="D5278">
        <f t="shared" si="1081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2"/>
        <v>0</v>
      </c>
      <c r="G5278">
        <f t="shared" si="1083"/>
        <v>0</v>
      </c>
      <c r="H5278">
        <f t="shared" si="1084"/>
        <v>0</v>
      </c>
      <c r="I5278">
        <f t="shared" si="1085"/>
        <v>0</v>
      </c>
      <c r="J5278">
        <f t="shared" si="1086"/>
        <v>0</v>
      </c>
      <c r="K5278" s="4" t="e">
        <f t="shared" si="1074"/>
        <v>#N/A</v>
      </c>
      <c r="L5278" t="e">
        <f t="shared" si="1075"/>
        <v>#N/A</v>
      </c>
      <c r="M5278" s="4" t="e">
        <f t="shared" si="1076"/>
        <v>#N/A</v>
      </c>
      <c r="N5278" s="4" t="e">
        <f t="shared" si="1077"/>
        <v>#N/A</v>
      </c>
    </row>
    <row r="5279" spans="1:14">
      <c r="A5279">
        <f t="shared" si="1078"/>
        <v>0</v>
      </c>
      <c r="B5279">
        <f t="shared" si="1079"/>
        <v>0</v>
      </c>
      <c r="C5279">
        <f t="shared" si="1080"/>
        <v>0</v>
      </c>
      <c r="D5279">
        <f t="shared" si="1081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2"/>
        <v>0</v>
      </c>
      <c r="G5279">
        <f t="shared" si="1083"/>
        <v>0</v>
      </c>
      <c r="H5279">
        <f t="shared" si="1084"/>
        <v>0</v>
      </c>
      <c r="I5279">
        <f t="shared" si="1085"/>
        <v>0</v>
      </c>
      <c r="J5279">
        <f t="shared" si="1086"/>
        <v>0</v>
      </c>
      <c r="K5279" s="4" t="e">
        <f t="shared" si="1074"/>
        <v>#N/A</v>
      </c>
      <c r="L5279" t="e">
        <f t="shared" si="1075"/>
        <v>#N/A</v>
      </c>
      <c r="M5279" s="4" t="e">
        <f t="shared" si="1076"/>
        <v>#N/A</v>
      </c>
      <c r="N5279" s="4" t="e">
        <f t="shared" si="1077"/>
        <v>#N/A</v>
      </c>
    </row>
    <row r="5280" spans="1:14">
      <c r="A5280">
        <f t="shared" si="1078"/>
        <v>0</v>
      </c>
      <c r="B5280">
        <f t="shared" si="1079"/>
        <v>0</v>
      </c>
      <c r="C5280">
        <f t="shared" si="1080"/>
        <v>0</v>
      </c>
      <c r="D5280">
        <f t="shared" si="1081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2"/>
        <v>0</v>
      </c>
      <c r="G5280">
        <f t="shared" si="1083"/>
        <v>0</v>
      </c>
      <c r="H5280">
        <f t="shared" si="1084"/>
        <v>0</v>
      </c>
      <c r="I5280">
        <f t="shared" si="1085"/>
        <v>0</v>
      </c>
      <c r="J5280">
        <f t="shared" si="1086"/>
        <v>0</v>
      </c>
      <c r="K5280" s="4" t="e">
        <f t="shared" si="1074"/>
        <v>#N/A</v>
      </c>
      <c r="L5280" t="e">
        <f t="shared" si="1075"/>
        <v>#N/A</v>
      </c>
      <c r="M5280" s="4" t="e">
        <f t="shared" si="1076"/>
        <v>#N/A</v>
      </c>
      <c r="N5280" s="4" t="e">
        <f t="shared" si="1077"/>
        <v>#N/A</v>
      </c>
    </row>
    <row r="5281" spans="1:14">
      <c r="A5281">
        <f t="shared" si="1078"/>
        <v>0</v>
      </c>
      <c r="B5281">
        <f t="shared" si="1079"/>
        <v>0</v>
      </c>
      <c r="C5281">
        <f t="shared" si="1080"/>
        <v>0</v>
      </c>
      <c r="D5281">
        <f t="shared" si="1081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2"/>
        <v>0</v>
      </c>
      <c r="G5281">
        <f t="shared" si="1083"/>
        <v>0</v>
      </c>
      <c r="H5281">
        <f t="shared" si="1084"/>
        <v>0</v>
      </c>
      <c r="I5281">
        <f t="shared" si="1085"/>
        <v>0</v>
      </c>
      <c r="J5281">
        <f t="shared" si="1086"/>
        <v>0</v>
      </c>
      <c r="K5281" s="4" t="e">
        <f t="shared" si="1074"/>
        <v>#N/A</v>
      </c>
      <c r="L5281" t="e">
        <f t="shared" si="1075"/>
        <v>#N/A</v>
      </c>
      <c r="M5281" s="4" t="e">
        <f t="shared" si="1076"/>
        <v>#N/A</v>
      </c>
      <c r="N5281" s="4" t="e">
        <f t="shared" si="1077"/>
        <v>#N/A</v>
      </c>
    </row>
    <row r="5282" spans="1:14">
      <c r="A5282">
        <f t="shared" si="1078"/>
        <v>0</v>
      </c>
      <c r="B5282">
        <f t="shared" si="1079"/>
        <v>0</v>
      </c>
      <c r="C5282">
        <f t="shared" si="1080"/>
        <v>0</v>
      </c>
      <c r="D5282">
        <f t="shared" si="1081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2"/>
        <v>0</v>
      </c>
      <c r="G5282">
        <f t="shared" si="1083"/>
        <v>0</v>
      </c>
      <c r="H5282">
        <f t="shared" si="1084"/>
        <v>0</v>
      </c>
      <c r="I5282">
        <f t="shared" si="1085"/>
        <v>0</v>
      </c>
      <c r="J5282">
        <f t="shared" si="1086"/>
        <v>0</v>
      </c>
      <c r="K5282" s="4" t="e">
        <f t="shared" si="1074"/>
        <v>#N/A</v>
      </c>
      <c r="L5282" t="e">
        <f t="shared" si="1075"/>
        <v>#N/A</v>
      </c>
      <c r="M5282" s="4" t="e">
        <f t="shared" si="1076"/>
        <v>#N/A</v>
      </c>
      <c r="N5282" s="4" t="e">
        <f t="shared" si="1077"/>
        <v>#N/A</v>
      </c>
    </row>
    <row r="5283" spans="1:14">
      <c r="A5283">
        <f t="shared" si="1078"/>
        <v>0</v>
      </c>
      <c r="B5283">
        <f t="shared" si="1079"/>
        <v>0</v>
      </c>
      <c r="C5283">
        <f t="shared" si="1080"/>
        <v>0</v>
      </c>
      <c r="D5283">
        <f t="shared" si="1081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2"/>
        <v>0</v>
      </c>
      <c r="G5283">
        <f t="shared" si="1083"/>
        <v>0</v>
      </c>
      <c r="H5283">
        <f t="shared" si="1084"/>
        <v>0</v>
      </c>
      <c r="I5283">
        <f t="shared" si="1085"/>
        <v>0</v>
      </c>
      <c r="J5283">
        <f t="shared" si="1086"/>
        <v>0</v>
      </c>
      <c r="K5283" s="4" t="e">
        <f t="shared" si="1074"/>
        <v>#N/A</v>
      </c>
      <c r="L5283" t="e">
        <f t="shared" si="1075"/>
        <v>#N/A</v>
      </c>
      <c r="M5283" s="4" t="e">
        <f t="shared" si="1076"/>
        <v>#N/A</v>
      </c>
      <c r="N5283" s="4" t="e">
        <f t="shared" si="1077"/>
        <v>#N/A</v>
      </c>
    </row>
    <row r="5284" spans="1:14">
      <c r="A5284">
        <f t="shared" si="1078"/>
        <v>0</v>
      </c>
      <c r="B5284">
        <f t="shared" si="1079"/>
        <v>0</v>
      </c>
      <c r="C5284">
        <f t="shared" si="1080"/>
        <v>0</v>
      </c>
      <c r="D5284">
        <f t="shared" si="1081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2"/>
        <v>0</v>
      </c>
      <c r="G5284">
        <f t="shared" si="1083"/>
        <v>0</v>
      </c>
      <c r="H5284">
        <f t="shared" si="1084"/>
        <v>0</v>
      </c>
      <c r="I5284">
        <f t="shared" si="1085"/>
        <v>0</v>
      </c>
      <c r="J5284">
        <f t="shared" si="1086"/>
        <v>0</v>
      </c>
      <c r="K5284" s="4" t="e">
        <f t="shared" si="1074"/>
        <v>#N/A</v>
      </c>
      <c r="L5284" t="e">
        <f t="shared" si="1075"/>
        <v>#N/A</v>
      </c>
      <c r="M5284" s="4" t="e">
        <f t="shared" si="1076"/>
        <v>#N/A</v>
      </c>
      <c r="N5284" s="4" t="e">
        <f t="shared" si="1077"/>
        <v>#N/A</v>
      </c>
    </row>
    <row r="5285" spans="1:14">
      <c r="A5285">
        <f t="shared" si="1078"/>
        <v>0</v>
      </c>
      <c r="B5285">
        <f t="shared" si="1079"/>
        <v>0</v>
      </c>
      <c r="C5285">
        <f t="shared" si="1080"/>
        <v>0</v>
      </c>
      <c r="D5285">
        <f t="shared" si="1081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2"/>
        <v>0</v>
      </c>
      <c r="G5285">
        <f t="shared" si="1083"/>
        <v>0</v>
      </c>
      <c r="H5285">
        <f t="shared" si="1084"/>
        <v>0</v>
      </c>
      <c r="I5285">
        <f t="shared" si="1085"/>
        <v>0</v>
      </c>
      <c r="J5285">
        <f t="shared" si="1086"/>
        <v>0</v>
      </c>
      <c r="K5285" s="4" t="e">
        <f t="shared" si="1074"/>
        <v>#N/A</v>
      </c>
      <c r="L5285" t="e">
        <f t="shared" si="1075"/>
        <v>#N/A</v>
      </c>
      <c r="M5285" s="4" t="e">
        <f t="shared" si="1076"/>
        <v>#N/A</v>
      </c>
      <c r="N5285" s="4" t="e">
        <f t="shared" si="1077"/>
        <v>#N/A</v>
      </c>
    </row>
    <row r="5286" spans="1:14">
      <c r="A5286">
        <f t="shared" si="1078"/>
        <v>0</v>
      </c>
      <c r="B5286">
        <f t="shared" si="1079"/>
        <v>0</v>
      </c>
      <c r="C5286">
        <f t="shared" si="1080"/>
        <v>0</v>
      </c>
      <c r="D5286">
        <f t="shared" si="1081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2"/>
        <v>0</v>
      </c>
      <c r="G5286">
        <f t="shared" si="1083"/>
        <v>0</v>
      </c>
      <c r="H5286">
        <f t="shared" si="1084"/>
        <v>0</v>
      </c>
      <c r="I5286">
        <f t="shared" si="1085"/>
        <v>0</v>
      </c>
      <c r="J5286">
        <f t="shared" si="1086"/>
        <v>0</v>
      </c>
      <c r="K5286" s="4" t="e">
        <f t="shared" si="1074"/>
        <v>#N/A</v>
      </c>
      <c r="L5286" t="e">
        <f t="shared" si="1075"/>
        <v>#N/A</v>
      </c>
      <c r="M5286" s="4" t="e">
        <f t="shared" si="1076"/>
        <v>#N/A</v>
      </c>
      <c r="N5286" s="4" t="e">
        <f t="shared" si="1077"/>
        <v>#N/A</v>
      </c>
    </row>
    <row r="5287" spans="1:14">
      <c r="A5287">
        <f t="shared" si="1078"/>
        <v>0</v>
      </c>
      <c r="B5287">
        <f t="shared" si="1079"/>
        <v>0</v>
      </c>
      <c r="C5287">
        <f t="shared" si="1080"/>
        <v>0</v>
      </c>
      <c r="D5287">
        <f t="shared" si="1081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2"/>
        <v>0</v>
      </c>
      <c r="G5287">
        <f t="shared" si="1083"/>
        <v>0</v>
      </c>
      <c r="H5287">
        <f t="shared" si="1084"/>
        <v>0</v>
      </c>
      <c r="I5287">
        <f t="shared" si="1085"/>
        <v>0</v>
      </c>
      <c r="J5287">
        <f t="shared" si="1086"/>
        <v>0</v>
      </c>
      <c r="K5287" s="4" t="e">
        <f t="shared" si="1074"/>
        <v>#N/A</v>
      </c>
      <c r="L5287" t="e">
        <f t="shared" si="1075"/>
        <v>#N/A</v>
      </c>
      <c r="M5287" s="4" t="e">
        <f t="shared" si="1076"/>
        <v>#N/A</v>
      </c>
      <c r="N5287" s="4" t="e">
        <f t="shared" si="1077"/>
        <v>#N/A</v>
      </c>
    </row>
    <row r="5288" spans="1:14">
      <c r="A5288">
        <f t="shared" si="1078"/>
        <v>0</v>
      </c>
      <c r="B5288">
        <f t="shared" si="1079"/>
        <v>0</v>
      </c>
      <c r="C5288">
        <f t="shared" si="1080"/>
        <v>0</v>
      </c>
      <c r="D5288">
        <f t="shared" si="1081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2"/>
        <v>0</v>
      </c>
      <c r="G5288">
        <f t="shared" si="1083"/>
        <v>0</v>
      </c>
      <c r="H5288">
        <f t="shared" si="1084"/>
        <v>0</v>
      </c>
      <c r="I5288">
        <f t="shared" si="1085"/>
        <v>0</v>
      </c>
      <c r="J5288">
        <f t="shared" si="1086"/>
        <v>0</v>
      </c>
      <c r="K5288" s="4" t="e">
        <f t="shared" si="1074"/>
        <v>#N/A</v>
      </c>
      <c r="L5288" t="e">
        <f t="shared" si="1075"/>
        <v>#N/A</v>
      </c>
      <c r="M5288" s="4" t="e">
        <f t="shared" si="1076"/>
        <v>#N/A</v>
      </c>
      <c r="N5288" s="4" t="e">
        <f t="shared" si="1077"/>
        <v>#N/A</v>
      </c>
    </row>
    <row r="5289" spans="1:14">
      <c r="A5289">
        <f t="shared" si="1078"/>
        <v>0</v>
      </c>
      <c r="B5289">
        <f t="shared" si="1079"/>
        <v>0</v>
      </c>
      <c r="C5289">
        <f t="shared" si="1080"/>
        <v>0</v>
      </c>
      <c r="D5289">
        <f t="shared" si="1081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2"/>
        <v>0</v>
      </c>
      <c r="G5289">
        <f t="shared" si="1083"/>
        <v>0</v>
      </c>
      <c r="H5289">
        <f t="shared" si="1084"/>
        <v>0</v>
      </c>
      <c r="I5289">
        <f t="shared" si="1085"/>
        <v>0</v>
      </c>
      <c r="J5289">
        <f t="shared" si="1086"/>
        <v>0</v>
      </c>
      <c r="K5289" s="4" t="e">
        <f t="shared" si="1074"/>
        <v>#N/A</v>
      </c>
      <c r="L5289" t="e">
        <f t="shared" si="1075"/>
        <v>#N/A</v>
      </c>
      <c r="M5289" s="4" t="e">
        <f t="shared" si="1076"/>
        <v>#N/A</v>
      </c>
      <c r="N5289" s="4" t="e">
        <f t="shared" si="1077"/>
        <v>#N/A</v>
      </c>
    </row>
    <row r="5290" spans="1:14">
      <c r="A5290">
        <f t="shared" si="1078"/>
        <v>0</v>
      </c>
      <c r="B5290">
        <f t="shared" si="1079"/>
        <v>0</v>
      </c>
      <c r="C5290">
        <f t="shared" si="1080"/>
        <v>0</v>
      </c>
      <c r="D5290">
        <f t="shared" si="1081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2"/>
        <v>0</v>
      </c>
      <c r="G5290">
        <f t="shared" si="1083"/>
        <v>0</v>
      </c>
      <c r="H5290">
        <f t="shared" si="1084"/>
        <v>0</v>
      </c>
      <c r="I5290">
        <f t="shared" si="1085"/>
        <v>0</v>
      </c>
      <c r="J5290">
        <f t="shared" si="1086"/>
        <v>0</v>
      </c>
      <c r="K5290" s="4" t="e">
        <f t="shared" si="1074"/>
        <v>#N/A</v>
      </c>
      <c r="L5290" t="e">
        <f t="shared" si="1075"/>
        <v>#N/A</v>
      </c>
      <c r="M5290" s="4" t="e">
        <f t="shared" si="1076"/>
        <v>#N/A</v>
      </c>
      <c r="N5290" s="4" t="e">
        <f t="shared" si="1077"/>
        <v>#N/A</v>
      </c>
    </row>
    <row r="5291" spans="1:14">
      <c r="A5291">
        <f t="shared" si="1078"/>
        <v>0</v>
      </c>
      <c r="B5291">
        <f t="shared" si="1079"/>
        <v>0</v>
      </c>
      <c r="C5291">
        <f t="shared" si="1080"/>
        <v>0</v>
      </c>
      <c r="D5291">
        <f t="shared" si="1081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2"/>
        <v>0</v>
      </c>
      <c r="G5291">
        <f t="shared" si="1083"/>
        <v>0</v>
      </c>
      <c r="H5291">
        <f t="shared" si="1084"/>
        <v>0</v>
      </c>
      <c r="I5291">
        <f t="shared" si="1085"/>
        <v>0</v>
      </c>
      <c r="J5291">
        <f t="shared" si="1086"/>
        <v>0</v>
      </c>
      <c r="K5291" s="4" t="e">
        <f t="shared" si="1074"/>
        <v>#N/A</v>
      </c>
      <c r="L5291" t="e">
        <f t="shared" si="1075"/>
        <v>#N/A</v>
      </c>
      <c r="M5291" s="4" t="e">
        <f t="shared" si="1076"/>
        <v>#N/A</v>
      </c>
      <c r="N5291" s="4" t="e">
        <f t="shared" si="1077"/>
        <v>#N/A</v>
      </c>
    </row>
    <row r="5292" spans="1:14">
      <c r="A5292">
        <f t="shared" si="1078"/>
        <v>0</v>
      </c>
      <c r="B5292">
        <f t="shared" si="1079"/>
        <v>0</v>
      </c>
      <c r="C5292">
        <f t="shared" si="1080"/>
        <v>0</v>
      </c>
      <c r="D5292">
        <f t="shared" si="1081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2"/>
        <v>0</v>
      </c>
      <c r="G5292">
        <f t="shared" si="1083"/>
        <v>0</v>
      </c>
      <c r="H5292">
        <f t="shared" si="1084"/>
        <v>0</v>
      </c>
      <c r="I5292">
        <f t="shared" si="1085"/>
        <v>0</v>
      </c>
      <c r="J5292">
        <f t="shared" si="1086"/>
        <v>0</v>
      </c>
      <c r="K5292" s="4" t="e">
        <f t="shared" si="1074"/>
        <v>#N/A</v>
      </c>
      <c r="L5292" t="e">
        <f t="shared" si="1075"/>
        <v>#N/A</v>
      </c>
      <c r="M5292" s="4" t="e">
        <f t="shared" si="1076"/>
        <v>#N/A</v>
      </c>
      <c r="N5292" s="4" t="e">
        <f t="shared" si="1077"/>
        <v>#N/A</v>
      </c>
    </row>
    <row r="5293" spans="1:14">
      <c r="A5293">
        <f t="shared" si="1078"/>
        <v>0</v>
      </c>
      <c r="B5293">
        <f t="shared" si="1079"/>
        <v>0</v>
      </c>
      <c r="C5293">
        <f t="shared" si="1080"/>
        <v>0</v>
      </c>
      <c r="D5293">
        <f t="shared" si="1081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2"/>
        <v>0</v>
      </c>
      <c r="G5293">
        <f t="shared" si="1083"/>
        <v>0</v>
      </c>
      <c r="H5293">
        <f t="shared" si="1084"/>
        <v>0</v>
      </c>
      <c r="I5293">
        <f t="shared" si="1085"/>
        <v>0</v>
      </c>
      <c r="J5293">
        <f t="shared" si="1086"/>
        <v>0</v>
      </c>
      <c r="K5293" s="4" t="e">
        <f t="shared" si="1074"/>
        <v>#N/A</v>
      </c>
      <c r="L5293" t="e">
        <f t="shared" si="1075"/>
        <v>#N/A</v>
      </c>
      <c r="M5293" s="4" t="e">
        <f t="shared" si="1076"/>
        <v>#N/A</v>
      </c>
      <c r="N5293" s="4" t="e">
        <f t="shared" si="1077"/>
        <v>#N/A</v>
      </c>
    </row>
    <row r="5294" spans="1:14">
      <c r="A5294">
        <f t="shared" si="1078"/>
        <v>0</v>
      </c>
      <c r="B5294">
        <f t="shared" si="1079"/>
        <v>0</v>
      </c>
      <c r="C5294">
        <f t="shared" si="1080"/>
        <v>0</v>
      </c>
      <c r="D5294">
        <f t="shared" si="1081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2"/>
        <v>0</v>
      </c>
      <c r="G5294">
        <f t="shared" si="1083"/>
        <v>0</v>
      </c>
      <c r="H5294">
        <f t="shared" si="1084"/>
        <v>0</v>
      </c>
      <c r="I5294">
        <f t="shared" si="1085"/>
        <v>0</v>
      </c>
      <c r="J5294">
        <f t="shared" si="1086"/>
        <v>0</v>
      </c>
      <c r="K5294" s="4" t="e">
        <f t="shared" si="1074"/>
        <v>#N/A</v>
      </c>
      <c r="L5294" t="e">
        <f t="shared" si="1075"/>
        <v>#N/A</v>
      </c>
      <c r="M5294" s="4" t="e">
        <f t="shared" si="1076"/>
        <v>#N/A</v>
      </c>
      <c r="N5294" s="4" t="e">
        <f t="shared" si="1077"/>
        <v>#N/A</v>
      </c>
    </row>
    <row r="5295" spans="1:14">
      <c r="A5295">
        <f t="shared" si="1078"/>
        <v>0</v>
      </c>
      <c r="B5295">
        <f t="shared" si="1079"/>
        <v>0</v>
      </c>
      <c r="C5295">
        <f t="shared" si="1080"/>
        <v>0</v>
      </c>
      <c r="D5295">
        <f t="shared" si="1081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2"/>
        <v>0</v>
      </c>
      <c r="G5295">
        <f t="shared" si="1083"/>
        <v>0</v>
      </c>
      <c r="H5295">
        <f t="shared" si="1084"/>
        <v>0</v>
      </c>
      <c r="I5295">
        <f t="shared" si="1085"/>
        <v>0</v>
      </c>
      <c r="J5295">
        <f t="shared" si="1086"/>
        <v>0</v>
      </c>
      <c r="K5295" s="4" t="e">
        <f t="shared" si="1074"/>
        <v>#N/A</v>
      </c>
      <c r="L5295" t="e">
        <f t="shared" si="1075"/>
        <v>#N/A</v>
      </c>
      <c r="M5295" s="4" t="e">
        <f t="shared" si="1076"/>
        <v>#N/A</v>
      </c>
      <c r="N5295" s="4" t="e">
        <f t="shared" si="1077"/>
        <v>#N/A</v>
      </c>
    </row>
    <row r="5296" spans="1:14">
      <c r="A5296">
        <f t="shared" si="1078"/>
        <v>0</v>
      </c>
      <c r="B5296">
        <f t="shared" si="1079"/>
        <v>0</v>
      </c>
      <c r="C5296">
        <f t="shared" si="1080"/>
        <v>0</v>
      </c>
      <c r="D5296">
        <f t="shared" si="1081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2"/>
        <v>0</v>
      </c>
      <c r="G5296">
        <f t="shared" si="1083"/>
        <v>0</v>
      </c>
      <c r="H5296">
        <f t="shared" si="1084"/>
        <v>0</v>
      </c>
      <c r="I5296">
        <f t="shared" si="1085"/>
        <v>0</v>
      </c>
      <c r="J5296">
        <f t="shared" si="1086"/>
        <v>0</v>
      </c>
      <c r="K5296" s="4" t="e">
        <f t="shared" si="1074"/>
        <v>#N/A</v>
      </c>
      <c r="L5296" t="e">
        <f t="shared" si="1075"/>
        <v>#N/A</v>
      </c>
      <c r="M5296" s="4" t="e">
        <f t="shared" si="1076"/>
        <v>#N/A</v>
      </c>
      <c r="N5296" s="4" t="e">
        <f t="shared" si="1077"/>
        <v>#N/A</v>
      </c>
    </row>
    <row r="5297" spans="1:14">
      <c r="A5297">
        <f t="shared" si="1078"/>
        <v>0</v>
      </c>
      <c r="B5297">
        <f t="shared" si="1079"/>
        <v>0</v>
      </c>
      <c r="C5297">
        <f t="shared" si="1080"/>
        <v>0</v>
      </c>
      <c r="D5297">
        <f t="shared" si="1081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2"/>
        <v>0</v>
      </c>
      <c r="G5297">
        <f t="shared" si="1083"/>
        <v>0</v>
      </c>
      <c r="H5297">
        <f t="shared" si="1084"/>
        <v>0</v>
      </c>
      <c r="I5297">
        <f t="shared" si="1085"/>
        <v>0</v>
      </c>
      <c r="J5297">
        <f t="shared" si="1086"/>
        <v>0</v>
      </c>
      <c r="K5297" s="4" t="e">
        <f t="shared" si="1074"/>
        <v>#N/A</v>
      </c>
      <c r="L5297" t="e">
        <f t="shared" si="1075"/>
        <v>#N/A</v>
      </c>
      <c r="M5297" s="4" t="e">
        <f t="shared" si="1076"/>
        <v>#N/A</v>
      </c>
      <c r="N5297" s="4" t="e">
        <f t="shared" si="1077"/>
        <v>#N/A</v>
      </c>
    </row>
    <row r="5298" spans="1:14">
      <c r="A5298">
        <f t="shared" si="1078"/>
        <v>0</v>
      </c>
      <c r="B5298">
        <f t="shared" si="1079"/>
        <v>0</v>
      </c>
      <c r="C5298">
        <f t="shared" si="1080"/>
        <v>0</v>
      </c>
      <c r="D5298">
        <f t="shared" si="1081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2"/>
        <v>0</v>
      </c>
      <c r="G5298">
        <f t="shared" si="1083"/>
        <v>0</v>
      </c>
      <c r="H5298">
        <f t="shared" si="1084"/>
        <v>0</v>
      </c>
      <c r="I5298">
        <f t="shared" si="1085"/>
        <v>0</v>
      </c>
      <c r="J5298">
        <f t="shared" si="1086"/>
        <v>0</v>
      </c>
      <c r="K5298" s="4" t="e">
        <f t="shared" si="1074"/>
        <v>#N/A</v>
      </c>
      <c r="L5298" t="e">
        <f t="shared" si="1075"/>
        <v>#N/A</v>
      </c>
      <c r="M5298" s="4" t="e">
        <f t="shared" si="1076"/>
        <v>#N/A</v>
      </c>
      <c r="N5298" s="4" t="e">
        <f t="shared" si="1077"/>
        <v>#N/A</v>
      </c>
    </row>
    <row r="5299" spans="1:14">
      <c r="A5299">
        <f t="shared" si="1078"/>
        <v>0</v>
      </c>
      <c r="B5299">
        <f t="shared" si="1079"/>
        <v>0</v>
      </c>
      <c r="C5299">
        <f t="shared" si="1080"/>
        <v>0</v>
      </c>
      <c r="D5299">
        <f t="shared" si="1081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2"/>
        <v>0</v>
      </c>
      <c r="G5299">
        <f t="shared" si="1083"/>
        <v>0</v>
      </c>
      <c r="H5299">
        <f t="shared" si="1084"/>
        <v>0</v>
      </c>
      <c r="I5299">
        <f t="shared" si="1085"/>
        <v>0</v>
      </c>
      <c r="J5299">
        <f t="shared" si="1086"/>
        <v>0</v>
      </c>
      <c r="K5299" s="4" t="e">
        <f t="shared" si="1074"/>
        <v>#N/A</v>
      </c>
      <c r="L5299" t="e">
        <f t="shared" si="1075"/>
        <v>#N/A</v>
      </c>
      <c r="M5299" s="4" t="e">
        <f t="shared" si="1076"/>
        <v>#N/A</v>
      </c>
      <c r="N5299" s="4" t="e">
        <f t="shared" si="1077"/>
        <v>#N/A</v>
      </c>
    </row>
    <row r="5300" spans="1:14">
      <c r="A5300">
        <f t="shared" si="1078"/>
        <v>0</v>
      </c>
      <c r="B5300">
        <f t="shared" si="1079"/>
        <v>0</v>
      </c>
      <c r="C5300">
        <f t="shared" si="1080"/>
        <v>0</v>
      </c>
      <c r="D5300">
        <f t="shared" si="1081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2"/>
        <v>0</v>
      </c>
      <c r="G5300">
        <f t="shared" si="1083"/>
        <v>0</v>
      </c>
      <c r="H5300">
        <f t="shared" si="1084"/>
        <v>0</v>
      </c>
      <c r="I5300">
        <f t="shared" si="1085"/>
        <v>0</v>
      </c>
      <c r="J5300">
        <f t="shared" si="1086"/>
        <v>0</v>
      </c>
      <c r="K5300" s="4" t="e">
        <f t="shared" si="1074"/>
        <v>#N/A</v>
      </c>
      <c r="L5300" t="e">
        <f t="shared" si="1075"/>
        <v>#N/A</v>
      </c>
      <c r="M5300" s="4" t="e">
        <f t="shared" si="1076"/>
        <v>#N/A</v>
      </c>
      <c r="N5300" s="4" t="e">
        <f t="shared" si="1077"/>
        <v>#N/A</v>
      </c>
    </row>
    <row r="5301" spans="1:14">
      <c r="A5301">
        <f t="shared" si="1078"/>
        <v>0</v>
      </c>
      <c r="B5301">
        <f t="shared" si="1079"/>
        <v>0</v>
      </c>
      <c r="C5301">
        <f t="shared" si="1080"/>
        <v>0</v>
      </c>
      <c r="D5301">
        <f t="shared" si="1081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2"/>
        <v>0</v>
      </c>
      <c r="G5301">
        <f t="shared" si="1083"/>
        <v>0</v>
      </c>
      <c r="H5301">
        <f t="shared" si="1084"/>
        <v>0</v>
      </c>
      <c r="I5301">
        <f t="shared" si="1085"/>
        <v>0</v>
      </c>
      <c r="J5301">
        <f t="shared" si="1086"/>
        <v>0</v>
      </c>
      <c r="K5301" s="4" t="e">
        <f t="shared" si="1074"/>
        <v>#N/A</v>
      </c>
      <c r="L5301" t="e">
        <f t="shared" si="1075"/>
        <v>#N/A</v>
      </c>
      <c r="M5301" s="4" t="e">
        <f t="shared" si="1076"/>
        <v>#N/A</v>
      </c>
      <c r="N5301" s="4" t="e">
        <f t="shared" si="1077"/>
        <v>#N/A</v>
      </c>
    </row>
    <row r="5302" spans="1:14">
      <c r="A5302">
        <f t="shared" si="1078"/>
        <v>0</v>
      </c>
      <c r="B5302">
        <f t="shared" si="1079"/>
        <v>0</v>
      </c>
      <c r="C5302">
        <f t="shared" si="1080"/>
        <v>0</v>
      </c>
      <c r="D5302">
        <f t="shared" si="1081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2"/>
        <v>0</v>
      </c>
      <c r="G5302">
        <f t="shared" si="1083"/>
        <v>0</v>
      </c>
      <c r="H5302">
        <f t="shared" si="1084"/>
        <v>0</v>
      </c>
      <c r="I5302">
        <f t="shared" si="1085"/>
        <v>0</v>
      </c>
      <c r="J5302">
        <f t="shared" si="1086"/>
        <v>0</v>
      </c>
      <c r="K5302" s="4" t="e">
        <f t="shared" si="1074"/>
        <v>#N/A</v>
      </c>
      <c r="L5302" t="e">
        <f t="shared" si="1075"/>
        <v>#N/A</v>
      </c>
      <c r="M5302" s="4" t="e">
        <f t="shared" si="1076"/>
        <v>#N/A</v>
      </c>
      <c r="N5302" s="4" t="e">
        <f t="shared" si="1077"/>
        <v>#N/A</v>
      </c>
    </row>
    <row r="5303" spans="1:14">
      <c r="A5303">
        <f t="shared" si="1078"/>
        <v>0</v>
      </c>
      <c r="B5303">
        <f t="shared" si="1079"/>
        <v>0</v>
      </c>
      <c r="C5303">
        <f t="shared" si="1080"/>
        <v>0</v>
      </c>
      <c r="D5303">
        <f t="shared" si="1081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2"/>
        <v>0</v>
      </c>
      <c r="G5303">
        <f t="shared" si="1083"/>
        <v>0</v>
      </c>
      <c r="H5303">
        <f t="shared" si="1084"/>
        <v>0</v>
      </c>
      <c r="I5303">
        <f t="shared" si="1085"/>
        <v>0</v>
      </c>
      <c r="J5303">
        <f t="shared" si="1086"/>
        <v>0</v>
      </c>
      <c r="K5303" s="4" t="e">
        <f t="shared" si="1074"/>
        <v>#N/A</v>
      </c>
      <c r="L5303" t="e">
        <f t="shared" si="1075"/>
        <v>#N/A</v>
      </c>
      <c r="M5303" s="4" t="e">
        <f t="shared" si="1076"/>
        <v>#N/A</v>
      </c>
      <c r="N5303" s="4" t="e">
        <f t="shared" si="1077"/>
        <v>#N/A</v>
      </c>
    </row>
    <row r="5304" spans="1:14">
      <c r="A5304">
        <f t="shared" si="1078"/>
        <v>0</v>
      </c>
      <c r="B5304">
        <f t="shared" si="1079"/>
        <v>0</v>
      </c>
      <c r="C5304">
        <f t="shared" si="1080"/>
        <v>0</v>
      </c>
      <c r="D5304">
        <f t="shared" si="1081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2"/>
        <v>0</v>
      </c>
      <c r="G5304">
        <f t="shared" si="1083"/>
        <v>0</v>
      </c>
      <c r="H5304">
        <f t="shared" si="1084"/>
        <v>0</v>
      </c>
      <c r="I5304">
        <f t="shared" si="1085"/>
        <v>0</v>
      </c>
      <c r="J5304">
        <f t="shared" si="1086"/>
        <v>0</v>
      </c>
      <c r="K5304" s="4" t="e">
        <f t="shared" si="1074"/>
        <v>#N/A</v>
      </c>
      <c r="L5304" t="e">
        <f t="shared" si="1075"/>
        <v>#N/A</v>
      </c>
      <c r="M5304" s="4" t="e">
        <f t="shared" si="1076"/>
        <v>#N/A</v>
      </c>
      <c r="N5304" s="4" t="e">
        <f t="shared" si="1077"/>
        <v>#N/A</v>
      </c>
    </row>
    <row r="5305" spans="1:14">
      <c r="A5305">
        <f t="shared" si="1078"/>
        <v>0</v>
      </c>
      <c r="B5305">
        <f t="shared" si="1079"/>
        <v>0</v>
      </c>
      <c r="C5305">
        <f t="shared" si="1080"/>
        <v>0</v>
      </c>
      <c r="D5305">
        <f t="shared" si="1081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2"/>
        <v>0</v>
      </c>
      <c r="G5305">
        <f t="shared" si="1083"/>
        <v>0</v>
      </c>
      <c r="H5305">
        <f t="shared" si="1084"/>
        <v>0</v>
      </c>
      <c r="I5305">
        <f t="shared" si="1085"/>
        <v>0</v>
      </c>
      <c r="J5305">
        <f t="shared" si="1086"/>
        <v>0</v>
      </c>
      <c r="K5305" s="4" t="e">
        <f t="shared" si="1074"/>
        <v>#N/A</v>
      </c>
      <c r="L5305" t="e">
        <f t="shared" si="1075"/>
        <v>#N/A</v>
      </c>
      <c r="M5305" s="4" t="e">
        <f t="shared" si="1076"/>
        <v>#N/A</v>
      </c>
      <c r="N5305" s="4" t="e">
        <f t="shared" si="1077"/>
        <v>#N/A</v>
      </c>
    </row>
    <row r="5306" spans="1:14">
      <c r="A5306">
        <f t="shared" si="1078"/>
        <v>0</v>
      </c>
      <c r="B5306">
        <f t="shared" si="1079"/>
        <v>0</v>
      </c>
      <c r="C5306">
        <f t="shared" si="1080"/>
        <v>0</v>
      </c>
      <c r="D5306">
        <f t="shared" si="1081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2"/>
        <v>0</v>
      </c>
      <c r="G5306">
        <f t="shared" si="1083"/>
        <v>0</v>
      </c>
      <c r="H5306">
        <f t="shared" si="1084"/>
        <v>0</v>
      </c>
      <c r="I5306">
        <f t="shared" si="1085"/>
        <v>0</v>
      </c>
      <c r="J5306">
        <f t="shared" si="1086"/>
        <v>0</v>
      </c>
      <c r="K5306" s="4" t="e">
        <f t="shared" si="1074"/>
        <v>#N/A</v>
      </c>
      <c r="L5306" t="e">
        <f t="shared" si="1075"/>
        <v>#N/A</v>
      </c>
      <c r="M5306" s="4" t="e">
        <f t="shared" si="1076"/>
        <v>#N/A</v>
      </c>
      <c r="N5306" s="4" t="e">
        <f t="shared" si="1077"/>
        <v>#N/A</v>
      </c>
    </row>
    <row r="5307" spans="1:14">
      <c r="A5307">
        <f t="shared" si="1078"/>
        <v>0</v>
      </c>
      <c r="B5307">
        <f t="shared" si="1079"/>
        <v>0</v>
      </c>
      <c r="C5307">
        <f t="shared" si="1080"/>
        <v>0</v>
      </c>
      <c r="D5307">
        <f t="shared" si="1081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2"/>
        <v>0</v>
      </c>
      <c r="G5307">
        <f t="shared" si="1083"/>
        <v>0</v>
      </c>
      <c r="H5307">
        <f t="shared" si="1084"/>
        <v>0</v>
      </c>
      <c r="I5307">
        <f t="shared" si="1085"/>
        <v>0</v>
      </c>
      <c r="J5307">
        <f t="shared" si="1086"/>
        <v>0</v>
      </c>
      <c r="K5307" s="4" t="e">
        <f t="shared" si="1074"/>
        <v>#N/A</v>
      </c>
      <c r="L5307" t="e">
        <f t="shared" si="1075"/>
        <v>#N/A</v>
      </c>
      <c r="M5307" s="4" t="e">
        <f t="shared" si="1076"/>
        <v>#N/A</v>
      </c>
      <c r="N5307" s="4" t="e">
        <f t="shared" si="1077"/>
        <v>#N/A</v>
      </c>
    </row>
    <row r="5308" spans="1:14">
      <c r="A5308">
        <f t="shared" si="1078"/>
        <v>0</v>
      </c>
      <c r="B5308">
        <f t="shared" si="1079"/>
        <v>0</v>
      </c>
      <c r="C5308">
        <f t="shared" si="1080"/>
        <v>0</v>
      </c>
      <c r="D5308">
        <f t="shared" si="1081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2"/>
        <v>0</v>
      </c>
      <c r="G5308">
        <f t="shared" si="1083"/>
        <v>0</v>
      </c>
      <c r="H5308">
        <f t="shared" si="1084"/>
        <v>0</v>
      </c>
      <c r="I5308">
        <f t="shared" si="1085"/>
        <v>0</v>
      </c>
      <c r="J5308">
        <f t="shared" si="1086"/>
        <v>0</v>
      </c>
      <c r="K5308" s="4" t="e">
        <f t="shared" si="1074"/>
        <v>#N/A</v>
      </c>
      <c r="L5308" t="e">
        <f t="shared" si="1075"/>
        <v>#N/A</v>
      </c>
      <c r="M5308" s="4" t="e">
        <f t="shared" si="1076"/>
        <v>#N/A</v>
      </c>
      <c r="N5308" s="4" t="e">
        <f t="shared" si="1077"/>
        <v>#N/A</v>
      </c>
    </row>
    <row r="5309" spans="1:14">
      <c r="A5309">
        <f t="shared" si="1078"/>
        <v>0</v>
      </c>
      <c r="B5309">
        <f t="shared" si="1079"/>
        <v>0</v>
      </c>
      <c r="C5309">
        <f t="shared" si="1080"/>
        <v>0</v>
      </c>
      <c r="D5309">
        <f t="shared" si="1081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2"/>
        <v>0</v>
      </c>
      <c r="G5309">
        <f t="shared" si="1083"/>
        <v>0</v>
      </c>
      <c r="H5309">
        <f t="shared" si="1084"/>
        <v>0</v>
      </c>
      <c r="I5309">
        <f t="shared" si="1085"/>
        <v>0</v>
      </c>
      <c r="J5309">
        <f t="shared" si="1086"/>
        <v>0</v>
      </c>
      <c r="K5309" s="4" t="e">
        <f t="shared" ref="K5309:K5372" si="1087">IF(LEFT(B5309,3)="DBM",0,VLOOKUP(E5309,tabela,2,FALSE))</f>
        <v>#N/A</v>
      </c>
      <c r="L5309" t="e">
        <f t="shared" ref="L5309:L5372" si="1088">VLOOKUP(E5309,tabela,3,FALSE)</f>
        <v>#N/A</v>
      </c>
      <c r="M5309" s="4" t="e">
        <f t="shared" ref="M5309:M5372" si="1089">IF(E5309="Dynamic Click",J5309*K5309,K5309*$I5309/1000)</f>
        <v>#N/A</v>
      </c>
      <c r="N5309" s="4" t="e">
        <f t="shared" ref="N5309:N5372" si="1090">IF(E5309="Dynamic Click",J5309*L5309,L5309*$I5309/1000)</f>
        <v>#N/A</v>
      </c>
    </row>
    <row r="5310" spans="1:14">
      <c r="A5310">
        <f t="shared" si="1078"/>
        <v>0</v>
      </c>
      <c r="B5310">
        <f t="shared" si="1079"/>
        <v>0</v>
      </c>
      <c r="C5310">
        <f t="shared" si="1080"/>
        <v>0</v>
      </c>
      <c r="D5310">
        <f t="shared" si="1081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2"/>
        <v>0</v>
      </c>
      <c r="G5310">
        <f t="shared" si="1083"/>
        <v>0</v>
      </c>
      <c r="H5310">
        <f t="shared" si="1084"/>
        <v>0</v>
      </c>
      <c r="I5310">
        <f t="shared" si="1085"/>
        <v>0</v>
      </c>
      <c r="J5310">
        <f t="shared" si="1086"/>
        <v>0</v>
      </c>
      <c r="K5310" s="4" t="e">
        <f t="shared" si="1087"/>
        <v>#N/A</v>
      </c>
      <c r="L5310" t="e">
        <f t="shared" si="1088"/>
        <v>#N/A</v>
      </c>
      <c r="M5310" s="4" t="e">
        <f t="shared" si="1089"/>
        <v>#N/A</v>
      </c>
      <c r="N5310" s="4" t="e">
        <f t="shared" si="1090"/>
        <v>#N/A</v>
      </c>
    </row>
    <row r="5311" spans="1:14">
      <c r="A5311">
        <f t="shared" si="1078"/>
        <v>0</v>
      </c>
      <c r="B5311">
        <f t="shared" si="1079"/>
        <v>0</v>
      </c>
      <c r="C5311">
        <f t="shared" si="1080"/>
        <v>0</v>
      </c>
      <c r="D5311">
        <f t="shared" si="1081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2"/>
        <v>0</v>
      </c>
      <c r="G5311">
        <f t="shared" si="1083"/>
        <v>0</v>
      </c>
      <c r="H5311">
        <f t="shared" si="1084"/>
        <v>0</v>
      </c>
      <c r="I5311">
        <f t="shared" si="1085"/>
        <v>0</v>
      </c>
      <c r="J5311">
        <f t="shared" si="1086"/>
        <v>0</v>
      </c>
      <c r="K5311" s="4" t="e">
        <f t="shared" si="1087"/>
        <v>#N/A</v>
      </c>
      <c r="L5311" t="e">
        <f t="shared" si="1088"/>
        <v>#N/A</v>
      </c>
      <c r="M5311" s="4" t="e">
        <f t="shared" si="1089"/>
        <v>#N/A</v>
      </c>
      <c r="N5311" s="4" t="e">
        <f t="shared" si="1090"/>
        <v>#N/A</v>
      </c>
    </row>
    <row r="5312" spans="1:14">
      <c r="A5312">
        <f t="shared" si="1078"/>
        <v>0</v>
      </c>
      <c r="B5312">
        <f t="shared" si="1079"/>
        <v>0</v>
      </c>
      <c r="C5312">
        <f t="shared" si="1080"/>
        <v>0</v>
      </c>
      <c r="D5312">
        <f t="shared" si="1081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2"/>
        <v>0</v>
      </c>
      <c r="G5312">
        <f t="shared" si="1083"/>
        <v>0</v>
      </c>
      <c r="H5312">
        <f t="shared" si="1084"/>
        <v>0</v>
      </c>
      <c r="I5312">
        <f t="shared" si="1085"/>
        <v>0</v>
      </c>
      <c r="J5312">
        <f t="shared" si="1086"/>
        <v>0</v>
      </c>
      <c r="K5312" s="4" t="e">
        <f t="shared" si="1087"/>
        <v>#N/A</v>
      </c>
      <c r="L5312" t="e">
        <f t="shared" si="1088"/>
        <v>#N/A</v>
      </c>
      <c r="M5312" s="4" t="e">
        <f t="shared" si="1089"/>
        <v>#N/A</v>
      </c>
      <c r="N5312" s="4" t="e">
        <f t="shared" si="1090"/>
        <v>#N/A</v>
      </c>
    </row>
    <row r="5313" spans="1:14">
      <c r="A5313">
        <f t="shared" si="1078"/>
        <v>0</v>
      </c>
      <c r="B5313">
        <f t="shared" si="1079"/>
        <v>0</v>
      </c>
      <c r="C5313">
        <f t="shared" si="1080"/>
        <v>0</v>
      </c>
      <c r="D5313">
        <f t="shared" si="1081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2"/>
        <v>0</v>
      </c>
      <c r="G5313">
        <f t="shared" si="1083"/>
        <v>0</v>
      </c>
      <c r="H5313">
        <f t="shared" si="1084"/>
        <v>0</v>
      </c>
      <c r="I5313">
        <f t="shared" si="1085"/>
        <v>0</v>
      </c>
      <c r="J5313">
        <f t="shared" si="1086"/>
        <v>0</v>
      </c>
      <c r="K5313" s="4" t="e">
        <f t="shared" si="1087"/>
        <v>#N/A</v>
      </c>
      <c r="L5313" t="e">
        <f t="shared" si="1088"/>
        <v>#N/A</v>
      </c>
      <c r="M5313" s="4" t="e">
        <f t="shared" si="1089"/>
        <v>#N/A</v>
      </c>
      <c r="N5313" s="4" t="e">
        <f t="shared" si="1090"/>
        <v>#N/A</v>
      </c>
    </row>
    <row r="5314" spans="1:14">
      <c r="A5314">
        <f t="shared" ref="A5314:A5377" si="1091">bd_campaign</f>
        <v>0</v>
      </c>
      <c r="B5314">
        <f t="shared" ref="B5314:B5377" si="1092">bd_site</f>
        <v>0</v>
      </c>
      <c r="C5314">
        <f t="shared" ref="C5314:C5377" si="1093">bd_placement</f>
        <v>0</v>
      </c>
      <c r="D5314">
        <f t="shared" ref="D5314:D5377" si="1094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5">bd_ad</f>
        <v>0</v>
      </c>
      <c r="G5314">
        <f t="shared" ref="G5314:G5377" si="1096">bd_adid</f>
        <v>0</v>
      </c>
      <c r="H5314">
        <f t="shared" ref="H5314:H5377" si="1097">bd_creativetype</f>
        <v>0</v>
      </c>
      <c r="I5314">
        <f t="shared" ref="I5314:I5377" si="1098">bd_impression</f>
        <v>0</v>
      </c>
      <c r="J5314">
        <f t="shared" ref="J5314:J5377" si="1099">bd_clicks</f>
        <v>0</v>
      </c>
      <c r="K5314" s="4" t="e">
        <f t="shared" si="1087"/>
        <v>#N/A</v>
      </c>
      <c r="L5314" t="e">
        <f t="shared" si="1088"/>
        <v>#N/A</v>
      </c>
      <c r="M5314" s="4" t="e">
        <f t="shared" si="1089"/>
        <v>#N/A</v>
      </c>
      <c r="N5314" s="4" t="e">
        <f t="shared" si="1090"/>
        <v>#N/A</v>
      </c>
    </row>
    <row r="5315" spans="1:14">
      <c r="A5315">
        <f t="shared" si="1091"/>
        <v>0</v>
      </c>
      <c r="B5315">
        <f t="shared" si="1092"/>
        <v>0</v>
      </c>
      <c r="C5315">
        <f t="shared" si="1093"/>
        <v>0</v>
      </c>
      <c r="D5315">
        <f t="shared" si="1094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5"/>
        <v>0</v>
      </c>
      <c r="G5315">
        <f t="shared" si="1096"/>
        <v>0</v>
      </c>
      <c r="H5315">
        <f t="shared" si="1097"/>
        <v>0</v>
      </c>
      <c r="I5315">
        <f t="shared" si="1098"/>
        <v>0</v>
      </c>
      <c r="J5315">
        <f t="shared" si="1099"/>
        <v>0</v>
      </c>
      <c r="K5315" s="4" t="e">
        <f t="shared" si="1087"/>
        <v>#N/A</v>
      </c>
      <c r="L5315" t="e">
        <f t="shared" si="1088"/>
        <v>#N/A</v>
      </c>
      <c r="M5315" s="4" t="e">
        <f t="shared" si="1089"/>
        <v>#N/A</v>
      </c>
      <c r="N5315" s="4" t="e">
        <f t="shared" si="1090"/>
        <v>#N/A</v>
      </c>
    </row>
    <row r="5316" spans="1:14">
      <c r="A5316">
        <f t="shared" si="1091"/>
        <v>0</v>
      </c>
      <c r="B5316">
        <f t="shared" si="1092"/>
        <v>0</v>
      </c>
      <c r="C5316">
        <f t="shared" si="1093"/>
        <v>0</v>
      </c>
      <c r="D5316">
        <f t="shared" si="1094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5"/>
        <v>0</v>
      </c>
      <c r="G5316">
        <f t="shared" si="1096"/>
        <v>0</v>
      </c>
      <c r="H5316">
        <f t="shared" si="1097"/>
        <v>0</v>
      </c>
      <c r="I5316">
        <f t="shared" si="1098"/>
        <v>0</v>
      </c>
      <c r="J5316">
        <f t="shared" si="1099"/>
        <v>0</v>
      </c>
      <c r="K5316" s="4" t="e">
        <f t="shared" si="1087"/>
        <v>#N/A</v>
      </c>
      <c r="L5316" t="e">
        <f t="shared" si="1088"/>
        <v>#N/A</v>
      </c>
      <c r="M5316" s="4" t="e">
        <f t="shared" si="1089"/>
        <v>#N/A</v>
      </c>
      <c r="N5316" s="4" t="e">
        <f t="shared" si="1090"/>
        <v>#N/A</v>
      </c>
    </row>
    <row r="5317" spans="1:14">
      <c r="A5317">
        <f t="shared" si="1091"/>
        <v>0</v>
      </c>
      <c r="B5317">
        <f t="shared" si="1092"/>
        <v>0</v>
      </c>
      <c r="C5317">
        <f t="shared" si="1093"/>
        <v>0</v>
      </c>
      <c r="D5317">
        <f t="shared" si="1094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5"/>
        <v>0</v>
      </c>
      <c r="G5317">
        <f t="shared" si="1096"/>
        <v>0</v>
      </c>
      <c r="H5317">
        <f t="shared" si="1097"/>
        <v>0</v>
      </c>
      <c r="I5317">
        <f t="shared" si="1098"/>
        <v>0</v>
      </c>
      <c r="J5317">
        <f t="shared" si="1099"/>
        <v>0</v>
      </c>
      <c r="K5317" s="4" t="e">
        <f t="shared" si="1087"/>
        <v>#N/A</v>
      </c>
      <c r="L5317" t="e">
        <f t="shared" si="1088"/>
        <v>#N/A</v>
      </c>
      <c r="M5317" s="4" t="e">
        <f t="shared" si="1089"/>
        <v>#N/A</v>
      </c>
      <c r="N5317" s="4" t="e">
        <f t="shared" si="1090"/>
        <v>#N/A</v>
      </c>
    </row>
    <row r="5318" spans="1:14">
      <c r="A5318">
        <f t="shared" si="1091"/>
        <v>0</v>
      </c>
      <c r="B5318">
        <f t="shared" si="1092"/>
        <v>0</v>
      </c>
      <c r="C5318">
        <f t="shared" si="1093"/>
        <v>0</v>
      </c>
      <c r="D5318">
        <f t="shared" si="1094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5"/>
        <v>0</v>
      </c>
      <c r="G5318">
        <f t="shared" si="1096"/>
        <v>0</v>
      </c>
      <c r="H5318">
        <f t="shared" si="1097"/>
        <v>0</v>
      </c>
      <c r="I5318">
        <f t="shared" si="1098"/>
        <v>0</v>
      </c>
      <c r="J5318">
        <f t="shared" si="1099"/>
        <v>0</v>
      </c>
      <c r="K5318" s="4" t="e">
        <f t="shared" si="1087"/>
        <v>#N/A</v>
      </c>
      <c r="L5318" t="e">
        <f t="shared" si="1088"/>
        <v>#N/A</v>
      </c>
      <c r="M5318" s="4" t="e">
        <f t="shared" si="1089"/>
        <v>#N/A</v>
      </c>
      <c r="N5318" s="4" t="e">
        <f t="shared" si="1090"/>
        <v>#N/A</v>
      </c>
    </row>
    <row r="5319" spans="1:14">
      <c r="A5319">
        <f t="shared" si="1091"/>
        <v>0</v>
      </c>
      <c r="B5319">
        <f t="shared" si="1092"/>
        <v>0</v>
      </c>
      <c r="C5319">
        <f t="shared" si="1093"/>
        <v>0</v>
      </c>
      <c r="D5319">
        <f t="shared" si="1094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5"/>
        <v>0</v>
      </c>
      <c r="G5319">
        <f t="shared" si="1096"/>
        <v>0</v>
      </c>
      <c r="H5319">
        <f t="shared" si="1097"/>
        <v>0</v>
      </c>
      <c r="I5319">
        <f t="shared" si="1098"/>
        <v>0</v>
      </c>
      <c r="J5319">
        <f t="shared" si="1099"/>
        <v>0</v>
      </c>
      <c r="K5319" s="4" t="e">
        <f t="shared" si="1087"/>
        <v>#N/A</v>
      </c>
      <c r="L5319" t="e">
        <f t="shared" si="1088"/>
        <v>#N/A</v>
      </c>
      <c r="M5319" s="4" t="e">
        <f t="shared" si="1089"/>
        <v>#N/A</v>
      </c>
      <c r="N5319" s="4" t="e">
        <f t="shared" si="1090"/>
        <v>#N/A</v>
      </c>
    </row>
    <row r="5320" spans="1:14">
      <c r="A5320">
        <f t="shared" si="1091"/>
        <v>0</v>
      </c>
      <c r="B5320">
        <f t="shared" si="1092"/>
        <v>0</v>
      </c>
      <c r="C5320">
        <f t="shared" si="1093"/>
        <v>0</v>
      </c>
      <c r="D5320">
        <f t="shared" si="1094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5"/>
        <v>0</v>
      </c>
      <c r="G5320">
        <f t="shared" si="1096"/>
        <v>0</v>
      </c>
      <c r="H5320">
        <f t="shared" si="1097"/>
        <v>0</v>
      </c>
      <c r="I5320">
        <f t="shared" si="1098"/>
        <v>0</v>
      </c>
      <c r="J5320">
        <f t="shared" si="1099"/>
        <v>0</v>
      </c>
      <c r="K5320" s="4" t="e">
        <f t="shared" si="1087"/>
        <v>#N/A</v>
      </c>
      <c r="L5320" t="e">
        <f t="shared" si="1088"/>
        <v>#N/A</v>
      </c>
      <c r="M5320" s="4" t="e">
        <f t="shared" si="1089"/>
        <v>#N/A</v>
      </c>
      <c r="N5320" s="4" t="e">
        <f t="shared" si="1090"/>
        <v>#N/A</v>
      </c>
    </row>
    <row r="5321" spans="1:14">
      <c r="A5321">
        <f t="shared" si="1091"/>
        <v>0</v>
      </c>
      <c r="B5321">
        <f t="shared" si="1092"/>
        <v>0</v>
      </c>
      <c r="C5321">
        <f t="shared" si="1093"/>
        <v>0</v>
      </c>
      <c r="D5321">
        <f t="shared" si="1094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5"/>
        <v>0</v>
      </c>
      <c r="G5321">
        <f t="shared" si="1096"/>
        <v>0</v>
      </c>
      <c r="H5321">
        <f t="shared" si="1097"/>
        <v>0</v>
      </c>
      <c r="I5321">
        <f t="shared" si="1098"/>
        <v>0</v>
      </c>
      <c r="J5321">
        <f t="shared" si="1099"/>
        <v>0</v>
      </c>
      <c r="K5321" s="4" t="e">
        <f t="shared" si="1087"/>
        <v>#N/A</v>
      </c>
      <c r="L5321" t="e">
        <f t="shared" si="1088"/>
        <v>#N/A</v>
      </c>
      <c r="M5321" s="4" t="e">
        <f t="shared" si="1089"/>
        <v>#N/A</v>
      </c>
      <c r="N5321" s="4" t="e">
        <f t="shared" si="1090"/>
        <v>#N/A</v>
      </c>
    </row>
    <row r="5322" spans="1:14">
      <c r="A5322">
        <f t="shared" si="1091"/>
        <v>0</v>
      </c>
      <c r="B5322">
        <f t="shared" si="1092"/>
        <v>0</v>
      </c>
      <c r="C5322">
        <f t="shared" si="1093"/>
        <v>0</v>
      </c>
      <c r="D5322">
        <f t="shared" si="1094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5"/>
        <v>0</v>
      </c>
      <c r="G5322">
        <f t="shared" si="1096"/>
        <v>0</v>
      </c>
      <c r="H5322">
        <f t="shared" si="1097"/>
        <v>0</v>
      </c>
      <c r="I5322">
        <f t="shared" si="1098"/>
        <v>0</v>
      </c>
      <c r="J5322">
        <f t="shared" si="1099"/>
        <v>0</v>
      </c>
      <c r="K5322" s="4" t="e">
        <f t="shared" si="1087"/>
        <v>#N/A</v>
      </c>
      <c r="L5322" t="e">
        <f t="shared" si="1088"/>
        <v>#N/A</v>
      </c>
      <c r="M5322" s="4" t="e">
        <f t="shared" si="1089"/>
        <v>#N/A</v>
      </c>
      <c r="N5322" s="4" t="e">
        <f t="shared" si="1090"/>
        <v>#N/A</v>
      </c>
    </row>
    <row r="5323" spans="1:14">
      <c r="A5323">
        <f t="shared" si="1091"/>
        <v>0</v>
      </c>
      <c r="B5323">
        <f t="shared" si="1092"/>
        <v>0</v>
      </c>
      <c r="C5323">
        <f t="shared" si="1093"/>
        <v>0</v>
      </c>
      <c r="D5323">
        <f t="shared" si="1094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5"/>
        <v>0</v>
      </c>
      <c r="G5323">
        <f t="shared" si="1096"/>
        <v>0</v>
      </c>
      <c r="H5323">
        <f t="shared" si="1097"/>
        <v>0</v>
      </c>
      <c r="I5323">
        <f t="shared" si="1098"/>
        <v>0</v>
      </c>
      <c r="J5323">
        <f t="shared" si="1099"/>
        <v>0</v>
      </c>
      <c r="K5323" s="4" t="e">
        <f t="shared" si="1087"/>
        <v>#N/A</v>
      </c>
      <c r="L5323" t="e">
        <f t="shared" si="1088"/>
        <v>#N/A</v>
      </c>
      <c r="M5323" s="4" t="e">
        <f t="shared" si="1089"/>
        <v>#N/A</v>
      </c>
      <c r="N5323" s="4" t="e">
        <f t="shared" si="1090"/>
        <v>#N/A</v>
      </c>
    </row>
    <row r="5324" spans="1:14">
      <c r="A5324">
        <f t="shared" si="1091"/>
        <v>0</v>
      </c>
      <c r="B5324">
        <f t="shared" si="1092"/>
        <v>0</v>
      </c>
      <c r="C5324">
        <f t="shared" si="1093"/>
        <v>0</v>
      </c>
      <c r="D5324">
        <f t="shared" si="1094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5"/>
        <v>0</v>
      </c>
      <c r="G5324">
        <f t="shared" si="1096"/>
        <v>0</v>
      </c>
      <c r="H5324">
        <f t="shared" si="1097"/>
        <v>0</v>
      </c>
      <c r="I5324">
        <f t="shared" si="1098"/>
        <v>0</v>
      </c>
      <c r="J5324">
        <f t="shared" si="1099"/>
        <v>0</v>
      </c>
      <c r="K5324" s="4" t="e">
        <f t="shared" si="1087"/>
        <v>#N/A</v>
      </c>
      <c r="L5324" t="e">
        <f t="shared" si="1088"/>
        <v>#N/A</v>
      </c>
      <c r="M5324" s="4" t="e">
        <f t="shared" si="1089"/>
        <v>#N/A</v>
      </c>
      <c r="N5324" s="4" t="e">
        <f t="shared" si="1090"/>
        <v>#N/A</v>
      </c>
    </row>
    <row r="5325" spans="1:14">
      <c r="A5325">
        <f t="shared" si="1091"/>
        <v>0</v>
      </c>
      <c r="B5325">
        <f t="shared" si="1092"/>
        <v>0</v>
      </c>
      <c r="C5325">
        <f t="shared" si="1093"/>
        <v>0</v>
      </c>
      <c r="D5325">
        <f t="shared" si="1094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5"/>
        <v>0</v>
      </c>
      <c r="G5325">
        <f t="shared" si="1096"/>
        <v>0</v>
      </c>
      <c r="H5325">
        <f t="shared" si="1097"/>
        <v>0</v>
      </c>
      <c r="I5325">
        <f t="shared" si="1098"/>
        <v>0</v>
      </c>
      <c r="J5325">
        <f t="shared" si="1099"/>
        <v>0</v>
      </c>
      <c r="K5325" s="4" t="e">
        <f t="shared" si="1087"/>
        <v>#N/A</v>
      </c>
      <c r="L5325" t="e">
        <f t="shared" si="1088"/>
        <v>#N/A</v>
      </c>
      <c r="M5325" s="4" t="e">
        <f t="shared" si="1089"/>
        <v>#N/A</v>
      </c>
      <c r="N5325" s="4" t="e">
        <f t="shared" si="1090"/>
        <v>#N/A</v>
      </c>
    </row>
    <row r="5326" spans="1:14">
      <c r="A5326">
        <f t="shared" si="1091"/>
        <v>0</v>
      </c>
      <c r="B5326">
        <f t="shared" si="1092"/>
        <v>0</v>
      </c>
      <c r="C5326">
        <f t="shared" si="1093"/>
        <v>0</v>
      </c>
      <c r="D5326">
        <f t="shared" si="1094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5"/>
        <v>0</v>
      </c>
      <c r="G5326">
        <f t="shared" si="1096"/>
        <v>0</v>
      </c>
      <c r="H5326">
        <f t="shared" si="1097"/>
        <v>0</v>
      </c>
      <c r="I5326">
        <f t="shared" si="1098"/>
        <v>0</v>
      </c>
      <c r="J5326">
        <f t="shared" si="1099"/>
        <v>0</v>
      </c>
      <c r="K5326" s="4" t="e">
        <f t="shared" si="1087"/>
        <v>#N/A</v>
      </c>
      <c r="L5326" t="e">
        <f t="shared" si="1088"/>
        <v>#N/A</v>
      </c>
      <c r="M5326" s="4" t="e">
        <f t="shared" si="1089"/>
        <v>#N/A</v>
      </c>
      <c r="N5326" s="4" t="e">
        <f t="shared" si="1090"/>
        <v>#N/A</v>
      </c>
    </row>
    <row r="5327" spans="1:14">
      <c r="A5327">
        <f t="shared" si="1091"/>
        <v>0</v>
      </c>
      <c r="B5327">
        <f t="shared" si="1092"/>
        <v>0</v>
      </c>
      <c r="C5327">
        <f t="shared" si="1093"/>
        <v>0</v>
      </c>
      <c r="D5327">
        <f t="shared" si="1094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5"/>
        <v>0</v>
      </c>
      <c r="G5327">
        <f t="shared" si="1096"/>
        <v>0</v>
      </c>
      <c r="H5327">
        <f t="shared" si="1097"/>
        <v>0</v>
      </c>
      <c r="I5327">
        <f t="shared" si="1098"/>
        <v>0</v>
      </c>
      <c r="J5327">
        <f t="shared" si="1099"/>
        <v>0</v>
      </c>
      <c r="K5327" s="4" t="e">
        <f t="shared" si="1087"/>
        <v>#N/A</v>
      </c>
      <c r="L5327" t="e">
        <f t="shared" si="1088"/>
        <v>#N/A</v>
      </c>
      <c r="M5327" s="4" t="e">
        <f t="shared" si="1089"/>
        <v>#N/A</v>
      </c>
      <c r="N5327" s="4" t="e">
        <f t="shared" si="1090"/>
        <v>#N/A</v>
      </c>
    </row>
    <row r="5328" spans="1:14">
      <c r="A5328">
        <f t="shared" si="1091"/>
        <v>0</v>
      </c>
      <c r="B5328">
        <f t="shared" si="1092"/>
        <v>0</v>
      </c>
      <c r="C5328">
        <f t="shared" si="1093"/>
        <v>0</v>
      </c>
      <c r="D5328">
        <f t="shared" si="1094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5"/>
        <v>0</v>
      </c>
      <c r="G5328">
        <f t="shared" si="1096"/>
        <v>0</v>
      </c>
      <c r="H5328">
        <f t="shared" si="1097"/>
        <v>0</v>
      </c>
      <c r="I5328">
        <f t="shared" si="1098"/>
        <v>0</v>
      </c>
      <c r="J5328">
        <f t="shared" si="1099"/>
        <v>0</v>
      </c>
      <c r="K5328" s="4" t="e">
        <f t="shared" si="1087"/>
        <v>#N/A</v>
      </c>
      <c r="L5328" t="e">
        <f t="shared" si="1088"/>
        <v>#N/A</v>
      </c>
      <c r="M5328" s="4" t="e">
        <f t="shared" si="1089"/>
        <v>#N/A</v>
      </c>
      <c r="N5328" s="4" t="e">
        <f t="shared" si="1090"/>
        <v>#N/A</v>
      </c>
    </row>
    <row r="5329" spans="1:14">
      <c r="A5329">
        <f t="shared" si="1091"/>
        <v>0</v>
      </c>
      <c r="B5329">
        <f t="shared" si="1092"/>
        <v>0</v>
      </c>
      <c r="C5329">
        <f t="shared" si="1093"/>
        <v>0</v>
      </c>
      <c r="D5329">
        <f t="shared" si="1094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5"/>
        <v>0</v>
      </c>
      <c r="G5329">
        <f t="shared" si="1096"/>
        <v>0</v>
      </c>
      <c r="H5329">
        <f t="shared" si="1097"/>
        <v>0</v>
      </c>
      <c r="I5329">
        <f t="shared" si="1098"/>
        <v>0</v>
      </c>
      <c r="J5329">
        <f t="shared" si="1099"/>
        <v>0</v>
      </c>
      <c r="K5329" s="4" t="e">
        <f t="shared" si="1087"/>
        <v>#N/A</v>
      </c>
      <c r="L5329" t="e">
        <f t="shared" si="1088"/>
        <v>#N/A</v>
      </c>
      <c r="M5329" s="4" t="e">
        <f t="shared" si="1089"/>
        <v>#N/A</v>
      </c>
      <c r="N5329" s="4" t="e">
        <f t="shared" si="1090"/>
        <v>#N/A</v>
      </c>
    </row>
    <row r="5330" spans="1:14">
      <c r="A5330">
        <f t="shared" si="1091"/>
        <v>0</v>
      </c>
      <c r="B5330">
        <f t="shared" si="1092"/>
        <v>0</v>
      </c>
      <c r="C5330">
        <f t="shared" si="1093"/>
        <v>0</v>
      </c>
      <c r="D5330">
        <f t="shared" si="1094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5"/>
        <v>0</v>
      </c>
      <c r="G5330">
        <f t="shared" si="1096"/>
        <v>0</v>
      </c>
      <c r="H5330">
        <f t="shared" si="1097"/>
        <v>0</v>
      </c>
      <c r="I5330">
        <f t="shared" si="1098"/>
        <v>0</v>
      </c>
      <c r="J5330">
        <f t="shared" si="1099"/>
        <v>0</v>
      </c>
      <c r="K5330" s="4" t="e">
        <f t="shared" si="1087"/>
        <v>#N/A</v>
      </c>
      <c r="L5330" t="e">
        <f t="shared" si="1088"/>
        <v>#N/A</v>
      </c>
      <c r="M5330" s="4" t="e">
        <f t="shared" si="1089"/>
        <v>#N/A</v>
      </c>
      <c r="N5330" s="4" t="e">
        <f t="shared" si="1090"/>
        <v>#N/A</v>
      </c>
    </row>
    <row r="5331" spans="1:14">
      <c r="A5331">
        <f t="shared" si="1091"/>
        <v>0</v>
      </c>
      <c r="B5331">
        <f t="shared" si="1092"/>
        <v>0</v>
      </c>
      <c r="C5331">
        <f t="shared" si="1093"/>
        <v>0</v>
      </c>
      <c r="D5331">
        <f t="shared" si="1094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5"/>
        <v>0</v>
      </c>
      <c r="G5331">
        <f t="shared" si="1096"/>
        <v>0</v>
      </c>
      <c r="H5331">
        <f t="shared" si="1097"/>
        <v>0</v>
      </c>
      <c r="I5331">
        <f t="shared" si="1098"/>
        <v>0</v>
      </c>
      <c r="J5331">
        <f t="shared" si="1099"/>
        <v>0</v>
      </c>
      <c r="K5331" s="4" t="e">
        <f t="shared" si="1087"/>
        <v>#N/A</v>
      </c>
      <c r="L5331" t="e">
        <f t="shared" si="1088"/>
        <v>#N/A</v>
      </c>
      <c r="M5331" s="4" t="e">
        <f t="shared" si="1089"/>
        <v>#N/A</v>
      </c>
      <c r="N5331" s="4" t="e">
        <f t="shared" si="1090"/>
        <v>#N/A</v>
      </c>
    </row>
    <row r="5332" spans="1:14">
      <c r="A5332">
        <f t="shared" si="1091"/>
        <v>0</v>
      </c>
      <c r="B5332">
        <f t="shared" si="1092"/>
        <v>0</v>
      </c>
      <c r="C5332">
        <f t="shared" si="1093"/>
        <v>0</v>
      </c>
      <c r="D5332">
        <f t="shared" si="1094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5"/>
        <v>0</v>
      </c>
      <c r="G5332">
        <f t="shared" si="1096"/>
        <v>0</v>
      </c>
      <c r="H5332">
        <f t="shared" si="1097"/>
        <v>0</v>
      </c>
      <c r="I5332">
        <f t="shared" si="1098"/>
        <v>0</v>
      </c>
      <c r="J5332">
        <f t="shared" si="1099"/>
        <v>0</v>
      </c>
      <c r="K5332" s="4" t="e">
        <f t="shared" si="1087"/>
        <v>#N/A</v>
      </c>
      <c r="L5332" t="e">
        <f t="shared" si="1088"/>
        <v>#N/A</v>
      </c>
      <c r="M5332" s="4" t="e">
        <f t="shared" si="1089"/>
        <v>#N/A</v>
      </c>
      <c r="N5332" s="4" t="e">
        <f t="shared" si="1090"/>
        <v>#N/A</v>
      </c>
    </row>
    <row r="5333" spans="1:14">
      <c r="A5333">
        <f t="shared" si="1091"/>
        <v>0</v>
      </c>
      <c r="B5333">
        <f t="shared" si="1092"/>
        <v>0</v>
      </c>
      <c r="C5333">
        <f t="shared" si="1093"/>
        <v>0</v>
      </c>
      <c r="D5333">
        <f t="shared" si="1094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5"/>
        <v>0</v>
      </c>
      <c r="G5333">
        <f t="shared" si="1096"/>
        <v>0</v>
      </c>
      <c r="H5333">
        <f t="shared" si="1097"/>
        <v>0</v>
      </c>
      <c r="I5333">
        <f t="shared" si="1098"/>
        <v>0</v>
      </c>
      <c r="J5333">
        <f t="shared" si="1099"/>
        <v>0</v>
      </c>
      <c r="K5333" s="4" t="e">
        <f t="shared" si="1087"/>
        <v>#N/A</v>
      </c>
      <c r="L5333" t="e">
        <f t="shared" si="1088"/>
        <v>#N/A</v>
      </c>
      <c r="M5333" s="4" t="e">
        <f t="shared" si="1089"/>
        <v>#N/A</v>
      </c>
      <c r="N5333" s="4" t="e">
        <f t="shared" si="1090"/>
        <v>#N/A</v>
      </c>
    </row>
    <row r="5334" spans="1:14">
      <c r="A5334">
        <f t="shared" si="1091"/>
        <v>0</v>
      </c>
      <c r="B5334">
        <f t="shared" si="1092"/>
        <v>0</v>
      </c>
      <c r="C5334">
        <f t="shared" si="1093"/>
        <v>0</v>
      </c>
      <c r="D5334">
        <f t="shared" si="1094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5"/>
        <v>0</v>
      </c>
      <c r="G5334">
        <f t="shared" si="1096"/>
        <v>0</v>
      </c>
      <c r="H5334">
        <f t="shared" si="1097"/>
        <v>0</v>
      </c>
      <c r="I5334">
        <f t="shared" si="1098"/>
        <v>0</v>
      </c>
      <c r="J5334">
        <f t="shared" si="1099"/>
        <v>0</v>
      </c>
      <c r="K5334" s="4" t="e">
        <f t="shared" si="1087"/>
        <v>#N/A</v>
      </c>
      <c r="L5334" t="e">
        <f t="shared" si="1088"/>
        <v>#N/A</v>
      </c>
      <c r="M5334" s="4" t="e">
        <f t="shared" si="1089"/>
        <v>#N/A</v>
      </c>
      <c r="N5334" s="4" t="e">
        <f t="shared" si="1090"/>
        <v>#N/A</v>
      </c>
    </row>
    <row r="5335" spans="1:14">
      <c r="A5335">
        <f t="shared" si="1091"/>
        <v>0</v>
      </c>
      <c r="B5335">
        <f t="shared" si="1092"/>
        <v>0</v>
      </c>
      <c r="C5335">
        <f t="shared" si="1093"/>
        <v>0</v>
      </c>
      <c r="D5335">
        <f t="shared" si="1094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5"/>
        <v>0</v>
      </c>
      <c r="G5335">
        <f t="shared" si="1096"/>
        <v>0</v>
      </c>
      <c r="H5335">
        <f t="shared" si="1097"/>
        <v>0</v>
      </c>
      <c r="I5335">
        <f t="shared" si="1098"/>
        <v>0</v>
      </c>
      <c r="J5335">
        <f t="shared" si="1099"/>
        <v>0</v>
      </c>
      <c r="K5335" s="4" t="e">
        <f t="shared" si="1087"/>
        <v>#N/A</v>
      </c>
      <c r="L5335" t="e">
        <f t="shared" si="1088"/>
        <v>#N/A</v>
      </c>
      <c r="M5335" s="4" t="e">
        <f t="shared" si="1089"/>
        <v>#N/A</v>
      </c>
      <c r="N5335" s="4" t="e">
        <f t="shared" si="1090"/>
        <v>#N/A</v>
      </c>
    </row>
    <row r="5336" spans="1:14">
      <c r="A5336">
        <f t="shared" si="1091"/>
        <v>0</v>
      </c>
      <c r="B5336">
        <f t="shared" si="1092"/>
        <v>0</v>
      </c>
      <c r="C5336">
        <f t="shared" si="1093"/>
        <v>0</v>
      </c>
      <c r="D5336">
        <f t="shared" si="1094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5"/>
        <v>0</v>
      </c>
      <c r="G5336">
        <f t="shared" si="1096"/>
        <v>0</v>
      </c>
      <c r="H5336">
        <f t="shared" si="1097"/>
        <v>0</v>
      </c>
      <c r="I5336">
        <f t="shared" si="1098"/>
        <v>0</v>
      </c>
      <c r="J5336">
        <f t="shared" si="1099"/>
        <v>0</v>
      </c>
      <c r="K5336" s="4" t="e">
        <f t="shared" si="1087"/>
        <v>#N/A</v>
      </c>
      <c r="L5336" t="e">
        <f t="shared" si="1088"/>
        <v>#N/A</v>
      </c>
      <c r="M5336" s="4" t="e">
        <f t="shared" si="1089"/>
        <v>#N/A</v>
      </c>
      <c r="N5336" s="4" t="e">
        <f t="shared" si="1090"/>
        <v>#N/A</v>
      </c>
    </row>
    <row r="5337" spans="1:14">
      <c r="A5337">
        <f t="shared" si="1091"/>
        <v>0</v>
      </c>
      <c r="B5337">
        <f t="shared" si="1092"/>
        <v>0</v>
      </c>
      <c r="C5337">
        <f t="shared" si="1093"/>
        <v>0</v>
      </c>
      <c r="D5337">
        <f t="shared" si="1094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5"/>
        <v>0</v>
      </c>
      <c r="G5337">
        <f t="shared" si="1096"/>
        <v>0</v>
      </c>
      <c r="H5337">
        <f t="shared" si="1097"/>
        <v>0</v>
      </c>
      <c r="I5337">
        <f t="shared" si="1098"/>
        <v>0</v>
      </c>
      <c r="J5337">
        <f t="shared" si="1099"/>
        <v>0</v>
      </c>
      <c r="K5337" s="4" t="e">
        <f t="shared" si="1087"/>
        <v>#N/A</v>
      </c>
      <c r="L5337" t="e">
        <f t="shared" si="1088"/>
        <v>#N/A</v>
      </c>
      <c r="M5337" s="4" t="e">
        <f t="shared" si="1089"/>
        <v>#N/A</v>
      </c>
      <c r="N5337" s="4" t="e">
        <f t="shared" si="1090"/>
        <v>#N/A</v>
      </c>
    </row>
    <row r="5338" spans="1:14">
      <c r="A5338">
        <f t="shared" si="1091"/>
        <v>0</v>
      </c>
      <c r="B5338">
        <f t="shared" si="1092"/>
        <v>0</v>
      </c>
      <c r="C5338">
        <f t="shared" si="1093"/>
        <v>0</v>
      </c>
      <c r="D5338">
        <f t="shared" si="1094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5"/>
        <v>0</v>
      </c>
      <c r="G5338">
        <f t="shared" si="1096"/>
        <v>0</v>
      </c>
      <c r="H5338">
        <f t="shared" si="1097"/>
        <v>0</v>
      </c>
      <c r="I5338">
        <f t="shared" si="1098"/>
        <v>0</v>
      </c>
      <c r="J5338">
        <f t="shared" si="1099"/>
        <v>0</v>
      </c>
      <c r="K5338" s="4" t="e">
        <f t="shared" si="1087"/>
        <v>#N/A</v>
      </c>
      <c r="L5338" t="e">
        <f t="shared" si="1088"/>
        <v>#N/A</v>
      </c>
      <c r="M5338" s="4" t="e">
        <f t="shared" si="1089"/>
        <v>#N/A</v>
      </c>
      <c r="N5338" s="4" t="e">
        <f t="shared" si="1090"/>
        <v>#N/A</v>
      </c>
    </row>
    <row r="5339" spans="1:14">
      <c r="A5339">
        <f t="shared" si="1091"/>
        <v>0</v>
      </c>
      <c r="B5339">
        <f t="shared" si="1092"/>
        <v>0</v>
      </c>
      <c r="C5339">
        <f t="shared" si="1093"/>
        <v>0</v>
      </c>
      <c r="D5339">
        <f t="shared" si="1094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5"/>
        <v>0</v>
      </c>
      <c r="G5339">
        <f t="shared" si="1096"/>
        <v>0</v>
      </c>
      <c r="H5339">
        <f t="shared" si="1097"/>
        <v>0</v>
      </c>
      <c r="I5339">
        <f t="shared" si="1098"/>
        <v>0</v>
      </c>
      <c r="J5339">
        <f t="shared" si="1099"/>
        <v>0</v>
      </c>
      <c r="K5339" s="4" t="e">
        <f t="shared" si="1087"/>
        <v>#N/A</v>
      </c>
      <c r="L5339" t="e">
        <f t="shared" si="1088"/>
        <v>#N/A</v>
      </c>
      <c r="M5339" s="4" t="e">
        <f t="shared" si="1089"/>
        <v>#N/A</v>
      </c>
      <c r="N5339" s="4" t="e">
        <f t="shared" si="1090"/>
        <v>#N/A</v>
      </c>
    </row>
    <row r="5340" spans="1:14">
      <c r="A5340">
        <f t="shared" si="1091"/>
        <v>0</v>
      </c>
      <c r="B5340">
        <f t="shared" si="1092"/>
        <v>0</v>
      </c>
      <c r="C5340">
        <f t="shared" si="1093"/>
        <v>0</v>
      </c>
      <c r="D5340">
        <f t="shared" si="1094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5"/>
        <v>0</v>
      </c>
      <c r="G5340">
        <f t="shared" si="1096"/>
        <v>0</v>
      </c>
      <c r="H5340">
        <f t="shared" si="1097"/>
        <v>0</v>
      </c>
      <c r="I5340">
        <f t="shared" si="1098"/>
        <v>0</v>
      </c>
      <c r="J5340">
        <f t="shared" si="1099"/>
        <v>0</v>
      </c>
      <c r="K5340" s="4" t="e">
        <f t="shared" si="1087"/>
        <v>#N/A</v>
      </c>
      <c r="L5340" t="e">
        <f t="shared" si="1088"/>
        <v>#N/A</v>
      </c>
      <c r="M5340" s="4" t="e">
        <f t="shared" si="1089"/>
        <v>#N/A</v>
      </c>
      <c r="N5340" s="4" t="e">
        <f t="shared" si="1090"/>
        <v>#N/A</v>
      </c>
    </row>
    <row r="5341" spans="1:14">
      <c r="A5341">
        <f t="shared" si="1091"/>
        <v>0</v>
      </c>
      <c r="B5341">
        <f t="shared" si="1092"/>
        <v>0</v>
      </c>
      <c r="C5341">
        <f t="shared" si="1093"/>
        <v>0</v>
      </c>
      <c r="D5341">
        <f t="shared" si="1094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5"/>
        <v>0</v>
      </c>
      <c r="G5341">
        <f t="shared" si="1096"/>
        <v>0</v>
      </c>
      <c r="H5341">
        <f t="shared" si="1097"/>
        <v>0</v>
      </c>
      <c r="I5341">
        <f t="shared" si="1098"/>
        <v>0</v>
      </c>
      <c r="J5341">
        <f t="shared" si="1099"/>
        <v>0</v>
      </c>
      <c r="K5341" s="4" t="e">
        <f t="shared" si="1087"/>
        <v>#N/A</v>
      </c>
      <c r="L5341" t="e">
        <f t="shared" si="1088"/>
        <v>#N/A</v>
      </c>
      <c r="M5341" s="4" t="e">
        <f t="shared" si="1089"/>
        <v>#N/A</v>
      </c>
      <c r="N5341" s="4" t="e">
        <f t="shared" si="1090"/>
        <v>#N/A</v>
      </c>
    </row>
    <row r="5342" spans="1:14">
      <c r="A5342">
        <f t="shared" si="1091"/>
        <v>0</v>
      </c>
      <c r="B5342">
        <f t="shared" si="1092"/>
        <v>0</v>
      </c>
      <c r="C5342">
        <f t="shared" si="1093"/>
        <v>0</v>
      </c>
      <c r="D5342">
        <f t="shared" si="1094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5"/>
        <v>0</v>
      </c>
      <c r="G5342">
        <f t="shared" si="1096"/>
        <v>0</v>
      </c>
      <c r="H5342">
        <f t="shared" si="1097"/>
        <v>0</v>
      </c>
      <c r="I5342">
        <f t="shared" si="1098"/>
        <v>0</v>
      </c>
      <c r="J5342">
        <f t="shared" si="1099"/>
        <v>0</v>
      </c>
      <c r="K5342" s="4" t="e">
        <f t="shared" si="1087"/>
        <v>#N/A</v>
      </c>
      <c r="L5342" t="e">
        <f t="shared" si="1088"/>
        <v>#N/A</v>
      </c>
      <c r="M5342" s="4" t="e">
        <f t="shared" si="1089"/>
        <v>#N/A</v>
      </c>
      <c r="N5342" s="4" t="e">
        <f t="shared" si="1090"/>
        <v>#N/A</v>
      </c>
    </row>
    <row r="5343" spans="1:14">
      <c r="A5343">
        <f t="shared" si="1091"/>
        <v>0</v>
      </c>
      <c r="B5343">
        <f t="shared" si="1092"/>
        <v>0</v>
      </c>
      <c r="C5343">
        <f t="shared" si="1093"/>
        <v>0</v>
      </c>
      <c r="D5343">
        <f t="shared" si="1094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5"/>
        <v>0</v>
      </c>
      <c r="G5343">
        <f t="shared" si="1096"/>
        <v>0</v>
      </c>
      <c r="H5343">
        <f t="shared" si="1097"/>
        <v>0</v>
      </c>
      <c r="I5343">
        <f t="shared" si="1098"/>
        <v>0</v>
      </c>
      <c r="J5343">
        <f t="shared" si="1099"/>
        <v>0</v>
      </c>
      <c r="K5343" s="4" t="e">
        <f t="shared" si="1087"/>
        <v>#N/A</v>
      </c>
      <c r="L5343" t="e">
        <f t="shared" si="1088"/>
        <v>#N/A</v>
      </c>
      <c r="M5343" s="4" t="e">
        <f t="shared" si="1089"/>
        <v>#N/A</v>
      </c>
      <c r="N5343" s="4" t="e">
        <f t="shared" si="1090"/>
        <v>#N/A</v>
      </c>
    </row>
    <row r="5344" spans="1:14">
      <c r="A5344">
        <f t="shared" si="1091"/>
        <v>0</v>
      </c>
      <c r="B5344">
        <f t="shared" si="1092"/>
        <v>0</v>
      </c>
      <c r="C5344">
        <f t="shared" si="1093"/>
        <v>0</v>
      </c>
      <c r="D5344">
        <f t="shared" si="1094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5"/>
        <v>0</v>
      </c>
      <c r="G5344">
        <f t="shared" si="1096"/>
        <v>0</v>
      </c>
      <c r="H5344">
        <f t="shared" si="1097"/>
        <v>0</v>
      </c>
      <c r="I5344">
        <f t="shared" si="1098"/>
        <v>0</v>
      </c>
      <c r="J5344">
        <f t="shared" si="1099"/>
        <v>0</v>
      </c>
      <c r="K5344" s="4" t="e">
        <f t="shared" si="1087"/>
        <v>#N/A</v>
      </c>
      <c r="L5344" t="e">
        <f t="shared" si="1088"/>
        <v>#N/A</v>
      </c>
      <c r="M5344" s="4" t="e">
        <f t="shared" si="1089"/>
        <v>#N/A</v>
      </c>
      <c r="N5344" s="4" t="e">
        <f t="shared" si="1090"/>
        <v>#N/A</v>
      </c>
    </row>
    <row r="5345" spans="1:14">
      <c r="A5345">
        <f t="shared" si="1091"/>
        <v>0</v>
      </c>
      <c r="B5345">
        <f t="shared" si="1092"/>
        <v>0</v>
      </c>
      <c r="C5345">
        <f t="shared" si="1093"/>
        <v>0</v>
      </c>
      <c r="D5345">
        <f t="shared" si="1094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5"/>
        <v>0</v>
      </c>
      <c r="G5345">
        <f t="shared" si="1096"/>
        <v>0</v>
      </c>
      <c r="H5345">
        <f t="shared" si="1097"/>
        <v>0</v>
      </c>
      <c r="I5345">
        <f t="shared" si="1098"/>
        <v>0</v>
      </c>
      <c r="J5345">
        <f t="shared" si="1099"/>
        <v>0</v>
      </c>
      <c r="K5345" s="4" t="e">
        <f t="shared" si="1087"/>
        <v>#N/A</v>
      </c>
      <c r="L5345" t="e">
        <f t="shared" si="1088"/>
        <v>#N/A</v>
      </c>
      <c r="M5345" s="4" t="e">
        <f t="shared" si="1089"/>
        <v>#N/A</v>
      </c>
      <c r="N5345" s="4" t="e">
        <f t="shared" si="1090"/>
        <v>#N/A</v>
      </c>
    </row>
    <row r="5346" spans="1:14">
      <c r="A5346">
        <f t="shared" si="1091"/>
        <v>0</v>
      </c>
      <c r="B5346">
        <f t="shared" si="1092"/>
        <v>0</v>
      </c>
      <c r="C5346">
        <f t="shared" si="1093"/>
        <v>0</v>
      </c>
      <c r="D5346">
        <f t="shared" si="1094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5"/>
        <v>0</v>
      </c>
      <c r="G5346">
        <f t="shared" si="1096"/>
        <v>0</v>
      </c>
      <c r="H5346">
        <f t="shared" si="1097"/>
        <v>0</v>
      </c>
      <c r="I5346">
        <f t="shared" si="1098"/>
        <v>0</v>
      </c>
      <c r="J5346">
        <f t="shared" si="1099"/>
        <v>0</v>
      </c>
      <c r="K5346" s="4" t="e">
        <f t="shared" si="1087"/>
        <v>#N/A</v>
      </c>
      <c r="L5346" t="e">
        <f t="shared" si="1088"/>
        <v>#N/A</v>
      </c>
      <c r="M5346" s="4" t="e">
        <f t="shared" si="1089"/>
        <v>#N/A</v>
      </c>
      <c r="N5346" s="4" t="e">
        <f t="shared" si="1090"/>
        <v>#N/A</v>
      </c>
    </row>
    <row r="5347" spans="1:14">
      <c r="A5347">
        <f t="shared" si="1091"/>
        <v>0</v>
      </c>
      <c r="B5347">
        <f t="shared" si="1092"/>
        <v>0</v>
      </c>
      <c r="C5347">
        <f t="shared" si="1093"/>
        <v>0</v>
      </c>
      <c r="D5347">
        <f t="shared" si="1094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5"/>
        <v>0</v>
      </c>
      <c r="G5347">
        <f t="shared" si="1096"/>
        <v>0</v>
      </c>
      <c r="H5347">
        <f t="shared" si="1097"/>
        <v>0</v>
      </c>
      <c r="I5347">
        <f t="shared" si="1098"/>
        <v>0</v>
      </c>
      <c r="J5347">
        <f t="shared" si="1099"/>
        <v>0</v>
      </c>
      <c r="K5347" s="4" t="e">
        <f t="shared" si="1087"/>
        <v>#N/A</v>
      </c>
      <c r="L5347" t="e">
        <f t="shared" si="1088"/>
        <v>#N/A</v>
      </c>
      <c r="M5347" s="4" t="e">
        <f t="shared" si="1089"/>
        <v>#N/A</v>
      </c>
      <c r="N5347" s="4" t="e">
        <f t="shared" si="1090"/>
        <v>#N/A</v>
      </c>
    </row>
    <row r="5348" spans="1:14">
      <c r="A5348">
        <f t="shared" si="1091"/>
        <v>0</v>
      </c>
      <c r="B5348">
        <f t="shared" si="1092"/>
        <v>0</v>
      </c>
      <c r="C5348">
        <f t="shared" si="1093"/>
        <v>0</v>
      </c>
      <c r="D5348">
        <f t="shared" si="1094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5"/>
        <v>0</v>
      </c>
      <c r="G5348">
        <f t="shared" si="1096"/>
        <v>0</v>
      </c>
      <c r="H5348">
        <f t="shared" si="1097"/>
        <v>0</v>
      </c>
      <c r="I5348">
        <f t="shared" si="1098"/>
        <v>0</v>
      </c>
      <c r="J5348">
        <f t="shared" si="1099"/>
        <v>0</v>
      </c>
      <c r="K5348" s="4" t="e">
        <f t="shared" si="1087"/>
        <v>#N/A</v>
      </c>
      <c r="L5348" t="e">
        <f t="shared" si="1088"/>
        <v>#N/A</v>
      </c>
      <c r="M5348" s="4" t="e">
        <f t="shared" si="1089"/>
        <v>#N/A</v>
      </c>
      <c r="N5348" s="4" t="e">
        <f t="shared" si="1090"/>
        <v>#N/A</v>
      </c>
    </row>
    <row r="5349" spans="1:14">
      <c r="A5349">
        <f t="shared" si="1091"/>
        <v>0</v>
      </c>
      <c r="B5349">
        <f t="shared" si="1092"/>
        <v>0</v>
      </c>
      <c r="C5349">
        <f t="shared" si="1093"/>
        <v>0</v>
      </c>
      <c r="D5349">
        <f t="shared" si="1094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5"/>
        <v>0</v>
      </c>
      <c r="G5349">
        <f t="shared" si="1096"/>
        <v>0</v>
      </c>
      <c r="H5349">
        <f t="shared" si="1097"/>
        <v>0</v>
      </c>
      <c r="I5349">
        <f t="shared" si="1098"/>
        <v>0</v>
      </c>
      <c r="J5349">
        <f t="shared" si="1099"/>
        <v>0</v>
      </c>
      <c r="K5349" s="4" t="e">
        <f t="shared" si="1087"/>
        <v>#N/A</v>
      </c>
      <c r="L5349" t="e">
        <f t="shared" si="1088"/>
        <v>#N/A</v>
      </c>
      <c r="M5349" s="4" t="e">
        <f t="shared" si="1089"/>
        <v>#N/A</v>
      </c>
      <c r="N5349" s="4" t="e">
        <f t="shared" si="1090"/>
        <v>#N/A</v>
      </c>
    </row>
    <row r="5350" spans="1:14">
      <c r="A5350">
        <f t="shared" si="1091"/>
        <v>0</v>
      </c>
      <c r="B5350">
        <f t="shared" si="1092"/>
        <v>0</v>
      </c>
      <c r="C5350">
        <f t="shared" si="1093"/>
        <v>0</v>
      </c>
      <c r="D5350">
        <f t="shared" si="1094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5"/>
        <v>0</v>
      </c>
      <c r="G5350">
        <f t="shared" si="1096"/>
        <v>0</v>
      </c>
      <c r="H5350">
        <f t="shared" si="1097"/>
        <v>0</v>
      </c>
      <c r="I5350">
        <f t="shared" si="1098"/>
        <v>0</v>
      </c>
      <c r="J5350">
        <f t="shared" si="1099"/>
        <v>0</v>
      </c>
      <c r="K5350" s="4" t="e">
        <f t="shared" si="1087"/>
        <v>#N/A</v>
      </c>
      <c r="L5350" t="e">
        <f t="shared" si="1088"/>
        <v>#N/A</v>
      </c>
      <c r="M5350" s="4" t="e">
        <f t="shared" si="1089"/>
        <v>#N/A</v>
      </c>
      <c r="N5350" s="4" t="e">
        <f t="shared" si="1090"/>
        <v>#N/A</v>
      </c>
    </row>
    <row r="5351" spans="1:14">
      <c r="A5351">
        <f t="shared" si="1091"/>
        <v>0</v>
      </c>
      <c r="B5351">
        <f t="shared" si="1092"/>
        <v>0</v>
      </c>
      <c r="C5351">
        <f t="shared" si="1093"/>
        <v>0</v>
      </c>
      <c r="D5351">
        <f t="shared" si="1094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5"/>
        <v>0</v>
      </c>
      <c r="G5351">
        <f t="shared" si="1096"/>
        <v>0</v>
      </c>
      <c r="H5351">
        <f t="shared" si="1097"/>
        <v>0</v>
      </c>
      <c r="I5351">
        <f t="shared" si="1098"/>
        <v>0</v>
      </c>
      <c r="J5351">
        <f t="shared" si="1099"/>
        <v>0</v>
      </c>
      <c r="K5351" s="4" t="e">
        <f t="shared" si="1087"/>
        <v>#N/A</v>
      </c>
      <c r="L5351" t="e">
        <f t="shared" si="1088"/>
        <v>#N/A</v>
      </c>
      <c r="M5351" s="4" t="e">
        <f t="shared" si="1089"/>
        <v>#N/A</v>
      </c>
      <c r="N5351" s="4" t="e">
        <f t="shared" si="1090"/>
        <v>#N/A</v>
      </c>
    </row>
    <row r="5352" spans="1:14">
      <c r="A5352">
        <f t="shared" si="1091"/>
        <v>0</v>
      </c>
      <c r="B5352">
        <f t="shared" si="1092"/>
        <v>0</v>
      </c>
      <c r="C5352">
        <f t="shared" si="1093"/>
        <v>0</v>
      </c>
      <c r="D5352">
        <f t="shared" si="1094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5"/>
        <v>0</v>
      </c>
      <c r="G5352">
        <f t="shared" si="1096"/>
        <v>0</v>
      </c>
      <c r="H5352">
        <f t="shared" si="1097"/>
        <v>0</v>
      </c>
      <c r="I5352">
        <f t="shared" si="1098"/>
        <v>0</v>
      </c>
      <c r="J5352">
        <f t="shared" si="1099"/>
        <v>0</v>
      </c>
      <c r="K5352" s="4" t="e">
        <f t="shared" si="1087"/>
        <v>#N/A</v>
      </c>
      <c r="L5352" t="e">
        <f t="shared" si="1088"/>
        <v>#N/A</v>
      </c>
      <c r="M5352" s="4" t="e">
        <f t="shared" si="1089"/>
        <v>#N/A</v>
      </c>
      <c r="N5352" s="4" t="e">
        <f t="shared" si="1090"/>
        <v>#N/A</v>
      </c>
    </row>
    <row r="5353" spans="1:14">
      <c r="A5353">
        <f t="shared" si="1091"/>
        <v>0</v>
      </c>
      <c r="B5353">
        <f t="shared" si="1092"/>
        <v>0</v>
      </c>
      <c r="C5353">
        <f t="shared" si="1093"/>
        <v>0</v>
      </c>
      <c r="D5353">
        <f t="shared" si="1094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5"/>
        <v>0</v>
      </c>
      <c r="G5353">
        <f t="shared" si="1096"/>
        <v>0</v>
      </c>
      <c r="H5353">
        <f t="shared" si="1097"/>
        <v>0</v>
      </c>
      <c r="I5353">
        <f t="shared" si="1098"/>
        <v>0</v>
      </c>
      <c r="J5353">
        <f t="shared" si="1099"/>
        <v>0</v>
      </c>
      <c r="K5353" s="4" t="e">
        <f t="shared" si="1087"/>
        <v>#N/A</v>
      </c>
      <c r="L5353" t="e">
        <f t="shared" si="1088"/>
        <v>#N/A</v>
      </c>
      <c r="M5353" s="4" t="e">
        <f t="shared" si="1089"/>
        <v>#N/A</v>
      </c>
      <c r="N5353" s="4" t="e">
        <f t="shared" si="1090"/>
        <v>#N/A</v>
      </c>
    </row>
    <row r="5354" spans="1:14">
      <c r="A5354">
        <f t="shared" si="1091"/>
        <v>0</v>
      </c>
      <c r="B5354">
        <f t="shared" si="1092"/>
        <v>0</v>
      </c>
      <c r="C5354">
        <f t="shared" si="1093"/>
        <v>0</v>
      </c>
      <c r="D5354">
        <f t="shared" si="1094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5"/>
        <v>0</v>
      </c>
      <c r="G5354">
        <f t="shared" si="1096"/>
        <v>0</v>
      </c>
      <c r="H5354">
        <f t="shared" si="1097"/>
        <v>0</v>
      </c>
      <c r="I5354">
        <f t="shared" si="1098"/>
        <v>0</v>
      </c>
      <c r="J5354">
        <f t="shared" si="1099"/>
        <v>0</v>
      </c>
      <c r="K5354" s="4" t="e">
        <f t="shared" si="1087"/>
        <v>#N/A</v>
      </c>
      <c r="L5354" t="e">
        <f t="shared" si="1088"/>
        <v>#N/A</v>
      </c>
      <c r="M5354" s="4" t="e">
        <f t="shared" si="1089"/>
        <v>#N/A</v>
      </c>
      <c r="N5354" s="4" t="e">
        <f t="shared" si="1090"/>
        <v>#N/A</v>
      </c>
    </row>
    <row r="5355" spans="1:14">
      <c r="A5355">
        <f t="shared" si="1091"/>
        <v>0</v>
      </c>
      <c r="B5355">
        <f t="shared" si="1092"/>
        <v>0</v>
      </c>
      <c r="C5355">
        <f t="shared" si="1093"/>
        <v>0</v>
      </c>
      <c r="D5355">
        <f t="shared" si="1094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5"/>
        <v>0</v>
      </c>
      <c r="G5355">
        <f t="shared" si="1096"/>
        <v>0</v>
      </c>
      <c r="H5355">
        <f t="shared" si="1097"/>
        <v>0</v>
      </c>
      <c r="I5355">
        <f t="shared" si="1098"/>
        <v>0</v>
      </c>
      <c r="J5355">
        <f t="shared" si="1099"/>
        <v>0</v>
      </c>
      <c r="K5355" s="4" t="e">
        <f t="shared" si="1087"/>
        <v>#N/A</v>
      </c>
      <c r="L5355" t="e">
        <f t="shared" si="1088"/>
        <v>#N/A</v>
      </c>
      <c r="M5355" s="4" t="e">
        <f t="shared" si="1089"/>
        <v>#N/A</v>
      </c>
      <c r="N5355" s="4" t="e">
        <f t="shared" si="1090"/>
        <v>#N/A</v>
      </c>
    </row>
    <row r="5356" spans="1:14">
      <c r="A5356">
        <f t="shared" si="1091"/>
        <v>0</v>
      </c>
      <c r="B5356">
        <f t="shared" si="1092"/>
        <v>0</v>
      </c>
      <c r="C5356">
        <f t="shared" si="1093"/>
        <v>0</v>
      </c>
      <c r="D5356">
        <f t="shared" si="1094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5"/>
        <v>0</v>
      </c>
      <c r="G5356">
        <f t="shared" si="1096"/>
        <v>0</v>
      </c>
      <c r="H5356">
        <f t="shared" si="1097"/>
        <v>0</v>
      </c>
      <c r="I5356">
        <f t="shared" si="1098"/>
        <v>0</v>
      </c>
      <c r="J5356">
        <f t="shared" si="1099"/>
        <v>0</v>
      </c>
      <c r="K5356" s="4" t="e">
        <f t="shared" si="1087"/>
        <v>#N/A</v>
      </c>
      <c r="L5356" t="e">
        <f t="shared" si="1088"/>
        <v>#N/A</v>
      </c>
      <c r="M5356" s="4" t="e">
        <f t="shared" si="1089"/>
        <v>#N/A</v>
      </c>
      <c r="N5356" s="4" t="e">
        <f t="shared" si="1090"/>
        <v>#N/A</v>
      </c>
    </row>
    <row r="5357" spans="1:14">
      <c r="A5357">
        <f t="shared" si="1091"/>
        <v>0</v>
      </c>
      <c r="B5357">
        <f t="shared" si="1092"/>
        <v>0</v>
      </c>
      <c r="C5357">
        <f t="shared" si="1093"/>
        <v>0</v>
      </c>
      <c r="D5357">
        <f t="shared" si="1094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5"/>
        <v>0</v>
      </c>
      <c r="G5357">
        <f t="shared" si="1096"/>
        <v>0</v>
      </c>
      <c r="H5357">
        <f t="shared" si="1097"/>
        <v>0</v>
      </c>
      <c r="I5357">
        <f t="shared" si="1098"/>
        <v>0</v>
      </c>
      <c r="J5357">
        <f t="shared" si="1099"/>
        <v>0</v>
      </c>
      <c r="K5357" s="4" t="e">
        <f t="shared" si="1087"/>
        <v>#N/A</v>
      </c>
      <c r="L5357" t="e">
        <f t="shared" si="1088"/>
        <v>#N/A</v>
      </c>
      <c r="M5357" s="4" t="e">
        <f t="shared" si="1089"/>
        <v>#N/A</v>
      </c>
      <c r="N5357" s="4" t="e">
        <f t="shared" si="1090"/>
        <v>#N/A</v>
      </c>
    </row>
    <row r="5358" spans="1:14">
      <c r="A5358">
        <f t="shared" si="1091"/>
        <v>0</v>
      </c>
      <c r="B5358">
        <f t="shared" si="1092"/>
        <v>0</v>
      </c>
      <c r="C5358">
        <f t="shared" si="1093"/>
        <v>0</v>
      </c>
      <c r="D5358">
        <f t="shared" si="1094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5"/>
        <v>0</v>
      </c>
      <c r="G5358">
        <f t="shared" si="1096"/>
        <v>0</v>
      </c>
      <c r="H5358">
        <f t="shared" si="1097"/>
        <v>0</v>
      </c>
      <c r="I5358">
        <f t="shared" si="1098"/>
        <v>0</v>
      </c>
      <c r="J5358">
        <f t="shared" si="1099"/>
        <v>0</v>
      </c>
      <c r="K5358" s="4" t="e">
        <f t="shared" si="1087"/>
        <v>#N/A</v>
      </c>
      <c r="L5358" t="e">
        <f t="shared" si="1088"/>
        <v>#N/A</v>
      </c>
      <c r="M5358" s="4" t="e">
        <f t="shared" si="1089"/>
        <v>#N/A</v>
      </c>
      <c r="N5358" s="4" t="e">
        <f t="shared" si="1090"/>
        <v>#N/A</v>
      </c>
    </row>
    <row r="5359" spans="1:14">
      <c r="A5359">
        <f t="shared" si="1091"/>
        <v>0</v>
      </c>
      <c r="B5359">
        <f t="shared" si="1092"/>
        <v>0</v>
      </c>
      <c r="C5359">
        <f t="shared" si="1093"/>
        <v>0</v>
      </c>
      <c r="D5359">
        <f t="shared" si="1094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5"/>
        <v>0</v>
      </c>
      <c r="G5359">
        <f t="shared" si="1096"/>
        <v>0</v>
      </c>
      <c r="H5359">
        <f t="shared" si="1097"/>
        <v>0</v>
      </c>
      <c r="I5359">
        <f t="shared" si="1098"/>
        <v>0</v>
      </c>
      <c r="J5359">
        <f t="shared" si="1099"/>
        <v>0</v>
      </c>
      <c r="K5359" s="4" t="e">
        <f t="shared" si="1087"/>
        <v>#N/A</v>
      </c>
      <c r="L5359" t="e">
        <f t="shared" si="1088"/>
        <v>#N/A</v>
      </c>
      <c r="M5359" s="4" t="e">
        <f t="shared" si="1089"/>
        <v>#N/A</v>
      </c>
      <c r="N5359" s="4" t="e">
        <f t="shared" si="1090"/>
        <v>#N/A</v>
      </c>
    </row>
    <row r="5360" spans="1:14">
      <c r="A5360">
        <f t="shared" si="1091"/>
        <v>0</v>
      </c>
      <c r="B5360">
        <f t="shared" si="1092"/>
        <v>0</v>
      </c>
      <c r="C5360">
        <f t="shared" si="1093"/>
        <v>0</v>
      </c>
      <c r="D5360">
        <f t="shared" si="1094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5"/>
        <v>0</v>
      </c>
      <c r="G5360">
        <f t="shared" si="1096"/>
        <v>0</v>
      </c>
      <c r="H5360">
        <f t="shared" si="1097"/>
        <v>0</v>
      </c>
      <c r="I5360">
        <f t="shared" si="1098"/>
        <v>0</v>
      </c>
      <c r="J5360">
        <f t="shared" si="1099"/>
        <v>0</v>
      </c>
      <c r="K5360" s="4" t="e">
        <f t="shared" si="1087"/>
        <v>#N/A</v>
      </c>
      <c r="L5360" t="e">
        <f t="shared" si="1088"/>
        <v>#N/A</v>
      </c>
      <c r="M5360" s="4" t="e">
        <f t="shared" si="1089"/>
        <v>#N/A</v>
      </c>
      <c r="N5360" s="4" t="e">
        <f t="shared" si="1090"/>
        <v>#N/A</v>
      </c>
    </row>
    <row r="5361" spans="1:14">
      <c r="A5361">
        <f t="shared" si="1091"/>
        <v>0</v>
      </c>
      <c r="B5361">
        <f t="shared" si="1092"/>
        <v>0</v>
      </c>
      <c r="C5361">
        <f t="shared" si="1093"/>
        <v>0</v>
      </c>
      <c r="D5361">
        <f t="shared" si="1094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5"/>
        <v>0</v>
      </c>
      <c r="G5361">
        <f t="shared" si="1096"/>
        <v>0</v>
      </c>
      <c r="H5361">
        <f t="shared" si="1097"/>
        <v>0</v>
      </c>
      <c r="I5361">
        <f t="shared" si="1098"/>
        <v>0</v>
      </c>
      <c r="J5361">
        <f t="shared" si="1099"/>
        <v>0</v>
      </c>
      <c r="K5361" s="4" t="e">
        <f t="shared" si="1087"/>
        <v>#N/A</v>
      </c>
      <c r="L5361" t="e">
        <f t="shared" si="1088"/>
        <v>#N/A</v>
      </c>
      <c r="M5361" s="4" t="e">
        <f t="shared" si="1089"/>
        <v>#N/A</v>
      </c>
      <c r="N5361" s="4" t="e">
        <f t="shared" si="1090"/>
        <v>#N/A</v>
      </c>
    </row>
    <row r="5362" spans="1:14">
      <c r="A5362">
        <f t="shared" si="1091"/>
        <v>0</v>
      </c>
      <c r="B5362">
        <f t="shared" si="1092"/>
        <v>0</v>
      </c>
      <c r="C5362">
        <f t="shared" si="1093"/>
        <v>0</v>
      </c>
      <c r="D5362">
        <f t="shared" si="1094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5"/>
        <v>0</v>
      </c>
      <c r="G5362">
        <f t="shared" si="1096"/>
        <v>0</v>
      </c>
      <c r="H5362">
        <f t="shared" si="1097"/>
        <v>0</v>
      </c>
      <c r="I5362">
        <f t="shared" si="1098"/>
        <v>0</v>
      </c>
      <c r="J5362">
        <f t="shared" si="1099"/>
        <v>0</v>
      </c>
      <c r="K5362" s="4" t="e">
        <f t="shared" si="1087"/>
        <v>#N/A</v>
      </c>
      <c r="L5362" t="e">
        <f t="shared" si="1088"/>
        <v>#N/A</v>
      </c>
      <c r="M5362" s="4" t="e">
        <f t="shared" si="1089"/>
        <v>#N/A</v>
      </c>
      <c r="N5362" s="4" t="e">
        <f t="shared" si="1090"/>
        <v>#N/A</v>
      </c>
    </row>
    <row r="5363" spans="1:14">
      <c r="A5363">
        <f t="shared" si="1091"/>
        <v>0</v>
      </c>
      <c r="B5363">
        <f t="shared" si="1092"/>
        <v>0</v>
      </c>
      <c r="C5363">
        <f t="shared" si="1093"/>
        <v>0</v>
      </c>
      <c r="D5363">
        <f t="shared" si="1094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5"/>
        <v>0</v>
      </c>
      <c r="G5363">
        <f t="shared" si="1096"/>
        <v>0</v>
      </c>
      <c r="H5363">
        <f t="shared" si="1097"/>
        <v>0</v>
      </c>
      <c r="I5363">
        <f t="shared" si="1098"/>
        <v>0</v>
      </c>
      <c r="J5363">
        <f t="shared" si="1099"/>
        <v>0</v>
      </c>
      <c r="K5363" s="4" t="e">
        <f t="shared" si="1087"/>
        <v>#N/A</v>
      </c>
      <c r="L5363" t="e">
        <f t="shared" si="1088"/>
        <v>#N/A</v>
      </c>
      <c r="M5363" s="4" t="e">
        <f t="shared" si="1089"/>
        <v>#N/A</v>
      </c>
      <c r="N5363" s="4" t="e">
        <f t="shared" si="1090"/>
        <v>#N/A</v>
      </c>
    </row>
    <row r="5364" spans="1:14">
      <c r="A5364">
        <f t="shared" si="1091"/>
        <v>0</v>
      </c>
      <c r="B5364">
        <f t="shared" si="1092"/>
        <v>0</v>
      </c>
      <c r="C5364">
        <f t="shared" si="1093"/>
        <v>0</v>
      </c>
      <c r="D5364">
        <f t="shared" si="1094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5"/>
        <v>0</v>
      </c>
      <c r="G5364">
        <f t="shared" si="1096"/>
        <v>0</v>
      </c>
      <c r="H5364">
        <f t="shared" si="1097"/>
        <v>0</v>
      </c>
      <c r="I5364">
        <f t="shared" si="1098"/>
        <v>0</v>
      </c>
      <c r="J5364">
        <f t="shared" si="1099"/>
        <v>0</v>
      </c>
      <c r="K5364" s="4" t="e">
        <f t="shared" si="1087"/>
        <v>#N/A</v>
      </c>
      <c r="L5364" t="e">
        <f t="shared" si="1088"/>
        <v>#N/A</v>
      </c>
      <c r="M5364" s="4" t="e">
        <f t="shared" si="1089"/>
        <v>#N/A</v>
      </c>
      <c r="N5364" s="4" t="e">
        <f t="shared" si="1090"/>
        <v>#N/A</v>
      </c>
    </row>
    <row r="5365" spans="1:14">
      <c r="A5365">
        <f t="shared" si="1091"/>
        <v>0</v>
      </c>
      <c r="B5365">
        <f t="shared" si="1092"/>
        <v>0</v>
      </c>
      <c r="C5365">
        <f t="shared" si="1093"/>
        <v>0</v>
      </c>
      <c r="D5365">
        <f t="shared" si="1094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5"/>
        <v>0</v>
      </c>
      <c r="G5365">
        <f t="shared" si="1096"/>
        <v>0</v>
      </c>
      <c r="H5365">
        <f t="shared" si="1097"/>
        <v>0</v>
      </c>
      <c r="I5365">
        <f t="shared" si="1098"/>
        <v>0</v>
      </c>
      <c r="J5365">
        <f t="shared" si="1099"/>
        <v>0</v>
      </c>
      <c r="K5365" s="4" t="e">
        <f t="shared" si="1087"/>
        <v>#N/A</v>
      </c>
      <c r="L5365" t="e">
        <f t="shared" si="1088"/>
        <v>#N/A</v>
      </c>
      <c r="M5365" s="4" t="e">
        <f t="shared" si="1089"/>
        <v>#N/A</v>
      </c>
      <c r="N5365" s="4" t="e">
        <f t="shared" si="1090"/>
        <v>#N/A</v>
      </c>
    </row>
    <row r="5366" spans="1:14">
      <c r="A5366">
        <f t="shared" si="1091"/>
        <v>0</v>
      </c>
      <c r="B5366">
        <f t="shared" si="1092"/>
        <v>0</v>
      </c>
      <c r="C5366">
        <f t="shared" si="1093"/>
        <v>0</v>
      </c>
      <c r="D5366">
        <f t="shared" si="1094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5"/>
        <v>0</v>
      </c>
      <c r="G5366">
        <f t="shared" si="1096"/>
        <v>0</v>
      </c>
      <c r="H5366">
        <f t="shared" si="1097"/>
        <v>0</v>
      </c>
      <c r="I5366">
        <f t="shared" si="1098"/>
        <v>0</v>
      </c>
      <c r="J5366">
        <f t="shared" si="1099"/>
        <v>0</v>
      </c>
      <c r="K5366" s="4" t="e">
        <f t="shared" si="1087"/>
        <v>#N/A</v>
      </c>
      <c r="L5366" t="e">
        <f t="shared" si="1088"/>
        <v>#N/A</v>
      </c>
      <c r="M5366" s="4" t="e">
        <f t="shared" si="1089"/>
        <v>#N/A</v>
      </c>
      <c r="N5366" s="4" t="e">
        <f t="shared" si="1090"/>
        <v>#N/A</v>
      </c>
    </row>
    <row r="5367" spans="1:14">
      <c r="A5367">
        <f t="shared" si="1091"/>
        <v>0</v>
      </c>
      <c r="B5367">
        <f t="shared" si="1092"/>
        <v>0</v>
      </c>
      <c r="C5367">
        <f t="shared" si="1093"/>
        <v>0</v>
      </c>
      <c r="D5367">
        <f t="shared" si="1094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5"/>
        <v>0</v>
      </c>
      <c r="G5367">
        <f t="shared" si="1096"/>
        <v>0</v>
      </c>
      <c r="H5367">
        <f t="shared" si="1097"/>
        <v>0</v>
      </c>
      <c r="I5367">
        <f t="shared" si="1098"/>
        <v>0</v>
      </c>
      <c r="J5367">
        <f t="shared" si="1099"/>
        <v>0</v>
      </c>
      <c r="K5367" s="4" t="e">
        <f t="shared" si="1087"/>
        <v>#N/A</v>
      </c>
      <c r="L5367" t="e">
        <f t="shared" si="1088"/>
        <v>#N/A</v>
      </c>
      <c r="M5367" s="4" t="e">
        <f t="shared" si="1089"/>
        <v>#N/A</v>
      </c>
      <c r="N5367" s="4" t="e">
        <f t="shared" si="1090"/>
        <v>#N/A</v>
      </c>
    </row>
    <row r="5368" spans="1:14">
      <c r="A5368">
        <f t="shared" si="1091"/>
        <v>0</v>
      </c>
      <c r="B5368">
        <f t="shared" si="1092"/>
        <v>0</v>
      </c>
      <c r="C5368">
        <f t="shared" si="1093"/>
        <v>0</v>
      </c>
      <c r="D5368">
        <f t="shared" si="1094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5"/>
        <v>0</v>
      </c>
      <c r="G5368">
        <f t="shared" si="1096"/>
        <v>0</v>
      </c>
      <c r="H5368">
        <f t="shared" si="1097"/>
        <v>0</v>
      </c>
      <c r="I5368">
        <f t="shared" si="1098"/>
        <v>0</v>
      </c>
      <c r="J5368">
        <f t="shared" si="1099"/>
        <v>0</v>
      </c>
      <c r="K5368" s="4" t="e">
        <f t="shared" si="1087"/>
        <v>#N/A</v>
      </c>
      <c r="L5368" t="e">
        <f t="shared" si="1088"/>
        <v>#N/A</v>
      </c>
      <c r="M5368" s="4" t="e">
        <f t="shared" si="1089"/>
        <v>#N/A</v>
      </c>
      <c r="N5368" s="4" t="e">
        <f t="shared" si="1090"/>
        <v>#N/A</v>
      </c>
    </row>
    <row r="5369" spans="1:14">
      <c r="A5369">
        <f t="shared" si="1091"/>
        <v>0</v>
      </c>
      <c r="B5369">
        <f t="shared" si="1092"/>
        <v>0</v>
      </c>
      <c r="C5369">
        <f t="shared" si="1093"/>
        <v>0</v>
      </c>
      <c r="D5369">
        <f t="shared" si="1094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5"/>
        <v>0</v>
      </c>
      <c r="G5369">
        <f t="shared" si="1096"/>
        <v>0</v>
      </c>
      <c r="H5369">
        <f t="shared" si="1097"/>
        <v>0</v>
      </c>
      <c r="I5369">
        <f t="shared" si="1098"/>
        <v>0</v>
      </c>
      <c r="J5369">
        <f t="shared" si="1099"/>
        <v>0</v>
      </c>
      <c r="K5369" s="4" t="e">
        <f t="shared" si="1087"/>
        <v>#N/A</v>
      </c>
      <c r="L5369" t="e">
        <f t="shared" si="1088"/>
        <v>#N/A</v>
      </c>
      <c r="M5369" s="4" t="e">
        <f t="shared" si="1089"/>
        <v>#N/A</v>
      </c>
      <c r="N5369" s="4" t="e">
        <f t="shared" si="1090"/>
        <v>#N/A</v>
      </c>
    </row>
    <row r="5370" spans="1:14">
      <c r="A5370">
        <f t="shared" si="1091"/>
        <v>0</v>
      </c>
      <c r="B5370">
        <f t="shared" si="1092"/>
        <v>0</v>
      </c>
      <c r="C5370">
        <f t="shared" si="1093"/>
        <v>0</v>
      </c>
      <c r="D5370">
        <f t="shared" si="1094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5"/>
        <v>0</v>
      </c>
      <c r="G5370">
        <f t="shared" si="1096"/>
        <v>0</v>
      </c>
      <c r="H5370">
        <f t="shared" si="1097"/>
        <v>0</v>
      </c>
      <c r="I5370">
        <f t="shared" si="1098"/>
        <v>0</v>
      </c>
      <c r="J5370">
        <f t="shared" si="1099"/>
        <v>0</v>
      </c>
      <c r="K5370" s="4" t="e">
        <f t="shared" si="1087"/>
        <v>#N/A</v>
      </c>
      <c r="L5370" t="e">
        <f t="shared" si="1088"/>
        <v>#N/A</v>
      </c>
      <c r="M5370" s="4" t="e">
        <f t="shared" si="1089"/>
        <v>#N/A</v>
      </c>
      <c r="N5370" s="4" t="e">
        <f t="shared" si="1090"/>
        <v>#N/A</v>
      </c>
    </row>
    <row r="5371" spans="1:14">
      <c r="A5371">
        <f t="shared" si="1091"/>
        <v>0</v>
      </c>
      <c r="B5371">
        <f t="shared" si="1092"/>
        <v>0</v>
      </c>
      <c r="C5371">
        <f t="shared" si="1093"/>
        <v>0</v>
      </c>
      <c r="D5371">
        <f t="shared" si="1094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5"/>
        <v>0</v>
      </c>
      <c r="G5371">
        <f t="shared" si="1096"/>
        <v>0</v>
      </c>
      <c r="H5371">
        <f t="shared" si="1097"/>
        <v>0</v>
      </c>
      <c r="I5371">
        <f t="shared" si="1098"/>
        <v>0</v>
      </c>
      <c r="J5371">
        <f t="shared" si="1099"/>
        <v>0</v>
      </c>
      <c r="K5371" s="4" t="e">
        <f t="shared" si="1087"/>
        <v>#N/A</v>
      </c>
      <c r="L5371" t="e">
        <f t="shared" si="1088"/>
        <v>#N/A</v>
      </c>
      <c r="M5371" s="4" t="e">
        <f t="shared" si="1089"/>
        <v>#N/A</v>
      </c>
      <c r="N5371" s="4" t="e">
        <f t="shared" si="1090"/>
        <v>#N/A</v>
      </c>
    </row>
    <row r="5372" spans="1:14">
      <c r="A5372">
        <f t="shared" si="1091"/>
        <v>0</v>
      </c>
      <c r="B5372">
        <f t="shared" si="1092"/>
        <v>0</v>
      </c>
      <c r="C5372">
        <f t="shared" si="1093"/>
        <v>0</v>
      </c>
      <c r="D5372">
        <f t="shared" si="1094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5"/>
        <v>0</v>
      </c>
      <c r="G5372">
        <f t="shared" si="1096"/>
        <v>0</v>
      </c>
      <c r="H5372">
        <f t="shared" si="1097"/>
        <v>0</v>
      </c>
      <c r="I5372">
        <f t="shared" si="1098"/>
        <v>0</v>
      </c>
      <c r="J5372">
        <f t="shared" si="1099"/>
        <v>0</v>
      </c>
      <c r="K5372" s="4" t="e">
        <f t="shared" si="1087"/>
        <v>#N/A</v>
      </c>
      <c r="L5372" t="e">
        <f t="shared" si="1088"/>
        <v>#N/A</v>
      </c>
      <c r="M5372" s="4" t="e">
        <f t="shared" si="1089"/>
        <v>#N/A</v>
      </c>
      <c r="N5372" s="4" t="e">
        <f t="shared" si="1090"/>
        <v>#N/A</v>
      </c>
    </row>
    <row r="5373" spans="1:14">
      <c r="A5373">
        <f t="shared" si="1091"/>
        <v>0</v>
      </c>
      <c r="B5373">
        <f t="shared" si="1092"/>
        <v>0</v>
      </c>
      <c r="C5373">
        <f t="shared" si="1093"/>
        <v>0</v>
      </c>
      <c r="D5373">
        <f t="shared" si="1094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5"/>
        <v>0</v>
      </c>
      <c r="G5373">
        <f t="shared" si="1096"/>
        <v>0</v>
      </c>
      <c r="H5373">
        <f t="shared" si="1097"/>
        <v>0</v>
      </c>
      <c r="I5373">
        <f t="shared" si="1098"/>
        <v>0</v>
      </c>
      <c r="J5373">
        <f t="shared" si="1099"/>
        <v>0</v>
      </c>
      <c r="K5373" s="4" t="e">
        <f t="shared" ref="K5373:K5436" si="1100">IF(LEFT(B5373,3)="DBM",0,VLOOKUP(E5373,tabela,2,FALSE))</f>
        <v>#N/A</v>
      </c>
      <c r="L5373" t="e">
        <f t="shared" ref="L5373:L5436" si="1101">VLOOKUP(E5373,tabela,3,FALSE)</f>
        <v>#N/A</v>
      </c>
      <c r="M5373" s="4" t="e">
        <f t="shared" ref="M5373:M5436" si="1102">IF(E5373="Dynamic Click",J5373*K5373,K5373*$I5373/1000)</f>
        <v>#N/A</v>
      </c>
      <c r="N5373" s="4" t="e">
        <f t="shared" ref="N5373:N5436" si="1103">IF(E5373="Dynamic Click",J5373*L5373,L5373*$I5373/1000)</f>
        <v>#N/A</v>
      </c>
    </row>
    <row r="5374" spans="1:14">
      <c r="A5374">
        <f t="shared" si="1091"/>
        <v>0</v>
      </c>
      <c r="B5374">
        <f t="shared" si="1092"/>
        <v>0</v>
      </c>
      <c r="C5374">
        <f t="shared" si="1093"/>
        <v>0</v>
      </c>
      <c r="D5374">
        <f t="shared" si="1094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5"/>
        <v>0</v>
      </c>
      <c r="G5374">
        <f t="shared" si="1096"/>
        <v>0</v>
      </c>
      <c r="H5374">
        <f t="shared" si="1097"/>
        <v>0</v>
      </c>
      <c r="I5374">
        <f t="shared" si="1098"/>
        <v>0</v>
      </c>
      <c r="J5374">
        <f t="shared" si="1099"/>
        <v>0</v>
      </c>
      <c r="K5374" s="4" t="e">
        <f t="shared" si="1100"/>
        <v>#N/A</v>
      </c>
      <c r="L5374" t="e">
        <f t="shared" si="1101"/>
        <v>#N/A</v>
      </c>
      <c r="M5374" s="4" t="e">
        <f t="shared" si="1102"/>
        <v>#N/A</v>
      </c>
      <c r="N5374" s="4" t="e">
        <f t="shared" si="1103"/>
        <v>#N/A</v>
      </c>
    </row>
    <row r="5375" spans="1:14">
      <c r="A5375">
        <f t="shared" si="1091"/>
        <v>0</v>
      </c>
      <c r="B5375">
        <f t="shared" si="1092"/>
        <v>0</v>
      </c>
      <c r="C5375">
        <f t="shared" si="1093"/>
        <v>0</v>
      </c>
      <c r="D5375">
        <f t="shared" si="1094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5"/>
        <v>0</v>
      </c>
      <c r="G5375">
        <f t="shared" si="1096"/>
        <v>0</v>
      </c>
      <c r="H5375">
        <f t="shared" si="1097"/>
        <v>0</v>
      </c>
      <c r="I5375">
        <f t="shared" si="1098"/>
        <v>0</v>
      </c>
      <c r="J5375">
        <f t="shared" si="1099"/>
        <v>0</v>
      </c>
      <c r="K5375" s="4" t="e">
        <f t="shared" si="1100"/>
        <v>#N/A</v>
      </c>
      <c r="L5375" t="e">
        <f t="shared" si="1101"/>
        <v>#N/A</v>
      </c>
      <c r="M5375" s="4" t="e">
        <f t="shared" si="1102"/>
        <v>#N/A</v>
      </c>
      <c r="N5375" s="4" t="e">
        <f t="shared" si="1103"/>
        <v>#N/A</v>
      </c>
    </row>
    <row r="5376" spans="1:14">
      <c r="A5376">
        <f t="shared" si="1091"/>
        <v>0</v>
      </c>
      <c r="B5376">
        <f t="shared" si="1092"/>
        <v>0</v>
      </c>
      <c r="C5376">
        <f t="shared" si="1093"/>
        <v>0</v>
      </c>
      <c r="D5376">
        <f t="shared" si="1094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5"/>
        <v>0</v>
      </c>
      <c r="G5376">
        <f t="shared" si="1096"/>
        <v>0</v>
      </c>
      <c r="H5376">
        <f t="shared" si="1097"/>
        <v>0</v>
      </c>
      <c r="I5376">
        <f t="shared" si="1098"/>
        <v>0</v>
      </c>
      <c r="J5376">
        <f t="shared" si="1099"/>
        <v>0</v>
      </c>
      <c r="K5376" s="4" t="e">
        <f t="shared" si="1100"/>
        <v>#N/A</v>
      </c>
      <c r="L5376" t="e">
        <f t="shared" si="1101"/>
        <v>#N/A</v>
      </c>
      <c r="M5376" s="4" t="e">
        <f t="shared" si="1102"/>
        <v>#N/A</v>
      </c>
      <c r="N5376" s="4" t="e">
        <f t="shared" si="1103"/>
        <v>#N/A</v>
      </c>
    </row>
    <row r="5377" spans="1:14">
      <c r="A5377">
        <f t="shared" si="1091"/>
        <v>0</v>
      </c>
      <c r="B5377">
        <f t="shared" si="1092"/>
        <v>0</v>
      </c>
      <c r="C5377">
        <f t="shared" si="1093"/>
        <v>0</v>
      </c>
      <c r="D5377">
        <f t="shared" si="1094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5"/>
        <v>0</v>
      </c>
      <c r="G5377">
        <f t="shared" si="1096"/>
        <v>0</v>
      </c>
      <c r="H5377">
        <f t="shared" si="1097"/>
        <v>0</v>
      </c>
      <c r="I5377">
        <f t="shared" si="1098"/>
        <v>0</v>
      </c>
      <c r="J5377">
        <f t="shared" si="1099"/>
        <v>0</v>
      </c>
      <c r="K5377" s="4" t="e">
        <f t="shared" si="1100"/>
        <v>#N/A</v>
      </c>
      <c r="L5377" t="e">
        <f t="shared" si="1101"/>
        <v>#N/A</v>
      </c>
      <c r="M5377" s="4" t="e">
        <f t="shared" si="1102"/>
        <v>#N/A</v>
      </c>
      <c r="N5377" s="4" t="e">
        <f t="shared" si="1103"/>
        <v>#N/A</v>
      </c>
    </row>
    <row r="5378" spans="1:14">
      <c r="A5378">
        <f t="shared" ref="A5378:A5441" si="1104">bd_campaign</f>
        <v>0</v>
      </c>
      <c r="B5378">
        <f t="shared" ref="B5378:B5441" si="1105">bd_site</f>
        <v>0</v>
      </c>
      <c r="C5378">
        <f t="shared" ref="C5378:C5441" si="1106">bd_placement</f>
        <v>0</v>
      </c>
      <c r="D5378">
        <f t="shared" ref="D5378:D5441" si="1107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8">bd_ad</f>
        <v>0</v>
      </c>
      <c r="G5378">
        <f t="shared" ref="G5378:G5441" si="1109">bd_adid</f>
        <v>0</v>
      </c>
      <c r="H5378">
        <f t="shared" ref="H5378:H5441" si="1110">bd_creativetype</f>
        <v>0</v>
      </c>
      <c r="I5378">
        <f t="shared" ref="I5378:I5441" si="1111">bd_impression</f>
        <v>0</v>
      </c>
      <c r="J5378">
        <f t="shared" ref="J5378:J5441" si="1112">bd_clicks</f>
        <v>0</v>
      </c>
      <c r="K5378" s="4" t="e">
        <f t="shared" si="1100"/>
        <v>#N/A</v>
      </c>
      <c r="L5378" t="e">
        <f t="shared" si="1101"/>
        <v>#N/A</v>
      </c>
      <c r="M5378" s="4" t="e">
        <f t="shared" si="1102"/>
        <v>#N/A</v>
      </c>
      <c r="N5378" s="4" t="e">
        <f t="shared" si="1103"/>
        <v>#N/A</v>
      </c>
    </row>
    <row r="5379" spans="1:14">
      <c r="A5379">
        <f t="shared" si="1104"/>
        <v>0</v>
      </c>
      <c r="B5379">
        <f t="shared" si="1105"/>
        <v>0</v>
      </c>
      <c r="C5379">
        <f t="shared" si="1106"/>
        <v>0</v>
      </c>
      <c r="D5379">
        <f t="shared" si="1107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8"/>
        <v>0</v>
      </c>
      <c r="G5379">
        <f t="shared" si="1109"/>
        <v>0</v>
      </c>
      <c r="H5379">
        <f t="shared" si="1110"/>
        <v>0</v>
      </c>
      <c r="I5379">
        <f t="shared" si="1111"/>
        <v>0</v>
      </c>
      <c r="J5379">
        <f t="shared" si="1112"/>
        <v>0</v>
      </c>
      <c r="K5379" s="4" t="e">
        <f t="shared" si="1100"/>
        <v>#N/A</v>
      </c>
      <c r="L5379" t="e">
        <f t="shared" si="1101"/>
        <v>#N/A</v>
      </c>
      <c r="M5379" s="4" t="e">
        <f t="shared" si="1102"/>
        <v>#N/A</v>
      </c>
      <c r="N5379" s="4" t="e">
        <f t="shared" si="1103"/>
        <v>#N/A</v>
      </c>
    </row>
    <row r="5380" spans="1:14">
      <c r="A5380">
        <f t="shared" si="1104"/>
        <v>0</v>
      </c>
      <c r="B5380">
        <f t="shared" si="1105"/>
        <v>0</v>
      </c>
      <c r="C5380">
        <f t="shared" si="1106"/>
        <v>0</v>
      </c>
      <c r="D5380">
        <f t="shared" si="1107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8"/>
        <v>0</v>
      </c>
      <c r="G5380">
        <f t="shared" si="1109"/>
        <v>0</v>
      </c>
      <c r="H5380">
        <f t="shared" si="1110"/>
        <v>0</v>
      </c>
      <c r="I5380">
        <f t="shared" si="1111"/>
        <v>0</v>
      </c>
      <c r="J5380">
        <f t="shared" si="1112"/>
        <v>0</v>
      </c>
      <c r="K5380" s="4" t="e">
        <f t="shared" si="1100"/>
        <v>#N/A</v>
      </c>
      <c r="L5380" t="e">
        <f t="shared" si="1101"/>
        <v>#N/A</v>
      </c>
      <c r="M5380" s="4" t="e">
        <f t="shared" si="1102"/>
        <v>#N/A</v>
      </c>
      <c r="N5380" s="4" t="e">
        <f t="shared" si="1103"/>
        <v>#N/A</v>
      </c>
    </row>
    <row r="5381" spans="1:14">
      <c r="A5381">
        <f t="shared" si="1104"/>
        <v>0</v>
      </c>
      <c r="B5381">
        <f t="shared" si="1105"/>
        <v>0</v>
      </c>
      <c r="C5381">
        <f t="shared" si="1106"/>
        <v>0</v>
      </c>
      <c r="D5381">
        <f t="shared" si="1107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8"/>
        <v>0</v>
      </c>
      <c r="G5381">
        <f t="shared" si="1109"/>
        <v>0</v>
      </c>
      <c r="H5381">
        <f t="shared" si="1110"/>
        <v>0</v>
      </c>
      <c r="I5381">
        <f t="shared" si="1111"/>
        <v>0</v>
      </c>
      <c r="J5381">
        <f t="shared" si="1112"/>
        <v>0</v>
      </c>
      <c r="K5381" s="4" t="e">
        <f t="shared" si="1100"/>
        <v>#N/A</v>
      </c>
      <c r="L5381" t="e">
        <f t="shared" si="1101"/>
        <v>#N/A</v>
      </c>
      <c r="M5381" s="4" t="e">
        <f t="shared" si="1102"/>
        <v>#N/A</v>
      </c>
      <c r="N5381" s="4" t="e">
        <f t="shared" si="1103"/>
        <v>#N/A</v>
      </c>
    </row>
    <row r="5382" spans="1:14">
      <c r="A5382">
        <f t="shared" si="1104"/>
        <v>0</v>
      </c>
      <c r="B5382">
        <f t="shared" si="1105"/>
        <v>0</v>
      </c>
      <c r="C5382">
        <f t="shared" si="1106"/>
        <v>0</v>
      </c>
      <c r="D5382">
        <f t="shared" si="1107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8"/>
        <v>0</v>
      </c>
      <c r="G5382">
        <f t="shared" si="1109"/>
        <v>0</v>
      </c>
      <c r="H5382">
        <f t="shared" si="1110"/>
        <v>0</v>
      </c>
      <c r="I5382">
        <f t="shared" si="1111"/>
        <v>0</v>
      </c>
      <c r="J5382">
        <f t="shared" si="1112"/>
        <v>0</v>
      </c>
      <c r="K5382" s="4" t="e">
        <f t="shared" si="1100"/>
        <v>#N/A</v>
      </c>
      <c r="L5382" t="e">
        <f t="shared" si="1101"/>
        <v>#N/A</v>
      </c>
      <c r="M5382" s="4" t="e">
        <f t="shared" si="1102"/>
        <v>#N/A</v>
      </c>
      <c r="N5382" s="4" t="e">
        <f t="shared" si="1103"/>
        <v>#N/A</v>
      </c>
    </row>
    <row r="5383" spans="1:14">
      <c r="A5383">
        <f t="shared" si="1104"/>
        <v>0</v>
      </c>
      <c r="B5383">
        <f t="shared" si="1105"/>
        <v>0</v>
      </c>
      <c r="C5383">
        <f t="shared" si="1106"/>
        <v>0</v>
      </c>
      <c r="D5383">
        <f t="shared" si="1107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8"/>
        <v>0</v>
      </c>
      <c r="G5383">
        <f t="shared" si="1109"/>
        <v>0</v>
      </c>
      <c r="H5383">
        <f t="shared" si="1110"/>
        <v>0</v>
      </c>
      <c r="I5383">
        <f t="shared" si="1111"/>
        <v>0</v>
      </c>
      <c r="J5383">
        <f t="shared" si="1112"/>
        <v>0</v>
      </c>
      <c r="K5383" s="4" t="e">
        <f t="shared" si="1100"/>
        <v>#N/A</v>
      </c>
      <c r="L5383" t="e">
        <f t="shared" si="1101"/>
        <v>#N/A</v>
      </c>
      <c r="M5383" s="4" t="e">
        <f t="shared" si="1102"/>
        <v>#N/A</v>
      </c>
      <c r="N5383" s="4" t="e">
        <f t="shared" si="1103"/>
        <v>#N/A</v>
      </c>
    </row>
    <row r="5384" spans="1:14">
      <c r="A5384">
        <f t="shared" si="1104"/>
        <v>0</v>
      </c>
      <c r="B5384">
        <f t="shared" si="1105"/>
        <v>0</v>
      </c>
      <c r="C5384">
        <f t="shared" si="1106"/>
        <v>0</v>
      </c>
      <c r="D5384">
        <f t="shared" si="1107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8"/>
        <v>0</v>
      </c>
      <c r="G5384">
        <f t="shared" si="1109"/>
        <v>0</v>
      </c>
      <c r="H5384">
        <f t="shared" si="1110"/>
        <v>0</v>
      </c>
      <c r="I5384">
        <f t="shared" si="1111"/>
        <v>0</v>
      </c>
      <c r="J5384">
        <f t="shared" si="1112"/>
        <v>0</v>
      </c>
      <c r="K5384" s="4" t="e">
        <f t="shared" si="1100"/>
        <v>#N/A</v>
      </c>
      <c r="L5384" t="e">
        <f t="shared" si="1101"/>
        <v>#N/A</v>
      </c>
      <c r="M5384" s="4" t="e">
        <f t="shared" si="1102"/>
        <v>#N/A</v>
      </c>
      <c r="N5384" s="4" t="e">
        <f t="shared" si="1103"/>
        <v>#N/A</v>
      </c>
    </row>
    <row r="5385" spans="1:14">
      <c r="A5385">
        <f t="shared" si="1104"/>
        <v>0</v>
      </c>
      <c r="B5385">
        <f t="shared" si="1105"/>
        <v>0</v>
      </c>
      <c r="C5385">
        <f t="shared" si="1106"/>
        <v>0</v>
      </c>
      <c r="D5385">
        <f t="shared" si="1107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8"/>
        <v>0</v>
      </c>
      <c r="G5385">
        <f t="shared" si="1109"/>
        <v>0</v>
      </c>
      <c r="H5385">
        <f t="shared" si="1110"/>
        <v>0</v>
      </c>
      <c r="I5385">
        <f t="shared" si="1111"/>
        <v>0</v>
      </c>
      <c r="J5385">
        <f t="shared" si="1112"/>
        <v>0</v>
      </c>
      <c r="K5385" s="4" t="e">
        <f t="shared" si="1100"/>
        <v>#N/A</v>
      </c>
      <c r="L5385" t="e">
        <f t="shared" si="1101"/>
        <v>#N/A</v>
      </c>
      <c r="M5385" s="4" t="e">
        <f t="shared" si="1102"/>
        <v>#N/A</v>
      </c>
      <c r="N5385" s="4" t="e">
        <f t="shared" si="1103"/>
        <v>#N/A</v>
      </c>
    </row>
    <row r="5386" spans="1:14">
      <c r="A5386">
        <f t="shared" si="1104"/>
        <v>0</v>
      </c>
      <c r="B5386">
        <f t="shared" si="1105"/>
        <v>0</v>
      </c>
      <c r="C5386">
        <f t="shared" si="1106"/>
        <v>0</v>
      </c>
      <c r="D5386">
        <f t="shared" si="1107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8"/>
        <v>0</v>
      </c>
      <c r="G5386">
        <f t="shared" si="1109"/>
        <v>0</v>
      </c>
      <c r="H5386">
        <f t="shared" si="1110"/>
        <v>0</v>
      </c>
      <c r="I5386">
        <f t="shared" si="1111"/>
        <v>0</v>
      </c>
      <c r="J5386">
        <f t="shared" si="1112"/>
        <v>0</v>
      </c>
      <c r="K5386" s="4" t="e">
        <f t="shared" si="1100"/>
        <v>#N/A</v>
      </c>
      <c r="L5386" t="e">
        <f t="shared" si="1101"/>
        <v>#N/A</v>
      </c>
      <c r="M5386" s="4" t="e">
        <f t="shared" si="1102"/>
        <v>#N/A</v>
      </c>
      <c r="N5386" s="4" t="e">
        <f t="shared" si="1103"/>
        <v>#N/A</v>
      </c>
    </row>
    <row r="5387" spans="1:14">
      <c r="A5387">
        <f t="shared" si="1104"/>
        <v>0</v>
      </c>
      <c r="B5387">
        <f t="shared" si="1105"/>
        <v>0</v>
      </c>
      <c r="C5387">
        <f t="shared" si="1106"/>
        <v>0</v>
      </c>
      <c r="D5387">
        <f t="shared" si="1107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8"/>
        <v>0</v>
      </c>
      <c r="G5387">
        <f t="shared" si="1109"/>
        <v>0</v>
      </c>
      <c r="H5387">
        <f t="shared" si="1110"/>
        <v>0</v>
      </c>
      <c r="I5387">
        <f t="shared" si="1111"/>
        <v>0</v>
      </c>
      <c r="J5387">
        <f t="shared" si="1112"/>
        <v>0</v>
      </c>
      <c r="K5387" s="4" t="e">
        <f t="shared" si="1100"/>
        <v>#N/A</v>
      </c>
      <c r="L5387" t="e">
        <f t="shared" si="1101"/>
        <v>#N/A</v>
      </c>
      <c r="M5387" s="4" t="e">
        <f t="shared" si="1102"/>
        <v>#N/A</v>
      </c>
      <c r="N5387" s="4" t="e">
        <f t="shared" si="1103"/>
        <v>#N/A</v>
      </c>
    </row>
    <row r="5388" spans="1:14">
      <c r="A5388">
        <f t="shared" si="1104"/>
        <v>0</v>
      </c>
      <c r="B5388">
        <f t="shared" si="1105"/>
        <v>0</v>
      </c>
      <c r="C5388">
        <f t="shared" si="1106"/>
        <v>0</v>
      </c>
      <c r="D5388">
        <f t="shared" si="1107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8"/>
        <v>0</v>
      </c>
      <c r="G5388">
        <f t="shared" si="1109"/>
        <v>0</v>
      </c>
      <c r="H5388">
        <f t="shared" si="1110"/>
        <v>0</v>
      </c>
      <c r="I5388">
        <f t="shared" si="1111"/>
        <v>0</v>
      </c>
      <c r="J5388">
        <f t="shared" si="1112"/>
        <v>0</v>
      </c>
      <c r="K5388" s="4" t="e">
        <f t="shared" si="1100"/>
        <v>#N/A</v>
      </c>
      <c r="L5388" t="e">
        <f t="shared" si="1101"/>
        <v>#N/A</v>
      </c>
      <c r="M5388" s="4" t="e">
        <f t="shared" si="1102"/>
        <v>#N/A</v>
      </c>
      <c r="N5388" s="4" t="e">
        <f t="shared" si="1103"/>
        <v>#N/A</v>
      </c>
    </row>
    <row r="5389" spans="1:14">
      <c r="A5389">
        <f t="shared" si="1104"/>
        <v>0</v>
      </c>
      <c r="B5389">
        <f t="shared" si="1105"/>
        <v>0</v>
      </c>
      <c r="C5389">
        <f t="shared" si="1106"/>
        <v>0</v>
      </c>
      <c r="D5389">
        <f t="shared" si="1107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8"/>
        <v>0</v>
      </c>
      <c r="G5389">
        <f t="shared" si="1109"/>
        <v>0</v>
      </c>
      <c r="H5389">
        <f t="shared" si="1110"/>
        <v>0</v>
      </c>
      <c r="I5389">
        <f t="shared" si="1111"/>
        <v>0</v>
      </c>
      <c r="J5389">
        <f t="shared" si="1112"/>
        <v>0</v>
      </c>
      <c r="K5389" s="4" t="e">
        <f t="shared" si="1100"/>
        <v>#N/A</v>
      </c>
      <c r="L5389" t="e">
        <f t="shared" si="1101"/>
        <v>#N/A</v>
      </c>
      <c r="M5389" s="4" t="e">
        <f t="shared" si="1102"/>
        <v>#N/A</v>
      </c>
      <c r="N5389" s="4" t="e">
        <f t="shared" si="1103"/>
        <v>#N/A</v>
      </c>
    </row>
    <row r="5390" spans="1:14">
      <c r="A5390">
        <f t="shared" si="1104"/>
        <v>0</v>
      </c>
      <c r="B5390">
        <f t="shared" si="1105"/>
        <v>0</v>
      </c>
      <c r="C5390">
        <f t="shared" si="1106"/>
        <v>0</v>
      </c>
      <c r="D5390">
        <f t="shared" si="1107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8"/>
        <v>0</v>
      </c>
      <c r="G5390">
        <f t="shared" si="1109"/>
        <v>0</v>
      </c>
      <c r="H5390">
        <f t="shared" si="1110"/>
        <v>0</v>
      </c>
      <c r="I5390">
        <f t="shared" si="1111"/>
        <v>0</v>
      </c>
      <c r="J5390">
        <f t="shared" si="1112"/>
        <v>0</v>
      </c>
      <c r="K5390" s="4" t="e">
        <f t="shared" si="1100"/>
        <v>#N/A</v>
      </c>
      <c r="L5390" t="e">
        <f t="shared" si="1101"/>
        <v>#N/A</v>
      </c>
      <c r="M5390" s="4" t="e">
        <f t="shared" si="1102"/>
        <v>#N/A</v>
      </c>
      <c r="N5390" s="4" t="e">
        <f t="shared" si="1103"/>
        <v>#N/A</v>
      </c>
    </row>
    <row r="5391" spans="1:14">
      <c r="A5391">
        <f t="shared" si="1104"/>
        <v>0</v>
      </c>
      <c r="B5391">
        <f t="shared" si="1105"/>
        <v>0</v>
      </c>
      <c r="C5391">
        <f t="shared" si="1106"/>
        <v>0</v>
      </c>
      <c r="D5391">
        <f t="shared" si="1107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8"/>
        <v>0</v>
      </c>
      <c r="G5391">
        <f t="shared" si="1109"/>
        <v>0</v>
      </c>
      <c r="H5391">
        <f t="shared" si="1110"/>
        <v>0</v>
      </c>
      <c r="I5391">
        <f t="shared" si="1111"/>
        <v>0</v>
      </c>
      <c r="J5391">
        <f t="shared" si="1112"/>
        <v>0</v>
      </c>
      <c r="K5391" s="4" t="e">
        <f t="shared" si="1100"/>
        <v>#N/A</v>
      </c>
      <c r="L5391" t="e">
        <f t="shared" si="1101"/>
        <v>#N/A</v>
      </c>
      <c r="M5391" s="4" t="e">
        <f t="shared" si="1102"/>
        <v>#N/A</v>
      </c>
      <c r="N5391" s="4" t="e">
        <f t="shared" si="1103"/>
        <v>#N/A</v>
      </c>
    </row>
    <row r="5392" spans="1:14">
      <c r="A5392">
        <f t="shared" si="1104"/>
        <v>0</v>
      </c>
      <c r="B5392">
        <f t="shared" si="1105"/>
        <v>0</v>
      </c>
      <c r="C5392">
        <f t="shared" si="1106"/>
        <v>0</v>
      </c>
      <c r="D5392">
        <f t="shared" si="1107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8"/>
        <v>0</v>
      </c>
      <c r="G5392">
        <f t="shared" si="1109"/>
        <v>0</v>
      </c>
      <c r="H5392">
        <f t="shared" si="1110"/>
        <v>0</v>
      </c>
      <c r="I5392">
        <f t="shared" si="1111"/>
        <v>0</v>
      </c>
      <c r="J5392">
        <f t="shared" si="1112"/>
        <v>0</v>
      </c>
      <c r="K5392" s="4" t="e">
        <f t="shared" si="1100"/>
        <v>#N/A</v>
      </c>
      <c r="L5392" t="e">
        <f t="shared" si="1101"/>
        <v>#N/A</v>
      </c>
      <c r="M5392" s="4" t="e">
        <f t="shared" si="1102"/>
        <v>#N/A</v>
      </c>
      <c r="N5392" s="4" t="e">
        <f t="shared" si="1103"/>
        <v>#N/A</v>
      </c>
    </row>
    <row r="5393" spans="1:14">
      <c r="A5393">
        <f t="shared" si="1104"/>
        <v>0</v>
      </c>
      <c r="B5393">
        <f t="shared" si="1105"/>
        <v>0</v>
      </c>
      <c r="C5393">
        <f t="shared" si="1106"/>
        <v>0</v>
      </c>
      <c r="D5393">
        <f t="shared" si="1107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8"/>
        <v>0</v>
      </c>
      <c r="G5393">
        <f t="shared" si="1109"/>
        <v>0</v>
      </c>
      <c r="H5393">
        <f t="shared" si="1110"/>
        <v>0</v>
      </c>
      <c r="I5393">
        <f t="shared" si="1111"/>
        <v>0</v>
      </c>
      <c r="J5393">
        <f t="shared" si="1112"/>
        <v>0</v>
      </c>
      <c r="K5393" s="4" t="e">
        <f t="shared" si="1100"/>
        <v>#N/A</v>
      </c>
      <c r="L5393" t="e">
        <f t="shared" si="1101"/>
        <v>#N/A</v>
      </c>
      <c r="M5393" s="4" t="e">
        <f t="shared" si="1102"/>
        <v>#N/A</v>
      </c>
      <c r="N5393" s="4" t="e">
        <f t="shared" si="1103"/>
        <v>#N/A</v>
      </c>
    </row>
    <row r="5394" spans="1:14">
      <c r="A5394">
        <f t="shared" si="1104"/>
        <v>0</v>
      </c>
      <c r="B5394">
        <f t="shared" si="1105"/>
        <v>0</v>
      </c>
      <c r="C5394">
        <f t="shared" si="1106"/>
        <v>0</v>
      </c>
      <c r="D5394">
        <f t="shared" si="1107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8"/>
        <v>0</v>
      </c>
      <c r="G5394">
        <f t="shared" si="1109"/>
        <v>0</v>
      </c>
      <c r="H5394">
        <f t="shared" si="1110"/>
        <v>0</v>
      </c>
      <c r="I5394">
        <f t="shared" si="1111"/>
        <v>0</v>
      </c>
      <c r="J5394">
        <f t="shared" si="1112"/>
        <v>0</v>
      </c>
      <c r="K5394" s="4" t="e">
        <f t="shared" si="1100"/>
        <v>#N/A</v>
      </c>
      <c r="L5394" t="e">
        <f t="shared" si="1101"/>
        <v>#N/A</v>
      </c>
      <c r="M5394" s="4" t="e">
        <f t="shared" si="1102"/>
        <v>#N/A</v>
      </c>
      <c r="N5394" s="4" t="e">
        <f t="shared" si="1103"/>
        <v>#N/A</v>
      </c>
    </row>
    <row r="5395" spans="1:14">
      <c r="A5395">
        <f t="shared" si="1104"/>
        <v>0</v>
      </c>
      <c r="B5395">
        <f t="shared" si="1105"/>
        <v>0</v>
      </c>
      <c r="C5395">
        <f t="shared" si="1106"/>
        <v>0</v>
      </c>
      <c r="D5395">
        <f t="shared" si="1107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8"/>
        <v>0</v>
      </c>
      <c r="G5395">
        <f t="shared" si="1109"/>
        <v>0</v>
      </c>
      <c r="H5395">
        <f t="shared" si="1110"/>
        <v>0</v>
      </c>
      <c r="I5395">
        <f t="shared" si="1111"/>
        <v>0</v>
      </c>
      <c r="J5395">
        <f t="shared" si="1112"/>
        <v>0</v>
      </c>
      <c r="K5395" s="4" t="e">
        <f t="shared" si="1100"/>
        <v>#N/A</v>
      </c>
      <c r="L5395" t="e">
        <f t="shared" si="1101"/>
        <v>#N/A</v>
      </c>
      <c r="M5395" s="4" t="e">
        <f t="shared" si="1102"/>
        <v>#N/A</v>
      </c>
      <c r="N5395" s="4" t="e">
        <f t="shared" si="1103"/>
        <v>#N/A</v>
      </c>
    </row>
    <row r="5396" spans="1:14">
      <c r="A5396">
        <f t="shared" si="1104"/>
        <v>0</v>
      </c>
      <c r="B5396">
        <f t="shared" si="1105"/>
        <v>0</v>
      </c>
      <c r="C5396">
        <f t="shared" si="1106"/>
        <v>0</v>
      </c>
      <c r="D5396">
        <f t="shared" si="1107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8"/>
        <v>0</v>
      </c>
      <c r="G5396">
        <f t="shared" si="1109"/>
        <v>0</v>
      </c>
      <c r="H5396">
        <f t="shared" si="1110"/>
        <v>0</v>
      </c>
      <c r="I5396">
        <f t="shared" si="1111"/>
        <v>0</v>
      </c>
      <c r="J5396">
        <f t="shared" si="1112"/>
        <v>0</v>
      </c>
      <c r="K5396" s="4" t="e">
        <f t="shared" si="1100"/>
        <v>#N/A</v>
      </c>
      <c r="L5396" t="e">
        <f t="shared" si="1101"/>
        <v>#N/A</v>
      </c>
      <c r="M5396" s="4" t="e">
        <f t="shared" si="1102"/>
        <v>#N/A</v>
      </c>
      <c r="N5396" s="4" t="e">
        <f t="shared" si="1103"/>
        <v>#N/A</v>
      </c>
    </row>
    <row r="5397" spans="1:14">
      <c r="A5397">
        <f t="shared" si="1104"/>
        <v>0</v>
      </c>
      <c r="B5397">
        <f t="shared" si="1105"/>
        <v>0</v>
      </c>
      <c r="C5397">
        <f t="shared" si="1106"/>
        <v>0</v>
      </c>
      <c r="D5397">
        <f t="shared" si="1107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8"/>
        <v>0</v>
      </c>
      <c r="G5397">
        <f t="shared" si="1109"/>
        <v>0</v>
      </c>
      <c r="H5397">
        <f t="shared" si="1110"/>
        <v>0</v>
      </c>
      <c r="I5397">
        <f t="shared" si="1111"/>
        <v>0</v>
      </c>
      <c r="J5397">
        <f t="shared" si="1112"/>
        <v>0</v>
      </c>
      <c r="K5397" s="4" t="e">
        <f t="shared" si="1100"/>
        <v>#N/A</v>
      </c>
      <c r="L5397" t="e">
        <f t="shared" si="1101"/>
        <v>#N/A</v>
      </c>
      <c r="M5397" s="4" t="e">
        <f t="shared" si="1102"/>
        <v>#N/A</v>
      </c>
      <c r="N5397" s="4" t="e">
        <f t="shared" si="1103"/>
        <v>#N/A</v>
      </c>
    </row>
    <row r="5398" spans="1:14">
      <c r="A5398">
        <f t="shared" si="1104"/>
        <v>0</v>
      </c>
      <c r="B5398">
        <f t="shared" si="1105"/>
        <v>0</v>
      </c>
      <c r="C5398">
        <f t="shared" si="1106"/>
        <v>0</v>
      </c>
      <c r="D5398">
        <f t="shared" si="1107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8"/>
        <v>0</v>
      </c>
      <c r="G5398">
        <f t="shared" si="1109"/>
        <v>0</v>
      </c>
      <c r="H5398">
        <f t="shared" si="1110"/>
        <v>0</v>
      </c>
      <c r="I5398">
        <f t="shared" si="1111"/>
        <v>0</v>
      </c>
      <c r="J5398">
        <f t="shared" si="1112"/>
        <v>0</v>
      </c>
      <c r="K5398" s="4" t="e">
        <f t="shared" si="1100"/>
        <v>#N/A</v>
      </c>
      <c r="L5398" t="e">
        <f t="shared" si="1101"/>
        <v>#N/A</v>
      </c>
      <c r="M5398" s="4" t="e">
        <f t="shared" si="1102"/>
        <v>#N/A</v>
      </c>
      <c r="N5398" s="4" t="e">
        <f t="shared" si="1103"/>
        <v>#N/A</v>
      </c>
    </row>
    <row r="5399" spans="1:14">
      <c r="A5399">
        <f t="shared" si="1104"/>
        <v>0</v>
      </c>
      <c r="B5399">
        <f t="shared" si="1105"/>
        <v>0</v>
      </c>
      <c r="C5399">
        <f t="shared" si="1106"/>
        <v>0</v>
      </c>
      <c r="D5399">
        <f t="shared" si="1107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8"/>
        <v>0</v>
      </c>
      <c r="G5399">
        <f t="shared" si="1109"/>
        <v>0</v>
      </c>
      <c r="H5399">
        <f t="shared" si="1110"/>
        <v>0</v>
      </c>
      <c r="I5399">
        <f t="shared" si="1111"/>
        <v>0</v>
      </c>
      <c r="J5399">
        <f t="shared" si="1112"/>
        <v>0</v>
      </c>
      <c r="K5399" s="4" t="e">
        <f t="shared" si="1100"/>
        <v>#N/A</v>
      </c>
      <c r="L5399" t="e">
        <f t="shared" si="1101"/>
        <v>#N/A</v>
      </c>
      <c r="M5399" s="4" t="e">
        <f t="shared" si="1102"/>
        <v>#N/A</v>
      </c>
      <c r="N5399" s="4" t="e">
        <f t="shared" si="1103"/>
        <v>#N/A</v>
      </c>
    </row>
    <row r="5400" spans="1:14">
      <c r="A5400">
        <f t="shared" si="1104"/>
        <v>0</v>
      </c>
      <c r="B5400">
        <f t="shared" si="1105"/>
        <v>0</v>
      </c>
      <c r="C5400">
        <f t="shared" si="1106"/>
        <v>0</v>
      </c>
      <c r="D5400">
        <f t="shared" si="1107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8"/>
        <v>0</v>
      </c>
      <c r="G5400">
        <f t="shared" si="1109"/>
        <v>0</v>
      </c>
      <c r="H5400">
        <f t="shared" si="1110"/>
        <v>0</v>
      </c>
      <c r="I5400">
        <f t="shared" si="1111"/>
        <v>0</v>
      </c>
      <c r="J5400">
        <f t="shared" si="1112"/>
        <v>0</v>
      </c>
      <c r="K5400" s="4" t="e">
        <f t="shared" si="1100"/>
        <v>#N/A</v>
      </c>
      <c r="L5400" t="e">
        <f t="shared" si="1101"/>
        <v>#N/A</v>
      </c>
      <c r="M5400" s="4" t="e">
        <f t="shared" si="1102"/>
        <v>#N/A</v>
      </c>
      <c r="N5400" s="4" t="e">
        <f t="shared" si="1103"/>
        <v>#N/A</v>
      </c>
    </row>
    <row r="5401" spans="1:14">
      <c r="A5401">
        <f t="shared" si="1104"/>
        <v>0</v>
      </c>
      <c r="B5401">
        <f t="shared" si="1105"/>
        <v>0</v>
      </c>
      <c r="C5401">
        <f t="shared" si="1106"/>
        <v>0</v>
      </c>
      <c r="D5401">
        <f t="shared" si="1107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8"/>
        <v>0</v>
      </c>
      <c r="G5401">
        <f t="shared" si="1109"/>
        <v>0</v>
      </c>
      <c r="H5401">
        <f t="shared" si="1110"/>
        <v>0</v>
      </c>
      <c r="I5401">
        <f t="shared" si="1111"/>
        <v>0</v>
      </c>
      <c r="J5401">
        <f t="shared" si="1112"/>
        <v>0</v>
      </c>
      <c r="K5401" s="4" t="e">
        <f t="shared" si="1100"/>
        <v>#N/A</v>
      </c>
      <c r="L5401" t="e">
        <f t="shared" si="1101"/>
        <v>#N/A</v>
      </c>
      <c r="M5401" s="4" t="e">
        <f t="shared" si="1102"/>
        <v>#N/A</v>
      </c>
      <c r="N5401" s="4" t="e">
        <f t="shared" si="1103"/>
        <v>#N/A</v>
      </c>
    </row>
    <row r="5402" spans="1:14">
      <c r="A5402">
        <f t="shared" si="1104"/>
        <v>0</v>
      </c>
      <c r="B5402">
        <f t="shared" si="1105"/>
        <v>0</v>
      </c>
      <c r="C5402">
        <f t="shared" si="1106"/>
        <v>0</v>
      </c>
      <c r="D5402">
        <f t="shared" si="1107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8"/>
        <v>0</v>
      </c>
      <c r="G5402">
        <f t="shared" si="1109"/>
        <v>0</v>
      </c>
      <c r="H5402">
        <f t="shared" si="1110"/>
        <v>0</v>
      </c>
      <c r="I5402">
        <f t="shared" si="1111"/>
        <v>0</v>
      </c>
      <c r="J5402">
        <f t="shared" si="1112"/>
        <v>0</v>
      </c>
      <c r="K5402" s="4" t="e">
        <f t="shared" si="1100"/>
        <v>#N/A</v>
      </c>
      <c r="L5402" t="e">
        <f t="shared" si="1101"/>
        <v>#N/A</v>
      </c>
      <c r="M5402" s="4" t="e">
        <f t="shared" si="1102"/>
        <v>#N/A</v>
      </c>
      <c r="N5402" s="4" t="e">
        <f t="shared" si="1103"/>
        <v>#N/A</v>
      </c>
    </row>
    <row r="5403" spans="1:14">
      <c r="A5403">
        <f t="shared" si="1104"/>
        <v>0</v>
      </c>
      <c r="B5403">
        <f t="shared" si="1105"/>
        <v>0</v>
      </c>
      <c r="C5403">
        <f t="shared" si="1106"/>
        <v>0</v>
      </c>
      <c r="D5403">
        <f t="shared" si="1107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8"/>
        <v>0</v>
      </c>
      <c r="G5403">
        <f t="shared" si="1109"/>
        <v>0</v>
      </c>
      <c r="H5403">
        <f t="shared" si="1110"/>
        <v>0</v>
      </c>
      <c r="I5403">
        <f t="shared" si="1111"/>
        <v>0</v>
      </c>
      <c r="J5403">
        <f t="shared" si="1112"/>
        <v>0</v>
      </c>
      <c r="K5403" s="4" t="e">
        <f t="shared" si="1100"/>
        <v>#N/A</v>
      </c>
      <c r="L5403" t="e">
        <f t="shared" si="1101"/>
        <v>#N/A</v>
      </c>
      <c r="M5403" s="4" t="e">
        <f t="shared" si="1102"/>
        <v>#N/A</v>
      </c>
      <c r="N5403" s="4" t="e">
        <f t="shared" si="1103"/>
        <v>#N/A</v>
      </c>
    </row>
    <row r="5404" spans="1:14">
      <c r="A5404">
        <f t="shared" si="1104"/>
        <v>0</v>
      </c>
      <c r="B5404">
        <f t="shared" si="1105"/>
        <v>0</v>
      </c>
      <c r="C5404">
        <f t="shared" si="1106"/>
        <v>0</v>
      </c>
      <c r="D5404">
        <f t="shared" si="1107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8"/>
        <v>0</v>
      </c>
      <c r="G5404">
        <f t="shared" si="1109"/>
        <v>0</v>
      </c>
      <c r="H5404">
        <f t="shared" si="1110"/>
        <v>0</v>
      </c>
      <c r="I5404">
        <f t="shared" si="1111"/>
        <v>0</v>
      </c>
      <c r="J5404">
        <f t="shared" si="1112"/>
        <v>0</v>
      </c>
      <c r="K5404" s="4" t="e">
        <f t="shared" si="1100"/>
        <v>#N/A</v>
      </c>
      <c r="L5404" t="e">
        <f t="shared" si="1101"/>
        <v>#N/A</v>
      </c>
      <c r="M5404" s="4" t="e">
        <f t="shared" si="1102"/>
        <v>#N/A</v>
      </c>
      <c r="N5404" s="4" t="e">
        <f t="shared" si="1103"/>
        <v>#N/A</v>
      </c>
    </row>
    <row r="5405" spans="1:14">
      <c r="A5405">
        <f t="shared" si="1104"/>
        <v>0</v>
      </c>
      <c r="B5405">
        <f t="shared" si="1105"/>
        <v>0</v>
      </c>
      <c r="C5405">
        <f t="shared" si="1106"/>
        <v>0</v>
      </c>
      <c r="D5405">
        <f t="shared" si="1107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8"/>
        <v>0</v>
      </c>
      <c r="G5405">
        <f t="shared" si="1109"/>
        <v>0</v>
      </c>
      <c r="H5405">
        <f t="shared" si="1110"/>
        <v>0</v>
      </c>
      <c r="I5405">
        <f t="shared" si="1111"/>
        <v>0</v>
      </c>
      <c r="J5405">
        <f t="shared" si="1112"/>
        <v>0</v>
      </c>
      <c r="K5405" s="4" t="e">
        <f t="shared" si="1100"/>
        <v>#N/A</v>
      </c>
      <c r="L5405" t="e">
        <f t="shared" si="1101"/>
        <v>#N/A</v>
      </c>
      <c r="M5405" s="4" t="e">
        <f t="shared" si="1102"/>
        <v>#N/A</v>
      </c>
      <c r="N5405" s="4" t="e">
        <f t="shared" si="1103"/>
        <v>#N/A</v>
      </c>
    </row>
    <row r="5406" spans="1:14">
      <c r="A5406">
        <f t="shared" si="1104"/>
        <v>0</v>
      </c>
      <c r="B5406">
        <f t="shared" si="1105"/>
        <v>0</v>
      </c>
      <c r="C5406">
        <f t="shared" si="1106"/>
        <v>0</v>
      </c>
      <c r="D5406">
        <f t="shared" si="1107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8"/>
        <v>0</v>
      </c>
      <c r="G5406">
        <f t="shared" si="1109"/>
        <v>0</v>
      </c>
      <c r="H5406">
        <f t="shared" si="1110"/>
        <v>0</v>
      </c>
      <c r="I5406">
        <f t="shared" si="1111"/>
        <v>0</v>
      </c>
      <c r="J5406">
        <f t="shared" si="1112"/>
        <v>0</v>
      </c>
      <c r="K5406" s="4" t="e">
        <f t="shared" si="1100"/>
        <v>#N/A</v>
      </c>
      <c r="L5406" t="e">
        <f t="shared" si="1101"/>
        <v>#N/A</v>
      </c>
      <c r="M5406" s="4" t="e">
        <f t="shared" si="1102"/>
        <v>#N/A</v>
      </c>
      <c r="N5406" s="4" t="e">
        <f t="shared" si="1103"/>
        <v>#N/A</v>
      </c>
    </row>
    <row r="5407" spans="1:14">
      <c r="A5407">
        <f t="shared" si="1104"/>
        <v>0</v>
      </c>
      <c r="B5407">
        <f t="shared" si="1105"/>
        <v>0</v>
      </c>
      <c r="C5407">
        <f t="shared" si="1106"/>
        <v>0</v>
      </c>
      <c r="D5407">
        <f t="shared" si="1107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8"/>
        <v>0</v>
      </c>
      <c r="G5407">
        <f t="shared" si="1109"/>
        <v>0</v>
      </c>
      <c r="H5407">
        <f t="shared" si="1110"/>
        <v>0</v>
      </c>
      <c r="I5407">
        <f t="shared" si="1111"/>
        <v>0</v>
      </c>
      <c r="J5407">
        <f t="shared" si="1112"/>
        <v>0</v>
      </c>
      <c r="K5407" s="4" t="e">
        <f t="shared" si="1100"/>
        <v>#N/A</v>
      </c>
      <c r="L5407" t="e">
        <f t="shared" si="1101"/>
        <v>#N/A</v>
      </c>
      <c r="M5407" s="4" t="e">
        <f t="shared" si="1102"/>
        <v>#N/A</v>
      </c>
      <c r="N5407" s="4" t="e">
        <f t="shared" si="1103"/>
        <v>#N/A</v>
      </c>
    </row>
    <row r="5408" spans="1:14">
      <c r="A5408">
        <f t="shared" si="1104"/>
        <v>0</v>
      </c>
      <c r="B5408">
        <f t="shared" si="1105"/>
        <v>0</v>
      </c>
      <c r="C5408">
        <f t="shared" si="1106"/>
        <v>0</v>
      </c>
      <c r="D5408">
        <f t="shared" si="1107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8"/>
        <v>0</v>
      </c>
      <c r="G5408">
        <f t="shared" si="1109"/>
        <v>0</v>
      </c>
      <c r="H5408">
        <f t="shared" si="1110"/>
        <v>0</v>
      </c>
      <c r="I5408">
        <f t="shared" si="1111"/>
        <v>0</v>
      </c>
      <c r="J5408">
        <f t="shared" si="1112"/>
        <v>0</v>
      </c>
      <c r="K5408" s="4" t="e">
        <f t="shared" si="1100"/>
        <v>#N/A</v>
      </c>
      <c r="L5408" t="e">
        <f t="shared" si="1101"/>
        <v>#N/A</v>
      </c>
      <c r="M5408" s="4" t="e">
        <f t="shared" si="1102"/>
        <v>#N/A</v>
      </c>
      <c r="N5408" s="4" t="e">
        <f t="shared" si="1103"/>
        <v>#N/A</v>
      </c>
    </row>
    <row r="5409" spans="1:14">
      <c r="A5409">
        <f t="shared" si="1104"/>
        <v>0</v>
      </c>
      <c r="B5409">
        <f t="shared" si="1105"/>
        <v>0</v>
      </c>
      <c r="C5409">
        <f t="shared" si="1106"/>
        <v>0</v>
      </c>
      <c r="D5409">
        <f t="shared" si="1107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8"/>
        <v>0</v>
      </c>
      <c r="G5409">
        <f t="shared" si="1109"/>
        <v>0</v>
      </c>
      <c r="H5409">
        <f t="shared" si="1110"/>
        <v>0</v>
      </c>
      <c r="I5409">
        <f t="shared" si="1111"/>
        <v>0</v>
      </c>
      <c r="J5409">
        <f t="shared" si="1112"/>
        <v>0</v>
      </c>
      <c r="K5409" s="4" t="e">
        <f t="shared" si="1100"/>
        <v>#N/A</v>
      </c>
      <c r="L5409" t="e">
        <f t="shared" si="1101"/>
        <v>#N/A</v>
      </c>
      <c r="M5409" s="4" t="e">
        <f t="shared" si="1102"/>
        <v>#N/A</v>
      </c>
      <c r="N5409" s="4" t="e">
        <f t="shared" si="1103"/>
        <v>#N/A</v>
      </c>
    </row>
    <row r="5410" spans="1:14">
      <c r="A5410">
        <f t="shared" si="1104"/>
        <v>0</v>
      </c>
      <c r="B5410">
        <f t="shared" si="1105"/>
        <v>0</v>
      </c>
      <c r="C5410">
        <f t="shared" si="1106"/>
        <v>0</v>
      </c>
      <c r="D5410">
        <f t="shared" si="1107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8"/>
        <v>0</v>
      </c>
      <c r="G5410">
        <f t="shared" si="1109"/>
        <v>0</v>
      </c>
      <c r="H5410">
        <f t="shared" si="1110"/>
        <v>0</v>
      </c>
      <c r="I5410">
        <f t="shared" si="1111"/>
        <v>0</v>
      </c>
      <c r="J5410">
        <f t="shared" si="1112"/>
        <v>0</v>
      </c>
      <c r="K5410" s="4" t="e">
        <f t="shared" si="1100"/>
        <v>#N/A</v>
      </c>
      <c r="L5410" t="e">
        <f t="shared" si="1101"/>
        <v>#N/A</v>
      </c>
      <c r="M5410" s="4" t="e">
        <f t="shared" si="1102"/>
        <v>#N/A</v>
      </c>
      <c r="N5410" s="4" t="e">
        <f t="shared" si="1103"/>
        <v>#N/A</v>
      </c>
    </row>
    <row r="5411" spans="1:14">
      <c r="A5411">
        <f t="shared" si="1104"/>
        <v>0</v>
      </c>
      <c r="B5411">
        <f t="shared" si="1105"/>
        <v>0</v>
      </c>
      <c r="C5411">
        <f t="shared" si="1106"/>
        <v>0</v>
      </c>
      <c r="D5411">
        <f t="shared" si="1107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8"/>
        <v>0</v>
      </c>
      <c r="G5411">
        <f t="shared" si="1109"/>
        <v>0</v>
      </c>
      <c r="H5411">
        <f t="shared" si="1110"/>
        <v>0</v>
      </c>
      <c r="I5411">
        <f t="shared" si="1111"/>
        <v>0</v>
      </c>
      <c r="J5411">
        <f t="shared" si="1112"/>
        <v>0</v>
      </c>
      <c r="K5411" s="4" t="e">
        <f t="shared" si="1100"/>
        <v>#N/A</v>
      </c>
      <c r="L5411" t="e">
        <f t="shared" si="1101"/>
        <v>#N/A</v>
      </c>
      <c r="M5411" s="4" t="e">
        <f t="shared" si="1102"/>
        <v>#N/A</v>
      </c>
      <c r="N5411" s="4" t="e">
        <f t="shared" si="1103"/>
        <v>#N/A</v>
      </c>
    </row>
    <row r="5412" spans="1:14">
      <c r="A5412">
        <f t="shared" si="1104"/>
        <v>0</v>
      </c>
      <c r="B5412">
        <f t="shared" si="1105"/>
        <v>0</v>
      </c>
      <c r="C5412">
        <f t="shared" si="1106"/>
        <v>0</v>
      </c>
      <c r="D5412">
        <f t="shared" si="1107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8"/>
        <v>0</v>
      </c>
      <c r="G5412">
        <f t="shared" si="1109"/>
        <v>0</v>
      </c>
      <c r="H5412">
        <f t="shared" si="1110"/>
        <v>0</v>
      </c>
      <c r="I5412">
        <f t="shared" si="1111"/>
        <v>0</v>
      </c>
      <c r="J5412">
        <f t="shared" si="1112"/>
        <v>0</v>
      </c>
      <c r="K5412" s="4" t="e">
        <f t="shared" si="1100"/>
        <v>#N/A</v>
      </c>
      <c r="L5412" t="e">
        <f t="shared" si="1101"/>
        <v>#N/A</v>
      </c>
      <c r="M5412" s="4" t="e">
        <f t="shared" si="1102"/>
        <v>#N/A</v>
      </c>
      <c r="N5412" s="4" t="e">
        <f t="shared" si="1103"/>
        <v>#N/A</v>
      </c>
    </row>
    <row r="5413" spans="1:14">
      <c r="A5413">
        <f t="shared" si="1104"/>
        <v>0</v>
      </c>
      <c r="B5413">
        <f t="shared" si="1105"/>
        <v>0</v>
      </c>
      <c r="C5413">
        <f t="shared" si="1106"/>
        <v>0</v>
      </c>
      <c r="D5413">
        <f t="shared" si="1107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8"/>
        <v>0</v>
      </c>
      <c r="G5413">
        <f t="shared" si="1109"/>
        <v>0</v>
      </c>
      <c r="H5413">
        <f t="shared" si="1110"/>
        <v>0</v>
      </c>
      <c r="I5413">
        <f t="shared" si="1111"/>
        <v>0</v>
      </c>
      <c r="J5413">
        <f t="shared" si="1112"/>
        <v>0</v>
      </c>
      <c r="K5413" s="4" t="e">
        <f t="shared" si="1100"/>
        <v>#N/A</v>
      </c>
      <c r="L5413" t="e">
        <f t="shared" si="1101"/>
        <v>#N/A</v>
      </c>
      <c r="M5413" s="4" t="e">
        <f t="shared" si="1102"/>
        <v>#N/A</v>
      </c>
      <c r="N5413" s="4" t="e">
        <f t="shared" si="1103"/>
        <v>#N/A</v>
      </c>
    </row>
    <row r="5414" spans="1:14">
      <c r="A5414">
        <f t="shared" si="1104"/>
        <v>0</v>
      </c>
      <c r="B5414">
        <f t="shared" si="1105"/>
        <v>0</v>
      </c>
      <c r="C5414">
        <f t="shared" si="1106"/>
        <v>0</v>
      </c>
      <c r="D5414">
        <f t="shared" si="1107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8"/>
        <v>0</v>
      </c>
      <c r="G5414">
        <f t="shared" si="1109"/>
        <v>0</v>
      </c>
      <c r="H5414">
        <f t="shared" si="1110"/>
        <v>0</v>
      </c>
      <c r="I5414">
        <f t="shared" si="1111"/>
        <v>0</v>
      </c>
      <c r="J5414">
        <f t="shared" si="1112"/>
        <v>0</v>
      </c>
      <c r="K5414" s="4" t="e">
        <f t="shared" si="1100"/>
        <v>#N/A</v>
      </c>
      <c r="L5414" t="e">
        <f t="shared" si="1101"/>
        <v>#N/A</v>
      </c>
      <c r="M5414" s="4" t="e">
        <f t="shared" si="1102"/>
        <v>#N/A</v>
      </c>
      <c r="N5414" s="4" t="e">
        <f t="shared" si="1103"/>
        <v>#N/A</v>
      </c>
    </row>
    <row r="5415" spans="1:14">
      <c r="A5415">
        <f t="shared" si="1104"/>
        <v>0</v>
      </c>
      <c r="B5415">
        <f t="shared" si="1105"/>
        <v>0</v>
      </c>
      <c r="C5415">
        <f t="shared" si="1106"/>
        <v>0</v>
      </c>
      <c r="D5415">
        <f t="shared" si="1107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8"/>
        <v>0</v>
      </c>
      <c r="G5415">
        <f t="shared" si="1109"/>
        <v>0</v>
      </c>
      <c r="H5415">
        <f t="shared" si="1110"/>
        <v>0</v>
      </c>
      <c r="I5415">
        <f t="shared" si="1111"/>
        <v>0</v>
      </c>
      <c r="J5415">
        <f t="shared" si="1112"/>
        <v>0</v>
      </c>
      <c r="K5415" s="4" t="e">
        <f t="shared" si="1100"/>
        <v>#N/A</v>
      </c>
      <c r="L5415" t="e">
        <f t="shared" si="1101"/>
        <v>#N/A</v>
      </c>
      <c r="M5415" s="4" t="e">
        <f t="shared" si="1102"/>
        <v>#N/A</v>
      </c>
      <c r="N5415" s="4" t="e">
        <f t="shared" si="1103"/>
        <v>#N/A</v>
      </c>
    </row>
    <row r="5416" spans="1:14">
      <c r="A5416">
        <f t="shared" si="1104"/>
        <v>0</v>
      </c>
      <c r="B5416">
        <f t="shared" si="1105"/>
        <v>0</v>
      </c>
      <c r="C5416">
        <f t="shared" si="1106"/>
        <v>0</v>
      </c>
      <c r="D5416">
        <f t="shared" si="1107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8"/>
        <v>0</v>
      </c>
      <c r="G5416">
        <f t="shared" si="1109"/>
        <v>0</v>
      </c>
      <c r="H5416">
        <f t="shared" si="1110"/>
        <v>0</v>
      </c>
      <c r="I5416">
        <f t="shared" si="1111"/>
        <v>0</v>
      </c>
      <c r="J5416">
        <f t="shared" si="1112"/>
        <v>0</v>
      </c>
      <c r="K5416" s="4" t="e">
        <f t="shared" si="1100"/>
        <v>#N/A</v>
      </c>
      <c r="L5416" t="e">
        <f t="shared" si="1101"/>
        <v>#N/A</v>
      </c>
      <c r="M5416" s="4" t="e">
        <f t="shared" si="1102"/>
        <v>#N/A</v>
      </c>
      <c r="N5416" s="4" t="e">
        <f t="shared" si="1103"/>
        <v>#N/A</v>
      </c>
    </row>
    <row r="5417" spans="1:14">
      <c r="A5417">
        <f t="shared" si="1104"/>
        <v>0</v>
      </c>
      <c r="B5417">
        <f t="shared" si="1105"/>
        <v>0</v>
      </c>
      <c r="C5417">
        <f t="shared" si="1106"/>
        <v>0</v>
      </c>
      <c r="D5417">
        <f t="shared" si="1107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8"/>
        <v>0</v>
      </c>
      <c r="G5417">
        <f t="shared" si="1109"/>
        <v>0</v>
      </c>
      <c r="H5417">
        <f t="shared" si="1110"/>
        <v>0</v>
      </c>
      <c r="I5417">
        <f t="shared" si="1111"/>
        <v>0</v>
      </c>
      <c r="J5417">
        <f t="shared" si="1112"/>
        <v>0</v>
      </c>
      <c r="K5417" s="4" t="e">
        <f t="shared" si="1100"/>
        <v>#N/A</v>
      </c>
      <c r="L5417" t="e">
        <f t="shared" si="1101"/>
        <v>#N/A</v>
      </c>
      <c r="M5417" s="4" t="e">
        <f t="shared" si="1102"/>
        <v>#N/A</v>
      </c>
      <c r="N5417" s="4" t="e">
        <f t="shared" si="1103"/>
        <v>#N/A</v>
      </c>
    </row>
    <row r="5418" spans="1:14">
      <c r="A5418">
        <f t="shared" si="1104"/>
        <v>0</v>
      </c>
      <c r="B5418">
        <f t="shared" si="1105"/>
        <v>0</v>
      </c>
      <c r="C5418">
        <f t="shared" si="1106"/>
        <v>0</v>
      </c>
      <c r="D5418">
        <f t="shared" si="1107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8"/>
        <v>0</v>
      </c>
      <c r="G5418">
        <f t="shared" si="1109"/>
        <v>0</v>
      </c>
      <c r="H5418">
        <f t="shared" si="1110"/>
        <v>0</v>
      </c>
      <c r="I5418">
        <f t="shared" si="1111"/>
        <v>0</v>
      </c>
      <c r="J5418">
        <f t="shared" si="1112"/>
        <v>0</v>
      </c>
      <c r="K5418" s="4" t="e">
        <f t="shared" si="1100"/>
        <v>#N/A</v>
      </c>
      <c r="L5418" t="e">
        <f t="shared" si="1101"/>
        <v>#N/A</v>
      </c>
      <c r="M5418" s="4" t="e">
        <f t="shared" si="1102"/>
        <v>#N/A</v>
      </c>
      <c r="N5418" s="4" t="e">
        <f t="shared" si="1103"/>
        <v>#N/A</v>
      </c>
    </row>
    <row r="5419" spans="1:14">
      <c r="A5419">
        <f t="shared" si="1104"/>
        <v>0</v>
      </c>
      <c r="B5419">
        <f t="shared" si="1105"/>
        <v>0</v>
      </c>
      <c r="C5419">
        <f t="shared" si="1106"/>
        <v>0</v>
      </c>
      <c r="D5419">
        <f t="shared" si="1107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8"/>
        <v>0</v>
      </c>
      <c r="G5419">
        <f t="shared" si="1109"/>
        <v>0</v>
      </c>
      <c r="H5419">
        <f t="shared" si="1110"/>
        <v>0</v>
      </c>
      <c r="I5419">
        <f t="shared" si="1111"/>
        <v>0</v>
      </c>
      <c r="J5419">
        <f t="shared" si="1112"/>
        <v>0</v>
      </c>
      <c r="K5419" s="4" t="e">
        <f t="shared" si="1100"/>
        <v>#N/A</v>
      </c>
      <c r="L5419" t="e">
        <f t="shared" si="1101"/>
        <v>#N/A</v>
      </c>
      <c r="M5419" s="4" t="e">
        <f t="shared" si="1102"/>
        <v>#N/A</v>
      </c>
      <c r="N5419" s="4" t="e">
        <f t="shared" si="1103"/>
        <v>#N/A</v>
      </c>
    </row>
    <row r="5420" spans="1:14">
      <c r="A5420">
        <f t="shared" si="1104"/>
        <v>0</v>
      </c>
      <c r="B5420">
        <f t="shared" si="1105"/>
        <v>0</v>
      </c>
      <c r="C5420">
        <f t="shared" si="1106"/>
        <v>0</v>
      </c>
      <c r="D5420">
        <f t="shared" si="1107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8"/>
        <v>0</v>
      </c>
      <c r="G5420">
        <f t="shared" si="1109"/>
        <v>0</v>
      </c>
      <c r="H5420">
        <f t="shared" si="1110"/>
        <v>0</v>
      </c>
      <c r="I5420">
        <f t="shared" si="1111"/>
        <v>0</v>
      </c>
      <c r="J5420">
        <f t="shared" si="1112"/>
        <v>0</v>
      </c>
      <c r="K5420" s="4" t="e">
        <f t="shared" si="1100"/>
        <v>#N/A</v>
      </c>
      <c r="L5420" t="e">
        <f t="shared" si="1101"/>
        <v>#N/A</v>
      </c>
      <c r="M5420" s="4" t="e">
        <f t="shared" si="1102"/>
        <v>#N/A</v>
      </c>
      <c r="N5420" s="4" t="e">
        <f t="shared" si="1103"/>
        <v>#N/A</v>
      </c>
    </row>
    <row r="5421" spans="1:14">
      <c r="A5421">
        <f t="shared" si="1104"/>
        <v>0</v>
      </c>
      <c r="B5421">
        <f t="shared" si="1105"/>
        <v>0</v>
      </c>
      <c r="C5421">
        <f t="shared" si="1106"/>
        <v>0</v>
      </c>
      <c r="D5421">
        <f t="shared" si="1107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8"/>
        <v>0</v>
      </c>
      <c r="G5421">
        <f t="shared" si="1109"/>
        <v>0</v>
      </c>
      <c r="H5421">
        <f t="shared" si="1110"/>
        <v>0</v>
      </c>
      <c r="I5421">
        <f t="shared" si="1111"/>
        <v>0</v>
      </c>
      <c r="J5421">
        <f t="shared" si="1112"/>
        <v>0</v>
      </c>
      <c r="K5421" s="4" t="e">
        <f t="shared" si="1100"/>
        <v>#N/A</v>
      </c>
      <c r="L5421" t="e">
        <f t="shared" si="1101"/>
        <v>#N/A</v>
      </c>
      <c r="M5421" s="4" t="e">
        <f t="shared" si="1102"/>
        <v>#N/A</v>
      </c>
      <c r="N5421" s="4" t="e">
        <f t="shared" si="1103"/>
        <v>#N/A</v>
      </c>
    </row>
    <row r="5422" spans="1:14">
      <c r="A5422">
        <f t="shared" si="1104"/>
        <v>0</v>
      </c>
      <c r="B5422">
        <f t="shared" si="1105"/>
        <v>0</v>
      </c>
      <c r="C5422">
        <f t="shared" si="1106"/>
        <v>0</v>
      </c>
      <c r="D5422">
        <f t="shared" si="1107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8"/>
        <v>0</v>
      </c>
      <c r="G5422">
        <f t="shared" si="1109"/>
        <v>0</v>
      </c>
      <c r="H5422">
        <f t="shared" si="1110"/>
        <v>0</v>
      </c>
      <c r="I5422">
        <f t="shared" si="1111"/>
        <v>0</v>
      </c>
      <c r="J5422">
        <f t="shared" si="1112"/>
        <v>0</v>
      </c>
      <c r="K5422" s="4" t="e">
        <f t="shared" si="1100"/>
        <v>#N/A</v>
      </c>
      <c r="L5422" t="e">
        <f t="shared" si="1101"/>
        <v>#N/A</v>
      </c>
      <c r="M5422" s="4" t="e">
        <f t="shared" si="1102"/>
        <v>#N/A</v>
      </c>
      <c r="N5422" s="4" t="e">
        <f t="shared" si="1103"/>
        <v>#N/A</v>
      </c>
    </row>
    <row r="5423" spans="1:14">
      <c r="A5423">
        <f t="shared" si="1104"/>
        <v>0</v>
      </c>
      <c r="B5423">
        <f t="shared" si="1105"/>
        <v>0</v>
      </c>
      <c r="C5423">
        <f t="shared" si="1106"/>
        <v>0</v>
      </c>
      <c r="D5423">
        <f t="shared" si="1107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8"/>
        <v>0</v>
      </c>
      <c r="G5423">
        <f t="shared" si="1109"/>
        <v>0</v>
      </c>
      <c r="H5423">
        <f t="shared" si="1110"/>
        <v>0</v>
      </c>
      <c r="I5423">
        <f t="shared" si="1111"/>
        <v>0</v>
      </c>
      <c r="J5423">
        <f t="shared" si="1112"/>
        <v>0</v>
      </c>
      <c r="K5423" s="4" t="e">
        <f t="shared" si="1100"/>
        <v>#N/A</v>
      </c>
      <c r="L5423" t="e">
        <f t="shared" si="1101"/>
        <v>#N/A</v>
      </c>
      <c r="M5423" s="4" t="e">
        <f t="shared" si="1102"/>
        <v>#N/A</v>
      </c>
      <c r="N5423" s="4" t="e">
        <f t="shared" si="1103"/>
        <v>#N/A</v>
      </c>
    </row>
    <row r="5424" spans="1:14">
      <c r="A5424">
        <f t="shared" si="1104"/>
        <v>0</v>
      </c>
      <c r="B5424">
        <f t="shared" si="1105"/>
        <v>0</v>
      </c>
      <c r="C5424">
        <f t="shared" si="1106"/>
        <v>0</v>
      </c>
      <c r="D5424">
        <f t="shared" si="1107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8"/>
        <v>0</v>
      </c>
      <c r="G5424">
        <f t="shared" si="1109"/>
        <v>0</v>
      </c>
      <c r="H5424">
        <f t="shared" si="1110"/>
        <v>0</v>
      </c>
      <c r="I5424">
        <f t="shared" si="1111"/>
        <v>0</v>
      </c>
      <c r="J5424">
        <f t="shared" si="1112"/>
        <v>0</v>
      </c>
      <c r="K5424" s="4" t="e">
        <f t="shared" si="1100"/>
        <v>#N/A</v>
      </c>
      <c r="L5424" t="e">
        <f t="shared" si="1101"/>
        <v>#N/A</v>
      </c>
      <c r="M5424" s="4" t="e">
        <f t="shared" si="1102"/>
        <v>#N/A</v>
      </c>
      <c r="N5424" s="4" t="e">
        <f t="shared" si="1103"/>
        <v>#N/A</v>
      </c>
    </row>
    <row r="5425" spans="1:14">
      <c r="A5425">
        <f t="shared" si="1104"/>
        <v>0</v>
      </c>
      <c r="B5425">
        <f t="shared" si="1105"/>
        <v>0</v>
      </c>
      <c r="C5425">
        <f t="shared" si="1106"/>
        <v>0</v>
      </c>
      <c r="D5425">
        <f t="shared" si="1107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8"/>
        <v>0</v>
      </c>
      <c r="G5425">
        <f t="shared" si="1109"/>
        <v>0</v>
      </c>
      <c r="H5425">
        <f t="shared" si="1110"/>
        <v>0</v>
      </c>
      <c r="I5425">
        <f t="shared" si="1111"/>
        <v>0</v>
      </c>
      <c r="J5425">
        <f t="shared" si="1112"/>
        <v>0</v>
      </c>
      <c r="K5425" s="4" t="e">
        <f t="shared" si="1100"/>
        <v>#N/A</v>
      </c>
      <c r="L5425" t="e">
        <f t="shared" si="1101"/>
        <v>#N/A</v>
      </c>
      <c r="M5425" s="4" t="e">
        <f t="shared" si="1102"/>
        <v>#N/A</v>
      </c>
      <c r="N5425" s="4" t="e">
        <f t="shared" si="1103"/>
        <v>#N/A</v>
      </c>
    </row>
    <row r="5426" spans="1:14">
      <c r="A5426">
        <f t="shared" si="1104"/>
        <v>0</v>
      </c>
      <c r="B5426">
        <f t="shared" si="1105"/>
        <v>0</v>
      </c>
      <c r="C5426">
        <f t="shared" si="1106"/>
        <v>0</v>
      </c>
      <c r="D5426">
        <f t="shared" si="1107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8"/>
        <v>0</v>
      </c>
      <c r="G5426">
        <f t="shared" si="1109"/>
        <v>0</v>
      </c>
      <c r="H5426">
        <f t="shared" si="1110"/>
        <v>0</v>
      </c>
      <c r="I5426">
        <f t="shared" si="1111"/>
        <v>0</v>
      </c>
      <c r="J5426">
        <f t="shared" si="1112"/>
        <v>0</v>
      </c>
      <c r="K5426" s="4" t="e">
        <f t="shared" si="1100"/>
        <v>#N/A</v>
      </c>
      <c r="L5426" t="e">
        <f t="shared" si="1101"/>
        <v>#N/A</v>
      </c>
      <c r="M5426" s="4" t="e">
        <f t="shared" si="1102"/>
        <v>#N/A</v>
      </c>
      <c r="N5426" s="4" t="e">
        <f t="shared" si="1103"/>
        <v>#N/A</v>
      </c>
    </row>
    <row r="5427" spans="1:14">
      <c r="A5427">
        <f t="shared" si="1104"/>
        <v>0</v>
      </c>
      <c r="B5427">
        <f t="shared" si="1105"/>
        <v>0</v>
      </c>
      <c r="C5427">
        <f t="shared" si="1106"/>
        <v>0</v>
      </c>
      <c r="D5427">
        <f t="shared" si="1107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8"/>
        <v>0</v>
      </c>
      <c r="G5427">
        <f t="shared" si="1109"/>
        <v>0</v>
      </c>
      <c r="H5427">
        <f t="shared" si="1110"/>
        <v>0</v>
      </c>
      <c r="I5427">
        <f t="shared" si="1111"/>
        <v>0</v>
      </c>
      <c r="J5427">
        <f t="shared" si="1112"/>
        <v>0</v>
      </c>
      <c r="K5427" s="4" t="e">
        <f t="shared" si="1100"/>
        <v>#N/A</v>
      </c>
      <c r="L5427" t="e">
        <f t="shared" si="1101"/>
        <v>#N/A</v>
      </c>
      <c r="M5427" s="4" t="e">
        <f t="shared" si="1102"/>
        <v>#N/A</v>
      </c>
      <c r="N5427" s="4" t="e">
        <f t="shared" si="1103"/>
        <v>#N/A</v>
      </c>
    </row>
    <row r="5428" spans="1:14">
      <c r="A5428">
        <f t="shared" si="1104"/>
        <v>0</v>
      </c>
      <c r="B5428">
        <f t="shared" si="1105"/>
        <v>0</v>
      </c>
      <c r="C5428">
        <f t="shared" si="1106"/>
        <v>0</v>
      </c>
      <c r="D5428">
        <f t="shared" si="1107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8"/>
        <v>0</v>
      </c>
      <c r="G5428">
        <f t="shared" si="1109"/>
        <v>0</v>
      </c>
      <c r="H5428">
        <f t="shared" si="1110"/>
        <v>0</v>
      </c>
      <c r="I5428">
        <f t="shared" si="1111"/>
        <v>0</v>
      </c>
      <c r="J5428">
        <f t="shared" si="1112"/>
        <v>0</v>
      </c>
      <c r="K5428" s="4" t="e">
        <f t="shared" si="1100"/>
        <v>#N/A</v>
      </c>
      <c r="L5428" t="e">
        <f t="shared" si="1101"/>
        <v>#N/A</v>
      </c>
      <c r="M5428" s="4" t="e">
        <f t="shared" si="1102"/>
        <v>#N/A</v>
      </c>
      <c r="N5428" s="4" t="e">
        <f t="shared" si="1103"/>
        <v>#N/A</v>
      </c>
    </row>
    <row r="5429" spans="1:14">
      <c r="A5429">
        <f t="shared" si="1104"/>
        <v>0</v>
      </c>
      <c r="B5429">
        <f t="shared" si="1105"/>
        <v>0</v>
      </c>
      <c r="C5429">
        <f t="shared" si="1106"/>
        <v>0</v>
      </c>
      <c r="D5429">
        <f t="shared" si="1107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8"/>
        <v>0</v>
      </c>
      <c r="G5429">
        <f t="shared" si="1109"/>
        <v>0</v>
      </c>
      <c r="H5429">
        <f t="shared" si="1110"/>
        <v>0</v>
      </c>
      <c r="I5429">
        <f t="shared" si="1111"/>
        <v>0</v>
      </c>
      <c r="J5429">
        <f t="shared" si="1112"/>
        <v>0</v>
      </c>
      <c r="K5429" s="4" t="e">
        <f t="shared" si="1100"/>
        <v>#N/A</v>
      </c>
      <c r="L5429" t="e">
        <f t="shared" si="1101"/>
        <v>#N/A</v>
      </c>
      <c r="M5429" s="4" t="e">
        <f t="shared" si="1102"/>
        <v>#N/A</v>
      </c>
      <c r="N5429" s="4" t="e">
        <f t="shared" si="1103"/>
        <v>#N/A</v>
      </c>
    </row>
    <row r="5430" spans="1:14">
      <c r="A5430">
        <f t="shared" si="1104"/>
        <v>0</v>
      </c>
      <c r="B5430">
        <f t="shared" si="1105"/>
        <v>0</v>
      </c>
      <c r="C5430">
        <f t="shared" si="1106"/>
        <v>0</v>
      </c>
      <c r="D5430">
        <f t="shared" si="1107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8"/>
        <v>0</v>
      </c>
      <c r="G5430">
        <f t="shared" si="1109"/>
        <v>0</v>
      </c>
      <c r="H5430">
        <f t="shared" si="1110"/>
        <v>0</v>
      </c>
      <c r="I5430">
        <f t="shared" si="1111"/>
        <v>0</v>
      </c>
      <c r="J5430">
        <f t="shared" si="1112"/>
        <v>0</v>
      </c>
      <c r="K5430" s="4" t="e">
        <f t="shared" si="1100"/>
        <v>#N/A</v>
      </c>
      <c r="L5430" t="e">
        <f t="shared" si="1101"/>
        <v>#N/A</v>
      </c>
      <c r="M5430" s="4" t="e">
        <f t="shared" si="1102"/>
        <v>#N/A</v>
      </c>
      <c r="N5430" s="4" t="e">
        <f t="shared" si="1103"/>
        <v>#N/A</v>
      </c>
    </row>
    <row r="5431" spans="1:14">
      <c r="A5431">
        <f t="shared" si="1104"/>
        <v>0</v>
      </c>
      <c r="B5431">
        <f t="shared" si="1105"/>
        <v>0</v>
      </c>
      <c r="C5431">
        <f t="shared" si="1106"/>
        <v>0</v>
      </c>
      <c r="D5431">
        <f t="shared" si="1107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8"/>
        <v>0</v>
      </c>
      <c r="G5431">
        <f t="shared" si="1109"/>
        <v>0</v>
      </c>
      <c r="H5431">
        <f t="shared" si="1110"/>
        <v>0</v>
      </c>
      <c r="I5431">
        <f t="shared" si="1111"/>
        <v>0</v>
      </c>
      <c r="J5431">
        <f t="shared" si="1112"/>
        <v>0</v>
      </c>
      <c r="K5431" s="4" t="e">
        <f t="shared" si="1100"/>
        <v>#N/A</v>
      </c>
      <c r="L5431" t="e">
        <f t="shared" si="1101"/>
        <v>#N/A</v>
      </c>
      <c r="M5431" s="4" t="e">
        <f t="shared" si="1102"/>
        <v>#N/A</v>
      </c>
      <c r="N5431" s="4" t="e">
        <f t="shared" si="1103"/>
        <v>#N/A</v>
      </c>
    </row>
    <row r="5432" spans="1:14">
      <c r="A5432">
        <f t="shared" si="1104"/>
        <v>0</v>
      </c>
      <c r="B5432">
        <f t="shared" si="1105"/>
        <v>0</v>
      </c>
      <c r="C5432">
        <f t="shared" si="1106"/>
        <v>0</v>
      </c>
      <c r="D5432">
        <f t="shared" si="1107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8"/>
        <v>0</v>
      </c>
      <c r="G5432">
        <f t="shared" si="1109"/>
        <v>0</v>
      </c>
      <c r="H5432">
        <f t="shared" si="1110"/>
        <v>0</v>
      </c>
      <c r="I5432">
        <f t="shared" si="1111"/>
        <v>0</v>
      </c>
      <c r="J5432">
        <f t="shared" si="1112"/>
        <v>0</v>
      </c>
      <c r="K5432" s="4" t="e">
        <f t="shared" si="1100"/>
        <v>#N/A</v>
      </c>
      <c r="L5432" t="e">
        <f t="shared" si="1101"/>
        <v>#N/A</v>
      </c>
      <c r="M5432" s="4" t="e">
        <f t="shared" si="1102"/>
        <v>#N/A</v>
      </c>
      <c r="N5432" s="4" t="e">
        <f t="shared" si="1103"/>
        <v>#N/A</v>
      </c>
    </row>
    <row r="5433" spans="1:14">
      <c r="A5433">
        <f t="shared" si="1104"/>
        <v>0</v>
      </c>
      <c r="B5433">
        <f t="shared" si="1105"/>
        <v>0</v>
      </c>
      <c r="C5433">
        <f t="shared" si="1106"/>
        <v>0</v>
      </c>
      <c r="D5433">
        <f t="shared" si="1107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8"/>
        <v>0</v>
      </c>
      <c r="G5433">
        <f t="shared" si="1109"/>
        <v>0</v>
      </c>
      <c r="H5433">
        <f t="shared" si="1110"/>
        <v>0</v>
      </c>
      <c r="I5433">
        <f t="shared" si="1111"/>
        <v>0</v>
      </c>
      <c r="J5433">
        <f t="shared" si="1112"/>
        <v>0</v>
      </c>
      <c r="K5433" s="4" t="e">
        <f t="shared" si="1100"/>
        <v>#N/A</v>
      </c>
      <c r="L5433" t="e">
        <f t="shared" si="1101"/>
        <v>#N/A</v>
      </c>
      <c r="M5433" s="4" t="e">
        <f t="shared" si="1102"/>
        <v>#N/A</v>
      </c>
      <c r="N5433" s="4" t="e">
        <f t="shared" si="1103"/>
        <v>#N/A</v>
      </c>
    </row>
    <row r="5434" spans="1:14">
      <c r="A5434">
        <f t="shared" si="1104"/>
        <v>0</v>
      </c>
      <c r="B5434">
        <f t="shared" si="1105"/>
        <v>0</v>
      </c>
      <c r="C5434">
        <f t="shared" si="1106"/>
        <v>0</v>
      </c>
      <c r="D5434">
        <f t="shared" si="1107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8"/>
        <v>0</v>
      </c>
      <c r="G5434">
        <f t="shared" si="1109"/>
        <v>0</v>
      </c>
      <c r="H5434">
        <f t="shared" si="1110"/>
        <v>0</v>
      </c>
      <c r="I5434">
        <f t="shared" si="1111"/>
        <v>0</v>
      </c>
      <c r="J5434">
        <f t="shared" si="1112"/>
        <v>0</v>
      </c>
      <c r="K5434" s="4" t="e">
        <f t="shared" si="1100"/>
        <v>#N/A</v>
      </c>
      <c r="L5434" t="e">
        <f t="shared" si="1101"/>
        <v>#N/A</v>
      </c>
      <c r="M5434" s="4" t="e">
        <f t="shared" si="1102"/>
        <v>#N/A</v>
      </c>
      <c r="N5434" s="4" t="e">
        <f t="shared" si="1103"/>
        <v>#N/A</v>
      </c>
    </row>
    <row r="5435" spans="1:14">
      <c r="A5435">
        <f t="shared" si="1104"/>
        <v>0</v>
      </c>
      <c r="B5435">
        <f t="shared" si="1105"/>
        <v>0</v>
      </c>
      <c r="C5435">
        <f t="shared" si="1106"/>
        <v>0</v>
      </c>
      <c r="D5435">
        <f t="shared" si="1107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8"/>
        <v>0</v>
      </c>
      <c r="G5435">
        <f t="shared" si="1109"/>
        <v>0</v>
      </c>
      <c r="H5435">
        <f t="shared" si="1110"/>
        <v>0</v>
      </c>
      <c r="I5435">
        <f t="shared" si="1111"/>
        <v>0</v>
      </c>
      <c r="J5435">
        <f t="shared" si="1112"/>
        <v>0</v>
      </c>
      <c r="K5435" s="4" t="e">
        <f t="shared" si="1100"/>
        <v>#N/A</v>
      </c>
      <c r="L5435" t="e">
        <f t="shared" si="1101"/>
        <v>#N/A</v>
      </c>
      <c r="M5435" s="4" t="e">
        <f t="shared" si="1102"/>
        <v>#N/A</v>
      </c>
      <c r="N5435" s="4" t="e">
        <f t="shared" si="1103"/>
        <v>#N/A</v>
      </c>
    </row>
    <row r="5436" spans="1:14">
      <c r="A5436">
        <f t="shared" si="1104"/>
        <v>0</v>
      </c>
      <c r="B5436">
        <f t="shared" si="1105"/>
        <v>0</v>
      </c>
      <c r="C5436">
        <f t="shared" si="1106"/>
        <v>0</v>
      </c>
      <c r="D5436">
        <f t="shared" si="1107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8"/>
        <v>0</v>
      </c>
      <c r="G5436">
        <f t="shared" si="1109"/>
        <v>0</v>
      </c>
      <c r="H5436">
        <f t="shared" si="1110"/>
        <v>0</v>
      </c>
      <c r="I5436">
        <f t="shared" si="1111"/>
        <v>0</v>
      </c>
      <c r="J5436">
        <f t="shared" si="1112"/>
        <v>0</v>
      </c>
      <c r="K5436" s="4" t="e">
        <f t="shared" si="1100"/>
        <v>#N/A</v>
      </c>
      <c r="L5436" t="e">
        <f t="shared" si="1101"/>
        <v>#N/A</v>
      </c>
      <c r="M5436" s="4" t="e">
        <f t="shared" si="1102"/>
        <v>#N/A</v>
      </c>
      <c r="N5436" s="4" t="e">
        <f t="shared" si="1103"/>
        <v>#N/A</v>
      </c>
    </row>
    <row r="5437" spans="1:14">
      <c r="A5437">
        <f t="shared" si="1104"/>
        <v>0</v>
      </c>
      <c r="B5437">
        <f t="shared" si="1105"/>
        <v>0</v>
      </c>
      <c r="C5437">
        <f t="shared" si="1106"/>
        <v>0</v>
      </c>
      <c r="D5437">
        <f t="shared" si="1107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8"/>
        <v>0</v>
      </c>
      <c r="G5437">
        <f t="shared" si="1109"/>
        <v>0</v>
      </c>
      <c r="H5437">
        <f t="shared" si="1110"/>
        <v>0</v>
      </c>
      <c r="I5437">
        <f t="shared" si="1111"/>
        <v>0</v>
      </c>
      <c r="J5437">
        <f t="shared" si="1112"/>
        <v>0</v>
      </c>
      <c r="K5437" s="4" t="e">
        <f t="shared" ref="K5437:K5500" si="1113">IF(LEFT(B5437,3)="DBM",0,VLOOKUP(E5437,tabela,2,FALSE))</f>
        <v>#N/A</v>
      </c>
      <c r="L5437" t="e">
        <f t="shared" ref="L5437:L5500" si="1114">VLOOKUP(E5437,tabela,3,FALSE)</f>
        <v>#N/A</v>
      </c>
      <c r="M5437" s="4" t="e">
        <f t="shared" ref="M5437:M5500" si="1115">IF(E5437="Dynamic Click",J5437*K5437,K5437*$I5437/1000)</f>
        <v>#N/A</v>
      </c>
      <c r="N5437" s="4" t="e">
        <f t="shared" ref="N5437:N5500" si="1116">IF(E5437="Dynamic Click",J5437*L5437,L5437*$I5437/1000)</f>
        <v>#N/A</v>
      </c>
    </row>
    <row r="5438" spans="1:14">
      <c r="A5438">
        <f t="shared" si="1104"/>
        <v>0</v>
      </c>
      <c r="B5438">
        <f t="shared" si="1105"/>
        <v>0</v>
      </c>
      <c r="C5438">
        <f t="shared" si="1106"/>
        <v>0</v>
      </c>
      <c r="D5438">
        <f t="shared" si="1107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8"/>
        <v>0</v>
      </c>
      <c r="G5438">
        <f t="shared" si="1109"/>
        <v>0</v>
      </c>
      <c r="H5438">
        <f t="shared" si="1110"/>
        <v>0</v>
      </c>
      <c r="I5438">
        <f t="shared" si="1111"/>
        <v>0</v>
      </c>
      <c r="J5438">
        <f t="shared" si="1112"/>
        <v>0</v>
      </c>
      <c r="K5438" s="4" t="e">
        <f t="shared" si="1113"/>
        <v>#N/A</v>
      </c>
      <c r="L5438" t="e">
        <f t="shared" si="1114"/>
        <v>#N/A</v>
      </c>
      <c r="M5438" s="4" t="e">
        <f t="shared" si="1115"/>
        <v>#N/A</v>
      </c>
      <c r="N5438" s="4" t="e">
        <f t="shared" si="1116"/>
        <v>#N/A</v>
      </c>
    </row>
    <row r="5439" spans="1:14">
      <c r="A5439">
        <f t="shared" si="1104"/>
        <v>0</v>
      </c>
      <c r="B5439">
        <f t="shared" si="1105"/>
        <v>0</v>
      </c>
      <c r="C5439">
        <f t="shared" si="1106"/>
        <v>0</v>
      </c>
      <c r="D5439">
        <f t="shared" si="1107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8"/>
        <v>0</v>
      </c>
      <c r="G5439">
        <f t="shared" si="1109"/>
        <v>0</v>
      </c>
      <c r="H5439">
        <f t="shared" si="1110"/>
        <v>0</v>
      </c>
      <c r="I5439">
        <f t="shared" si="1111"/>
        <v>0</v>
      </c>
      <c r="J5439">
        <f t="shared" si="1112"/>
        <v>0</v>
      </c>
      <c r="K5439" s="4" t="e">
        <f t="shared" si="1113"/>
        <v>#N/A</v>
      </c>
      <c r="L5439" t="e">
        <f t="shared" si="1114"/>
        <v>#N/A</v>
      </c>
      <c r="M5439" s="4" t="e">
        <f t="shared" si="1115"/>
        <v>#N/A</v>
      </c>
      <c r="N5439" s="4" t="e">
        <f t="shared" si="1116"/>
        <v>#N/A</v>
      </c>
    </row>
    <row r="5440" spans="1:14">
      <c r="A5440">
        <f t="shared" si="1104"/>
        <v>0</v>
      </c>
      <c r="B5440">
        <f t="shared" si="1105"/>
        <v>0</v>
      </c>
      <c r="C5440">
        <f t="shared" si="1106"/>
        <v>0</v>
      </c>
      <c r="D5440">
        <f t="shared" si="1107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8"/>
        <v>0</v>
      </c>
      <c r="G5440">
        <f t="shared" si="1109"/>
        <v>0</v>
      </c>
      <c r="H5440">
        <f t="shared" si="1110"/>
        <v>0</v>
      </c>
      <c r="I5440">
        <f t="shared" si="1111"/>
        <v>0</v>
      </c>
      <c r="J5440">
        <f t="shared" si="1112"/>
        <v>0</v>
      </c>
      <c r="K5440" s="4" t="e">
        <f t="shared" si="1113"/>
        <v>#N/A</v>
      </c>
      <c r="L5440" t="e">
        <f t="shared" si="1114"/>
        <v>#N/A</v>
      </c>
      <c r="M5440" s="4" t="e">
        <f t="shared" si="1115"/>
        <v>#N/A</v>
      </c>
      <c r="N5440" s="4" t="e">
        <f t="shared" si="1116"/>
        <v>#N/A</v>
      </c>
    </row>
    <row r="5441" spans="1:14">
      <c r="A5441">
        <f t="shared" si="1104"/>
        <v>0</v>
      </c>
      <c r="B5441">
        <f t="shared" si="1105"/>
        <v>0</v>
      </c>
      <c r="C5441">
        <f t="shared" si="1106"/>
        <v>0</v>
      </c>
      <c r="D5441">
        <f t="shared" si="1107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8"/>
        <v>0</v>
      </c>
      <c r="G5441">
        <f t="shared" si="1109"/>
        <v>0</v>
      </c>
      <c r="H5441">
        <f t="shared" si="1110"/>
        <v>0</v>
      </c>
      <c r="I5441">
        <f t="shared" si="1111"/>
        <v>0</v>
      </c>
      <c r="J5441">
        <f t="shared" si="1112"/>
        <v>0</v>
      </c>
      <c r="K5441" s="4" t="e">
        <f t="shared" si="1113"/>
        <v>#N/A</v>
      </c>
      <c r="L5441" t="e">
        <f t="shared" si="1114"/>
        <v>#N/A</v>
      </c>
      <c r="M5441" s="4" t="e">
        <f t="shared" si="1115"/>
        <v>#N/A</v>
      </c>
      <c r="N5441" s="4" t="e">
        <f t="shared" si="1116"/>
        <v>#N/A</v>
      </c>
    </row>
    <row r="5442" spans="1:14">
      <c r="A5442">
        <f t="shared" ref="A5442:A5505" si="1117">bd_campaign</f>
        <v>0</v>
      </c>
      <c r="B5442">
        <f t="shared" ref="B5442:B5505" si="1118">bd_site</f>
        <v>0</v>
      </c>
      <c r="C5442">
        <f t="shared" ref="C5442:C5505" si="1119">bd_placement</f>
        <v>0</v>
      </c>
      <c r="D5442">
        <f t="shared" ref="D5442:D5505" si="1120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21">bd_ad</f>
        <v>0</v>
      </c>
      <c r="G5442">
        <f t="shared" ref="G5442:G5505" si="1122">bd_adid</f>
        <v>0</v>
      </c>
      <c r="H5442">
        <f t="shared" ref="H5442:H5505" si="1123">bd_creativetype</f>
        <v>0</v>
      </c>
      <c r="I5442">
        <f t="shared" ref="I5442:I5505" si="1124">bd_impression</f>
        <v>0</v>
      </c>
      <c r="J5442">
        <f t="shared" ref="J5442:J5505" si="1125">bd_clicks</f>
        <v>0</v>
      </c>
      <c r="K5442" s="4" t="e">
        <f t="shared" si="1113"/>
        <v>#N/A</v>
      </c>
      <c r="L5442" t="e">
        <f t="shared" si="1114"/>
        <v>#N/A</v>
      </c>
      <c r="M5442" s="4" t="e">
        <f t="shared" si="1115"/>
        <v>#N/A</v>
      </c>
      <c r="N5442" s="4" t="e">
        <f t="shared" si="1116"/>
        <v>#N/A</v>
      </c>
    </row>
    <row r="5443" spans="1:14">
      <c r="A5443">
        <f t="shared" si="1117"/>
        <v>0</v>
      </c>
      <c r="B5443">
        <f t="shared" si="1118"/>
        <v>0</v>
      </c>
      <c r="C5443">
        <f t="shared" si="1119"/>
        <v>0</v>
      </c>
      <c r="D5443">
        <f t="shared" si="1120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21"/>
        <v>0</v>
      </c>
      <c r="G5443">
        <f t="shared" si="1122"/>
        <v>0</v>
      </c>
      <c r="H5443">
        <f t="shared" si="1123"/>
        <v>0</v>
      </c>
      <c r="I5443">
        <f t="shared" si="1124"/>
        <v>0</v>
      </c>
      <c r="J5443">
        <f t="shared" si="1125"/>
        <v>0</v>
      </c>
      <c r="K5443" s="4" t="e">
        <f t="shared" si="1113"/>
        <v>#N/A</v>
      </c>
      <c r="L5443" t="e">
        <f t="shared" si="1114"/>
        <v>#N/A</v>
      </c>
      <c r="M5443" s="4" t="e">
        <f t="shared" si="1115"/>
        <v>#N/A</v>
      </c>
      <c r="N5443" s="4" t="e">
        <f t="shared" si="1116"/>
        <v>#N/A</v>
      </c>
    </row>
    <row r="5444" spans="1:14">
      <c r="A5444">
        <f t="shared" si="1117"/>
        <v>0</v>
      </c>
      <c r="B5444">
        <f t="shared" si="1118"/>
        <v>0</v>
      </c>
      <c r="C5444">
        <f t="shared" si="1119"/>
        <v>0</v>
      </c>
      <c r="D5444">
        <f t="shared" si="1120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21"/>
        <v>0</v>
      </c>
      <c r="G5444">
        <f t="shared" si="1122"/>
        <v>0</v>
      </c>
      <c r="H5444">
        <f t="shared" si="1123"/>
        <v>0</v>
      </c>
      <c r="I5444">
        <f t="shared" si="1124"/>
        <v>0</v>
      </c>
      <c r="J5444">
        <f t="shared" si="1125"/>
        <v>0</v>
      </c>
      <c r="K5444" s="4" t="e">
        <f t="shared" si="1113"/>
        <v>#N/A</v>
      </c>
      <c r="L5444" t="e">
        <f t="shared" si="1114"/>
        <v>#N/A</v>
      </c>
      <c r="M5444" s="4" t="e">
        <f t="shared" si="1115"/>
        <v>#N/A</v>
      </c>
      <c r="N5444" s="4" t="e">
        <f t="shared" si="1116"/>
        <v>#N/A</v>
      </c>
    </row>
    <row r="5445" spans="1:14">
      <c r="A5445">
        <f t="shared" si="1117"/>
        <v>0</v>
      </c>
      <c r="B5445">
        <f t="shared" si="1118"/>
        <v>0</v>
      </c>
      <c r="C5445">
        <f t="shared" si="1119"/>
        <v>0</v>
      </c>
      <c r="D5445">
        <f t="shared" si="1120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21"/>
        <v>0</v>
      </c>
      <c r="G5445">
        <f t="shared" si="1122"/>
        <v>0</v>
      </c>
      <c r="H5445">
        <f t="shared" si="1123"/>
        <v>0</v>
      </c>
      <c r="I5445">
        <f t="shared" si="1124"/>
        <v>0</v>
      </c>
      <c r="J5445">
        <f t="shared" si="1125"/>
        <v>0</v>
      </c>
      <c r="K5445" s="4" t="e">
        <f t="shared" si="1113"/>
        <v>#N/A</v>
      </c>
      <c r="L5445" t="e">
        <f t="shared" si="1114"/>
        <v>#N/A</v>
      </c>
      <c r="M5445" s="4" t="e">
        <f t="shared" si="1115"/>
        <v>#N/A</v>
      </c>
      <c r="N5445" s="4" t="e">
        <f t="shared" si="1116"/>
        <v>#N/A</v>
      </c>
    </row>
    <row r="5446" spans="1:14">
      <c r="A5446">
        <f t="shared" si="1117"/>
        <v>0</v>
      </c>
      <c r="B5446">
        <f t="shared" si="1118"/>
        <v>0</v>
      </c>
      <c r="C5446">
        <f t="shared" si="1119"/>
        <v>0</v>
      </c>
      <c r="D5446">
        <f t="shared" si="1120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21"/>
        <v>0</v>
      </c>
      <c r="G5446">
        <f t="shared" si="1122"/>
        <v>0</v>
      </c>
      <c r="H5446">
        <f t="shared" si="1123"/>
        <v>0</v>
      </c>
      <c r="I5446">
        <f t="shared" si="1124"/>
        <v>0</v>
      </c>
      <c r="J5446">
        <f t="shared" si="1125"/>
        <v>0</v>
      </c>
      <c r="K5446" s="4" t="e">
        <f t="shared" si="1113"/>
        <v>#N/A</v>
      </c>
      <c r="L5446" t="e">
        <f t="shared" si="1114"/>
        <v>#N/A</v>
      </c>
      <c r="M5446" s="4" t="e">
        <f t="shared" si="1115"/>
        <v>#N/A</v>
      </c>
      <c r="N5446" s="4" t="e">
        <f t="shared" si="1116"/>
        <v>#N/A</v>
      </c>
    </row>
    <row r="5447" spans="1:14">
      <c r="A5447">
        <f t="shared" si="1117"/>
        <v>0</v>
      </c>
      <c r="B5447">
        <f t="shared" si="1118"/>
        <v>0</v>
      </c>
      <c r="C5447">
        <f t="shared" si="1119"/>
        <v>0</v>
      </c>
      <c r="D5447">
        <f t="shared" si="1120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21"/>
        <v>0</v>
      </c>
      <c r="G5447">
        <f t="shared" si="1122"/>
        <v>0</v>
      </c>
      <c r="H5447">
        <f t="shared" si="1123"/>
        <v>0</v>
      </c>
      <c r="I5447">
        <f t="shared" si="1124"/>
        <v>0</v>
      </c>
      <c r="J5447">
        <f t="shared" si="1125"/>
        <v>0</v>
      </c>
      <c r="K5447" s="4" t="e">
        <f t="shared" si="1113"/>
        <v>#N/A</v>
      </c>
      <c r="L5447" t="e">
        <f t="shared" si="1114"/>
        <v>#N/A</v>
      </c>
      <c r="M5447" s="4" t="e">
        <f t="shared" si="1115"/>
        <v>#N/A</v>
      </c>
      <c r="N5447" s="4" t="e">
        <f t="shared" si="1116"/>
        <v>#N/A</v>
      </c>
    </row>
    <row r="5448" spans="1:14">
      <c r="A5448">
        <f t="shared" si="1117"/>
        <v>0</v>
      </c>
      <c r="B5448">
        <f t="shared" si="1118"/>
        <v>0</v>
      </c>
      <c r="C5448">
        <f t="shared" si="1119"/>
        <v>0</v>
      </c>
      <c r="D5448">
        <f t="shared" si="1120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21"/>
        <v>0</v>
      </c>
      <c r="G5448">
        <f t="shared" si="1122"/>
        <v>0</v>
      </c>
      <c r="H5448">
        <f t="shared" si="1123"/>
        <v>0</v>
      </c>
      <c r="I5448">
        <f t="shared" si="1124"/>
        <v>0</v>
      </c>
      <c r="J5448">
        <f t="shared" si="1125"/>
        <v>0</v>
      </c>
      <c r="K5448" s="4" t="e">
        <f t="shared" si="1113"/>
        <v>#N/A</v>
      </c>
      <c r="L5448" t="e">
        <f t="shared" si="1114"/>
        <v>#N/A</v>
      </c>
      <c r="M5448" s="4" t="e">
        <f t="shared" si="1115"/>
        <v>#N/A</v>
      </c>
      <c r="N5448" s="4" t="e">
        <f t="shared" si="1116"/>
        <v>#N/A</v>
      </c>
    </row>
    <row r="5449" spans="1:14">
      <c r="A5449">
        <f t="shared" si="1117"/>
        <v>0</v>
      </c>
      <c r="B5449">
        <f t="shared" si="1118"/>
        <v>0</v>
      </c>
      <c r="C5449">
        <f t="shared" si="1119"/>
        <v>0</v>
      </c>
      <c r="D5449">
        <f t="shared" si="1120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21"/>
        <v>0</v>
      </c>
      <c r="G5449">
        <f t="shared" si="1122"/>
        <v>0</v>
      </c>
      <c r="H5449">
        <f t="shared" si="1123"/>
        <v>0</v>
      </c>
      <c r="I5449">
        <f t="shared" si="1124"/>
        <v>0</v>
      </c>
      <c r="J5449">
        <f t="shared" si="1125"/>
        <v>0</v>
      </c>
      <c r="K5449" s="4" t="e">
        <f t="shared" si="1113"/>
        <v>#N/A</v>
      </c>
      <c r="L5449" t="e">
        <f t="shared" si="1114"/>
        <v>#N/A</v>
      </c>
      <c r="M5449" s="4" t="e">
        <f t="shared" si="1115"/>
        <v>#N/A</v>
      </c>
      <c r="N5449" s="4" t="e">
        <f t="shared" si="1116"/>
        <v>#N/A</v>
      </c>
    </row>
    <row r="5450" spans="1:14">
      <c r="A5450">
        <f t="shared" si="1117"/>
        <v>0</v>
      </c>
      <c r="B5450">
        <f t="shared" si="1118"/>
        <v>0</v>
      </c>
      <c r="C5450">
        <f t="shared" si="1119"/>
        <v>0</v>
      </c>
      <c r="D5450">
        <f t="shared" si="1120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21"/>
        <v>0</v>
      </c>
      <c r="G5450">
        <f t="shared" si="1122"/>
        <v>0</v>
      </c>
      <c r="H5450">
        <f t="shared" si="1123"/>
        <v>0</v>
      </c>
      <c r="I5450">
        <f t="shared" si="1124"/>
        <v>0</v>
      </c>
      <c r="J5450">
        <f t="shared" si="1125"/>
        <v>0</v>
      </c>
      <c r="K5450" s="4" t="e">
        <f t="shared" si="1113"/>
        <v>#N/A</v>
      </c>
      <c r="L5450" t="e">
        <f t="shared" si="1114"/>
        <v>#N/A</v>
      </c>
      <c r="M5450" s="4" t="e">
        <f t="shared" si="1115"/>
        <v>#N/A</v>
      </c>
      <c r="N5450" s="4" t="e">
        <f t="shared" si="1116"/>
        <v>#N/A</v>
      </c>
    </row>
    <row r="5451" spans="1:14">
      <c r="A5451">
        <f t="shared" si="1117"/>
        <v>0</v>
      </c>
      <c r="B5451">
        <f t="shared" si="1118"/>
        <v>0</v>
      </c>
      <c r="C5451">
        <f t="shared" si="1119"/>
        <v>0</v>
      </c>
      <c r="D5451">
        <f t="shared" si="1120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21"/>
        <v>0</v>
      </c>
      <c r="G5451">
        <f t="shared" si="1122"/>
        <v>0</v>
      </c>
      <c r="H5451">
        <f t="shared" si="1123"/>
        <v>0</v>
      </c>
      <c r="I5451">
        <f t="shared" si="1124"/>
        <v>0</v>
      </c>
      <c r="J5451">
        <f t="shared" si="1125"/>
        <v>0</v>
      </c>
      <c r="K5451" s="4" t="e">
        <f t="shared" si="1113"/>
        <v>#N/A</v>
      </c>
      <c r="L5451" t="e">
        <f t="shared" si="1114"/>
        <v>#N/A</v>
      </c>
      <c r="M5451" s="4" t="e">
        <f t="shared" si="1115"/>
        <v>#N/A</v>
      </c>
      <c r="N5451" s="4" t="e">
        <f t="shared" si="1116"/>
        <v>#N/A</v>
      </c>
    </row>
    <row r="5452" spans="1:14">
      <c r="A5452">
        <f t="shared" si="1117"/>
        <v>0</v>
      </c>
      <c r="B5452">
        <f t="shared" si="1118"/>
        <v>0</v>
      </c>
      <c r="C5452">
        <f t="shared" si="1119"/>
        <v>0</v>
      </c>
      <c r="D5452">
        <f t="shared" si="1120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21"/>
        <v>0</v>
      </c>
      <c r="G5452">
        <f t="shared" si="1122"/>
        <v>0</v>
      </c>
      <c r="H5452">
        <f t="shared" si="1123"/>
        <v>0</v>
      </c>
      <c r="I5452">
        <f t="shared" si="1124"/>
        <v>0</v>
      </c>
      <c r="J5452">
        <f t="shared" si="1125"/>
        <v>0</v>
      </c>
      <c r="K5452" s="4" t="e">
        <f t="shared" si="1113"/>
        <v>#N/A</v>
      </c>
      <c r="L5452" t="e">
        <f t="shared" si="1114"/>
        <v>#N/A</v>
      </c>
      <c r="M5452" s="4" t="e">
        <f t="shared" si="1115"/>
        <v>#N/A</v>
      </c>
      <c r="N5452" s="4" t="e">
        <f t="shared" si="1116"/>
        <v>#N/A</v>
      </c>
    </row>
    <row r="5453" spans="1:14">
      <c r="A5453">
        <f t="shared" si="1117"/>
        <v>0</v>
      </c>
      <c r="B5453">
        <f t="shared" si="1118"/>
        <v>0</v>
      </c>
      <c r="C5453">
        <f t="shared" si="1119"/>
        <v>0</v>
      </c>
      <c r="D5453">
        <f t="shared" si="1120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21"/>
        <v>0</v>
      </c>
      <c r="G5453">
        <f t="shared" si="1122"/>
        <v>0</v>
      </c>
      <c r="H5453">
        <f t="shared" si="1123"/>
        <v>0</v>
      </c>
      <c r="I5453">
        <f t="shared" si="1124"/>
        <v>0</v>
      </c>
      <c r="J5453">
        <f t="shared" si="1125"/>
        <v>0</v>
      </c>
      <c r="K5453" s="4" t="e">
        <f t="shared" si="1113"/>
        <v>#N/A</v>
      </c>
      <c r="L5453" t="e">
        <f t="shared" si="1114"/>
        <v>#N/A</v>
      </c>
      <c r="M5453" s="4" t="e">
        <f t="shared" si="1115"/>
        <v>#N/A</v>
      </c>
      <c r="N5453" s="4" t="e">
        <f t="shared" si="1116"/>
        <v>#N/A</v>
      </c>
    </row>
    <row r="5454" spans="1:14">
      <c r="A5454">
        <f t="shared" si="1117"/>
        <v>0</v>
      </c>
      <c r="B5454">
        <f t="shared" si="1118"/>
        <v>0</v>
      </c>
      <c r="C5454">
        <f t="shared" si="1119"/>
        <v>0</v>
      </c>
      <c r="D5454">
        <f t="shared" si="1120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21"/>
        <v>0</v>
      </c>
      <c r="G5454">
        <f t="shared" si="1122"/>
        <v>0</v>
      </c>
      <c r="H5454">
        <f t="shared" si="1123"/>
        <v>0</v>
      </c>
      <c r="I5454">
        <f t="shared" si="1124"/>
        <v>0</v>
      </c>
      <c r="J5454">
        <f t="shared" si="1125"/>
        <v>0</v>
      </c>
      <c r="K5454" s="4" t="e">
        <f t="shared" si="1113"/>
        <v>#N/A</v>
      </c>
      <c r="L5454" t="e">
        <f t="shared" si="1114"/>
        <v>#N/A</v>
      </c>
      <c r="M5454" s="4" t="e">
        <f t="shared" si="1115"/>
        <v>#N/A</v>
      </c>
      <c r="N5454" s="4" t="e">
        <f t="shared" si="1116"/>
        <v>#N/A</v>
      </c>
    </row>
    <row r="5455" spans="1:14">
      <c r="A5455">
        <f t="shared" si="1117"/>
        <v>0</v>
      </c>
      <c r="B5455">
        <f t="shared" si="1118"/>
        <v>0</v>
      </c>
      <c r="C5455">
        <f t="shared" si="1119"/>
        <v>0</v>
      </c>
      <c r="D5455">
        <f t="shared" si="1120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21"/>
        <v>0</v>
      </c>
      <c r="G5455">
        <f t="shared" si="1122"/>
        <v>0</v>
      </c>
      <c r="H5455">
        <f t="shared" si="1123"/>
        <v>0</v>
      </c>
      <c r="I5455">
        <f t="shared" si="1124"/>
        <v>0</v>
      </c>
      <c r="J5455">
        <f t="shared" si="1125"/>
        <v>0</v>
      </c>
      <c r="K5455" s="4" t="e">
        <f t="shared" si="1113"/>
        <v>#N/A</v>
      </c>
      <c r="L5455" t="e">
        <f t="shared" si="1114"/>
        <v>#N/A</v>
      </c>
      <c r="M5455" s="4" t="e">
        <f t="shared" si="1115"/>
        <v>#N/A</v>
      </c>
      <c r="N5455" s="4" t="e">
        <f t="shared" si="1116"/>
        <v>#N/A</v>
      </c>
    </row>
    <row r="5456" spans="1:14">
      <c r="A5456">
        <f t="shared" si="1117"/>
        <v>0</v>
      </c>
      <c r="B5456">
        <f t="shared" si="1118"/>
        <v>0</v>
      </c>
      <c r="C5456">
        <f t="shared" si="1119"/>
        <v>0</v>
      </c>
      <c r="D5456">
        <f t="shared" si="1120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21"/>
        <v>0</v>
      </c>
      <c r="G5456">
        <f t="shared" si="1122"/>
        <v>0</v>
      </c>
      <c r="H5456">
        <f t="shared" si="1123"/>
        <v>0</v>
      </c>
      <c r="I5456">
        <f t="shared" si="1124"/>
        <v>0</v>
      </c>
      <c r="J5456">
        <f t="shared" si="1125"/>
        <v>0</v>
      </c>
      <c r="K5456" s="4" t="e">
        <f t="shared" si="1113"/>
        <v>#N/A</v>
      </c>
      <c r="L5456" t="e">
        <f t="shared" si="1114"/>
        <v>#N/A</v>
      </c>
      <c r="M5456" s="4" t="e">
        <f t="shared" si="1115"/>
        <v>#N/A</v>
      </c>
      <c r="N5456" s="4" t="e">
        <f t="shared" si="1116"/>
        <v>#N/A</v>
      </c>
    </row>
    <row r="5457" spans="1:14">
      <c r="A5457">
        <f t="shared" si="1117"/>
        <v>0</v>
      </c>
      <c r="B5457">
        <f t="shared" si="1118"/>
        <v>0</v>
      </c>
      <c r="C5457">
        <f t="shared" si="1119"/>
        <v>0</v>
      </c>
      <c r="D5457">
        <f t="shared" si="1120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21"/>
        <v>0</v>
      </c>
      <c r="G5457">
        <f t="shared" si="1122"/>
        <v>0</v>
      </c>
      <c r="H5457">
        <f t="shared" si="1123"/>
        <v>0</v>
      </c>
      <c r="I5457">
        <f t="shared" si="1124"/>
        <v>0</v>
      </c>
      <c r="J5457">
        <f t="shared" si="1125"/>
        <v>0</v>
      </c>
      <c r="K5457" s="4" t="e">
        <f t="shared" si="1113"/>
        <v>#N/A</v>
      </c>
      <c r="L5457" t="e">
        <f t="shared" si="1114"/>
        <v>#N/A</v>
      </c>
      <c r="M5457" s="4" t="e">
        <f t="shared" si="1115"/>
        <v>#N/A</v>
      </c>
      <c r="N5457" s="4" t="e">
        <f t="shared" si="1116"/>
        <v>#N/A</v>
      </c>
    </row>
    <row r="5458" spans="1:14">
      <c r="A5458">
        <f t="shared" si="1117"/>
        <v>0</v>
      </c>
      <c r="B5458">
        <f t="shared" si="1118"/>
        <v>0</v>
      </c>
      <c r="C5458">
        <f t="shared" si="1119"/>
        <v>0</v>
      </c>
      <c r="D5458">
        <f t="shared" si="1120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21"/>
        <v>0</v>
      </c>
      <c r="G5458">
        <f t="shared" si="1122"/>
        <v>0</v>
      </c>
      <c r="H5458">
        <f t="shared" si="1123"/>
        <v>0</v>
      </c>
      <c r="I5458">
        <f t="shared" si="1124"/>
        <v>0</v>
      </c>
      <c r="J5458">
        <f t="shared" si="1125"/>
        <v>0</v>
      </c>
      <c r="K5458" s="4" t="e">
        <f t="shared" si="1113"/>
        <v>#N/A</v>
      </c>
      <c r="L5458" t="e">
        <f t="shared" si="1114"/>
        <v>#N/A</v>
      </c>
      <c r="M5458" s="4" t="e">
        <f t="shared" si="1115"/>
        <v>#N/A</v>
      </c>
      <c r="N5458" s="4" t="e">
        <f t="shared" si="1116"/>
        <v>#N/A</v>
      </c>
    </row>
    <row r="5459" spans="1:14">
      <c r="A5459">
        <f t="shared" si="1117"/>
        <v>0</v>
      </c>
      <c r="B5459">
        <f t="shared" si="1118"/>
        <v>0</v>
      </c>
      <c r="C5459">
        <f t="shared" si="1119"/>
        <v>0</v>
      </c>
      <c r="D5459">
        <f t="shared" si="1120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21"/>
        <v>0</v>
      </c>
      <c r="G5459">
        <f t="shared" si="1122"/>
        <v>0</v>
      </c>
      <c r="H5459">
        <f t="shared" si="1123"/>
        <v>0</v>
      </c>
      <c r="I5459">
        <f t="shared" si="1124"/>
        <v>0</v>
      </c>
      <c r="J5459">
        <f t="shared" si="1125"/>
        <v>0</v>
      </c>
      <c r="K5459" s="4" t="e">
        <f t="shared" si="1113"/>
        <v>#N/A</v>
      </c>
      <c r="L5459" t="e">
        <f t="shared" si="1114"/>
        <v>#N/A</v>
      </c>
      <c r="M5459" s="4" t="e">
        <f t="shared" si="1115"/>
        <v>#N/A</v>
      </c>
      <c r="N5459" s="4" t="e">
        <f t="shared" si="1116"/>
        <v>#N/A</v>
      </c>
    </row>
    <row r="5460" spans="1:14">
      <c r="A5460">
        <f t="shared" si="1117"/>
        <v>0</v>
      </c>
      <c r="B5460">
        <f t="shared" si="1118"/>
        <v>0</v>
      </c>
      <c r="C5460">
        <f t="shared" si="1119"/>
        <v>0</v>
      </c>
      <c r="D5460">
        <f t="shared" si="1120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21"/>
        <v>0</v>
      </c>
      <c r="G5460">
        <f t="shared" si="1122"/>
        <v>0</v>
      </c>
      <c r="H5460">
        <f t="shared" si="1123"/>
        <v>0</v>
      </c>
      <c r="I5460">
        <f t="shared" si="1124"/>
        <v>0</v>
      </c>
      <c r="J5460">
        <f t="shared" si="1125"/>
        <v>0</v>
      </c>
      <c r="K5460" s="4" t="e">
        <f t="shared" si="1113"/>
        <v>#N/A</v>
      </c>
      <c r="L5460" t="e">
        <f t="shared" si="1114"/>
        <v>#N/A</v>
      </c>
      <c r="M5460" s="4" t="e">
        <f t="shared" si="1115"/>
        <v>#N/A</v>
      </c>
      <c r="N5460" s="4" t="e">
        <f t="shared" si="1116"/>
        <v>#N/A</v>
      </c>
    </row>
    <row r="5461" spans="1:14">
      <c r="A5461">
        <f t="shared" si="1117"/>
        <v>0</v>
      </c>
      <c r="B5461">
        <f t="shared" si="1118"/>
        <v>0</v>
      </c>
      <c r="C5461">
        <f t="shared" si="1119"/>
        <v>0</v>
      </c>
      <c r="D5461">
        <f t="shared" si="1120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21"/>
        <v>0</v>
      </c>
      <c r="G5461">
        <f t="shared" si="1122"/>
        <v>0</v>
      </c>
      <c r="H5461">
        <f t="shared" si="1123"/>
        <v>0</v>
      </c>
      <c r="I5461">
        <f t="shared" si="1124"/>
        <v>0</v>
      </c>
      <c r="J5461">
        <f t="shared" si="1125"/>
        <v>0</v>
      </c>
      <c r="K5461" s="4" t="e">
        <f t="shared" si="1113"/>
        <v>#N/A</v>
      </c>
      <c r="L5461" t="e">
        <f t="shared" si="1114"/>
        <v>#N/A</v>
      </c>
      <c r="M5461" s="4" t="e">
        <f t="shared" si="1115"/>
        <v>#N/A</v>
      </c>
      <c r="N5461" s="4" t="e">
        <f t="shared" si="1116"/>
        <v>#N/A</v>
      </c>
    </row>
    <row r="5462" spans="1:14">
      <c r="A5462">
        <f t="shared" si="1117"/>
        <v>0</v>
      </c>
      <c r="B5462">
        <f t="shared" si="1118"/>
        <v>0</v>
      </c>
      <c r="C5462">
        <f t="shared" si="1119"/>
        <v>0</v>
      </c>
      <c r="D5462">
        <f t="shared" si="1120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21"/>
        <v>0</v>
      </c>
      <c r="G5462">
        <f t="shared" si="1122"/>
        <v>0</v>
      </c>
      <c r="H5462">
        <f t="shared" si="1123"/>
        <v>0</v>
      </c>
      <c r="I5462">
        <f t="shared" si="1124"/>
        <v>0</v>
      </c>
      <c r="J5462">
        <f t="shared" si="1125"/>
        <v>0</v>
      </c>
      <c r="K5462" s="4" t="e">
        <f t="shared" si="1113"/>
        <v>#N/A</v>
      </c>
      <c r="L5462" t="e">
        <f t="shared" si="1114"/>
        <v>#N/A</v>
      </c>
      <c r="M5462" s="4" t="e">
        <f t="shared" si="1115"/>
        <v>#N/A</v>
      </c>
      <c r="N5462" s="4" t="e">
        <f t="shared" si="1116"/>
        <v>#N/A</v>
      </c>
    </row>
    <row r="5463" spans="1:14">
      <c r="A5463">
        <f t="shared" si="1117"/>
        <v>0</v>
      </c>
      <c r="B5463">
        <f t="shared" si="1118"/>
        <v>0</v>
      </c>
      <c r="C5463">
        <f t="shared" si="1119"/>
        <v>0</v>
      </c>
      <c r="D5463">
        <f t="shared" si="1120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21"/>
        <v>0</v>
      </c>
      <c r="G5463">
        <f t="shared" si="1122"/>
        <v>0</v>
      </c>
      <c r="H5463">
        <f t="shared" si="1123"/>
        <v>0</v>
      </c>
      <c r="I5463">
        <f t="shared" si="1124"/>
        <v>0</v>
      </c>
      <c r="J5463">
        <f t="shared" si="1125"/>
        <v>0</v>
      </c>
      <c r="K5463" s="4" t="e">
        <f t="shared" si="1113"/>
        <v>#N/A</v>
      </c>
      <c r="L5463" t="e">
        <f t="shared" si="1114"/>
        <v>#N/A</v>
      </c>
      <c r="M5463" s="4" t="e">
        <f t="shared" si="1115"/>
        <v>#N/A</v>
      </c>
      <c r="N5463" s="4" t="e">
        <f t="shared" si="1116"/>
        <v>#N/A</v>
      </c>
    </row>
    <row r="5464" spans="1:14">
      <c r="A5464">
        <f t="shared" si="1117"/>
        <v>0</v>
      </c>
      <c r="B5464">
        <f t="shared" si="1118"/>
        <v>0</v>
      </c>
      <c r="C5464">
        <f t="shared" si="1119"/>
        <v>0</v>
      </c>
      <c r="D5464">
        <f t="shared" si="1120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21"/>
        <v>0</v>
      </c>
      <c r="G5464">
        <f t="shared" si="1122"/>
        <v>0</v>
      </c>
      <c r="H5464">
        <f t="shared" si="1123"/>
        <v>0</v>
      </c>
      <c r="I5464">
        <f t="shared" si="1124"/>
        <v>0</v>
      </c>
      <c r="J5464">
        <f t="shared" si="1125"/>
        <v>0</v>
      </c>
      <c r="K5464" s="4" t="e">
        <f t="shared" si="1113"/>
        <v>#N/A</v>
      </c>
      <c r="L5464" t="e">
        <f t="shared" si="1114"/>
        <v>#N/A</v>
      </c>
      <c r="M5464" s="4" t="e">
        <f t="shared" si="1115"/>
        <v>#N/A</v>
      </c>
      <c r="N5464" s="4" t="e">
        <f t="shared" si="1116"/>
        <v>#N/A</v>
      </c>
    </row>
    <row r="5465" spans="1:14">
      <c r="A5465">
        <f t="shared" si="1117"/>
        <v>0</v>
      </c>
      <c r="B5465">
        <f t="shared" si="1118"/>
        <v>0</v>
      </c>
      <c r="C5465">
        <f t="shared" si="1119"/>
        <v>0</v>
      </c>
      <c r="D5465">
        <f t="shared" si="1120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21"/>
        <v>0</v>
      </c>
      <c r="G5465">
        <f t="shared" si="1122"/>
        <v>0</v>
      </c>
      <c r="H5465">
        <f t="shared" si="1123"/>
        <v>0</v>
      </c>
      <c r="I5465">
        <f t="shared" si="1124"/>
        <v>0</v>
      </c>
      <c r="J5465">
        <f t="shared" si="1125"/>
        <v>0</v>
      </c>
      <c r="K5465" s="4" t="e">
        <f t="shared" si="1113"/>
        <v>#N/A</v>
      </c>
      <c r="L5465" t="e">
        <f t="shared" si="1114"/>
        <v>#N/A</v>
      </c>
      <c r="M5465" s="4" t="e">
        <f t="shared" si="1115"/>
        <v>#N/A</v>
      </c>
      <c r="N5465" s="4" t="e">
        <f t="shared" si="1116"/>
        <v>#N/A</v>
      </c>
    </row>
    <row r="5466" spans="1:14">
      <c r="A5466">
        <f t="shared" si="1117"/>
        <v>0</v>
      </c>
      <c r="B5466">
        <f t="shared" si="1118"/>
        <v>0</v>
      </c>
      <c r="C5466">
        <f t="shared" si="1119"/>
        <v>0</v>
      </c>
      <c r="D5466">
        <f t="shared" si="1120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21"/>
        <v>0</v>
      </c>
      <c r="G5466">
        <f t="shared" si="1122"/>
        <v>0</v>
      </c>
      <c r="H5466">
        <f t="shared" si="1123"/>
        <v>0</v>
      </c>
      <c r="I5466">
        <f t="shared" si="1124"/>
        <v>0</v>
      </c>
      <c r="J5466">
        <f t="shared" si="1125"/>
        <v>0</v>
      </c>
      <c r="K5466" s="4" t="e">
        <f t="shared" si="1113"/>
        <v>#N/A</v>
      </c>
      <c r="L5466" t="e">
        <f t="shared" si="1114"/>
        <v>#N/A</v>
      </c>
      <c r="M5466" s="4" t="e">
        <f t="shared" si="1115"/>
        <v>#N/A</v>
      </c>
      <c r="N5466" s="4" t="e">
        <f t="shared" si="1116"/>
        <v>#N/A</v>
      </c>
    </row>
    <row r="5467" spans="1:14">
      <c r="A5467">
        <f t="shared" si="1117"/>
        <v>0</v>
      </c>
      <c r="B5467">
        <f t="shared" si="1118"/>
        <v>0</v>
      </c>
      <c r="C5467">
        <f t="shared" si="1119"/>
        <v>0</v>
      </c>
      <c r="D5467">
        <f t="shared" si="1120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21"/>
        <v>0</v>
      </c>
      <c r="G5467">
        <f t="shared" si="1122"/>
        <v>0</v>
      </c>
      <c r="H5467">
        <f t="shared" si="1123"/>
        <v>0</v>
      </c>
      <c r="I5467">
        <f t="shared" si="1124"/>
        <v>0</v>
      </c>
      <c r="J5467">
        <f t="shared" si="1125"/>
        <v>0</v>
      </c>
      <c r="K5467" s="4" t="e">
        <f t="shared" si="1113"/>
        <v>#N/A</v>
      </c>
      <c r="L5467" t="e">
        <f t="shared" si="1114"/>
        <v>#N/A</v>
      </c>
      <c r="M5467" s="4" t="e">
        <f t="shared" si="1115"/>
        <v>#N/A</v>
      </c>
      <c r="N5467" s="4" t="e">
        <f t="shared" si="1116"/>
        <v>#N/A</v>
      </c>
    </row>
    <row r="5468" spans="1:14">
      <c r="A5468">
        <f t="shared" si="1117"/>
        <v>0</v>
      </c>
      <c r="B5468">
        <f t="shared" si="1118"/>
        <v>0</v>
      </c>
      <c r="C5468">
        <f t="shared" si="1119"/>
        <v>0</v>
      </c>
      <c r="D5468">
        <f t="shared" si="1120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21"/>
        <v>0</v>
      </c>
      <c r="G5468">
        <f t="shared" si="1122"/>
        <v>0</v>
      </c>
      <c r="H5468">
        <f t="shared" si="1123"/>
        <v>0</v>
      </c>
      <c r="I5468">
        <f t="shared" si="1124"/>
        <v>0</v>
      </c>
      <c r="J5468">
        <f t="shared" si="1125"/>
        <v>0</v>
      </c>
      <c r="K5468" s="4" t="e">
        <f t="shared" si="1113"/>
        <v>#N/A</v>
      </c>
      <c r="L5468" t="e">
        <f t="shared" si="1114"/>
        <v>#N/A</v>
      </c>
      <c r="M5468" s="4" t="e">
        <f t="shared" si="1115"/>
        <v>#N/A</v>
      </c>
      <c r="N5468" s="4" t="e">
        <f t="shared" si="1116"/>
        <v>#N/A</v>
      </c>
    </row>
    <row r="5469" spans="1:14">
      <c r="A5469">
        <f t="shared" si="1117"/>
        <v>0</v>
      </c>
      <c r="B5469">
        <f t="shared" si="1118"/>
        <v>0</v>
      </c>
      <c r="C5469">
        <f t="shared" si="1119"/>
        <v>0</v>
      </c>
      <c r="D5469">
        <f t="shared" si="1120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21"/>
        <v>0</v>
      </c>
      <c r="G5469">
        <f t="shared" si="1122"/>
        <v>0</v>
      </c>
      <c r="H5469">
        <f t="shared" si="1123"/>
        <v>0</v>
      </c>
      <c r="I5469">
        <f t="shared" si="1124"/>
        <v>0</v>
      </c>
      <c r="J5469">
        <f t="shared" si="1125"/>
        <v>0</v>
      </c>
      <c r="K5469" s="4" t="e">
        <f t="shared" si="1113"/>
        <v>#N/A</v>
      </c>
      <c r="L5469" t="e">
        <f t="shared" si="1114"/>
        <v>#N/A</v>
      </c>
      <c r="M5469" s="4" t="e">
        <f t="shared" si="1115"/>
        <v>#N/A</v>
      </c>
      <c r="N5469" s="4" t="e">
        <f t="shared" si="1116"/>
        <v>#N/A</v>
      </c>
    </row>
    <row r="5470" spans="1:14">
      <c r="A5470">
        <f t="shared" si="1117"/>
        <v>0</v>
      </c>
      <c r="B5470">
        <f t="shared" si="1118"/>
        <v>0</v>
      </c>
      <c r="C5470">
        <f t="shared" si="1119"/>
        <v>0</v>
      </c>
      <c r="D5470">
        <f t="shared" si="1120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21"/>
        <v>0</v>
      </c>
      <c r="G5470">
        <f t="shared" si="1122"/>
        <v>0</v>
      </c>
      <c r="H5470">
        <f t="shared" si="1123"/>
        <v>0</v>
      </c>
      <c r="I5470">
        <f t="shared" si="1124"/>
        <v>0</v>
      </c>
      <c r="J5470">
        <f t="shared" si="1125"/>
        <v>0</v>
      </c>
      <c r="K5470" s="4" t="e">
        <f t="shared" si="1113"/>
        <v>#N/A</v>
      </c>
      <c r="L5470" t="e">
        <f t="shared" si="1114"/>
        <v>#N/A</v>
      </c>
      <c r="M5470" s="4" t="e">
        <f t="shared" si="1115"/>
        <v>#N/A</v>
      </c>
      <c r="N5470" s="4" t="e">
        <f t="shared" si="1116"/>
        <v>#N/A</v>
      </c>
    </row>
    <row r="5471" spans="1:14">
      <c r="A5471">
        <f t="shared" si="1117"/>
        <v>0</v>
      </c>
      <c r="B5471">
        <f t="shared" si="1118"/>
        <v>0</v>
      </c>
      <c r="C5471">
        <f t="shared" si="1119"/>
        <v>0</v>
      </c>
      <c r="D5471">
        <f t="shared" si="1120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21"/>
        <v>0</v>
      </c>
      <c r="G5471">
        <f t="shared" si="1122"/>
        <v>0</v>
      </c>
      <c r="H5471">
        <f t="shared" si="1123"/>
        <v>0</v>
      </c>
      <c r="I5471">
        <f t="shared" si="1124"/>
        <v>0</v>
      </c>
      <c r="J5471">
        <f t="shared" si="1125"/>
        <v>0</v>
      </c>
      <c r="K5471" s="4" t="e">
        <f t="shared" si="1113"/>
        <v>#N/A</v>
      </c>
      <c r="L5471" t="e">
        <f t="shared" si="1114"/>
        <v>#N/A</v>
      </c>
      <c r="M5471" s="4" t="e">
        <f t="shared" si="1115"/>
        <v>#N/A</v>
      </c>
      <c r="N5471" s="4" t="e">
        <f t="shared" si="1116"/>
        <v>#N/A</v>
      </c>
    </row>
    <row r="5472" spans="1:14">
      <c r="A5472">
        <f t="shared" si="1117"/>
        <v>0</v>
      </c>
      <c r="B5472">
        <f t="shared" si="1118"/>
        <v>0</v>
      </c>
      <c r="C5472">
        <f t="shared" si="1119"/>
        <v>0</v>
      </c>
      <c r="D5472">
        <f t="shared" si="1120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21"/>
        <v>0</v>
      </c>
      <c r="G5472">
        <f t="shared" si="1122"/>
        <v>0</v>
      </c>
      <c r="H5472">
        <f t="shared" si="1123"/>
        <v>0</v>
      </c>
      <c r="I5472">
        <f t="shared" si="1124"/>
        <v>0</v>
      </c>
      <c r="J5472">
        <f t="shared" si="1125"/>
        <v>0</v>
      </c>
      <c r="K5472" s="4" t="e">
        <f t="shared" si="1113"/>
        <v>#N/A</v>
      </c>
      <c r="L5472" t="e">
        <f t="shared" si="1114"/>
        <v>#N/A</v>
      </c>
      <c r="M5472" s="4" t="e">
        <f t="shared" si="1115"/>
        <v>#N/A</v>
      </c>
      <c r="N5472" s="4" t="e">
        <f t="shared" si="1116"/>
        <v>#N/A</v>
      </c>
    </row>
    <row r="5473" spans="1:14">
      <c r="A5473">
        <f t="shared" si="1117"/>
        <v>0</v>
      </c>
      <c r="B5473">
        <f t="shared" si="1118"/>
        <v>0</v>
      </c>
      <c r="C5473">
        <f t="shared" si="1119"/>
        <v>0</v>
      </c>
      <c r="D5473">
        <f t="shared" si="1120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21"/>
        <v>0</v>
      </c>
      <c r="G5473">
        <f t="shared" si="1122"/>
        <v>0</v>
      </c>
      <c r="H5473">
        <f t="shared" si="1123"/>
        <v>0</v>
      </c>
      <c r="I5473">
        <f t="shared" si="1124"/>
        <v>0</v>
      </c>
      <c r="J5473">
        <f t="shared" si="1125"/>
        <v>0</v>
      </c>
      <c r="K5473" s="4" t="e">
        <f t="shared" si="1113"/>
        <v>#N/A</v>
      </c>
      <c r="L5473" t="e">
        <f t="shared" si="1114"/>
        <v>#N/A</v>
      </c>
      <c r="M5473" s="4" t="e">
        <f t="shared" si="1115"/>
        <v>#N/A</v>
      </c>
      <c r="N5473" s="4" t="e">
        <f t="shared" si="1116"/>
        <v>#N/A</v>
      </c>
    </row>
    <row r="5474" spans="1:14">
      <c r="A5474">
        <f t="shared" si="1117"/>
        <v>0</v>
      </c>
      <c r="B5474">
        <f t="shared" si="1118"/>
        <v>0</v>
      </c>
      <c r="C5474">
        <f t="shared" si="1119"/>
        <v>0</v>
      </c>
      <c r="D5474">
        <f t="shared" si="1120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21"/>
        <v>0</v>
      </c>
      <c r="G5474">
        <f t="shared" si="1122"/>
        <v>0</v>
      </c>
      <c r="H5474">
        <f t="shared" si="1123"/>
        <v>0</v>
      </c>
      <c r="I5474">
        <f t="shared" si="1124"/>
        <v>0</v>
      </c>
      <c r="J5474">
        <f t="shared" si="1125"/>
        <v>0</v>
      </c>
      <c r="K5474" s="4" t="e">
        <f t="shared" si="1113"/>
        <v>#N/A</v>
      </c>
      <c r="L5474" t="e">
        <f t="shared" si="1114"/>
        <v>#N/A</v>
      </c>
      <c r="M5474" s="4" t="e">
        <f t="shared" si="1115"/>
        <v>#N/A</v>
      </c>
      <c r="N5474" s="4" t="e">
        <f t="shared" si="1116"/>
        <v>#N/A</v>
      </c>
    </row>
    <row r="5475" spans="1:14">
      <c r="A5475">
        <f t="shared" si="1117"/>
        <v>0</v>
      </c>
      <c r="B5475">
        <f t="shared" si="1118"/>
        <v>0</v>
      </c>
      <c r="C5475">
        <f t="shared" si="1119"/>
        <v>0</v>
      </c>
      <c r="D5475">
        <f t="shared" si="1120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21"/>
        <v>0</v>
      </c>
      <c r="G5475">
        <f t="shared" si="1122"/>
        <v>0</v>
      </c>
      <c r="H5475">
        <f t="shared" si="1123"/>
        <v>0</v>
      </c>
      <c r="I5475">
        <f t="shared" si="1124"/>
        <v>0</v>
      </c>
      <c r="J5475">
        <f t="shared" si="1125"/>
        <v>0</v>
      </c>
      <c r="K5475" s="4" t="e">
        <f t="shared" si="1113"/>
        <v>#N/A</v>
      </c>
      <c r="L5475" t="e">
        <f t="shared" si="1114"/>
        <v>#N/A</v>
      </c>
      <c r="M5475" s="4" t="e">
        <f t="shared" si="1115"/>
        <v>#N/A</v>
      </c>
      <c r="N5475" s="4" t="e">
        <f t="shared" si="1116"/>
        <v>#N/A</v>
      </c>
    </row>
    <row r="5476" spans="1:14">
      <c r="A5476">
        <f t="shared" si="1117"/>
        <v>0</v>
      </c>
      <c r="B5476">
        <f t="shared" si="1118"/>
        <v>0</v>
      </c>
      <c r="C5476">
        <f t="shared" si="1119"/>
        <v>0</v>
      </c>
      <c r="D5476">
        <f t="shared" si="1120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21"/>
        <v>0</v>
      </c>
      <c r="G5476">
        <f t="shared" si="1122"/>
        <v>0</v>
      </c>
      <c r="H5476">
        <f t="shared" si="1123"/>
        <v>0</v>
      </c>
      <c r="I5476">
        <f t="shared" si="1124"/>
        <v>0</v>
      </c>
      <c r="J5476">
        <f t="shared" si="1125"/>
        <v>0</v>
      </c>
      <c r="K5476" s="4" t="e">
        <f t="shared" si="1113"/>
        <v>#N/A</v>
      </c>
      <c r="L5476" t="e">
        <f t="shared" si="1114"/>
        <v>#N/A</v>
      </c>
      <c r="M5476" s="4" t="e">
        <f t="shared" si="1115"/>
        <v>#N/A</v>
      </c>
      <c r="N5476" s="4" t="e">
        <f t="shared" si="1116"/>
        <v>#N/A</v>
      </c>
    </row>
    <row r="5477" spans="1:14">
      <c r="A5477">
        <f t="shared" si="1117"/>
        <v>0</v>
      </c>
      <c r="B5477">
        <f t="shared" si="1118"/>
        <v>0</v>
      </c>
      <c r="C5477">
        <f t="shared" si="1119"/>
        <v>0</v>
      </c>
      <c r="D5477">
        <f t="shared" si="1120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21"/>
        <v>0</v>
      </c>
      <c r="G5477">
        <f t="shared" si="1122"/>
        <v>0</v>
      </c>
      <c r="H5477">
        <f t="shared" si="1123"/>
        <v>0</v>
      </c>
      <c r="I5477">
        <f t="shared" si="1124"/>
        <v>0</v>
      </c>
      <c r="J5477">
        <f t="shared" si="1125"/>
        <v>0</v>
      </c>
      <c r="K5477" s="4" t="e">
        <f t="shared" si="1113"/>
        <v>#N/A</v>
      </c>
      <c r="L5477" t="e">
        <f t="shared" si="1114"/>
        <v>#N/A</v>
      </c>
      <c r="M5477" s="4" t="e">
        <f t="shared" si="1115"/>
        <v>#N/A</v>
      </c>
      <c r="N5477" s="4" t="e">
        <f t="shared" si="1116"/>
        <v>#N/A</v>
      </c>
    </row>
    <row r="5478" spans="1:14">
      <c r="A5478">
        <f t="shared" si="1117"/>
        <v>0</v>
      </c>
      <c r="B5478">
        <f t="shared" si="1118"/>
        <v>0</v>
      </c>
      <c r="C5478">
        <f t="shared" si="1119"/>
        <v>0</v>
      </c>
      <c r="D5478">
        <f t="shared" si="1120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21"/>
        <v>0</v>
      </c>
      <c r="G5478">
        <f t="shared" si="1122"/>
        <v>0</v>
      </c>
      <c r="H5478">
        <f t="shared" si="1123"/>
        <v>0</v>
      </c>
      <c r="I5478">
        <f t="shared" si="1124"/>
        <v>0</v>
      </c>
      <c r="J5478">
        <f t="shared" si="1125"/>
        <v>0</v>
      </c>
      <c r="K5478" s="4" t="e">
        <f t="shared" si="1113"/>
        <v>#N/A</v>
      </c>
      <c r="L5478" t="e">
        <f t="shared" si="1114"/>
        <v>#N/A</v>
      </c>
      <c r="M5478" s="4" t="e">
        <f t="shared" si="1115"/>
        <v>#N/A</v>
      </c>
      <c r="N5478" s="4" t="e">
        <f t="shared" si="1116"/>
        <v>#N/A</v>
      </c>
    </row>
    <row r="5479" spans="1:14">
      <c r="A5479">
        <f t="shared" si="1117"/>
        <v>0</v>
      </c>
      <c r="B5479">
        <f t="shared" si="1118"/>
        <v>0</v>
      </c>
      <c r="C5479">
        <f t="shared" si="1119"/>
        <v>0</v>
      </c>
      <c r="D5479">
        <f t="shared" si="1120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21"/>
        <v>0</v>
      </c>
      <c r="G5479">
        <f t="shared" si="1122"/>
        <v>0</v>
      </c>
      <c r="H5479">
        <f t="shared" si="1123"/>
        <v>0</v>
      </c>
      <c r="I5479">
        <f t="shared" si="1124"/>
        <v>0</v>
      </c>
      <c r="J5479">
        <f t="shared" si="1125"/>
        <v>0</v>
      </c>
      <c r="K5479" s="4" t="e">
        <f t="shared" si="1113"/>
        <v>#N/A</v>
      </c>
      <c r="L5479" t="e">
        <f t="shared" si="1114"/>
        <v>#N/A</v>
      </c>
      <c r="M5479" s="4" t="e">
        <f t="shared" si="1115"/>
        <v>#N/A</v>
      </c>
      <c r="N5479" s="4" t="e">
        <f t="shared" si="1116"/>
        <v>#N/A</v>
      </c>
    </row>
    <row r="5480" spans="1:14">
      <c r="A5480">
        <f t="shared" si="1117"/>
        <v>0</v>
      </c>
      <c r="B5480">
        <f t="shared" si="1118"/>
        <v>0</v>
      </c>
      <c r="C5480">
        <f t="shared" si="1119"/>
        <v>0</v>
      </c>
      <c r="D5480">
        <f t="shared" si="1120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21"/>
        <v>0</v>
      </c>
      <c r="G5480">
        <f t="shared" si="1122"/>
        <v>0</v>
      </c>
      <c r="H5480">
        <f t="shared" si="1123"/>
        <v>0</v>
      </c>
      <c r="I5480">
        <f t="shared" si="1124"/>
        <v>0</v>
      </c>
      <c r="J5480">
        <f t="shared" si="1125"/>
        <v>0</v>
      </c>
      <c r="K5480" s="4" t="e">
        <f t="shared" si="1113"/>
        <v>#N/A</v>
      </c>
      <c r="L5480" t="e">
        <f t="shared" si="1114"/>
        <v>#N/A</v>
      </c>
      <c r="M5480" s="4" t="e">
        <f t="shared" si="1115"/>
        <v>#N/A</v>
      </c>
      <c r="N5480" s="4" t="e">
        <f t="shared" si="1116"/>
        <v>#N/A</v>
      </c>
    </row>
    <row r="5481" spans="1:14">
      <c r="A5481">
        <f t="shared" si="1117"/>
        <v>0</v>
      </c>
      <c r="B5481">
        <f t="shared" si="1118"/>
        <v>0</v>
      </c>
      <c r="C5481">
        <f t="shared" si="1119"/>
        <v>0</v>
      </c>
      <c r="D5481">
        <f t="shared" si="1120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21"/>
        <v>0</v>
      </c>
      <c r="G5481">
        <f t="shared" si="1122"/>
        <v>0</v>
      </c>
      <c r="H5481">
        <f t="shared" si="1123"/>
        <v>0</v>
      </c>
      <c r="I5481">
        <f t="shared" si="1124"/>
        <v>0</v>
      </c>
      <c r="J5481">
        <f t="shared" si="1125"/>
        <v>0</v>
      </c>
      <c r="K5481" s="4" t="e">
        <f t="shared" si="1113"/>
        <v>#N/A</v>
      </c>
      <c r="L5481" t="e">
        <f t="shared" si="1114"/>
        <v>#N/A</v>
      </c>
      <c r="M5481" s="4" t="e">
        <f t="shared" si="1115"/>
        <v>#N/A</v>
      </c>
      <c r="N5481" s="4" t="e">
        <f t="shared" si="1116"/>
        <v>#N/A</v>
      </c>
    </row>
    <row r="5482" spans="1:14">
      <c r="A5482">
        <f t="shared" si="1117"/>
        <v>0</v>
      </c>
      <c r="B5482">
        <f t="shared" si="1118"/>
        <v>0</v>
      </c>
      <c r="C5482">
        <f t="shared" si="1119"/>
        <v>0</v>
      </c>
      <c r="D5482">
        <f t="shared" si="1120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21"/>
        <v>0</v>
      </c>
      <c r="G5482">
        <f t="shared" si="1122"/>
        <v>0</v>
      </c>
      <c r="H5482">
        <f t="shared" si="1123"/>
        <v>0</v>
      </c>
      <c r="I5482">
        <f t="shared" si="1124"/>
        <v>0</v>
      </c>
      <c r="J5482">
        <f t="shared" si="1125"/>
        <v>0</v>
      </c>
      <c r="K5482" s="4" t="e">
        <f t="shared" si="1113"/>
        <v>#N/A</v>
      </c>
      <c r="L5482" t="e">
        <f t="shared" si="1114"/>
        <v>#N/A</v>
      </c>
      <c r="M5482" s="4" t="e">
        <f t="shared" si="1115"/>
        <v>#N/A</v>
      </c>
      <c r="N5482" s="4" t="e">
        <f t="shared" si="1116"/>
        <v>#N/A</v>
      </c>
    </row>
    <row r="5483" spans="1:14">
      <c r="A5483">
        <f t="shared" si="1117"/>
        <v>0</v>
      </c>
      <c r="B5483">
        <f t="shared" si="1118"/>
        <v>0</v>
      </c>
      <c r="C5483">
        <f t="shared" si="1119"/>
        <v>0</v>
      </c>
      <c r="D5483">
        <f t="shared" si="1120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21"/>
        <v>0</v>
      </c>
      <c r="G5483">
        <f t="shared" si="1122"/>
        <v>0</v>
      </c>
      <c r="H5483">
        <f t="shared" si="1123"/>
        <v>0</v>
      </c>
      <c r="I5483">
        <f t="shared" si="1124"/>
        <v>0</v>
      </c>
      <c r="J5483">
        <f t="shared" si="1125"/>
        <v>0</v>
      </c>
      <c r="K5483" s="4" t="e">
        <f t="shared" si="1113"/>
        <v>#N/A</v>
      </c>
      <c r="L5483" t="e">
        <f t="shared" si="1114"/>
        <v>#N/A</v>
      </c>
      <c r="M5483" s="4" t="e">
        <f t="shared" si="1115"/>
        <v>#N/A</v>
      </c>
      <c r="N5483" s="4" t="e">
        <f t="shared" si="1116"/>
        <v>#N/A</v>
      </c>
    </row>
    <row r="5484" spans="1:14">
      <c r="A5484">
        <f t="shared" si="1117"/>
        <v>0</v>
      </c>
      <c r="B5484">
        <f t="shared" si="1118"/>
        <v>0</v>
      </c>
      <c r="C5484">
        <f t="shared" si="1119"/>
        <v>0</v>
      </c>
      <c r="D5484">
        <f t="shared" si="1120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21"/>
        <v>0</v>
      </c>
      <c r="G5484">
        <f t="shared" si="1122"/>
        <v>0</v>
      </c>
      <c r="H5484">
        <f t="shared" si="1123"/>
        <v>0</v>
      </c>
      <c r="I5484">
        <f t="shared" si="1124"/>
        <v>0</v>
      </c>
      <c r="J5484">
        <f t="shared" si="1125"/>
        <v>0</v>
      </c>
      <c r="K5484" s="4" t="e">
        <f t="shared" si="1113"/>
        <v>#N/A</v>
      </c>
      <c r="L5484" t="e">
        <f t="shared" si="1114"/>
        <v>#N/A</v>
      </c>
      <c r="M5484" s="4" t="e">
        <f t="shared" si="1115"/>
        <v>#N/A</v>
      </c>
      <c r="N5484" s="4" t="e">
        <f t="shared" si="1116"/>
        <v>#N/A</v>
      </c>
    </row>
    <row r="5485" spans="1:14">
      <c r="A5485">
        <f t="shared" si="1117"/>
        <v>0</v>
      </c>
      <c r="B5485">
        <f t="shared" si="1118"/>
        <v>0</v>
      </c>
      <c r="C5485">
        <f t="shared" si="1119"/>
        <v>0</v>
      </c>
      <c r="D5485">
        <f t="shared" si="1120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21"/>
        <v>0</v>
      </c>
      <c r="G5485">
        <f t="shared" si="1122"/>
        <v>0</v>
      </c>
      <c r="H5485">
        <f t="shared" si="1123"/>
        <v>0</v>
      </c>
      <c r="I5485">
        <f t="shared" si="1124"/>
        <v>0</v>
      </c>
      <c r="J5485">
        <f t="shared" si="1125"/>
        <v>0</v>
      </c>
      <c r="K5485" s="4" t="e">
        <f t="shared" si="1113"/>
        <v>#N/A</v>
      </c>
      <c r="L5485" t="e">
        <f t="shared" si="1114"/>
        <v>#N/A</v>
      </c>
      <c r="M5485" s="4" t="e">
        <f t="shared" si="1115"/>
        <v>#N/A</v>
      </c>
      <c r="N5485" s="4" t="e">
        <f t="shared" si="1116"/>
        <v>#N/A</v>
      </c>
    </row>
    <row r="5486" spans="1:14">
      <c r="A5486">
        <f t="shared" si="1117"/>
        <v>0</v>
      </c>
      <c r="B5486">
        <f t="shared" si="1118"/>
        <v>0</v>
      </c>
      <c r="C5486">
        <f t="shared" si="1119"/>
        <v>0</v>
      </c>
      <c r="D5486">
        <f t="shared" si="1120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21"/>
        <v>0</v>
      </c>
      <c r="G5486">
        <f t="shared" si="1122"/>
        <v>0</v>
      </c>
      <c r="H5486">
        <f t="shared" si="1123"/>
        <v>0</v>
      </c>
      <c r="I5486">
        <f t="shared" si="1124"/>
        <v>0</v>
      </c>
      <c r="J5486">
        <f t="shared" si="1125"/>
        <v>0</v>
      </c>
      <c r="K5486" s="4" t="e">
        <f t="shared" si="1113"/>
        <v>#N/A</v>
      </c>
      <c r="L5486" t="e">
        <f t="shared" si="1114"/>
        <v>#N/A</v>
      </c>
      <c r="M5486" s="4" t="e">
        <f t="shared" si="1115"/>
        <v>#N/A</v>
      </c>
      <c r="N5486" s="4" t="e">
        <f t="shared" si="1116"/>
        <v>#N/A</v>
      </c>
    </row>
    <row r="5487" spans="1:14">
      <c r="A5487">
        <f t="shared" si="1117"/>
        <v>0</v>
      </c>
      <c r="B5487">
        <f t="shared" si="1118"/>
        <v>0</v>
      </c>
      <c r="C5487">
        <f t="shared" si="1119"/>
        <v>0</v>
      </c>
      <c r="D5487">
        <f t="shared" si="1120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21"/>
        <v>0</v>
      </c>
      <c r="G5487">
        <f t="shared" si="1122"/>
        <v>0</v>
      </c>
      <c r="H5487">
        <f t="shared" si="1123"/>
        <v>0</v>
      </c>
      <c r="I5487">
        <f t="shared" si="1124"/>
        <v>0</v>
      </c>
      <c r="J5487">
        <f t="shared" si="1125"/>
        <v>0</v>
      </c>
      <c r="K5487" s="4" t="e">
        <f t="shared" si="1113"/>
        <v>#N/A</v>
      </c>
      <c r="L5487" t="e">
        <f t="shared" si="1114"/>
        <v>#N/A</v>
      </c>
      <c r="M5487" s="4" t="e">
        <f t="shared" si="1115"/>
        <v>#N/A</v>
      </c>
      <c r="N5487" s="4" t="e">
        <f t="shared" si="1116"/>
        <v>#N/A</v>
      </c>
    </row>
    <row r="5488" spans="1:14">
      <c r="A5488">
        <f t="shared" si="1117"/>
        <v>0</v>
      </c>
      <c r="B5488">
        <f t="shared" si="1118"/>
        <v>0</v>
      </c>
      <c r="C5488">
        <f t="shared" si="1119"/>
        <v>0</v>
      </c>
      <c r="D5488">
        <f t="shared" si="1120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21"/>
        <v>0</v>
      </c>
      <c r="G5488">
        <f t="shared" si="1122"/>
        <v>0</v>
      </c>
      <c r="H5488">
        <f t="shared" si="1123"/>
        <v>0</v>
      </c>
      <c r="I5488">
        <f t="shared" si="1124"/>
        <v>0</v>
      </c>
      <c r="J5488">
        <f t="shared" si="1125"/>
        <v>0</v>
      </c>
      <c r="K5488" s="4" t="e">
        <f t="shared" si="1113"/>
        <v>#N/A</v>
      </c>
      <c r="L5488" t="e">
        <f t="shared" si="1114"/>
        <v>#N/A</v>
      </c>
      <c r="M5488" s="4" t="e">
        <f t="shared" si="1115"/>
        <v>#N/A</v>
      </c>
      <c r="N5488" s="4" t="e">
        <f t="shared" si="1116"/>
        <v>#N/A</v>
      </c>
    </row>
    <row r="5489" spans="1:14">
      <c r="A5489">
        <f t="shared" si="1117"/>
        <v>0</v>
      </c>
      <c r="B5489">
        <f t="shared" si="1118"/>
        <v>0</v>
      </c>
      <c r="C5489">
        <f t="shared" si="1119"/>
        <v>0</v>
      </c>
      <c r="D5489">
        <f t="shared" si="1120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21"/>
        <v>0</v>
      </c>
      <c r="G5489">
        <f t="shared" si="1122"/>
        <v>0</v>
      </c>
      <c r="H5489">
        <f t="shared" si="1123"/>
        <v>0</v>
      </c>
      <c r="I5489">
        <f t="shared" si="1124"/>
        <v>0</v>
      </c>
      <c r="J5489">
        <f t="shared" si="1125"/>
        <v>0</v>
      </c>
      <c r="K5489" s="4" t="e">
        <f t="shared" si="1113"/>
        <v>#N/A</v>
      </c>
      <c r="L5489" t="e">
        <f t="shared" si="1114"/>
        <v>#N/A</v>
      </c>
      <c r="M5489" s="4" t="e">
        <f t="shared" si="1115"/>
        <v>#N/A</v>
      </c>
      <c r="N5489" s="4" t="e">
        <f t="shared" si="1116"/>
        <v>#N/A</v>
      </c>
    </row>
    <row r="5490" spans="1:14">
      <c r="A5490">
        <f t="shared" si="1117"/>
        <v>0</v>
      </c>
      <c r="B5490">
        <f t="shared" si="1118"/>
        <v>0</v>
      </c>
      <c r="C5490">
        <f t="shared" si="1119"/>
        <v>0</v>
      </c>
      <c r="D5490">
        <f t="shared" si="1120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21"/>
        <v>0</v>
      </c>
      <c r="G5490">
        <f t="shared" si="1122"/>
        <v>0</v>
      </c>
      <c r="H5490">
        <f t="shared" si="1123"/>
        <v>0</v>
      </c>
      <c r="I5490">
        <f t="shared" si="1124"/>
        <v>0</v>
      </c>
      <c r="J5490">
        <f t="shared" si="1125"/>
        <v>0</v>
      </c>
      <c r="K5490" s="4" t="e">
        <f t="shared" si="1113"/>
        <v>#N/A</v>
      </c>
      <c r="L5490" t="e">
        <f t="shared" si="1114"/>
        <v>#N/A</v>
      </c>
      <c r="M5490" s="4" t="e">
        <f t="shared" si="1115"/>
        <v>#N/A</v>
      </c>
      <c r="N5490" s="4" t="e">
        <f t="shared" si="1116"/>
        <v>#N/A</v>
      </c>
    </row>
    <row r="5491" spans="1:14">
      <c r="A5491">
        <f t="shared" si="1117"/>
        <v>0</v>
      </c>
      <c r="B5491">
        <f t="shared" si="1118"/>
        <v>0</v>
      </c>
      <c r="C5491">
        <f t="shared" si="1119"/>
        <v>0</v>
      </c>
      <c r="D5491">
        <f t="shared" si="1120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21"/>
        <v>0</v>
      </c>
      <c r="G5491">
        <f t="shared" si="1122"/>
        <v>0</v>
      </c>
      <c r="H5491">
        <f t="shared" si="1123"/>
        <v>0</v>
      </c>
      <c r="I5491">
        <f t="shared" si="1124"/>
        <v>0</v>
      </c>
      <c r="J5491">
        <f t="shared" si="1125"/>
        <v>0</v>
      </c>
      <c r="K5491" s="4" t="e">
        <f t="shared" si="1113"/>
        <v>#N/A</v>
      </c>
      <c r="L5491" t="e">
        <f t="shared" si="1114"/>
        <v>#N/A</v>
      </c>
      <c r="M5491" s="4" t="e">
        <f t="shared" si="1115"/>
        <v>#N/A</v>
      </c>
      <c r="N5491" s="4" t="e">
        <f t="shared" si="1116"/>
        <v>#N/A</v>
      </c>
    </row>
    <row r="5492" spans="1:14">
      <c r="A5492">
        <f t="shared" si="1117"/>
        <v>0</v>
      </c>
      <c r="B5492">
        <f t="shared" si="1118"/>
        <v>0</v>
      </c>
      <c r="C5492">
        <f t="shared" si="1119"/>
        <v>0</v>
      </c>
      <c r="D5492">
        <f t="shared" si="1120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21"/>
        <v>0</v>
      </c>
      <c r="G5492">
        <f t="shared" si="1122"/>
        <v>0</v>
      </c>
      <c r="H5492">
        <f t="shared" si="1123"/>
        <v>0</v>
      </c>
      <c r="I5492">
        <f t="shared" si="1124"/>
        <v>0</v>
      </c>
      <c r="J5492">
        <f t="shared" si="1125"/>
        <v>0</v>
      </c>
      <c r="K5492" s="4" t="e">
        <f t="shared" si="1113"/>
        <v>#N/A</v>
      </c>
      <c r="L5492" t="e">
        <f t="shared" si="1114"/>
        <v>#N/A</v>
      </c>
      <c r="M5492" s="4" t="e">
        <f t="shared" si="1115"/>
        <v>#N/A</v>
      </c>
      <c r="N5492" s="4" t="e">
        <f t="shared" si="1116"/>
        <v>#N/A</v>
      </c>
    </row>
    <row r="5493" spans="1:14">
      <c r="A5493">
        <f t="shared" si="1117"/>
        <v>0</v>
      </c>
      <c r="B5493">
        <f t="shared" si="1118"/>
        <v>0</v>
      </c>
      <c r="C5493">
        <f t="shared" si="1119"/>
        <v>0</v>
      </c>
      <c r="D5493">
        <f t="shared" si="1120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21"/>
        <v>0</v>
      </c>
      <c r="G5493">
        <f t="shared" si="1122"/>
        <v>0</v>
      </c>
      <c r="H5493">
        <f t="shared" si="1123"/>
        <v>0</v>
      </c>
      <c r="I5493">
        <f t="shared" si="1124"/>
        <v>0</v>
      </c>
      <c r="J5493">
        <f t="shared" si="1125"/>
        <v>0</v>
      </c>
      <c r="K5493" s="4" t="e">
        <f t="shared" si="1113"/>
        <v>#N/A</v>
      </c>
      <c r="L5493" t="e">
        <f t="shared" si="1114"/>
        <v>#N/A</v>
      </c>
      <c r="M5493" s="4" t="e">
        <f t="shared" si="1115"/>
        <v>#N/A</v>
      </c>
      <c r="N5493" s="4" t="e">
        <f t="shared" si="1116"/>
        <v>#N/A</v>
      </c>
    </row>
    <row r="5494" spans="1:14">
      <c r="A5494">
        <f t="shared" si="1117"/>
        <v>0</v>
      </c>
      <c r="B5494">
        <f t="shared" si="1118"/>
        <v>0</v>
      </c>
      <c r="C5494">
        <f t="shared" si="1119"/>
        <v>0</v>
      </c>
      <c r="D5494">
        <f t="shared" si="1120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21"/>
        <v>0</v>
      </c>
      <c r="G5494">
        <f t="shared" si="1122"/>
        <v>0</v>
      </c>
      <c r="H5494">
        <f t="shared" si="1123"/>
        <v>0</v>
      </c>
      <c r="I5494">
        <f t="shared" si="1124"/>
        <v>0</v>
      </c>
      <c r="J5494">
        <f t="shared" si="1125"/>
        <v>0</v>
      </c>
      <c r="K5494" s="4" t="e">
        <f t="shared" si="1113"/>
        <v>#N/A</v>
      </c>
      <c r="L5494" t="e">
        <f t="shared" si="1114"/>
        <v>#N/A</v>
      </c>
      <c r="M5494" s="4" t="e">
        <f t="shared" si="1115"/>
        <v>#N/A</v>
      </c>
      <c r="N5494" s="4" t="e">
        <f t="shared" si="1116"/>
        <v>#N/A</v>
      </c>
    </row>
    <row r="5495" spans="1:14">
      <c r="A5495">
        <f t="shared" si="1117"/>
        <v>0</v>
      </c>
      <c r="B5495">
        <f t="shared" si="1118"/>
        <v>0</v>
      </c>
      <c r="C5495">
        <f t="shared" si="1119"/>
        <v>0</v>
      </c>
      <c r="D5495">
        <f t="shared" si="1120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21"/>
        <v>0</v>
      </c>
      <c r="G5495">
        <f t="shared" si="1122"/>
        <v>0</v>
      </c>
      <c r="H5495">
        <f t="shared" si="1123"/>
        <v>0</v>
      </c>
      <c r="I5495">
        <f t="shared" si="1124"/>
        <v>0</v>
      </c>
      <c r="J5495">
        <f t="shared" si="1125"/>
        <v>0</v>
      </c>
      <c r="K5495" s="4" t="e">
        <f t="shared" si="1113"/>
        <v>#N/A</v>
      </c>
      <c r="L5495" t="e">
        <f t="shared" si="1114"/>
        <v>#N/A</v>
      </c>
      <c r="M5495" s="4" t="e">
        <f t="shared" si="1115"/>
        <v>#N/A</v>
      </c>
      <c r="N5495" s="4" t="e">
        <f t="shared" si="1116"/>
        <v>#N/A</v>
      </c>
    </row>
    <row r="5496" spans="1:14">
      <c r="A5496">
        <f t="shared" si="1117"/>
        <v>0</v>
      </c>
      <c r="B5496">
        <f t="shared" si="1118"/>
        <v>0</v>
      </c>
      <c r="C5496">
        <f t="shared" si="1119"/>
        <v>0</v>
      </c>
      <c r="D5496">
        <f t="shared" si="1120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21"/>
        <v>0</v>
      </c>
      <c r="G5496">
        <f t="shared" si="1122"/>
        <v>0</v>
      </c>
      <c r="H5496">
        <f t="shared" si="1123"/>
        <v>0</v>
      </c>
      <c r="I5496">
        <f t="shared" si="1124"/>
        <v>0</v>
      </c>
      <c r="J5496">
        <f t="shared" si="1125"/>
        <v>0</v>
      </c>
      <c r="K5496" s="4" t="e">
        <f t="shared" si="1113"/>
        <v>#N/A</v>
      </c>
      <c r="L5496" t="e">
        <f t="shared" si="1114"/>
        <v>#N/A</v>
      </c>
      <c r="M5496" s="4" t="e">
        <f t="shared" si="1115"/>
        <v>#N/A</v>
      </c>
      <c r="N5496" s="4" t="e">
        <f t="shared" si="1116"/>
        <v>#N/A</v>
      </c>
    </row>
    <row r="5497" spans="1:14">
      <c r="A5497">
        <f t="shared" si="1117"/>
        <v>0</v>
      </c>
      <c r="B5497">
        <f t="shared" si="1118"/>
        <v>0</v>
      </c>
      <c r="C5497">
        <f t="shared" si="1119"/>
        <v>0</v>
      </c>
      <c r="D5497">
        <f t="shared" si="1120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21"/>
        <v>0</v>
      </c>
      <c r="G5497">
        <f t="shared" si="1122"/>
        <v>0</v>
      </c>
      <c r="H5497">
        <f t="shared" si="1123"/>
        <v>0</v>
      </c>
      <c r="I5497">
        <f t="shared" si="1124"/>
        <v>0</v>
      </c>
      <c r="J5497">
        <f t="shared" si="1125"/>
        <v>0</v>
      </c>
      <c r="K5497" s="4" t="e">
        <f t="shared" si="1113"/>
        <v>#N/A</v>
      </c>
      <c r="L5497" t="e">
        <f t="shared" si="1114"/>
        <v>#N/A</v>
      </c>
      <c r="M5497" s="4" t="e">
        <f t="shared" si="1115"/>
        <v>#N/A</v>
      </c>
      <c r="N5497" s="4" t="e">
        <f t="shared" si="1116"/>
        <v>#N/A</v>
      </c>
    </row>
    <row r="5498" spans="1:14">
      <c r="A5498">
        <f t="shared" si="1117"/>
        <v>0</v>
      </c>
      <c r="B5498">
        <f t="shared" si="1118"/>
        <v>0</v>
      </c>
      <c r="C5498">
        <f t="shared" si="1119"/>
        <v>0</v>
      </c>
      <c r="D5498">
        <f t="shared" si="1120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21"/>
        <v>0</v>
      </c>
      <c r="G5498">
        <f t="shared" si="1122"/>
        <v>0</v>
      </c>
      <c r="H5498">
        <f t="shared" si="1123"/>
        <v>0</v>
      </c>
      <c r="I5498">
        <f t="shared" si="1124"/>
        <v>0</v>
      </c>
      <c r="J5498">
        <f t="shared" si="1125"/>
        <v>0</v>
      </c>
      <c r="K5498" s="4" t="e">
        <f t="shared" si="1113"/>
        <v>#N/A</v>
      </c>
      <c r="L5498" t="e">
        <f t="shared" si="1114"/>
        <v>#N/A</v>
      </c>
      <c r="M5498" s="4" t="e">
        <f t="shared" si="1115"/>
        <v>#N/A</v>
      </c>
      <c r="N5498" s="4" t="e">
        <f t="shared" si="1116"/>
        <v>#N/A</v>
      </c>
    </row>
    <row r="5499" spans="1:14">
      <c r="A5499">
        <f t="shared" si="1117"/>
        <v>0</v>
      </c>
      <c r="B5499">
        <f t="shared" si="1118"/>
        <v>0</v>
      </c>
      <c r="C5499">
        <f t="shared" si="1119"/>
        <v>0</v>
      </c>
      <c r="D5499">
        <f t="shared" si="1120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21"/>
        <v>0</v>
      </c>
      <c r="G5499">
        <f t="shared" si="1122"/>
        <v>0</v>
      </c>
      <c r="H5499">
        <f t="shared" si="1123"/>
        <v>0</v>
      </c>
      <c r="I5499">
        <f t="shared" si="1124"/>
        <v>0</v>
      </c>
      <c r="J5499">
        <f t="shared" si="1125"/>
        <v>0</v>
      </c>
      <c r="K5499" s="4" t="e">
        <f t="shared" si="1113"/>
        <v>#N/A</v>
      </c>
      <c r="L5499" t="e">
        <f t="shared" si="1114"/>
        <v>#N/A</v>
      </c>
      <c r="M5499" s="4" t="e">
        <f t="shared" si="1115"/>
        <v>#N/A</v>
      </c>
      <c r="N5499" s="4" t="e">
        <f t="shared" si="1116"/>
        <v>#N/A</v>
      </c>
    </row>
    <row r="5500" spans="1:14">
      <c r="A5500">
        <f t="shared" si="1117"/>
        <v>0</v>
      </c>
      <c r="B5500">
        <f t="shared" si="1118"/>
        <v>0</v>
      </c>
      <c r="C5500">
        <f t="shared" si="1119"/>
        <v>0</v>
      </c>
      <c r="D5500">
        <f t="shared" si="1120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21"/>
        <v>0</v>
      </c>
      <c r="G5500">
        <f t="shared" si="1122"/>
        <v>0</v>
      </c>
      <c r="H5500">
        <f t="shared" si="1123"/>
        <v>0</v>
      </c>
      <c r="I5500">
        <f t="shared" si="1124"/>
        <v>0</v>
      </c>
      <c r="J5500">
        <f t="shared" si="1125"/>
        <v>0</v>
      </c>
      <c r="K5500" s="4" t="e">
        <f t="shared" si="1113"/>
        <v>#N/A</v>
      </c>
      <c r="L5500" t="e">
        <f t="shared" si="1114"/>
        <v>#N/A</v>
      </c>
      <c r="M5500" s="4" t="e">
        <f t="shared" si="1115"/>
        <v>#N/A</v>
      </c>
      <c r="N5500" s="4" t="e">
        <f t="shared" si="1116"/>
        <v>#N/A</v>
      </c>
    </row>
    <row r="5501" spans="1:14">
      <c r="A5501">
        <f t="shared" si="1117"/>
        <v>0</v>
      </c>
      <c r="B5501">
        <f t="shared" si="1118"/>
        <v>0</v>
      </c>
      <c r="C5501">
        <f t="shared" si="1119"/>
        <v>0</v>
      </c>
      <c r="D5501">
        <f t="shared" si="1120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21"/>
        <v>0</v>
      </c>
      <c r="G5501">
        <f t="shared" si="1122"/>
        <v>0</v>
      </c>
      <c r="H5501">
        <f t="shared" si="1123"/>
        <v>0</v>
      </c>
      <c r="I5501">
        <f t="shared" si="1124"/>
        <v>0</v>
      </c>
      <c r="J5501">
        <f t="shared" si="1125"/>
        <v>0</v>
      </c>
      <c r="K5501" s="4" t="e">
        <f t="shared" ref="K5501:K5564" si="1126">IF(LEFT(B5501,3)="DBM",0,VLOOKUP(E5501,tabela,2,FALSE))</f>
        <v>#N/A</v>
      </c>
      <c r="L5501" t="e">
        <f t="shared" ref="L5501:L5564" si="1127">VLOOKUP(E5501,tabela,3,FALSE)</f>
        <v>#N/A</v>
      </c>
      <c r="M5501" s="4" t="e">
        <f t="shared" ref="M5501:M5564" si="1128">IF(E5501="Dynamic Click",J5501*K5501,K5501*$I5501/1000)</f>
        <v>#N/A</v>
      </c>
      <c r="N5501" s="4" t="e">
        <f t="shared" ref="N5501:N5564" si="1129">IF(E5501="Dynamic Click",J5501*L5501,L5501*$I5501/1000)</f>
        <v>#N/A</v>
      </c>
    </row>
    <row r="5502" spans="1:14">
      <c r="A5502">
        <f t="shared" si="1117"/>
        <v>0</v>
      </c>
      <c r="B5502">
        <f t="shared" si="1118"/>
        <v>0</v>
      </c>
      <c r="C5502">
        <f t="shared" si="1119"/>
        <v>0</v>
      </c>
      <c r="D5502">
        <f t="shared" si="1120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21"/>
        <v>0</v>
      </c>
      <c r="G5502">
        <f t="shared" si="1122"/>
        <v>0</v>
      </c>
      <c r="H5502">
        <f t="shared" si="1123"/>
        <v>0</v>
      </c>
      <c r="I5502">
        <f t="shared" si="1124"/>
        <v>0</v>
      </c>
      <c r="J5502">
        <f t="shared" si="1125"/>
        <v>0</v>
      </c>
      <c r="K5502" s="4" t="e">
        <f t="shared" si="1126"/>
        <v>#N/A</v>
      </c>
      <c r="L5502" t="e">
        <f t="shared" si="1127"/>
        <v>#N/A</v>
      </c>
      <c r="M5502" s="4" t="e">
        <f t="shared" si="1128"/>
        <v>#N/A</v>
      </c>
      <c r="N5502" s="4" t="e">
        <f t="shared" si="1129"/>
        <v>#N/A</v>
      </c>
    </row>
    <row r="5503" spans="1:14">
      <c r="A5503">
        <f t="shared" si="1117"/>
        <v>0</v>
      </c>
      <c r="B5503">
        <f t="shared" si="1118"/>
        <v>0</v>
      </c>
      <c r="C5503">
        <f t="shared" si="1119"/>
        <v>0</v>
      </c>
      <c r="D5503">
        <f t="shared" si="1120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21"/>
        <v>0</v>
      </c>
      <c r="G5503">
        <f t="shared" si="1122"/>
        <v>0</v>
      </c>
      <c r="H5503">
        <f t="shared" si="1123"/>
        <v>0</v>
      </c>
      <c r="I5503">
        <f t="shared" si="1124"/>
        <v>0</v>
      </c>
      <c r="J5503">
        <f t="shared" si="1125"/>
        <v>0</v>
      </c>
      <c r="K5503" s="4" t="e">
        <f t="shared" si="1126"/>
        <v>#N/A</v>
      </c>
      <c r="L5503" t="e">
        <f t="shared" si="1127"/>
        <v>#N/A</v>
      </c>
      <c r="M5503" s="4" t="e">
        <f t="shared" si="1128"/>
        <v>#N/A</v>
      </c>
      <c r="N5503" s="4" t="e">
        <f t="shared" si="1129"/>
        <v>#N/A</v>
      </c>
    </row>
    <row r="5504" spans="1:14">
      <c r="A5504">
        <f t="shared" si="1117"/>
        <v>0</v>
      </c>
      <c r="B5504">
        <f t="shared" si="1118"/>
        <v>0</v>
      </c>
      <c r="C5504">
        <f t="shared" si="1119"/>
        <v>0</v>
      </c>
      <c r="D5504">
        <f t="shared" si="1120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21"/>
        <v>0</v>
      </c>
      <c r="G5504">
        <f t="shared" si="1122"/>
        <v>0</v>
      </c>
      <c r="H5504">
        <f t="shared" si="1123"/>
        <v>0</v>
      </c>
      <c r="I5504">
        <f t="shared" si="1124"/>
        <v>0</v>
      </c>
      <c r="J5504">
        <f t="shared" si="1125"/>
        <v>0</v>
      </c>
      <c r="K5504" s="4" t="e">
        <f t="shared" si="1126"/>
        <v>#N/A</v>
      </c>
      <c r="L5504" t="e">
        <f t="shared" si="1127"/>
        <v>#N/A</v>
      </c>
      <c r="M5504" s="4" t="e">
        <f t="shared" si="1128"/>
        <v>#N/A</v>
      </c>
      <c r="N5504" s="4" t="e">
        <f t="shared" si="1129"/>
        <v>#N/A</v>
      </c>
    </row>
    <row r="5505" spans="1:14">
      <c r="A5505">
        <f t="shared" si="1117"/>
        <v>0</v>
      </c>
      <c r="B5505">
        <f t="shared" si="1118"/>
        <v>0</v>
      </c>
      <c r="C5505">
        <f t="shared" si="1119"/>
        <v>0</v>
      </c>
      <c r="D5505">
        <f t="shared" si="1120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21"/>
        <v>0</v>
      </c>
      <c r="G5505">
        <f t="shared" si="1122"/>
        <v>0</v>
      </c>
      <c r="H5505">
        <f t="shared" si="1123"/>
        <v>0</v>
      </c>
      <c r="I5505">
        <f t="shared" si="1124"/>
        <v>0</v>
      </c>
      <c r="J5505">
        <f t="shared" si="1125"/>
        <v>0</v>
      </c>
      <c r="K5505" s="4" t="e">
        <f t="shared" si="1126"/>
        <v>#N/A</v>
      </c>
      <c r="L5505" t="e">
        <f t="shared" si="1127"/>
        <v>#N/A</v>
      </c>
      <c r="M5505" s="4" t="e">
        <f t="shared" si="1128"/>
        <v>#N/A</v>
      </c>
      <c r="N5505" s="4" t="e">
        <f t="shared" si="1129"/>
        <v>#N/A</v>
      </c>
    </row>
    <row r="5506" spans="1:14">
      <c r="A5506">
        <f t="shared" ref="A5506:A5569" si="1130">bd_campaign</f>
        <v>0</v>
      </c>
      <c r="B5506">
        <f t="shared" ref="B5506:B5569" si="1131">bd_site</f>
        <v>0</v>
      </c>
      <c r="C5506">
        <f t="shared" ref="C5506:C5569" si="1132">bd_placement</f>
        <v>0</v>
      </c>
      <c r="D5506">
        <f t="shared" ref="D5506:D5569" si="1133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4">bd_ad</f>
        <v>0</v>
      </c>
      <c r="G5506">
        <f t="shared" ref="G5506:G5569" si="1135">bd_adid</f>
        <v>0</v>
      </c>
      <c r="H5506">
        <f t="shared" ref="H5506:H5569" si="1136">bd_creativetype</f>
        <v>0</v>
      </c>
      <c r="I5506">
        <f t="shared" ref="I5506:I5569" si="1137">bd_impression</f>
        <v>0</v>
      </c>
      <c r="J5506">
        <f t="shared" ref="J5506:J5569" si="1138">bd_clicks</f>
        <v>0</v>
      </c>
      <c r="K5506" s="4" t="e">
        <f t="shared" si="1126"/>
        <v>#N/A</v>
      </c>
      <c r="L5506" t="e">
        <f t="shared" si="1127"/>
        <v>#N/A</v>
      </c>
      <c r="M5506" s="4" t="e">
        <f t="shared" si="1128"/>
        <v>#N/A</v>
      </c>
      <c r="N5506" s="4" t="e">
        <f t="shared" si="1129"/>
        <v>#N/A</v>
      </c>
    </row>
    <row r="5507" spans="1:14">
      <c r="A5507">
        <f t="shared" si="1130"/>
        <v>0</v>
      </c>
      <c r="B5507">
        <f t="shared" si="1131"/>
        <v>0</v>
      </c>
      <c r="C5507">
        <f t="shared" si="1132"/>
        <v>0</v>
      </c>
      <c r="D5507">
        <f t="shared" si="1133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4"/>
        <v>0</v>
      </c>
      <c r="G5507">
        <f t="shared" si="1135"/>
        <v>0</v>
      </c>
      <c r="H5507">
        <f t="shared" si="1136"/>
        <v>0</v>
      </c>
      <c r="I5507">
        <f t="shared" si="1137"/>
        <v>0</v>
      </c>
      <c r="J5507">
        <f t="shared" si="1138"/>
        <v>0</v>
      </c>
      <c r="K5507" s="4" t="e">
        <f t="shared" si="1126"/>
        <v>#N/A</v>
      </c>
      <c r="L5507" t="e">
        <f t="shared" si="1127"/>
        <v>#N/A</v>
      </c>
      <c r="M5507" s="4" t="e">
        <f t="shared" si="1128"/>
        <v>#N/A</v>
      </c>
      <c r="N5507" s="4" t="e">
        <f t="shared" si="1129"/>
        <v>#N/A</v>
      </c>
    </row>
    <row r="5508" spans="1:14">
      <c r="A5508">
        <f t="shared" si="1130"/>
        <v>0</v>
      </c>
      <c r="B5508">
        <f t="shared" si="1131"/>
        <v>0</v>
      </c>
      <c r="C5508">
        <f t="shared" si="1132"/>
        <v>0</v>
      </c>
      <c r="D5508">
        <f t="shared" si="1133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4"/>
        <v>0</v>
      </c>
      <c r="G5508">
        <f t="shared" si="1135"/>
        <v>0</v>
      </c>
      <c r="H5508">
        <f t="shared" si="1136"/>
        <v>0</v>
      </c>
      <c r="I5508">
        <f t="shared" si="1137"/>
        <v>0</v>
      </c>
      <c r="J5508">
        <f t="shared" si="1138"/>
        <v>0</v>
      </c>
      <c r="K5508" s="4" t="e">
        <f t="shared" si="1126"/>
        <v>#N/A</v>
      </c>
      <c r="L5508" t="e">
        <f t="shared" si="1127"/>
        <v>#N/A</v>
      </c>
      <c r="M5508" s="4" t="e">
        <f t="shared" si="1128"/>
        <v>#N/A</v>
      </c>
      <c r="N5508" s="4" t="e">
        <f t="shared" si="1129"/>
        <v>#N/A</v>
      </c>
    </row>
    <row r="5509" spans="1:14">
      <c r="A5509">
        <f t="shared" si="1130"/>
        <v>0</v>
      </c>
      <c r="B5509">
        <f t="shared" si="1131"/>
        <v>0</v>
      </c>
      <c r="C5509">
        <f t="shared" si="1132"/>
        <v>0</v>
      </c>
      <c r="D5509">
        <f t="shared" si="1133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4"/>
        <v>0</v>
      </c>
      <c r="G5509">
        <f t="shared" si="1135"/>
        <v>0</v>
      </c>
      <c r="H5509">
        <f t="shared" si="1136"/>
        <v>0</v>
      </c>
      <c r="I5509">
        <f t="shared" si="1137"/>
        <v>0</v>
      </c>
      <c r="J5509">
        <f t="shared" si="1138"/>
        <v>0</v>
      </c>
      <c r="K5509" s="4" t="e">
        <f t="shared" si="1126"/>
        <v>#N/A</v>
      </c>
      <c r="L5509" t="e">
        <f t="shared" si="1127"/>
        <v>#N/A</v>
      </c>
      <c r="M5509" s="4" t="e">
        <f t="shared" si="1128"/>
        <v>#N/A</v>
      </c>
      <c r="N5509" s="4" t="e">
        <f t="shared" si="1129"/>
        <v>#N/A</v>
      </c>
    </row>
    <row r="5510" spans="1:14">
      <c r="A5510">
        <f t="shared" si="1130"/>
        <v>0</v>
      </c>
      <c r="B5510">
        <f t="shared" si="1131"/>
        <v>0</v>
      </c>
      <c r="C5510">
        <f t="shared" si="1132"/>
        <v>0</v>
      </c>
      <c r="D5510">
        <f t="shared" si="1133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4"/>
        <v>0</v>
      </c>
      <c r="G5510">
        <f t="shared" si="1135"/>
        <v>0</v>
      </c>
      <c r="H5510">
        <f t="shared" si="1136"/>
        <v>0</v>
      </c>
      <c r="I5510">
        <f t="shared" si="1137"/>
        <v>0</v>
      </c>
      <c r="J5510">
        <f t="shared" si="1138"/>
        <v>0</v>
      </c>
      <c r="K5510" s="4" t="e">
        <f t="shared" si="1126"/>
        <v>#N/A</v>
      </c>
      <c r="L5510" t="e">
        <f t="shared" si="1127"/>
        <v>#N/A</v>
      </c>
      <c r="M5510" s="4" t="e">
        <f t="shared" si="1128"/>
        <v>#N/A</v>
      </c>
      <c r="N5510" s="4" t="e">
        <f t="shared" si="1129"/>
        <v>#N/A</v>
      </c>
    </row>
    <row r="5511" spans="1:14">
      <c r="A5511">
        <f t="shared" si="1130"/>
        <v>0</v>
      </c>
      <c r="B5511">
        <f t="shared" si="1131"/>
        <v>0</v>
      </c>
      <c r="C5511">
        <f t="shared" si="1132"/>
        <v>0</v>
      </c>
      <c r="D5511">
        <f t="shared" si="1133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4"/>
        <v>0</v>
      </c>
      <c r="G5511">
        <f t="shared" si="1135"/>
        <v>0</v>
      </c>
      <c r="H5511">
        <f t="shared" si="1136"/>
        <v>0</v>
      </c>
      <c r="I5511">
        <f t="shared" si="1137"/>
        <v>0</v>
      </c>
      <c r="J5511">
        <f t="shared" si="1138"/>
        <v>0</v>
      </c>
      <c r="K5511" s="4" t="e">
        <f t="shared" si="1126"/>
        <v>#N/A</v>
      </c>
      <c r="L5511" t="e">
        <f t="shared" si="1127"/>
        <v>#N/A</v>
      </c>
      <c r="M5511" s="4" t="e">
        <f t="shared" si="1128"/>
        <v>#N/A</v>
      </c>
      <c r="N5511" s="4" t="e">
        <f t="shared" si="1129"/>
        <v>#N/A</v>
      </c>
    </row>
    <row r="5512" spans="1:14">
      <c r="A5512">
        <f t="shared" si="1130"/>
        <v>0</v>
      </c>
      <c r="B5512">
        <f t="shared" si="1131"/>
        <v>0</v>
      </c>
      <c r="C5512">
        <f t="shared" si="1132"/>
        <v>0</v>
      </c>
      <c r="D5512">
        <f t="shared" si="1133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4"/>
        <v>0</v>
      </c>
      <c r="G5512">
        <f t="shared" si="1135"/>
        <v>0</v>
      </c>
      <c r="H5512">
        <f t="shared" si="1136"/>
        <v>0</v>
      </c>
      <c r="I5512">
        <f t="shared" si="1137"/>
        <v>0</v>
      </c>
      <c r="J5512">
        <f t="shared" si="1138"/>
        <v>0</v>
      </c>
      <c r="K5512" s="4" t="e">
        <f t="shared" si="1126"/>
        <v>#N/A</v>
      </c>
      <c r="L5512" t="e">
        <f t="shared" si="1127"/>
        <v>#N/A</v>
      </c>
      <c r="M5512" s="4" t="e">
        <f t="shared" si="1128"/>
        <v>#N/A</v>
      </c>
      <c r="N5512" s="4" t="e">
        <f t="shared" si="1129"/>
        <v>#N/A</v>
      </c>
    </row>
    <row r="5513" spans="1:14">
      <c r="A5513">
        <f t="shared" si="1130"/>
        <v>0</v>
      </c>
      <c r="B5513">
        <f t="shared" si="1131"/>
        <v>0</v>
      </c>
      <c r="C5513">
        <f t="shared" si="1132"/>
        <v>0</v>
      </c>
      <c r="D5513">
        <f t="shared" si="1133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4"/>
        <v>0</v>
      </c>
      <c r="G5513">
        <f t="shared" si="1135"/>
        <v>0</v>
      </c>
      <c r="H5513">
        <f t="shared" si="1136"/>
        <v>0</v>
      </c>
      <c r="I5513">
        <f t="shared" si="1137"/>
        <v>0</v>
      </c>
      <c r="J5513">
        <f t="shared" si="1138"/>
        <v>0</v>
      </c>
      <c r="K5513" s="4" t="e">
        <f t="shared" si="1126"/>
        <v>#N/A</v>
      </c>
      <c r="L5513" t="e">
        <f t="shared" si="1127"/>
        <v>#N/A</v>
      </c>
      <c r="M5513" s="4" t="e">
        <f t="shared" si="1128"/>
        <v>#N/A</v>
      </c>
      <c r="N5513" s="4" t="e">
        <f t="shared" si="1129"/>
        <v>#N/A</v>
      </c>
    </row>
    <row r="5514" spans="1:14">
      <c r="A5514">
        <f t="shared" si="1130"/>
        <v>0</v>
      </c>
      <c r="B5514">
        <f t="shared" si="1131"/>
        <v>0</v>
      </c>
      <c r="C5514">
        <f t="shared" si="1132"/>
        <v>0</v>
      </c>
      <c r="D5514">
        <f t="shared" si="1133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4"/>
        <v>0</v>
      </c>
      <c r="G5514">
        <f t="shared" si="1135"/>
        <v>0</v>
      </c>
      <c r="H5514">
        <f t="shared" si="1136"/>
        <v>0</v>
      </c>
      <c r="I5514">
        <f t="shared" si="1137"/>
        <v>0</v>
      </c>
      <c r="J5514">
        <f t="shared" si="1138"/>
        <v>0</v>
      </c>
      <c r="K5514" s="4" t="e">
        <f t="shared" si="1126"/>
        <v>#N/A</v>
      </c>
      <c r="L5514" t="e">
        <f t="shared" si="1127"/>
        <v>#N/A</v>
      </c>
      <c r="M5514" s="4" t="e">
        <f t="shared" si="1128"/>
        <v>#N/A</v>
      </c>
      <c r="N5514" s="4" t="e">
        <f t="shared" si="1129"/>
        <v>#N/A</v>
      </c>
    </row>
    <row r="5515" spans="1:14">
      <c r="A5515">
        <f t="shared" si="1130"/>
        <v>0</v>
      </c>
      <c r="B5515">
        <f t="shared" si="1131"/>
        <v>0</v>
      </c>
      <c r="C5515">
        <f t="shared" si="1132"/>
        <v>0</v>
      </c>
      <c r="D5515">
        <f t="shared" si="1133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4"/>
        <v>0</v>
      </c>
      <c r="G5515">
        <f t="shared" si="1135"/>
        <v>0</v>
      </c>
      <c r="H5515">
        <f t="shared" si="1136"/>
        <v>0</v>
      </c>
      <c r="I5515">
        <f t="shared" si="1137"/>
        <v>0</v>
      </c>
      <c r="J5515">
        <f t="shared" si="1138"/>
        <v>0</v>
      </c>
      <c r="K5515" s="4" t="e">
        <f t="shared" si="1126"/>
        <v>#N/A</v>
      </c>
      <c r="L5515" t="e">
        <f t="shared" si="1127"/>
        <v>#N/A</v>
      </c>
      <c r="M5515" s="4" t="e">
        <f t="shared" si="1128"/>
        <v>#N/A</v>
      </c>
      <c r="N5515" s="4" t="e">
        <f t="shared" si="1129"/>
        <v>#N/A</v>
      </c>
    </row>
    <row r="5516" spans="1:14">
      <c r="A5516">
        <f t="shared" si="1130"/>
        <v>0</v>
      </c>
      <c r="B5516">
        <f t="shared" si="1131"/>
        <v>0</v>
      </c>
      <c r="C5516">
        <f t="shared" si="1132"/>
        <v>0</v>
      </c>
      <c r="D5516">
        <f t="shared" si="1133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4"/>
        <v>0</v>
      </c>
      <c r="G5516">
        <f t="shared" si="1135"/>
        <v>0</v>
      </c>
      <c r="H5516">
        <f t="shared" si="1136"/>
        <v>0</v>
      </c>
      <c r="I5516">
        <f t="shared" si="1137"/>
        <v>0</v>
      </c>
      <c r="J5516">
        <f t="shared" si="1138"/>
        <v>0</v>
      </c>
      <c r="K5516" s="4" t="e">
        <f t="shared" si="1126"/>
        <v>#N/A</v>
      </c>
      <c r="L5516" t="e">
        <f t="shared" si="1127"/>
        <v>#N/A</v>
      </c>
      <c r="M5516" s="4" t="e">
        <f t="shared" si="1128"/>
        <v>#N/A</v>
      </c>
      <c r="N5516" s="4" t="e">
        <f t="shared" si="1129"/>
        <v>#N/A</v>
      </c>
    </row>
    <row r="5517" spans="1:14">
      <c r="A5517">
        <f t="shared" si="1130"/>
        <v>0</v>
      </c>
      <c r="B5517">
        <f t="shared" si="1131"/>
        <v>0</v>
      </c>
      <c r="C5517">
        <f t="shared" si="1132"/>
        <v>0</v>
      </c>
      <c r="D5517">
        <f t="shared" si="1133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4"/>
        <v>0</v>
      </c>
      <c r="G5517">
        <f t="shared" si="1135"/>
        <v>0</v>
      </c>
      <c r="H5517">
        <f t="shared" si="1136"/>
        <v>0</v>
      </c>
      <c r="I5517">
        <f t="shared" si="1137"/>
        <v>0</v>
      </c>
      <c r="J5517">
        <f t="shared" si="1138"/>
        <v>0</v>
      </c>
      <c r="K5517" s="4" t="e">
        <f t="shared" si="1126"/>
        <v>#N/A</v>
      </c>
      <c r="L5517" t="e">
        <f t="shared" si="1127"/>
        <v>#N/A</v>
      </c>
      <c r="M5517" s="4" t="e">
        <f t="shared" si="1128"/>
        <v>#N/A</v>
      </c>
      <c r="N5517" s="4" t="e">
        <f t="shared" si="1129"/>
        <v>#N/A</v>
      </c>
    </row>
    <row r="5518" spans="1:14">
      <c r="A5518">
        <f t="shared" si="1130"/>
        <v>0</v>
      </c>
      <c r="B5518">
        <f t="shared" si="1131"/>
        <v>0</v>
      </c>
      <c r="C5518">
        <f t="shared" si="1132"/>
        <v>0</v>
      </c>
      <c r="D5518">
        <f t="shared" si="1133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4"/>
        <v>0</v>
      </c>
      <c r="G5518">
        <f t="shared" si="1135"/>
        <v>0</v>
      </c>
      <c r="H5518">
        <f t="shared" si="1136"/>
        <v>0</v>
      </c>
      <c r="I5518">
        <f t="shared" si="1137"/>
        <v>0</v>
      </c>
      <c r="J5518">
        <f t="shared" si="1138"/>
        <v>0</v>
      </c>
      <c r="K5518" s="4" t="e">
        <f t="shared" si="1126"/>
        <v>#N/A</v>
      </c>
      <c r="L5518" t="e">
        <f t="shared" si="1127"/>
        <v>#N/A</v>
      </c>
      <c r="M5518" s="4" t="e">
        <f t="shared" si="1128"/>
        <v>#N/A</v>
      </c>
      <c r="N5518" s="4" t="e">
        <f t="shared" si="1129"/>
        <v>#N/A</v>
      </c>
    </row>
    <row r="5519" spans="1:14">
      <c r="A5519">
        <f t="shared" si="1130"/>
        <v>0</v>
      </c>
      <c r="B5519">
        <f t="shared" si="1131"/>
        <v>0</v>
      </c>
      <c r="C5519">
        <f t="shared" si="1132"/>
        <v>0</v>
      </c>
      <c r="D5519">
        <f t="shared" si="1133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4"/>
        <v>0</v>
      </c>
      <c r="G5519">
        <f t="shared" si="1135"/>
        <v>0</v>
      </c>
      <c r="H5519">
        <f t="shared" si="1136"/>
        <v>0</v>
      </c>
      <c r="I5519">
        <f t="shared" si="1137"/>
        <v>0</v>
      </c>
      <c r="J5519">
        <f t="shared" si="1138"/>
        <v>0</v>
      </c>
      <c r="K5519" s="4" t="e">
        <f t="shared" si="1126"/>
        <v>#N/A</v>
      </c>
      <c r="L5519" t="e">
        <f t="shared" si="1127"/>
        <v>#N/A</v>
      </c>
      <c r="M5519" s="4" t="e">
        <f t="shared" si="1128"/>
        <v>#N/A</v>
      </c>
      <c r="N5519" s="4" t="e">
        <f t="shared" si="1129"/>
        <v>#N/A</v>
      </c>
    </row>
    <row r="5520" spans="1:14">
      <c r="A5520">
        <f t="shared" si="1130"/>
        <v>0</v>
      </c>
      <c r="B5520">
        <f t="shared" si="1131"/>
        <v>0</v>
      </c>
      <c r="C5520">
        <f t="shared" si="1132"/>
        <v>0</v>
      </c>
      <c r="D5520">
        <f t="shared" si="1133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4"/>
        <v>0</v>
      </c>
      <c r="G5520">
        <f t="shared" si="1135"/>
        <v>0</v>
      </c>
      <c r="H5520">
        <f t="shared" si="1136"/>
        <v>0</v>
      </c>
      <c r="I5520">
        <f t="shared" si="1137"/>
        <v>0</v>
      </c>
      <c r="J5520">
        <f t="shared" si="1138"/>
        <v>0</v>
      </c>
      <c r="K5520" s="4" t="e">
        <f t="shared" si="1126"/>
        <v>#N/A</v>
      </c>
      <c r="L5520" t="e">
        <f t="shared" si="1127"/>
        <v>#N/A</v>
      </c>
      <c r="M5520" s="4" t="e">
        <f t="shared" si="1128"/>
        <v>#N/A</v>
      </c>
      <c r="N5520" s="4" t="e">
        <f t="shared" si="1129"/>
        <v>#N/A</v>
      </c>
    </row>
    <row r="5521" spans="1:14">
      <c r="A5521">
        <f t="shared" si="1130"/>
        <v>0</v>
      </c>
      <c r="B5521">
        <f t="shared" si="1131"/>
        <v>0</v>
      </c>
      <c r="C5521">
        <f t="shared" si="1132"/>
        <v>0</v>
      </c>
      <c r="D5521">
        <f t="shared" si="1133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4"/>
        <v>0</v>
      </c>
      <c r="G5521">
        <f t="shared" si="1135"/>
        <v>0</v>
      </c>
      <c r="H5521">
        <f t="shared" si="1136"/>
        <v>0</v>
      </c>
      <c r="I5521">
        <f t="shared" si="1137"/>
        <v>0</v>
      </c>
      <c r="J5521">
        <f t="shared" si="1138"/>
        <v>0</v>
      </c>
      <c r="K5521" s="4" t="e">
        <f t="shared" si="1126"/>
        <v>#N/A</v>
      </c>
      <c r="L5521" t="e">
        <f t="shared" si="1127"/>
        <v>#N/A</v>
      </c>
      <c r="M5521" s="4" t="e">
        <f t="shared" si="1128"/>
        <v>#N/A</v>
      </c>
      <c r="N5521" s="4" t="e">
        <f t="shared" si="1129"/>
        <v>#N/A</v>
      </c>
    </row>
    <row r="5522" spans="1:14">
      <c r="A5522">
        <f t="shared" si="1130"/>
        <v>0</v>
      </c>
      <c r="B5522">
        <f t="shared" si="1131"/>
        <v>0</v>
      </c>
      <c r="C5522">
        <f t="shared" si="1132"/>
        <v>0</v>
      </c>
      <c r="D5522">
        <f t="shared" si="1133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4"/>
        <v>0</v>
      </c>
      <c r="G5522">
        <f t="shared" si="1135"/>
        <v>0</v>
      </c>
      <c r="H5522">
        <f t="shared" si="1136"/>
        <v>0</v>
      </c>
      <c r="I5522">
        <f t="shared" si="1137"/>
        <v>0</v>
      </c>
      <c r="J5522">
        <f t="shared" si="1138"/>
        <v>0</v>
      </c>
      <c r="K5522" s="4" t="e">
        <f t="shared" si="1126"/>
        <v>#N/A</v>
      </c>
      <c r="L5522" t="e">
        <f t="shared" si="1127"/>
        <v>#N/A</v>
      </c>
      <c r="M5522" s="4" t="e">
        <f t="shared" si="1128"/>
        <v>#N/A</v>
      </c>
      <c r="N5522" s="4" t="e">
        <f t="shared" si="1129"/>
        <v>#N/A</v>
      </c>
    </row>
    <row r="5523" spans="1:14">
      <c r="A5523">
        <f t="shared" si="1130"/>
        <v>0</v>
      </c>
      <c r="B5523">
        <f t="shared" si="1131"/>
        <v>0</v>
      </c>
      <c r="C5523">
        <f t="shared" si="1132"/>
        <v>0</v>
      </c>
      <c r="D5523">
        <f t="shared" si="1133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4"/>
        <v>0</v>
      </c>
      <c r="G5523">
        <f t="shared" si="1135"/>
        <v>0</v>
      </c>
      <c r="H5523">
        <f t="shared" si="1136"/>
        <v>0</v>
      </c>
      <c r="I5523">
        <f t="shared" si="1137"/>
        <v>0</v>
      </c>
      <c r="J5523">
        <f t="shared" si="1138"/>
        <v>0</v>
      </c>
      <c r="K5523" s="4" t="e">
        <f t="shared" si="1126"/>
        <v>#N/A</v>
      </c>
      <c r="L5523" t="e">
        <f t="shared" si="1127"/>
        <v>#N/A</v>
      </c>
      <c r="M5523" s="4" t="e">
        <f t="shared" si="1128"/>
        <v>#N/A</v>
      </c>
      <c r="N5523" s="4" t="e">
        <f t="shared" si="1129"/>
        <v>#N/A</v>
      </c>
    </row>
    <row r="5524" spans="1:14">
      <c r="A5524">
        <f t="shared" si="1130"/>
        <v>0</v>
      </c>
      <c r="B5524">
        <f t="shared" si="1131"/>
        <v>0</v>
      </c>
      <c r="C5524">
        <f t="shared" si="1132"/>
        <v>0</v>
      </c>
      <c r="D5524">
        <f t="shared" si="1133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4"/>
        <v>0</v>
      </c>
      <c r="G5524">
        <f t="shared" si="1135"/>
        <v>0</v>
      </c>
      <c r="H5524">
        <f t="shared" si="1136"/>
        <v>0</v>
      </c>
      <c r="I5524">
        <f t="shared" si="1137"/>
        <v>0</v>
      </c>
      <c r="J5524">
        <f t="shared" si="1138"/>
        <v>0</v>
      </c>
      <c r="K5524" s="4" t="e">
        <f t="shared" si="1126"/>
        <v>#N/A</v>
      </c>
      <c r="L5524" t="e">
        <f t="shared" si="1127"/>
        <v>#N/A</v>
      </c>
      <c r="M5524" s="4" t="e">
        <f t="shared" si="1128"/>
        <v>#N/A</v>
      </c>
      <c r="N5524" s="4" t="e">
        <f t="shared" si="1129"/>
        <v>#N/A</v>
      </c>
    </row>
    <row r="5525" spans="1:14">
      <c r="A5525">
        <f t="shared" si="1130"/>
        <v>0</v>
      </c>
      <c r="B5525">
        <f t="shared" si="1131"/>
        <v>0</v>
      </c>
      <c r="C5525">
        <f t="shared" si="1132"/>
        <v>0</v>
      </c>
      <c r="D5525">
        <f t="shared" si="1133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4"/>
        <v>0</v>
      </c>
      <c r="G5525">
        <f t="shared" si="1135"/>
        <v>0</v>
      </c>
      <c r="H5525">
        <f t="shared" si="1136"/>
        <v>0</v>
      </c>
      <c r="I5525">
        <f t="shared" si="1137"/>
        <v>0</v>
      </c>
      <c r="J5525">
        <f t="shared" si="1138"/>
        <v>0</v>
      </c>
      <c r="K5525" s="4" t="e">
        <f t="shared" si="1126"/>
        <v>#N/A</v>
      </c>
      <c r="L5525" t="e">
        <f t="shared" si="1127"/>
        <v>#N/A</v>
      </c>
      <c r="M5525" s="4" t="e">
        <f t="shared" si="1128"/>
        <v>#N/A</v>
      </c>
      <c r="N5525" s="4" t="e">
        <f t="shared" si="1129"/>
        <v>#N/A</v>
      </c>
    </row>
    <row r="5526" spans="1:14">
      <c r="A5526">
        <f t="shared" si="1130"/>
        <v>0</v>
      </c>
      <c r="B5526">
        <f t="shared" si="1131"/>
        <v>0</v>
      </c>
      <c r="C5526">
        <f t="shared" si="1132"/>
        <v>0</v>
      </c>
      <c r="D5526">
        <f t="shared" si="1133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4"/>
        <v>0</v>
      </c>
      <c r="G5526">
        <f t="shared" si="1135"/>
        <v>0</v>
      </c>
      <c r="H5526">
        <f t="shared" si="1136"/>
        <v>0</v>
      </c>
      <c r="I5526">
        <f t="shared" si="1137"/>
        <v>0</v>
      </c>
      <c r="J5526">
        <f t="shared" si="1138"/>
        <v>0</v>
      </c>
      <c r="K5526" s="4" t="e">
        <f t="shared" si="1126"/>
        <v>#N/A</v>
      </c>
      <c r="L5526" t="e">
        <f t="shared" si="1127"/>
        <v>#N/A</v>
      </c>
      <c r="M5526" s="4" t="e">
        <f t="shared" si="1128"/>
        <v>#N/A</v>
      </c>
      <c r="N5526" s="4" t="e">
        <f t="shared" si="1129"/>
        <v>#N/A</v>
      </c>
    </row>
    <row r="5527" spans="1:14">
      <c r="A5527">
        <f t="shared" si="1130"/>
        <v>0</v>
      </c>
      <c r="B5527">
        <f t="shared" si="1131"/>
        <v>0</v>
      </c>
      <c r="C5527">
        <f t="shared" si="1132"/>
        <v>0</v>
      </c>
      <c r="D5527">
        <f t="shared" si="1133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4"/>
        <v>0</v>
      </c>
      <c r="G5527">
        <f t="shared" si="1135"/>
        <v>0</v>
      </c>
      <c r="H5527">
        <f t="shared" si="1136"/>
        <v>0</v>
      </c>
      <c r="I5527">
        <f t="shared" si="1137"/>
        <v>0</v>
      </c>
      <c r="J5527">
        <f t="shared" si="1138"/>
        <v>0</v>
      </c>
      <c r="K5527" s="4" t="e">
        <f t="shared" si="1126"/>
        <v>#N/A</v>
      </c>
      <c r="L5527" t="e">
        <f t="shared" si="1127"/>
        <v>#N/A</v>
      </c>
      <c r="M5527" s="4" t="e">
        <f t="shared" si="1128"/>
        <v>#N/A</v>
      </c>
      <c r="N5527" s="4" t="e">
        <f t="shared" si="1129"/>
        <v>#N/A</v>
      </c>
    </row>
    <row r="5528" spans="1:14">
      <c r="A5528">
        <f t="shared" si="1130"/>
        <v>0</v>
      </c>
      <c r="B5528">
        <f t="shared" si="1131"/>
        <v>0</v>
      </c>
      <c r="C5528">
        <f t="shared" si="1132"/>
        <v>0</v>
      </c>
      <c r="D5528">
        <f t="shared" si="1133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4"/>
        <v>0</v>
      </c>
      <c r="G5528">
        <f t="shared" si="1135"/>
        <v>0</v>
      </c>
      <c r="H5528">
        <f t="shared" si="1136"/>
        <v>0</v>
      </c>
      <c r="I5528">
        <f t="shared" si="1137"/>
        <v>0</v>
      </c>
      <c r="J5528">
        <f t="shared" si="1138"/>
        <v>0</v>
      </c>
      <c r="K5528" s="4" t="e">
        <f t="shared" si="1126"/>
        <v>#N/A</v>
      </c>
      <c r="L5528" t="e">
        <f t="shared" si="1127"/>
        <v>#N/A</v>
      </c>
      <c r="M5528" s="4" t="e">
        <f t="shared" si="1128"/>
        <v>#N/A</v>
      </c>
      <c r="N5528" s="4" t="e">
        <f t="shared" si="1129"/>
        <v>#N/A</v>
      </c>
    </row>
    <row r="5529" spans="1:14">
      <c r="A5529">
        <f t="shared" si="1130"/>
        <v>0</v>
      </c>
      <c r="B5529">
        <f t="shared" si="1131"/>
        <v>0</v>
      </c>
      <c r="C5529">
        <f t="shared" si="1132"/>
        <v>0</v>
      </c>
      <c r="D5529">
        <f t="shared" si="1133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4"/>
        <v>0</v>
      </c>
      <c r="G5529">
        <f t="shared" si="1135"/>
        <v>0</v>
      </c>
      <c r="H5529">
        <f t="shared" si="1136"/>
        <v>0</v>
      </c>
      <c r="I5529">
        <f t="shared" si="1137"/>
        <v>0</v>
      </c>
      <c r="J5529">
        <f t="shared" si="1138"/>
        <v>0</v>
      </c>
      <c r="K5529" s="4" t="e">
        <f t="shared" si="1126"/>
        <v>#N/A</v>
      </c>
      <c r="L5529" t="e">
        <f t="shared" si="1127"/>
        <v>#N/A</v>
      </c>
      <c r="M5529" s="4" t="e">
        <f t="shared" si="1128"/>
        <v>#N/A</v>
      </c>
      <c r="N5529" s="4" t="e">
        <f t="shared" si="1129"/>
        <v>#N/A</v>
      </c>
    </row>
    <row r="5530" spans="1:14">
      <c r="A5530">
        <f t="shared" si="1130"/>
        <v>0</v>
      </c>
      <c r="B5530">
        <f t="shared" si="1131"/>
        <v>0</v>
      </c>
      <c r="C5530">
        <f t="shared" si="1132"/>
        <v>0</v>
      </c>
      <c r="D5530">
        <f t="shared" si="1133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4"/>
        <v>0</v>
      </c>
      <c r="G5530">
        <f t="shared" si="1135"/>
        <v>0</v>
      </c>
      <c r="H5530">
        <f t="shared" si="1136"/>
        <v>0</v>
      </c>
      <c r="I5530">
        <f t="shared" si="1137"/>
        <v>0</v>
      </c>
      <c r="J5530">
        <f t="shared" si="1138"/>
        <v>0</v>
      </c>
      <c r="K5530" s="4" t="e">
        <f t="shared" si="1126"/>
        <v>#N/A</v>
      </c>
      <c r="L5530" t="e">
        <f t="shared" si="1127"/>
        <v>#N/A</v>
      </c>
      <c r="M5530" s="4" t="e">
        <f t="shared" si="1128"/>
        <v>#N/A</v>
      </c>
      <c r="N5530" s="4" t="e">
        <f t="shared" si="1129"/>
        <v>#N/A</v>
      </c>
    </row>
    <row r="5531" spans="1:14">
      <c r="A5531">
        <f t="shared" si="1130"/>
        <v>0</v>
      </c>
      <c r="B5531">
        <f t="shared" si="1131"/>
        <v>0</v>
      </c>
      <c r="C5531">
        <f t="shared" si="1132"/>
        <v>0</v>
      </c>
      <c r="D5531">
        <f t="shared" si="1133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4"/>
        <v>0</v>
      </c>
      <c r="G5531">
        <f t="shared" si="1135"/>
        <v>0</v>
      </c>
      <c r="H5531">
        <f t="shared" si="1136"/>
        <v>0</v>
      </c>
      <c r="I5531">
        <f t="shared" si="1137"/>
        <v>0</v>
      </c>
      <c r="J5531">
        <f t="shared" si="1138"/>
        <v>0</v>
      </c>
      <c r="K5531" s="4" t="e">
        <f t="shared" si="1126"/>
        <v>#N/A</v>
      </c>
      <c r="L5531" t="e">
        <f t="shared" si="1127"/>
        <v>#N/A</v>
      </c>
      <c r="M5531" s="4" t="e">
        <f t="shared" si="1128"/>
        <v>#N/A</v>
      </c>
      <c r="N5531" s="4" t="e">
        <f t="shared" si="1129"/>
        <v>#N/A</v>
      </c>
    </row>
    <row r="5532" spans="1:14">
      <c r="A5532">
        <f t="shared" si="1130"/>
        <v>0</v>
      </c>
      <c r="B5532">
        <f t="shared" si="1131"/>
        <v>0</v>
      </c>
      <c r="C5532">
        <f t="shared" si="1132"/>
        <v>0</v>
      </c>
      <c r="D5532">
        <f t="shared" si="1133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4"/>
        <v>0</v>
      </c>
      <c r="G5532">
        <f t="shared" si="1135"/>
        <v>0</v>
      </c>
      <c r="H5532">
        <f t="shared" si="1136"/>
        <v>0</v>
      </c>
      <c r="I5532">
        <f t="shared" si="1137"/>
        <v>0</v>
      </c>
      <c r="J5532">
        <f t="shared" si="1138"/>
        <v>0</v>
      </c>
      <c r="K5532" s="4" t="e">
        <f t="shared" si="1126"/>
        <v>#N/A</v>
      </c>
      <c r="L5532" t="e">
        <f t="shared" si="1127"/>
        <v>#N/A</v>
      </c>
      <c r="M5532" s="4" t="e">
        <f t="shared" si="1128"/>
        <v>#N/A</v>
      </c>
      <c r="N5532" s="4" t="e">
        <f t="shared" si="1129"/>
        <v>#N/A</v>
      </c>
    </row>
    <row r="5533" spans="1:14">
      <c r="A5533">
        <f t="shared" si="1130"/>
        <v>0</v>
      </c>
      <c r="B5533">
        <f t="shared" si="1131"/>
        <v>0</v>
      </c>
      <c r="C5533">
        <f t="shared" si="1132"/>
        <v>0</v>
      </c>
      <c r="D5533">
        <f t="shared" si="1133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4"/>
        <v>0</v>
      </c>
      <c r="G5533">
        <f t="shared" si="1135"/>
        <v>0</v>
      </c>
      <c r="H5533">
        <f t="shared" si="1136"/>
        <v>0</v>
      </c>
      <c r="I5533">
        <f t="shared" si="1137"/>
        <v>0</v>
      </c>
      <c r="J5533">
        <f t="shared" si="1138"/>
        <v>0</v>
      </c>
      <c r="K5533" s="4" t="e">
        <f t="shared" si="1126"/>
        <v>#N/A</v>
      </c>
      <c r="L5533" t="e">
        <f t="shared" si="1127"/>
        <v>#N/A</v>
      </c>
      <c r="M5533" s="4" t="e">
        <f t="shared" si="1128"/>
        <v>#N/A</v>
      </c>
      <c r="N5533" s="4" t="e">
        <f t="shared" si="1129"/>
        <v>#N/A</v>
      </c>
    </row>
    <row r="5534" spans="1:14">
      <c r="A5534">
        <f t="shared" si="1130"/>
        <v>0</v>
      </c>
      <c r="B5534">
        <f t="shared" si="1131"/>
        <v>0</v>
      </c>
      <c r="C5534">
        <f t="shared" si="1132"/>
        <v>0</v>
      </c>
      <c r="D5534">
        <f t="shared" si="1133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4"/>
        <v>0</v>
      </c>
      <c r="G5534">
        <f t="shared" si="1135"/>
        <v>0</v>
      </c>
      <c r="H5534">
        <f t="shared" si="1136"/>
        <v>0</v>
      </c>
      <c r="I5534">
        <f t="shared" si="1137"/>
        <v>0</v>
      </c>
      <c r="J5534">
        <f t="shared" si="1138"/>
        <v>0</v>
      </c>
      <c r="K5534" s="4" t="e">
        <f t="shared" si="1126"/>
        <v>#N/A</v>
      </c>
      <c r="L5534" t="e">
        <f t="shared" si="1127"/>
        <v>#N/A</v>
      </c>
      <c r="M5534" s="4" t="e">
        <f t="shared" si="1128"/>
        <v>#N/A</v>
      </c>
      <c r="N5534" s="4" t="e">
        <f t="shared" si="1129"/>
        <v>#N/A</v>
      </c>
    </row>
    <row r="5535" spans="1:14">
      <c r="A5535">
        <f t="shared" si="1130"/>
        <v>0</v>
      </c>
      <c r="B5535">
        <f t="shared" si="1131"/>
        <v>0</v>
      </c>
      <c r="C5535">
        <f t="shared" si="1132"/>
        <v>0</v>
      </c>
      <c r="D5535">
        <f t="shared" si="1133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4"/>
        <v>0</v>
      </c>
      <c r="G5535">
        <f t="shared" si="1135"/>
        <v>0</v>
      </c>
      <c r="H5535">
        <f t="shared" si="1136"/>
        <v>0</v>
      </c>
      <c r="I5535">
        <f t="shared" si="1137"/>
        <v>0</v>
      </c>
      <c r="J5535">
        <f t="shared" si="1138"/>
        <v>0</v>
      </c>
      <c r="K5535" s="4" t="e">
        <f t="shared" si="1126"/>
        <v>#N/A</v>
      </c>
      <c r="L5535" t="e">
        <f t="shared" si="1127"/>
        <v>#N/A</v>
      </c>
      <c r="M5535" s="4" t="e">
        <f t="shared" si="1128"/>
        <v>#N/A</v>
      </c>
      <c r="N5535" s="4" t="e">
        <f t="shared" si="1129"/>
        <v>#N/A</v>
      </c>
    </row>
    <row r="5536" spans="1:14">
      <c r="A5536">
        <f t="shared" si="1130"/>
        <v>0</v>
      </c>
      <c r="B5536">
        <f t="shared" si="1131"/>
        <v>0</v>
      </c>
      <c r="C5536">
        <f t="shared" si="1132"/>
        <v>0</v>
      </c>
      <c r="D5536">
        <f t="shared" si="1133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4"/>
        <v>0</v>
      </c>
      <c r="G5536">
        <f t="shared" si="1135"/>
        <v>0</v>
      </c>
      <c r="H5536">
        <f t="shared" si="1136"/>
        <v>0</v>
      </c>
      <c r="I5536">
        <f t="shared" si="1137"/>
        <v>0</v>
      </c>
      <c r="J5536">
        <f t="shared" si="1138"/>
        <v>0</v>
      </c>
      <c r="K5536" s="4" t="e">
        <f t="shared" si="1126"/>
        <v>#N/A</v>
      </c>
      <c r="L5536" t="e">
        <f t="shared" si="1127"/>
        <v>#N/A</v>
      </c>
      <c r="M5536" s="4" t="e">
        <f t="shared" si="1128"/>
        <v>#N/A</v>
      </c>
      <c r="N5536" s="4" t="e">
        <f t="shared" si="1129"/>
        <v>#N/A</v>
      </c>
    </row>
    <row r="5537" spans="1:14">
      <c r="A5537">
        <f t="shared" si="1130"/>
        <v>0</v>
      </c>
      <c r="B5537">
        <f t="shared" si="1131"/>
        <v>0</v>
      </c>
      <c r="C5537">
        <f t="shared" si="1132"/>
        <v>0</v>
      </c>
      <c r="D5537">
        <f t="shared" si="1133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4"/>
        <v>0</v>
      </c>
      <c r="G5537">
        <f t="shared" si="1135"/>
        <v>0</v>
      </c>
      <c r="H5537">
        <f t="shared" si="1136"/>
        <v>0</v>
      </c>
      <c r="I5537">
        <f t="shared" si="1137"/>
        <v>0</v>
      </c>
      <c r="J5537">
        <f t="shared" si="1138"/>
        <v>0</v>
      </c>
      <c r="K5537" s="4" t="e">
        <f t="shared" si="1126"/>
        <v>#N/A</v>
      </c>
      <c r="L5537" t="e">
        <f t="shared" si="1127"/>
        <v>#N/A</v>
      </c>
      <c r="M5537" s="4" t="e">
        <f t="shared" si="1128"/>
        <v>#N/A</v>
      </c>
      <c r="N5537" s="4" t="e">
        <f t="shared" si="1129"/>
        <v>#N/A</v>
      </c>
    </row>
    <row r="5538" spans="1:14">
      <c r="A5538">
        <f t="shared" si="1130"/>
        <v>0</v>
      </c>
      <c r="B5538">
        <f t="shared" si="1131"/>
        <v>0</v>
      </c>
      <c r="C5538">
        <f t="shared" si="1132"/>
        <v>0</v>
      </c>
      <c r="D5538">
        <f t="shared" si="1133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4"/>
        <v>0</v>
      </c>
      <c r="G5538">
        <f t="shared" si="1135"/>
        <v>0</v>
      </c>
      <c r="H5538">
        <f t="shared" si="1136"/>
        <v>0</v>
      </c>
      <c r="I5538">
        <f t="shared" si="1137"/>
        <v>0</v>
      </c>
      <c r="J5538">
        <f t="shared" si="1138"/>
        <v>0</v>
      </c>
      <c r="K5538" s="4" t="e">
        <f t="shared" si="1126"/>
        <v>#N/A</v>
      </c>
      <c r="L5538" t="e">
        <f t="shared" si="1127"/>
        <v>#N/A</v>
      </c>
      <c r="M5538" s="4" t="e">
        <f t="shared" si="1128"/>
        <v>#N/A</v>
      </c>
      <c r="N5538" s="4" t="e">
        <f t="shared" si="1129"/>
        <v>#N/A</v>
      </c>
    </row>
    <row r="5539" spans="1:14">
      <c r="A5539">
        <f t="shared" si="1130"/>
        <v>0</v>
      </c>
      <c r="B5539">
        <f t="shared" si="1131"/>
        <v>0</v>
      </c>
      <c r="C5539">
        <f t="shared" si="1132"/>
        <v>0</v>
      </c>
      <c r="D5539">
        <f t="shared" si="1133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4"/>
        <v>0</v>
      </c>
      <c r="G5539">
        <f t="shared" si="1135"/>
        <v>0</v>
      </c>
      <c r="H5539">
        <f t="shared" si="1136"/>
        <v>0</v>
      </c>
      <c r="I5539">
        <f t="shared" si="1137"/>
        <v>0</v>
      </c>
      <c r="J5539">
        <f t="shared" si="1138"/>
        <v>0</v>
      </c>
      <c r="K5539" s="4" t="e">
        <f t="shared" si="1126"/>
        <v>#N/A</v>
      </c>
      <c r="L5539" t="e">
        <f t="shared" si="1127"/>
        <v>#N/A</v>
      </c>
      <c r="M5539" s="4" t="e">
        <f t="shared" si="1128"/>
        <v>#N/A</v>
      </c>
      <c r="N5539" s="4" t="e">
        <f t="shared" si="1129"/>
        <v>#N/A</v>
      </c>
    </row>
    <row r="5540" spans="1:14">
      <c r="A5540">
        <f t="shared" si="1130"/>
        <v>0</v>
      </c>
      <c r="B5540">
        <f t="shared" si="1131"/>
        <v>0</v>
      </c>
      <c r="C5540">
        <f t="shared" si="1132"/>
        <v>0</v>
      </c>
      <c r="D5540">
        <f t="shared" si="1133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4"/>
        <v>0</v>
      </c>
      <c r="G5540">
        <f t="shared" si="1135"/>
        <v>0</v>
      </c>
      <c r="H5540">
        <f t="shared" si="1136"/>
        <v>0</v>
      </c>
      <c r="I5540">
        <f t="shared" si="1137"/>
        <v>0</v>
      </c>
      <c r="J5540">
        <f t="shared" si="1138"/>
        <v>0</v>
      </c>
      <c r="K5540" s="4" t="e">
        <f t="shared" si="1126"/>
        <v>#N/A</v>
      </c>
      <c r="L5540" t="e">
        <f t="shared" si="1127"/>
        <v>#N/A</v>
      </c>
      <c r="M5540" s="4" t="e">
        <f t="shared" si="1128"/>
        <v>#N/A</v>
      </c>
      <c r="N5540" s="4" t="e">
        <f t="shared" si="1129"/>
        <v>#N/A</v>
      </c>
    </row>
    <row r="5541" spans="1:14">
      <c r="A5541">
        <f t="shared" si="1130"/>
        <v>0</v>
      </c>
      <c r="B5541">
        <f t="shared" si="1131"/>
        <v>0</v>
      </c>
      <c r="C5541">
        <f t="shared" si="1132"/>
        <v>0</v>
      </c>
      <c r="D5541">
        <f t="shared" si="1133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4"/>
        <v>0</v>
      </c>
      <c r="G5541">
        <f t="shared" si="1135"/>
        <v>0</v>
      </c>
      <c r="H5541">
        <f t="shared" si="1136"/>
        <v>0</v>
      </c>
      <c r="I5541">
        <f t="shared" si="1137"/>
        <v>0</v>
      </c>
      <c r="J5541">
        <f t="shared" si="1138"/>
        <v>0</v>
      </c>
      <c r="K5541" s="4" t="e">
        <f t="shared" si="1126"/>
        <v>#N/A</v>
      </c>
      <c r="L5541" t="e">
        <f t="shared" si="1127"/>
        <v>#N/A</v>
      </c>
      <c r="M5541" s="4" t="e">
        <f t="shared" si="1128"/>
        <v>#N/A</v>
      </c>
      <c r="N5541" s="4" t="e">
        <f t="shared" si="1129"/>
        <v>#N/A</v>
      </c>
    </row>
    <row r="5542" spans="1:14">
      <c r="A5542">
        <f t="shared" si="1130"/>
        <v>0</v>
      </c>
      <c r="B5542">
        <f t="shared" si="1131"/>
        <v>0</v>
      </c>
      <c r="C5542">
        <f t="shared" si="1132"/>
        <v>0</v>
      </c>
      <c r="D5542">
        <f t="shared" si="1133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4"/>
        <v>0</v>
      </c>
      <c r="G5542">
        <f t="shared" si="1135"/>
        <v>0</v>
      </c>
      <c r="H5542">
        <f t="shared" si="1136"/>
        <v>0</v>
      </c>
      <c r="I5542">
        <f t="shared" si="1137"/>
        <v>0</v>
      </c>
      <c r="J5542">
        <f t="shared" si="1138"/>
        <v>0</v>
      </c>
      <c r="K5542" s="4" t="e">
        <f t="shared" si="1126"/>
        <v>#N/A</v>
      </c>
      <c r="L5542" t="e">
        <f t="shared" si="1127"/>
        <v>#N/A</v>
      </c>
      <c r="M5542" s="4" t="e">
        <f t="shared" si="1128"/>
        <v>#N/A</v>
      </c>
      <c r="N5542" s="4" t="e">
        <f t="shared" si="1129"/>
        <v>#N/A</v>
      </c>
    </row>
    <row r="5543" spans="1:14">
      <c r="A5543">
        <f t="shared" si="1130"/>
        <v>0</v>
      </c>
      <c r="B5543">
        <f t="shared" si="1131"/>
        <v>0</v>
      </c>
      <c r="C5543">
        <f t="shared" si="1132"/>
        <v>0</v>
      </c>
      <c r="D5543">
        <f t="shared" si="1133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4"/>
        <v>0</v>
      </c>
      <c r="G5543">
        <f t="shared" si="1135"/>
        <v>0</v>
      </c>
      <c r="H5543">
        <f t="shared" si="1136"/>
        <v>0</v>
      </c>
      <c r="I5543">
        <f t="shared" si="1137"/>
        <v>0</v>
      </c>
      <c r="J5543">
        <f t="shared" si="1138"/>
        <v>0</v>
      </c>
      <c r="K5543" s="4" t="e">
        <f t="shared" si="1126"/>
        <v>#N/A</v>
      </c>
      <c r="L5543" t="e">
        <f t="shared" si="1127"/>
        <v>#N/A</v>
      </c>
      <c r="M5543" s="4" t="e">
        <f t="shared" si="1128"/>
        <v>#N/A</v>
      </c>
      <c r="N5543" s="4" t="e">
        <f t="shared" si="1129"/>
        <v>#N/A</v>
      </c>
    </row>
    <row r="5544" spans="1:14">
      <c r="A5544">
        <f t="shared" si="1130"/>
        <v>0</v>
      </c>
      <c r="B5544">
        <f t="shared" si="1131"/>
        <v>0</v>
      </c>
      <c r="C5544">
        <f t="shared" si="1132"/>
        <v>0</v>
      </c>
      <c r="D5544">
        <f t="shared" si="1133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4"/>
        <v>0</v>
      </c>
      <c r="G5544">
        <f t="shared" si="1135"/>
        <v>0</v>
      </c>
      <c r="H5544">
        <f t="shared" si="1136"/>
        <v>0</v>
      </c>
      <c r="I5544">
        <f t="shared" si="1137"/>
        <v>0</v>
      </c>
      <c r="J5544">
        <f t="shared" si="1138"/>
        <v>0</v>
      </c>
      <c r="K5544" s="4" t="e">
        <f t="shared" si="1126"/>
        <v>#N/A</v>
      </c>
      <c r="L5544" t="e">
        <f t="shared" si="1127"/>
        <v>#N/A</v>
      </c>
      <c r="M5544" s="4" t="e">
        <f t="shared" si="1128"/>
        <v>#N/A</v>
      </c>
      <c r="N5544" s="4" t="e">
        <f t="shared" si="1129"/>
        <v>#N/A</v>
      </c>
    </row>
    <row r="5545" spans="1:14">
      <c r="A5545">
        <f t="shared" si="1130"/>
        <v>0</v>
      </c>
      <c r="B5545">
        <f t="shared" si="1131"/>
        <v>0</v>
      </c>
      <c r="C5545">
        <f t="shared" si="1132"/>
        <v>0</v>
      </c>
      <c r="D5545">
        <f t="shared" si="1133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4"/>
        <v>0</v>
      </c>
      <c r="G5545">
        <f t="shared" si="1135"/>
        <v>0</v>
      </c>
      <c r="H5545">
        <f t="shared" si="1136"/>
        <v>0</v>
      </c>
      <c r="I5545">
        <f t="shared" si="1137"/>
        <v>0</v>
      </c>
      <c r="J5545">
        <f t="shared" si="1138"/>
        <v>0</v>
      </c>
      <c r="K5545" s="4" t="e">
        <f t="shared" si="1126"/>
        <v>#N/A</v>
      </c>
      <c r="L5545" t="e">
        <f t="shared" si="1127"/>
        <v>#N/A</v>
      </c>
      <c r="M5545" s="4" t="e">
        <f t="shared" si="1128"/>
        <v>#N/A</v>
      </c>
      <c r="N5545" s="4" t="e">
        <f t="shared" si="1129"/>
        <v>#N/A</v>
      </c>
    </row>
    <row r="5546" spans="1:14">
      <c r="A5546">
        <f t="shared" si="1130"/>
        <v>0</v>
      </c>
      <c r="B5546">
        <f t="shared" si="1131"/>
        <v>0</v>
      </c>
      <c r="C5546">
        <f t="shared" si="1132"/>
        <v>0</v>
      </c>
      <c r="D5546">
        <f t="shared" si="1133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4"/>
        <v>0</v>
      </c>
      <c r="G5546">
        <f t="shared" si="1135"/>
        <v>0</v>
      </c>
      <c r="H5546">
        <f t="shared" si="1136"/>
        <v>0</v>
      </c>
      <c r="I5546">
        <f t="shared" si="1137"/>
        <v>0</v>
      </c>
      <c r="J5546">
        <f t="shared" si="1138"/>
        <v>0</v>
      </c>
      <c r="K5546" s="4" t="e">
        <f t="shared" si="1126"/>
        <v>#N/A</v>
      </c>
      <c r="L5546" t="e">
        <f t="shared" si="1127"/>
        <v>#N/A</v>
      </c>
      <c r="M5546" s="4" t="e">
        <f t="shared" si="1128"/>
        <v>#N/A</v>
      </c>
      <c r="N5546" s="4" t="e">
        <f t="shared" si="1129"/>
        <v>#N/A</v>
      </c>
    </row>
    <row r="5547" spans="1:14">
      <c r="A5547">
        <f t="shared" si="1130"/>
        <v>0</v>
      </c>
      <c r="B5547">
        <f t="shared" si="1131"/>
        <v>0</v>
      </c>
      <c r="C5547">
        <f t="shared" si="1132"/>
        <v>0</v>
      </c>
      <c r="D5547">
        <f t="shared" si="1133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4"/>
        <v>0</v>
      </c>
      <c r="G5547">
        <f t="shared" si="1135"/>
        <v>0</v>
      </c>
      <c r="H5547">
        <f t="shared" si="1136"/>
        <v>0</v>
      </c>
      <c r="I5547">
        <f t="shared" si="1137"/>
        <v>0</v>
      </c>
      <c r="J5547">
        <f t="shared" si="1138"/>
        <v>0</v>
      </c>
      <c r="K5547" s="4" t="e">
        <f t="shared" si="1126"/>
        <v>#N/A</v>
      </c>
      <c r="L5547" t="e">
        <f t="shared" si="1127"/>
        <v>#N/A</v>
      </c>
      <c r="M5547" s="4" t="e">
        <f t="shared" si="1128"/>
        <v>#N/A</v>
      </c>
      <c r="N5547" s="4" t="e">
        <f t="shared" si="1129"/>
        <v>#N/A</v>
      </c>
    </row>
    <row r="5548" spans="1:14">
      <c r="A5548">
        <f t="shared" si="1130"/>
        <v>0</v>
      </c>
      <c r="B5548">
        <f t="shared" si="1131"/>
        <v>0</v>
      </c>
      <c r="C5548">
        <f t="shared" si="1132"/>
        <v>0</v>
      </c>
      <c r="D5548">
        <f t="shared" si="1133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4"/>
        <v>0</v>
      </c>
      <c r="G5548">
        <f t="shared" si="1135"/>
        <v>0</v>
      </c>
      <c r="H5548">
        <f t="shared" si="1136"/>
        <v>0</v>
      </c>
      <c r="I5548">
        <f t="shared" si="1137"/>
        <v>0</v>
      </c>
      <c r="J5548">
        <f t="shared" si="1138"/>
        <v>0</v>
      </c>
      <c r="K5548" s="4" t="e">
        <f t="shared" si="1126"/>
        <v>#N/A</v>
      </c>
      <c r="L5548" t="e">
        <f t="shared" si="1127"/>
        <v>#N/A</v>
      </c>
      <c r="M5548" s="4" t="e">
        <f t="shared" si="1128"/>
        <v>#N/A</v>
      </c>
      <c r="N5548" s="4" t="e">
        <f t="shared" si="1129"/>
        <v>#N/A</v>
      </c>
    </row>
    <row r="5549" spans="1:14">
      <c r="A5549">
        <f t="shared" si="1130"/>
        <v>0</v>
      </c>
      <c r="B5549">
        <f t="shared" si="1131"/>
        <v>0</v>
      </c>
      <c r="C5549">
        <f t="shared" si="1132"/>
        <v>0</v>
      </c>
      <c r="D5549">
        <f t="shared" si="1133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4"/>
        <v>0</v>
      </c>
      <c r="G5549">
        <f t="shared" si="1135"/>
        <v>0</v>
      </c>
      <c r="H5549">
        <f t="shared" si="1136"/>
        <v>0</v>
      </c>
      <c r="I5549">
        <f t="shared" si="1137"/>
        <v>0</v>
      </c>
      <c r="J5549">
        <f t="shared" si="1138"/>
        <v>0</v>
      </c>
      <c r="K5549" s="4" t="e">
        <f t="shared" si="1126"/>
        <v>#N/A</v>
      </c>
      <c r="L5549" t="e">
        <f t="shared" si="1127"/>
        <v>#N/A</v>
      </c>
      <c r="M5549" s="4" t="e">
        <f t="shared" si="1128"/>
        <v>#N/A</v>
      </c>
      <c r="N5549" s="4" t="e">
        <f t="shared" si="1129"/>
        <v>#N/A</v>
      </c>
    </row>
    <row r="5550" spans="1:14">
      <c r="A5550">
        <f t="shared" si="1130"/>
        <v>0</v>
      </c>
      <c r="B5550">
        <f t="shared" si="1131"/>
        <v>0</v>
      </c>
      <c r="C5550">
        <f t="shared" si="1132"/>
        <v>0</v>
      </c>
      <c r="D5550">
        <f t="shared" si="1133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4"/>
        <v>0</v>
      </c>
      <c r="G5550">
        <f t="shared" si="1135"/>
        <v>0</v>
      </c>
      <c r="H5550">
        <f t="shared" si="1136"/>
        <v>0</v>
      </c>
      <c r="I5550">
        <f t="shared" si="1137"/>
        <v>0</v>
      </c>
      <c r="J5550">
        <f t="shared" si="1138"/>
        <v>0</v>
      </c>
      <c r="K5550" s="4" t="e">
        <f t="shared" si="1126"/>
        <v>#N/A</v>
      </c>
      <c r="L5550" t="e">
        <f t="shared" si="1127"/>
        <v>#N/A</v>
      </c>
      <c r="M5550" s="4" t="e">
        <f t="shared" si="1128"/>
        <v>#N/A</v>
      </c>
      <c r="N5550" s="4" t="e">
        <f t="shared" si="1129"/>
        <v>#N/A</v>
      </c>
    </row>
    <row r="5551" spans="1:14">
      <c r="A5551">
        <f t="shared" si="1130"/>
        <v>0</v>
      </c>
      <c r="B5551">
        <f t="shared" si="1131"/>
        <v>0</v>
      </c>
      <c r="C5551">
        <f t="shared" si="1132"/>
        <v>0</v>
      </c>
      <c r="D5551">
        <f t="shared" si="1133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4"/>
        <v>0</v>
      </c>
      <c r="G5551">
        <f t="shared" si="1135"/>
        <v>0</v>
      </c>
      <c r="H5551">
        <f t="shared" si="1136"/>
        <v>0</v>
      </c>
      <c r="I5551">
        <f t="shared" si="1137"/>
        <v>0</v>
      </c>
      <c r="J5551">
        <f t="shared" si="1138"/>
        <v>0</v>
      </c>
      <c r="K5551" s="4" t="e">
        <f t="shared" si="1126"/>
        <v>#N/A</v>
      </c>
      <c r="L5551" t="e">
        <f t="shared" si="1127"/>
        <v>#N/A</v>
      </c>
      <c r="M5551" s="4" t="e">
        <f t="shared" si="1128"/>
        <v>#N/A</v>
      </c>
      <c r="N5551" s="4" t="e">
        <f t="shared" si="1129"/>
        <v>#N/A</v>
      </c>
    </row>
    <row r="5552" spans="1:14">
      <c r="A5552">
        <f t="shared" si="1130"/>
        <v>0</v>
      </c>
      <c r="B5552">
        <f t="shared" si="1131"/>
        <v>0</v>
      </c>
      <c r="C5552">
        <f t="shared" si="1132"/>
        <v>0</v>
      </c>
      <c r="D5552">
        <f t="shared" si="1133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4"/>
        <v>0</v>
      </c>
      <c r="G5552">
        <f t="shared" si="1135"/>
        <v>0</v>
      </c>
      <c r="H5552">
        <f t="shared" si="1136"/>
        <v>0</v>
      </c>
      <c r="I5552">
        <f t="shared" si="1137"/>
        <v>0</v>
      </c>
      <c r="J5552">
        <f t="shared" si="1138"/>
        <v>0</v>
      </c>
      <c r="K5552" s="4" t="e">
        <f t="shared" si="1126"/>
        <v>#N/A</v>
      </c>
      <c r="L5552" t="e">
        <f t="shared" si="1127"/>
        <v>#N/A</v>
      </c>
      <c r="M5552" s="4" t="e">
        <f t="shared" si="1128"/>
        <v>#N/A</v>
      </c>
      <c r="N5552" s="4" t="e">
        <f t="shared" si="1129"/>
        <v>#N/A</v>
      </c>
    </row>
    <row r="5553" spans="1:14">
      <c r="A5553">
        <f t="shared" si="1130"/>
        <v>0</v>
      </c>
      <c r="B5553">
        <f t="shared" si="1131"/>
        <v>0</v>
      </c>
      <c r="C5553">
        <f t="shared" si="1132"/>
        <v>0</v>
      </c>
      <c r="D5553">
        <f t="shared" si="1133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4"/>
        <v>0</v>
      </c>
      <c r="G5553">
        <f t="shared" si="1135"/>
        <v>0</v>
      </c>
      <c r="H5553">
        <f t="shared" si="1136"/>
        <v>0</v>
      </c>
      <c r="I5553">
        <f t="shared" si="1137"/>
        <v>0</v>
      </c>
      <c r="J5553">
        <f t="shared" si="1138"/>
        <v>0</v>
      </c>
      <c r="K5553" s="4" t="e">
        <f t="shared" si="1126"/>
        <v>#N/A</v>
      </c>
      <c r="L5553" t="e">
        <f t="shared" si="1127"/>
        <v>#N/A</v>
      </c>
      <c r="M5553" s="4" t="e">
        <f t="shared" si="1128"/>
        <v>#N/A</v>
      </c>
      <c r="N5553" s="4" t="e">
        <f t="shared" si="1129"/>
        <v>#N/A</v>
      </c>
    </row>
    <row r="5554" spans="1:14">
      <c r="A5554">
        <f t="shared" si="1130"/>
        <v>0</v>
      </c>
      <c r="B5554">
        <f t="shared" si="1131"/>
        <v>0</v>
      </c>
      <c r="C5554">
        <f t="shared" si="1132"/>
        <v>0</v>
      </c>
      <c r="D5554">
        <f t="shared" si="1133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4"/>
        <v>0</v>
      </c>
      <c r="G5554">
        <f t="shared" si="1135"/>
        <v>0</v>
      </c>
      <c r="H5554">
        <f t="shared" si="1136"/>
        <v>0</v>
      </c>
      <c r="I5554">
        <f t="shared" si="1137"/>
        <v>0</v>
      </c>
      <c r="J5554">
        <f t="shared" si="1138"/>
        <v>0</v>
      </c>
      <c r="K5554" s="4" t="e">
        <f t="shared" si="1126"/>
        <v>#N/A</v>
      </c>
      <c r="L5554" t="e">
        <f t="shared" si="1127"/>
        <v>#N/A</v>
      </c>
      <c r="M5554" s="4" t="e">
        <f t="shared" si="1128"/>
        <v>#N/A</v>
      </c>
      <c r="N5554" s="4" t="e">
        <f t="shared" si="1129"/>
        <v>#N/A</v>
      </c>
    </row>
    <row r="5555" spans="1:14">
      <c r="A5555">
        <f t="shared" si="1130"/>
        <v>0</v>
      </c>
      <c r="B5555">
        <f t="shared" si="1131"/>
        <v>0</v>
      </c>
      <c r="C5555">
        <f t="shared" si="1132"/>
        <v>0</v>
      </c>
      <c r="D5555">
        <f t="shared" si="1133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4"/>
        <v>0</v>
      </c>
      <c r="G5555">
        <f t="shared" si="1135"/>
        <v>0</v>
      </c>
      <c r="H5555">
        <f t="shared" si="1136"/>
        <v>0</v>
      </c>
      <c r="I5555">
        <f t="shared" si="1137"/>
        <v>0</v>
      </c>
      <c r="J5555">
        <f t="shared" si="1138"/>
        <v>0</v>
      </c>
      <c r="K5555" s="4" t="e">
        <f t="shared" si="1126"/>
        <v>#N/A</v>
      </c>
      <c r="L5555" t="e">
        <f t="shared" si="1127"/>
        <v>#N/A</v>
      </c>
      <c r="M5555" s="4" t="e">
        <f t="shared" si="1128"/>
        <v>#N/A</v>
      </c>
      <c r="N5555" s="4" t="e">
        <f t="shared" si="1129"/>
        <v>#N/A</v>
      </c>
    </row>
    <row r="5556" spans="1:14">
      <c r="A5556">
        <f t="shared" si="1130"/>
        <v>0</v>
      </c>
      <c r="B5556">
        <f t="shared" si="1131"/>
        <v>0</v>
      </c>
      <c r="C5556">
        <f t="shared" si="1132"/>
        <v>0</v>
      </c>
      <c r="D5556">
        <f t="shared" si="1133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4"/>
        <v>0</v>
      </c>
      <c r="G5556">
        <f t="shared" si="1135"/>
        <v>0</v>
      </c>
      <c r="H5556">
        <f t="shared" si="1136"/>
        <v>0</v>
      </c>
      <c r="I5556">
        <f t="shared" si="1137"/>
        <v>0</v>
      </c>
      <c r="J5556">
        <f t="shared" si="1138"/>
        <v>0</v>
      </c>
      <c r="K5556" s="4" t="e">
        <f t="shared" si="1126"/>
        <v>#N/A</v>
      </c>
      <c r="L5556" t="e">
        <f t="shared" si="1127"/>
        <v>#N/A</v>
      </c>
      <c r="M5556" s="4" t="e">
        <f t="shared" si="1128"/>
        <v>#N/A</v>
      </c>
      <c r="N5556" s="4" t="e">
        <f t="shared" si="1129"/>
        <v>#N/A</v>
      </c>
    </row>
    <row r="5557" spans="1:14">
      <c r="A5557">
        <f t="shared" si="1130"/>
        <v>0</v>
      </c>
      <c r="B5557">
        <f t="shared" si="1131"/>
        <v>0</v>
      </c>
      <c r="C5557">
        <f t="shared" si="1132"/>
        <v>0</v>
      </c>
      <c r="D5557">
        <f t="shared" si="1133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4"/>
        <v>0</v>
      </c>
      <c r="G5557">
        <f t="shared" si="1135"/>
        <v>0</v>
      </c>
      <c r="H5557">
        <f t="shared" si="1136"/>
        <v>0</v>
      </c>
      <c r="I5557">
        <f t="shared" si="1137"/>
        <v>0</v>
      </c>
      <c r="J5557">
        <f t="shared" si="1138"/>
        <v>0</v>
      </c>
      <c r="K5557" s="4" t="e">
        <f t="shared" si="1126"/>
        <v>#N/A</v>
      </c>
      <c r="L5557" t="e">
        <f t="shared" si="1127"/>
        <v>#N/A</v>
      </c>
      <c r="M5557" s="4" t="e">
        <f t="shared" si="1128"/>
        <v>#N/A</v>
      </c>
      <c r="N5557" s="4" t="e">
        <f t="shared" si="1129"/>
        <v>#N/A</v>
      </c>
    </row>
    <row r="5558" spans="1:14">
      <c r="A5558">
        <f t="shared" si="1130"/>
        <v>0</v>
      </c>
      <c r="B5558">
        <f t="shared" si="1131"/>
        <v>0</v>
      </c>
      <c r="C5558">
        <f t="shared" si="1132"/>
        <v>0</v>
      </c>
      <c r="D5558">
        <f t="shared" si="1133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4"/>
        <v>0</v>
      </c>
      <c r="G5558">
        <f t="shared" si="1135"/>
        <v>0</v>
      </c>
      <c r="H5558">
        <f t="shared" si="1136"/>
        <v>0</v>
      </c>
      <c r="I5558">
        <f t="shared" si="1137"/>
        <v>0</v>
      </c>
      <c r="J5558">
        <f t="shared" si="1138"/>
        <v>0</v>
      </c>
      <c r="K5558" s="4" t="e">
        <f t="shared" si="1126"/>
        <v>#N/A</v>
      </c>
      <c r="L5558" t="e">
        <f t="shared" si="1127"/>
        <v>#N/A</v>
      </c>
      <c r="M5558" s="4" t="e">
        <f t="shared" si="1128"/>
        <v>#N/A</v>
      </c>
      <c r="N5558" s="4" t="e">
        <f t="shared" si="1129"/>
        <v>#N/A</v>
      </c>
    </row>
    <row r="5559" spans="1:14">
      <c r="A5559">
        <f t="shared" si="1130"/>
        <v>0</v>
      </c>
      <c r="B5559">
        <f t="shared" si="1131"/>
        <v>0</v>
      </c>
      <c r="C5559">
        <f t="shared" si="1132"/>
        <v>0</v>
      </c>
      <c r="D5559">
        <f t="shared" si="1133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4"/>
        <v>0</v>
      </c>
      <c r="G5559">
        <f t="shared" si="1135"/>
        <v>0</v>
      </c>
      <c r="H5559">
        <f t="shared" si="1136"/>
        <v>0</v>
      </c>
      <c r="I5559">
        <f t="shared" si="1137"/>
        <v>0</v>
      </c>
      <c r="J5559">
        <f t="shared" si="1138"/>
        <v>0</v>
      </c>
      <c r="K5559" s="4" t="e">
        <f t="shared" si="1126"/>
        <v>#N/A</v>
      </c>
      <c r="L5559" t="e">
        <f t="shared" si="1127"/>
        <v>#N/A</v>
      </c>
      <c r="M5559" s="4" t="e">
        <f t="shared" si="1128"/>
        <v>#N/A</v>
      </c>
      <c r="N5559" s="4" t="e">
        <f t="shared" si="1129"/>
        <v>#N/A</v>
      </c>
    </row>
    <row r="5560" spans="1:14">
      <c r="A5560">
        <f t="shared" si="1130"/>
        <v>0</v>
      </c>
      <c r="B5560">
        <f t="shared" si="1131"/>
        <v>0</v>
      </c>
      <c r="C5560">
        <f t="shared" si="1132"/>
        <v>0</v>
      </c>
      <c r="D5560">
        <f t="shared" si="1133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4"/>
        <v>0</v>
      </c>
      <c r="G5560">
        <f t="shared" si="1135"/>
        <v>0</v>
      </c>
      <c r="H5560">
        <f t="shared" si="1136"/>
        <v>0</v>
      </c>
      <c r="I5560">
        <f t="shared" si="1137"/>
        <v>0</v>
      </c>
      <c r="J5560">
        <f t="shared" si="1138"/>
        <v>0</v>
      </c>
      <c r="K5560" s="4" t="e">
        <f t="shared" si="1126"/>
        <v>#N/A</v>
      </c>
      <c r="L5560" t="e">
        <f t="shared" si="1127"/>
        <v>#N/A</v>
      </c>
      <c r="M5560" s="4" t="e">
        <f t="shared" si="1128"/>
        <v>#N/A</v>
      </c>
      <c r="N5560" s="4" t="e">
        <f t="shared" si="1129"/>
        <v>#N/A</v>
      </c>
    </row>
    <row r="5561" spans="1:14">
      <c r="A5561">
        <f t="shared" si="1130"/>
        <v>0</v>
      </c>
      <c r="B5561">
        <f t="shared" si="1131"/>
        <v>0</v>
      </c>
      <c r="C5561">
        <f t="shared" si="1132"/>
        <v>0</v>
      </c>
      <c r="D5561">
        <f t="shared" si="1133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4"/>
        <v>0</v>
      </c>
      <c r="G5561">
        <f t="shared" si="1135"/>
        <v>0</v>
      </c>
      <c r="H5561">
        <f t="shared" si="1136"/>
        <v>0</v>
      </c>
      <c r="I5561">
        <f t="shared" si="1137"/>
        <v>0</v>
      </c>
      <c r="J5561">
        <f t="shared" si="1138"/>
        <v>0</v>
      </c>
      <c r="K5561" s="4" t="e">
        <f t="shared" si="1126"/>
        <v>#N/A</v>
      </c>
      <c r="L5561" t="e">
        <f t="shared" si="1127"/>
        <v>#N/A</v>
      </c>
      <c r="M5561" s="4" t="e">
        <f t="shared" si="1128"/>
        <v>#N/A</v>
      </c>
      <c r="N5561" s="4" t="e">
        <f t="shared" si="1129"/>
        <v>#N/A</v>
      </c>
    </row>
    <row r="5562" spans="1:14">
      <c r="A5562">
        <f t="shared" si="1130"/>
        <v>0</v>
      </c>
      <c r="B5562">
        <f t="shared" si="1131"/>
        <v>0</v>
      </c>
      <c r="C5562">
        <f t="shared" si="1132"/>
        <v>0</v>
      </c>
      <c r="D5562">
        <f t="shared" si="1133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4"/>
        <v>0</v>
      </c>
      <c r="G5562">
        <f t="shared" si="1135"/>
        <v>0</v>
      </c>
      <c r="H5562">
        <f t="shared" si="1136"/>
        <v>0</v>
      </c>
      <c r="I5562">
        <f t="shared" si="1137"/>
        <v>0</v>
      </c>
      <c r="J5562">
        <f t="shared" si="1138"/>
        <v>0</v>
      </c>
      <c r="K5562" s="4" t="e">
        <f t="shared" si="1126"/>
        <v>#N/A</v>
      </c>
      <c r="L5562" t="e">
        <f t="shared" si="1127"/>
        <v>#N/A</v>
      </c>
      <c r="M5562" s="4" t="e">
        <f t="shared" si="1128"/>
        <v>#N/A</v>
      </c>
      <c r="N5562" s="4" t="e">
        <f t="shared" si="1129"/>
        <v>#N/A</v>
      </c>
    </row>
    <row r="5563" spans="1:14">
      <c r="A5563">
        <f t="shared" si="1130"/>
        <v>0</v>
      </c>
      <c r="B5563">
        <f t="shared" si="1131"/>
        <v>0</v>
      </c>
      <c r="C5563">
        <f t="shared" si="1132"/>
        <v>0</v>
      </c>
      <c r="D5563">
        <f t="shared" si="1133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4"/>
        <v>0</v>
      </c>
      <c r="G5563">
        <f t="shared" si="1135"/>
        <v>0</v>
      </c>
      <c r="H5563">
        <f t="shared" si="1136"/>
        <v>0</v>
      </c>
      <c r="I5563">
        <f t="shared" si="1137"/>
        <v>0</v>
      </c>
      <c r="J5563">
        <f t="shared" si="1138"/>
        <v>0</v>
      </c>
      <c r="K5563" s="4" t="e">
        <f t="shared" si="1126"/>
        <v>#N/A</v>
      </c>
      <c r="L5563" t="e">
        <f t="shared" si="1127"/>
        <v>#N/A</v>
      </c>
      <c r="M5563" s="4" t="e">
        <f t="shared" si="1128"/>
        <v>#N/A</v>
      </c>
      <c r="N5563" s="4" t="e">
        <f t="shared" si="1129"/>
        <v>#N/A</v>
      </c>
    </row>
    <row r="5564" spans="1:14">
      <c r="A5564">
        <f t="shared" si="1130"/>
        <v>0</v>
      </c>
      <c r="B5564">
        <f t="shared" si="1131"/>
        <v>0</v>
      </c>
      <c r="C5564">
        <f t="shared" si="1132"/>
        <v>0</v>
      </c>
      <c r="D5564">
        <f t="shared" si="1133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4"/>
        <v>0</v>
      </c>
      <c r="G5564">
        <f t="shared" si="1135"/>
        <v>0</v>
      </c>
      <c r="H5564">
        <f t="shared" si="1136"/>
        <v>0</v>
      </c>
      <c r="I5564">
        <f t="shared" si="1137"/>
        <v>0</v>
      </c>
      <c r="J5564">
        <f t="shared" si="1138"/>
        <v>0</v>
      </c>
      <c r="K5564" s="4" t="e">
        <f t="shared" si="1126"/>
        <v>#N/A</v>
      </c>
      <c r="L5564" t="e">
        <f t="shared" si="1127"/>
        <v>#N/A</v>
      </c>
      <c r="M5564" s="4" t="e">
        <f t="shared" si="1128"/>
        <v>#N/A</v>
      </c>
      <c r="N5564" s="4" t="e">
        <f t="shared" si="1129"/>
        <v>#N/A</v>
      </c>
    </row>
    <row r="5565" spans="1:14">
      <c r="A5565">
        <f t="shared" si="1130"/>
        <v>0</v>
      </c>
      <c r="B5565">
        <f t="shared" si="1131"/>
        <v>0</v>
      </c>
      <c r="C5565">
        <f t="shared" si="1132"/>
        <v>0</v>
      </c>
      <c r="D5565">
        <f t="shared" si="1133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4"/>
        <v>0</v>
      </c>
      <c r="G5565">
        <f t="shared" si="1135"/>
        <v>0</v>
      </c>
      <c r="H5565">
        <f t="shared" si="1136"/>
        <v>0</v>
      </c>
      <c r="I5565">
        <f t="shared" si="1137"/>
        <v>0</v>
      </c>
      <c r="J5565">
        <f t="shared" si="1138"/>
        <v>0</v>
      </c>
      <c r="K5565" s="4" t="e">
        <f t="shared" ref="K5565:K5628" si="1139">IF(LEFT(B5565,3)="DBM",0,VLOOKUP(E5565,tabela,2,FALSE))</f>
        <v>#N/A</v>
      </c>
      <c r="L5565" t="e">
        <f t="shared" ref="L5565:L5628" si="1140">VLOOKUP(E5565,tabela,3,FALSE)</f>
        <v>#N/A</v>
      </c>
      <c r="M5565" s="4" t="e">
        <f t="shared" ref="M5565:M5628" si="1141">IF(E5565="Dynamic Click",J5565*K5565,K5565*$I5565/1000)</f>
        <v>#N/A</v>
      </c>
      <c r="N5565" s="4" t="e">
        <f t="shared" ref="N5565:N5628" si="1142">IF(E5565="Dynamic Click",J5565*L5565,L5565*$I5565/1000)</f>
        <v>#N/A</v>
      </c>
    </row>
    <row r="5566" spans="1:14">
      <c r="A5566">
        <f t="shared" si="1130"/>
        <v>0</v>
      </c>
      <c r="B5566">
        <f t="shared" si="1131"/>
        <v>0</v>
      </c>
      <c r="C5566">
        <f t="shared" si="1132"/>
        <v>0</v>
      </c>
      <c r="D5566">
        <f t="shared" si="1133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4"/>
        <v>0</v>
      </c>
      <c r="G5566">
        <f t="shared" si="1135"/>
        <v>0</v>
      </c>
      <c r="H5566">
        <f t="shared" si="1136"/>
        <v>0</v>
      </c>
      <c r="I5566">
        <f t="shared" si="1137"/>
        <v>0</v>
      </c>
      <c r="J5566">
        <f t="shared" si="1138"/>
        <v>0</v>
      </c>
      <c r="K5566" s="4" t="e">
        <f t="shared" si="1139"/>
        <v>#N/A</v>
      </c>
      <c r="L5566" t="e">
        <f t="shared" si="1140"/>
        <v>#N/A</v>
      </c>
      <c r="M5566" s="4" t="e">
        <f t="shared" si="1141"/>
        <v>#N/A</v>
      </c>
      <c r="N5566" s="4" t="e">
        <f t="shared" si="1142"/>
        <v>#N/A</v>
      </c>
    </row>
    <row r="5567" spans="1:14">
      <c r="A5567">
        <f t="shared" si="1130"/>
        <v>0</v>
      </c>
      <c r="B5567">
        <f t="shared" si="1131"/>
        <v>0</v>
      </c>
      <c r="C5567">
        <f t="shared" si="1132"/>
        <v>0</v>
      </c>
      <c r="D5567">
        <f t="shared" si="1133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4"/>
        <v>0</v>
      </c>
      <c r="G5567">
        <f t="shared" si="1135"/>
        <v>0</v>
      </c>
      <c r="H5567">
        <f t="shared" si="1136"/>
        <v>0</v>
      </c>
      <c r="I5567">
        <f t="shared" si="1137"/>
        <v>0</v>
      </c>
      <c r="J5567">
        <f t="shared" si="1138"/>
        <v>0</v>
      </c>
      <c r="K5567" s="4" t="e">
        <f t="shared" si="1139"/>
        <v>#N/A</v>
      </c>
      <c r="L5567" t="e">
        <f t="shared" si="1140"/>
        <v>#N/A</v>
      </c>
      <c r="M5567" s="4" t="e">
        <f t="shared" si="1141"/>
        <v>#N/A</v>
      </c>
      <c r="N5567" s="4" t="e">
        <f t="shared" si="1142"/>
        <v>#N/A</v>
      </c>
    </row>
    <row r="5568" spans="1:14">
      <c r="A5568">
        <f t="shared" si="1130"/>
        <v>0</v>
      </c>
      <c r="B5568">
        <f t="shared" si="1131"/>
        <v>0</v>
      </c>
      <c r="C5568">
        <f t="shared" si="1132"/>
        <v>0</v>
      </c>
      <c r="D5568">
        <f t="shared" si="1133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4"/>
        <v>0</v>
      </c>
      <c r="G5568">
        <f t="shared" si="1135"/>
        <v>0</v>
      </c>
      <c r="H5568">
        <f t="shared" si="1136"/>
        <v>0</v>
      </c>
      <c r="I5568">
        <f t="shared" si="1137"/>
        <v>0</v>
      </c>
      <c r="J5568">
        <f t="shared" si="1138"/>
        <v>0</v>
      </c>
      <c r="K5568" s="4" t="e">
        <f t="shared" si="1139"/>
        <v>#N/A</v>
      </c>
      <c r="L5568" t="e">
        <f t="shared" si="1140"/>
        <v>#N/A</v>
      </c>
      <c r="M5568" s="4" t="e">
        <f t="shared" si="1141"/>
        <v>#N/A</v>
      </c>
      <c r="N5568" s="4" t="e">
        <f t="shared" si="1142"/>
        <v>#N/A</v>
      </c>
    </row>
    <row r="5569" spans="1:14">
      <c r="A5569">
        <f t="shared" si="1130"/>
        <v>0</v>
      </c>
      <c r="B5569">
        <f t="shared" si="1131"/>
        <v>0</v>
      </c>
      <c r="C5569">
        <f t="shared" si="1132"/>
        <v>0</v>
      </c>
      <c r="D5569">
        <f t="shared" si="1133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4"/>
        <v>0</v>
      </c>
      <c r="G5569">
        <f t="shared" si="1135"/>
        <v>0</v>
      </c>
      <c r="H5569">
        <f t="shared" si="1136"/>
        <v>0</v>
      </c>
      <c r="I5569">
        <f t="shared" si="1137"/>
        <v>0</v>
      </c>
      <c r="J5569">
        <f t="shared" si="1138"/>
        <v>0</v>
      </c>
      <c r="K5569" s="4" t="e">
        <f t="shared" si="1139"/>
        <v>#N/A</v>
      </c>
      <c r="L5569" t="e">
        <f t="shared" si="1140"/>
        <v>#N/A</v>
      </c>
      <c r="M5569" s="4" t="e">
        <f t="shared" si="1141"/>
        <v>#N/A</v>
      </c>
      <c r="N5569" s="4" t="e">
        <f t="shared" si="1142"/>
        <v>#N/A</v>
      </c>
    </row>
    <row r="5570" spans="1:14">
      <c r="A5570">
        <f t="shared" ref="A5570:A5633" si="1143">bd_campaign</f>
        <v>0</v>
      </c>
      <c r="B5570">
        <f t="shared" ref="B5570:B5633" si="1144">bd_site</f>
        <v>0</v>
      </c>
      <c r="C5570">
        <f t="shared" ref="C5570:C5633" si="1145">bd_placement</f>
        <v>0</v>
      </c>
      <c r="D5570">
        <f t="shared" ref="D5570:D5633" si="1146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7">bd_ad</f>
        <v>0</v>
      </c>
      <c r="G5570">
        <f t="shared" ref="G5570:G5633" si="1148">bd_adid</f>
        <v>0</v>
      </c>
      <c r="H5570">
        <f t="shared" ref="H5570:H5633" si="1149">bd_creativetype</f>
        <v>0</v>
      </c>
      <c r="I5570">
        <f t="shared" ref="I5570:I5633" si="1150">bd_impression</f>
        <v>0</v>
      </c>
      <c r="J5570">
        <f t="shared" ref="J5570:J5633" si="1151">bd_clicks</f>
        <v>0</v>
      </c>
      <c r="K5570" s="4" t="e">
        <f t="shared" si="1139"/>
        <v>#N/A</v>
      </c>
      <c r="L5570" t="e">
        <f t="shared" si="1140"/>
        <v>#N/A</v>
      </c>
      <c r="M5570" s="4" t="e">
        <f t="shared" si="1141"/>
        <v>#N/A</v>
      </c>
      <c r="N5570" s="4" t="e">
        <f t="shared" si="1142"/>
        <v>#N/A</v>
      </c>
    </row>
    <row r="5571" spans="1:14">
      <c r="A5571">
        <f t="shared" si="1143"/>
        <v>0</v>
      </c>
      <c r="B5571">
        <f t="shared" si="1144"/>
        <v>0</v>
      </c>
      <c r="C5571">
        <f t="shared" si="1145"/>
        <v>0</v>
      </c>
      <c r="D5571">
        <f t="shared" si="1146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7"/>
        <v>0</v>
      </c>
      <c r="G5571">
        <f t="shared" si="1148"/>
        <v>0</v>
      </c>
      <c r="H5571">
        <f t="shared" si="1149"/>
        <v>0</v>
      </c>
      <c r="I5571">
        <f t="shared" si="1150"/>
        <v>0</v>
      </c>
      <c r="J5571">
        <f t="shared" si="1151"/>
        <v>0</v>
      </c>
      <c r="K5571" s="4" t="e">
        <f t="shared" si="1139"/>
        <v>#N/A</v>
      </c>
      <c r="L5571" t="e">
        <f t="shared" si="1140"/>
        <v>#N/A</v>
      </c>
      <c r="M5571" s="4" t="e">
        <f t="shared" si="1141"/>
        <v>#N/A</v>
      </c>
      <c r="N5571" s="4" t="e">
        <f t="shared" si="1142"/>
        <v>#N/A</v>
      </c>
    </row>
    <row r="5572" spans="1:14">
      <c r="A5572">
        <f t="shared" si="1143"/>
        <v>0</v>
      </c>
      <c r="B5572">
        <f t="shared" si="1144"/>
        <v>0</v>
      </c>
      <c r="C5572">
        <f t="shared" si="1145"/>
        <v>0</v>
      </c>
      <c r="D5572">
        <f t="shared" si="1146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7"/>
        <v>0</v>
      </c>
      <c r="G5572">
        <f t="shared" si="1148"/>
        <v>0</v>
      </c>
      <c r="H5572">
        <f t="shared" si="1149"/>
        <v>0</v>
      </c>
      <c r="I5572">
        <f t="shared" si="1150"/>
        <v>0</v>
      </c>
      <c r="J5572">
        <f t="shared" si="1151"/>
        <v>0</v>
      </c>
      <c r="K5572" s="4" t="e">
        <f t="shared" si="1139"/>
        <v>#N/A</v>
      </c>
      <c r="L5572" t="e">
        <f t="shared" si="1140"/>
        <v>#N/A</v>
      </c>
      <c r="M5572" s="4" t="e">
        <f t="shared" si="1141"/>
        <v>#N/A</v>
      </c>
      <c r="N5572" s="4" t="e">
        <f t="shared" si="1142"/>
        <v>#N/A</v>
      </c>
    </row>
    <row r="5573" spans="1:14">
      <c r="A5573">
        <f t="shared" si="1143"/>
        <v>0</v>
      </c>
      <c r="B5573">
        <f t="shared" si="1144"/>
        <v>0</v>
      </c>
      <c r="C5573">
        <f t="shared" si="1145"/>
        <v>0</v>
      </c>
      <c r="D5573">
        <f t="shared" si="1146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7"/>
        <v>0</v>
      </c>
      <c r="G5573">
        <f t="shared" si="1148"/>
        <v>0</v>
      </c>
      <c r="H5573">
        <f t="shared" si="1149"/>
        <v>0</v>
      </c>
      <c r="I5573">
        <f t="shared" si="1150"/>
        <v>0</v>
      </c>
      <c r="J5573">
        <f t="shared" si="1151"/>
        <v>0</v>
      </c>
      <c r="K5573" s="4" t="e">
        <f t="shared" si="1139"/>
        <v>#N/A</v>
      </c>
      <c r="L5573" t="e">
        <f t="shared" si="1140"/>
        <v>#N/A</v>
      </c>
      <c r="M5573" s="4" t="e">
        <f t="shared" si="1141"/>
        <v>#N/A</v>
      </c>
      <c r="N5573" s="4" t="e">
        <f t="shared" si="1142"/>
        <v>#N/A</v>
      </c>
    </row>
    <row r="5574" spans="1:14">
      <c r="A5574">
        <f t="shared" si="1143"/>
        <v>0</v>
      </c>
      <c r="B5574">
        <f t="shared" si="1144"/>
        <v>0</v>
      </c>
      <c r="C5574">
        <f t="shared" si="1145"/>
        <v>0</v>
      </c>
      <c r="D5574">
        <f t="shared" si="1146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7"/>
        <v>0</v>
      </c>
      <c r="G5574">
        <f t="shared" si="1148"/>
        <v>0</v>
      </c>
      <c r="H5574">
        <f t="shared" si="1149"/>
        <v>0</v>
      </c>
      <c r="I5574">
        <f t="shared" si="1150"/>
        <v>0</v>
      </c>
      <c r="J5574">
        <f t="shared" si="1151"/>
        <v>0</v>
      </c>
      <c r="K5574" s="4" t="e">
        <f t="shared" si="1139"/>
        <v>#N/A</v>
      </c>
      <c r="L5574" t="e">
        <f t="shared" si="1140"/>
        <v>#N/A</v>
      </c>
      <c r="M5574" s="4" t="e">
        <f t="shared" si="1141"/>
        <v>#N/A</v>
      </c>
      <c r="N5574" s="4" t="e">
        <f t="shared" si="1142"/>
        <v>#N/A</v>
      </c>
    </row>
    <row r="5575" spans="1:14">
      <c r="A5575">
        <f t="shared" si="1143"/>
        <v>0</v>
      </c>
      <c r="B5575">
        <f t="shared" si="1144"/>
        <v>0</v>
      </c>
      <c r="C5575">
        <f t="shared" si="1145"/>
        <v>0</v>
      </c>
      <c r="D5575">
        <f t="shared" si="1146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7"/>
        <v>0</v>
      </c>
      <c r="G5575">
        <f t="shared" si="1148"/>
        <v>0</v>
      </c>
      <c r="H5575">
        <f t="shared" si="1149"/>
        <v>0</v>
      </c>
      <c r="I5575">
        <f t="shared" si="1150"/>
        <v>0</v>
      </c>
      <c r="J5575">
        <f t="shared" si="1151"/>
        <v>0</v>
      </c>
      <c r="K5575" s="4" t="e">
        <f t="shared" si="1139"/>
        <v>#N/A</v>
      </c>
      <c r="L5575" t="e">
        <f t="shared" si="1140"/>
        <v>#N/A</v>
      </c>
      <c r="M5575" s="4" t="e">
        <f t="shared" si="1141"/>
        <v>#N/A</v>
      </c>
      <c r="N5575" s="4" t="e">
        <f t="shared" si="1142"/>
        <v>#N/A</v>
      </c>
    </row>
    <row r="5576" spans="1:14">
      <c r="A5576">
        <f t="shared" si="1143"/>
        <v>0</v>
      </c>
      <c r="B5576">
        <f t="shared" si="1144"/>
        <v>0</v>
      </c>
      <c r="C5576">
        <f t="shared" si="1145"/>
        <v>0</v>
      </c>
      <c r="D5576">
        <f t="shared" si="1146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7"/>
        <v>0</v>
      </c>
      <c r="G5576">
        <f t="shared" si="1148"/>
        <v>0</v>
      </c>
      <c r="H5576">
        <f t="shared" si="1149"/>
        <v>0</v>
      </c>
      <c r="I5576">
        <f t="shared" si="1150"/>
        <v>0</v>
      </c>
      <c r="J5576">
        <f t="shared" si="1151"/>
        <v>0</v>
      </c>
      <c r="K5576" s="4" t="e">
        <f t="shared" si="1139"/>
        <v>#N/A</v>
      </c>
      <c r="L5576" t="e">
        <f t="shared" si="1140"/>
        <v>#N/A</v>
      </c>
      <c r="M5576" s="4" t="e">
        <f t="shared" si="1141"/>
        <v>#N/A</v>
      </c>
      <c r="N5576" s="4" t="e">
        <f t="shared" si="1142"/>
        <v>#N/A</v>
      </c>
    </row>
    <row r="5577" spans="1:14">
      <c r="A5577">
        <f t="shared" si="1143"/>
        <v>0</v>
      </c>
      <c r="B5577">
        <f t="shared" si="1144"/>
        <v>0</v>
      </c>
      <c r="C5577">
        <f t="shared" si="1145"/>
        <v>0</v>
      </c>
      <c r="D5577">
        <f t="shared" si="1146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7"/>
        <v>0</v>
      </c>
      <c r="G5577">
        <f t="shared" si="1148"/>
        <v>0</v>
      </c>
      <c r="H5577">
        <f t="shared" si="1149"/>
        <v>0</v>
      </c>
      <c r="I5577">
        <f t="shared" si="1150"/>
        <v>0</v>
      </c>
      <c r="J5577">
        <f t="shared" si="1151"/>
        <v>0</v>
      </c>
      <c r="K5577" s="4" t="e">
        <f t="shared" si="1139"/>
        <v>#N/A</v>
      </c>
      <c r="L5577" t="e">
        <f t="shared" si="1140"/>
        <v>#N/A</v>
      </c>
      <c r="M5577" s="4" t="e">
        <f t="shared" si="1141"/>
        <v>#N/A</v>
      </c>
      <c r="N5577" s="4" t="e">
        <f t="shared" si="1142"/>
        <v>#N/A</v>
      </c>
    </row>
    <row r="5578" spans="1:14">
      <c r="A5578">
        <f t="shared" si="1143"/>
        <v>0</v>
      </c>
      <c r="B5578">
        <f t="shared" si="1144"/>
        <v>0</v>
      </c>
      <c r="C5578">
        <f t="shared" si="1145"/>
        <v>0</v>
      </c>
      <c r="D5578">
        <f t="shared" si="1146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7"/>
        <v>0</v>
      </c>
      <c r="G5578">
        <f t="shared" si="1148"/>
        <v>0</v>
      </c>
      <c r="H5578">
        <f t="shared" si="1149"/>
        <v>0</v>
      </c>
      <c r="I5578">
        <f t="shared" si="1150"/>
        <v>0</v>
      </c>
      <c r="J5578">
        <f t="shared" si="1151"/>
        <v>0</v>
      </c>
      <c r="K5578" s="4" t="e">
        <f t="shared" si="1139"/>
        <v>#N/A</v>
      </c>
      <c r="L5578" t="e">
        <f t="shared" si="1140"/>
        <v>#N/A</v>
      </c>
      <c r="M5578" s="4" t="e">
        <f t="shared" si="1141"/>
        <v>#N/A</v>
      </c>
      <c r="N5578" s="4" t="e">
        <f t="shared" si="1142"/>
        <v>#N/A</v>
      </c>
    </row>
    <row r="5579" spans="1:14">
      <c r="A5579">
        <f t="shared" si="1143"/>
        <v>0</v>
      </c>
      <c r="B5579">
        <f t="shared" si="1144"/>
        <v>0</v>
      </c>
      <c r="C5579">
        <f t="shared" si="1145"/>
        <v>0</v>
      </c>
      <c r="D5579">
        <f t="shared" si="1146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7"/>
        <v>0</v>
      </c>
      <c r="G5579">
        <f t="shared" si="1148"/>
        <v>0</v>
      </c>
      <c r="H5579">
        <f t="shared" si="1149"/>
        <v>0</v>
      </c>
      <c r="I5579">
        <f t="shared" si="1150"/>
        <v>0</v>
      </c>
      <c r="J5579">
        <f t="shared" si="1151"/>
        <v>0</v>
      </c>
      <c r="K5579" s="4" t="e">
        <f t="shared" si="1139"/>
        <v>#N/A</v>
      </c>
      <c r="L5579" t="e">
        <f t="shared" si="1140"/>
        <v>#N/A</v>
      </c>
      <c r="M5579" s="4" t="e">
        <f t="shared" si="1141"/>
        <v>#N/A</v>
      </c>
      <c r="N5579" s="4" t="e">
        <f t="shared" si="1142"/>
        <v>#N/A</v>
      </c>
    </row>
    <row r="5580" spans="1:14">
      <c r="A5580">
        <f t="shared" si="1143"/>
        <v>0</v>
      </c>
      <c r="B5580">
        <f t="shared" si="1144"/>
        <v>0</v>
      </c>
      <c r="C5580">
        <f t="shared" si="1145"/>
        <v>0</v>
      </c>
      <c r="D5580">
        <f t="shared" si="1146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7"/>
        <v>0</v>
      </c>
      <c r="G5580">
        <f t="shared" si="1148"/>
        <v>0</v>
      </c>
      <c r="H5580">
        <f t="shared" si="1149"/>
        <v>0</v>
      </c>
      <c r="I5580">
        <f t="shared" si="1150"/>
        <v>0</v>
      </c>
      <c r="J5580">
        <f t="shared" si="1151"/>
        <v>0</v>
      </c>
      <c r="K5580" s="4" t="e">
        <f t="shared" si="1139"/>
        <v>#N/A</v>
      </c>
      <c r="L5580" t="e">
        <f t="shared" si="1140"/>
        <v>#N/A</v>
      </c>
      <c r="M5580" s="4" t="e">
        <f t="shared" si="1141"/>
        <v>#N/A</v>
      </c>
      <c r="N5580" s="4" t="e">
        <f t="shared" si="1142"/>
        <v>#N/A</v>
      </c>
    </row>
    <row r="5581" spans="1:14">
      <c r="A5581">
        <f t="shared" si="1143"/>
        <v>0</v>
      </c>
      <c r="B5581">
        <f t="shared" si="1144"/>
        <v>0</v>
      </c>
      <c r="C5581">
        <f t="shared" si="1145"/>
        <v>0</v>
      </c>
      <c r="D5581">
        <f t="shared" si="1146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7"/>
        <v>0</v>
      </c>
      <c r="G5581">
        <f t="shared" si="1148"/>
        <v>0</v>
      </c>
      <c r="H5581">
        <f t="shared" si="1149"/>
        <v>0</v>
      </c>
      <c r="I5581">
        <f t="shared" si="1150"/>
        <v>0</v>
      </c>
      <c r="J5581">
        <f t="shared" si="1151"/>
        <v>0</v>
      </c>
      <c r="K5581" s="4" t="e">
        <f t="shared" si="1139"/>
        <v>#N/A</v>
      </c>
      <c r="L5581" t="e">
        <f t="shared" si="1140"/>
        <v>#N/A</v>
      </c>
      <c r="M5581" s="4" t="e">
        <f t="shared" si="1141"/>
        <v>#N/A</v>
      </c>
      <c r="N5581" s="4" t="e">
        <f t="shared" si="1142"/>
        <v>#N/A</v>
      </c>
    </row>
    <row r="5582" spans="1:14">
      <c r="A5582">
        <f t="shared" si="1143"/>
        <v>0</v>
      </c>
      <c r="B5582">
        <f t="shared" si="1144"/>
        <v>0</v>
      </c>
      <c r="C5582">
        <f t="shared" si="1145"/>
        <v>0</v>
      </c>
      <c r="D5582">
        <f t="shared" si="1146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7"/>
        <v>0</v>
      </c>
      <c r="G5582">
        <f t="shared" si="1148"/>
        <v>0</v>
      </c>
      <c r="H5582">
        <f t="shared" si="1149"/>
        <v>0</v>
      </c>
      <c r="I5582">
        <f t="shared" si="1150"/>
        <v>0</v>
      </c>
      <c r="J5582">
        <f t="shared" si="1151"/>
        <v>0</v>
      </c>
      <c r="K5582" s="4" t="e">
        <f t="shared" si="1139"/>
        <v>#N/A</v>
      </c>
      <c r="L5582" t="e">
        <f t="shared" si="1140"/>
        <v>#N/A</v>
      </c>
      <c r="M5582" s="4" t="e">
        <f t="shared" si="1141"/>
        <v>#N/A</v>
      </c>
      <c r="N5582" s="4" t="e">
        <f t="shared" si="1142"/>
        <v>#N/A</v>
      </c>
    </row>
    <row r="5583" spans="1:14">
      <c r="A5583">
        <f t="shared" si="1143"/>
        <v>0</v>
      </c>
      <c r="B5583">
        <f t="shared" si="1144"/>
        <v>0</v>
      </c>
      <c r="C5583">
        <f t="shared" si="1145"/>
        <v>0</v>
      </c>
      <c r="D5583">
        <f t="shared" si="1146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7"/>
        <v>0</v>
      </c>
      <c r="G5583">
        <f t="shared" si="1148"/>
        <v>0</v>
      </c>
      <c r="H5583">
        <f t="shared" si="1149"/>
        <v>0</v>
      </c>
      <c r="I5583">
        <f t="shared" si="1150"/>
        <v>0</v>
      </c>
      <c r="J5583">
        <f t="shared" si="1151"/>
        <v>0</v>
      </c>
      <c r="K5583" s="4" t="e">
        <f t="shared" si="1139"/>
        <v>#N/A</v>
      </c>
      <c r="L5583" t="e">
        <f t="shared" si="1140"/>
        <v>#N/A</v>
      </c>
      <c r="M5583" s="4" t="e">
        <f t="shared" si="1141"/>
        <v>#N/A</v>
      </c>
      <c r="N5583" s="4" t="e">
        <f t="shared" si="1142"/>
        <v>#N/A</v>
      </c>
    </row>
    <row r="5584" spans="1:14">
      <c r="A5584">
        <f t="shared" si="1143"/>
        <v>0</v>
      </c>
      <c r="B5584">
        <f t="shared" si="1144"/>
        <v>0</v>
      </c>
      <c r="C5584">
        <f t="shared" si="1145"/>
        <v>0</v>
      </c>
      <c r="D5584">
        <f t="shared" si="1146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7"/>
        <v>0</v>
      </c>
      <c r="G5584">
        <f t="shared" si="1148"/>
        <v>0</v>
      </c>
      <c r="H5584">
        <f t="shared" si="1149"/>
        <v>0</v>
      </c>
      <c r="I5584">
        <f t="shared" si="1150"/>
        <v>0</v>
      </c>
      <c r="J5584">
        <f t="shared" si="1151"/>
        <v>0</v>
      </c>
      <c r="K5584" s="4" t="e">
        <f t="shared" si="1139"/>
        <v>#N/A</v>
      </c>
      <c r="L5584" t="e">
        <f t="shared" si="1140"/>
        <v>#N/A</v>
      </c>
      <c r="M5584" s="4" t="e">
        <f t="shared" si="1141"/>
        <v>#N/A</v>
      </c>
      <c r="N5584" s="4" t="e">
        <f t="shared" si="1142"/>
        <v>#N/A</v>
      </c>
    </row>
    <row r="5585" spans="1:14">
      <c r="A5585">
        <f t="shared" si="1143"/>
        <v>0</v>
      </c>
      <c r="B5585">
        <f t="shared" si="1144"/>
        <v>0</v>
      </c>
      <c r="C5585">
        <f t="shared" si="1145"/>
        <v>0</v>
      </c>
      <c r="D5585">
        <f t="shared" si="1146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7"/>
        <v>0</v>
      </c>
      <c r="G5585">
        <f t="shared" si="1148"/>
        <v>0</v>
      </c>
      <c r="H5585">
        <f t="shared" si="1149"/>
        <v>0</v>
      </c>
      <c r="I5585">
        <f t="shared" si="1150"/>
        <v>0</v>
      </c>
      <c r="J5585">
        <f t="shared" si="1151"/>
        <v>0</v>
      </c>
      <c r="K5585" s="4" t="e">
        <f t="shared" si="1139"/>
        <v>#N/A</v>
      </c>
      <c r="L5585" t="e">
        <f t="shared" si="1140"/>
        <v>#N/A</v>
      </c>
      <c r="M5585" s="4" t="e">
        <f t="shared" si="1141"/>
        <v>#N/A</v>
      </c>
      <c r="N5585" s="4" t="e">
        <f t="shared" si="1142"/>
        <v>#N/A</v>
      </c>
    </row>
    <row r="5586" spans="1:14">
      <c r="A5586">
        <f t="shared" si="1143"/>
        <v>0</v>
      </c>
      <c r="B5586">
        <f t="shared" si="1144"/>
        <v>0</v>
      </c>
      <c r="C5586">
        <f t="shared" si="1145"/>
        <v>0</v>
      </c>
      <c r="D5586">
        <f t="shared" si="1146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7"/>
        <v>0</v>
      </c>
      <c r="G5586">
        <f t="shared" si="1148"/>
        <v>0</v>
      </c>
      <c r="H5586">
        <f t="shared" si="1149"/>
        <v>0</v>
      </c>
      <c r="I5586">
        <f t="shared" si="1150"/>
        <v>0</v>
      </c>
      <c r="J5586">
        <f t="shared" si="1151"/>
        <v>0</v>
      </c>
      <c r="K5586" s="4" t="e">
        <f t="shared" si="1139"/>
        <v>#N/A</v>
      </c>
      <c r="L5586" t="e">
        <f t="shared" si="1140"/>
        <v>#N/A</v>
      </c>
      <c r="M5586" s="4" t="e">
        <f t="shared" si="1141"/>
        <v>#N/A</v>
      </c>
      <c r="N5586" s="4" t="e">
        <f t="shared" si="1142"/>
        <v>#N/A</v>
      </c>
    </row>
    <row r="5587" spans="1:14">
      <c r="A5587">
        <f t="shared" si="1143"/>
        <v>0</v>
      </c>
      <c r="B5587">
        <f t="shared" si="1144"/>
        <v>0</v>
      </c>
      <c r="C5587">
        <f t="shared" si="1145"/>
        <v>0</v>
      </c>
      <c r="D5587">
        <f t="shared" si="1146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7"/>
        <v>0</v>
      </c>
      <c r="G5587">
        <f t="shared" si="1148"/>
        <v>0</v>
      </c>
      <c r="H5587">
        <f t="shared" si="1149"/>
        <v>0</v>
      </c>
      <c r="I5587">
        <f t="shared" si="1150"/>
        <v>0</v>
      </c>
      <c r="J5587">
        <f t="shared" si="1151"/>
        <v>0</v>
      </c>
      <c r="K5587" s="4" t="e">
        <f t="shared" si="1139"/>
        <v>#N/A</v>
      </c>
      <c r="L5587" t="e">
        <f t="shared" si="1140"/>
        <v>#N/A</v>
      </c>
      <c r="M5587" s="4" t="e">
        <f t="shared" si="1141"/>
        <v>#N/A</v>
      </c>
      <c r="N5587" s="4" t="e">
        <f t="shared" si="1142"/>
        <v>#N/A</v>
      </c>
    </row>
    <row r="5588" spans="1:14">
      <c r="A5588">
        <f t="shared" si="1143"/>
        <v>0</v>
      </c>
      <c r="B5588">
        <f t="shared" si="1144"/>
        <v>0</v>
      </c>
      <c r="C5588">
        <f t="shared" si="1145"/>
        <v>0</v>
      </c>
      <c r="D5588">
        <f t="shared" si="1146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7"/>
        <v>0</v>
      </c>
      <c r="G5588">
        <f t="shared" si="1148"/>
        <v>0</v>
      </c>
      <c r="H5588">
        <f t="shared" si="1149"/>
        <v>0</v>
      </c>
      <c r="I5588">
        <f t="shared" si="1150"/>
        <v>0</v>
      </c>
      <c r="J5588">
        <f t="shared" si="1151"/>
        <v>0</v>
      </c>
      <c r="K5588" s="4" t="e">
        <f t="shared" si="1139"/>
        <v>#N/A</v>
      </c>
      <c r="L5588" t="e">
        <f t="shared" si="1140"/>
        <v>#N/A</v>
      </c>
      <c r="M5588" s="4" t="e">
        <f t="shared" si="1141"/>
        <v>#N/A</v>
      </c>
      <c r="N5588" s="4" t="e">
        <f t="shared" si="1142"/>
        <v>#N/A</v>
      </c>
    </row>
    <row r="5589" spans="1:14">
      <c r="A5589">
        <f t="shared" si="1143"/>
        <v>0</v>
      </c>
      <c r="B5589">
        <f t="shared" si="1144"/>
        <v>0</v>
      </c>
      <c r="C5589">
        <f t="shared" si="1145"/>
        <v>0</v>
      </c>
      <c r="D5589">
        <f t="shared" si="1146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7"/>
        <v>0</v>
      </c>
      <c r="G5589">
        <f t="shared" si="1148"/>
        <v>0</v>
      </c>
      <c r="H5589">
        <f t="shared" si="1149"/>
        <v>0</v>
      </c>
      <c r="I5589">
        <f t="shared" si="1150"/>
        <v>0</v>
      </c>
      <c r="J5589">
        <f t="shared" si="1151"/>
        <v>0</v>
      </c>
      <c r="K5589" s="4" t="e">
        <f t="shared" si="1139"/>
        <v>#N/A</v>
      </c>
      <c r="L5589" t="e">
        <f t="shared" si="1140"/>
        <v>#N/A</v>
      </c>
      <c r="M5589" s="4" t="e">
        <f t="shared" si="1141"/>
        <v>#N/A</v>
      </c>
      <c r="N5589" s="4" t="e">
        <f t="shared" si="1142"/>
        <v>#N/A</v>
      </c>
    </row>
    <row r="5590" spans="1:14">
      <c r="A5590">
        <f t="shared" si="1143"/>
        <v>0</v>
      </c>
      <c r="B5590">
        <f t="shared" si="1144"/>
        <v>0</v>
      </c>
      <c r="C5590">
        <f t="shared" si="1145"/>
        <v>0</v>
      </c>
      <c r="D5590">
        <f t="shared" si="1146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7"/>
        <v>0</v>
      </c>
      <c r="G5590">
        <f t="shared" si="1148"/>
        <v>0</v>
      </c>
      <c r="H5590">
        <f t="shared" si="1149"/>
        <v>0</v>
      </c>
      <c r="I5590">
        <f t="shared" si="1150"/>
        <v>0</v>
      </c>
      <c r="J5590">
        <f t="shared" si="1151"/>
        <v>0</v>
      </c>
      <c r="K5590" s="4" t="e">
        <f t="shared" si="1139"/>
        <v>#N/A</v>
      </c>
      <c r="L5590" t="e">
        <f t="shared" si="1140"/>
        <v>#N/A</v>
      </c>
      <c r="M5590" s="4" t="e">
        <f t="shared" si="1141"/>
        <v>#N/A</v>
      </c>
      <c r="N5590" s="4" t="e">
        <f t="shared" si="1142"/>
        <v>#N/A</v>
      </c>
    </row>
    <row r="5591" spans="1:14">
      <c r="A5591">
        <f t="shared" si="1143"/>
        <v>0</v>
      </c>
      <c r="B5591">
        <f t="shared" si="1144"/>
        <v>0</v>
      </c>
      <c r="C5591">
        <f t="shared" si="1145"/>
        <v>0</v>
      </c>
      <c r="D5591">
        <f t="shared" si="1146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7"/>
        <v>0</v>
      </c>
      <c r="G5591">
        <f t="shared" si="1148"/>
        <v>0</v>
      </c>
      <c r="H5591">
        <f t="shared" si="1149"/>
        <v>0</v>
      </c>
      <c r="I5591">
        <f t="shared" si="1150"/>
        <v>0</v>
      </c>
      <c r="J5591">
        <f t="shared" si="1151"/>
        <v>0</v>
      </c>
      <c r="K5591" s="4" t="e">
        <f t="shared" si="1139"/>
        <v>#N/A</v>
      </c>
      <c r="L5591" t="e">
        <f t="shared" si="1140"/>
        <v>#N/A</v>
      </c>
      <c r="M5591" s="4" t="e">
        <f t="shared" si="1141"/>
        <v>#N/A</v>
      </c>
      <c r="N5591" s="4" t="e">
        <f t="shared" si="1142"/>
        <v>#N/A</v>
      </c>
    </row>
    <row r="5592" spans="1:14">
      <c r="A5592">
        <f t="shared" si="1143"/>
        <v>0</v>
      </c>
      <c r="B5592">
        <f t="shared" si="1144"/>
        <v>0</v>
      </c>
      <c r="C5592">
        <f t="shared" si="1145"/>
        <v>0</v>
      </c>
      <c r="D5592">
        <f t="shared" si="1146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7"/>
        <v>0</v>
      </c>
      <c r="G5592">
        <f t="shared" si="1148"/>
        <v>0</v>
      </c>
      <c r="H5592">
        <f t="shared" si="1149"/>
        <v>0</v>
      </c>
      <c r="I5592">
        <f t="shared" si="1150"/>
        <v>0</v>
      </c>
      <c r="J5592">
        <f t="shared" si="1151"/>
        <v>0</v>
      </c>
      <c r="K5592" s="4" t="e">
        <f t="shared" si="1139"/>
        <v>#N/A</v>
      </c>
      <c r="L5592" t="e">
        <f t="shared" si="1140"/>
        <v>#N/A</v>
      </c>
      <c r="M5592" s="4" t="e">
        <f t="shared" si="1141"/>
        <v>#N/A</v>
      </c>
      <c r="N5592" s="4" t="e">
        <f t="shared" si="1142"/>
        <v>#N/A</v>
      </c>
    </row>
    <row r="5593" spans="1:14">
      <c r="A5593">
        <f t="shared" si="1143"/>
        <v>0</v>
      </c>
      <c r="B5593">
        <f t="shared" si="1144"/>
        <v>0</v>
      </c>
      <c r="C5593">
        <f t="shared" si="1145"/>
        <v>0</v>
      </c>
      <c r="D5593">
        <f t="shared" si="1146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7"/>
        <v>0</v>
      </c>
      <c r="G5593">
        <f t="shared" si="1148"/>
        <v>0</v>
      </c>
      <c r="H5593">
        <f t="shared" si="1149"/>
        <v>0</v>
      </c>
      <c r="I5593">
        <f t="shared" si="1150"/>
        <v>0</v>
      </c>
      <c r="J5593">
        <f t="shared" si="1151"/>
        <v>0</v>
      </c>
      <c r="K5593" s="4" t="e">
        <f t="shared" si="1139"/>
        <v>#N/A</v>
      </c>
      <c r="L5593" t="e">
        <f t="shared" si="1140"/>
        <v>#N/A</v>
      </c>
      <c r="M5593" s="4" t="e">
        <f t="shared" si="1141"/>
        <v>#N/A</v>
      </c>
      <c r="N5593" s="4" t="e">
        <f t="shared" si="1142"/>
        <v>#N/A</v>
      </c>
    </row>
    <row r="5594" spans="1:14">
      <c r="A5594">
        <f t="shared" si="1143"/>
        <v>0</v>
      </c>
      <c r="B5594">
        <f t="shared" si="1144"/>
        <v>0</v>
      </c>
      <c r="C5594">
        <f t="shared" si="1145"/>
        <v>0</v>
      </c>
      <c r="D5594">
        <f t="shared" si="1146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7"/>
        <v>0</v>
      </c>
      <c r="G5594">
        <f t="shared" si="1148"/>
        <v>0</v>
      </c>
      <c r="H5594">
        <f t="shared" si="1149"/>
        <v>0</v>
      </c>
      <c r="I5594">
        <f t="shared" si="1150"/>
        <v>0</v>
      </c>
      <c r="J5594">
        <f t="shared" si="1151"/>
        <v>0</v>
      </c>
      <c r="K5594" s="4" t="e">
        <f t="shared" si="1139"/>
        <v>#N/A</v>
      </c>
      <c r="L5594" t="e">
        <f t="shared" si="1140"/>
        <v>#N/A</v>
      </c>
      <c r="M5594" s="4" t="e">
        <f t="shared" si="1141"/>
        <v>#N/A</v>
      </c>
      <c r="N5594" s="4" t="e">
        <f t="shared" si="1142"/>
        <v>#N/A</v>
      </c>
    </row>
    <row r="5595" spans="1:14">
      <c r="A5595">
        <f t="shared" si="1143"/>
        <v>0</v>
      </c>
      <c r="B5595">
        <f t="shared" si="1144"/>
        <v>0</v>
      </c>
      <c r="C5595">
        <f t="shared" si="1145"/>
        <v>0</v>
      </c>
      <c r="D5595">
        <f t="shared" si="1146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7"/>
        <v>0</v>
      </c>
      <c r="G5595">
        <f t="shared" si="1148"/>
        <v>0</v>
      </c>
      <c r="H5595">
        <f t="shared" si="1149"/>
        <v>0</v>
      </c>
      <c r="I5595">
        <f t="shared" si="1150"/>
        <v>0</v>
      </c>
      <c r="J5595">
        <f t="shared" si="1151"/>
        <v>0</v>
      </c>
      <c r="K5595" s="4" t="e">
        <f t="shared" si="1139"/>
        <v>#N/A</v>
      </c>
      <c r="L5595" t="e">
        <f t="shared" si="1140"/>
        <v>#N/A</v>
      </c>
      <c r="M5595" s="4" t="e">
        <f t="shared" si="1141"/>
        <v>#N/A</v>
      </c>
      <c r="N5595" s="4" t="e">
        <f t="shared" si="1142"/>
        <v>#N/A</v>
      </c>
    </row>
    <row r="5596" spans="1:14">
      <c r="A5596">
        <f t="shared" si="1143"/>
        <v>0</v>
      </c>
      <c r="B5596">
        <f t="shared" si="1144"/>
        <v>0</v>
      </c>
      <c r="C5596">
        <f t="shared" si="1145"/>
        <v>0</v>
      </c>
      <c r="D5596">
        <f t="shared" si="1146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7"/>
        <v>0</v>
      </c>
      <c r="G5596">
        <f t="shared" si="1148"/>
        <v>0</v>
      </c>
      <c r="H5596">
        <f t="shared" si="1149"/>
        <v>0</v>
      </c>
      <c r="I5596">
        <f t="shared" si="1150"/>
        <v>0</v>
      </c>
      <c r="J5596">
        <f t="shared" si="1151"/>
        <v>0</v>
      </c>
      <c r="K5596" s="4" t="e">
        <f t="shared" si="1139"/>
        <v>#N/A</v>
      </c>
      <c r="L5596" t="e">
        <f t="shared" si="1140"/>
        <v>#N/A</v>
      </c>
      <c r="M5596" s="4" t="e">
        <f t="shared" si="1141"/>
        <v>#N/A</v>
      </c>
      <c r="N5596" s="4" t="e">
        <f t="shared" si="1142"/>
        <v>#N/A</v>
      </c>
    </row>
    <row r="5597" spans="1:14">
      <c r="A5597">
        <f t="shared" si="1143"/>
        <v>0</v>
      </c>
      <c r="B5597">
        <f t="shared" si="1144"/>
        <v>0</v>
      </c>
      <c r="C5597">
        <f t="shared" si="1145"/>
        <v>0</v>
      </c>
      <c r="D5597">
        <f t="shared" si="1146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7"/>
        <v>0</v>
      </c>
      <c r="G5597">
        <f t="shared" si="1148"/>
        <v>0</v>
      </c>
      <c r="H5597">
        <f t="shared" si="1149"/>
        <v>0</v>
      </c>
      <c r="I5597">
        <f t="shared" si="1150"/>
        <v>0</v>
      </c>
      <c r="J5597">
        <f t="shared" si="1151"/>
        <v>0</v>
      </c>
      <c r="K5597" s="4" t="e">
        <f t="shared" si="1139"/>
        <v>#N/A</v>
      </c>
      <c r="L5597" t="e">
        <f t="shared" si="1140"/>
        <v>#N/A</v>
      </c>
      <c r="M5597" s="4" t="e">
        <f t="shared" si="1141"/>
        <v>#N/A</v>
      </c>
      <c r="N5597" s="4" t="e">
        <f t="shared" si="1142"/>
        <v>#N/A</v>
      </c>
    </row>
    <row r="5598" spans="1:14">
      <c r="A5598">
        <f t="shared" si="1143"/>
        <v>0</v>
      </c>
      <c r="B5598">
        <f t="shared" si="1144"/>
        <v>0</v>
      </c>
      <c r="C5598">
        <f t="shared" si="1145"/>
        <v>0</v>
      </c>
      <c r="D5598">
        <f t="shared" si="1146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7"/>
        <v>0</v>
      </c>
      <c r="G5598">
        <f t="shared" si="1148"/>
        <v>0</v>
      </c>
      <c r="H5598">
        <f t="shared" si="1149"/>
        <v>0</v>
      </c>
      <c r="I5598">
        <f t="shared" si="1150"/>
        <v>0</v>
      </c>
      <c r="J5598">
        <f t="shared" si="1151"/>
        <v>0</v>
      </c>
      <c r="K5598" s="4" t="e">
        <f t="shared" si="1139"/>
        <v>#N/A</v>
      </c>
      <c r="L5598" t="e">
        <f t="shared" si="1140"/>
        <v>#N/A</v>
      </c>
      <c r="M5598" s="4" t="e">
        <f t="shared" si="1141"/>
        <v>#N/A</v>
      </c>
      <c r="N5598" s="4" t="e">
        <f t="shared" si="1142"/>
        <v>#N/A</v>
      </c>
    </row>
    <row r="5599" spans="1:14">
      <c r="A5599">
        <f t="shared" si="1143"/>
        <v>0</v>
      </c>
      <c r="B5599">
        <f t="shared" si="1144"/>
        <v>0</v>
      </c>
      <c r="C5599">
        <f t="shared" si="1145"/>
        <v>0</v>
      </c>
      <c r="D5599">
        <f t="shared" si="1146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7"/>
        <v>0</v>
      </c>
      <c r="G5599">
        <f t="shared" si="1148"/>
        <v>0</v>
      </c>
      <c r="H5599">
        <f t="shared" si="1149"/>
        <v>0</v>
      </c>
      <c r="I5599">
        <f t="shared" si="1150"/>
        <v>0</v>
      </c>
      <c r="J5599">
        <f t="shared" si="1151"/>
        <v>0</v>
      </c>
      <c r="K5599" s="4" t="e">
        <f t="shared" si="1139"/>
        <v>#N/A</v>
      </c>
      <c r="L5599" t="e">
        <f t="shared" si="1140"/>
        <v>#N/A</v>
      </c>
      <c r="M5599" s="4" t="e">
        <f t="shared" si="1141"/>
        <v>#N/A</v>
      </c>
      <c r="N5599" s="4" t="e">
        <f t="shared" si="1142"/>
        <v>#N/A</v>
      </c>
    </row>
    <row r="5600" spans="1:14">
      <c r="A5600">
        <f t="shared" si="1143"/>
        <v>0</v>
      </c>
      <c r="B5600">
        <f t="shared" si="1144"/>
        <v>0</v>
      </c>
      <c r="C5600">
        <f t="shared" si="1145"/>
        <v>0</v>
      </c>
      <c r="D5600">
        <f t="shared" si="1146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7"/>
        <v>0</v>
      </c>
      <c r="G5600">
        <f t="shared" si="1148"/>
        <v>0</v>
      </c>
      <c r="H5600">
        <f t="shared" si="1149"/>
        <v>0</v>
      </c>
      <c r="I5600">
        <f t="shared" si="1150"/>
        <v>0</v>
      </c>
      <c r="J5600">
        <f t="shared" si="1151"/>
        <v>0</v>
      </c>
      <c r="K5600" s="4" t="e">
        <f t="shared" si="1139"/>
        <v>#N/A</v>
      </c>
      <c r="L5600" t="e">
        <f t="shared" si="1140"/>
        <v>#N/A</v>
      </c>
      <c r="M5600" s="4" t="e">
        <f t="shared" si="1141"/>
        <v>#N/A</v>
      </c>
      <c r="N5600" s="4" t="e">
        <f t="shared" si="1142"/>
        <v>#N/A</v>
      </c>
    </row>
    <row r="5601" spans="1:14">
      <c r="A5601">
        <f t="shared" si="1143"/>
        <v>0</v>
      </c>
      <c r="B5601">
        <f t="shared" si="1144"/>
        <v>0</v>
      </c>
      <c r="C5601">
        <f t="shared" si="1145"/>
        <v>0</v>
      </c>
      <c r="D5601">
        <f t="shared" si="1146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7"/>
        <v>0</v>
      </c>
      <c r="G5601">
        <f t="shared" si="1148"/>
        <v>0</v>
      </c>
      <c r="H5601">
        <f t="shared" si="1149"/>
        <v>0</v>
      </c>
      <c r="I5601">
        <f t="shared" si="1150"/>
        <v>0</v>
      </c>
      <c r="J5601">
        <f t="shared" si="1151"/>
        <v>0</v>
      </c>
      <c r="K5601" s="4" t="e">
        <f t="shared" si="1139"/>
        <v>#N/A</v>
      </c>
      <c r="L5601" t="e">
        <f t="shared" si="1140"/>
        <v>#N/A</v>
      </c>
      <c r="M5601" s="4" t="e">
        <f t="shared" si="1141"/>
        <v>#N/A</v>
      </c>
      <c r="N5601" s="4" t="e">
        <f t="shared" si="1142"/>
        <v>#N/A</v>
      </c>
    </row>
    <row r="5602" spans="1:14">
      <c r="A5602">
        <f t="shared" si="1143"/>
        <v>0</v>
      </c>
      <c r="B5602">
        <f t="shared" si="1144"/>
        <v>0</v>
      </c>
      <c r="C5602">
        <f t="shared" si="1145"/>
        <v>0</v>
      </c>
      <c r="D5602">
        <f t="shared" si="1146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7"/>
        <v>0</v>
      </c>
      <c r="G5602">
        <f t="shared" si="1148"/>
        <v>0</v>
      </c>
      <c r="H5602">
        <f t="shared" si="1149"/>
        <v>0</v>
      </c>
      <c r="I5602">
        <f t="shared" si="1150"/>
        <v>0</v>
      </c>
      <c r="J5602">
        <f t="shared" si="1151"/>
        <v>0</v>
      </c>
      <c r="K5602" s="4" t="e">
        <f t="shared" si="1139"/>
        <v>#N/A</v>
      </c>
      <c r="L5602" t="e">
        <f t="shared" si="1140"/>
        <v>#N/A</v>
      </c>
      <c r="M5602" s="4" t="e">
        <f t="shared" si="1141"/>
        <v>#N/A</v>
      </c>
      <c r="N5602" s="4" t="e">
        <f t="shared" si="1142"/>
        <v>#N/A</v>
      </c>
    </row>
    <row r="5603" spans="1:14">
      <c r="A5603">
        <f t="shared" si="1143"/>
        <v>0</v>
      </c>
      <c r="B5603">
        <f t="shared" si="1144"/>
        <v>0</v>
      </c>
      <c r="C5603">
        <f t="shared" si="1145"/>
        <v>0</v>
      </c>
      <c r="D5603">
        <f t="shared" si="1146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7"/>
        <v>0</v>
      </c>
      <c r="G5603">
        <f t="shared" si="1148"/>
        <v>0</v>
      </c>
      <c r="H5603">
        <f t="shared" si="1149"/>
        <v>0</v>
      </c>
      <c r="I5603">
        <f t="shared" si="1150"/>
        <v>0</v>
      </c>
      <c r="J5603">
        <f t="shared" si="1151"/>
        <v>0</v>
      </c>
      <c r="K5603" s="4" t="e">
        <f t="shared" si="1139"/>
        <v>#N/A</v>
      </c>
      <c r="L5603" t="e">
        <f t="shared" si="1140"/>
        <v>#N/A</v>
      </c>
      <c r="M5603" s="4" t="e">
        <f t="shared" si="1141"/>
        <v>#N/A</v>
      </c>
      <c r="N5603" s="4" t="e">
        <f t="shared" si="1142"/>
        <v>#N/A</v>
      </c>
    </row>
    <row r="5604" spans="1:14">
      <c r="A5604">
        <f t="shared" si="1143"/>
        <v>0</v>
      </c>
      <c r="B5604">
        <f t="shared" si="1144"/>
        <v>0</v>
      </c>
      <c r="C5604">
        <f t="shared" si="1145"/>
        <v>0</v>
      </c>
      <c r="D5604">
        <f t="shared" si="1146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7"/>
        <v>0</v>
      </c>
      <c r="G5604">
        <f t="shared" si="1148"/>
        <v>0</v>
      </c>
      <c r="H5604">
        <f t="shared" si="1149"/>
        <v>0</v>
      </c>
      <c r="I5604">
        <f t="shared" si="1150"/>
        <v>0</v>
      </c>
      <c r="J5604">
        <f t="shared" si="1151"/>
        <v>0</v>
      </c>
      <c r="K5604" s="4" t="e">
        <f t="shared" si="1139"/>
        <v>#N/A</v>
      </c>
      <c r="L5604" t="e">
        <f t="shared" si="1140"/>
        <v>#N/A</v>
      </c>
      <c r="M5604" s="4" t="e">
        <f t="shared" si="1141"/>
        <v>#N/A</v>
      </c>
      <c r="N5604" s="4" t="e">
        <f t="shared" si="1142"/>
        <v>#N/A</v>
      </c>
    </row>
    <row r="5605" spans="1:14">
      <c r="A5605">
        <f t="shared" si="1143"/>
        <v>0</v>
      </c>
      <c r="B5605">
        <f t="shared" si="1144"/>
        <v>0</v>
      </c>
      <c r="C5605">
        <f t="shared" si="1145"/>
        <v>0</v>
      </c>
      <c r="D5605">
        <f t="shared" si="1146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7"/>
        <v>0</v>
      </c>
      <c r="G5605">
        <f t="shared" si="1148"/>
        <v>0</v>
      </c>
      <c r="H5605">
        <f t="shared" si="1149"/>
        <v>0</v>
      </c>
      <c r="I5605">
        <f t="shared" si="1150"/>
        <v>0</v>
      </c>
      <c r="J5605">
        <f t="shared" si="1151"/>
        <v>0</v>
      </c>
      <c r="K5605" s="4" t="e">
        <f t="shared" si="1139"/>
        <v>#N/A</v>
      </c>
      <c r="L5605" t="e">
        <f t="shared" si="1140"/>
        <v>#N/A</v>
      </c>
      <c r="M5605" s="4" t="e">
        <f t="shared" si="1141"/>
        <v>#N/A</v>
      </c>
      <c r="N5605" s="4" t="e">
        <f t="shared" si="1142"/>
        <v>#N/A</v>
      </c>
    </row>
    <row r="5606" spans="1:14">
      <c r="A5606">
        <f t="shared" si="1143"/>
        <v>0</v>
      </c>
      <c r="B5606">
        <f t="shared" si="1144"/>
        <v>0</v>
      </c>
      <c r="C5606">
        <f t="shared" si="1145"/>
        <v>0</v>
      </c>
      <c r="D5606">
        <f t="shared" si="1146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7"/>
        <v>0</v>
      </c>
      <c r="G5606">
        <f t="shared" si="1148"/>
        <v>0</v>
      </c>
      <c r="H5606">
        <f t="shared" si="1149"/>
        <v>0</v>
      </c>
      <c r="I5606">
        <f t="shared" si="1150"/>
        <v>0</v>
      </c>
      <c r="J5606">
        <f t="shared" si="1151"/>
        <v>0</v>
      </c>
      <c r="K5606" s="4" t="e">
        <f t="shared" si="1139"/>
        <v>#N/A</v>
      </c>
      <c r="L5606" t="e">
        <f t="shared" si="1140"/>
        <v>#N/A</v>
      </c>
      <c r="M5606" s="4" t="e">
        <f t="shared" si="1141"/>
        <v>#N/A</v>
      </c>
      <c r="N5606" s="4" t="e">
        <f t="shared" si="1142"/>
        <v>#N/A</v>
      </c>
    </row>
    <row r="5607" spans="1:14">
      <c r="A5607">
        <f t="shared" si="1143"/>
        <v>0</v>
      </c>
      <c r="B5607">
        <f t="shared" si="1144"/>
        <v>0</v>
      </c>
      <c r="C5607">
        <f t="shared" si="1145"/>
        <v>0</v>
      </c>
      <c r="D5607">
        <f t="shared" si="1146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7"/>
        <v>0</v>
      </c>
      <c r="G5607">
        <f t="shared" si="1148"/>
        <v>0</v>
      </c>
      <c r="H5607">
        <f t="shared" si="1149"/>
        <v>0</v>
      </c>
      <c r="I5607">
        <f t="shared" si="1150"/>
        <v>0</v>
      </c>
      <c r="J5607">
        <f t="shared" si="1151"/>
        <v>0</v>
      </c>
      <c r="K5607" s="4" t="e">
        <f t="shared" si="1139"/>
        <v>#N/A</v>
      </c>
      <c r="L5607" t="e">
        <f t="shared" si="1140"/>
        <v>#N/A</v>
      </c>
      <c r="M5607" s="4" t="e">
        <f t="shared" si="1141"/>
        <v>#N/A</v>
      </c>
      <c r="N5607" s="4" t="e">
        <f t="shared" si="1142"/>
        <v>#N/A</v>
      </c>
    </row>
    <row r="5608" spans="1:14">
      <c r="A5608">
        <f t="shared" si="1143"/>
        <v>0</v>
      </c>
      <c r="B5608">
        <f t="shared" si="1144"/>
        <v>0</v>
      </c>
      <c r="C5608">
        <f t="shared" si="1145"/>
        <v>0</v>
      </c>
      <c r="D5608">
        <f t="shared" si="1146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7"/>
        <v>0</v>
      </c>
      <c r="G5608">
        <f t="shared" si="1148"/>
        <v>0</v>
      </c>
      <c r="H5608">
        <f t="shared" si="1149"/>
        <v>0</v>
      </c>
      <c r="I5608">
        <f t="shared" si="1150"/>
        <v>0</v>
      </c>
      <c r="J5608">
        <f t="shared" si="1151"/>
        <v>0</v>
      </c>
      <c r="K5608" s="4" t="e">
        <f t="shared" si="1139"/>
        <v>#N/A</v>
      </c>
      <c r="L5608" t="e">
        <f t="shared" si="1140"/>
        <v>#N/A</v>
      </c>
      <c r="M5608" s="4" t="e">
        <f t="shared" si="1141"/>
        <v>#N/A</v>
      </c>
      <c r="N5608" s="4" t="e">
        <f t="shared" si="1142"/>
        <v>#N/A</v>
      </c>
    </row>
    <row r="5609" spans="1:14">
      <c r="A5609">
        <f t="shared" si="1143"/>
        <v>0</v>
      </c>
      <c r="B5609">
        <f t="shared" si="1144"/>
        <v>0</v>
      </c>
      <c r="C5609">
        <f t="shared" si="1145"/>
        <v>0</v>
      </c>
      <c r="D5609">
        <f t="shared" si="1146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7"/>
        <v>0</v>
      </c>
      <c r="G5609">
        <f t="shared" si="1148"/>
        <v>0</v>
      </c>
      <c r="H5609">
        <f t="shared" si="1149"/>
        <v>0</v>
      </c>
      <c r="I5609">
        <f t="shared" si="1150"/>
        <v>0</v>
      </c>
      <c r="J5609">
        <f t="shared" si="1151"/>
        <v>0</v>
      </c>
      <c r="K5609" s="4" t="e">
        <f t="shared" si="1139"/>
        <v>#N/A</v>
      </c>
      <c r="L5609" t="e">
        <f t="shared" si="1140"/>
        <v>#N/A</v>
      </c>
      <c r="M5609" s="4" t="e">
        <f t="shared" si="1141"/>
        <v>#N/A</v>
      </c>
      <c r="N5609" s="4" t="e">
        <f t="shared" si="1142"/>
        <v>#N/A</v>
      </c>
    </row>
    <row r="5610" spans="1:14">
      <c r="A5610">
        <f t="shared" si="1143"/>
        <v>0</v>
      </c>
      <c r="B5610">
        <f t="shared" si="1144"/>
        <v>0</v>
      </c>
      <c r="C5610">
        <f t="shared" si="1145"/>
        <v>0</v>
      </c>
      <c r="D5610">
        <f t="shared" si="1146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7"/>
        <v>0</v>
      </c>
      <c r="G5610">
        <f t="shared" si="1148"/>
        <v>0</v>
      </c>
      <c r="H5610">
        <f t="shared" si="1149"/>
        <v>0</v>
      </c>
      <c r="I5610">
        <f t="shared" si="1150"/>
        <v>0</v>
      </c>
      <c r="J5610">
        <f t="shared" si="1151"/>
        <v>0</v>
      </c>
      <c r="K5610" s="4" t="e">
        <f t="shared" si="1139"/>
        <v>#N/A</v>
      </c>
      <c r="L5610" t="e">
        <f t="shared" si="1140"/>
        <v>#N/A</v>
      </c>
      <c r="M5610" s="4" t="e">
        <f t="shared" si="1141"/>
        <v>#N/A</v>
      </c>
      <c r="N5610" s="4" t="e">
        <f t="shared" si="1142"/>
        <v>#N/A</v>
      </c>
    </row>
    <row r="5611" spans="1:14">
      <c r="A5611">
        <f t="shared" si="1143"/>
        <v>0</v>
      </c>
      <c r="B5611">
        <f t="shared" si="1144"/>
        <v>0</v>
      </c>
      <c r="C5611">
        <f t="shared" si="1145"/>
        <v>0</v>
      </c>
      <c r="D5611">
        <f t="shared" si="1146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7"/>
        <v>0</v>
      </c>
      <c r="G5611">
        <f t="shared" si="1148"/>
        <v>0</v>
      </c>
      <c r="H5611">
        <f t="shared" si="1149"/>
        <v>0</v>
      </c>
      <c r="I5611">
        <f t="shared" si="1150"/>
        <v>0</v>
      </c>
      <c r="J5611">
        <f t="shared" si="1151"/>
        <v>0</v>
      </c>
      <c r="K5611" s="4" t="e">
        <f t="shared" si="1139"/>
        <v>#N/A</v>
      </c>
      <c r="L5611" t="e">
        <f t="shared" si="1140"/>
        <v>#N/A</v>
      </c>
      <c r="M5611" s="4" t="e">
        <f t="shared" si="1141"/>
        <v>#N/A</v>
      </c>
      <c r="N5611" s="4" t="e">
        <f t="shared" si="1142"/>
        <v>#N/A</v>
      </c>
    </row>
    <row r="5612" spans="1:14">
      <c r="A5612">
        <f t="shared" si="1143"/>
        <v>0</v>
      </c>
      <c r="B5612">
        <f t="shared" si="1144"/>
        <v>0</v>
      </c>
      <c r="C5612">
        <f t="shared" si="1145"/>
        <v>0</v>
      </c>
      <c r="D5612">
        <f t="shared" si="1146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7"/>
        <v>0</v>
      </c>
      <c r="G5612">
        <f t="shared" si="1148"/>
        <v>0</v>
      </c>
      <c r="H5612">
        <f t="shared" si="1149"/>
        <v>0</v>
      </c>
      <c r="I5612">
        <f t="shared" si="1150"/>
        <v>0</v>
      </c>
      <c r="J5612">
        <f t="shared" si="1151"/>
        <v>0</v>
      </c>
      <c r="K5612" s="4" t="e">
        <f t="shared" si="1139"/>
        <v>#N/A</v>
      </c>
      <c r="L5612" t="e">
        <f t="shared" si="1140"/>
        <v>#N/A</v>
      </c>
      <c r="M5612" s="4" t="e">
        <f t="shared" si="1141"/>
        <v>#N/A</v>
      </c>
      <c r="N5612" s="4" t="e">
        <f t="shared" si="1142"/>
        <v>#N/A</v>
      </c>
    </row>
    <row r="5613" spans="1:14">
      <c r="A5613">
        <f t="shared" si="1143"/>
        <v>0</v>
      </c>
      <c r="B5613">
        <f t="shared" si="1144"/>
        <v>0</v>
      </c>
      <c r="C5613">
        <f t="shared" si="1145"/>
        <v>0</v>
      </c>
      <c r="D5613">
        <f t="shared" si="1146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7"/>
        <v>0</v>
      </c>
      <c r="G5613">
        <f t="shared" si="1148"/>
        <v>0</v>
      </c>
      <c r="H5613">
        <f t="shared" si="1149"/>
        <v>0</v>
      </c>
      <c r="I5613">
        <f t="shared" si="1150"/>
        <v>0</v>
      </c>
      <c r="J5613">
        <f t="shared" si="1151"/>
        <v>0</v>
      </c>
      <c r="K5613" s="4" t="e">
        <f t="shared" si="1139"/>
        <v>#N/A</v>
      </c>
      <c r="L5613" t="e">
        <f t="shared" si="1140"/>
        <v>#N/A</v>
      </c>
      <c r="M5613" s="4" t="e">
        <f t="shared" si="1141"/>
        <v>#N/A</v>
      </c>
      <c r="N5613" s="4" t="e">
        <f t="shared" si="1142"/>
        <v>#N/A</v>
      </c>
    </row>
    <row r="5614" spans="1:14">
      <c r="A5614">
        <f t="shared" si="1143"/>
        <v>0</v>
      </c>
      <c r="B5614">
        <f t="shared" si="1144"/>
        <v>0</v>
      </c>
      <c r="C5614">
        <f t="shared" si="1145"/>
        <v>0</v>
      </c>
      <c r="D5614">
        <f t="shared" si="1146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7"/>
        <v>0</v>
      </c>
      <c r="G5614">
        <f t="shared" si="1148"/>
        <v>0</v>
      </c>
      <c r="H5614">
        <f t="shared" si="1149"/>
        <v>0</v>
      </c>
      <c r="I5614">
        <f t="shared" si="1150"/>
        <v>0</v>
      </c>
      <c r="J5614">
        <f t="shared" si="1151"/>
        <v>0</v>
      </c>
      <c r="K5614" s="4" t="e">
        <f t="shared" si="1139"/>
        <v>#N/A</v>
      </c>
      <c r="L5614" t="e">
        <f t="shared" si="1140"/>
        <v>#N/A</v>
      </c>
      <c r="M5614" s="4" t="e">
        <f t="shared" si="1141"/>
        <v>#N/A</v>
      </c>
      <c r="N5614" s="4" t="e">
        <f t="shared" si="1142"/>
        <v>#N/A</v>
      </c>
    </row>
    <row r="5615" spans="1:14">
      <c r="A5615">
        <f t="shared" si="1143"/>
        <v>0</v>
      </c>
      <c r="B5615">
        <f t="shared" si="1144"/>
        <v>0</v>
      </c>
      <c r="C5615">
        <f t="shared" si="1145"/>
        <v>0</v>
      </c>
      <c r="D5615">
        <f t="shared" si="1146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7"/>
        <v>0</v>
      </c>
      <c r="G5615">
        <f t="shared" si="1148"/>
        <v>0</v>
      </c>
      <c r="H5615">
        <f t="shared" si="1149"/>
        <v>0</v>
      </c>
      <c r="I5615">
        <f t="shared" si="1150"/>
        <v>0</v>
      </c>
      <c r="J5615">
        <f t="shared" si="1151"/>
        <v>0</v>
      </c>
      <c r="K5615" s="4" t="e">
        <f t="shared" si="1139"/>
        <v>#N/A</v>
      </c>
      <c r="L5615" t="e">
        <f t="shared" si="1140"/>
        <v>#N/A</v>
      </c>
      <c r="M5615" s="4" t="e">
        <f t="shared" si="1141"/>
        <v>#N/A</v>
      </c>
      <c r="N5615" s="4" t="e">
        <f t="shared" si="1142"/>
        <v>#N/A</v>
      </c>
    </row>
    <row r="5616" spans="1:14">
      <c r="A5616">
        <f t="shared" si="1143"/>
        <v>0</v>
      </c>
      <c r="B5616">
        <f t="shared" si="1144"/>
        <v>0</v>
      </c>
      <c r="C5616">
        <f t="shared" si="1145"/>
        <v>0</v>
      </c>
      <c r="D5616">
        <f t="shared" si="1146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7"/>
        <v>0</v>
      </c>
      <c r="G5616">
        <f t="shared" si="1148"/>
        <v>0</v>
      </c>
      <c r="H5616">
        <f t="shared" si="1149"/>
        <v>0</v>
      </c>
      <c r="I5616">
        <f t="shared" si="1150"/>
        <v>0</v>
      </c>
      <c r="J5616">
        <f t="shared" si="1151"/>
        <v>0</v>
      </c>
      <c r="K5616" s="4" t="e">
        <f t="shared" si="1139"/>
        <v>#N/A</v>
      </c>
      <c r="L5616" t="e">
        <f t="shared" si="1140"/>
        <v>#N/A</v>
      </c>
      <c r="M5616" s="4" t="e">
        <f t="shared" si="1141"/>
        <v>#N/A</v>
      </c>
      <c r="N5616" s="4" t="e">
        <f t="shared" si="1142"/>
        <v>#N/A</v>
      </c>
    </row>
    <row r="5617" spans="1:14">
      <c r="A5617">
        <f t="shared" si="1143"/>
        <v>0</v>
      </c>
      <c r="B5617">
        <f t="shared" si="1144"/>
        <v>0</v>
      </c>
      <c r="C5617">
        <f t="shared" si="1145"/>
        <v>0</v>
      </c>
      <c r="D5617">
        <f t="shared" si="1146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7"/>
        <v>0</v>
      </c>
      <c r="G5617">
        <f t="shared" si="1148"/>
        <v>0</v>
      </c>
      <c r="H5617">
        <f t="shared" si="1149"/>
        <v>0</v>
      </c>
      <c r="I5617">
        <f t="shared" si="1150"/>
        <v>0</v>
      </c>
      <c r="J5617">
        <f t="shared" si="1151"/>
        <v>0</v>
      </c>
      <c r="K5617" s="4" t="e">
        <f t="shared" si="1139"/>
        <v>#N/A</v>
      </c>
      <c r="L5617" t="e">
        <f t="shared" si="1140"/>
        <v>#N/A</v>
      </c>
      <c r="M5617" s="4" t="e">
        <f t="shared" si="1141"/>
        <v>#N/A</v>
      </c>
      <c r="N5617" s="4" t="e">
        <f t="shared" si="1142"/>
        <v>#N/A</v>
      </c>
    </row>
    <row r="5618" spans="1:14">
      <c r="A5618">
        <f t="shared" si="1143"/>
        <v>0</v>
      </c>
      <c r="B5618">
        <f t="shared" si="1144"/>
        <v>0</v>
      </c>
      <c r="C5618">
        <f t="shared" si="1145"/>
        <v>0</v>
      </c>
      <c r="D5618">
        <f t="shared" si="1146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7"/>
        <v>0</v>
      </c>
      <c r="G5618">
        <f t="shared" si="1148"/>
        <v>0</v>
      </c>
      <c r="H5618">
        <f t="shared" si="1149"/>
        <v>0</v>
      </c>
      <c r="I5618">
        <f t="shared" si="1150"/>
        <v>0</v>
      </c>
      <c r="J5618">
        <f t="shared" si="1151"/>
        <v>0</v>
      </c>
      <c r="K5618" s="4" t="e">
        <f t="shared" si="1139"/>
        <v>#N/A</v>
      </c>
      <c r="L5618" t="e">
        <f t="shared" si="1140"/>
        <v>#N/A</v>
      </c>
      <c r="M5618" s="4" t="e">
        <f t="shared" si="1141"/>
        <v>#N/A</v>
      </c>
      <c r="N5618" s="4" t="e">
        <f t="shared" si="1142"/>
        <v>#N/A</v>
      </c>
    </row>
    <row r="5619" spans="1:14">
      <c r="A5619">
        <f t="shared" si="1143"/>
        <v>0</v>
      </c>
      <c r="B5619">
        <f t="shared" si="1144"/>
        <v>0</v>
      </c>
      <c r="C5619">
        <f t="shared" si="1145"/>
        <v>0</v>
      </c>
      <c r="D5619">
        <f t="shared" si="1146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7"/>
        <v>0</v>
      </c>
      <c r="G5619">
        <f t="shared" si="1148"/>
        <v>0</v>
      </c>
      <c r="H5619">
        <f t="shared" si="1149"/>
        <v>0</v>
      </c>
      <c r="I5619">
        <f t="shared" si="1150"/>
        <v>0</v>
      </c>
      <c r="J5619">
        <f t="shared" si="1151"/>
        <v>0</v>
      </c>
      <c r="K5619" s="4" t="e">
        <f t="shared" si="1139"/>
        <v>#N/A</v>
      </c>
      <c r="L5619" t="e">
        <f t="shared" si="1140"/>
        <v>#N/A</v>
      </c>
      <c r="M5619" s="4" t="e">
        <f t="shared" si="1141"/>
        <v>#N/A</v>
      </c>
      <c r="N5619" s="4" t="e">
        <f t="shared" si="1142"/>
        <v>#N/A</v>
      </c>
    </row>
    <row r="5620" spans="1:14">
      <c r="A5620">
        <f t="shared" si="1143"/>
        <v>0</v>
      </c>
      <c r="B5620">
        <f t="shared" si="1144"/>
        <v>0</v>
      </c>
      <c r="C5620">
        <f t="shared" si="1145"/>
        <v>0</v>
      </c>
      <c r="D5620">
        <f t="shared" si="1146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7"/>
        <v>0</v>
      </c>
      <c r="G5620">
        <f t="shared" si="1148"/>
        <v>0</v>
      </c>
      <c r="H5620">
        <f t="shared" si="1149"/>
        <v>0</v>
      </c>
      <c r="I5620">
        <f t="shared" si="1150"/>
        <v>0</v>
      </c>
      <c r="J5620">
        <f t="shared" si="1151"/>
        <v>0</v>
      </c>
      <c r="K5620" s="4" t="e">
        <f t="shared" si="1139"/>
        <v>#N/A</v>
      </c>
      <c r="L5620" t="e">
        <f t="shared" si="1140"/>
        <v>#N/A</v>
      </c>
      <c r="M5620" s="4" t="e">
        <f t="shared" si="1141"/>
        <v>#N/A</v>
      </c>
      <c r="N5620" s="4" t="e">
        <f t="shared" si="1142"/>
        <v>#N/A</v>
      </c>
    </row>
    <row r="5621" spans="1:14">
      <c r="A5621">
        <f t="shared" si="1143"/>
        <v>0</v>
      </c>
      <c r="B5621">
        <f t="shared" si="1144"/>
        <v>0</v>
      </c>
      <c r="C5621">
        <f t="shared" si="1145"/>
        <v>0</v>
      </c>
      <c r="D5621">
        <f t="shared" si="1146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7"/>
        <v>0</v>
      </c>
      <c r="G5621">
        <f t="shared" si="1148"/>
        <v>0</v>
      </c>
      <c r="H5621">
        <f t="shared" si="1149"/>
        <v>0</v>
      </c>
      <c r="I5621">
        <f t="shared" si="1150"/>
        <v>0</v>
      </c>
      <c r="J5621">
        <f t="shared" si="1151"/>
        <v>0</v>
      </c>
      <c r="K5621" s="4" t="e">
        <f t="shared" si="1139"/>
        <v>#N/A</v>
      </c>
      <c r="L5621" t="e">
        <f t="shared" si="1140"/>
        <v>#N/A</v>
      </c>
      <c r="M5621" s="4" t="e">
        <f t="shared" si="1141"/>
        <v>#N/A</v>
      </c>
      <c r="N5621" s="4" t="e">
        <f t="shared" si="1142"/>
        <v>#N/A</v>
      </c>
    </row>
    <row r="5622" spans="1:14">
      <c r="A5622">
        <f t="shared" si="1143"/>
        <v>0</v>
      </c>
      <c r="B5622">
        <f t="shared" si="1144"/>
        <v>0</v>
      </c>
      <c r="C5622">
        <f t="shared" si="1145"/>
        <v>0</v>
      </c>
      <c r="D5622">
        <f t="shared" si="1146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7"/>
        <v>0</v>
      </c>
      <c r="G5622">
        <f t="shared" si="1148"/>
        <v>0</v>
      </c>
      <c r="H5622">
        <f t="shared" si="1149"/>
        <v>0</v>
      </c>
      <c r="I5622">
        <f t="shared" si="1150"/>
        <v>0</v>
      </c>
      <c r="J5622">
        <f t="shared" si="1151"/>
        <v>0</v>
      </c>
      <c r="K5622" s="4" t="e">
        <f t="shared" si="1139"/>
        <v>#N/A</v>
      </c>
      <c r="L5622" t="e">
        <f t="shared" si="1140"/>
        <v>#N/A</v>
      </c>
      <c r="M5622" s="4" t="e">
        <f t="shared" si="1141"/>
        <v>#N/A</v>
      </c>
      <c r="N5622" s="4" t="e">
        <f t="shared" si="1142"/>
        <v>#N/A</v>
      </c>
    </row>
    <row r="5623" spans="1:14">
      <c r="A5623">
        <f t="shared" si="1143"/>
        <v>0</v>
      </c>
      <c r="B5623">
        <f t="shared" si="1144"/>
        <v>0</v>
      </c>
      <c r="C5623">
        <f t="shared" si="1145"/>
        <v>0</v>
      </c>
      <c r="D5623">
        <f t="shared" si="1146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7"/>
        <v>0</v>
      </c>
      <c r="G5623">
        <f t="shared" si="1148"/>
        <v>0</v>
      </c>
      <c r="H5623">
        <f t="shared" si="1149"/>
        <v>0</v>
      </c>
      <c r="I5623">
        <f t="shared" si="1150"/>
        <v>0</v>
      </c>
      <c r="J5623">
        <f t="shared" si="1151"/>
        <v>0</v>
      </c>
      <c r="K5623" s="4" t="e">
        <f t="shared" si="1139"/>
        <v>#N/A</v>
      </c>
      <c r="L5623" t="e">
        <f t="shared" si="1140"/>
        <v>#N/A</v>
      </c>
      <c r="M5623" s="4" t="e">
        <f t="shared" si="1141"/>
        <v>#N/A</v>
      </c>
      <c r="N5623" s="4" t="e">
        <f t="shared" si="1142"/>
        <v>#N/A</v>
      </c>
    </row>
    <row r="5624" spans="1:14">
      <c r="A5624">
        <f t="shared" si="1143"/>
        <v>0</v>
      </c>
      <c r="B5624">
        <f t="shared" si="1144"/>
        <v>0</v>
      </c>
      <c r="C5624">
        <f t="shared" si="1145"/>
        <v>0</v>
      </c>
      <c r="D5624">
        <f t="shared" si="1146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7"/>
        <v>0</v>
      </c>
      <c r="G5624">
        <f t="shared" si="1148"/>
        <v>0</v>
      </c>
      <c r="H5624">
        <f t="shared" si="1149"/>
        <v>0</v>
      </c>
      <c r="I5624">
        <f t="shared" si="1150"/>
        <v>0</v>
      </c>
      <c r="J5624">
        <f t="shared" si="1151"/>
        <v>0</v>
      </c>
      <c r="K5624" s="4" t="e">
        <f t="shared" si="1139"/>
        <v>#N/A</v>
      </c>
      <c r="L5624" t="e">
        <f t="shared" si="1140"/>
        <v>#N/A</v>
      </c>
      <c r="M5624" s="4" t="e">
        <f t="shared" si="1141"/>
        <v>#N/A</v>
      </c>
      <c r="N5624" s="4" t="e">
        <f t="shared" si="1142"/>
        <v>#N/A</v>
      </c>
    </row>
    <row r="5625" spans="1:14">
      <c r="A5625">
        <f t="shared" si="1143"/>
        <v>0</v>
      </c>
      <c r="B5625">
        <f t="shared" si="1144"/>
        <v>0</v>
      </c>
      <c r="C5625">
        <f t="shared" si="1145"/>
        <v>0</v>
      </c>
      <c r="D5625">
        <f t="shared" si="1146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7"/>
        <v>0</v>
      </c>
      <c r="G5625">
        <f t="shared" si="1148"/>
        <v>0</v>
      </c>
      <c r="H5625">
        <f t="shared" si="1149"/>
        <v>0</v>
      </c>
      <c r="I5625">
        <f t="shared" si="1150"/>
        <v>0</v>
      </c>
      <c r="J5625">
        <f t="shared" si="1151"/>
        <v>0</v>
      </c>
      <c r="K5625" s="4" t="e">
        <f t="shared" si="1139"/>
        <v>#N/A</v>
      </c>
      <c r="L5625" t="e">
        <f t="shared" si="1140"/>
        <v>#N/A</v>
      </c>
      <c r="M5625" s="4" t="e">
        <f t="shared" si="1141"/>
        <v>#N/A</v>
      </c>
      <c r="N5625" s="4" t="e">
        <f t="shared" si="1142"/>
        <v>#N/A</v>
      </c>
    </row>
    <row r="5626" spans="1:14">
      <c r="A5626">
        <f t="shared" si="1143"/>
        <v>0</v>
      </c>
      <c r="B5626">
        <f t="shared" si="1144"/>
        <v>0</v>
      </c>
      <c r="C5626">
        <f t="shared" si="1145"/>
        <v>0</v>
      </c>
      <c r="D5626">
        <f t="shared" si="1146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7"/>
        <v>0</v>
      </c>
      <c r="G5626">
        <f t="shared" si="1148"/>
        <v>0</v>
      </c>
      <c r="H5626">
        <f t="shared" si="1149"/>
        <v>0</v>
      </c>
      <c r="I5626">
        <f t="shared" si="1150"/>
        <v>0</v>
      </c>
      <c r="J5626">
        <f t="shared" si="1151"/>
        <v>0</v>
      </c>
      <c r="K5626" s="4" t="e">
        <f t="shared" si="1139"/>
        <v>#N/A</v>
      </c>
      <c r="L5626" t="e">
        <f t="shared" si="1140"/>
        <v>#N/A</v>
      </c>
      <c r="M5626" s="4" t="e">
        <f t="shared" si="1141"/>
        <v>#N/A</v>
      </c>
      <c r="N5626" s="4" t="e">
        <f t="shared" si="1142"/>
        <v>#N/A</v>
      </c>
    </row>
    <row r="5627" spans="1:14">
      <c r="A5627">
        <f t="shared" si="1143"/>
        <v>0</v>
      </c>
      <c r="B5627">
        <f t="shared" si="1144"/>
        <v>0</v>
      </c>
      <c r="C5627">
        <f t="shared" si="1145"/>
        <v>0</v>
      </c>
      <c r="D5627">
        <f t="shared" si="1146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7"/>
        <v>0</v>
      </c>
      <c r="G5627">
        <f t="shared" si="1148"/>
        <v>0</v>
      </c>
      <c r="H5627">
        <f t="shared" si="1149"/>
        <v>0</v>
      </c>
      <c r="I5627">
        <f t="shared" si="1150"/>
        <v>0</v>
      </c>
      <c r="J5627">
        <f t="shared" si="1151"/>
        <v>0</v>
      </c>
      <c r="K5627" s="4" t="e">
        <f t="shared" si="1139"/>
        <v>#N/A</v>
      </c>
      <c r="L5627" t="e">
        <f t="shared" si="1140"/>
        <v>#N/A</v>
      </c>
      <c r="M5627" s="4" t="e">
        <f t="shared" si="1141"/>
        <v>#N/A</v>
      </c>
      <c r="N5627" s="4" t="e">
        <f t="shared" si="1142"/>
        <v>#N/A</v>
      </c>
    </row>
    <row r="5628" spans="1:14">
      <c r="A5628">
        <f t="shared" si="1143"/>
        <v>0</v>
      </c>
      <c r="B5628">
        <f t="shared" si="1144"/>
        <v>0</v>
      </c>
      <c r="C5628">
        <f t="shared" si="1145"/>
        <v>0</v>
      </c>
      <c r="D5628">
        <f t="shared" si="1146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7"/>
        <v>0</v>
      </c>
      <c r="G5628">
        <f t="shared" si="1148"/>
        <v>0</v>
      </c>
      <c r="H5628">
        <f t="shared" si="1149"/>
        <v>0</v>
      </c>
      <c r="I5628">
        <f t="shared" si="1150"/>
        <v>0</v>
      </c>
      <c r="J5628">
        <f t="shared" si="1151"/>
        <v>0</v>
      </c>
      <c r="K5628" s="4" t="e">
        <f t="shared" si="1139"/>
        <v>#N/A</v>
      </c>
      <c r="L5628" t="e">
        <f t="shared" si="1140"/>
        <v>#N/A</v>
      </c>
      <c r="M5628" s="4" t="e">
        <f t="shared" si="1141"/>
        <v>#N/A</v>
      </c>
      <c r="N5628" s="4" t="e">
        <f t="shared" si="1142"/>
        <v>#N/A</v>
      </c>
    </row>
    <row r="5629" spans="1:14">
      <c r="A5629">
        <f t="shared" si="1143"/>
        <v>0</v>
      </c>
      <c r="B5629">
        <f t="shared" si="1144"/>
        <v>0</v>
      </c>
      <c r="C5629">
        <f t="shared" si="1145"/>
        <v>0</v>
      </c>
      <c r="D5629">
        <f t="shared" si="1146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7"/>
        <v>0</v>
      </c>
      <c r="G5629">
        <f t="shared" si="1148"/>
        <v>0</v>
      </c>
      <c r="H5629">
        <f t="shared" si="1149"/>
        <v>0</v>
      </c>
      <c r="I5629">
        <f t="shared" si="1150"/>
        <v>0</v>
      </c>
      <c r="J5629">
        <f t="shared" si="1151"/>
        <v>0</v>
      </c>
      <c r="K5629" s="4" t="e">
        <f t="shared" ref="K5629:K5692" si="1152">IF(LEFT(B5629,3)="DBM",0,VLOOKUP(E5629,tabela,2,FALSE))</f>
        <v>#N/A</v>
      </c>
      <c r="L5629" t="e">
        <f t="shared" ref="L5629:L5692" si="1153">VLOOKUP(E5629,tabela,3,FALSE)</f>
        <v>#N/A</v>
      </c>
      <c r="M5629" s="4" t="e">
        <f t="shared" ref="M5629:M5692" si="1154">IF(E5629="Dynamic Click",J5629*K5629,K5629*$I5629/1000)</f>
        <v>#N/A</v>
      </c>
      <c r="N5629" s="4" t="e">
        <f t="shared" ref="N5629:N5692" si="1155">IF(E5629="Dynamic Click",J5629*L5629,L5629*$I5629/1000)</f>
        <v>#N/A</v>
      </c>
    </row>
    <row r="5630" spans="1:14">
      <c r="A5630">
        <f t="shared" si="1143"/>
        <v>0</v>
      </c>
      <c r="B5630">
        <f t="shared" si="1144"/>
        <v>0</v>
      </c>
      <c r="C5630">
        <f t="shared" si="1145"/>
        <v>0</v>
      </c>
      <c r="D5630">
        <f t="shared" si="1146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7"/>
        <v>0</v>
      </c>
      <c r="G5630">
        <f t="shared" si="1148"/>
        <v>0</v>
      </c>
      <c r="H5630">
        <f t="shared" si="1149"/>
        <v>0</v>
      </c>
      <c r="I5630">
        <f t="shared" si="1150"/>
        <v>0</v>
      </c>
      <c r="J5630">
        <f t="shared" si="1151"/>
        <v>0</v>
      </c>
      <c r="K5630" s="4" t="e">
        <f t="shared" si="1152"/>
        <v>#N/A</v>
      </c>
      <c r="L5630" t="e">
        <f t="shared" si="1153"/>
        <v>#N/A</v>
      </c>
      <c r="M5630" s="4" t="e">
        <f t="shared" si="1154"/>
        <v>#N/A</v>
      </c>
      <c r="N5630" s="4" t="e">
        <f t="shared" si="1155"/>
        <v>#N/A</v>
      </c>
    </row>
    <row r="5631" spans="1:14">
      <c r="A5631">
        <f t="shared" si="1143"/>
        <v>0</v>
      </c>
      <c r="B5631">
        <f t="shared" si="1144"/>
        <v>0</v>
      </c>
      <c r="C5631">
        <f t="shared" si="1145"/>
        <v>0</v>
      </c>
      <c r="D5631">
        <f t="shared" si="1146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7"/>
        <v>0</v>
      </c>
      <c r="G5631">
        <f t="shared" si="1148"/>
        <v>0</v>
      </c>
      <c r="H5631">
        <f t="shared" si="1149"/>
        <v>0</v>
      </c>
      <c r="I5631">
        <f t="shared" si="1150"/>
        <v>0</v>
      </c>
      <c r="J5631">
        <f t="shared" si="1151"/>
        <v>0</v>
      </c>
      <c r="K5631" s="4" t="e">
        <f t="shared" si="1152"/>
        <v>#N/A</v>
      </c>
      <c r="L5631" t="e">
        <f t="shared" si="1153"/>
        <v>#N/A</v>
      </c>
      <c r="M5631" s="4" t="e">
        <f t="shared" si="1154"/>
        <v>#N/A</v>
      </c>
      <c r="N5631" s="4" t="e">
        <f t="shared" si="1155"/>
        <v>#N/A</v>
      </c>
    </row>
    <row r="5632" spans="1:14">
      <c r="A5632">
        <f t="shared" si="1143"/>
        <v>0</v>
      </c>
      <c r="B5632">
        <f t="shared" si="1144"/>
        <v>0</v>
      </c>
      <c r="C5632">
        <f t="shared" si="1145"/>
        <v>0</v>
      </c>
      <c r="D5632">
        <f t="shared" si="1146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7"/>
        <v>0</v>
      </c>
      <c r="G5632">
        <f t="shared" si="1148"/>
        <v>0</v>
      </c>
      <c r="H5632">
        <f t="shared" si="1149"/>
        <v>0</v>
      </c>
      <c r="I5632">
        <f t="shared" si="1150"/>
        <v>0</v>
      </c>
      <c r="J5632">
        <f t="shared" si="1151"/>
        <v>0</v>
      </c>
      <c r="K5632" s="4" t="e">
        <f t="shared" si="1152"/>
        <v>#N/A</v>
      </c>
      <c r="L5632" t="e">
        <f t="shared" si="1153"/>
        <v>#N/A</v>
      </c>
      <c r="M5632" s="4" t="e">
        <f t="shared" si="1154"/>
        <v>#N/A</v>
      </c>
      <c r="N5632" s="4" t="e">
        <f t="shared" si="1155"/>
        <v>#N/A</v>
      </c>
    </row>
    <row r="5633" spans="1:14">
      <c r="A5633">
        <f t="shared" si="1143"/>
        <v>0</v>
      </c>
      <c r="B5633">
        <f t="shared" si="1144"/>
        <v>0</v>
      </c>
      <c r="C5633">
        <f t="shared" si="1145"/>
        <v>0</v>
      </c>
      <c r="D5633">
        <f t="shared" si="1146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7"/>
        <v>0</v>
      </c>
      <c r="G5633">
        <f t="shared" si="1148"/>
        <v>0</v>
      </c>
      <c r="H5633">
        <f t="shared" si="1149"/>
        <v>0</v>
      </c>
      <c r="I5633">
        <f t="shared" si="1150"/>
        <v>0</v>
      </c>
      <c r="J5633">
        <f t="shared" si="1151"/>
        <v>0</v>
      </c>
      <c r="K5633" s="4" t="e">
        <f t="shared" si="1152"/>
        <v>#N/A</v>
      </c>
      <c r="L5633" t="e">
        <f t="shared" si="1153"/>
        <v>#N/A</v>
      </c>
      <c r="M5633" s="4" t="e">
        <f t="shared" si="1154"/>
        <v>#N/A</v>
      </c>
      <c r="N5633" s="4" t="e">
        <f t="shared" si="1155"/>
        <v>#N/A</v>
      </c>
    </row>
    <row r="5634" spans="1:14">
      <c r="A5634">
        <f t="shared" ref="A5634:A5697" si="1156">bd_campaign</f>
        <v>0</v>
      </c>
      <c r="B5634">
        <f t="shared" ref="B5634:B5697" si="1157">bd_site</f>
        <v>0</v>
      </c>
      <c r="C5634">
        <f t="shared" ref="C5634:C5697" si="1158">bd_placement</f>
        <v>0</v>
      </c>
      <c r="D5634">
        <f t="shared" ref="D5634:D5697" si="1159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60">bd_ad</f>
        <v>0</v>
      </c>
      <c r="G5634">
        <f t="shared" ref="G5634:G5697" si="1161">bd_adid</f>
        <v>0</v>
      </c>
      <c r="H5634">
        <f t="shared" ref="H5634:H5697" si="1162">bd_creativetype</f>
        <v>0</v>
      </c>
      <c r="I5634">
        <f t="shared" ref="I5634:I5697" si="1163">bd_impression</f>
        <v>0</v>
      </c>
      <c r="J5634">
        <f t="shared" ref="J5634:J5697" si="1164">bd_clicks</f>
        <v>0</v>
      </c>
      <c r="K5634" s="4" t="e">
        <f t="shared" si="1152"/>
        <v>#N/A</v>
      </c>
      <c r="L5634" t="e">
        <f t="shared" si="1153"/>
        <v>#N/A</v>
      </c>
      <c r="M5634" s="4" t="e">
        <f t="shared" si="1154"/>
        <v>#N/A</v>
      </c>
      <c r="N5634" s="4" t="e">
        <f t="shared" si="1155"/>
        <v>#N/A</v>
      </c>
    </row>
    <row r="5635" spans="1:14">
      <c r="A5635">
        <f t="shared" si="1156"/>
        <v>0</v>
      </c>
      <c r="B5635">
        <f t="shared" si="1157"/>
        <v>0</v>
      </c>
      <c r="C5635">
        <f t="shared" si="1158"/>
        <v>0</v>
      </c>
      <c r="D5635">
        <f t="shared" si="1159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60"/>
        <v>0</v>
      </c>
      <c r="G5635">
        <f t="shared" si="1161"/>
        <v>0</v>
      </c>
      <c r="H5635">
        <f t="shared" si="1162"/>
        <v>0</v>
      </c>
      <c r="I5635">
        <f t="shared" si="1163"/>
        <v>0</v>
      </c>
      <c r="J5635">
        <f t="shared" si="1164"/>
        <v>0</v>
      </c>
      <c r="K5635" s="4" t="e">
        <f t="shared" si="1152"/>
        <v>#N/A</v>
      </c>
      <c r="L5635" t="e">
        <f t="shared" si="1153"/>
        <v>#N/A</v>
      </c>
      <c r="M5635" s="4" t="e">
        <f t="shared" si="1154"/>
        <v>#N/A</v>
      </c>
      <c r="N5635" s="4" t="e">
        <f t="shared" si="1155"/>
        <v>#N/A</v>
      </c>
    </row>
    <row r="5636" spans="1:14">
      <c r="A5636">
        <f t="shared" si="1156"/>
        <v>0</v>
      </c>
      <c r="B5636">
        <f t="shared" si="1157"/>
        <v>0</v>
      </c>
      <c r="C5636">
        <f t="shared" si="1158"/>
        <v>0</v>
      </c>
      <c r="D5636">
        <f t="shared" si="1159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60"/>
        <v>0</v>
      </c>
      <c r="G5636">
        <f t="shared" si="1161"/>
        <v>0</v>
      </c>
      <c r="H5636">
        <f t="shared" si="1162"/>
        <v>0</v>
      </c>
      <c r="I5636">
        <f t="shared" si="1163"/>
        <v>0</v>
      </c>
      <c r="J5636">
        <f t="shared" si="1164"/>
        <v>0</v>
      </c>
      <c r="K5636" s="4" t="e">
        <f t="shared" si="1152"/>
        <v>#N/A</v>
      </c>
      <c r="L5636" t="e">
        <f t="shared" si="1153"/>
        <v>#N/A</v>
      </c>
      <c r="M5636" s="4" t="e">
        <f t="shared" si="1154"/>
        <v>#N/A</v>
      </c>
      <c r="N5636" s="4" t="e">
        <f t="shared" si="1155"/>
        <v>#N/A</v>
      </c>
    </row>
    <row r="5637" spans="1:14">
      <c r="A5637">
        <f t="shared" si="1156"/>
        <v>0</v>
      </c>
      <c r="B5637">
        <f t="shared" si="1157"/>
        <v>0</v>
      </c>
      <c r="C5637">
        <f t="shared" si="1158"/>
        <v>0</v>
      </c>
      <c r="D5637">
        <f t="shared" si="1159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60"/>
        <v>0</v>
      </c>
      <c r="G5637">
        <f t="shared" si="1161"/>
        <v>0</v>
      </c>
      <c r="H5637">
        <f t="shared" si="1162"/>
        <v>0</v>
      </c>
      <c r="I5637">
        <f t="shared" si="1163"/>
        <v>0</v>
      </c>
      <c r="J5637">
        <f t="shared" si="1164"/>
        <v>0</v>
      </c>
      <c r="K5637" s="4" t="e">
        <f t="shared" si="1152"/>
        <v>#N/A</v>
      </c>
      <c r="L5637" t="e">
        <f t="shared" si="1153"/>
        <v>#N/A</v>
      </c>
      <c r="M5637" s="4" t="e">
        <f t="shared" si="1154"/>
        <v>#N/A</v>
      </c>
      <c r="N5637" s="4" t="e">
        <f t="shared" si="1155"/>
        <v>#N/A</v>
      </c>
    </row>
    <row r="5638" spans="1:14">
      <c r="A5638">
        <f t="shared" si="1156"/>
        <v>0</v>
      </c>
      <c r="B5638">
        <f t="shared" si="1157"/>
        <v>0</v>
      </c>
      <c r="C5638">
        <f t="shared" si="1158"/>
        <v>0</v>
      </c>
      <c r="D5638">
        <f t="shared" si="1159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60"/>
        <v>0</v>
      </c>
      <c r="G5638">
        <f t="shared" si="1161"/>
        <v>0</v>
      </c>
      <c r="H5638">
        <f t="shared" si="1162"/>
        <v>0</v>
      </c>
      <c r="I5638">
        <f t="shared" si="1163"/>
        <v>0</v>
      </c>
      <c r="J5638">
        <f t="shared" si="1164"/>
        <v>0</v>
      </c>
      <c r="K5638" s="4" t="e">
        <f t="shared" si="1152"/>
        <v>#N/A</v>
      </c>
      <c r="L5638" t="e">
        <f t="shared" si="1153"/>
        <v>#N/A</v>
      </c>
      <c r="M5638" s="4" t="e">
        <f t="shared" si="1154"/>
        <v>#N/A</v>
      </c>
      <c r="N5638" s="4" t="e">
        <f t="shared" si="1155"/>
        <v>#N/A</v>
      </c>
    </row>
    <row r="5639" spans="1:14">
      <c r="A5639">
        <f t="shared" si="1156"/>
        <v>0</v>
      </c>
      <c r="B5639">
        <f t="shared" si="1157"/>
        <v>0</v>
      </c>
      <c r="C5639">
        <f t="shared" si="1158"/>
        <v>0</v>
      </c>
      <c r="D5639">
        <f t="shared" si="1159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60"/>
        <v>0</v>
      </c>
      <c r="G5639">
        <f t="shared" si="1161"/>
        <v>0</v>
      </c>
      <c r="H5639">
        <f t="shared" si="1162"/>
        <v>0</v>
      </c>
      <c r="I5639">
        <f t="shared" si="1163"/>
        <v>0</v>
      </c>
      <c r="J5639">
        <f t="shared" si="1164"/>
        <v>0</v>
      </c>
      <c r="K5639" s="4" t="e">
        <f t="shared" si="1152"/>
        <v>#N/A</v>
      </c>
      <c r="L5639" t="e">
        <f t="shared" si="1153"/>
        <v>#N/A</v>
      </c>
      <c r="M5639" s="4" t="e">
        <f t="shared" si="1154"/>
        <v>#N/A</v>
      </c>
      <c r="N5639" s="4" t="e">
        <f t="shared" si="1155"/>
        <v>#N/A</v>
      </c>
    </row>
    <row r="5640" spans="1:14">
      <c r="A5640">
        <f t="shared" si="1156"/>
        <v>0</v>
      </c>
      <c r="B5640">
        <f t="shared" si="1157"/>
        <v>0</v>
      </c>
      <c r="C5640">
        <f t="shared" si="1158"/>
        <v>0</v>
      </c>
      <c r="D5640">
        <f t="shared" si="1159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60"/>
        <v>0</v>
      </c>
      <c r="G5640">
        <f t="shared" si="1161"/>
        <v>0</v>
      </c>
      <c r="H5640">
        <f t="shared" si="1162"/>
        <v>0</v>
      </c>
      <c r="I5640">
        <f t="shared" si="1163"/>
        <v>0</v>
      </c>
      <c r="J5640">
        <f t="shared" si="1164"/>
        <v>0</v>
      </c>
      <c r="K5640" s="4" t="e">
        <f t="shared" si="1152"/>
        <v>#N/A</v>
      </c>
      <c r="L5640" t="e">
        <f t="shared" si="1153"/>
        <v>#N/A</v>
      </c>
      <c r="M5640" s="4" t="e">
        <f t="shared" si="1154"/>
        <v>#N/A</v>
      </c>
      <c r="N5640" s="4" t="e">
        <f t="shared" si="1155"/>
        <v>#N/A</v>
      </c>
    </row>
    <row r="5641" spans="1:14">
      <c r="A5641">
        <f t="shared" si="1156"/>
        <v>0</v>
      </c>
      <c r="B5641">
        <f t="shared" si="1157"/>
        <v>0</v>
      </c>
      <c r="C5641">
        <f t="shared" si="1158"/>
        <v>0</v>
      </c>
      <c r="D5641">
        <f t="shared" si="1159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60"/>
        <v>0</v>
      </c>
      <c r="G5641">
        <f t="shared" si="1161"/>
        <v>0</v>
      </c>
      <c r="H5641">
        <f t="shared" si="1162"/>
        <v>0</v>
      </c>
      <c r="I5641">
        <f t="shared" si="1163"/>
        <v>0</v>
      </c>
      <c r="J5641">
        <f t="shared" si="1164"/>
        <v>0</v>
      </c>
      <c r="K5641" s="4" t="e">
        <f t="shared" si="1152"/>
        <v>#N/A</v>
      </c>
      <c r="L5641" t="e">
        <f t="shared" si="1153"/>
        <v>#N/A</v>
      </c>
      <c r="M5641" s="4" t="e">
        <f t="shared" si="1154"/>
        <v>#N/A</v>
      </c>
      <c r="N5641" s="4" t="e">
        <f t="shared" si="1155"/>
        <v>#N/A</v>
      </c>
    </row>
    <row r="5642" spans="1:14">
      <c r="A5642">
        <f t="shared" si="1156"/>
        <v>0</v>
      </c>
      <c r="B5642">
        <f t="shared" si="1157"/>
        <v>0</v>
      </c>
      <c r="C5642">
        <f t="shared" si="1158"/>
        <v>0</v>
      </c>
      <c r="D5642">
        <f t="shared" si="1159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60"/>
        <v>0</v>
      </c>
      <c r="G5642">
        <f t="shared" si="1161"/>
        <v>0</v>
      </c>
      <c r="H5642">
        <f t="shared" si="1162"/>
        <v>0</v>
      </c>
      <c r="I5642">
        <f t="shared" si="1163"/>
        <v>0</v>
      </c>
      <c r="J5642">
        <f t="shared" si="1164"/>
        <v>0</v>
      </c>
      <c r="K5642" s="4" t="e">
        <f t="shared" si="1152"/>
        <v>#N/A</v>
      </c>
      <c r="L5642" t="e">
        <f t="shared" si="1153"/>
        <v>#N/A</v>
      </c>
      <c r="M5642" s="4" t="e">
        <f t="shared" si="1154"/>
        <v>#N/A</v>
      </c>
      <c r="N5642" s="4" t="e">
        <f t="shared" si="1155"/>
        <v>#N/A</v>
      </c>
    </row>
    <row r="5643" spans="1:14">
      <c r="A5643">
        <f t="shared" si="1156"/>
        <v>0</v>
      </c>
      <c r="B5643">
        <f t="shared" si="1157"/>
        <v>0</v>
      </c>
      <c r="C5643">
        <f t="shared" si="1158"/>
        <v>0</v>
      </c>
      <c r="D5643">
        <f t="shared" si="1159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60"/>
        <v>0</v>
      </c>
      <c r="G5643">
        <f t="shared" si="1161"/>
        <v>0</v>
      </c>
      <c r="H5643">
        <f t="shared" si="1162"/>
        <v>0</v>
      </c>
      <c r="I5643">
        <f t="shared" si="1163"/>
        <v>0</v>
      </c>
      <c r="J5643">
        <f t="shared" si="1164"/>
        <v>0</v>
      </c>
      <c r="K5643" s="4" t="e">
        <f t="shared" si="1152"/>
        <v>#N/A</v>
      </c>
      <c r="L5643" t="e">
        <f t="shared" si="1153"/>
        <v>#N/A</v>
      </c>
      <c r="M5643" s="4" t="e">
        <f t="shared" si="1154"/>
        <v>#N/A</v>
      </c>
      <c r="N5643" s="4" t="e">
        <f t="shared" si="1155"/>
        <v>#N/A</v>
      </c>
    </row>
    <row r="5644" spans="1:14">
      <c r="A5644">
        <f t="shared" si="1156"/>
        <v>0</v>
      </c>
      <c r="B5644">
        <f t="shared" si="1157"/>
        <v>0</v>
      </c>
      <c r="C5644">
        <f t="shared" si="1158"/>
        <v>0</v>
      </c>
      <c r="D5644">
        <f t="shared" si="1159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60"/>
        <v>0</v>
      </c>
      <c r="G5644">
        <f t="shared" si="1161"/>
        <v>0</v>
      </c>
      <c r="H5644">
        <f t="shared" si="1162"/>
        <v>0</v>
      </c>
      <c r="I5644">
        <f t="shared" si="1163"/>
        <v>0</v>
      </c>
      <c r="J5644">
        <f t="shared" si="1164"/>
        <v>0</v>
      </c>
      <c r="K5644" s="4" t="e">
        <f t="shared" si="1152"/>
        <v>#N/A</v>
      </c>
      <c r="L5644" t="e">
        <f t="shared" si="1153"/>
        <v>#N/A</v>
      </c>
      <c r="M5644" s="4" t="e">
        <f t="shared" si="1154"/>
        <v>#N/A</v>
      </c>
      <c r="N5644" s="4" t="e">
        <f t="shared" si="1155"/>
        <v>#N/A</v>
      </c>
    </row>
    <row r="5645" spans="1:14">
      <c r="A5645">
        <f t="shared" si="1156"/>
        <v>0</v>
      </c>
      <c r="B5645">
        <f t="shared" si="1157"/>
        <v>0</v>
      </c>
      <c r="C5645">
        <f t="shared" si="1158"/>
        <v>0</v>
      </c>
      <c r="D5645">
        <f t="shared" si="1159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60"/>
        <v>0</v>
      </c>
      <c r="G5645">
        <f t="shared" si="1161"/>
        <v>0</v>
      </c>
      <c r="H5645">
        <f t="shared" si="1162"/>
        <v>0</v>
      </c>
      <c r="I5645">
        <f t="shared" si="1163"/>
        <v>0</v>
      </c>
      <c r="J5645">
        <f t="shared" si="1164"/>
        <v>0</v>
      </c>
      <c r="K5645" s="4" t="e">
        <f t="shared" si="1152"/>
        <v>#N/A</v>
      </c>
      <c r="L5645" t="e">
        <f t="shared" si="1153"/>
        <v>#N/A</v>
      </c>
      <c r="M5645" s="4" t="e">
        <f t="shared" si="1154"/>
        <v>#N/A</v>
      </c>
      <c r="N5645" s="4" t="e">
        <f t="shared" si="1155"/>
        <v>#N/A</v>
      </c>
    </row>
    <row r="5646" spans="1:14">
      <c r="A5646">
        <f t="shared" si="1156"/>
        <v>0</v>
      </c>
      <c r="B5646">
        <f t="shared" si="1157"/>
        <v>0</v>
      </c>
      <c r="C5646">
        <f t="shared" si="1158"/>
        <v>0</v>
      </c>
      <c r="D5646">
        <f t="shared" si="1159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60"/>
        <v>0</v>
      </c>
      <c r="G5646">
        <f t="shared" si="1161"/>
        <v>0</v>
      </c>
      <c r="H5646">
        <f t="shared" si="1162"/>
        <v>0</v>
      </c>
      <c r="I5646">
        <f t="shared" si="1163"/>
        <v>0</v>
      </c>
      <c r="J5646">
        <f t="shared" si="1164"/>
        <v>0</v>
      </c>
      <c r="K5646" s="4" t="e">
        <f t="shared" si="1152"/>
        <v>#N/A</v>
      </c>
      <c r="L5646" t="e">
        <f t="shared" si="1153"/>
        <v>#N/A</v>
      </c>
      <c r="M5646" s="4" t="e">
        <f t="shared" si="1154"/>
        <v>#N/A</v>
      </c>
      <c r="N5646" s="4" t="e">
        <f t="shared" si="1155"/>
        <v>#N/A</v>
      </c>
    </row>
    <row r="5647" spans="1:14">
      <c r="A5647">
        <f t="shared" si="1156"/>
        <v>0</v>
      </c>
      <c r="B5647">
        <f t="shared" si="1157"/>
        <v>0</v>
      </c>
      <c r="C5647">
        <f t="shared" si="1158"/>
        <v>0</v>
      </c>
      <c r="D5647">
        <f t="shared" si="1159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60"/>
        <v>0</v>
      </c>
      <c r="G5647">
        <f t="shared" si="1161"/>
        <v>0</v>
      </c>
      <c r="H5647">
        <f t="shared" si="1162"/>
        <v>0</v>
      </c>
      <c r="I5647">
        <f t="shared" si="1163"/>
        <v>0</v>
      </c>
      <c r="J5647">
        <f t="shared" si="1164"/>
        <v>0</v>
      </c>
      <c r="K5647" s="4" t="e">
        <f t="shared" si="1152"/>
        <v>#N/A</v>
      </c>
      <c r="L5647" t="e">
        <f t="shared" si="1153"/>
        <v>#N/A</v>
      </c>
      <c r="M5647" s="4" t="e">
        <f t="shared" si="1154"/>
        <v>#N/A</v>
      </c>
      <c r="N5647" s="4" t="e">
        <f t="shared" si="1155"/>
        <v>#N/A</v>
      </c>
    </row>
    <row r="5648" spans="1:14">
      <c r="A5648">
        <f t="shared" si="1156"/>
        <v>0</v>
      </c>
      <c r="B5648">
        <f t="shared" si="1157"/>
        <v>0</v>
      </c>
      <c r="C5648">
        <f t="shared" si="1158"/>
        <v>0</v>
      </c>
      <c r="D5648">
        <f t="shared" si="1159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60"/>
        <v>0</v>
      </c>
      <c r="G5648">
        <f t="shared" si="1161"/>
        <v>0</v>
      </c>
      <c r="H5648">
        <f t="shared" si="1162"/>
        <v>0</v>
      </c>
      <c r="I5648">
        <f t="shared" si="1163"/>
        <v>0</v>
      </c>
      <c r="J5648">
        <f t="shared" si="1164"/>
        <v>0</v>
      </c>
      <c r="K5648" s="4" t="e">
        <f t="shared" si="1152"/>
        <v>#N/A</v>
      </c>
      <c r="L5648" t="e">
        <f t="shared" si="1153"/>
        <v>#N/A</v>
      </c>
      <c r="M5648" s="4" t="e">
        <f t="shared" si="1154"/>
        <v>#N/A</v>
      </c>
      <c r="N5648" s="4" t="e">
        <f t="shared" si="1155"/>
        <v>#N/A</v>
      </c>
    </row>
    <row r="5649" spans="1:14">
      <c r="A5649">
        <f t="shared" si="1156"/>
        <v>0</v>
      </c>
      <c r="B5649">
        <f t="shared" si="1157"/>
        <v>0</v>
      </c>
      <c r="C5649">
        <f t="shared" si="1158"/>
        <v>0</v>
      </c>
      <c r="D5649">
        <f t="shared" si="1159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60"/>
        <v>0</v>
      </c>
      <c r="G5649">
        <f t="shared" si="1161"/>
        <v>0</v>
      </c>
      <c r="H5649">
        <f t="shared" si="1162"/>
        <v>0</v>
      </c>
      <c r="I5649">
        <f t="shared" si="1163"/>
        <v>0</v>
      </c>
      <c r="J5649">
        <f t="shared" si="1164"/>
        <v>0</v>
      </c>
      <c r="K5649" s="4" t="e">
        <f t="shared" si="1152"/>
        <v>#N/A</v>
      </c>
      <c r="L5649" t="e">
        <f t="shared" si="1153"/>
        <v>#N/A</v>
      </c>
      <c r="M5649" s="4" t="e">
        <f t="shared" si="1154"/>
        <v>#N/A</v>
      </c>
      <c r="N5649" s="4" t="e">
        <f t="shared" si="1155"/>
        <v>#N/A</v>
      </c>
    </row>
    <row r="5650" spans="1:14">
      <c r="A5650">
        <f t="shared" si="1156"/>
        <v>0</v>
      </c>
      <c r="B5650">
        <f t="shared" si="1157"/>
        <v>0</v>
      </c>
      <c r="C5650">
        <f t="shared" si="1158"/>
        <v>0</v>
      </c>
      <c r="D5650">
        <f t="shared" si="1159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60"/>
        <v>0</v>
      </c>
      <c r="G5650">
        <f t="shared" si="1161"/>
        <v>0</v>
      </c>
      <c r="H5650">
        <f t="shared" si="1162"/>
        <v>0</v>
      </c>
      <c r="I5650">
        <f t="shared" si="1163"/>
        <v>0</v>
      </c>
      <c r="J5650">
        <f t="shared" si="1164"/>
        <v>0</v>
      </c>
      <c r="K5650" s="4" t="e">
        <f t="shared" si="1152"/>
        <v>#N/A</v>
      </c>
      <c r="L5650" t="e">
        <f t="shared" si="1153"/>
        <v>#N/A</v>
      </c>
      <c r="M5650" s="4" t="e">
        <f t="shared" si="1154"/>
        <v>#N/A</v>
      </c>
      <c r="N5650" s="4" t="e">
        <f t="shared" si="1155"/>
        <v>#N/A</v>
      </c>
    </row>
    <row r="5651" spans="1:14">
      <c r="A5651">
        <f t="shared" si="1156"/>
        <v>0</v>
      </c>
      <c r="B5651">
        <f t="shared" si="1157"/>
        <v>0</v>
      </c>
      <c r="C5651">
        <f t="shared" si="1158"/>
        <v>0</v>
      </c>
      <c r="D5651">
        <f t="shared" si="1159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60"/>
        <v>0</v>
      </c>
      <c r="G5651">
        <f t="shared" si="1161"/>
        <v>0</v>
      </c>
      <c r="H5651">
        <f t="shared" si="1162"/>
        <v>0</v>
      </c>
      <c r="I5651">
        <f t="shared" si="1163"/>
        <v>0</v>
      </c>
      <c r="J5651">
        <f t="shared" si="1164"/>
        <v>0</v>
      </c>
      <c r="K5651" s="4" t="e">
        <f t="shared" si="1152"/>
        <v>#N/A</v>
      </c>
      <c r="L5651" t="e">
        <f t="shared" si="1153"/>
        <v>#N/A</v>
      </c>
      <c r="M5651" s="4" t="e">
        <f t="shared" si="1154"/>
        <v>#N/A</v>
      </c>
      <c r="N5651" s="4" t="e">
        <f t="shared" si="1155"/>
        <v>#N/A</v>
      </c>
    </row>
    <row r="5652" spans="1:14">
      <c r="A5652">
        <f t="shared" si="1156"/>
        <v>0</v>
      </c>
      <c r="B5652">
        <f t="shared" si="1157"/>
        <v>0</v>
      </c>
      <c r="C5652">
        <f t="shared" si="1158"/>
        <v>0</v>
      </c>
      <c r="D5652">
        <f t="shared" si="1159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60"/>
        <v>0</v>
      </c>
      <c r="G5652">
        <f t="shared" si="1161"/>
        <v>0</v>
      </c>
      <c r="H5652">
        <f t="shared" si="1162"/>
        <v>0</v>
      </c>
      <c r="I5652">
        <f t="shared" si="1163"/>
        <v>0</v>
      </c>
      <c r="J5652">
        <f t="shared" si="1164"/>
        <v>0</v>
      </c>
      <c r="K5652" s="4" t="e">
        <f t="shared" si="1152"/>
        <v>#N/A</v>
      </c>
      <c r="L5652" t="e">
        <f t="shared" si="1153"/>
        <v>#N/A</v>
      </c>
      <c r="M5652" s="4" t="e">
        <f t="shared" si="1154"/>
        <v>#N/A</v>
      </c>
      <c r="N5652" s="4" t="e">
        <f t="shared" si="1155"/>
        <v>#N/A</v>
      </c>
    </row>
    <row r="5653" spans="1:14">
      <c r="A5653">
        <f t="shared" si="1156"/>
        <v>0</v>
      </c>
      <c r="B5653">
        <f t="shared" si="1157"/>
        <v>0</v>
      </c>
      <c r="C5653">
        <f t="shared" si="1158"/>
        <v>0</v>
      </c>
      <c r="D5653">
        <f t="shared" si="1159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60"/>
        <v>0</v>
      </c>
      <c r="G5653">
        <f t="shared" si="1161"/>
        <v>0</v>
      </c>
      <c r="H5653">
        <f t="shared" si="1162"/>
        <v>0</v>
      </c>
      <c r="I5653">
        <f t="shared" si="1163"/>
        <v>0</v>
      </c>
      <c r="J5653">
        <f t="shared" si="1164"/>
        <v>0</v>
      </c>
      <c r="K5653" s="4" t="e">
        <f t="shared" si="1152"/>
        <v>#N/A</v>
      </c>
      <c r="L5653" t="e">
        <f t="shared" si="1153"/>
        <v>#N/A</v>
      </c>
      <c r="M5653" s="4" t="e">
        <f t="shared" si="1154"/>
        <v>#N/A</v>
      </c>
      <c r="N5653" s="4" t="e">
        <f t="shared" si="1155"/>
        <v>#N/A</v>
      </c>
    </row>
    <row r="5654" spans="1:14">
      <c r="A5654">
        <f t="shared" si="1156"/>
        <v>0</v>
      </c>
      <c r="B5654">
        <f t="shared" si="1157"/>
        <v>0</v>
      </c>
      <c r="C5654">
        <f t="shared" si="1158"/>
        <v>0</v>
      </c>
      <c r="D5654">
        <f t="shared" si="1159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60"/>
        <v>0</v>
      </c>
      <c r="G5654">
        <f t="shared" si="1161"/>
        <v>0</v>
      </c>
      <c r="H5654">
        <f t="shared" si="1162"/>
        <v>0</v>
      </c>
      <c r="I5654">
        <f t="shared" si="1163"/>
        <v>0</v>
      </c>
      <c r="J5654">
        <f t="shared" si="1164"/>
        <v>0</v>
      </c>
      <c r="K5654" s="4" t="e">
        <f t="shared" si="1152"/>
        <v>#N/A</v>
      </c>
      <c r="L5654" t="e">
        <f t="shared" si="1153"/>
        <v>#N/A</v>
      </c>
      <c r="M5654" s="4" t="e">
        <f t="shared" si="1154"/>
        <v>#N/A</v>
      </c>
      <c r="N5654" s="4" t="e">
        <f t="shared" si="1155"/>
        <v>#N/A</v>
      </c>
    </row>
    <row r="5655" spans="1:14">
      <c r="A5655">
        <f t="shared" si="1156"/>
        <v>0</v>
      </c>
      <c r="B5655">
        <f t="shared" si="1157"/>
        <v>0</v>
      </c>
      <c r="C5655">
        <f t="shared" si="1158"/>
        <v>0</v>
      </c>
      <c r="D5655">
        <f t="shared" si="1159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60"/>
        <v>0</v>
      </c>
      <c r="G5655">
        <f t="shared" si="1161"/>
        <v>0</v>
      </c>
      <c r="H5655">
        <f t="shared" si="1162"/>
        <v>0</v>
      </c>
      <c r="I5655">
        <f t="shared" si="1163"/>
        <v>0</v>
      </c>
      <c r="J5655">
        <f t="shared" si="1164"/>
        <v>0</v>
      </c>
      <c r="K5655" s="4" t="e">
        <f t="shared" si="1152"/>
        <v>#N/A</v>
      </c>
      <c r="L5655" t="e">
        <f t="shared" si="1153"/>
        <v>#N/A</v>
      </c>
      <c r="M5655" s="4" t="e">
        <f t="shared" si="1154"/>
        <v>#N/A</v>
      </c>
      <c r="N5655" s="4" t="e">
        <f t="shared" si="1155"/>
        <v>#N/A</v>
      </c>
    </row>
    <row r="5656" spans="1:14">
      <c r="A5656">
        <f t="shared" si="1156"/>
        <v>0</v>
      </c>
      <c r="B5656">
        <f t="shared" si="1157"/>
        <v>0</v>
      </c>
      <c r="C5656">
        <f t="shared" si="1158"/>
        <v>0</v>
      </c>
      <c r="D5656">
        <f t="shared" si="1159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60"/>
        <v>0</v>
      </c>
      <c r="G5656">
        <f t="shared" si="1161"/>
        <v>0</v>
      </c>
      <c r="H5656">
        <f t="shared" si="1162"/>
        <v>0</v>
      </c>
      <c r="I5656">
        <f t="shared" si="1163"/>
        <v>0</v>
      </c>
      <c r="J5656">
        <f t="shared" si="1164"/>
        <v>0</v>
      </c>
      <c r="K5656" s="4" t="e">
        <f t="shared" si="1152"/>
        <v>#N/A</v>
      </c>
      <c r="L5656" t="e">
        <f t="shared" si="1153"/>
        <v>#N/A</v>
      </c>
      <c r="M5656" s="4" t="e">
        <f t="shared" si="1154"/>
        <v>#N/A</v>
      </c>
      <c r="N5656" s="4" t="e">
        <f t="shared" si="1155"/>
        <v>#N/A</v>
      </c>
    </row>
    <row r="5657" spans="1:14">
      <c r="A5657">
        <f t="shared" si="1156"/>
        <v>0</v>
      </c>
      <c r="B5657">
        <f t="shared" si="1157"/>
        <v>0</v>
      </c>
      <c r="C5657">
        <f t="shared" si="1158"/>
        <v>0</v>
      </c>
      <c r="D5657">
        <f t="shared" si="1159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60"/>
        <v>0</v>
      </c>
      <c r="G5657">
        <f t="shared" si="1161"/>
        <v>0</v>
      </c>
      <c r="H5657">
        <f t="shared" si="1162"/>
        <v>0</v>
      </c>
      <c r="I5657">
        <f t="shared" si="1163"/>
        <v>0</v>
      </c>
      <c r="J5657">
        <f t="shared" si="1164"/>
        <v>0</v>
      </c>
      <c r="K5657" s="4" t="e">
        <f t="shared" si="1152"/>
        <v>#N/A</v>
      </c>
      <c r="L5657" t="e">
        <f t="shared" si="1153"/>
        <v>#N/A</v>
      </c>
      <c r="M5657" s="4" t="e">
        <f t="shared" si="1154"/>
        <v>#N/A</v>
      </c>
      <c r="N5657" s="4" t="e">
        <f t="shared" si="1155"/>
        <v>#N/A</v>
      </c>
    </row>
    <row r="5658" spans="1:14">
      <c r="A5658">
        <f t="shared" si="1156"/>
        <v>0</v>
      </c>
      <c r="B5658">
        <f t="shared" si="1157"/>
        <v>0</v>
      </c>
      <c r="C5658">
        <f t="shared" si="1158"/>
        <v>0</v>
      </c>
      <c r="D5658">
        <f t="shared" si="1159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60"/>
        <v>0</v>
      </c>
      <c r="G5658">
        <f t="shared" si="1161"/>
        <v>0</v>
      </c>
      <c r="H5658">
        <f t="shared" si="1162"/>
        <v>0</v>
      </c>
      <c r="I5658">
        <f t="shared" si="1163"/>
        <v>0</v>
      </c>
      <c r="J5658">
        <f t="shared" si="1164"/>
        <v>0</v>
      </c>
      <c r="K5658" s="4" t="e">
        <f t="shared" si="1152"/>
        <v>#N/A</v>
      </c>
      <c r="L5658" t="e">
        <f t="shared" si="1153"/>
        <v>#N/A</v>
      </c>
      <c r="M5658" s="4" t="e">
        <f t="shared" si="1154"/>
        <v>#N/A</v>
      </c>
      <c r="N5658" s="4" t="e">
        <f t="shared" si="1155"/>
        <v>#N/A</v>
      </c>
    </row>
    <row r="5659" spans="1:14">
      <c r="A5659">
        <f t="shared" si="1156"/>
        <v>0</v>
      </c>
      <c r="B5659">
        <f t="shared" si="1157"/>
        <v>0</v>
      </c>
      <c r="C5659">
        <f t="shared" si="1158"/>
        <v>0</v>
      </c>
      <c r="D5659">
        <f t="shared" si="1159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60"/>
        <v>0</v>
      </c>
      <c r="G5659">
        <f t="shared" si="1161"/>
        <v>0</v>
      </c>
      <c r="H5659">
        <f t="shared" si="1162"/>
        <v>0</v>
      </c>
      <c r="I5659">
        <f t="shared" si="1163"/>
        <v>0</v>
      </c>
      <c r="J5659">
        <f t="shared" si="1164"/>
        <v>0</v>
      </c>
      <c r="K5659" s="4" t="e">
        <f t="shared" si="1152"/>
        <v>#N/A</v>
      </c>
      <c r="L5659" t="e">
        <f t="shared" si="1153"/>
        <v>#N/A</v>
      </c>
      <c r="M5659" s="4" t="e">
        <f t="shared" si="1154"/>
        <v>#N/A</v>
      </c>
      <c r="N5659" s="4" t="e">
        <f t="shared" si="1155"/>
        <v>#N/A</v>
      </c>
    </row>
    <row r="5660" spans="1:14">
      <c r="A5660">
        <f t="shared" si="1156"/>
        <v>0</v>
      </c>
      <c r="B5660">
        <f t="shared" si="1157"/>
        <v>0</v>
      </c>
      <c r="C5660">
        <f t="shared" si="1158"/>
        <v>0</v>
      </c>
      <c r="D5660">
        <f t="shared" si="1159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60"/>
        <v>0</v>
      </c>
      <c r="G5660">
        <f t="shared" si="1161"/>
        <v>0</v>
      </c>
      <c r="H5660">
        <f t="shared" si="1162"/>
        <v>0</v>
      </c>
      <c r="I5660">
        <f t="shared" si="1163"/>
        <v>0</v>
      </c>
      <c r="J5660">
        <f t="shared" si="1164"/>
        <v>0</v>
      </c>
      <c r="K5660" s="4" t="e">
        <f t="shared" si="1152"/>
        <v>#N/A</v>
      </c>
      <c r="L5660" t="e">
        <f t="shared" si="1153"/>
        <v>#N/A</v>
      </c>
      <c r="M5660" s="4" t="e">
        <f t="shared" si="1154"/>
        <v>#N/A</v>
      </c>
      <c r="N5660" s="4" t="e">
        <f t="shared" si="1155"/>
        <v>#N/A</v>
      </c>
    </row>
    <row r="5661" spans="1:14">
      <c r="A5661">
        <f t="shared" si="1156"/>
        <v>0</v>
      </c>
      <c r="B5661">
        <f t="shared" si="1157"/>
        <v>0</v>
      </c>
      <c r="C5661">
        <f t="shared" si="1158"/>
        <v>0</v>
      </c>
      <c r="D5661">
        <f t="shared" si="1159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60"/>
        <v>0</v>
      </c>
      <c r="G5661">
        <f t="shared" si="1161"/>
        <v>0</v>
      </c>
      <c r="H5661">
        <f t="shared" si="1162"/>
        <v>0</v>
      </c>
      <c r="I5661">
        <f t="shared" si="1163"/>
        <v>0</v>
      </c>
      <c r="J5661">
        <f t="shared" si="1164"/>
        <v>0</v>
      </c>
      <c r="K5661" s="4" t="e">
        <f t="shared" si="1152"/>
        <v>#N/A</v>
      </c>
      <c r="L5661" t="e">
        <f t="shared" si="1153"/>
        <v>#N/A</v>
      </c>
      <c r="M5661" s="4" t="e">
        <f t="shared" si="1154"/>
        <v>#N/A</v>
      </c>
      <c r="N5661" s="4" t="e">
        <f t="shared" si="1155"/>
        <v>#N/A</v>
      </c>
    </row>
    <row r="5662" spans="1:14">
      <c r="A5662">
        <f t="shared" si="1156"/>
        <v>0</v>
      </c>
      <c r="B5662">
        <f t="shared" si="1157"/>
        <v>0</v>
      </c>
      <c r="C5662">
        <f t="shared" si="1158"/>
        <v>0</v>
      </c>
      <c r="D5662">
        <f t="shared" si="1159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60"/>
        <v>0</v>
      </c>
      <c r="G5662">
        <f t="shared" si="1161"/>
        <v>0</v>
      </c>
      <c r="H5662">
        <f t="shared" si="1162"/>
        <v>0</v>
      </c>
      <c r="I5662">
        <f t="shared" si="1163"/>
        <v>0</v>
      </c>
      <c r="J5662">
        <f t="shared" si="1164"/>
        <v>0</v>
      </c>
      <c r="K5662" s="4" t="e">
        <f t="shared" si="1152"/>
        <v>#N/A</v>
      </c>
      <c r="L5662" t="e">
        <f t="shared" si="1153"/>
        <v>#N/A</v>
      </c>
      <c r="M5662" s="4" t="e">
        <f t="shared" si="1154"/>
        <v>#N/A</v>
      </c>
      <c r="N5662" s="4" t="e">
        <f t="shared" si="1155"/>
        <v>#N/A</v>
      </c>
    </row>
    <row r="5663" spans="1:14">
      <c r="A5663">
        <f t="shared" si="1156"/>
        <v>0</v>
      </c>
      <c r="B5663">
        <f t="shared" si="1157"/>
        <v>0</v>
      </c>
      <c r="C5663">
        <f t="shared" si="1158"/>
        <v>0</v>
      </c>
      <c r="D5663">
        <f t="shared" si="1159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60"/>
        <v>0</v>
      </c>
      <c r="G5663">
        <f t="shared" si="1161"/>
        <v>0</v>
      </c>
      <c r="H5663">
        <f t="shared" si="1162"/>
        <v>0</v>
      </c>
      <c r="I5663">
        <f t="shared" si="1163"/>
        <v>0</v>
      </c>
      <c r="J5663">
        <f t="shared" si="1164"/>
        <v>0</v>
      </c>
      <c r="K5663" s="4" t="e">
        <f t="shared" si="1152"/>
        <v>#N/A</v>
      </c>
      <c r="L5663" t="e">
        <f t="shared" si="1153"/>
        <v>#N/A</v>
      </c>
      <c r="M5663" s="4" t="e">
        <f t="shared" si="1154"/>
        <v>#N/A</v>
      </c>
      <c r="N5663" s="4" t="e">
        <f t="shared" si="1155"/>
        <v>#N/A</v>
      </c>
    </row>
    <row r="5664" spans="1:14">
      <c r="A5664">
        <f t="shared" si="1156"/>
        <v>0</v>
      </c>
      <c r="B5664">
        <f t="shared" si="1157"/>
        <v>0</v>
      </c>
      <c r="C5664">
        <f t="shared" si="1158"/>
        <v>0</v>
      </c>
      <c r="D5664">
        <f t="shared" si="1159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60"/>
        <v>0</v>
      </c>
      <c r="G5664">
        <f t="shared" si="1161"/>
        <v>0</v>
      </c>
      <c r="H5664">
        <f t="shared" si="1162"/>
        <v>0</v>
      </c>
      <c r="I5664">
        <f t="shared" si="1163"/>
        <v>0</v>
      </c>
      <c r="J5664">
        <f t="shared" si="1164"/>
        <v>0</v>
      </c>
      <c r="K5664" s="4" t="e">
        <f t="shared" si="1152"/>
        <v>#N/A</v>
      </c>
      <c r="L5664" t="e">
        <f t="shared" si="1153"/>
        <v>#N/A</v>
      </c>
      <c r="M5664" s="4" t="e">
        <f t="shared" si="1154"/>
        <v>#N/A</v>
      </c>
      <c r="N5664" s="4" t="e">
        <f t="shared" si="1155"/>
        <v>#N/A</v>
      </c>
    </row>
    <row r="5665" spans="1:14">
      <c r="A5665">
        <f t="shared" si="1156"/>
        <v>0</v>
      </c>
      <c r="B5665">
        <f t="shared" si="1157"/>
        <v>0</v>
      </c>
      <c r="C5665">
        <f t="shared" si="1158"/>
        <v>0</v>
      </c>
      <c r="D5665">
        <f t="shared" si="1159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60"/>
        <v>0</v>
      </c>
      <c r="G5665">
        <f t="shared" si="1161"/>
        <v>0</v>
      </c>
      <c r="H5665">
        <f t="shared" si="1162"/>
        <v>0</v>
      </c>
      <c r="I5665">
        <f t="shared" si="1163"/>
        <v>0</v>
      </c>
      <c r="J5665">
        <f t="shared" si="1164"/>
        <v>0</v>
      </c>
      <c r="K5665" s="4" t="e">
        <f t="shared" si="1152"/>
        <v>#N/A</v>
      </c>
      <c r="L5665" t="e">
        <f t="shared" si="1153"/>
        <v>#N/A</v>
      </c>
      <c r="M5665" s="4" t="e">
        <f t="shared" si="1154"/>
        <v>#N/A</v>
      </c>
      <c r="N5665" s="4" t="e">
        <f t="shared" si="1155"/>
        <v>#N/A</v>
      </c>
    </row>
    <row r="5666" spans="1:14">
      <c r="A5666">
        <f t="shared" si="1156"/>
        <v>0</v>
      </c>
      <c r="B5666">
        <f t="shared" si="1157"/>
        <v>0</v>
      </c>
      <c r="C5666">
        <f t="shared" si="1158"/>
        <v>0</v>
      </c>
      <c r="D5666">
        <f t="shared" si="1159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60"/>
        <v>0</v>
      </c>
      <c r="G5666">
        <f t="shared" si="1161"/>
        <v>0</v>
      </c>
      <c r="H5666">
        <f t="shared" si="1162"/>
        <v>0</v>
      </c>
      <c r="I5666">
        <f t="shared" si="1163"/>
        <v>0</v>
      </c>
      <c r="J5666">
        <f t="shared" si="1164"/>
        <v>0</v>
      </c>
      <c r="K5666" s="4" t="e">
        <f t="shared" si="1152"/>
        <v>#N/A</v>
      </c>
      <c r="L5666" t="e">
        <f t="shared" si="1153"/>
        <v>#N/A</v>
      </c>
      <c r="M5666" s="4" t="e">
        <f t="shared" si="1154"/>
        <v>#N/A</v>
      </c>
      <c r="N5666" s="4" t="e">
        <f t="shared" si="1155"/>
        <v>#N/A</v>
      </c>
    </row>
    <row r="5667" spans="1:14">
      <c r="A5667">
        <f t="shared" si="1156"/>
        <v>0</v>
      </c>
      <c r="B5667">
        <f t="shared" si="1157"/>
        <v>0</v>
      </c>
      <c r="C5667">
        <f t="shared" si="1158"/>
        <v>0</v>
      </c>
      <c r="D5667">
        <f t="shared" si="1159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60"/>
        <v>0</v>
      </c>
      <c r="G5667">
        <f t="shared" si="1161"/>
        <v>0</v>
      </c>
      <c r="H5667">
        <f t="shared" si="1162"/>
        <v>0</v>
      </c>
      <c r="I5667">
        <f t="shared" si="1163"/>
        <v>0</v>
      </c>
      <c r="J5667">
        <f t="shared" si="1164"/>
        <v>0</v>
      </c>
      <c r="K5667" s="4" t="e">
        <f t="shared" si="1152"/>
        <v>#N/A</v>
      </c>
      <c r="L5667" t="e">
        <f t="shared" si="1153"/>
        <v>#N/A</v>
      </c>
      <c r="M5667" s="4" t="e">
        <f t="shared" si="1154"/>
        <v>#N/A</v>
      </c>
      <c r="N5667" s="4" t="e">
        <f t="shared" si="1155"/>
        <v>#N/A</v>
      </c>
    </row>
    <row r="5668" spans="1:14">
      <c r="A5668">
        <f t="shared" si="1156"/>
        <v>0</v>
      </c>
      <c r="B5668">
        <f t="shared" si="1157"/>
        <v>0</v>
      </c>
      <c r="C5668">
        <f t="shared" si="1158"/>
        <v>0</v>
      </c>
      <c r="D5668">
        <f t="shared" si="1159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60"/>
        <v>0</v>
      </c>
      <c r="G5668">
        <f t="shared" si="1161"/>
        <v>0</v>
      </c>
      <c r="H5668">
        <f t="shared" si="1162"/>
        <v>0</v>
      </c>
      <c r="I5668">
        <f t="shared" si="1163"/>
        <v>0</v>
      </c>
      <c r="J5668">
        <f t="shared" si="1164"/>
        <v>0</v>
      </c>
      <c r="K5668" s="4" t="e">
        <f t="shared" si="1152"/>
        <v>#N/A</v>
      </c>
      <c r="L5668" t="e">
        <f t="shared" si="1153"/>
        <v>#N/A</v>
      </c>
      <c r="M5668" s="4" t="e">
        <f t="shared" si="1154"/>
        <v>#N/A</v>
      </c>
      <c r="N5668" s="4" t="e">
        <f t="shared" si="1155"/>
        <v>#N/A</v>
      </c>
    </row>
    <row r="5669" spans="1:14">
      <c r="A5669">
        <f t="shared" si="1156"/>
        <v>0</v>
      </c>
      <c r="B5669">
        <f t="shared" si="1157"/>
        <v>0</v>
      </c>
      <c r="C5669">
        <f t="shared" si="1158"/>
        <v>0</v>
      </c>
      <c r="D5669">
        <f t="shared" si="1159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60"/>
        <v>0</v>
      </c>
      <c r="G5669">
        <f t="shared" si="1161"/>
        <v>0</v>
      </c>
      <c r="H5669">
        <f t="shared" si="1162"/>
        <v>0</v>
      </c>
      <c r="I5669">
        <f t="shared" si="1163"/>
        <v>0</v>
      </c>
      <c r="J5669">
        <f t="shared" si="1164"/>
        <v>0</v>
      </c>
      <c r="K5669" s="4" t="e">
        <f t="shared" si="1152"/>
        <v>#N/A</v>
      </c>
      <c r="L5669" t="e">
        <f t="shared" si="1153"/>
        <v>#N/A</v>
      </c>
      <c r="M5669" s="4" t="e">
        <f t="shared" si="1154"/>
        <v>#N/A</v>
      </c>
      <c r="N5669" s="4" t="e">
        <f t="shared" si="1155"/>
        <v>#N/A</v>
      </c>
    </row>
    <row r="5670" spans="1:14">
      <c r="A5670">
        <f t="shared" si="1156"/>
        <v>0</v>
      </c>
      <c r="B5670">
        <f t="shared" si="1157"/>
        <v>0</v>
      </c>
      <c r="C5670">
        <f t="shared" si="1158"/>
        <v>0</v>
      </c>
      <c r="D5670">
        <f t="shared" si="1159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60"/>
        <v>0</v>
      </c>
      <c r="G5670">
        <f t="shared" si="1161"/>
        <v>0</v>
      </c>
      <c r="H5670">
        <f t="shared" si="1162"/>
        <v>0</v>
      </c>
      <c r="I5670">
        <f t="shared" si="1163"/>
        <v>0</v>
      </c>
      <c r="J5670">
        <f t="shared" si="1164"/>
        <v>0</v>
      </c>
      <c r="K5670" s="4" t="e">
        <f t="shared" si="1152"/>
        <v>#N/A</v>
      </c>
      <c r="L5670" t="e">
        <f t="shared" si="1153"/>
        <v>#N/A</v>
      </c>
      <c r="M5670" s="4" t="e">
        <f t="shared" si="1154"/>
        <v>#N/A</v>
      </c>
      <c r="N5670" s="4" t="e">
        <f t="shared" si="1155"/>
        <v>#N/A</v>
      </c>
    </row>
    <row r="5671" spans="1:14">
      <c r="A5671">
        <f t="shared" si="1156"/>
        <v>0</v>
      </c>
      <c r="B5671">
        <f t="shared" si="1157"/>
        <v>0</v>
      </c>
      <c r="C5671">
        <f t="shared" si="1158"/>
        <v>0</v>
      </c>
      <c r="D5671">
        <f t="shared" si="1159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60"/>
        <v>0</v>
      </c>
      <c r="G5671">
        <f t="shared" si="1161"/>
        <v>0</v>
      </c>
      <c r="H5671">
        <f t="shared" si="1162"/>
        <v>0</v>
      </c>
      <c r="I5671">
        <f t="shared" si="1163"/>
        <v>0</v>
      </c>
      <c r="J5671">
        <f t="shared" si="1164"/>
        <v>0</v>
      </c>
      <c r="K5671" s="4" t="e">
        <f t="shared" si="1152"/>
        <v>#N/A</v>
      </c>
      <c r="L5671" t="e">
        <f t="shared" si="1153"/>
        <v>#N/A</v>
      </c>
      <c r="M5671" s="4" t="e">
        <f t="shared" si="1154"/>
        <v>#N/A</v>
      </c>
      <c r="N5671" s="4" t="e">
        <f t="shared" si="1155"/>
        <v>#N/A</v>
      </c>
    </row>
    <row r="5672" spans="1:14">
      <c r="A5672">
        <f t="shared" si="1156"/>
        <v>0</v>
      </c>
      <c r="B5672">
        <f t="shared" si="1157"/>
        <v>0</v>
      </c>
      <c r="C5672">
        <f t="shared" si="1158"/>
        <v>0</v>
      </c>
      <c r="D5672">
        <f t="shared" si="1159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60"/>
        <v>0</v>
      </c>
      <c r="G5672">
        <f t="shared" si="1161"/>
        <v>0</v>
      </c>
      <c r="H5672">
        <f t="shared" si="1162"/>
        <v>0</v>
      </c>
      <c r="I5672">
        <f t="shared" si="1163"/>
        <v>0</v>
      </c>
      <c r="J5672">
        <f t="shared" si="1164"/>
        <v>0</v>
      </c>
      <c r="K5672" s="4" t="e">
        <f t="shared" si="1152"/>
        <v>#N/A</v>
      </c>
      <c r="L5672" t="e">
        <f t="shared" si="1153"/>
        <v>#N/A</v>
      </c>
      <c r="M5672" s="4" t="e">
        <f t="shared" si="1154"/>
        <v>#N/A</v>
      </c>
      <c r="N5672" s="4" t="e">
        <f t="shared" si="1155"/>
        <v>#N/A</v>
      </c>
    </row>
    <row r="5673" spans="1:14">
      <c r="A5673">
        <f t="shared" si="1156"/>
        <v>0</v>
      </c>
      <c r="B5673">
        <f t="shared" si="1157"/>
        <v>0</v>
      </c>
      <c r="C5673">
        <f t="shared" si="1158"/>
        <v>0</v>
      </c>
      <c r="D5673">
        <f t="shared" si="1159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60"/>
        <v>0</v>
      </c>
      <c r="G5673">
        <f t="shared" si="1161"/>
        <v>0</v>
      </c>
      <c r="H5673">
        <f t="shared" si="1162"/>
        <v>0</v>
      </c>
      <c r="I5673">
        <f t="shared" si="1163"/>
        <v>0</v>
      </c>
      <c r="J5673">
        <f t="shared" si="1164"/>
        <v>0</v>
      </c>
      <c r="K5673" s="4" t="e">
        <f t="shared" si="1152"/>
        <v>#N/A</v>
      </c>
      <c r="L5673" t="e">
        <f t="shared" si="1153"/>
        <v>#N/A</v>
      </c>
      <c r="M5673" s="4" t="e">
        <f t="shared" si="1154"/>
        <v>#N/A</v>
      </c>
      <c r="N5673" s="4" t="e">
        <f t="shared" si="1155"/>
        <v>#N/A</v>
      </c>
    </row>
    <row r="5674" spans="1:14">
      <c r="A5674">
        <f t="shared" si="1156"/>
        <v>0</v>
      </c>
      <c r="B5674">
        <f t="shared" si="1157"/>
        <v>0</v>
      </c>
      <c r="C5674">
        <f t="shared" si="1158"/>
        <v>0</v>
      </c>
      <c r="D5674">
        <f t="shared" si="1159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60"/>
        <v>0</v>
      </c>
      <c r="G5674">
        <f t="shared" si="1161"/>
        <v>0</v>
      </c>
      <c r="H5674">
        <f t="shared" si="1162"/>
        <v>0</v>
      </c>
      <c r="I5674">
        <f t="shared" si="1163"/>
        <v>0</v>
      </c>
      <c r="J5674">
        <f t="shared" si="1164"/>
        <v>0</v>
      </c>
      <c r="K5674" s="4" t="e">
        <f t="shared" si="1152"/>
        <v>#N/A</v>
      </c>
      <c r="L5674" t="e">
        <f t="shared" si="1153"/>
        <v>#N/A</v>
      </c>
      <c r="M5674" s="4" t="e">
        <f t="shared" si="1154"/>
        <v>#N/A</v>
      </c>
      <c r="N5674" s="4" t="e">
        <f t="shared" si="1155"/>
        <v>#N/A</v>
      </c>
    </row>
    <row r="5675" spans="1:14">
      <c r="A5675">
        <f t="shared" si="1156"/>
        <v>0</v>
      </c>
      <c r="B5675">
        <f t="shared" si="1157"/>
        <v>0</v>
      </c>
      <c r="C5675">
        <f t="shared" si="1158"/>
        <v>0</v>
      </c>
      <c r="D5675">
        <f t="shared" si="1159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60"/>
        <v>0</v>
      </c>
      <c r="G5675">
        <f t="shared" si="1161"/>
        <v>0</v>
      </c>
      <c r="H5675">
        <f t="shared" si="1162"/>
        <v>0</v>
      </c>
      <c r="I5675">
        <f t="shared" si="1163"/>
        <v>0</v>
      </c>
      <c r="J5675">
        <f t="shared" si="1164"/>
        <v>0</v>
      </c>
      <c r="K5675" s="4" t="e">
        <f t="shared" si="1152"/>
        <v>#N/A</v>
      </c>
      <c r="L5675" t="e">
        <f t="shared" si="1153"/>
        <v>#N/A</v>
      </c>
      <c r="M5675" s="4" t="e">
        <f t="shared" si="1154"/>
        <v>#N/A</v>
      </c>
      <c r="N5675" s="4" t="e">
        <f t="shared" si="1155"/>
        <v>#N/A</v>
      </c>
    </row>
    <row r="5676" spans="1:14">
      <c r="A5676">
        <f t="shared" si="1156"/>
        <v>0</v>
      </c>
      <c r="B5676">
        <f t="shared" si="1157"/>
        <v>0</v>
      </c>
      <c r="C5676">
        <f t="shared" si="1158"/>
        <v>0</v>
      </c>
      <c r="D5676">
        <f t="shared" si="1159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60"/>
        <v>0</v>
      </c>
      <c r="G5676">
        <f t="shared" si="1161"/>
        <v>0</v>
      </c>
      <c r="H5676">
        <f t="shared" si="1162"/>
        <v>0</v>
      </c>
      <c r="I5676">
        <f t="shared" si="1163"/>
        <v>0</v>
      </c>
      <c r="J5676">
        <f t="shared" si="1164"/>
        <v>0</v>
      </c>
      <c r="K5676" s="4" t="e">
        <f t="shared" si="1152"/>
        <v>#N/A</v>
      </c>
      <c r="L5676" t="e">
        <f t="shared" si="1153"/>
        <v>#N/A</v>
      </c>
      <c r="M5676" s="4" t="e">
        <f t="shared" si="1154"/>
        <v>#N/A</v>
      </c>
      <c r="N5676" s="4" t="e">
        <f t="shared" si="1155"/>
        <v>#N/A</v>
      </c>
    </row>
    <row r="5677" spans="1:14">
      <c r="A5677">
        <f t="shared" si="1156"/>
        <v>0</v>
      </c>
      <c r="B5677">
        <f t="shared" si="1157"/>
        <v>0</v>
      </c>
      <c r="C5677">
        <f t="shared" si="1158"/>
        <v>0</v>
      </c>
      <c r="D5677">
        <f t="shared" si="1159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60"/>
        <v>0</v>
      </c>
      <c r="G5677">
        <f t="shared" si="1161"/>
        <v>0</v>
      </c>
      <c r="H5677">
        <f t="shared" si="1162"/>
        <v>0</v>
      </c>
      <c r="I5677">
        <f t="shared" si="1163"/>
        <v>0</v>
      </c>
      <c r="J5677">
        <f t="shared" si="1164"/>
        <v>0</v>
      </c>
      <c r="K5677" s="4" t="e">
        <f t="shared" si="1152"/>
        <v>#N/A</v>
      </c>
      <c r="L5677" t="e">
        <f t="shared" si="1153"/>
        <v>#N/A</v>
      </c>
      <c r="M5677" s="4" t="e">
        <f t="shared" si="1154"/>
        <v>#N/A</v>
      </c>
      <c r="N5677" s="4" t="e">
        <f t="shared" si="1155"/>
        <v>#N/A</v>
      </c>
    </row>
    <row r="5678" spans="1:14">
      <c r="A5678">
        <f t="shared" si="1156"/>
        <v>0</v>
      </c>
      <c r="B5678">
        <f t="shared" si="1157"/>
        <v>0</v>
      </c>
      <c r="C5678">
        <f t="shared" si="1158"/>
        <v>0</v>
      </c>
      <c r="D5678">
        <f t="shared" si="1159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60"/>
        <v>0</v>
      </c>
      <c r="G5678">
        <f t="shared" si="1161"/>
        <v>0</v>
      </c>
      <c r="H5678">
        <f t="shared" si="1162"/>
        <v>0</v>
      </c>
      <c r="I5678">
        <f t="shared" si="1163"/>
        <v>0</v>
      </c>
      <c r="J5678">
        <f t="shared" si="1164"/>
        <v>0</v>
      </c>
      <c r="K5678" s="4" t="e">
        <f t="shared" si="1152"/>
        <v>#N/A</v>
      </c>
      <c r="L5678" t="e">
        <f t="shared" si="1153"/>
        <v>#N/A</v>
      </c>
      <c r="M5678" s="4" t="e">
        <f t="shared" si="1154"/>
        <v>#N/A</v>
      </c>
      <c r="N5678" s="4" t="e">
        <f t="shared" si="1155"/>
        <v>#N/A</v>
      </c>
    </row>
    <row r="5679" spans="1:14">
      <c r="A5679">
        <f t="shared" si="1156"/>
        <v>0</v>
      </c>
      <c r="B5679">
        <f t="shared" si="1157"/>
        <v>0</v>
      </c>
      <c r="C5679">
        <f t="shared" si="1158"/>
        <v>0</v>
      </c>
      <c r="D5679">
        <f t="shared" si="1159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60"/>
        <v>0</v>
      </c>
      <c r="G5679">
        <f t="shared" si="1161"/>
        <v>0</v>
      </c>
      <c r="H5679">
        <f t="shared" si="1162"/>
        <v>0</v>
      </c>
      <c r="I5679">
        <f t="shared" si="1163"/>
        <v>0</v>
      </c>
      <c r="J5679">
        <f t="shared" si="1164"/>
        <v>0</v>
      </c>
      <c r="K5679" s="4" t="e">
        <f t="shared" si="1152"/>
        <v>#N/A</v>
      </c>
      <c r="L5679" t="e">
        <f t="shared" si="1153"/>
        <v>#N/A</v>
      </c>
      <c r="M5679" s="4" t="e">
        <f t="shared" si="1154"/>
        <v>#N/A</v>
      </c>
      <c r="N5679" s="4" t="e">
        <f t="shared" si="1155"/>
        <v>#N/A</v>
      </c>
    </row>
    <row r="5680" spans="1:14">
      <c r="A5680">
        <f t="shared" si="1156"/>
        <v>0</v>
      </c>
      <c r="B5680">
        <f t="shared" si="1157"/>
        <v>0</v>
      </c>
      <c r="C5680">
        <f t="shared" si="1158"/>
        <v>0</v>
      </c>
      <c r="D5680">
        <f t="shared" si="1159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60"/>
        <v>0</v>
      </c>
      <c r="G5680">
        <f t="shared" si="1161"/>
        <v>0</v>
      </c>
      <c r="H5680">
        <f t="shared" si="1162"/>
        <v>0</v>
      </c>
      <c r="I5680">
        <f t="shared" si="1163"/>
        <v>0</v>
      </c>
      <c r="J5680">
        <f t="shared" si="1164"/>
        <v>0</v>
      </c>
      <c r="K5680" s="4" t="e">
        <f t="shared" si="1152"/>
        <v>#N/A</v>
      </c>
      <c r="L5680" t="e">
        <f t="shared" si="1153"/>
        <v>#N/A</v>
      </c>
      <c r="M5680" s="4" t="e">
        <f t="shared" si="1154"/>
        <v>#N/A</v>
      </c>
      <c r="N5680" s="4" t="e">
        <f t="shared" si="1155"/>
        <v>#N/A</v>
      </c>
    </row>
    <row r="5681" spans="1:14">
      <c r="A5681">
        <f t="shared" si="1156"/>
        <v>0</v>
      </c>
      <c r="B5681">
        <f t="shared" si="1157"/>
        <v>0</v>
      </c>
      <c r="C5681">
        <f t="shared" si="1158"/>
        <v>0</v>
      </c>
      <c r="D5681">
        <f t="shared" si="1159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60"/>
        <v>0</v>
      </c>
      <c r="G5681">
        <f t="shared" si="1161"/>
        <v>0</v>
      </c>
      <c r="H5681">
        <f t="shared" si="1162"/>
        <v>0</v>
      </c>
      <c r="I5681">
        <f t="shared" si="1163"/>
        <v>0</v>
      </c>
      <c r="J5681">
        <f t="shared" si="1164"/>
        <v>0</v>
      </c>
      <c r="K5681" s="4" t="e">
        <f t="shared" si="1152"/>
        <v>#N/A</v>
      </c>
      <c r="L5681" t="e">
        <f t="shared" si="1153"/>
        <v>#N/A</v>
      </c>
      <c r="M5681" s="4" t="e">
        <f t="shared" si="1154"/>
        <v>#N/A</v>
      </c>
      <c r="N5681" s="4" t="e">
        <f t="shared" si="1155"/>
        <v>#N/A</v>
      </c>
    </row>
    <row r="5682" spans="1:14">
      <c r="A5682">
        <f t="shared" si="1156"/>
        <v>0</v>
      </c>
      <c r="B5682">
        <f t="shared" si="1157"/>
        <v>0</v>
      </c>
      <c r="C5682">
        <f t="shared" si="1158"/>
        <v>0</v>
      </c>
      <c r="D5682">
        <f t="shared" si="1159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60"/>
        <v>0</v>
      </c>
      <c r="G5682">
        <f t="shared" si="1161"/>
        <v>0</v>
      </c>
      <c r="H5682">
        <f t="shared" si="1162"/>
        <v>0</v>
      </c>
      <c r="I5682">
        <f t="shared" si="1163"/>
        <v>0</v>
      </c>
      <c r="J5682">
        <f t="shared" si="1164"/>
        <v>0</v>
      </c>
      <c r="K5682" s="4" t="e">
        <f t="shared" si="1152"/>
        <v>#N/A</v>
      </c>
      <c r="L5682" t="e">
        <f t="shared" si="1153"/>
        <v>#N/A</v>
      </c>
      <c r="M5682" s="4" t="e">
        <f t="shared" si="1154"/>
        <v>#N/A</v>
      </c>
      <c r="N5682" s="4" t="e">
        <f t="shared" si="1155"/>
        <v>#N/A</v>
      </c>
    </row>
    <row r="5683" spans="1:14">
      <c r="A5683">
        <f t="shared" si="1156"/>
        <v>0</v>
      </c>
      <c r="B5683">
        <f t="shared" si="1157"/>
        <v>0</v>
      </c>
      <c r="C5683">
        <f t="shared" si="1158"/>
        <v>0</v>
      </c>
      <c r="D5683">
        <f t="shared" si="1159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60"/>
        <v>0</v>
      </c>
      <c r="G5683">
        <f t="shared" si="1161"/>
        <v>0</v>
      </c>
      <c r="H5683">
        <f t="shared" si="1162"/>
        <v>0</v>
      </c>
      <c r="I5683">
        <f t="shared" si="1163"/>
        <v>0</v>
      </c>
      <c r="J5683">
        <f t="shared" si="1164"/>
        <v>0</v>
      </c>
      <c r="K5683" s="4" t="e">
        <f t="shared" si="1152"/>
        <v>#N/A</v>
      </c>
      <c r="L5683" t="e">
        <f t="shared" si="1153"/>
        <v>#N/A</v>
      </c>
      <c r="M5683" s="4" t="e">
        <f t="shared" si="1154"/>
        <v>#N/A</v>
      </c>
      <c r="N5683" s="4" t="e">
        <f t="shared" si="1155"/>
        <v>#N/A</v>
      </c>
    </row>
    <row r="5684" spans="1:14">
      <c r="A5684">
        <f t="shared" si="1156"/>
        <v>0</v>
      </c>
      <c r="B5684">
        <f t="shared" si="1157"/>
        <v>0</v>
      </c>
      <c r="C5684">
        <f t="shared" si="1158"/>
        <v>0</v>
      </c>
      <c r="D5684">
        <f t="shared" si="1159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60"/>
        <v>0</v>
      </c>
      <c r="G5684">
        <f t="shared" si="1161"/>
        <v>0</v>
      </c>
      <c r="H5684">
        <f t="shared" si="1162"/>
        <v>0</v>
      </c>
      <c r="I5684">
        <f t="shared" si="1163"/>
        <v>0</v>
      </c>
      <c r="J5684">
        <f t="shared" si="1164"/>
        <v>0</v>
      </c>
      <c r="K5684" s="4" t="e">
        <f t="shared" si="1152"/>
        <v>#N/A</v>
      </c>
      <c r="L5684" t="e">
        <f t="shared" si="1153"/>
        <v>#N/A</v>
      </c>
      <c r="M5684" s="4" t="e">
        <f t="shared" si="1154"/>
        <v>#N/A</v>
      </c>
      <c r="N5684" s="4" t="e">
        <f t="shared" si="1155"/>
        <v>#N/A</v>
      </c>
    </row>
    <row r="5685" spans="1:14">
      <c r="A5685">
        <f t="shared" si="1156"/>
        <v>0</v>
      </c>
      <c r="B5685">
        <f t="shared" si="1157"/>
        <v>0</v>
      </c>
      <c r="C5685">
        <f t="shared" si="1158"/>
        <v>0</v>
      </c>
      <c r="D5685">
        <f t="shared" si="1159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60"/>
        <v>0</v>
      </c>
      <c r="G5685">
        <f t="shared" si="1161"/>
        <v>0</v>
      </c>
      <c r="H5685">
        <f t="shared" si="1162"/>
        <v>0</v>
      </c>
      <c r="I5685">
        <f t="shared" si="1163"/>
        <v>0</v>
      </c>
      <c r="J5685">
        <f t="shared" si="1164"/>
        <v>0</v>
      </c>
      <c r="K5685" s="4" t="e">
        <f t="shared" si="1152"/>
        <v>#N/A</v>
      </c>
      <c r="L5685" t="e">
        <f t="shared" si="1153"/>
        <v>#N/A</v>
      </c>
      <c r="M5685" s="4" t="e">
        <f t="shared" si="1154"/>
        <v>#N/A</v>
      </c>
      <c r="N5685" s="4" t="e">
        <f t="shared" si="1155"/>
        <v>#N/A</v>
      </c>
    </row>
    <row r="5686" spans="1:14">
      <c r="A5686">
        <f t="shared" si="1156"/>
        <v>0</v>
      </c>
      <c r="B5686">
        <f t="shared" si="1157"/>
        <v>0</v>
      </c>
      <c r="C5686">
        <f t="shared" si="1158"/>
        <v>0</v>
      </c>
      <c r="D5686">
        <f t="shared" si="1159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60"/>
        <v>0</v>
      </c>
      <c r="G5686">
        <f t="shared" si="1161"/>
        <v>0</v>
      </c>
      <c r="H5686">
        <f t="shared" si="1162"/>
        <v>0</v>
      </c>
      <c r="I5686">
        <f t="shared" si="1163"/>
        <v>0</v>
      </c>
      <c r="J5686">
        <f t="shared" si="1164"/>
        <v>0</v>
      </c>
      <c r="K5686" s="4" t="e">
        <f t="shared" si="1152"/>
        <v>#N/A</v>
      </c>
      <c r="L5686" t="e">
        <f t="shared" si="1153"/>
        <v>#N/A</v>
      </c>
      <c r="M5686" s="4" t="e">
        <f t="shared" si="1154"/>
        <v>#N/A</v>
      </c>
      <c r="N5686" s="4" t="e">
        <f t="shared" si="1155"/>
        <v>#N/A</v>
      </c>
    </row>
    <row r="5687" spans="1:14">
      <c r="A5687">
        <f t="shared" si="1156"/>
        <v>0</v>
      </c>
      <c r="B5687">
        <f t="shared" si="1157"/>
        <v>0</v>
      </c>
      <c r="C5687">
        <f t="shared" si="1158"/>
        <v>0</v>
      </c>
      <c r="D5687">
        <f t="shared" si="1159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60"/>
        <v>0</v>
      </c>
      <c r="G5687">
        <f t="shared" si="1161"/>
        <v>0</v>
      </c>
      <c r="H5687">
        <f t="shared" si="1162"/>
        <v>0</v>
      </c>
      <c r="I5687">
        <f t="shared" si="1163"/>
        <v>0</v>
      </c>
      <c r="J5687">
        <f t="shared" si="1164"/>
        <v>0</v>
      </c>
      <c r="K5687" s="4" t="e">
        <f t="shared" si="1152"/>
        <v>#N/A</v>
      </c>
      <c r="L5687" t="e">
        <f t="shared" si="1153"/>
        <v>#N/A</v>
      </c>
      <c r="M5687" s="4" t="e">
        <f t="shared" si="1154"/>
        <v>#N/A</v>
      </c>
      <c r="N5687" s="4" t="e">
        <f t="shared" si="1155"/>
        <v>#N/A</v>
      </c>
    </row>
    <row r="5688" spans="1:14">
      <c r="A5688">
        <f t="shared" si="1156"/>
        <v>0</v>
      </c>
      <c r="B5688">
        <f t="shared" si="1157"/>
        <v>0</v>
      </c>
      <c r="C5688">
        <f t="shared" si="1158"/>
        <v>0</v>
      </c>
      <c r="D5688">
        <f t="shared" si="1159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60"/>
        <v>0</v>
      </c>
      <c r="G5688">
        <f t="shared" si="1161"/>
        <v>0</v>
      </c>
      <c r="H5688">
        <f t="shared" si="1162"/>
        <v>0</v>
      </c>
      <c r="I5688">
        <f t="shared" si="1163"/>
        <v>0</v>
      </c>
      <c r="J5688">
        <f t="shared" si="1164"/>
        <v>0</v>
      </c>
      <c r="K5688" s="4" t="e">
        <f t="shared" si="1152"/>
        <v>#N/A</v>
      </c>
      <c r="L5688" t="e">
        <f t="shared" si="1153"/>
        <v>#N/A</v>
      </c>
      <c r="M5688" s="4" t="e">
        <f t="shared" si="1154"/>
        <v>#N/A</v>
      </c>
      <c r="N5688" s="4" t="e">
        <f t="shared" si="1155"/>
        <v>#N/A</v>
      </c>
    </row>
    <row r="5689" spans="1:14">
      <c r="A5689">
        <f t="shared" si="1156"/>
        <v>0</v>
      </c>
      <c r="B5689">
        <f t="shared" si="1157"/>
        <v>0</v>
      </c>
      <c r="C5689">
        <f t="shared" si="1158"/>
        <v>0</v>
      </c>
      <c r="D5689">
        <f t="shared" si="1159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60"/>
        <v>0</v>
      </c>
      <c r="G5689">
        <f t="shared" si="1161"/>
        <v>0</v>
      </c>
      <c r="H5689">
        <f t="shared" si="1162"/>
        <v>0</v>
      </c>
      <c r="I5689">
        <f t="shared" si="1163"/>
        <v>0</v>
      </c>
      <c r="J5689">
        <f t="shared" si="1164"/>
        <v>0</v>
      </c>
      <c r="K5689" s="4" t="e">
        <f t="shared" si="1152"/>
        <v>#N/A</v>
      </c>
      <c r="L5689" t="e">
        <f t="shared" si="1153"/>
        <v>#N/A</v>
      </c>
      <c r="M5689" s="4" t="e">
        <f t="shared" si="1154"/>
        <v>#N/A</v>
      </c>
      <c r="N5689" s="4" t="e">
        <f t="shared" si="1155"/>
        <v>#N/A</v>
      </c>
    </row>
    <row r="5690" spans="1:14">
      <c r="A5690">
        <f t="shared" si="1156"/>
        <v>0</v>
      </c>
      <c r="B5690">
        <f t="shared" si="1157"/>
        <v>0</v>
      </c>
      <c r="C5690">
        <f t="shared" si="1158"/>
        <v>0</v>
      </c>
      <c r="D5690">
        <f t="shared" si="1159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60"/>
        <v>0</v>
      </c>
      <c r="G5690">
        <f t="shared" si="1161"/>
        <v>0</v>
      </c>
      <c r="H5690">
        <f t="shared" si="1162"/>
        <v>0</v>
      </c>
      <c r="I5690">
        <f t="shared" si="1163"/>
        <v>0</v>
      </c>
      <c r="J5690">
        <f t="shared" si="1164"/>
        <v>0</v>
      </c>
      <c r="K5690" s="4" t="e">
        <f t="shared" si="1152"/>
        <v>#N/A</v>
      </c>
      <c r="L5690" t="e">
        <f t="shared" si="1153"/>
        <v>#N/A</v>
      </c>
      <c r="M5690" s="4" t="e">
        <f t="shared" si="1154"/>
        <v>#N/A</v>
      </c>
      <c r="N5690" s="4" t="e">
        <f t="shared" si="1155"/>
        <v>#N/A</v>
      </c>
    </row>
    <row r="5691" spans="1:14">
      <c r="A5691">
        <f t="shared" si="1156"/>
        <v>0</v>
      </c>
      <c r="B5691">
        <f t="shared" si="1157"/>
        <v>0</v>
      </c>
      <c r="C5691">
        <f t="shared" si="1158"/>
        <v>0</v>
      </c>
      <c r="D5691">
        <f t="shared" si="1159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60"/>
        <v>0</v>
      </c>
      <c r="G5691">
        <f t="shared" si="1161"/>
        <v>0</v>
      </c>
      <c r="H5691">
        <f t="shared" si="1162"/>
        <v>0</v>
      </c>
      <c r="I5691">
        <f t="shared" si="1163"/>
        <v>0</v>
      </c>
      <c r="J5691">
        <f t="shared" si="1164"/>
        <v>0</v>
      </c>
      <c r="K5691" s="4" t="e">
        <f t="shared" si="1152"/>
        <v>#N/A</v>
      </c>
      <c r="L5691" t="e">
        <f t="shared" si="1153"/>
        <v>#N/A</v>
      </c>
      <c r="M5691" s="4" t="e">
        <f t="shared" si="1154"/>
        <v>#N/A</v>
      </c>
      <c r="N5691" s="4" t="e">
        <f t="shared" si="1155"/>
        <v>#N/A</v>
      </c>
    </row>
    <row r="5692" spans="1:14">
      <c r="A5692">
        <f t="shared" si="1156"/>
        <v>0</v>
      </c>
      <c r="B5692">
        <f t="shared" si="1157"/>
        <v>0</v>
      </c>
      <c r="C5692">
        <f t="shared" si="1158"/>
        <v>0</v>
      </c>
      <c r="D5692">
        <f t="shared" si="1159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60"/>
        <v>0</v>
      </c>
      <c r="G5692">
        <f t="shared" si="1161"/>
        <v>0</v>
      </c>
      <c r="H5692">
        <f t="shared" si="1162"/>
        <v>0</v>
      </c>
      <c r="I5692">
        <f t="shared" si="1163"/>
        <v>0</v>
      </c>
      <c r="J5692">
        <f t="shared" si="1164"/>
        <v>0</v>
      </c>
      <c r="K5692" s="4" t="e">
        <f t="shared" si="1152"/>
        <v>#N/A</v>
      </c>
      <c r="L5692" t="e">
        <f t="shared" si="1153"/>
        <v>#N/A</v>
      </c>
      <c r="M5692" s="4" t="e">
        <f t="shared" si="1154"/>
        <v>#N/A</v>
      </c>
      <c r="N5692" s="4" t="e">
        <f t="shared" si="1155"/>
        <v>#N/A</v>
      </c>
    </row>
    <row r="5693" spans="1:14">
      <c r="A5693">
        <f t="shared" si="1156"/>
        <v>0</v>
      </c>
      <c r="B5693">
        <f t="shared" si="1157"/>
        <v>0</v>
      </c>
      <c r="C5693">
        <f t="shared" si="1158"/>
        <v>0</v>
      </c>
      <c r="D5693">
        <f t="shared" si="1159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60"/>
        <v>0</v>
      </c>
      <c r="G5693">
        <f t="shared" si="1161"/>
        <v>0</v>
      </c>
      <c r="H5693">
        <f t="shared" si="1162"/>
        <v>0</v>
      </c>
      <c r="I5693">
        <f t="shared" si="1163"/>
        <v>0</v>
      </c>
      <c r="J5693">
        <f t="shared" si="1164"/>
        <v>0</v>
      </c>
      <c r="K5693" s="4" t="e">
        <f t="shared" ref="K5693:K5756" si="1165">IF(LEFT(B5693,3)="DBM",0,VLOOKUP(E5693,tabela,2,FALSE))</f>
        <v>#N/A</v>
      </c>
      <c r="L5693" t="e">
        <f t="shared" ref="L5693:L5756" si="1166">VLOOKUP(E5693,tabela,3,FALSE)</f>
        <v>#N/A</v>
      </c>
      <c r="M5693" s="4" t="e">
        <f t="shared" ref="M5693:M5756" si="1167">IF(E5693="Dynamic Click",J5693*K5693,K5693*$I5693/1000)</f>
        <v>#N/A</v>
      </c>
      <c r="N5693" s="4" t="e">
        <f t="shared" ref="N5693:N5756" si="1168">IF(E5693="Dynamic Click",J5693*L5693,L5693*$I5693/1000)</f>
        <v>#N/A</v>
      </c>
    </row>
    <row r="5694" spans="1:14">
      <c r="A5694">
        <f t="shared" si="1156"/>
        <v>0</v>
      </c>
      <c r="B5694">
        <f t="shared" si="1157"/>
        <v>0</v>
      </c>
      <c r="C5694">
        <f t="shared" si="1158"/>
        <v>0</v>
      </c>
      <c r="D5694">
        <f t="shared" si="1159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60"/>
        <v>0</v>
      </c>
      <c r="G5694">
        <f t="shared" si="1161"/>
        <v>0</v>
      </c>
      <c r="H5694">
        <f t="shared" si="1162"/>
        <v>0</v>
      </c>
      <c r="I5694">
        <f t="shared" si="1163"/>
        <v>0</v>
      </c>
      <c r="J5694">
        <f t="shared" si="1164"/>
        <v>0</v>
      </c>
      <c r="K5694" s="4" t="e">
        <f t="shared" si="1165"/>
        <v>#N/A</v>
      </c>
      <c r="L5694" t="e">
        <f t="shared" si="1166"/>
        <v>#N/A</v>
      </c>
      <c r="M5694" s="4" t="e">
        <f t="shared" si="1167"/>
        <v>#N/A</v>
      </c>
      <c r="N5694" s="4" t="e">
        <f t="shared" si="1168"/>
        <v>#N/A</v>
      </c>
    </row>
    <row r="5695" spans="1:14">
      <c r="A5695">
        <f t="shared" si="1156"/>
        <v>0</v>
      </c>
      <c r="B5695">
        <f t="shared" si="1157"/>
        <v>0</v>
      </c>
      <c r="C5695">
        <f t="shared" si="1158"/>
        <v>0</v>
      </c>
      <c r="D5695">
        <f t="shared" si="1159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60"/>
        <v>0</v>
      </c>
      <c r="G5695">
        <f t="shared" si="1161"/>
        <v>0</v>
      </c>
      <c r="H5695">
        <f t="shared" si="1162"/>
        <v>0</v>
      </c>
      <c r="I5695">
        <f t="shared" si="1163"/>
        <v>0</v>
      </c>
      <c r="J5695">
        <f t="shared" si="1164"/>
        <v>0</v>
      </c>
      <c r="K5695" s="4" t="e">
        <f t="shared" si="1165"/>
        <v>#N/A</v>
      </c>
      <c r="L5695" t="e">
        <f t="shared" si="1166"/>
        <v>#N/A</v>
      </c>
      <c r="M5695" s="4" t="e">
        <f t="shared" si="1167"/>
        <v>#N/A</v>
      </c>
      <c r="N5695" s="4" t="e">
        <f t="shared" si="1168"/>
        <v>#N/A</v>
      </c>
    </row>
    <row r="5696" spans="1:14">
      <c r="A5696">
        <f t="shared" si="1156"/>
        <v>0</v>
      </c>
      <c r="B5696">
        <f t="shared" si="1157"/>
        <v>0</v>
      </c>
      <c r="C5696">
        <f t="shared" si="1158"/>
        <v>0</v>
      </c>
      <c r="D5696">
        <f t="shared" si="1159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60"/>
        <v>0</v>
      </c>
      <c r="G5696">
        <f t="shared" si="1161"/>
        <v>0</v>
      </c>
      <c r="H5696">
        <f t="shared" si="1162"/>
        <v>0</v>
      </c>
      <c r="I5696">
        <f t="shared" si="1163"/>
        <v>0</v>
      </c>
      <c r="J5696">
        <f t="shared" si="1164"/>
        <v>0</v>
      </c>
      <c r="K5696" s="4" t="e">
        <f t="shared" si="1165"/>
        <v>#N/A</v>
      </c>
      <c r="L5696" t="e">
        <f t="shared" si="1166"/>
        <v>#N/A</v>
      </c>
      <c r="M5696" s="4" t="e">
        <f t="shared" si="1167"/>
        <v>#N/A</v>
      </c>
      <c r="N5696" s="4" t="e">
        <f t="shared" si="1168"/>
        <v>#N/A</v>
      </c>
    </row>
    <row r="5697" spans="1:14">
      <c r="A5697">
        <f t="shared" si="1156"/>
        <v>0</v>
      </c>
      <c r="B5697">
        <f t="shared" si="1157"/>
        <v>0</v>
      </c>
      <c r="C5697">
        <f t="shared" si="1158"/>
        <v>0</v>
      </c>
      <c r="D5697">
        <f t="shared" si="1159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60"/>
        <v>0</v>
      </c>
      <c r="G5697">
        <f t="shared" si="1161"/>
        <v>0</v>
      </c>
      <c r="H5697">
        <f t="shared" si="1162"/>
        <v>0</v>
      </c>
      <c r="I5697">
        <f t="shared" si="1163"/>
        <v>0</v>
      </c>
      <c r="J5697">
        <f t="shared" si="1164"/>
        <v>0</v>
      </c>
      <c r="K5697" s="4" t="e">
        <f t="shared" si="1165"/>
        <v>#N/A</v>
      </c>
      <c r="L5697" t="e">
        <f t="shared" si="1166"/>
        <v>#N/A</v>
      </c>
      <c r="M5697" s="4" t="e">
        <f t="shared" si="1167"/>
        <v>#N/A</v>
      </c>
      <c r="N5697" s="4" t="e">
        <f t="shared" si="1168"/>
        <v>#N/A</v>
      </c>
    </row>
    <row r="5698" spans="1:14">
      <c r="A5698">
        <f t="shared" ref="A5698:A5761" si="1169">bd_campaign</f>
        <v>0</v>
      </c>
      <c r="B5698">
        <f t="shared" ref="B5698:B5761" si="1170">bd_site</f>
        <v>0</v>
      </c>
      <c r="C5698">
        <f t="shared" ref="C5698:C5761" si="1171">bd_placement</f>
        <v>0</v>
      </c>
      <c r="D5698">
        <f t="shared" ref="D5698:D5761" si="1172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3">bd_ad</f>
        <v>0</v>
      </c>
      <c r="G5698">
        <f t="shared" ref="G5698:G5761" si="1174">bd_adid</f>
        <v>0</v>
      </c>
      <c r="H5698">
        <f t="shared" ref="H5698:H5761" si="1175">bd_creativetype</f>
        <v>0</v>
      </c>
      <c r="I5698">
        <f t="shared" ref="I5698:I5761" si="1176">bd_impression</f>
        <v>0</v>
      </c>
      <c r="J5698">
        <f t="shared" ref="J5698:J5761" si="1177">bd_clicks</f>
        <v>0</v>
      </c>
      <c r="K5698" s="4" t="e">
        <f t="shared" si="1165"/>
        <v>#N/A</v>
      </c>
      <c r="L5698" t="e">
        <f t="shared" si="1166"/>
        <v>#N/A</v>
      </c>
      <c r="M5698" s="4" t="e">
        <f t="shared" si="1167"/>
        <v>#N/A</v>
      </c>
      <c r="N5698" s="4" t="e">
        <f t="shared" si="1168"/>
        <v>#N/A</v>
      </c>
    </row>
    <row r="5699" spans="1:14">
      <c r="A5699">
        <f t="shared" si="1169"/>
        <v>0</v>
      </c>
      <c r="B5699">
        <f t="shared" si="1170"/>
        <v>0</v>
      </c>
      <c r="C5699">
        <f t="shared" si="1171"/>
        <v>0</v>
      </c>
      <c r="D5699">
        <f t="shared" si="1172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3"/>
        <v>0</v>
      </c>
      <c r="G5699">
        <f t="shared" si="1174"/>
        <v>0</v>
      </c>
      <c r="H5699">
        <f t="shared" si="1175"/>
        <v>0</v>
      </c>
      <c r="I5699">
        <f t="shared" si="1176"/>
        <v>0</v>
      </c>
      <c r="J5699">
        <f t="shared" si="1177"/>
        <v>0</v>
      </c>
      <c r="K5699" s="4" t="e">
        <f t="shared" si="1165"/>
        <v>#N/A</v>
      </c>
      <c r="L5699" t="e">
        <f t="shared" si="1166"/>
        <v>#N/A</v>
      </c>
      <c r="M5699" s="4" t="e">
        <f t="shared" si="1167"/>
        <v>#N/A</v>
      </c>
      <c r="N5699" s="4" t="e">
        <f t="shared" si="1168"/>
        <v>#N/A</v>
      </c>
    </row>
    <row r="5700" spans="1:14">
      <c r="A5700">
        <f t="shared" si="1169"/>
        <v>0</v>
      </c>
      <c r="B5700">
        <f t="shared" si="1170"/>
        <v>0</v>
      </c>
      <c r="C5700">
        <f t="shared" si="1171"/>
        <v>0</v>
      </c>
      <c r="D5700">
        <f t="shared" si="1172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3"/>
        <v>0</v>
      </c>
      <c r="G5700">
        <f t="shared" si="1174"/>
        <v>0</v>
      </c>
      <c r="H5700">
        <f t="shared" si="1175"/>
        <v>0</v>
      </c>
      <c r="I5700">
        <f t="shared" si="1176"/>
        <v>0</v>
      </c>
      <c r="J5700">
        <f t="shared" si="1177"/>
        <v>0</v>
      </c>
      <c r="K5700" s="4" t="e">
        <f t="shared" si="1165"/>
        <v>#N/A</v>
      </c>
      <c r="L5700" t="e">
        <f t="shared" si="1166"/>
        <v>#N/A</v>
      </c>
      <c r="M5700" s="4" t="e">
        <f t="shared" si="1167"/>
        <v>#N/A</v>
      </c>
      <c r="N5700" s="4" t="e">
        <f t="shared" si="1168"/>
        <v>#N/A</v>
      </c>
    </row>
    <row r="5701" spans="1:14">
      <c r="A5701">
        <f t="shared" si="1169"/>
        <v>0</v>
      </c>
      <c r="B5701">
        <f t="shared" si="1170"/>
        <v>0</v>
      </c>
      <c r="C5701">
        <f t="shared" si="1171"/>
        <v>0</v>
      </c>
      <c r="D5701">
        <f t="shared" si="1172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3"/>
        <v>0</v>
      </c>
      <c r="G5701">
        <f t="shared" si="1174"/>
        <v>0</v>
      </c>
      <c r="H5701">
        <f t="shared" si="1175"/>
        <v>0</v>
      </c>
      <c r="I5701">
        <f t="shared" si="1176"/>
        <v>0</v>
      </c>
      <c r="J5701">
        <f t="shared" si="1177"/>
        <v>0</v>
      </c>
      <c r="K5701" s="4" t="e">
        <f t="shared" si="1165"/>
        <v>#N/A</v>
      </c>
      <c r="L5701" t="e">
        <f t="shared" si="1166"/>
        <v>#N/A</v>
      </c>
      <c r="M5701" s="4" t="e">
        <f t="shared" si="1167"/>
        <v>#N/A</v>
      </c>
      <c r="N5701" s="4" t="e">
        <f t="shared" si="1168"/>
        <v>#N/A</v>
      </c>
    </row>
    <row r="5702" spans="1:14">
      <c r="A5702">
        <f t="shared" si="1169"/>
        <v>0</v>
      </c>
      <c r="B5702">
        <f t="shared" si="1170"/>
        <v>0</v>
      </c>
      <c r="C5702">
        <f t="shared" si="1171"/>
        <v>0</v>
      </c>
      <c r="D5702">
        <f t="shared" si="1172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3"/>
        <v>0</v>
      </c>
      <c r="G5702">
        <f t="shared" si="1174"/>
        <v>0</v>
      </c>
      <c r="H5702">
        <f t="shared" si="1175"/>
        <v>0</v>
      </c>
      <c r="I5702">
        <f t="shared" si="1176"/>
        <v>0</v>
      </c>
      <c r="J5702">
        <f t="shared" si="1177"/>
        <v>0</v>
      </c>
      <c r="K5702" s="4" t="e">
        <f t="shared" si="1165"/>
        <v>#N/A</v>
      </c>
      <c r="L5702" t="e">
        <f t="shared" si="1166"/>
        <v>#N/A</v>
      </c>
      <c r="M5702" s="4" t="e">
        <f t="shared" si="1167"/>
        <v>#N/A</v>
      </c>
      <c r="N5702" s="4" t="e">
        <f t="shared" si="1168"/>
        <v>#N/A</v>
      </c>
    </row>
    <row r="5703" spans="1:14">
      <c r="A5703">
        <f t="shared" si="1169"/>
        <v>0</v>
      </c>
      <c r="B5703">
        <f t="shared" si="1170"/>
        <v>0</v>
      </c>
      <c r="C5703">
        <f t="shared" si="1171"/>
        <v>0</v>
      </c>
      <c r="D5703">
        <f t="shared" si="1172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3"/>
        <v>0</v>
      </c>
      <c r="G5703">
        <f t="shared" si="1174"/>
        <v>0</v>
      </c>
      <c r="H5703">
        <f t="shared" si="1175"/>
        <v>0</v>
      </c>
      <c r="I5703">
        <f t="shared" si="1176"/>
        <v>0</v>
      </c>
      <c r="J5703">
        <f t="shared" si="1177"/>
        <v>0</v>
      </c>
      <c r="K5703" s="4" t="e">
        <f t="shared" si="1165"/>
        <v>#N/A</v>
      </c>
      <c r="L5703" t="e">
        <f t="shared" si="1166"/>
        <v>#N/A</v>
      </c>
      <c r="M5703" s="4" t="e">
        <f t="shared" si="1167"/>
        <v>#N/A</v>
      </c>
      <c r="N5703" s="4" t="e">
        <f t="shared" si="1168"/>
        <v>#N/A</v>
      </c>
    </row>
    <row r="5704" spans="1:14">
      <c r="A5704">
        <f t="shared" si="1169"/>
        <v>0</v>
      </c>
      <c r="B5704">
        <f t="shared" si="1170"/>
        <v>0</v>
      </c>
      <c r="C5704">
        <f t="shared" si="1171"/>
        <v>0</v>
      </c>
      <c r="D5704">
        <f t="shared" si="1172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3"/>
        <v>0</v>
      </c>
      <c r="G5704">
        <f t="shared" si="1174"/>
        <v>0</v>
      </c>
      <c r="H5704">
        <f t="shared" si="1175"/>
        <v>0</v>
      </c>
      <c r="I5704">
        <f t="shared" si="1176"/>
        <v>0</v>
      </c>
      <c r="J5704">
        <f t="shared" si="1177"/>
        <v>0</v>
      </c>
      <c r="K5704" s="4" t="e">
        <f t="shared" si="1165"/>
        <v>#N/A</v>
      </c>
      <c r="L5704" t="e">
        <f t="shared" si="1166"/>
        <v>#N/A</v>
      </c>
      <c r="M5704" s="4" t="e">
        <f t="shared" si="1167"/>
        <v>#N/A</v>
      </c>
      <c r="N5704" s="4" t="e">
        <f t="shared" si="1168"/>
        <v>#N/A</v>
      </c>
    </row>
    <row r="5705" spans="1:14">
      <c r="A5705">
        <f t="shared" si="1169"/>
        <v>0</v>
      </c>
      <c r="B5705">
        <f t="shared" si="1170"/>
        <v>0</v>
      </c>
      <c r="C5705">
        <f t="shared" si="1171"/>
        <v>0</v>
      </c>
      <c r="D5705">
        <f t="shared" si="1172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3"/>
        <v>0</v>
      </c>
      <c r="G5705">
        <f t="shared" si="1174"/>
        <v>0</v>
      </c>
      <c r="H5705">
        <f t="shared" si="1175"/>
        <v>0</v>
      </c>
      <c r="I5705">
        <f t="shared" si="1176"/>
        <v>0</v>
      </c>
      <c r="J5705">
        <f t="shared" si="1177"/>
        <v>0</v>
      </c>
      <c r="K5705" s="4" t="e">
        <f t="shared" si="1165"/>
        <v>#N/A</v>
      </c>
      <c r="L5705" t="e">
        <f t="shared" si="1166"/>
        <v>#N/A</v>
      </c>
      <c r="M5705" s="4" t="e">
        <f t="shared" si="1167"/>
        <v>#N/A</v>
      </c>
      <c r="N5705" s="4" t="e">
        <f t="shared" si="1168"/>
        <v>#N/A</v>
      </c>
    </row>
    <row r="5706" spans="1:14">
      <c r="A5706">
        <f t="shared" si="1169"/>
        <v>0</v>
      </c>
      <c r="B5706">
        <f t="shared" si="1170"/>
        <v>0</v>
      </c>
      <c r="C5706">
        <f t="shared" si="1171"/>
        <v>0</v>
      </c>
      <c r="D5706">
        <f t="shared" si="1172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3"/>
        <v>0</v>
      </c>
      <c r="G5706">
        <f t="shared" si="1174"/>
        <v>0</v>
      </c>
      <c r="H5706">
        <f t="shared" si="1175"/>
        <v>0</v>
      </c>
      <c r="I5706">
        <f t="shared" si="1176"/>
        <v>0</v>
      </c>
      <c r="J5706">
        <f t="shared" si="1177"/>
        <v>0</v>
      </c>
      <c r="K5706" s="4" t="e">
        <f t="shared" si="1165"/>
        <v>#N/A</v>
      </c>
      <c r="L5706" t="e">
        <f t="shared" si="1166"/>
        <v>#N/A</v>
      </c>
      <c r="M5706" s="4" t="e">
        <f t="shared" si="1167"/>
        <v>#N/A</v>
      </c>
      <c r="N5706" s="4" t="e">
        <f t="shared" si="1168"/>
        <v>#N/A</v>
      </c>
    </row>
    <row r="5707" spans="1:14">
      <c r="A5707">
        <f t="shared" si="1169"/>
        <v>0</v>
      </c>
      <c r="B5707">
        <f t="shared" si="1170"/>
        <v>0</v>
      </c>
      <c r="C5707">
        <f t="shared" si="1171"/>
        <v>0</v>
      </c>
      <c r="D5707">
        <f t="shared" si="1172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3"/>
        <v>0</v>
      </c>
      <c r="G5707">
        <f t="shared" si="1174"/>
        <v>0</v>
      </c>
      <c r="H5707">
        <f t="shared" si="1175"/>
        <v>0</v>
      </c>
      <c r="I5707">
        <f t="shared" si="1176"/>
        <v>0</v>
      </c>
      <c r="J5707">
        <f t="shared" si="1177"/>
        <v>0</v>
      </c>
      <c r="K5707" s="4" t="e">
        <f t="shared" si="1165"/>
        <v>#N/A</v>
      </c>
      <c r="L5707" t="e">
        <f t="shared" si="1166"/>
        <v>#N/A</v>
      </c>
      <c r="M5707" s="4" t="e">
        <f t="shared" si="1167"/>
        <v>#N/A</v>
      </c>
      <c r="N5707" s="4" t="e">
        <f t="shared" si="1168"/>
        <v>#N/A</v>
      </c>
    </row>
    <row r="5708" spans="1:14">
      <c r="A5708">
        <f t="shared" si="1169"/>
        <v>0</v>
      </c>
      <c r="B5708">
        <f t="shared" si="1170"/>
        <v>0</v>
      </c>
      <c r="C5708">
        <f t="shared" si="1171"/>
        <v>0</v>
      </c>
      <c r="D5708">
        <f t="shared" si="1172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3"/>
        <v>0</v>
      </c>
      <c r="G5708">
        <f t="shared" si="1174"/>
        <v>0</v>
      </c>
      <c r="H5708">
        <f t="shared" si="1175"/>
        <v>0</v>
      </c>
      <c r="I5708">
        <f t="shared" si="1176"/>
        <v>0</v>
      </c>
      <c r="J5708">
        <f t="shared" si="1177"/>
        <v>0</v>
      </c>
      <c r="K5708" s="4" t="e">
        <f t="shared" si="1165"/>
        <v>#N/A</v>
      </c>
      <c r="L5708" t="e">
        <f t="shared" si="1166"/>
        <v>#N/A</v>
      </c>
      <c r="M5708" s="4" t="e">
        <f t="shared" si="1167"/>
        <v>#N/A</v>
      </c>
      <c r="N5708" s="4" t="e">
        <f t="shared" si="1168"/>
        <v>#N/A</v>
      </c>
    </row>
    <row r="5709" spans="1:14">
      <c r="A5709">
        <f t="shared" si="1169"/>
        <v>0</v>
      </c>
      <c r="B5709">
        <f t="shared" si="1170"/>
        <v>0</v>
      </c>
      <c r="C5709">
        <f t="shared" si="1171"/>
        <v>0</v>
      </c>
      <c r="D5709">
        <f t="shared" si="1172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3"/>
        <v>0</v>
      </c>
      <c r="G5709">
        <f t="shared" si="1174"/>
        <v>0</v>
      </c>
      <c r="H5709">
        <f t="shared" si="1175"/>
        <v>0</v>
      </c>
      <c r="I5709">
        <f t="shared" si="1176"/>
        <v>0</v>
      </c>
      <c r="J5709">
        <f t="shared" si="1177"/>
        <v>0</v>
      </c>
      <c r="K5709" s="4" t="e">
        <f t="shared" si="1165"/>
        <v>#N/A</v>
      </c>
      <c r="L5709" t="e">
        <f t="shared" si="1166"/>
        <v>#N/A</v>
      </c>
      <c r="M5709" s="4" t="e">
        <f t="shared" si="1167"/>
        <v>#N/A</v>
      </c>
      <c r="N5709" s="4" t="e">
        <f t="shared" si="1168"/>
        <v>#N/A</v>
      </c>
    </row>
    <row r="5710" spans="1:14">
      <c r="A5710">
        <f t="shared" si="1169"/>
        <v>0</v>
      </c>
      <c r="B5710">
        <f t="shared" si="1170"/>
        <v>0</v>
      </c>
      <c r="C5710">
        <f t="shared" si="1171"/>
        <v>0</v>
      </c>
      <c r="D5710">
        <f t="shared" si="1172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3"/>
        <v>0</v>
      </c>
      <c r="G5710">
        <f t="shared" si="1174"/>
        <v>0</v>
      </c>
      <c r="H5710">
        <f t="shared" si="1175"/>
        <v>0</v>
      </c>
      <c r="I5710">
        <f t="shared" si="1176"/>
        <v>0</v>
      </c>
      <c r="J5710">
        <f t="shared" si="1177"/>
        <v>0</v>
      </c>
      <c r="K5710" s="4" t="e">
        <f t="shared" si="1165"/>
        <v>#N/A</v>
      </c>
      <c r="L5710" t="e">
        <f t="shared" si="1166"/>
        <v>#N/A</v>
      </c>
      <c r="M5710" s="4" t="e">
        <f t="shared" si="1167"/>
        <v>#N/A</v>
      </c>
      <c r="N5710" s="4" t="e">
        <f t="shared" si="1168"/>
        <v>#N/A</v>
      </c>
    </row>
    <row r="5711" spans="1:14">
      <c r="A5711">
        <f t="shared" si="1169"/>
        <v>0</v>
      </c>
      <c r="B5711">
        <f t="shared" si="1170"/>
        <v>0</v>
      </c>
      <c r="C5711">
        <f t="shared" si="1171"/>
        <v>0</v>
      </c>
      <c r="D5711">
        <f t="shared" si="1172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3"/>
        <v>0</v>
      </c>
      <c r="G5711">
        <f t="shared" si="1174"/>
        <v>0</v>
      </c>
      <c r="H5711">
        <f t="shared" si="1175"/>
        <v>0</v>
      </c>
      <c r="I5711">
        <f t="shared" si="1176"/>
        <v>0</v>
      </c>
      <c r="J5711">
        <f t="shared" si="1177"/>
        <v>0</v>
      </c>
      <c r="K5711" s="4" t="e">
        <f t="shared" si="1165"/>
        <v>#N/A</v>
      </c>
      <c r="L5711" t="e">
        <f t="shared" si="1166"/>
        <v>#N/A</v>
      </c>
      <c r="M5711" s="4" t="e">
        <f t="shared" si="1167"/>
        <v>#N/A</v>
      </c>
      <c r="N5711" s="4" t="e">
        <f t="shared" si="1168"/>
        <v>#N/A</v>
      </c>
    </row>
    <row r="5712" spans="1:14">
      <c r="A5712">
        <f t="shared" si="1169"/>
        <v>0</v>
      </c>
      <c r="B5712">
        <f t="shared" si="1170"/>
        <v>0</v>
      </c>
      <c r="C5712">
        <f t="shared" si="1171"/>
        <v>0</v>
      </c>
      <c r="D5712">
        <f t="shared" si="1172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3"/>
        <v>0</v>
      </c>
      <c r="G5712">
        <f t="shared" si="1174"/>
        <v>0</v>
      </c>
      <c r="H5712">
        <f t="shared" si="1175"/>
        <v>0</v>
      </c>
      <c r="I5712">
        <f t="shared" si="1176"/>
        <v>0</v>
      </c>
      <c r="J5712">
        <f t="shared" si="1177"/>
        <v>0</v>
      </c>
      <c r="K5712" s="4" t="e">
        <f t="shared" si="1165"/>
        <v>#N/A</v>
      </c>
      <c r="L5712" t="e">
        <f t="shared" si="1166"/>
        <v>#N/A</v>
      </c>
      <c r="M5712" s="4" t="e">
        <f t="shared" si="1167"/>
        <v>#N/A</v>
      </c>
      <c r="N5712" s="4" t="e">
        <f t="shared" si="1168"/>
        <v>#N/A</v>
      </c>
    </row>
    <row r="5713" spans="1:14">
      <c r="A5713">
        <f t="shared" si="1169"/>
        <v>0</v>
      </c>
      <c r="B5713">
        <f t="shared" si="1170"/>
        <v>0</v>
      </c>
      <c r="C5713">
        <f t="shared" si="1171"/>
        <v>0</v>
      </c>
      <c r="D5713">
        <f t="shared" si="1172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3"/>
        <v>0</v>
      </c>
      <c r="G5713">
        <f t="shared" si="1174"/>
        <v>0</v>
      </c>
      <c r="H5713">
        <f t="shared" si="1175"/>
        <v>0</v>
      </c>
      <c r="I5713">
        <f t="shared" si="1176"/>
        <v>0</v>
      </c>
      <c r="J5713">
        <f t="shared" si="1177"/>
        <v>0</v>
      </c>
      <c r="K5713" s="4" t="e">
        <f t="shared" si="1165"/>
        <v>#N/A</v>
      </c>
      <c r="L5713" t="e">
        <f t="shared" si="1166"/>
        <v>#N/A</v>
      </c>
      <c r="M5713" s="4" t="e">
        <f t="shared" si="1167"/>
        <v>#N/A</v>
      </c>
      <c r="N5713" s="4" t="e">
        <f t="shared" si="1168"/>
        <v>#N/A</v>
      </c>
    </row>
    <row r="5714" spans="1:14">
      <c r="A5714">
        <f t="shared" si="1169"/>
        <v>0</v>
      </c>
      <c r="B5714">
        <f t="shared" si="1170"/>
        <v>0</v>
      </c>
      <c r="C5714">
        <f t="shared" si="1171"/>
        <v>0</v>
      </c>
      <c r="D5714">
        <f t="shared" si="1172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3"/>
        <v>0</v>
      </c>
      <c r="G5714">
        <f t="shared" si="1174"/>
        <v>0</v>
      </c>
      <c r="H5714">
        <f t="shared" si="1175"/>
        <v>0</v>
      </c>
      <c r="I5714">
        <f t="shared" si="1176"/>
        <v>0</v>
      </c>
      <c r="J5714">
        <f t="shared" si="1177"/>
        <v>0</v>
      </c>
      <c r="K5714" s="4" t="e">
        <f t="shared" si="1165"/>
        <v>#N/A</v>
      </c>
      <c r="L5714" t="e">
        <f t="shared" si="1166"/>
        <v>#N/A</v>
      </c>
      <c r="M5714" s="4" t="e">
        <f t="shared" si="1167"/>
        <v>#N/A</v>
      </c>
      <c r="N5714" s="4" t="e">
        <f t="shared" si="1168"/>
        <v>#N/A</v>
      </c>
    </row>
    <row r="5715" spans="1:14">
      <c r="A5715">
        <f t="shared" si="1169"/>
        <v>0</v>
      </c>
      <c r="B5715">
        <f t="shared" si="1170"/>
        <v>0</v>
      </c>
      <c r="C5715">
        <f t="shared" si="1171"/>
        <v>0</v>
      </c>
      <c r="D5715">
        <f t="shared" si="1172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3"/>
        <v>0</v>
      </c>
      <c r="G5715">
        <f t="shared" si="1174"/>
        <v>0</v>
      </c>
      <c r="H5715">
        <f t="shared" si="1175"/>
        <v>0</v>
      </c>
      <c r="I5715">
        <f t="shared" si="1176"/>
        <v>0</v>
      </c>
      <c r="J5715">
        <f t="shared" si="1177"/>
        <v>0</v>
      </c>
      <c r="K5715" s="4" t="e">
        <f t="shared" si="1165"/>
        <v>#N/A</v>
      </c>
      <c r="L5715" t="e">
        <f t="shared" si="1166"/>
        <v>#N/A</v>
      </c>
      <c r="M5715" s="4" t="e">
        <f t="shared" si="1167"/>
        <v>#N/A</v>
      </c>
      <c r="N5715" s="4" t="e">
        <f t="shared" si="1168"/>
        <v>#N/A</v>
      </c>
    </row>
    <row r="5716" spans="1:14">
      <c r="A5716">
        <f t="shared" si="1169"/>
        <v>0</v>
      </c>
      <c r="B5716">
        <f t="shared" si="1170"/>
        <v>0</v>
      </c>
      <c r="C5716">
        <f t="shared" si="1171"/>
        <v>0</v>
      </c>
      <c r="D5716">
        <f t="shared" si="1172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3"/>
        <v>0</v>
      </c>
      <c r="G5716">
        <f t="shared" si="1174"/>
        <v>0</v>
      </c>
      <c r="H5716">
        <f t="shared" si="1175"/>
        <v>0</v>
      </c>
      <c r="I5716">
        <f t="shared" si="1176"/>
        <v>0</v>
      </c>
      <c r="J5716">
        <f t="shared" si="1177"/>
        <v>0</v>
      </c>
      <c r="K5716" s="4" t="e">
        <f t="shared" si="1165"/>
        <v>#N/A</v>
      </c>
      <c r="L5716" t="e">
        <f t="shared" si="1166"/>
        <v>#N/A</v>
      </c>
      <c r="M5716" s="4" t="e">
        <f t="shared" si="1167"/>
        <v>#N/A</v>
      </c>
      <c r="N5716" s="4" t="e">
        <f t="shared" si="1168"/>
        <v>#N/A</v>
      </c>
    </row>
    <row r="5717" spans="1:14">
      <c r="A5717">
        <f t="shared" si="1169"/>
        <v>0</v>
      </c>
      <c r="B5717">
        <f t="shared" si="1170"/>
        <v>0</v>
      </c>
      <c r="C5717">
        <f t="shared" si="1171"/>
        <v>0</v>
      </c>
      <c r="D5717">
        <f t="shared" si="1172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3"/>
        <v>0</v>
      </c>
      <c r="G5717">
        <f t="shared" si="1174"/>
        <v>0</v>
      </c>
      <c r="H5717">
        <f t="shared" si="1175"/>
        <v>0</v>
      </c>
      <c r="I5717">
        <f t="shared" si="1176"/>
        <v>0</v>
      </c>
      <c r="J5717">
        <f t="shared" si="1177"/>
        <v>0</v>
      </c>
      <c r="K5717" s="4" t="e">
        <f t="shared" si="1165"/>
        <v>#N/A</v>
      </c>
      <c r="L5717" t="e">
        <f t="shared" si="1166"/>
        <v>#N/A</v>
      </c>
      <c r="M5717" s="4" t="e">
        <f t="shared" si="1167"/>
        <v>#N/A</v>
      </c>
      <c r="N5717" s="4" t="e">
        <f t="shared" si="1168"/>
        <v>#N/A</v>
      </c>
    </row>
    <row r="5718" spans="1:14">
      <c r="A5718">
        <f t="shared" si="1169"/>
        <v>0</v>
      </c>
      <c r="B5718">
        <f t="shared" si="1170"/>
        <v>0</v>
      </c>
      <c r="C5718">
        <f t="shared" si="1171"/>
        <v>0</v>
      </c>
      <c r="D5718">
        <f t="shared" si="1172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3"/>
        <v>0</v>
      </c>
      <c r="G5718">
        <f t="shared" si="1174"/>
        <v>0</v>
      </c>
      <c r="H5718">
        <f t="shared" si="1175"/>
        <v>0</v>
      </c>
      <c r="I5718">
        <f t="shared" si="1176"/>
        <v>0</v>
      </c>
      <c r="J5718">
        <f t="shared" si="1177"/>
        <v>0</v>
      </c>
      <c r="K5718" s="4" t="e">
        <f t="shared" si="1165"/>
        <v>#N/A</v>
      </c>
      <c r="L5718" t="e">
        <f t="shared" si="1166"/>
        <v>#N/A</v>
      </c>
      <c r="M5718" s="4" t="e">
        <f t="shared" si="1167"/>
        <v>#N/A</v>
      </c>
      <c r="N5718" s="4" t="e">
        <f t="shared" si="1168"/>
        <v>#N/A</v>
      </c>
    </row>
    <row r="5719" spans="1:14">
      <c r="A5719">
        <f t="shared" si="1169"/>
        <v>0</v>
      </c>
      <c r="B5719">
        <f t="shared" si="1170"/>
        <v>0</v>
      </c>
      <c r="C5719">
        <f t="shared" si="1171"/>
        <v>0</v>
      </c>
      <c r="D5719">
        <f t="shared" si="1172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3"/>
        <v>0</v>
      </c>
      <c r="G5719">
        <f t="shared" si="1174"/>
        <v>0</v>
      </c>
      <c r="H5719">
        <f t="shared" si="1175"/>
        <v>0</v>
      </c>
      <c r="I5719">
        <f t="shared" si="1176"/>
        <v>0</v>
      </c>
      <c r="J5719">
        <f t="shared" si="1177"/>
        <v>0</v>
      </c>
      <c r="K5719" s="4" t="e">
        <f t="shared" si="1165"/>
        <v>#N/A</v>
      </c>
      <c r="L5719" t="e">
        <f t="shared" si="1166"/>
        <v>#N/A</v>
      </c>
      <c r="M5719" s="4" t="e">
        <f t="shared" si="1167"/>
        <v>#N/A</v>
      </c>
      <c r="N5719" s="4" t="e">
        <f t="shared" si="1168"/>
        <v>#N/A</v>
      </c>
    </row>
    <row r="5720" spans="1:14">
      <c r="A5720">
        <f t="shared" si="1169"/>
        <v>0</v>
      </c>
      <c r="B5720">
        <f t="shared" si="1170"/>
        <v>0</v>
      </c>
      <c r="C5720">
        <f t="shared" si="1171"/>
        <v>0</v>
      </c>
      <c r="D5720">
        <f t="shared" si="1172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3"/>
        <v>0</v>
      </c>
      <c r="G5720">
        <f t="shared" si="1174"/>
        <v>0</v>
      </c>
      <c r="H5720">
        <f t="shared" si="1175"/>
        <v>0</v>
      </c>
      <c r="I5720">
        <f t="shared" si="1176"/>
        <v>0</v>
      </c>
      <c r="J5720">
        <f t="shared" si="1177"/>
        <v>0</v>
      </c>
      <c r="K5720" s="4" t="e">
        <f t="shared" si="1165"/>
        <v>#N/A</v>
      </c>
      <c r="L5720" t="e">
        <f t="shared" si="1166"/>
        <v>#N/A</v>
      </c>
      <c r="M5720" s="4" t="e">
        <f t="shared" si="1167"/>
        <v>#N/A</v>
      </c>
      <c r="N5720" s="4" t="e">
        <f t="shared" si="1168"/>
        <v>#N/A</v>
      </c>
    </row>
    <row r="5721" spans="1:14">
      <c r="A5721">
        <f t="shared" si="1169"/>
        <v>0</v>
      </c>
      <c r="B5721">
        <f t="shared" si="1170"/>
        <v>0</v>
      </c>
      <c r="C5721">
        <f t="shared" si="1171"/>
        <v>0</v>
      </c>
      <c r="D5721">
        <f t="shared" si="1172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3"/>
        <v>0</v>
      </c>
      <c r="G5721">
        <f t="shared" si="1174"/>
        <v>0</v>
      </c>
      <c r="H5721">
        <f t="shared" si="1175"/>
        <v>0</v>
      </c>
      <c r="I5721">
        <f t="shared" si="1176"/>
        <v>0</v>
      </c>
      <c r="J5721">
        <f t="shared" si="1177"/>
        <v>0</v>
      </c>
      <c r="K5721" s="4" t="e">
        <f t="shared" si="1165"/>
        <v>#N/A</v>
      </c>
      <c r="L5721" t="e">
        <f t="shared" si="1166"/>
        <v>#N/A</v>
      </c>
      <c r="M5721" s="4" t="e">
        <f t="shared" si="1167"/>
        <v>#N/A</v>
      </c>
      <c r="N5721" s="4" t="e">
        <f t="shared" si="1168"/>
        <v>#N/A</v>
      </c>
    </row>
    <row r="5722" spans="1:14">
      <c r="A5722">
        <f t="shared" si="1169"/>
        <v>0</v>
      </c>
      <c r="B5722">
        <f t="shared" si="1170"/>
        <v>0</v>
      </c>
      <c r="C5722">
        <f t="shared" si="1171"/>
        <v>0</v>
      </c>
      <c r="D5722">
        <f t="shared" si="1172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3"/>
        <v>0</v>
      </c>
      <c r="G5722">
        <f t="shared" si="1174"/>
        <v>0</v>
      </c>
      <c r="H5722">
        <f t="shared" si="1175"/>
        <v>0</v>
      </c>
      <c r="I5722">
        <f t="shared" si="1176"/>
        <v>0</v>
      </c>
      <c r="J5722">
        <f t="shared" si="1177"/>
        <v>0</v>
      </c>
      <c r="K5722" s="4" t="e">
        <f t="shared" si="1165"/>
        <v>#N/A</v>
      </c>
      <c r="L5722" t="e">
        <f t="shared" si="1166"/>
        <v>#N/A</v>
      </c>
      <c r="M5722" s="4" t="e">
        <f t="shared" si="1167"/>
        <v>#N/A</v>
      </c>
      <c r="N5722" s="4" t="e">
        <f t="shared" si="1168"/>
        <v>#N/A</v>
      </c>
    </row>
    <row r="5723" spans="1:14">
      <c r="A5723">
        <f t="shared" si="1169"/>
        <v>0</v>
      </c>
      <c r="B5723">
        <f t="shared" si="1170"/>
        <v>0</v>
      </c>
      <c r="C5723">
        <f t="shared" si="1171"/>
        <v>0</v>
      </c>
      <c r="D5723">
        <f t="shared" si="1172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3"/>
        <v>0</v>
      </c>
      <c r="G5723">
        <f t="shared" si="1174"/>
        <v>0</v>
      </c>
      <c r="H5723">
        <f t="shared" si="1175"/>
        <v>0</v>
      </c>
      <c r="I5723">
        <f t="shared" si="1176"/>
        <v>0</v>
      </c>
      <c r="J5723">
        <f t="shared" si="1177"/>
        <v>0</v>
      </c>
      <c r="K5723" s="4" t="e">
        <f t="shared" si="1165"/>
        <v>#N/A</v>
      </c>
      <c r="L5723" t="e">
        <f t="shared" si="1166"/>
        <v>#N/A</v>
      </c>
      <c r="M5723" s="4" t="e">
        <f t="shared" si="1167"/>
        <v>#N/A</v>
      </c>
      <c r="N5723" s="4" t="e">
        <f t="shared" si="1168"/>
        <v>#N/A</v>
      </c>
    </row>
    <row r="5724" spans="1:14">
      <c r="A5724">
        <f t="shared" si="1169"/>
        <v>0</v>
      </c>
      <c r="B5724">
        <f t="shared" si="1170"/>
        <v>0</v>
      </c>
      <c r="C5724">
        <f t="shared" si="1171"/>
        <v>0</v>
      </c>
      <c r="D5724">
        <f t="shared" si="1172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3"/>
        <v>0</v>
      </c>
      <c r="G5724">
        <f t="shared" si="1174"/>
        <v>0</v>
      </c>
      <c r="H5724">
        <f t="shared" si="1175"/>
        <v>0</v>
      </c>
      <c r="I5724">
        <f t="shared" si="1176"/>
        <v>0</v>
      </c>
      <c r="J5724">
        <f t="shared" si="1177"/>
        <v>0</v>
      </c>
      <c r="K5724" s="4" t="e">
        <f t="shared" si="1165"/>
        <v>#N/A</v>
      </c>
      <c r="L5724" t="e">
        <f t="shared" si="1166"/>
        <v>#N/A</v>
      </c>
      <c r="M5724" s="4" t="e">
        <f t="shared" si="1167"/>
        <v>#N/A</v>
      </c>
      <c r="N5724" s="4" t="e">
        <f t="shared" si="1168"/>
        <v>#N/A</v>
      </c>
    </row>
    <row r="5725" spans="1:14">
      <c r="A5725">
        <f t="shared" si="1169"/>
        <v>0</v>
      </c>
      <c r="B5725">
        <f t="shared" si="1170"/>
        <v>0</v>
      </c>
      <c r="C5725">
        <f t="shared" si="1171"/>
        <v>0</v>
      </c>
      <c r="D5725">
        <f t="shared" si="1172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3"/>
        <v>0</v>
      </c>
      <c r="G5725">
        <f t="shared" si="1174"/>
        <v>0</v>
      </c>
      <c r="H5725">
        <f t="shared" si="1175"/>
        <v>0</v>
      </c>
      <c r="I5725">
        <f t="shared" si="1176"/>
        <v>0</v>
      </c>
      <c r="J5725">
        <f t="shared" si="1177"/>
        <v>0</v>
      </c>
      <c r="K5725" s="4" t="e">
        <f t="shared" si="1165"/>
        <v>#N/A</v>
      </c>
      <c r="L5725" t="e">
        <f t="shared" si="1166"/>
        <v>#N/A</v>
      </c>
      <c r="M5725" s="4" t="e">
        <f t="shared" si="1167"/>
        <v>#N/A</v>
      </c>
      <c r="N5725" s="4" t="e">
        <f t="shared" si="1168"/>
        <v>#N/A</v>
      </c>
    </row>
    <row r="5726" spans="1:14">
      <c r="A5726">
        <f t="shared" si="1169"/>
        <v>0</v>
      </c>
      <c r="B5726">
        <f t="shared" si="1170"/>
        <v>0</v>
      </c>
      <c r="C5726">
        <f t="shared" si="1171"/>
        <v>0</v>
      </c>
      <c r="D5726">
        <f t="shared" si="1172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3"/>
        <v>0</v>
      </c>
      <c r="G5726">
        <f t="shared" si="1174"/>
        <v>0</v>
      </c>
      <c r="H5726">
        <f t="shared" si="1175"/>
        <v>0</v>
      </c>
      <c r="I5726">
        <f t="shared" si="1176"/>
        <v>0</v>
      </c>
      <c r="J5726">
        <f t="shared" si="1177"/>
        <v>0</v>
      </c>
      <c r="K5726" s="4" t="e">
        <f t="shared" si="1165"/>
        <v>#N/A</v>
      </c>
      <c r="L5726" t="e">
        <f t="shared" si="1166"/>
        <v>#N/A</v>
      </c>
      <c r="M5726" s="4" t="e">
        <f t="shared" si="1167"/>
        <v>#N/A</v>
      </c>
      <c r="N5726" s="4" t="e">
        <f t="shared" si="1168"/>
        <v>#N/A</v>
      </c>
    </row>
    <row r="5727" spans="1:14">
      <c r="A5727">
        <f t="shared" si="1169"/>
        <v>0</v>
      </c>
      <c r="B5727">
        <f t="shared" si="1170"/>
        <v>0</v>
      </c>
      <c r="C5727">
        <f t="shared" si="1171"/>
        <v>0</v>
      </c>
      <c r="D5727">
        <f t="shared" si="1172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3"/>
        <v>0</v>
      </c>
      <c r="G5727">
        <f t="shared" si="1174"/>
        <v>0</v>
      </c>
      <c r="H5727">
        <f t="shared" si="1175"/>
        <v>0</v>
      </c>
      <c r="I5727">
        <f t="shared" si="1176"/>
        <v>0</v>
      </c>
      <c r="J5727">
        <f t="shared" si="1177"/>
        <v>0</v>
      </c>
      <c r="K5727" s="4" t="e">
        <f t="shared" si="1165"/>
        <v>#N/A</v>
      </c>
      <c r="L5727" t="e">
        <f t="shared" si="1166"/>
        <v>#N/A</v>
      </c>
      <c r="M5727" s="4" t="e">
        <f t="shared" si="1167"/>
        <v>#N/A</v>
      </c>
      <c r="N5727" s="4" t="e">
        <f t="shared" si="1168"/>
        <v>#N/A</v>
      </c>
    </row>
    <row r="5728" spans="1:14">
      <c r="A5728">
        <f t="shared" si="1169"/>
        <v>0</v>
      </c>
      <c r="B5728">
        <f t="shared" si="1170"/>
        <v>0</v>
      </c>
      <c r="C5728">
        <f t="shared" si="1171"/>
        <v>0</v>
      </c>
      <c r="D5728">
        <f t="shared" si="1172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3"/>
        <v>0</v>
      </c>
      <c r="G5728">
        <f t="shared" si="1174"/>
        <v>0</v>
      </c>
      <c r="H5728">
        <f t="shared" si="1175"/>
        <v>0</v>
      </c>
      <c r="I5728">
        <f t="shared" si="1176"/>
        <v>0</v>
      </c>
      <c r="J5728">
        <f t="shared" si="1177"/>
        <v>0</v>
      </c>
      <c r="K5728" s="4" t="e">
        <f t="shared" si="1165"/>
        <v>#N/A</v>
      </c>
      <c r="L5728" t="e">
        <f t="shared" si="1166"/>
        <v>#N/A</v>
      </c>
      <c r="M5728" s="4" t="e">
        <f t="shared" si="1167"/>
        <v>#N/A</v>
      </c>
      <c r="N5728" s="4" t="e">
        <f t="shared" si="1168"/>
        <v>#N/A</v>
      </c>
    </row>
    <row r="5729" spans="1:14">
      <c r="A5729">
        <f t="shared" si="1169"/>
        <v>0</v>
      </c>
      <c r="B5729">
        <f t="shared" si="1170"/>
        <v>0</v>
      </c>
      <c r="C5729">
        <f t="shared" si="1171"/>
        <v>0</v>
      </c>
      <c r="D5729">
        <f t="shared" si="1172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3"/>
        <v>0</v>
      </c>
      <c r="G5729">
        <f t="shared" si="1174"/>
        <v>0</v>
      </c>
      <c r="H5729">
        <f t="shared" si="1175"/>
        <v>0</v>
      </c>
      <c r="I5729">
        <f t="shared" si="1176"/>
        <v>0</v>
      </c>
      <c r="J5729">
        <f t="shared" si="1177"/>
        <v>0</v>
      </c>
      <c r="K5729" s="4" t="e">
        <f t="shared" si="1165"/>
        <v>#N/A</v>
      </c>
      <c r="L5729" t="e">
        <f t="shared" si="1166"/>
        <v>#N/A</v>
      </c>
      <c r="M5729" s="4" t="e">
        <f t="shared" si="1167"/>
        <v>#N/A</v>
      </c>
      <c r="N5729" s="4" t="e">
        <f t="shared" si="1168"/>
        <v>#N/A</v>
      </c>
    </row>
    <row r="5730" spans="1:14">
      <c r="A5730">
        <f t="shared" si="1169"/>
        <v>0</v>
      </c>
      <c r="B5730">
        <f t="shared" si="1170"/>
        <v>0</v>
      </c>
      <c r="C5730">
        <f t="shared" si="1171"/>
        <v>0</v>
      </c>
      <c r="D5730">
        <f t="shared" si="1172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3"/>
        <v>0</v>
      </c>
      <c r="G5730">
        <f t="shared" si="1174"/>
        <v>0</v>
      </c>
      <c r="H5730">
        <f t="shared" si="1175"/>
        <v>0</v>
      </c>
      <c r="I5730">
        <f t="shared" si="1176"/>
        <v>0</v>
      </c>
      <c r="J5730">
        <f t="shared" si="1177"/>
        <v>0</v>
      </c>
      <c r="K5730" s="4" t="e">
        <f t="shared" si="1165"/>
        <v>#N/A</v>
      </c>
      <c r="L5730" t="e">
        <f t="shared" si="1166"/>
        <v>#N/A</v>
      </c>
      <c r="M5730" s="4" t="e">
        <f t="shared" si="1167"/>
        <v>#N/A</v>
      </c>
      <c r="N5730" s="4" t="e">
        <f t="shared" si="1168"/>
        <v>#N/A</v>
      </c>
    </row>
    <row r="5731" spans="1:14">
      <c r="A5731">
        <f t="shared" si="1169"/>
        <v>0</v>
      </c>
      <c r="B5731">
        <f t="shared" si="1170"/>
        <v>0</v>
      </c>
      <c r="C5731">
        <f t="shared" si="1171"/>
        <v>0</v>
      </c>
      <c r="D5731">
        <f t="shared" si="1172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3"/>
        <v>0</v>
      </c>
      <c r="G5731">
        <f t="shared" si="1174"/>
        <v>0</v>
      </c>
      <c r="H5731">
        <f t="shared" si="1175"/>
        <v>0</v>
      </c>
      <c r="I5731">
        <f t="shared" si="1176"/>
        <v>0</v>
      </c>
      <c r="J5731">
        <f t="shared" si="1177"/>
        <v>0</v>
      </c>
      <c r="K5731" s="4" t="e">
        <f t="shared" si="1165"/>
        <v>#N/A</v>
      </c>
      <c r="L5731" t="e">
        <f t="shared" si="1166"/>
        <v>#N/A</v>
      </c>
      <c r="M5731" s="4" t="e">
        <f t="shared" si="1167"/>
        <v>#N/A</v>
      </c>
      <c r="N5731" s="4" t="e">
        <f t="shared" si="1168"/>
        <v>#N/A</v>
      </c>
    </row>
    <row r="5732" spans="1:14">
      <c r="A5732">
        <f t="shared" si="1169"/>
        <v>0</v>
      </c>
      <c r="B5732">
        <f t="shared" si="1170"/>
        <v>0</v>
      </c>
      <c r="C5732">
        <f t="shared" si="1171"/>
        <v>0</v>
      </c>
      <c r="D5732">
        <f t="shared" si="1172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3"/>
        <v>0</v>
      </c>
      <c r="G5732">
        <f t="shared" si="1174"/>
        <v>0</v>
      </c>
      <c r="H5732">
        <f t="shared" si="1175"/>
        <v>0</v>
      </c>
      <c r="I5732">
        <f t="shared" si="1176"/>
        <v>0</v>
      </c>
      <c r="J5732">
        <f t="shared" si="1177"/>
        <v>0</v>
      </c>
      <c r="K5732" s="4" t="e">
        <f t="shared" si="1165"/>
        <v>#N/A</v>
      </c>
      <c r="L5732" t="e">
        <f t="shared" si="1166"/>
        <v>#N/A</v>
      </c>
      <c r="M5732" s="4" t="e">
        <f t="shared" si="1167"/>
        <v>#N/A</v>
      </c>
      <c r="N5732" s="4" t="e">
        <f t="shared" si="1168"/>
        <v>#N/A</v>
      </c>
    </row>
    <row r="5733" spans="1:14">
      <c r="A5733">
        <f t="shared" si="1169"/>
        <v>0</v>
      </c>
      <c r="B5733">
        <f t="shared" si="1170"/>
        <v>0</v>
      </c>
      <c r="C5733">
        <f t="shared" si="1171"/>
        <v>0</v>
      </c>
      <c r="D5733">
        <f t="shared" si="1172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3"/>
        <v>0</v>
      </c>
      <c r="G5733">
        <f t="shared" si="1174"/>
        <v>0</v>
      </c>
      <c r="H5733">
        <f t="shared" si="1175"/>
        <v>0</v>
      </c>
      <c r="I5733">
        <f t="shared" si="1176"/>
        <v>0</v>
      </c>
      <c r="J5733">
        <f t="shared" si="1177"/>
        <v>0</v>
      </c>
      <c r="K5733" s="4" t="e">
        <f t="shared" si="1165"/>
        <v>#N/A</v>
      </c>
      <c r="L5733" t="e">
        <f t="shared" si="1166"/>
        <v>#N/A</v>
      </c>
      <c r="M5733" s="4" t="e">
        <f t="shared" si="1167"/>
        <v>#N/A</v>
      </c>
      <c r="N5733" s="4" t="e">
        <f t="shared" si="1168"/>
        <v>#N/A</v>
      </c>
    </row>
    <row r="5734" spans="1:14">
      <c r="A5734">
        <f t="shared" si="1169"/>
        <v>0</v>
      </c>
      <c r="B5734">
        <f t="shared" si="1170"/>
        <v>0</v>
      </c>
      <c r="C5734">
        <f t="shared" si="1171"/>
        <v>0</v>
      </c>
      <c r="D5734">
        <f t="shared" si="1172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3"/>
        <v>0</v>
      </c>
      <c r="G5734">
        <f t="shared" si="1174"/>
        <v>0</v>
      </c>
      <c r="H5734">
        <f t="shared" si="1175"/>
        <v>0</v>
      </c>
      <c r="I5734">
        <f t="shared" si="1176"/>
        <v>0</v>
      </c>
      <c r="J5734">
        <f t="shared" si="1177"/>
        <v>0</v>
      </c>
      <c r="K5734" s="4" t="e">
        <f t="shared" si="1165"/>
        <v>#N/A</v>
      </c>
      <c r="L5734" t="e">
        <f t="shared" si="1166"/>
        <v>#N/A</v>
      </c>
      <c r="M5734" s="4" t="e">
        <f t="shared" si="1167"/>
        <v>#N/A</v>
      </c>
      <c r="N5734" s="4" t="e">
        <f t="shared" si="1168"/>
        <v>#N/A</v>
      </c>
    </row>
    <row r="5735" spans="1:14">
      <c r="A5735">
        <f t="shared" si="1169"/>
        <v>0</v>
      </c>
      <c r="B5735">
        <f t="shared" si="1170"/>
        <v>0</v>
      </c>
      <c r="C5735">
        <f t="shared" si="1171"/>
        <v>0</v>
      </c>
      <c r="D5735">
        <f t="shared" si="1172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3"/>
        <v>0</v>
      </c>
      <c r="G5735">
        <f t="shared" si="1174"/>
        <v>0</v>
      </c>
      <c r="H5735">
        <f t="shared" si="1175"/>
        <v>0</v>
      </c>
      <c r="I5735">
        <f t="shared" si="1176"/>
        <v>0</v>
      </c>
      <c r="J5735">
        <f t="shared" si="1177"/>
        <v>0</v>
      </c>
      <c r="K5735" s="4" t="e">
        <f t="shared" si="1165"/>
        <v>#N/A</v>
      </c>
      <c r="L5735" t="e">
        <f t="shared" si="1166"/>
        <v>#N/A</v>
      </c>
      <c r="M5735" s="4" t="e">
        <f t="shared" si="1167"/>
        <v>#N/A</v>
      </c>
      <c r="N5735" s="4" t="e">
        <f t="shared" si="1168"/>
        <v>#N/A</v>
      </c>
    </row>
    <row r="5736" spans="1:14">
      <c r="A5736">
        <f t="shared" si="1169"/>
        <v>0</v>
      </c>
      <c r="B5736">
        <f t="shared" si="1170"/>
        <v>0</v>
      </c>
      <c r="C5736">
        <f t="shared" si="1171"/>
        <v>0</v>
      </c>
      <c r="D5736">
        <f t="shared" si="1172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3"/>
        <v>0</v>
      </c>
      <c r="G5736">
        <f t="shared" si="1174"/>
        <v>0</v>
      </c>
      <c r="H5736">
        <f t="shared" si="1175"/>
        <v>0</v>
      </c>
      <c r="I5736">
        <f t="shared" si="1176"/>
        <v>0</v>
      </c>
      <c r="J5736">
        <f t="shared" si="1177"/>
        <v>0</v>
      </c>
      <c r="K5736" s="4" t="e">
        <f t="shared" si="1165"/>
        <v>#N/A</v>
      </c>
      <c r="L5736" t="e">
        <f t="shared" si="1166"/>
        <v>#N/A</v>
      </c>
      <c r="M5736" s="4" t="e">
        <f t="shared" si="1167"/>
        <v>#N/A</v>
      </c>
      <c r="N5736" s="4" t="e">
        <f t="shared" si="1168"/>
        <v>#N/A</v>
      </c>
    </row>
    <row r="5737" spans="1:14">
      <c r="A5737">
        <f t="shared" si="1169"/>
        <v>0</v>
      </c>
      <c r="B5737">
        <f t="shared" si="1170"/>
        <v>0</v>
      </c>
      <c r="C5737">
        <f t="shared" si="1171"/>
        <v>0</v>
      </c>
      <c r="D5737">
        <f t="shared" si="1172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3"/>
        <v>0</v>
      </c>
      <c r="G5737">
        <f t="shared" si="1174"/>
        <v>0</v>
      </c>
      <c r="H5737">
        <f t="shared" si="1175"/>
        <v>0</v>
      </c>
      <c r="I5737">
        <f t="shared" si="1176"/>
        <v>0</v>
      </c>
      <c r="J5737">
        <f t="shared" si="1177"/>
        <v>0</v>
      </c>
      <c r="K5737" s="4" t="e">
        <f t="shared" si="1165"/>
        <v>#N/A</v>
      </c>
      <c r="L5737" t="e">
        <f t="shared" si="1166"/>
        <v>#N/A</v>
      </c>
      <c r="M5737" s="4" t="e">
        <f t="shared" si="1167"/>
        <v>#N/A</v>
      </c>
      <c r="N5737" s="4" t="e">
        <f t="shared" si="1168"/>
        <v>#N/A</v>
      </c>
    </row>
    <row r="5738" spans="1:14">
      <c r="A5738">
        <f t="shared" si="1169"/>
        <v>0</v>
      </c>
      <c r="B5738">
        <f t="shared" si="1170"/>
        <v>0</v>
      </c>
      <c r="C5738">
        <f t="shared" si="1171"/>
        <v>0</v>
      </c>
      <c r="D5738">
        <f t="shared" si="1172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3"/>
        <v>0</v>
      </c>
      <c r="G5738">
        <f t="shared" si="1174"/>
        <v>0</v>
      </c>
      <c r="H5738">
        <f t="shared" si="1175"/>
        <v>0</v>
      </c>
      <c r="I5738">
        <f t="shared" si="1176"/>
        <v>0</v>
      </c>
      <c r="J5738">
        <f t="shared" si="1177"/>
        <v>0</v>
      </c>
      <c r="K5738" s="4" t="e">
        <f t="shared" si="1165"/>
        <v>#N/A</v>
      </c>
      <c r="L5738" t="e">
        <f t="shared" si="1166"/>
        <v>#N/A</v>
      </c>
      <c r="M5738" s="4" t="e">
        <f t="shared" si="1167"/>
        <v>#N/A</v>
      </c>
      <c r="N5738" s="4" t="e">
        <f t="shared" si="1168"/>
        <v>#N/A</v>
      </c>
    </row>
    <row r="5739" spans="1:14">
      <c r="A5739">
        <f t="shared" si="1169"/>
        <v>0</v>
      </c>
      <c r="B5739">
        <f t="shared" si="1170"/>
        <v>0</v>
      </c>
      <c r="C5739">
        <f t="shared" si="1171"/>
        <v>0</v>
      </c>
      <c r="D5739">
        <f t="shared" si="1172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3"/>
        <v>0</v>
      </c>
      <c r="G5739">
        <f t="shared" si="1174"/>
        <v>0</v>
      </c>
      <c r="H5739">
        <f t="shared" si="1175"/>
        <v>0</v>
      </c>
      <c r="I5739">
        <f t="shared" si="1176"/>
        <v>0</v>
      </c>
      <c r="J5739">
        <f t="shared" si="1177"/>
        <v>0</v>
      </c>
      <c r="K5739" s="4" t="e">
        <f t="shared" si="1165"/>
        <v>#N/A</v>
      </c>
      <c r="L5739" t="e">
        <f t="shared" si="1166"/>
        <v>#N/A</v>
      </c>
      <c r="M5739" s="4" t="e">
        <f t="shared" si="1167"/>
        <v>#N/A</v>
      </c>
      <c r="N5739" s="4" t="e">
        <f t="shared" si="1168"/>
        <v>#N/A</v>
      </c>
    </row>
    <row r="5740" spans="1:14">
      <c r="A5740">
        <f t="shared" si="1169"/>
        <v>0</v>
      </c>
      <c r="B5740">
        <f t="shared" si="1170"/>
        <v>0</v>
      </c>
      <c r="C5740">
        <f t="shared" si="1171"/>
        <v>0</v>
      </c>
      <c r="D5740">
        <f t="shared" si="1172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3"/>
        <v>0</v>
      </c>
      <c r="G5740">
        <f t="shared" si="1174"/>
        <v>0</v>
      </c>
      <c r="H5740">
        <f t="shared" si="1175"/>
        <v>0</v>
      </c>
      <c r="I5740">
        <f t="shared" si="1176"/>
        <v>0</v>
      </c>
      <c r="J5740">
        <f t="shared" si="1177"/>
        <v>0</v>
      </c>
      <c r="K5740" s="4" t="e">
        <f t="shared" si="1165"/>
        <v>#N/A</v>
      </c>
      <c r="L5740" t="e">
        <f t="shared" si="1166"/>
        <v>#N/A</v>
      </c>
      <c r="M5740" s="4" t="e">
        <f t="shared" si="1167"/>
        <v>#N/A</v>
      </c>
      <c r="N5740" s="4" t="e">
        <f t="shared" si="1168"/>
        <v>#N/A</v>
      </c>
    </row>
    <row r="5741" spans="1:14">
      <c r="A5741">
        <f t="shared" si="1169"/>
        <v>0</v>
      </c>
      <c r="B5741">
        <f t="shared" si="1170"/>
        <v>0</v>
      </c>
      <c r="C5741">
        <f t="shared" si="1171"/>
        <v>0</v>
      </c>
      <c r="D5741">
        <f t="shared" si="1172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3"/>
        <v>0</v>
      </c>
      <c r="G5741">
        <f t="shared" si="1174"/>
        <v>0</v>
      </c>
      <c r="H5741">
        <f t="shared" si="1175"/>
        <v>0</v>
      </c>
      <c r="I5741">
        <f t="shared" si="1176"/>
        <v>0</v>
      </c>
      <c r="J5741">
        <f t="shared" si="1177"/>
        <v>0</v>
      </c>
      <c r="K5741" s="4" t="e">
        <f t="shared" si="1165"/>
        <v>#N/A</v>
      </c>
      <c r="L5741" t="e">
        <f t="shared" si="1166"/>
        <v>#N/A</v>
      </c>
      <c r="M5741" s="4" t="e">
        <f t="shared" si="1167"/>
        <v>#N/A</v>
      </c>
      <c r="N5741" s="4" t="e">
        <f t="shared" si="1168"/>
        <v>#N/A</v>
      </c>
    </row>
    <row r="5742" spans="1:14">
      <c r="A5742">
        <f t="shared" si="1169"/>
        <v>0</v>
      </c>
      <c r="B5742">
        <f t="shared" si="1170"/>
        <v>0</v>
      </c>
      <c r="C5742">
        <f t="shared" si="1171"/>
        <v>0</v>
      </c>
      <c r="D5742">
        <f t="shared" si="1172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3"/>
        <v>0</v>
      </c>
      <c r="G5742">
        <f t="shared" si="1174"/>
        <v>0</v>
      </c>
      <c r="H5742">
        <f t="shared" si="1175"/>
        <v>0</v>
      </c>
      <c r="I5742">
        <f t="shared" si="1176"/>
        <v>0</v>
      </c>
      <c r="J5742">
        <f t="shared" si="1177"/>
        <v>0</v>
      </c>
      <c r="K5742" s="4" t="e">
        <f t="shared" si="1165"/>
        <v>#N/A</v>
      </c>
      <c r="L5742" t="e">
        <f t="shared" si="1166"/>
        <v>#N/A</v>
      </c>
      <c r="M5742" s="4" t="e">
        <f t="shared" si="1167"/>
        <v>#N/A</v>
      </c>
      <c r="N5742" s="4" t="e">
        <f t="shared" si="1168"/>
        <v>#N/A</v>
      </c>
    </row>
    <row r="5743" spans="1:14">
      <c r="A5743">
        <f t="shared" si="1169"/>
        <v>0</v>
      </c>
      <c r="B5743">
        <f t="shared" si="1170"/>
        <v>0</v>
      </c>
      <c r="C5743">
        <f t="shared" si="1171"/>
        <v>0</v>
      </c>
      <c r="D5743">
        <f t="shared" si="1172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3"/>
        <v>0</v>
      </c>
      <c r="G5743">
        <f t="shared" si="1174"/>
        <v>0</v>
      </c>
      <c r="H5743">
        <f t="shared" si="1175"/>
        <v>0</v>
      </c>
      <c r="I5743">
        <f t="shared" si="1176"/>
        <v>0</v>
      </c>
      <c r="J5743">
        <f t="shared" si="1177"/>
        <v>0</v>
      </c>
      <c r="K5743" s="4" t="e">
        <f t="shared" si="1165"/>
        <v>#N/A</v>
      </c>
      <c r="L5743" t="e">
        <f t="shared" si="1166"/>
        <v>#N/A</v>
      </c>
      <c r="M5743" s="4" t="e">
        <f t="shared" si="1167"/>
        <v>#N/A</v>
      </c>
      <c r="N5743" s="4" t="e">
        <f t="shared" si="1168"/>
        <v>#N/A</v>
      </c>
    </row>
    <row r="5744" spans="1:14">
      <c r="A5744">
        <f t="shared" si="1169"/>
        <v>0</v>
      </c>
      <c r="B5744">
        <f t="shared" si="1170"/>
        <v>0</v>
      </c>
      <c r="C5744">
        <f t="shared" si="1171"/>
        <v>0</v>
      </c>
      <c r="D5744">
        <f t="shared" si="1172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3"/>
        <v>0</v>
      </c>
      <c r="G5744">
        <f t="shared" si="1174"/>
        <v>0</v>
      </c>
      <c r="H5744">
        <f t="shared" si="1175"/>
        <v>0</v>
      </c>
      <c r="I5744">
        <f t="shared" si="1176"/>
        <v>0</v>
      </c>
      <c r="J5744">
        <f t="shared" si="1177"/>
        <v>0</v>
      </c>
      <c r="K5744" s="4" t="e">
        <f t="shared" si="1165"/>
        <v>#N/A</v>
      </c>
      <c r="L5744" t="e">
        <f t="shared" si="1166"/>
        <v>#N/A</v>
      </c>
      <c r="M5744" s="4" t="e">
        <f t="shared" si="1167"/>
        <v>#N/A</v>
      </c>
      <c r="N5744" s="4" t="e">
        <f t="shared" si="1168"/>
        <v>#N/A</v>
      </c>
    </row>
    <row r="5745" spans="1:14">
      <c r="A5745">
        <f t="shared" si="1169"/>
        <v>0</v>
      </c>
      <c r="B5745">
        <f t="shared" si="1170"/>
        <v>0</v>
      </c>
      <c r="C5745">
        <f t="shared" si="1171"/>
        <v>0</v>
      </c>
      <c r="D5745">
        <f t="shared" si="1172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3"/>
        <v>0</v>
      </c>
      <c r="G5745">
        <f t="shared" si="1174"/>
        <v>0</v>
      </c>
      <c r="H5745">
        <f t="shared" si="1175"/>
        <v>0</v>
      </c>
      <c r="I5745">
        <f t="shared" si="1176"/>
        <v>0</v>
      </c>
      <c r="J5745">
        <f t="shared" si="1177"/>
        <v>0</v>
      </c>
      <c r="K5745" s="4" t="e">
        <f t="shared" si="1165"/>
        <v>#N/A</v>
      </c>
      <c r="L5745" t="e">
        <f t="shared" si="1166"/>
        <v>#N/A</v>
      </c>
      <c r="M5745" s="4" t="e">
        <f t="shared" si="1167"/>
        <v>#N/A</v>
      </c>
      <c r="N5745" s="4" t="e">
        <f t="shared" si="1168"/>
        <v>#N/A</v>
      </c>
    </row>
    <row r="5746" spans="1:14">
      <c r="A5746">
        <f t="shared" si="1169"/>
        <v>0</v>
      </c>
      <c r="B5746">
        <f t="shared" si="1170"/>
        <v>0</v>
      </c>
      <c r="C5746">
        <f t="shared" si="1171"/>
        <v>0</v>
      </c>
      <c r="D5746">
        <f t="shared" si="1172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3"/>
        <v>0</v>
      </c>
      <c r="G5746">
        <f t="shared" si="1174"/>
        <v>0</v>
      </c>
      <c r="H5746">
        <f t="shared" si="1175"/>
        <v>0</v>
      </c>
      <c r="I5746">
        <f t="shared" si="1176"/>
        <v>0</v>
      </c>
      <c r="J5746">
        <f t="shared" si="1177"/>
        <v>0</v>
      </c>
      <c r="K5746" s="4" t="e">
        <f t="shared" si="1165"/>
        <v>#N/A</v>
      </c>
      <c r="L5746" t="e">
        <f t="shared" si="1166"/>
        <v>#N/A</v>
      </c>
      <c r="M5746" s="4" t="e">
        <f t="shared" si="1167"/>
        <v>#N/A</v>
      </c>
      <c r="N5746" s="4" t="e">
        <f t="shared" si="1168"/>
        <v>#N/A</v>
      </c>
    </row>
    <row r="5747" spans="1:14">
      <c r="A5747">
        <f t="shared" si="1169"/>
        <v>0</v>
      </c>
      <c r="B5747">
        <f t="shared" si="1170"/>
        <v>0</v>
      </c>
      <c r="C5747">
        <f t="shared" si="1171"/>
        <v>0</v>
      </c>
      <c r="D5747">
        <f t="shared" si="1172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3"/>
        <v>0</v>
      </c>
      <c r="G5747">
        <f t="shared" si="1174"/>
        <v>0</v>
      </c>
      <c r="H5747">
        <f t="shared" si="1175"/>
        <v>0</v>
      </c>
      <c r="I5747">
        <f t="shared" si="1176"/>
        <v>0</v>
      </c>
      <c r="J5747">
        <f t="shared" si="1177"/>
        <v>0</v>
      </c>
      <c r="K5747" s="4" t="e">
        <f t="shared" si="1165"/>
        <v>#N/A</v>
      </c>
      <c r="L5747" t="e">
        <f t="shared" si="1166"/>
        <v>#N/A</v>
      </c>
      <c r="M5747" s="4" t="e">
        <f t="shared" si="1167"/>
        <v>#N/A</v>
      </c>
      <c r="N5747" s="4" t="e">
        <f t="shared" si="1168"/>
        <v>#N/A</v>
      </c>
    </row>
    <row r="5748" spans="1:14">
      <c r="A5748">
        <f t="shared" si="1169"/>
        <v>0</v>
      </c>
      <c r="B5748">
        <f t="shared" si="1170"/>
        <v>0</v>
      </c>
      <c r="C5748">
        <f t="shared" si="1171"/>
        <v>0</v>
      </c>
      <c r="D5748">
        <f t="shared" si="1172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3"/>
        <v>0</v>
      </c>
      <c r="G5748">
        <f t="shared" si="1174"/>
        <v>0</v>
      </c>
      <c r="H5748">
        <f t="shared" si="1175"/>
        <v>0</v>
      </c>
      <c r="I5748">
        <f t="shared" si="1176"/>
        <v>0</v>
      </c>
      <c r="J5748">
        <f t="shared" si="1177"/>
        <v>0</v>
      </c>
      <c r="K5748" s="4" t="e">
        <f t="shared" si="1165"/>
        <v>#N/A</v>
      </c>
      <c r="L5748" t="e">
        <f t="shared" si="1166"/>
        <v>#N/A</v>
      </c>
      <c r="M5748" s="4" t="e">
        <f t="shared" si="1167"/>
        <v>#N/A</v>
      </c>
      <c r="N5748" s="4" t="e">
        <f t="shared" si="1168"/>
        <v>#N/A</v>
      </c>
    </row>
    <row r="5749" spans="1:14">
      <c r="A5749">
        <f t="shared" si="1169"/>
        <v>0</v>
      </c>
      <c r="B5749">
        <f t="shared" si="1170"/>
        <v>0</v>
      </c>
      <c r="C5749">
        <f t="shared" si="1171"/>
        <v>0</v>
      </c>
      <c r="D5749">
        <f t="shared" si="1172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3"/>
        <v>0</v>
      </c>
      <c r="G5749">
        <f t="shared" si="1174"/>
        <v>0</v>
      </c>
      <c r="H5749">
        <f t="shared" si="1175"/>
        <v>0</v>
      </c>
      <c r="I5749">
        <f t="shared" si="1176"/>
        <v>0</v>
      </c>
      <c r="J5749">
        <f t="shared" si="1177"/>
        <v>0</v>
      </c>
      <c r="K5749" s="4" t="e">
        <f t="shared" si="1165"/>
        <v>#N/A</v>
      </c>
      <c r="L5749" t="e">
        <f t="shared" si="1166"/>
        <v>#N/A</v>
      </c>
      <c r="M5749" s="4" t="e">
        <f t="shared" si="1167"/>
        <v>#N/A</v>
      </c>
      <c r="N5749" s="4" t="e">
        <f t="shared" si="1168"/>
        <v>#N/A</v>
      </c>
    </row>
    <row r="5750" spans="1:14">
      <c r="A5750">
        <f t="shared" si="1169"/>
        <v>0</v>
      </c>
      <c r="B5750">
        <f t="shared" si="1170"/>
        <v>0</v>
      </c>
      <c r="C5750">
        <f t="shared" si="1171"/>
        <v>0</v>
      </c>
      <c r="D5750">
        <f t="shared" si="1172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3"/>
        <v>0</v>
      </c>
      <c r="G5750">
        <f t="shared" si="1174"/>
        <v>0</v>
      </c>
      <c r="H5750">
        <f t="shared" si="1175"/>
        <v>0</v>
      </c>
      <c r="I5750">
        <f t="shared" si="1176"/>
        <v>0</v>
      </c>
      <c r="J5750">
        <f t="shared" si="1177"/>
        <v>0</v>
      </c>
      <c r="K5750" s="4" t="e">
        <f t="shared" si="1165"/>
        <v>#N/A</v>
      </c>
      <c r="L5750" t="e">
        <f t="shared" si="1166"/>
        <v>#N/A</v>
      </c>
      <c r="M5750" s="4" t="e">
        <f t="shared" si="1167"/>
        <v>#N/A</v>
      </c>
      <c r="N5750" s="4" t="e">
        <f t="shared" si="1168"/>
        <v>#N/A</v>
      </c>
    </row>
    <row r="5751" spans="1:14">
      <c r="A5751">
        <f t="shared" si="1169"/>
        <v>0</v>
      </c>
      <c r="B5751">
        <f t="shared" si="1170"/>
        <v>0</v>
      </c>
      <c r="C5751">
        <f t="shared" si="1171"/>
        <v>0</v>
      </c>
      <c r="D5751">
        <f t="shared" si="1172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3"/>
        <v>0</v>
      </c>
      <c r="G5751">
        <f t="shared" si="1174"/>
        <v>0</v>
      </c>
      <c r="H5751">
        <f t="shared" si="1175"/>
        <v>0</v>
      </c>
      <c r="I5751">
        <f t="shared" si="1176"/>
        <v>0</v>
      </c>
      <c r="J5751">
        <f t="shared" si="1177"/>
        <v>0</v>
      </c>
      <c r="K5751" s="4" t="e">
        <f t="shared" si="1165"/>
        <v>#N/A</v>
      </c>
      <c r="L5751" t="e">
        <f t="shared" si="1166"/>
        <v>#N/A</v>
      </c>
      <c r="M5751" s="4" t="e">
        <f t="shared" si="1167"/>
        <v>#N/A</v>
      </c>
      <c r="N5751" s="4" t="e">
        <f t="shared" si="1168"/>
        <v>#N/A</v>
      </c>
    </row>
    <row r="5752" spans="1:14">
      <c r="A5752">
        <f t="shared" si="1169"/>
        <v>0</v>
      </c>
      <c r="B5752">
        <f t="shared" si="1170"/>
        <v>0</v>
      </c>
      <c r="C5752">
        <f t="shared" si="1171"/>
        <v>0</v>
      </c>
      <c r="D5752">
        <f t="shared" si="1172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3"/>
        <v>0</v>
      </c>
      <c r="G5752">
        <f t="shared" si="1174"/>
        <v>0</v>
      </c>
      <c r="H5752">
        <f t="shared" si="1175"/>
        <v>0</v>
      </c>
      <c r="I5752">
        <f t="shared" si="1176"/>
        <v>0</v>
      </c>
      <c r="J5752">
        <f t="shared" si="1177"/>
        <v>0</v>
      </c>
      <c r="K5752" s="4" t="e">
        <f t="shared" si="1165"/>
        <v>#N/A</v>
      </c>
      <c r="L5752" t="e">
        <f t="shared" si="1166"/>
        <v>#N/A</v>
      </c>
      <c r="M5752" s="4" t="e">
        <f t="shared" si="1167"/>
        <v>#N/A</v>
      </c>
      <c r="N5752" s="4" t="e">
        <f t="shared" si="1168"/>
        <v>#N/A</v>
      </c>
    </row>
    <row r="5753" spans="1:14">
      <c r="A5753">
        <f t="shared" si="1169"/>
        <v>0</v>
      </c>
      <c r="B5753">
        <f t="shared" si="1170"/>
        <v>0</v>
      </c>
      <c r="C5753">
        <f t="shared" si="1171"/>
        <v>0</v>
      </c>
      <c r="D5753">
        <f t="shared" si="1172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3"/>
        <v>0</v>
      </c>
      <c r="G5753">
        <f t="shared" si="1174"/>
        <v>0</v>
      </c>
      <c r="H5753">
        <f t="shared" si="1175"/>
        <v>0</v>
      </c>
      <c r="I5753">
        <f t="shared" si="1176"/>
        <v>0</v>
      </c>
      <c r="J5753">
        <f t="shared" si="1177"/>
        <v>0</v>
      </c>
      <c r="K5753" s="4" t="e">
        <f t="shared" si="1165"/>
        <v>#N/A</v>
      </c>
      <c r="L5753" t="e">
        <f t="shared" si="1166"/>
        <v>#N/A</v>
      </c>
      <c r="M5753" s="4" t="e">
        <f t="shared" si="1167"/>
        <v>#N/A</v>
      </c>
      <c r="N5753" s="4" t="e">
        <f t="shared" si="1168"/>
        <v>#N/A</v>
      </c>
    </row>
    <row r="5754" spans="1:14">
      <c r="A5754">
        <f t="shared" si="1169"/>
        <v>0</v>
      </c>
      <c r="B5754">
        <f t="shared" si="1170"/>
        <v>0</v>
      </c>
      <c r="C5754">
        <f t="shared" si="1171"/>
        <v>0</v>
      </c>
      <c r="D5754">
        <f t="shared" si="1172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3"/>
        <v>0</v>
      </c>
      <c r="G5754">
        <f t="shared" si="1174"/>
        <v>0</v>
      </c>
      <c r="H5754">
        <f t="shared" si="1175"/>
        <v>0</v>
      </c>
      <c r="I5754">
        <f t="shared" si="1176"/>
        <v>0</v>
      </c>
      <c r="J5754">
        <f t="shared" si="1177"/>
        <v>0</v>
      </c>
      <c r="K5754" s="4" t="e">
        <f t="shared" si="1165"/>
        <v>#N/A</v>
      </c>
      <c r="L5754" t="e">
        <f t="shared" si="1166"/>
        <v>#N/A</v>
      </c>
      <c r="M5754" s="4" t="e">
        <f t="shared" si="1167"/>
        <v>#N/A</v>
      </c>
      <c r="N5754" s="4" t="e">
        <f t="shared" si="1168"/>
        <v>#N/A</v>
      </c>
    </row>
    <row r="5755" spans="1:14">
      <c r="A5755">
        <f t="shared" si="1169"/>
        <v>0</v>
      </c>
      <c r="B5755">
        <f t="shared" si="1170"/>
        <v>0</v>
      </c>
      <c r="C5755">
        <f t="shared" si="1171"/>
        <v>0</v>
      </c>
      <c r="D5755">
        <f t="shared" si="1172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3"/>
        <v>0</v>
      </c>
      <c r="G5755">
        <f t="shared" si="1174"/>
        <v>0</v>
      </c>
      <c r="H5755">
        <f t="shared" si="1175"/>
        <v>0</v>
      </c>
      <c r="I5755">
        <f t="shared" si="1176"/>
        <v>0</v>
      </c>
      <c r="J5755">
        <f t="shared" si="1177"/>
        <v>0</v>
      </c>
      <c r="K5755" s="4" t="e">
        <f t="shared" si="1165"/>
        <v>#N/A</v>
      </c>
      <c r="L5755" t="e">
        <f t="shared" si="1166"/>
        <v>#N/A</v>
      </c>
      <c r="M5755" s="4" t="e">
        <f t="shared" si="1167"/>
        <v>#N/A</v>
      </c>
      <c r="N5755" s="4" t="e">
        <f t="shared" si="1168"/>
        <v>#N/A</v>
      </c>
    </row>
    <row r="5756" spans="1:14">
      <c r="A5756">
        <f t="shared" si="1169"/>
        <v>0</v>
      </c>
      <c r="B5756">
        <f t="shared" si="1170"/>
        <v>0</v>
      </c>
      <c r="C5756">
        <f t="shared" si="1171"/>
        <v>0</v>
      </c>
      <c r="D5756">
        <f t="shared" si="1172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3"/>
        <v>0</v>
      </c>
      <c r="G5756">
        <f t="shared" si="1174"/>
        <v>0</v>
      </c>
      <c r="H5756">
        <f t="shared" si="1175"/>
        <v>0</v>
      </c>
      <c r="I5756">
        <f t="shared" si="1176"/>
        <v>0</v>
      </c>
      <c r="J5756">
        <f t="shared" si="1177"/>
        <v>0</v>
      </c>
      <c r="K5756" s="4" t="e">
        <f t="shared" si="1165"/>
        <v>#N/A</v>
      </c>
      <c r="L5756" t="e">
        <f t="shared" si="1166"/>
        <v>#N/A</v>
      </c>
      <c r="M5756" s="4" t="e">
        <f t="shared" si="1167"/>
        <v>#N/A</v>
      </c>
      <c r="N5756" s="4" t="e">
        <f t="shared" si="1168"/>
        <v>#N/A</v>
      </c>
    </row>
    <row r="5757" spans="1:14">
      <c r="A5757">
        <f t="shared" si="1169"/>
        <v>0</v>
      </c>
      <c r="B5757">
        <f t="shared" si="1170"/>
        <v>0</v>
      </c>
      <c r="C5757">
        <f t="shared" si="1171"/>
        <v>0</v>
      </c>
      <c r="D5757">
        <f t="shared" si="1172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3"/>
        <v>0</v>
      </c>
      <c r="G5757">
        <f t="shared" si="1174"/>
        <v>0</v>
      </c>
      <c r="H5757">
        <f t="shared" si="1175"/>
        <v>0</v>
      </c>
      <c r="I5757">
        <f t="shared" si="1176"/>
        <v>0</v>
      </c>
      <c r="J5757">
        <f t="shared" si="1177"/>
        <v>0</v>
      </c>
      <c r="K5757" s="4" t="e">
        <f t="shared" ref="K5757:K5820" si="1178">IF(LEFT(B5757,3)="DBM",0,VLOOKUP(E5757,tabela,2,FALSE))</f>
        <v>#N/A</v>
      </c>
      <c r="L5757" t="e">
        <f t="shared" ref="L5757:L5820" si="1179">VLOOKUP(E5757,tabela,3,FALSE)</f>
        <v>#N/A</v>
      </c>
      <c r="M5757" s="4" t="e">
        <f t="shared" ref="M5757:M5820" si="1180">IF(E5757="Dynamic Click",J5757*K5757,K5757*$I5757/1000)</f>
        <v>#N/A</v>
      </c>
      <c r="N5757" s="4" t="e">
        <f t="shared" ref="N5757:N5820" si="1181">IF(E5757="Dynamic Click",J5757*L5757,L5757*$I5757/1000)</f>
        <v>#N/A</v>
      </c>
    </row>
    <row r="5758" spans="1:14">
      <c r="A5758">
        <f t="shared" si="1169"/>
        <v>0</v>
      </c>
      <c r="B5758">
        <f t="shared" si="1170"/>
        <v>0</v>
      </c>
      <c r="C5758">
        <f t="shared" si="1171"/>
        <v>0</v>
      </c>
      <c r="D5758">
        <f t="shared" si="1172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3"/>
        <v>0</v>
      </c>
      <c r="G5758">
        <f t="shared" si="1174"/>
        <v>0</v>
      </c>
      <c r="H5758">
        <f t="shared" si="1175"/>
        <v>0</v>
      </c>
      <c r="I5758">
        <f t="shared" si="1176"/>
        <v>0</v>
      </c>
      <c r="J5758">
        <f t="shared" si="1177"/>
        <v>0</v>
      </c>
      <c r="K5758" s="4" t="e">
        <f t="shared" si="1178"/>
        <v>#N/A</v>
      </c>
      <c r="L5758" t="e">
        <f t="shared" si="1179"/>
        <v>#N/A</v>
      </c>
      <c r="M5758" s="4" t="e">
        <f t="shared" si="1180"/>
        <v>#N/A</v>
      </c>
      <c r="N5758" s="4" t="e">
        <f t="shared" si="1181"/>
        <v>#N/A</v>
      </c>
    </row>
    <row r="5759" spans="1:14">
      <c r="A5759">
        <f t="shared" si="1169"/>
        <v>0</v>
      </c>
      <c r="B5759">
        <f t="shared" si="1170"/>
        <v>0</v>
      </c>
      <c r="C5759">
        <f t="shared" si="1171"/>
        <v>0</v>
      </c>
      <c r="D5759">
        <f t="shared" si="1172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3"/>
        <v>0</v>
      </c>
      <c r="G5759">
        <f t="shared" si="1174"/>
        <v>0</v>
      </c>
      <c r="H5759">
        <f t="shared" si="1175"/>
        <v>0</v>
      </c>
      <c r="I5759">
        <f t="shared" si="1176"/>
        <v>0</v>
      </c>
      <c r="J5759">
        <f t="shared" si="1177"/>
        <v>0</v>
      </c>
      <c r="K5759" s="4" t="e">
        <f t="shared" si="1178"/>
        <v>#N/A</v>
      </c>
      <c r="L5759" t="e">
        <f t="shared" si="1179"/>
        <v>#N/A</v>
      </c>
      <c r="M5759" s="4" t="e">
        <f t="shared" si="1180"/>
        <v>#N/A</v>
      </c>
      <c r="N5759" s="4" t="e">
        <f t="shared" si="1181"/>
        <v>#N/A</v>
      </c>
    </row>
    <row r="5760" spans="1:14">
      <c r="A5760">
        <f t="shared" si="1169"/>
        <v>0</v>
      </c>
      <c r="B5760">
        <f t="shared" si="1170"/>
        <v>0</v>
      </c>
      <c r="C5760">
        <f t="shared" si="1171"/>
        <v>0</v>
      </c>
      <c r="D5760">
        <f t="shared" si="1172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3"/>
        <v>0</v>
      </c>
      <c r="G5760">
        <f t="shared" si="1174"/>
        <v>0</v>
      </c>
      <c r="H5760">
        <f t="shared" si="1175"/>
        <v>0</v>
      </c>
      <c r="I5760">
        <f t="shared" si="1176"/>
        <v>0</v>
      </c>
      <c r="J5760">
        <f t="shared" si="1177"/>
        <v>0</v>
      </c>
      <c r="K5760" s="4" t="e">
        <f t="shared" si="1178"/>
        <v>#N/A</v>
      </c>
      <c r="L5760" t="e">
        <f t="shared" si="1179"/>
        <v>#N/A</v>
      </c>
      <c r="M5760" s="4" t="e">
        <f t="shared" si="1180"/>
        <v>#N/A</v>
      </c>
      <c r="N5760" s="4" t="e">
        <f t="shared" si="1181"/>
        <v>#N/A</v>
      </c>
    </row>
    <row r="5761" spans="1:14">
      <c r="A5761">
        <f t="shared" si="1169"/>
        <v>0</v>
      </c>
      <c r="B5761">
        <f t="shared" si="1170"/>
        <v>0</v>
      </c>
      <c r="C5761">
        <f t="shared" si="1171"/>
        <v>0</v>
      </c>
      <c r="D5761">
        <f t="shared" si="1172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3"/>
        <v>0</v>
      </c>
      <c r="G5761">
        <f t="shared" si="1174"/>
        <v>0</v>
      </c>
      <c r="H5761">
        <f t="shared" si="1175"/>
        <v>0</v>
      </c>
      <c r="I5761">
        <f t="shared" si="1176"/>
        <v>0</v>
      </c>
      <c r="J5761">
        <f t="shared" si="1177"/>
        <v>0</v>
      </c>
      <c r="K5761" s="4" t="e">
        <f t="shared" si="1178"/>
        <v>#N/A</v>
      </c>
      <c r="L5761" t="e">
        <f t="shared" si="1179"/>
        <v>#N/A</v>
      </c>
      <c r="M5761" s="4" t="e">
        <f t="shared" si="1180"/>
        <v>#N/A</v>
      </c>
      <c r="N5761" s="4" t="e">
        <f t="shared" si="1181"/>
        <v>#N/A</v>
      </c>
    </row>
    <row r="5762" spans="1:14">
      <c r="A5762">
        <f t="shared" ref="A5762:A5825" si="1182">bd_campaign</f>
        <v>0</v>
      </c>
      <c r="B5762">
        <f t="shared" ref="B5762:B5825" si="1183">bd_site</f>
        <v>0</v>
      </c>
      <c r="C5762">
        <f t="shared" ref="C5762:C5825" si="1184">bd_placement</f>
        <v>0</v>
      </c>
      <c r="D5762">
        <f t="shared" ref="D5762:D5825" si="1185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6">bd_ad</f>
        <v>0</v>
      </c>
      <c r="G5762">
        <f t="shared" ref="G5762:G5825" si="1187">bd_adid</f>
        <v>0</v>
      </c>
      <c r="H5762">
        <f t="shared" ref="H5762:H5825" si="1188">bd_creativetype</f>
        <v>0</v>
      </c>
      <c r="I5762">
        <f t="shared" ref="I5762:I5825" si="1189">bd_impression</f>
        <v>0</v>
      </c>
      <c r="J5762">
        <f t="shared" ref="J5762:J5825" si="1190">bd_clicks</f>
        <v>0</v>
      </c>
      <c r="K5762" s="4" t="e">
        <f t="shared" si="1178"/>
        <v>#N/A</v>
      </c>
      <c r="L5762" t="e">
        <f t="shared" si="1179"/>
        <v>#N/A</v>
      </c>
      <c r="M5762" s="4" t="e">
        <f t="shared" si="1180"/>
        <v>#N/A</v>
      </c>
      <c r="N5762" s="4" t="e">
        <f t="shared" si="1181"/>
        <v>#N/A</v>
      </c>
    </row>
    <row r="5763" spans="1:14">
      <c r="A5763">
        <f t="shared" si="1182"/>
        <v>0</v>
      </c>
      <c r="B5763">
        <f t="shared" si="1183"/>
        <v>0</v>
      </c>
      <c r="C5763">
        <f t="shared" si="1184"/>
        <v>0</v>
      </c>
      <c r="D5763">
        <f t="shared" si="1185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6"/>
        <v>0</v>
      </c>
      <c r="G5763">
        <f t="shared" si="1187"/>
        <v>0</v>
      </c>
      <c r="H5763">
        <f t="shared" si="1188"/>
        <v>0</v>
      </c>
      <c r="I5763">
        <f t="shared" si="1189"/>
        <v>0</v>
      </c>
      <c r="J5763">
        <f t="shared" si="1190"/>
        <v>0</v>
      </c>
      <c r="K5763" s="4" t="e">
        <f t="shared" si="1178"/>
        <v>#N/A</v>
      </c>
      <c r="L5763" t="e">
        <f t="shared" si="1179"/>
        <v>#N/A</v>
      </c>
      <c r="M5763" s="4" t="e">
        <f t="shared" si="1180"/>
        <v>#N/A</v>
      </c>
      <c r="N5763" s="4" t="e">
        <f t="shared" si="1181"/>
        <v>#N/A</v>
      </c>
    </row>
    <row r="5764" spans="1:14">
      <c r="A5764">
        <f t="shared" si="1182"/>
        <v>0</v>
      </c>
      <c r="B5764">
        <f t="shared" si="1183"/>
        <v>0</v>
      </c>
      <c r="C5764">
        <f t="shared" si="1184"/>
        <v>0</v>
      </c>
      <c r="D5764">
        <f t="shared" si="1185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6"/>
        <v>0</v>
      </c>
      <c r="G5764">
        <f t="shared" si="1187"/>
        <v>0</v>
      </c>
      <c r="H5764">
        <f t="shared" si="1188"/>
        <v>0</v>
      </c>
      <c r="I5764">
        <f t="shared" si="1189"/>
        <v>0</v>
      </c>
      <c r="J5764">
        <f t="shared" si="1190"/>
        <v>0</v>
      </c>
      <c r="K5764" s="4" t="e">
        <f t="shared" si="1178"/>
        <v>#N/A</v>
      </c>
      <c r="L5764" t="e">
        <f t="shared" si="1179"/>
        <v>#N/A</v>
      </c>
      <c r="M5764" s="4" t="e">
        <f t="shared" si="1180"/>
        <v>#N/A</v>
      </c>
      <c r="N5764" s="4" t="e">
        <f t="shared" si="1181"/>
        <v>#N/A</v>
      </c>
    </row>
    <row r="5765" spans="1:14">
      <c r="A5765">
        <f t="shared" si="1182"/>
        <v>0</v>
      </c>
      <c r="B5765">
        <f t="shared" si="1183"/>
        <v>0</v>
      </c>
      <c r="C5765">
        <f t="shared" si="1184"/>
        <v>0</v>
      </c>
      <c r="D5765">
        <f t="shared" si="1185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6"/>
        <v>0</v>
      </c>
      <c r="G5765">
        <f t="shared" si="1187"/>
        <v>0</v>
      </c>
      <c r="H5765">
        <f t="shared" si="1188"/>
        <v>0</v>
      </c>
      <c r="I5765">
        <f t="shared" si="1189"/>
        <v>0</v>
      </c>
      <c r="J5765">
        <f t="shared" si="1190"/>
        <v>0</v>
      </c>
      <c r="K5765" s="4" t="e">
        <f t="shared" si="1178"/>
        <v>#N/A</v>
      </c>
      <c r="L5765" t="e">
        <f t="shared" si="1179"/>
        <v>#N/A</v>
      </c>
      <c r="M5765" s="4" t="e">
        <f t="shared" si="1180"/>
        <v>#N/A</v>
      </c>
      <c r="N5765" s="4" t="e">
        <f t="shared" si="1181"/>
        <v>#N/A</v>
      </c>
    </row>
    <row r="5766" spans="1:14">
      <c r="A5766">
        <f t="shared" si="1182"/>
        <v>0</v>
      </c>
      <c r="B5766">
        <f t="shared" si="1183"/>
        <v>0</v>
      </c>
      <c r="C5766">
        <f t="shared" si="1184"/>
        <v>0</v>
      </c>
      <c r="D5766">
        <f t="shared" si="1185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6"/>
        <v>0</v>
      </c>
      <c r="G5766">
        <f t="shared" si="1187"/>
        <v>0</v>
      </c>
      <c r="H5766">
        <f t="shared" si="1188"/>
        <v>0</v>
      </c>
      <c r="I5766">
        <f t="shared" si="1189"/>
        <v>0</v>
      </c>
      <c r="J5766">
        <f t="shared" si="1190"/>
        <v>0</v>
      </c>
      <c r="K5766" s="4" t="e">
        <f t="shared" si="1178"/>
        <v>#N/A</v>
      </c>
      <c r="L5766" t="e">
        <f t="shared" si="1179"/>
        <v>#N/A</v>
      </c>
      <c r="M5766" s="4" t="e">
        <f t="shared" si="1180"/>
        <v>#N/A</v>
      </c>
      <c r="N5766" s="4" t="e">
        <f t="shared" si="1181"/>
        <v>#N/A</v>
      </c>
    </row>
    <row r="5767" spans="1:14">
      <c r="A5767">
        <f t="shared" si="1182"/>
        <v>0</v>
      </c>
      <c r="B5767">
        <f t="shared" si="1183"/>
        <v>0</v>
      </c>
      <c r="C5767">
        <f t="shared" si="1184"/>
        <v>0</v>
      </c>
      <c r="D5767">
        <f t="shared" si="1185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6"/>
        <v>0</v>
      </c>
      <c r="G5767">
        <f t="shared" si="1187"/>
        <v>0</v>
      </c>
      <c r="H5767">
        <f t="shared" si="1188"/>
        <v>0</v>
      </c>
      <c r="I5767">
        <f t="shared" si="1189"/>
        <v>0</v>
      </c>
      <c r="J5767">
        <f t="shared" si="1190"/>
        <v>0</v>
      </c>
      <c r="K5767" s="4" t="e">
        <f t="shared" si="1178"/>
        <v>#N/A</v>
      </c>
      <c r="L5767" t="e">
        <f t="shared" si="1179"/>
        <v>#N/A</v>
      </c>
      <c r="M5767" s="4" t="e">
        <f t="shared" si="1180"/>
        <v>#N/A</v>
      </c>
      <c r="N5767" s="4" t="e">
        <f t="shared" si="1181"/>
        <v>#N/A</v>
      </c>
    </row>
    <row r="5768" spans="1:14">
      <c r="A5768">
        <f t="shared" si="1182"/>
        <v>0</v>
      </c>
      <c r="B5768">
        <f t="shared" si="1183"/>
        <v>0</v>
      </c>
      <c r="C5768">
        <f t="shared" si="1184"/>
        <v>0</v>
      </c>
      <c r="D5768">
        <f t="shared" si="1185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6"/>
        <v>0</v>
      </c>
      <c r="G5768">
        <f t="shared" si="1187"/>
        <v>0</v>
      </c>
      <c r="H5768">
        <f t="shared" si="1188"/>
        <v>0</v>
      </c>
      <c r="I5768">
        <f t="shared" si="1189"/>
        <v>0</v>
      </c>
      <c r="J5768">
        <f t="shared" si="1190"/>
        <v>0</v>
      </c>
      <c r="K5768" s="4" t="e">
        <f t="shared" si="1178"/>
        <v>#N/A</v>
      </c>
      <c r="L5768" t="e">
        <f t="shared" si="1179"/>
        <v>#N/A</v>
      </c>
      <c r="M5768" s="4" t="e">
        <f t="shared" si="1180"/>
        <v>#N/A</v>
      </c>
      <c r="N5768" s="4" t="e">
        <f t="shared" si="1181"/>
        <v>#N/A</v>
      </c>
    </row>
    <row r="5769" spans="1:14">
      <c r="A5769">
        <f t="shared" si="1182"/>
        <v>0</v>
      </c>
      <c r="B5769">
        <f t="shared" si="1183"/>
        <v>0</v>
      </c>
      <c r="C5769">
        <f t="shared" si="1184"/>
        <v>0</v>
      </c>
      <c r="D5769">
        <f t="shared" si="1185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6"/>
        <v>0</v>
      </c>
      <c r="G5769">
        <f t="shared" si="1187"/>
        <v>0</v>
      </c>
      <c r="H5769">
        <f t="shared" si="1188"/>
        <v>0</v>
      </c>
      <c r="I5769">
        <f t="shared" si="1189"/>
        <v>0</v>
      </c>
      <c r="J5769">
        <f t="shared" si="1190"/>
        <v>0</v>
      </c>
      <c r="K5769" s="4" t="e">
        <f t="shared" si="1178"/>
        <v>#N/A</v>
      </c>
      <c r="L5769" t="e">
        <f t="shared" si="1179"/>
        <v>#N/A</v>
      </c>
      <c r="M5769" s="4" t="e">
        <f t="shared" si="1180"/>
        <v>#N/A</v>
      </c>
      <c r="N5769" s="4" t="e">
        <f t="shared" si="1181"/>
        <v>#N/A</v>
      </c>
    </row>
    <row r="5770" spans="1:14">
      <c r="A5770">
        <f t="shared" si="1182"/>
        <v>0</v>
      </c>
      <c r="B5770">
        <f t="shared" si="1183"/>
        <v>0</v>
      </c>
      <c r="C5770">
        <f t="shared" si="1184"/>
        <v>0</v>
      </c>
      <c r="D5770">
        <f t="shared" si="1185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6"/>
        <v>0</v>
      </c>
      <c r="G5770">
        <f t="shared" si="1187"/>
        <v>0</v>
      </c>
      <c r="H5770">
        <f t="shared" si="1188"/>
        <v>0</v>
      </c>
      <c r="I5770">
        <f t="shared" si="1189"/>
        <v>0</v>
      </c>
      <c r="J5770">
        <f t="shared" si="1190"/>
        <v>0</v>
      </c>
      <c r="K5770" s="4" t="e">
        <f t="shared" si="1178"/>
        <v>#N/A</v>
      </c>
      <c r="L5770" t="e">
        <f t="shared" si="1179"/>
        <v>#N/A</v>
      </c>
      <c r="M5770" s="4" t="e">
        <f t="shared" si="1180"/>
        <v>#N/A</v>
      </c>
      <c r="N5770" s="4" t="e">
        <f t="shared" si="1181"/>
        <v>#N/A</v>
      </c>
    </row>
    <row r="5771" spans="1:14">
      <c r="A5771">
        <f t="shared" si="1182"/>
        <v>0</v>
      </c>
      <c r="B5771">
        <f t="shared" si="1183"/>
        <v>0</v>
      </c>
      <c r="C5771">
        <f t="shared" si="1184"/>
        <v>0</v>
      </c>
      <c r="D5771">
        <f t="shared" si="1185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6"/>
        <v>0</v>
      </c>
      <c r="G5771">
        <f t="shared" si="1187"/>
        <v>0</v>
      </c>
      <c r="H5771">
        <f t="shared" si="1188"/>
        <v>0</v>
      </c>
      <c r="I5771">
        <f t="shared" si="1189"/>
        <v>0</v>
      </c>
      <c r="J5771">
        <f t="shared" si="1190"/>
        <v>0</v>
      </c>
      <c r="K5771" s="4" t="e">
        <f t="shared" si="1178"/>
        <v>#N/A</v>
      </c>
      <c r="L5771" t="e">
        <f t="shared" si="1179"/>
        <v>#N/A</v>
      </c>
      <c r="M5771" s="4" t="e">
        <f t="shared" si="1180"/>
        <v>#N/A</v>
      </c>
      <c r="N5771" s="4" t="e">
        <f t="shared" si="1181"/>
        <v>#N/A</v>
      </c>
    </row>
    <row r="5772" spans="1:14">
      <c r="A5772">
        <f t="shared" si="1182"/>
        <v>0</v>
      </c>
      <c r="B5772">
        <f t="shared" si="1183"/>
        <v>0</v>
      </c>
      <c r="C5772">
        <f t="shared" si="1184"/>
        <v>0</v>
      </c>
      <c r="D5772">
        <f t="shared" si="1185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6"/>
        <v>0</v>
      </c>
      <c r="G5772">
        <f t="shared" si="1187"/>
        <v>0</v>
      </c>
      <c r="H5772">
        <f t="shared" si="1188"/>
        <v>0</v>
      </c>
      <c r="I5772">
        <f t="shared" si="1189"/>
        <v>0</v>
      </c>
      <c r="J5772">
        <f t="shared" si="1190"/>
        <v>0</v>
      </c>
      <c r="K5772" s="4" t="e">
        <f t="shared" si="1178"/>
        <v>#N/A</v>
      </c>
      <c r="L5772" t="e">
        <f t="shared" si="1179"/>
        <v>#N/A</v>
      </c>
      <c r="M5772" s="4" t="e">
        <f t="shared" si="1180"/>
        <v>#N/A</v>
      </c>
      <c r="N5772" s="4" t="e">
        <f t="shared" si="1181"/>
        <v>#N/A</v>
      </c>
    </row>
    <row r="5773" spans="1:14">
      <c r="A5773">
        <f t="shared" si="1182"/>
        <v>0</v>
      </c>
      <c r="B5773">
        <f t="shared" si="1183"/>
        <v>0</v>
      </c>
      <c r="C5773">
        <f t="shared" si="1184"/>
        <v>0</v>
      </c>
      <c r="D5773">
        <f t="shared" si="1185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6"/>
        <v>0</v>
      </c>
      <c r="G5773">
        <f t="shared" si="1187"/>
        <v>0</v>
      </c>
      <c r="H5773">
        <f t="shared" si="1188"/>
        <v>0</v>
      </c>
      <c r="I5773">
        <f t="shared" si="1189"/>
        <v>0</v>
      </c>
      <c r="J5773">
        <f t="shared" si="1190"/>
        <v>0</v>
      </c>
      <c r="K5773" s="4" t="e">
        <f t="shared" si="1178"/>
        <v>#N/A</v>
      </c>
      <c r="L5773" t="e">
        <f t="shared" si="1179"/>
        <v>#N/A</v>
      </c>
      <c r="M5773" s="4" t="e">
        <f t="shared" si="1180"/>
        <v>#N/A</v>
      </c>
      <c r="N5773" s="4" t="e">
        <f t="shared" si="1181"/>
        <v>#N/A</v>
      </c>
    </row>
    <row r="5774" spans="1:14">
      <c r="A5774">
        <f t="shared" si="1182"/>
        <v>0</v>
      </c>
      <c r="B5774">
        <f t="shared" si="1183"/>
        <v>0</v>
      </c>
      <c r="C5774">
        <f t="shared" si="1184"/>
        <v>0</v>
      </c>
      <c r="D5774">
        <f t="shared" si="1185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6"/>
        <v>0</v>
      </c>
      <c r="G5774">
        <f t="shared" si="1187"/>
        <v>0</v>
      </c>
      <c r="H5774">
        <f t="shared" si="1188"/>
        <v>0</v>
      </c>
      <c r="I5774">
        <f t="shared" si="1189"/>
        <v>0</v>
      </c>
      <c r="J5774">
        <f t="shared" si="1190"/>
        <v>0</v>
      </c>
      <c r="K5774" s="4" t="e">
        <f t="shared" si="1178"/>
        <v>#N/A</v>
      </c>
      <c r="L5774" t="e">
        <f t="shared" si="1179"/>
        <v>#N/A</v>
      </c>
      <c r="M5774" s="4" t="e">
        <f t="shared" si="1180"/>
        <v>#N/A</v>
      </c>
      <c r="N5774" s="4" t="e">
        <f t="shared" si="1181"/>
        <v>#N/A</v>
      </c>
    </row>
    <row r="5775" spans="1:14">
      <c r="A5775">
        <f t="shared" si="1182"/>
        <v>0</v>
      </c>
      <c r="B5775">
        <f t="shared" si="1183"/>
        <v>0</v>
      </c>
      <c r="C5775">
        <f t="shared" si="1184"/>
        <v>0</v>
      </c>
      <c r="D5775">
        <f t="shared" si="1185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6"/>
        <v>0</v>
      </c>
      <c r="G5775">
        <f t="shared" si="1187"/>
        <v>0</v>
      </c>
      <c r="H5775">
        <f t="shared" si="1188"/>
        <v>0</v>
      </c>
      <c r="I5775">
        <f t="shared" si="1189"/>
        <v>0</v>
      </c>
      <c r="J5775">
        <f t="shared" si="1190"/>
        <v>0</v>
      </c>
      <c r="K5775" s="4" t="e">
        <f t="shared" si="1178"/>
        <v>#N/A</v>
      </c>
      <c r="L5775" t="e">
        <f t="shared" si="1179"/>
        <v>#N/A</v>
      </c>
      <c r="M5775" s="4" t="e">
        <f t="shared" si="1180"/>
        <v>#N/A</v>
      </c>
      <c r="N5775" s="4" t="e">
        <f t="shared" si="1181"/>
        <v>#N/A</v>
      </c>
    </row>
    <row r="5776" spans="1:14">
      <c r="A5776">
        <f t="shared" si="1182"/>
        <v>0</v>
      </c>
      <c r="B5776">
        <f t="shared" si="1183"/>
        <v>0</v>
      </c>
      <c r="C5776">
        <f t="shared" si="1184"/>
        <v>0</v>
      </c>
      <c r="D5776">
        <f t="shared" si="1185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6"/>
        <v>0</v>
      </c>
      <c r="G5776">
        <f t="shared" si="1187"/>
        <v>0</v>
      </c>
      <c r="H5776">
        <f t="shared" si="1188"/>
        <v>0</v>
      </c>
      <c r="I5776">
        <f t="shared" si="1189"/>
        <v>0</v>
      </c>
      <c r="J5776">
        <f t="shared" si="1190"/>
        <v>0</v>
      </c>
      <c r="K5776" s="4" t="e">
        <f t="shared" si="1178"/>
        <v>#N/A</v>
      </c>
      <c r="L5776" t="e">
        <f t="shared" si="1179"/>
        <v>#N/A</v>
      </c>
      <c r="M5776" s="4" t="e">
        <f t="shared" si="1180"/>
        <v>#N/A</v>
      </c>
      <c r="N5776" s="4" t="e">
        <f t="shared" si="1181"/>
        <v>#N/A</v>
      </c>
    </row>
    <row r="5777" spans="1:14">
      <c r="A5777">
        <f t="shared" si="1182"/>
        <v>0</v>
      </c>
      <c r="B5777">
        <f t="shared" si="1183"/>
        <v>0</v>
      </c>
      <c r="C5777">
        <f t="shared" si="1184"/>
        <v>0</v>
      </c>
      <c r="D5777">
        <f t="shared" si="1185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6"/>
        <v>0</v>
      </c>
      <c r="G5777">
        <f t="shared" si="1187"/>
        <v>0</v>
      </c>
      <c r="H5777">
        <f t="shared" si="1188"/>
        <v>0</v>
      </c>
      <c r="I5777">
        <f t="shared" si="1189"/>
        <v>0</v>
      </c>
      <c r="J5777">
        <f t="shared" si="1190"/>
        <v>0</v>
      </c>
      <c r="K5777" s="4" t="e">
        <f t="shared" si="1178"/>
        <v>#N/A</v>
      </c>
      <c r="L5777" t="e">
        <f t="shared" si="1179"/>
        <v>#N/A</v>
      </c>
      <c r="M5777" s="4" t="e">
        <f t="shared" si="1180"/>
        <v>#N/A</v>
      </c>
      <c r="N5777" s="4" t="e">
        <f t="shared" si="1181"/>
        <v>#N/A</v>
      </c>
    </row>
    <row r="5778" spans="1:14">
      <c r="A5778">
        <f t="shared" si="1182"/>
        <v>0</v>
      </c>
      <c r="B5778">
        <f t="shared" si="1183"/>
        <v>0</v>
      </c>
      <c r="C5778">
        <f t="shared" si="1184"/>
        <v>0</v>
      </c>
      <c r="D5778">
        <f t="shared" si="1185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6"/>
        <v>0</v>
      </c>
      <c r="G5778">
        <f t="shared" si="1187"/>
        <v>0</v>
      </c>
      <c r="H5778">
        <f t="shared" si="1188"/>
        <v>0</v>
      </c>
      <c r="I5778">
        <f t="shared" si="1189"/>
        <v>0</v>
      </c>
      <c r="J5778">
        <f t="shared" si="1190"/>
        <v>0</v>
      </c>
      <c r="K5778" s="4" t="e">
        <f t="shared" si="1178"/>
        <v>#N/A</v>
      </c>
      <c r="L5778" t="e">
        <f t="shared" si="1179"/>
        <v>#N/A</v>
      </c>
      <c r="M5778" s="4" t="e">
        <f t="shared" si="1180"/>
        <v>#N/A</v>
      </c>
      <c r="N5778" s="4" t="e">
        <f t="shared" si="1181"/>
        <v>#N/A</v>
      </c>
    </row>
    <row r="5779" spans="1:14">
      <c r="A5779">
        <f t="shared" si="1182"/>
        <v>0</v>
      </c>
      <c r="B5779">
        <f t="shared" si="1183"/>
        <v>0</v>
      </c>
      <c r="C5779">
        <f t="shared" si="1184"/>
        <v>0</v>
      </c>
      <c r="D5779">
        <f t="shared" si="1185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6"/>
        <v>0</v>
      </c>
      <c r="G5779">
        <f t="shared" si="1187"/>
        <v>0</v>
      </c>
      <c r="H5779">
        <f t="shared" si="1188"/>
        <v>0</v>
      </c>
      <c r="I5779">
        <f t="shared" si="1189"/>
        <v>0</v>
      </c>
      <c r="J5779">
        <f t="shared" si="1190"/>
        <v>0</v>
      </c>
      <c r="K5779" s="4" t="e">
        <f t="shared" si="1178"/>
        <v>#N/A</v>
      </c>
      <c r="L5779" t="e">
        <f t="shared" si="1179"/>
        <v>#N/A</v>
      </c>
      <c r="M5779" s="4" t="e">
        <f t="shared" si="1180"/>
        <v>#N/A</v>
      </c>
      <c r="N5779" s="4" t="e">
        <f t="shared" si="1181"/>
        <v>#N/A</v>
      </c>
    </row>
    <row r="5780" spans="1:14">
      <c r="A5780">
        <f t="shared" si="1182"/>
        <v>0</v>
      </c>
      <c r="B5780">
        <f t="shared" si="1183"/>
        <v>0</v>
      </c>
      <c r="C5780">
        <f t="shared" si="1184"/>
        <v>0</v>
      </c>
      <c r="D5780">
        <f t="shared" si="1185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6"/>
        <v>0</v>
      </c>
      <c r="G5780">
        <f t="shared" si="1187"/>
        <v>0</v>
      </c>
      <c r="H5780">
        <f t="shared" si="1188"/>
        <v>0</v>
      </c>
      <c r="I5780">
        <f t="shared" si="1189"/>
        <v>0</v>
      </c>
      <c r="J5780">
        <f t="shared" si="1190"/>
        <v>0</v>
      </c>
      <c r="K5780" s="4" t="e">
        <f t="shared" si="1178"/>
        <v>#N/A</v>
      </c>
      <c r="L5780" t="e">
        <f t="shared" si="1179"/>
        <v>#N/A</v>
      </c>
      <c r="M5780" s="4" t="e">
        <f t="shared" si="1180"/>
        <v>#N/A</v>
      </c>
      <c r="N5780" s="4" t="e">
        <f t="shared" si="1181"/>
        <v>#N/A</v>
      </c>
    </row>
    <row r="5781" spans="1:14">
      <c r="A5781">
        <f t="shared" si="1182"/>
        <v>0</v>
      </c>
      <c r="B5781">
        <f t="shared" si="1183"/>
        <v>0</v>
      </c>
      <c r="C5781">
        <f t="shared" si="1184"/>
        <v>0</v>
      </c>
      <c r="D5781">
        <f t="shared" si="1185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6"/>
        <v>0</v>
      </c>
      <c r="G5781">
        <f t="shared" si="1187"/>
        <v>0</v>
      </c>
      <c r="H5781">
        <f t="shared" si="1188"/>
        <v>0</v>
      </c>
      <c r="I5781">
        <f t="shared" si="1189"/>
        <v>0</v>
      </c>
      <c r="J5781">
        <f t="shared" si="1190"/>
        <v>0</v>
      </c>
      <c r="K5781" s="4" t="e">
        <f t="shared" si="1178"/>
        <v>#N/A</v>
      </c>
      <c r="L5781" t="e">
        <f t="shared" si="1179"/>
        <v>#N/A</v>
      </c>
      <c r="M5781" s="4" t="e">
        <f t="shared" si="1180"/>
        <v>#N/A</v>
      </c>
      <c r="N5781" s="4" t="e">
        <f t="shared" si="1181"/>
        <v>#N/A</v>
      </c>
    </row>
    <row r="5782" spans="1:14">
      <c r="A5782">
        <f t="shared" si="1182"/>
        <v>0</v>
      </c>
      <c r="B5782">
        <f t="shared" si="1183"/>
        <v>0</v>
      </c>
      <c r="C5782">
        <f t="shared" si="1184"/>
        <v>0</v>
      </c>
      <c r="D5782">
        <f t="shared" si="1185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6"/>
        <v>0</v>
      </c>
      <c r="G5782">
        <f t="shared" si="1187"/>
        <v>0</v>
      </c>
      <c r="H5782">
        <f t="shared" si="1188"/>
        <v>0</v>
      </c>
      <c r="I5782">
        <f t="shared" si="1189"/>
        <v>0</v>
      </c>
      <c r="J5782">
        <f t="shared" si="1190"/>
        <v>0</v>
      </c>
      <c r="K5782" s="4" t="e">
        <f t="shared" si="1178"/>
        <v>#N/A</v>
      </c>
      <c r="L5782" t="e">
        <f t="shared" si="1179"/>
        <v>#N/A</v>
      </c>
      <c r="M5782" s="4" t="e">
        <f t="shared" si="1180"/>
        <v>#N/A</v>
      </c>
      <c r="N5782" s="4" t="e">
        <f t="shared" si="1181"/>
        <v>#N/A</v>
      </c>
    </row>
    <row r="5783" spans="1:14">
      <c r="A5783">
        <f t="shared" si="1182"/>
        <v>0</v>
      </c>
      <c r="B5783">
        <f t="shared" si="1183"/>
        <v>0</v>
      </c>
      <c r="C5783">
        <f t="shared" si="1184"/>
        <v>0</v>
      </c>
      <c r="D5783">
        <f t="shared" si="1185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6"/>
        <v>0</v>
      </c>
      <c r="G5783">
        <f t="shared" si="1187"/>
        <v>0</v>
      </c>
      <c r="H5783">
        <f t="shared" si="1188"/>
        <v>0</v>
      </c>
      <c r="I5783">
        <f t="shared" si="1189"/>
        <v>0</v>
      </c>
      <c r="J5783">
        <f t="shared" si="1190"/>
        <v>0</v>
      </c>
      <c r="K5783" s="4" t="e">
        <f t="shared" si="1178"/>
        <v>#N/A</v>
      </c>
      <c r="L5783" t="e">
        <f t="shared" si="1179"/>
        <v>#N/A</v>
      </c>
      <c r="M5783" s="4" t="e">
        <f t="shared" si="1180"/>
        <v>#N/A</v>
      </c>
      <c r="N5783" s="4" t="e">
        <f t="shared" si="1181"/>
        <v>#N/A</v>
      </c>
    </row>
    <row r="5784" spans="1:14">
      <c r="A5784">
        <f t="shared" si="1182"/>
        <v>0</v>
      </c>
      <c r="B5784">
        <f t="shared" si="1183"/>
        <v>0</v>
      </c>
      <c r="C5784">
        <f t="shared" si="1184"/>
        <v>0</v>
      </c>
      <c r="D5784">
        <f t="shared" si="1185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6"/>
        <v>0</v>
      </c>
      <c r="G5784">
        <f t="shared" si="1187"/>
        <v>0</v>
      </c>
      <c r="H5784">
        <f t="shared" si="1188"/>
        <v>0</v>
      </c>
      <c r="I5784">
        <f t="shared" si="1189"/>
        <v>0</v>
      </c>
      <c r="J5784">
        <f t="shared" si="1190"/>
        <v>0</v>
      </c>
      <c r="K5784" s="4" t="e">
        <f t="shared" si="1178"/>
        <v>#N/A</v>
      </c>
      <c r="L5784" t="e">
        <f t="shared" si="1179"/>
        <v>#N/A</v>
      </c>
      <c r="M5784" s="4" t="e">
        <f t="shared" si="1180"/>
        <v>#N/A</v>
      </c>
      <c r="N5784" s="4" t="e">
        <f t="shared" si="1181"/>
        <v>#N/A</v>
      </c>
    </row>
    <row r="5785" spans="1:14">
      <c r="A5785">
        <f t="shared" si="1182"/>
        <v>0</v>
      </c>
      <c r="B5785">
        <f t="shared" si="1183"/>
        <v>0</v>
      </c>
      <c r="C5785">
        <f t="shared" si="1184"/>
        <v>0</v>
      </c>
      <c r="D5785">
        <f t="shared" si="1185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6"/>
        <v>0</v>
      </c>
      <c r="G5785">
        <f t="shared" si="1187"/>
        <v>0</v>
      </c>
      <c r="H5785">
        <f t="shared" si="1188"/>
        <v>0</v>
      </c>
      <c r="I5785">
        <f t="shared" si="1189"/>
        <v>0</v>
      </c>
      <c r="J5785">
        <f t="shared" si="1190"/>
        <v>0</v>
      </c>
      <c r="K5785" s="4" t="e">
        <f t="shared" si="1178"/>
        <v>#N/A</v>
      </c>
      <c r="L5785" t="e">
        <f t="shared" si="1179"/>
        <v>#N/A</v>
      </c>
      <c r="M5785" s="4" t="e">
        <f t="shared" si="1180"/>
        <v>#N/A</v>
      </c>
      <c r="N5785" s="4" t="e">
        <f t="shared" si="1181"/>
        <v>#N/A</v>
      </c>
    </row>
    <row r="5786" spans="1:14">
      <c r="A5786">
        <f t="shared" si="1182"/>
        <v>0</v>
      </c>
      <c r="B5786">
        <f t="shared" si="1183"/>
        <v>0</v>
      </c>
      <c r="C5786">
        <f t="shared" si="1184"/>
        <v>0</v>
      </c>
      <c r="D5786">
        <f t="shared" si="1185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6"/>
        <v>0</v>
      </c>
      <c r="G5786">
        <f t="shared" si="1187"/>
        <v>0</v>
      </c>
      <c r="H5786">
        <f t="shared" si="1188"/>
        <v>0</v>
      </c>
      <c r="I5786">
        <f t="shared" si="1189"/>
        <v>0</v>
      </c>
      <c r="J5786">
        <f t="shared" si="1190"/>
        <v>0</v>
      </c>
      <c r="K5786" s="4" t="e">
        <f t="shared" si="1178"/>
        <v>#N/A</v>
      </c>
      <c r="L5786" t="e">
        <f t="shared" si="1179"/>
        <v>#N/A</v>
      </c>
      <c r="M5786" s="4" t="e">
        <f t="shared" si="1180"/>
        <v>#N/A</v>
      </c>
      <c r="N5786" s="4" t="e">
        <f t="shared" si="1181"/>
        <v>#N/A</v>
      </c>
    </row>
    <row r="5787" spans="1:14">
      <c r="A5787">
        <f t="shared" si="1182"/>
        <v>0</v>
      </c>
      <c r="B5787">
        <f t="shared" si="1183"/>
        <v>0</v>
      </c>
      <c r="C5787">
        <f t="shared" si="1184"/>
        <v>0</v>
      </c>
      <c r="D5787">
        <f t="shared" si="1185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6"/>
        <v>0</v>
      </c>
      <c r="G5787">
        <f t="shared" si="1187"/>
        <v>0</v>
      </c>
      <c r="H5787">
        <f t="shared" si="1188"/>
        <v>0</v>
      </c>
      <c r="I5787">
        <f t="shared" si="1189"/>
        <v>0</v>
      </c>
      <c r="J5787">
        <f t="shared" si="1190"/>
        <v>0</v>
      </c>
      <c r="K5787" s="4" t="e">
        <f t="shared" si="1178"/>
        <v>#N/A</v>
      </c>
      <c r="L5787" t="e">
        <f t="shared" si="1179"/>
        <v>#N/A</v>
      </c>
      <c r="M5787" s="4" t="e">
        <f t="shared" si="1180"/>
        <v>#N/A</v>
      </c>
      <c r="N5787" s="4" t="e">
        <f t="shared" si="1181"/>
        <v>#N/A</v>
      </c>
    </row>
    <row r="5788" spans="1:14">
      <c r="A5788">
        <f t="shared" si="1182"/>
        <v>0</v>
      </c>
      <c r="B5788">
        <f t="shared" si="1183"/>
        <v>0</v>
      </c>
      <c r="C5788">
        <f t="shared" si="1184"/>
        <v>0</v>
      </c>
      <c r="D5788">
        <f t="shared" si="1185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6"/>
        <v>0</v>
      </c>
      <c r="G5788">
        <f t="shared" si="1187"/>
        <v>0</v>
      </c>
      <c r="H5788">
        <f t="shared" si="1188"/>
        <v>0</v>
      </c>
      <c r="I5788">
        <f t="shared" si="1189"/>
        <v>0</v>
      </c>
      <c r="J5788">
        <f t="shared" si="1190"/>
        <v>0</v>
      </c>
      <c r="K5788" s="4" t="e">
        <f t="shared" si="1178"/>
        <v>#N/A</v>
      </c>
      <c r="L5788" t="e">
        <f t="shared" si="1179"/>
        <v>#N/A</v>
      </c>
      <c r="M5788" s="4" t="e">
        <f t="shared" si="1180"/>
        <v>#N/A</v>
      </c>
      <c r="N5788" s="4" t="e">
        <f t="shared" si="1181"/>
        <v>#N/A</v>
      </c>
    </row>
    <row r="5789" spans="1:14">
      <c r="A5789">
        <f t="shared" si="1182"/>
        <v>0</v>
      </c>
      <c r="B5789">
        <f t="shared" si="1183"/>
        <v>0</v>
      </c>
      <c r="C5789">
        <f t="shared" si="1184"/>
        <v>0</v>
      </c>
      <c r="D5789">
        <f t="shared" si="1185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6"/>
        <v>0</v>
      </c>
      <c r="G5789">
        <f t="shared" si="1187"/>
        <v>0</v>
      </c>
      <c r="H5789">
        <f t="shared" si="1188"/>
        <v>0</v>
      </c>
      <c r="I5789">
        <f t="shared" si="1189"/>
        <v>0</v>
      </c>
      <c r="J5789">
        <f t="shared" si="1190"/>
        <v>0</v>
      </c>
      <c r="K5789" s="4" t="e">
        <f t="shared" si="1178"/>
        <v>#N/A</v>
      </c>
      <c r="L5789" t="e">
        <f t="shared" si="1179"/>
        <v>#N/A</v>
      </c>
      <c r="M5789" s="4" t="e">
        <f t="shared" si="1180"/>
        <v>#N/A</v>
      </c>
      <c r="N5789" s="4" t="e">
        <f t="shared" si="1181"/>
        <v>#N/A</v>
      </c>
    </row>
    <row r="5790" spans="1:14">
      <c r="A5790">
        <f t="shared" si="1182"/>
        <v>0</v>
      </c>
      <c r="B5790">
        <f t="shared" si="1183"/>
        <v>0</v>
      </c>
      <c r="C5790">
        <f t="shared" si="1184"/>
        <v>0</v>
      </c>
      <c r="D5790">
        <f t="shared" si="1185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6"/>
        <v>0</v>
      </c>
      <c r="G5790">
        <f t="shared" si="1187"/>
        <v>0</v>
      </c>
      <c r="H5790">
        <f t="shared" si="1188"/>
        <v>0</v>
      </c>
      <c r="I5790">
        <f t="shared" si="1189"/>
        <v>0</v>
      </c>
      <c r="J5790">
        <f t="shared" si="1190"/>
        <v>0</v>
      </c>
      <c r="K5790" s="4" t="e">
        <f t="shared" si="1178"/>
        <v>#N/A</v>
      </c>
      <c r="L5790" t="e">
        <f t="shared" si="1179"/>
        <v>#N/A</v>
      </c>
      <c r="M5790" s="4" t="e">
        <f t="shared" si="1180"/>
        <v>#N/A</v>
      </c>
      <c r="N5790" s="4" t="e">
        <f t="shared" si="1181"/>
        <v>#N/A</v>
      </c>
    </row>
    <row r="5791" spans="1:14">
      <c r="A5791">
        <f t="shared" si="1182"/>
        <v>0</v>
      </c>
      <c r="B5791">
        <f t="shared" si="1183"/>
        <v>0</v>
      </c>
      <c r="C5791">
        <f t="shared" si="1184"/>
        <v>0</v>
      </c>
      <c r="D5791">
        <f t="shared" si="1185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6"/>
        <v>0</v>
      </c>
      <c r="G5791">
        <f t="shared" si="1187"/>
        <v>0</v>
      </c>
      <c r="H5791">
        <f t="shared" si="1188"/>
        <v>0</v>
      </c>
      <c r="I5791">
        <f t="shared" si="1189"/>
        <v>0</v>
      </c>
      <c r="J5791">
        <f t="shared" si="1190"/>
        <v>0</v>
      </c>
      <c r="K5791" s="4" t="e">
        <f t="shared" si="1178"/>
        <v>#N/A</v>
      </c>
      <c r="L5791" t="e">
        <f t="shared" si="1179"/>
        <v>#N/A</v>
      </c>
      <c r="M5791" s="4" t="e">
        <f t="shared" si="1180"/>
        <v>#N/A</v>
      </c>
      <c r="N5791" s="4" t="e">
        <f t="shared" si="1181"/>
        <v>#N/A</v>
      </c>
    </row>
    <row r="5792" spans="1:14">
      <c r="A5792">
        <f t="shared" si="1182"/>
        <v>0</v>
      </c>
      <c r="B5792">
        <f t="shared" si="1183"/>
        <v>0</v>
      </c>
      <c r="C5792">
        <f t="shared" si="1184"/>
        <v>0</v>
      </c>
      <c r="D5792">
        <f t="shared" si="1185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6"/>
        <v>0</v>
      </c>
      <c r="G5792">
        <f t="shared" si="1187"/>
        <v>0</v>
      </c>
      <c r="H5792">
        <f t="shared" si="1188"/>
        <v>0</v>
      </c>
      <c r="I5792">
        <f t="shared" si="1189"/>
        <v>0</v>
      </c>
      <c r="J5792">
        <f t="shared" si="1190"/>
        <v>0</v>
      </c>
      <c r="K5792" s="4" t="e">
        <f t="shared" si="1178"/>
        <v>#N/A</v>
      </c>
      <c r="L5792" t="e">
        <f t="shared" si="1179"/>
        <v>#N/A</v>
      </c>
      <c r="M5792" s="4" t="e">
        <f t="shared" si="1180"/>
        <v>#N/A</v>
      </c>
      <c r="N5792" s="4" t="e">
        <f t="shared" si="1181"/>
        <v>#N/A</v>
      </c>
    </row>
    <row r="5793" spans="1:14">
      <c r="A5793">
        <f t="shared" si="1182"/>
        <v>0</v>
      </c>
      <c r="B5793">
        <f t="shared" si="1183"/>
        <v>0</v>
      </c>
      <c r="C5793">
        <f t="shared" si="1184"/>
        <v>0</v>
      </c>
      <c r="D5793">
        <f t="shared" si="1185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6"/>
        <v>0</v>
      </c>
      <c r="G5793">
        <f t="shared" si="1187"/>
        <v>0</v>
      </c>
      <c r="H5793">
        <f t="shared" si="1188"/>
        <v>0</v>
      </c>
      <c r="I5793">
        <f t="shared" si="1189"/>
        <v>0</v>
      </c>
      <c r="J5793">
        <f t="shared" si="1190"/>
        <v>0</v>
      </c>
      <c r="K5793" s="4" t="e">
        <f t="shared" si="1178"/>
        <v>#N/A</v>
      </c>
      <c r="L5793" t="e">
        <f t="shared" si="1179"/>
        <v>#N/A</v>
      </c>
      <c r="M5793" s="4" t="e">
        <f t="shared" si="1180"/>
        <v>#N/A</v>
      </c>
      <c r="N5793" s="4" t="e">
        <f t="shared" si="1181"/>
        <v>#N/A</v>
      </c>
    </row>
    <row r="5794" spans="1:14">
      <c r="A5794">
        <f t="shared" si="1182"/>
        <v>0</v>
      </c>
      <c r="B5794">
        <f t="shared" si="1183"/>
        <v>0</v>
      </c>
      <c r="C5794">
        <f t="shared" si="1184"/>
        <v>0</v>
      </c>
      <c r="D5794">
        <f t="shared" si="1185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6"/>
        <v>0</v>
      </c>
      <c r="G5794">
        <f t="shared" si="1187"/>
        <v>0</v>
      </c>
      <c r="H5794">
        <f t="shared" si="1188"/>
        <v>0</v>
      </c>
      <c r="I5794">
        <f t="shared" si="1189"/>
        <v>0</v>
      </c>
      <c r="J5794">
        <f t="shared" si="1190"/>
        <v>0</v>
      </c>
      <c r="K5794" s="4" t="e">
        <f t="shared" si="1178"/>
        <v>#N/A</v>
      </c>
      <c r="L5794" t="e">
        <f t="shared" si="1179"/>
        <v>#N/A</v>
      </c>
      <c r="M5794" s="4" t="e">
        <f t="shared" si="1180"/>
        <v>#N/A</v>
      </c>
      <c r="N5794" s="4" t="e">
        <f t="shared" si="1181"/>
        <v>#N/A</v>
      </c>
    </row>
    <row r="5795" spans="1:14">
      <c r="A5795">
        <f t="shared" si="1182"/>
        <v>0</v>
      </c>
      <c r="B5795">
        <f t="shared" si="1183"/>
        <v>0</v>
      </c>
      <c r="C5795">
        <f t="shared" si="1184"/>
        <v>0</v>
      </c>
      <c r="D5795">
        <f t="shared" si="1185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6"/>
        <v>0</v>
      </c>
      <c r="G5795">
        <f t="shared" si="1187"/>
        <v>0</v>
      </c>
      <c r="H5795">
        <f t="shared" si="1188"/>
        <v>0</v>
      </c>
      <c r="I5795">
        <f t="shared" si="1189"/>
        <v>0</v>
      </c>
      <c r="J5795">
        <f t="shared" si="1190"/>
        <v>0</v>
      </c>
      <c r="K5795" s="4" t="e">
        <f t="shared" si="1178"/>
        <v>#N/A</v>
      </c>
      <c r="L5795" t="e">
        <f t="shared" si="1179"/>
        <v>#N/A</v>
      </c>
      <c r="M5795" s="4" t="e">
        <f t="shared" si="1180"/>
        <v>#N/A</v>
      </c>
      <c r="N5795" s="4" t="e">
        <f t="shared" si="1181"/>
        <v>#N/A</v>
      </c>
    </row>
    <row r="5796" spans="1:14">
      <c r="A5796">
        <f t="shared" si="1182"/>
        <v>0</v>
      </c>
      <c r="B5796">
        <f t="shared" si="1183"/>
        <v>0</v>
      </c>
      <c r="C5796">
        <f t="shared" si="1184"/>
        <v>0</v>
      </c>
      <c r="D5796">
        <f t="shared" si="1185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6"/>
        <v>0</v>
      </c>
      <c r="G5796">
        <f t="shared" si="1187"/>
        <v>0</v>
      </c>
      <c r="H5796">
        <f t="shared" si="1188"/>
        <v>0</v>
      </c>
      <c r="I5796">
        <f t="shared" si="1189"/>
        <v>0</v>
      </c>
      <c r="J5796">
        <f t="shared" si="1190"/>
        <v>0</v>
      </c>
      <c r="K5796" s="4" t="e">
        <f t="shared" si="1178"/>
        <v>#N/A</v>
      </c>
      <c r="L5796" t="e">
        <f t="shared" si="1179"/>
        <v>#N/A</v>
      </c>
      <c r="M5796" s="4" t="e">
        <f t="shared" si="1180"/>
        <v>#N/A</v>
      </c>
      <c r="N5796" s="4" t="e">
        <f t="shared" si="1181"/>
        <v>#N/A</v>
      </c>
    </row>
    <row r="5797" spans="1:14">
      <c r="A5797">
        <f t="shared" si="1182"/>
        <v>0</v>
      </c>
      <c r="B5797">
        <f t="shared" si="1183"/>
        <v>0</v>
      </c>
      <c r="C5797">
        <f t="shared" si="1184"/>
        <v>0</v>
      </c>
      <c r="D5797">
        <f t="shared" si="1185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6"/>
        <v>0</v>
      </c>
      <c r="G5797">
        <f t="shared" si="1187"/>
        <v>0</v>
      </c>
      <c r="H5797">
        <f t="shared" si="1188"/>
        <v>0</v>
      </c>
      <c r="I5797">
        <f t="shared" si="1189"/>
        <v>0</v>
      </c>
      <c r="J5797">
        <f t="shared" si="1190"/>
        <v>0</v>
      </c>
      <c r="K5797" s="4" t="e">
        <f t="shared" si="1178"/>
        <v>#N/A</v>
      </c>
      <c r="L5797" t="e">
        <f t="shared" si="1179"/>
        <v>#N/A</v>
      </c>
      <c r="M5797" s="4" t="e">
        <f t="shared" si="1180"/>
        <v>#N/A</v>
      </c>
      <c r="N5797" s="4" t="e">
        <f t="shared" si="1181"/>
        <v>#N/A</v>
      </c>
    </row>
    <row r="5798" spans="1:14">
      <c r="A5798">
        <f t="shared" si="1182"/>
        <v>0</v>
      </c>
      <c r="B5798">
        <f t="shared" si="1183"/>
        <v>0</v>
      </c>
      <c r="C5798">
        <f t="shared" si="1184"/>
        <v>0</v>
      </c>
      <c r="D5798">
        <f t="shared" si="1185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6"/>
        <v>0</v>
      </c>
      <c r="G5798">
        <f t="shared" si="1187"/>
        <v>0</v>
      </c>
      <c r="H5798">
        <f t="shared" si="1188"/>
        <v>0</v>
      </c>
      <c r="I5798">
        <f t="shared" si="1189"/>
        <v>0</v>
      </c>
      <c r="J5798">
        <f t="shared" si="1190"/>
        <v>0</v>
      </c>
      <c r="K5798" s="4" t="e">
        <f t="shared" si="1178"/>
        <v>#N/A</v>
      </c>
      <c r="L5798" t="e">
        <f t="shared" si="1179"/>
        <v>#N/A</v>
      </c>
      <c r="M5798" s="4" t="e">
        <f t="shared" si="1180"/>
        <v>#N/A</v>
      </c>
      <c r="N5798" s="4" t="e">
        <f t="shared" si="1181"/>
        <v>#N/A</v>
      </c>
    </row>
    <row r="5799" spans="1:14">
      <c r="A5799">
        <f t="shared" si="1182"/>
        <v>0</v>
      </c>
      <c r="B5799">
        <f t="shared" si="1183"/>
        <v>0</v>
      </c>
      <c r="C5799">
        <f t="shared" si="1184"/>
        <v>0</v>
      </c>
      <c r="D5799">
        <f t="shared" si="1185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6"/>
        <v>0</v>
      </c>
      <c r="G5799">
        <f t="shared" si="1187"/>
        <v>0</v>
      </c>
      <c r="H5799">
        <f t="shared" si="1188"/>
        <v>0</v>
      </c>
      <c r="I5799">
        <f t="shared" si="1189"/>
        <v>0</v>
      </c>
      <c r="J5799">
        <f t="shared" si="1190"/>
        <v>0</v>
      </c>
      <c r="K5799" s="4" t="e">
        <f t="shared" si="1178"/>
        <v>#N/A</v>
      </c>
      <c r="L5799" t="e">
        <f t="shared" si="1179"/>
        <v>#N/A</v>
      </c>
      <c r="M5799" s="4" t="e">
        <f t="shared" si="1180"/>
        <v>#N/A</v>
      </c>
      <c r="N5799" s="4" t="e">
        <f t="shared" si="1181"/>
        <v>#N/A</v>
      </c>
    </row>
    <row r="5800" spans="1:14">
      <c r="A5800">
        <f t="shared" si="1182"/>
        <v>0</v>
      </c>
      <c r="B5800">
        <f t="shared" si="1183"/>
        <v>0</v>
      </c>
      <c r="C5800">
        <f t="shared" si="1184"/>
        <v>0</v>
      </c>
      <c r="D5800">
        <f t="shared" si="1185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6"/>
        <v>0</v>
      </c>
      <c r="G5800">
        <f t="shared" si="1187"/>
        <v>0</v>
      </c>
      <c r="H5800">
        <f t="shared" si="1188"/>
        <v>0</v>
      </c>
      <c r="I5800">
        <f t="shared" si="1189"/>
        <v>0</v>
      </c>
      <c r="J5800">
        <f t="shared" si="1190"/>
        <v>0</v>
      </c>
      <c r="K5800" s="4" t="e">
        <f t="shared" si="1178"/>
        <v>#N/A</v>
      </c>
      <c r="L5800" t="e">
        <f t="shared" si="1179"/>
        <v>#N/A</v>
      </c>
      <c r="M5800" s="4" t="e">
        <f t="shared" si="1180"/>
        <v>#N/A</v>
      </c>
      <c r="N5800" s="4" t="e">
        <f t="shared" si="1181"/>
        <v>#N/A</v>
      </c>
    </row>
    <row r="5801" spans="1:14">
      <c r="A5801">
        <f t="shared" si="1182"/>
        <v>0</v>
      </c>
      <c r="B5801">
        <f t="shared" si="1183"/>
        <v>0</v>
      </c>
      <c r="C5801">
        <f t="shared" si="1184"/>
        <v>0</v>
      </c>
      <c r="D5801">
        <f t="shared" si="1185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6"/>
        <v>0</v>
      </c>
      <c r="G5801">
        <f t="shared" si="1187"/>
        <v>0</v>
      </c>
      <c r="H5801">
        <f t="shared" si="1188"/>
        <v>0</v>
      </c>
      <c r="I5801">
        <f t="shared" si="1189"/>
        <v>0</v>
      </c>
      <c r="J5801">
        <f t="shared" si="1190"/>
        <v>0</v>
      </c>
      <c r="K5801" s="4" t="e">
        <f t="shared" si="1178"/>
        <v>#N/A</v>
      </c>
      <c r="L5801" t="e">
        <f t="shared" si="1179"/>
        <v>#N/A</v>
      </c>
      <c r="M5801" s="4" t="e">
        <f t="shared" si="1180"/>
        <v>#N/A</v>
      </c>
      <c r="N5801" s="4" t="e">
        <f t="shared" si="1181"/>
        <v>#N/A</v>
      </c>
    </row>
    <row r="5802" spans="1:14">
      <c r="A5802">
        <f t="shared" si="1182"/>
        <v>0</v>
      </c>
      <c r="B5802">
        <f t="shared" si="1183"/>
        <v>0</v>
      </c>
      <c r="C5802">
        <f t="shared" si="1184"/>
        <v>0</v>
      </c>
      <c r="D5802">
        <f t="shared" si="1185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6"/>
        <v>0</v>
      </c>
      <c r="G5802">
        <f t="shared" si="1187"/>
        <v>0</v>
      </c>
      <c r="H5802">
        <f t="shared" si="1188"/>
        <v>0</v>
      </c>
      <c r="I5802">
        <f t="shared" si="1189"/>
        <v>0</v>
      </c>
      <c r="J5802">
        <f t="shared" si="1190"/>
        <v>0</v>
      </c>
      <c r="K5802" s="4" t="e">
        <f t="shared" si="1178"/>
        <v>#N/A</v>
      </c>
      <c r="L5802" t="e">
        <f t="shared" si="1179"/>
        <v>#N/A</v>
      </c>
      <c r="M5802" s="4" t="e">
        <f t="shared" si="1180"/>
        <v>#N/A</v>
      </c>
      <c r="N5802" s="4" t="e">
        <f t="shared" si="1181"/>
        <v>#N/A</v>
      </c>
    </row>
    <row r="5803" spans="1:14">
      <c r="A5803">
        <f t="shared" si="1182"/>
        <v>0</v>
      </c>
      <c r="B5803">
        <f t="shared" si="1183"/>
        <v>0</v>
      </c>
      <c r="C5803">
        <f t="shared" si="1184"/>
        <v>0</v>
      </c>
      <c r="D5803">
        <f t="shared" si="1185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6"/>
        <v>0</v>
      </c>
      <c r="G5803">
        <f t="shared" si="1187"/>
        <v>0</v>
      </c>
      <c r="H5803">
        <f t="shared" si="1188"/>
        <v>0</v>
      </c>
      <c r="I5803">
        <f t="shared" si="1189"/>
        <v>0</v>
      </c>
      <c r="J5803">
        <f t="shared" si="1190"/>
        <v>0</v>
      </c>
      <c r="K5803" s="4" t="e">
        <f t="shared" si="1178"/>
        <v>#N/A</v>
      </c>
      <c r="L5803" t="e">
        <f t="shared" si="1179"/>
        <v>#N/A</v>
      </c>
      <c r="M5803" s="4" t="e">
        <f t="shared" si="1180"/>
        <v>#N/A</v>
      </c>
      <c r="N5803" s="4" t="e">
        <f t="shared" si="1181"/>
        <v>#N/A</v>
      </c>
    </row>
    <row r="5804" spans="1:14">
      <c r="A5804">
        <f t="shared" si="1182"/>
        <v>0</v>
      </c>
      <c r="B5804">
        <f t="shared" si="1183"/>
        <v>0</v>
      </c>
      <c r="C5804">
        <f t="shared" si="1184"/>
        <v>0</v>
      </c>
      <c r="D5804">
        <f t="shared" si="1185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6"/>
        <v>0</v>
      </c>
      <c r="G5804">
        <f t="shared" si="1187"/>
        <v>0</v>
      </c>
      <c r="H5804">
        <f t="shared" si="1188"/>
        <v>0</v>
      </c>
      <c r="I5804">
        <f t="shared" si="1189"/>
        <v>0</v>
      </c>
      <c r="J5804">
        <f t="shared" si="1190"/>
        <v>0</v>
      </c>
      <c r="K5804" s="4" t="e">
        <f t="shared" si="1178"/>
        <v>#N/A</v>
      </c>
      <c r="L5804" t="e">
        <f t="shared" si="1179"/>
        <v>#N/A</v>
      </c>
      <c r="M5804" s="4" t="e">
        <f t="shared" si="1180"/>
        <v>#N/A</v>
      </c>
      <c r="N5804" s="4" t="e">
        <f t="shared" si="1181"/>
        <v>#N/A</v>
      </c>
    </row>
    <row r="5805" spans="1:14">
      <c r="A5805">
        <f t="shared" si="1182"/>
        <v>0</v>
      </c>
      <c r="B5805">
        <f t="shared" si="1183"/>
        <v>0</v>
      </c>
      <c r="C5805">
        <f t="shared" si="1184"/>
        <v>0</v>
      </c>
      <c r="D5805">
        <f t="shared" si="1185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6"/>
        <v>0</v>
      </c>
      <c r="G5805">
        <f t="shared" si="1187"/>
        <v>0</v>
      </c>
      <c r="H5805">
        <f t="shared" si="1188"/>
        <v>0</v>
      </c>
      <c r="I5805">
        <f t="shared" si="1189"/>
        <v>0</v>
      </c>
      <c r="J5805">
        <f t="shared" si="1190"/>
        <v>0</v>
      </c>
      <c r="K5805" s="4" t="e">
        <f t="shared" si="1178"/>
        <v>#N/A</v>
      </c>
      <c r="L5805" t="e">
        <f t="shared" si="1179"/>
        <v>#N/A</v>
      </c>
      <c r="M5805" s="4" t="e">
        <f t="shared" si="1180"/>
        <v>#N/A</v>
      </c>
      <c r="N5805" s="4" t="e">
        <f t="shared" si="1181"/>
        <v>#N/A</v>
      </c>
    </row>
    <row r="5806" spans="1:14">
      <c r="A5806">
        <f t="shared" si="1182"/>
        <v>0</v>
      </c>
      <c r="B5806">
        <f t="shared" si="1183"/>
        <v>0</v>
      </c>
      <c r="C5806">
        <f t="shared" si="1184"/>
        <v>0</v>
      </c>
      <c r="D5806">
        <f t="shared" si="1185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6"/>
        <v>0</v>
      </c>
      <c r="G5806">
        <f t="shared" si="1187"/>
        <v>0</v>
      </c>
      <c r="H5806">
        <f t="shared" si="1188"/>
        <v>0</v>
      </c>
      <c r="I5806">
        <f t="shared" si="1189"/>
        <v>0</v>
      </c>
      <c r="J5806">
        <f t="shared" si="1190"/>
        <v>0</v>
      </c>
      <c r="K5806" s="4" t="e">
        <f t="shared" si="1178"/>
        <v>#N/A</v>
      </c>
      <c r="L5806" t="e">
        <f t="shared" si="1179"/>
        <v>#N/A</v>
      </c>
      <c r="M5806" s="4" t="e">
        <f t="shared" si="1180"/>
        <v>#N/A</v>
      </c>
      <c r="N5806" s="4" t="e">
        <f t="shared" si="1181"/>
        <v>#N/A</v>
      </c>
    </row>
    <row r="5807" spans="1:14">
      <c r="A5807">
        <f t="shared" si="1182"/>
        <v>0</v>
      </c>
      <c r="B5807">
        <f t="shared" si="1183"/>
        <v>0</v>
      </c>
      <c r="C5807">
        <f t="shared" si="1184"/>
        <v>0</v>
      </c>
      <c r="D5807">
        <f t="shared" si="1185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6"/>
        <v>0</v>
      </c>
      <c r="G5807">
        <f t="shared" si="1187"/>
        <v>0</v>
      </c>
      <c r="H5807">
        <f t="shared" si="1188"/>
        <v>0</v>
      </c>
      <c r="I5807">
        <f t="shared" si="1189"/>
        <v>0</v>
      </c>
      <c r="J5807">
        <f t="shared" si="1190"/>
        <v>0</v>
      </c>
      <c r="K5807" s="4" t="e">
        <f t="shared" si="1178"/>
        <v>#N/A</v>
      </c>
      <c r="L5807" t="e">
        <f t="shared" si="1179"/>
        <v>#N/A</v>
      </c>
      <c r="M5807" s="4" t="e">
        <f t="shared" si="1180"/>
        <v>#N/A</v>
      </c>
      <c r="N5807" s="4" t="e">
        <f t="shared" si="1181"/>
        <v>#N/A</v>
      </c>
    </row>
    <row r="5808" spans="1:14">
      <c r="A5808">
        <f t="shared" si="1182"/>
        <v>0</v>
      </c>
      <c r="B5808">
        <f t="shared" si="1183"/>
        <v>0</v>
      </c>
      <c r="C5808">
        <f t="shared" si="1184"/>
        <v>0</v>
      </c>
      <c r="D5808">
        <f t="shared" si="1185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6"/>
        <v>0</v>
      </c>
      <c r="G5808">
        <f t="shared" si="1187"/>
        <v>0</v>
      </c>
      <c r="H5808">
        <f t="shared" si="1188"/>
        <v>0</v>
      </c>
      <c r="I5808">
        <f t="shared" si="1189"/>
        <v>0</v>
      </c>
      <c r="J5808">
        <f t="shared" si="1190"/>
        <v>0</v>
      </c>
      <c r="K5808" s="4" t="e">
        <f t="shared" si="1178"/>
        <v>#N/A</v>
      </c>
      <c r="L5808" t="e">
        <f t="shared" si="1179"/>
        <v>#N/A</v>
      </c>
      <c r="M5808" s="4" t="e">
        <f t="shared" si="1180"/>
        <v>#N/A</v>
      </c>
      <c r="N5808" s="4" t="e">
        <f t="shared" si="1181"/>
        <v>#N/A</v>
      </c>
    </row>
    <row r="5809" spans="1:14">
      <c r="A5809">
        <f t="shared" si="1182"/>
        <v>0</v>
      </c>
      <c r="B5809">
        <f t="shared" si="1183"/>
        <v>0</v>
      </c>
      <c r="C5809">
        <f t="shared" si="1184"/>
        <v>0</v>
      </c>
      <c r="D5809">
        <f t="shared" si="1185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6"/>
        <v>0</v>
      </c>
      <c r="G5809">
        <f t="shared" si="1187"/>
        <v>0</v>
      </c>
      <c r="H5809">
        <f t="shared" si="1188"/>
        <v>0</v>
      </c>
      <c r="I5809">
        <f t="shared" si="1189"/>
        <v>0</v>
      </c>
      <c r="J5809">
        <f t="shared" si="1190"/>
        <v>0</v>
      </c>
      <c r="K5809" s="4" t="e">
        <f t="shared" si="1178"/>
        <v>#N/A</v>
      </c>
      <c r="L5809" t="e">
        <f t="shared" si="1179"/>
        <v>#N/A</v>
      </c>
      <c r="M5809" s="4" t="e">
        <f t="shared" si="1180"/>
        <v>#N/A</v>
      </c>
      <c r="N5809" s="4" t="e">
        <f t="shared" si="1181"/>
        <v>#N/A</v>
      </c>
    </row>
    <row r="5810" spans="1:14">
      <c r="A5810">
        <f t="shared" si="1182"/>
        <v>0</v>
      </c>
      <c r="B5810">
        <f t="shared" si="1183"/>
        <v>0</v>
      </c>
      <c r="C5810">
        <f t="shared" si="1184"/>
        <v>0</v>
      </c>
      <c r="D5810">
        <f t="shared" si="1185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6"/>
        <v>0</v>
      </c>
      <c r="G5810">
        <f t="shared" si="1187"/>
        <v>0</v>
      </c>
      <c r="H5810">
        <f t="shared" si="1188"/>
        <v>0</v>
      </c>
      <c r="I5810">
        <f t="shared" si="1189"/>
        <v>0</v>
      </c>
      <c r="J5810">
        <f t="shared" si="1190"/>
        <v>0</v>
      </c>
      <c r="K5810" s="4" t="e">
        <f t="shared" si="1178"/>
        <v>#N/A</v>
      </c>
      <c r="L5810" t="e">
        <f t="shared" si="1179"/>
        <v>#N/A</v>
      </c>
      <c r="M5810" s="4" t="e">
        <f t="shared" si="1180"/>
        <v>#N/A</v>
      </c>
      <c r="N5810" s="4" t="e">
        <f t="shared" si="1181"/>
        <v>#N/A</v>
      </c>
    </row>
    <row r="5811" spans="1:14">
      <c r="A5811">
        <f t="shared" si="1182"/>
        <v>0</v>
      </c>
      <c r="B5811">
        <f t="shared" si="1183"/>
        <v>0</v>
      </c>
      <c r="C5811">
        <f t="shared" si="1184"/>
        <v>0</v>
      </c>
      <c r="D5811">
        <f t="shared" si="1185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6"/>
        <v>0</v>
      </c>
      <c r="G5811">
        <f t="shared" si="1187"/>
        <v>0</v>
      </c>
      <c r="H5811">
        <f t="shared" si="1188"/>
        <v>0</v>
      </c>
      <c r="I5811">
        <f t="shared" si="1189"/>
        <v>0</v>
      </c>
      <c r="J5811">
        <f t="shared" si="1190"/>
        <v>0</v>
      </c>
      <c r="K5811" s="4" t="e">
        <f t="shared" si="1178"/>
        <v>#N/A</v>
      </c>
      <c r="L5811" t="e">
        <f t="shared" si="1179"/>
        <v>#N/A</v>
      </c>
      <c r="M5811" s="4" t="e">
        <f t="shared" si="1180"/>
        <v>#N/A</v>
      </c>
      <c r="N5811" s="4" t="e">
        <f t="shared" si="1181"/>
        <v>#N/A</v>
      </c>
    </row>
    <row r="5812" spans="1:14">
      <c r="A5812">
        <f t="shared" si="1182"/>
        <v>0</v>
      </c>
      <c r="B5812">
        <f t="shared" si="1183"/>
        <v>0</v>
      </c>
      <c r="C5812">
        <f t="shared" si="1184"/>
        <v>0</v>
      </c>
      <c r="D5812">
        <f t="shared" si="1185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6"/>
        <v>0</v>
      </c>
      <c r="G5812">
        <f t="shared" si="1187"/>
        <v>0</v>
      </c>
      <c r="H5812">
        <f t="shared" si="1188"/>
        <v>0</v>
      </c>
      <c r="I5812">
        <f t="shared" si="1189"/>
        <v>0</v>
      </c>
      <c r="J5812">
        <f t="shared" si="1190"/>
        <v>0</v>
      </c>
      <c r="K5812" s="4" t="e">
        <f t="shared" si="1178"/>
        <v>#N/A</v>
      </c>
      <c r="L5812" t="e">
        <f t="shared" si="1179"/>
        <v>#N/A</v>
      </c>
      <c r="M5812" s="4" t="e">
        <f t="shared" si="1180"/>
        <v>#N/A</v>
      </c>
      <c r="N5812" s="4" t="e">
        <f t="shared" si="1181"/>
        <v>#N/A</v>
      </c>
    </row>
    <row r="5813" spans="1:14">
      <c r="A5813">
        <f t="shared" si="1182"/>
        <v>0</v>
      </c>
      <c r="B5813">
        <f t="shared" si="1183"/>
        <v>0</v>
      </c>
      <c r="C5813">
        <f t="shared" si="1184"/>
        <v>0</v>
      </c>
      <c r="D5813">
        <f t="shared" si="1185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6"/>
        <v>0</v>
      </c>
      <c r="G5813">
        <f t="shared" si="1187"/>
        <v>0</v>
      </c>
      <c r="H5813">
        <f t="shared" si="1188"/>
        <v>0</v>
      </c>
      <c r="I5813">
        <f t="shared" si="1189"/>
        <v>0</v>
      </c>
      <c r="J5813">
        <f t="shared" si="1190"/>
        <v>0</v>
      </c>
      <c r="K5813" s="4" t="e">
        <f t="shared" si="1178"/>
        <v>#N/A</v>
      </c>
      <c r="L5813" t="e">
        <f t="shared" si="1179"/>
        <v>#N/A</v>
      </c>
      <c r="M5813" s="4" t="e">
        <f t="shared" si="1180"/>
        <v>#N/A</v>
      </c>
      <c r="N5813" s="4" t="e">
        <f t="shared" si="1181"/>
        <v>#N/A</v>
      </c>
    </row>
    <row r="5814" spans="1:14">
      <c r="A5814">
        <f t="shared" si="1182"/>
        <v>0</v>
      </c>
      <c r="B5814">
        <f t="shared" si="1183"/>
        <v>0</v>
      </c>
      <c r="C5814">
        <f t="shared" si="1184"/>
        <v>0</v>
      </c>
      <c r="D5814">
        <f t="shared" si="1185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6"/>
        <v>0</v>
      </c>
      <c r="G5814">
        <f t="shared" si="1187"/>
        <v>0</v>
      </c>
      <c r="H5814">
        <f t="shared" si="1188"/>
        <v>0</v>
      </c>
      <c r="I5814">
        <f t="shared" si="1189"/>
        <v>0</v>
      </c>
      <c r="J5814">
        <f t="shared" si="1190"/>
        <v>0</v>
      </c>
      <c r="K5814" s="4" t="e">
        <f t="shared" si="1178"/>
        <v>#N/A</v>
      </c>
      <c r="L5814" t="e">
        <f t="shared" si="1179"/>
        <v>#N/A</v>
      </c>
      <c r="M5814" s="4" t="e">
        <f t="shared" si="1180"/>
        <v>#N/A</v>
      </c>
      <c r="N5814" s="4" t="e">
        <f t="shared" si="1181"/>
        <v>#N/A</v>
      </c>
    </row>
    <row r="5815" spans="1:14">
      <c r="A5815">
        <f t="shared" si="1182"/>
        <v>0</v>
      </c>
      <c r="B5815">
        <f t="shared" si="1183"/>
        <v>0</v>
      </c>
      <c r="C5815">
        <f t="shared" si="1184"/>
        <v>0</v>
      </c>
      <c r="D5815">
        <f t="shared" si="1185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6"/>
        <v>0</v>
      </c>
      <c r="G5815">
        <f t="shared" si="1187"/>
        <v>0</v>
      </c>
      <c r="H5815">
        <f t="shared" si="1188"/>
        <v>0</v>
      </c>
      <c r="I5815">
        <f t="shared" si="1189"/>
        <v>0</v>
      </c>
      <c r="J5815">
        <f t="shared" si="1190"/>
        <v>0</v>
      </c>
      <c r="K5815" s="4" t="e">
        <f t="shared" si="1178"/>
        <v>#N/A</v>
      </c>
      <c r="L5815" t="e">
        <f t="shared" si="1179"/>
        <v>#N/A</v>
      </c>
      <c r="M5815" s="4" t="e">
        <f t="shared" si="1180"/>
        <v>#N/A</v>
      </c>
      <c r="N5815" s="4" t="e">
        <f t="shared" si="1181"/>
        <v>#N/A</v>
      </c>
    </row>
    <row r="5816" spans="1:14">
      <c r="A5816">
        <f t="shared" si="1182"/>
        <v>0</v>
      </c>
      <c r="B5816">
        <f t="shared" si="1183"/>
        <v>0</v>
      </c>
      <c r="C5816">
        <f t="shared" si="1184"/>
        <v>0</v>
      </c>
      <c r="D5816">
        <f t="shared" si="1185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6"/>
        <v>0</v>
      </c>
      <c r="G5816">
        <f t="shared" si="1187"/>
        <v>0</v>
      </c>
      <c r="H5816">
        <f t="shared" si="1188"/>
        <v>0</v>
      </c>
      <c r="I5816">
        <f t="shared" si="1189"/>
        <v>0</v>
      </c>
      <c r="J5816">
        <f t="shared" si="1190"/>
        <v>0</v>
      </c>
      <c r="K5816" s="4" t="e">
        <f t="shared" si="1178"/>
        <v>#N/A</v>
      </c>
      <c r="L5816" t="e">
        <f t="shared" si="1179"/>
        <v>#N/A</v>
      </c>
      <c r="M5816" s="4" t="e">
        <f t="shared" si="1180"/>
        <v>#N/A</v>
      </c>
      <c r="N5816" s="4" t="e">
        <f t="shared" si="1181"/>
        <v>#N/A</v>
      </c>
    </row>
    <row r="5817" spans="1:14">
      <c r="A5817">
        <f t="shared" si="1182"/>
        <v>0</v>
      </c>
      <c r="B5817">
        <f t="shared" si="1183"/>
        <v>0</v>
      </c>
      <c r="C5817">
        <f t="shared" si="1184"/>
        <v>0</v>
      </c>
      <c r="D5817">
        <f t="shared" si="1185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6"/>
        <v>0</v>
      </c>
      <c r="G5817">
        <f t="shared" si="1187"/>
        <v>0</v>
      </c>
      <c r="H5817">
        <f t="shared" si="1188"/>
        <v>0</v>
      </c>
      <c r="I5817">
        <f t="shared" si="1189"/>
        <v>0</v>
      </c>
      <c r="J5817">
        <f t="shared" si="1190"/>
        <v>0</v>
      </c>
      <c r="K5817" s="4" t="e">
        <f t="shared" si="1178"/>
        <v>#N/A</v>
      </c>
      <c r="L5817" t="e">
        <f t="shared" si="1179"/>
        <v>#N/A</v>
      </c>
      <c r="M5817" s="4" t="e">
        <f t="shared" si="1180"/>
        <v>#N/A</v>
      </c>
      <c r="N5817" s="4" t="e">
        <f t="shared" si="1181"/>
        <v>#N/A</v>
      </c>
    </row>
    <row r="5818" spans="1:14">
      <c r="A5818">
        <f t="shared" si="1182"/>
        <v>0</v>
      </c>
      <c r="B5818">
        <f t="shared" si="1183"/>
        <v>0</v>
      </c>
      <c r="C5818">
        <f t="shared" si="1184"/>
        <v>0</v>
      </c>
      <c r="D5818">
        <f t="shared" si="1185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6"/>
        <v>0</v>
      </c>
      <c r="G5818">
        <f t="shared" si="1187"/>
        <v>0</v>
      </c>
      <c r="H5818">
        <f t="shared" si="1188"/>
        <v>0</v>
      </c>
      <c r="I5818">
        <f t="shared" si="1189"/>
        <v>0</v>
      </c>
      <c r="J5818">
        <f t="shared" si="1190"/>
        <v>0</v>
      </c>
      <c r="K5818" s="4" t="e">
        <f t="shared" si="1178"/>
        <v>#N/A</v>
      </c>
      <c r="L5818" t="e">
        <f t="shared" si="1179"/>
        <v>#N/A</v>
      </c>
      <c r="M5818" s="4" t="e">
        <f t="shared" si="1180"/>
        <v>#N/A</v>
      </c>
      <c r="N5818" s="4" t="e">
        <f t="shared" si="1181"/>
        <v>#N/A</v>
      </c>
    </row>
    <row r="5819" spans="1:14">
      <c r="A5819">
        <f t="shared" si="1182"/>
        <v>0</v>
      </c>
      <c r="B5819">
        <f t="shared" si="1183"/>
        <v>0</v>
      </c>
      <c r="C5819">
        <f t="shared" si="1184"/>
        <v>0</v>
      </c>
      <c r="D5819">
        <f t="shared" si="1185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6"/>
        <v>0</v>
      </c>
      <c r="G5819">
        <f t="shared" si="1187"/>
        <v>0</v>
      </c>
      <c r="H5819">
        <f t="shared" si="1188"/>
        <v>0</v>
      </c>
      <c r="I5819">
        <f t="shared" si="1189"/>
        <v>0</v>
      </c>
      <c r="J5819">
        <f t="shared" si="1190"/>
        <v>0</v>
      </c>
      <c r="K5819" s="4" t="e">
        <f t="shared" si="1178"/>
        <v>#N/A</v>
      </c>
      <c r="L5819" t="e">
        <f t="shared" si="1179"/>
        <v>#N/A</v>
      </c>
      <c r="M5819" s="4" t="e">
        <f t="shared" si="1180"/>
        <v>#N/A</v>
      </c>
      <c r="N5819" s="4" t="e">
        <f t="shared" si="1181"/>
        <v>#N/A</v>
      </c>
    </row>
    <row r="5820" spans="1:14">
      <c r="A5820">
        <f t="shared" si="1182"/>
        <v>0</v>
      </c>
      <c r="B5820">
        <f t="shared" si="1183"/>
        <v>0</v>
      </c>
      <c r="C5820">
        <f t="shared" si="1184"/>
        <v>0</v>
      </c>
      <c r="D5820">
        <f t="shared" si="1185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6"/>
        <v>0</v>
      </c>
      <c r="G5820">
        <f t="shared" si="1187"/>
        <v>0</v>
      </c>
      <c r="H5820">
        <f t="shared" si="1188"/>
        <v>0</v>
      </c>
      <c r="I5820">
        <f t="shared" si="1189"/>
        <v>0</v>
      </c>
      <c r="J5820">
        <f t="shared" si="1190"/>
        <v>0</v>
      </c>
      <c r="K5820" s="4" t="e">
        <f t="shared" si="1178"/>
        <v>#N/A</v>
      </c>
      <c r="L5820" t="e">
        <f t="shared" si="1179"/>
        <v>#N/A</v>
      </c>
      <c r="M5820" s="4" t="e">
        <f t="shared" si="1180"/>
        <v>#N/A</v>
      </c>
      <c r="N5820" s="4" t="e">
        <f t="shared" si="1181"/>
        <v>#N/A</v>
      </c>
    </row>
    <row r="5821" spans="1:14">
      <c r="A5821">
        <f t="shared" si="1182"/>
        <v>0</v>
      </c>
      <c r="B5821">
        <f t="shared" si="1183"/>
        <v>0</v>
      </c>
      <c r="C5821">
        <f t="shared" si="1184"/>
        <v>0</v>
      </c>
      <c r="D5821">
        <f t="shared" si="1185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6"/>
        <v>0</v>
      </c>
      <c r="G5821">
        <f t="shared" si="1187"/>
        <v>0</v>
      </c>
      <c r="H5821">
        <f t="shared" si="1188"/>
        <v>0</v>
      </c>
      <c r="I5821">
        <f t="shared" si="1189"/>
        <v>0</v>
      </c>
      <c r="J5821">
        <f t="shared" si="1190"/>
        <v>0</v>
      </c>
      <c r="K5821" s="4" t="e">
        <f t="shared" ref="K5821:K5884" si="1191">IF(LEFT(B5821,3)="DBM",0,VLOOKUP(E5821,tabela,2,FALSE))</f>
        <v>#N/A</v>
      </c>
      <c r="L5821" t="e">
        <f t="shared" ref="L5821:L5884" si="1192">VLOOKUP(E5821,tabela,3,FALSE)</f>
        <v>#N/A</v>
      </c>
      <c r="M5821" s="4" t="e">
        <f t="shared" ref="M5821:M5884" si="1193">IF(E5821="Dynamic Click",J5821*K5821,K5821*$I5821/1000)</f>
        <v>#N/A</v>
      </c>
      <c r="N5821" s="4" t="e">
        <f t="shared" ref="N5821:N5884" si="1194">IF(E5821="Dynamic Click",J5821*L5821,L5821*$I5821/1000)</f>
        <v>#N/A</v>
      </c>
    </row>
    <row r="5822" spans="1:14">
      <c r="A5822">
        <f t="shared" si="1182"/>
        <v>0</v>
      </c>
      <c r="B5822">
        <f t="shared" si="1183"/>
        <v>0</v>
      </c>
      <c r="C5822">
        <f t="shared" si="1184"/>
        <v>0</v>
      </c>
      <c r="D5822">
        <f t="shared" si="1185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6"/>
        <v>0</v>
      </c>
      <c r="G5822">
        <f t="shared" si="1187"/>
        <v>0</v>
      </c>
      <c r="H5822">
        <f t="shared" si="1188"/>
        <v>0</v>
      </c>
      <c r="I5822">
        <f t="shared" si="1189"/>
        <v>0</v>
      </c>
      <c r="J5822">
        <f t="shared" si="1190"/>
        <v>0</v>
      </c>
      <c r="K5822" s="4" t="e">
        <f t="shared" si="1191"/>
        <v>#N/A</v>
      </c>
      <c r="L5822" t="e">
        <f t="shared" si="1192"/>
        <v>#N/A</v>
      </c>
      <c r="M5822" s="4" t="e">
        <f t="shared" si="1193"/>
        <v>#N/A</v>
      </c>
      <c r="N5822" s="4" t="e">
        <f t="shared" si="1194"/>
        <v>#N/A</v>
      </c>
    </row>
    <row r="5823" spans="1:14">
      <c r="A5823">
        <f t="shared" si="1182"/>
        <v>0</v>
      </c>
      <c r="B5823">
        <f t="shared" si="1183"/>
        <v>0</v>
      </c>
      <c r="C5823">
        <f t="shared" si="1184"/>
        <v>0</v>
      </c>
      <c r="D5823">
        <f t="shared" si="1185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6"/>
        <v>0</v>
      </c>
      <c r="G5823">
        <f t="shared" si="1187"/>
        <v>0</v>
      </c>
      <c r="H5823">
        <f t="shared" si="1188"/>
        <v>0</v>
      </c>
      <c r="I5823">
        <f t="shared" si="1189"/>
        <v>0</v>
      </c>
      <c r="J5823">
        <f t="shared" si="1190"/>
        <v>0</v>
      </c>
      <c r="K5823" s="4" t="e">
        <f t="shared" si="1191"/>
        <v>#N/A</v>
      </c>
      <c r="L5823" t="e">
        <f t="shared" si="1192"/>
        <v>#N/A</v>
      </c>
      <c r="M5823" s="4" t="e">
        <f t="shared" si="1193"/>
        <v>#N/A</v>
      </c>
      <c r="N5823" s="4" t="e">
        <f t="shared" si="1194"/>
        <v>#N/A</v>
      </c>
    </row>
    <row r="5824" spans="1:14">
      <c r="A5824">
        <f t="shared" si="1182"/>
        <v>0</v>
      </c>
      <c r="B5824">
        <f t="shared" si="1183"/>
        <v>0</v>
      </c>
      <c r="C5824">
        <f t="shared" si="1184"/>
        <v>0</v>
      </c>
      <c r="D5824">
        <f t="shared" si="1185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6"/>
        <v>0</v>
      </c>
      <c r="G5824">
        <f t="shared" si="1187"/>
        <v>0</v>
      </c>
      <c r="H5824">
        <f t="shared" si="1188"/>
        <v>0</v>
      </c>
      <c r="I5824">
        <f t="shared" si="1189"/>
        <v>0</v>
      </c>
      <c r="J5824">
        <f t="shared" si="1190"/>
        <v>0</v>
      </c>
      <c r="K5824" s="4" t="e">
        <f t="shared" si="1191"/>
        <v>#N/A</v>
      </c>
      <c r="L5824" t="e">
        <f t="shared" si="1192"/>
        <v>#N/A</v>
      </c>
      <c r="M5824" s="4" t="e">
        <f t="shared" si="1193"/>
        <v>#N/A</v>
      </c>
      <c r="N5824" s="4" t="e">
        <f t="shared" si="1194"/>
        <v>#N/A</v>
      </c>
    </row>
    <row r="5825" spans="1:14">
      <c r="A5825">
        <f t="shared" si="1182"/>
        <v>0</v>
      </c>
      <c r="B5825">
        <f t="shared" si="1183"/>
        <v>0</v>
      </c>
      <c r="C5825">
        <f t="shared" si="1184"/>
        <v>0</v>
      </c>
      <c r="D5825">
        <f t="shared" si="1185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6"/>
        <v>0</v>
      </c>
      <c r="G5825">
        <f t="shared" si="1187"/>
        <v>0</v>
      </c>
      <c r="H5825">
        <f t="shared" si="1188"/>
        <v>0</v>
      </c>
      <c r="I5825">
        <f t="shared" si="1189"/>
        <v>0</v>
      </c>
      <c r="J5825">
        <f t="shared" si="1190"/>
        <v>0</v>
      </c>
      <c r="K5825" s="4" t="e">
        <f t="shared" si="1191"/>
        <v>#N/A</v>
      </c>
      <c r="L5825" t="e">
        <f t="shared" si="1192"/>
        <v>#N/A</v>
      </c>
      <c r="M5825" s="4" t="e">
        <f t="shared" si="1193"/>
        <v>#N/A</v>
      </c>
      <c r="N5825" s="4" t="e">
        <f t="shared" si="1194"/>
        <v>#N/A</v>
      </c>
    </row>
    <row r="5826" spans="1:14">
      <c r="A5826">
        <f t="shared" ref="A5826:A5889" si="1195">bd_campaign</f>
        <v>0</v>
      </c>
      <c r="B5826">
        <f t="shared" ref="B5826:B5889" si="1196">bd_site</f>
        <v>0</v>
      </c>
      <c r="C5826">
        <f t="shared" ref="C5826:C5889" si="1197">bd_placement</f>
        <v>0</v>
      </c>
      <c r="D5826">
        <f t="shared" ref="D5826:D5889" si="1198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9">bd_ad</f>
        <v>0</v>
      </c>
      <c r="G5826">
        <f t="shared" ref="G5826:G5889" si="1200">bd_adid</f>
        <v>0</v>
      </c>
      <c r="H5826">
        <f t="shared" ref="H5826:H5889" si="1201">bd_creativetype</f>
        <v>0</v>
      </c>
      <c r="I5826">
        <f t="shared" ref="I5826:I5889" si="1202">bd_impression</f>
        <v>0</v>
      </c>
      <c r="J5826">
        <f t="shared" ref="J5826:J5889" si="1203">bd_clicks</f>
        <v>0</v>
      </c>
      <c r="K5826" s="4" t="e">
        <f t="shared" si="1191"/>
        <v>#N/A</v>
      </c>
      <c r="L5826" t="e">
        <f t="shared" si="1192"/>
        <v>#N/A</v>
      </c>
      <c r="M5826" s="4" t="e">
        <f t="shared" si="1193"/>
        <v>#N/A</v>
      </c>
      <c r="N5826" s="4" t="e">
        <f t="shared" si="1194"/>
        <v>#N/A</v>
      </c>
    </row>
    <row r="5827" spans="1:14">
      <c r="A5827">
        <f t="shared" si="1195"/>
        <v>0</v>
      </c>
      <c r="B5827">
        <f t="shared" si="1196"/>
        <v>0</v>
      </c>
      <c r="C5827">
        <f t="shared" si="1197"/>
        <v>0</v>
      </c>
      <c r="D5827">
        <f t="shared" si="1198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9"/>
        <v>0</v>
      </c>
      <c r="G5827">
        <f t="shared" si="1200"/>
        <v>0</v>
      </c>
      <c r="H5827">
        <f t="shared" si="1201"/>
        <v>0</v>
      </c>
      <c r="I5827">
        <f t="shared" si="1202"/>
        <v>0</v>
      </c>
      <c r="J5827">
        <f t="shared" si="1203"/>
        <v>0</v>
      </c>
      <c r="K5827" s="4" t="e">
        <f t="shared" si="1191"/>
        <v>#N/A</v>
      </c>
      <c r="L5827" t="e">
        <f t="shared" si="1192"/>
        <v>#N/A</v>
      </c>
      <c r="M5827" s="4" t="e">
        <f t="shared" si="1193"/>
        <v>#N/A</v>
      </c>
      <c r="N5827" s="4" t="e">
        <f t="shared" si="1194"/>
        <v>#N/A</v>
      </c>
    </row>
    <row r="5828" spans="1:14">
      <c r="A5828">
        <f t="shared" si="1195"/>
        <v>0</v>
      </c>
      <c r="B5828">
        <f t="shared" si="1196"/>
        <v>0</v>
      </c>
      <c r="C5828">
        <f t="shared" si="1197"/>
        <v>0</v>
      </c>
      <c r="D5828">
        <f t="shared" si="1198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9"/>
        <v>0</v>
      </c>
      <c r="G5828">
        <f t="shared" si="1200"/>
        <v>0</v>
      </c>
      <c r="H5828">
        <f t="shared" si="1201"/>
        <v>0</v>
      </c>
      <c r="I5828">
        <f t="shared" si="1202"/>
        <v>0</v>
      </c>
      <c r="J5828">
        <f t="shared" si="1203"/>
        <v>0</v>
      </c>
      <c r="K5828" s="4" t="e">
        <f t="shared" si="1191"/>
        <v>#N/A</v>
      </c>
      <c r="L5828" t="e">
        <f t="shared" si="1192"/>
        <v>#N/A</v>
      </c>
      <c r="M5828" s="4" t="e">
        <f t="shared" si="1193"/>
        <v>#N/A</v>
      </c>
      <c r="N5828" s="4" t="e">
        <f t="shared" si="1194"/>
        <v>#N/A</v>
      </c>
    </row>
    <row r="5829" spans="1:14">
      <c r="A5829">
        <f t="shared" si="1195"/>
        <v>0</v>
      </c>
      <c r="B5829">
        <f t="shared" si="1196"/>
        <v>0</v>
      </c>
      <c r="C5829">
        <f t="shared" si="1197"/>
        <v>0</v>
      </c>
      <c r="D5829">
        <f t="shared" si="1198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9"/>
        <v>0</v>
      </c>
      <c r="G5829">
        <f t="shared" si="1200"/>
        <v>0</v>
      </c>
      <c r="H5829">
        <f t="shared" si="1201"/>
        <v>0</v>
      </c>
      <c r="I5829">
        <f t="shared" si="1202"/>
        <v>0</v>
      </c>
      <c r="J5829">
        <f t="shared" si="1203"/>
        <v>0</v>
      </c>
      <c r="K5829" s="4" t="e">
        <f t="shared" si="1191"/>
        <v>#N/A</v>
      </c>
      <c r="L5829" t="e">
        <f t="shared" si="1192"/>
        <v>#N/A</v>
      </c>
      <c r="M5829" s="4" t="e">
        <f t="shared" si="1193"/>
        <v>#N/A</v>
      </c>
      <c r="N5829" s="4" t="e">
        <f t="shared" si="1194"/>
        <v>#N/A</v>
      </c>
    </row>
    <row r="5830" spans="1:14">
      <c r="A5830">
        <f t="shared" si="1195"/>
        <v>0</v>
      </c>
      <c r="B5830">
        <f t="shared" si="1196"/>
        <v>0</v>
      </c>
      <c r="C5830">
        <f t="shared" si="1197"/>
        <v>0</v>
      </c>
      <c r="D5830">
        <f t="shared" si="1198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9"/>
        <v>0</v>
      </c>
      <c r="G5830">
        <f t="shared" si="1200"/>
        <v>0</v>
      </c>
      <c r="H5830">
        <f t="shared" si="1201"/>
        <v>0</v>
      </c>
      <c r="I5830">
        <f t="shared" si="1202"/>
        <v>0</v>
      </c>
      <c r="J5830">
        <f t="shared" si="1203"/>
        <v>0</v>
      </c>
      <c r="K5830" s="4" t="e">
        <f t="shared" si="1191"/>
        <v>#N/A</v>
      </c>
      <c r="L5830" t="e">
        <f t="shared" si="1192"/>
        <v>#N/A</v>
      </c>
      <c r="M5830" s="4" t="e">
        <f t="shared" si="1193"/>
        <v>#N/A</v>
      </c>
      <c r="N5830" s="4" t="e">
        <f t="shared" si="1194"/>
        <v>#N/A</v>
      </c>
    </row>
    <row r="5831" spans="1:14">
      <c r="A5831">
        <f t="shared" si="1195"/>
        <v>0</v>
      </c>
      <c r="B5831">
        <f t="shared" si="1196"/>
        <v>0</v>
      </c>
      <c r="C5831">
        <f t="shared" si="1197"/>
        <v>0</v>
      </c>
      <c r="D5831">
        <f t="shared" si="1198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9"/>
        <v>0</v>
      </c>
      <c r="G5831">
        <f t="shared" si="1200"/>
        <v>0</v>
      </c>
      <c r="H5831">
        <f t="shared" si="1201"/>
        <v>0</v>
      </c>
      <c r="I5831">
        <f t="shared" si="1202"/>
        <v>0</v>
      </c>
      <c r="J5831">
        <f t="shared" si="1203"/>
        <v>0</v>
      </c>
      <c r="K5831" s="4" t="e">
        <f t="shared" si="1191"/>
        <v>#N/A</v>
      </c>
      <c r="L5831" t="e">
        <f t="shared" si="1192"/>
        <v>#N/A</v>
      </c>
      <c r="M5831" s="4" t="e">
        <f t="shared" si="1193"/>
        <v>#N/A</v>
      </c>
      <c r="N5831" s="4" t="e">
        <f t="shared" si="1194"/>
        <v>#N/A</v>
      </c>
    </row>
    <row r="5832" spans="1:14">
      <c r="A5832">
        <f t="shared" si="1195"/>
        <v>0</v>
      </c>
      <c r="B5832">
        <f t="shared" si="1196"/>
        <v>0</v>
      </c>
      <c r="C5832">
        <f t="shared" si="1197"/>
        <v>0</v>
      </c>
      <c r="D5832">
        <f t="shared" si="1198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9"/>
        <v>0</v>
      </c>
      <c r="G5832">
        <f t="shared" si="1200"/>
        <v>0</v>
      </c>
      <c r="H5832">
        <f t="shared" si="1201"/>
        <v>0</v>
      </c>
      <c r="I5832">
        <f t="shared" si="1202"/>
        <v>0</v>
      </c>
      <c r="J5832">
        <f t="shared" si="1203"/>
        <v>0</v>
      </c>
      <c r="K5832" s="4" t="e">
        <f t="shared" si="1191"/>
        <v>#N/A</v>
      </c>
      <c r="L5832" t="e">
        <f t="shared" si="1192"/>
        <v>#N/A</v>
      </c>
      <c r="M5832" s="4" t="e">
        <f t="shared" si="1193"/>
        <v>#N/A</v>
      </c>
      <c r="N5832" s="4" t="e">
        <f t="shared" si="1194"/>
        <v>#N/A</v>
      </c>
    </row>
    <row r="5833" spans="1:14">
      <c r="A5833">
        <f t="shared" si="1195"/>
        <v>0</v>
      </c>
      <c r="B5833">
        <f t="shared" si="1196"/>
        <v>0</v>
      </c>
      <c r="C5833">
        <f t="shared" si="1197"/>
        <v>0</v>
      </c>
      <c r="D5833">
        <f t="shared" si="1198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9"/>
        <v>0</v>
      </c>
      <c r="G5833">
        <f t="shared" si="1200"/>
        <v>0</v>
      </c>
      <c r="H5833">
        <f t="shared" si="1201"/>
        <v>0</v>
      </c>
      <c r="I5833">
        <f t="shared" si="1202"/>
        <v>0</v>
      </c>
      <c r="J5833">
        <f t="shared" si="1203"/>
        <v>0</v>
      </c>
      <c r="K5833" s="4" t="e">
        <f t="shared" si="1191"/>
        <v>#N/A</v>
      </c>
      <c r="L5833" t="e">
        <f t="shared" si="1192"/>
        <v>#N/A</v>
      </c>
      <c r="M5833" s="4" t="e">
        <f t="shared" si="1193"/>
        <v>#N/A</v>
      </c>
      <c r="N5833" s="4" t="e">
        <f t="shared" si="1194"/>
        <v>#N/A</v>
      </c>
    </row>
    <row r="5834" spans="1:14">
      <c r="A5834">
        <f t="shared" si="1195"/>
        <v>0</v>
      </c>
      <c r="B5834">
        <f t="shared" si="1196"/>
        <v>0</v>
      </c>
      <c r="C5834">
        <f t="shared" si="1197"/>
        <v>0</v>
      </c>
      <c r="D5834">
        <f t="shared" si="1198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9"/>
        <v>0</v>
      </c>
      <c r="G5834">
        <f t="shared" si="1200"/>
        <v>0</v>
      </c>
      <c r="H5834">
        <f t="shared" si="1201"/>
        <v>0</v>
      </c>
      <c r="I5834">
        <f t="shared" si="1202"/>
        <v>0</v>
      </c>
      <c r="J5834">
        <f t="shared" si="1203"/>
        <v>0</v>
      </c>
      <c r="K5834" s="4" t="e">
        <f t="shared" si="1191"/>
        <v>#N/A</v>
      </c>
      <c r="L5834" t="e">
        <f t="shared" si="1192"/>
        <v>#N/A</v>
      </c>
      <c r="M5834" s="4" t="e">
        <f t="shared" si="1193"/>
        <v>#N/A</v>
      </c>
      <c r="N5834" s="4" t="e">
        <f t="shared" si="1194"/>
        <v>#N/A</v>
      </c>
    </row>
    <row r="5835" spans="1:14">
      <c r="A5835">
        <f t="shared" si="1195"/>
        <v>0</v>
      </c>
      <c r="B5835">
        <f t="shared" si="1196"/>
        <v>0</v>
      </c>
      <c r="C5835">
        <f t="shared" si="1197"/>
        <v>0</v>
      </c>
      <c r="D5835">
        <f t="shared" si="1198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9"/>
        <v>0</v>
      </c>
      <c r="G5835">
        <f t="shared" si="1200"/>
        <v>0</v>
      </c>
      <c r="H5835">
        <f t="shared" si="1201"/>
        <v>0</v>
      </c>
      <c r="I5835">
        <f t="shared" si="1202"/>
        <v>0</v>
      </c>
      <c r="J5835">
        <f t="shared" si="1203"/>
        <v>0</v>
      </c>
      <c r="K5835" s="4" t="e">
        <f t="shared" si="1191"/>
        <v>#N/A</v>
      </c>
      <c r="L5835" t="e">
        <f t="shared" si="1192"/>
        <v>#N/A</v>
      </c>
      <c r="M5835" s="4" t="e">
        <f t="shared" si="1193"/>
        <v>#N/A</v>
      </c>
      <c r="N5835" s="4" t="e">
        <f t="shared" si="1194"/>
        <v>#N/A</v>
      </c>
    </row>
    <row r="5836" spans="1:14">
      <c r="A5836">
        <f t="shared" si="1195"/>
        <v>0</v>
      </c>
      <c r="B5836">
        <f t="shared" si="1196"/>
        <v>0</v>
      </c>
      <c r="C5836">
        <f t="shared" si="1197"/>
        <v>0</v>
      </c>
      <c r="D5836">
        <f t="shared" si="1198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9"/>
        <v>0</v>
      </c>
      <c r="G5836">
        <f t="shared" si="1200"/>
        <v>0</v>
      </c>
      <c r="H5836">
        <f t="shared" si="1201"/>
        <v>0</v>
      </c>
      <c r="I5836">
        <f t="shared" si="1202"/>
        <v>0</v>
      </c>
      <c r="J5836">
        <f t="shared" si="1203"/>
        <v>0</v>
      </c>
      <c r="K5836" s="4" t="e">
        <f t="shared" si="1191"/>
        <v>#N/A</v>
      </c>
      <c r="L5836" t="e">
        <f t="shared" si="1192"/>
        <v>#N/A</v>
      </c>
      <c r="M5836" s="4" t="e">
        <f t="shared" si="1193"/>
        <v>#N/A</v>
      </c>
      <c r="N5836" s="4" t="e">
        <f t="shared" si="1194"/>
        <v>#N/A</v>
      </c>
    </row>
    <row r="5837" spans="1:14">
      <c r="A5837">
        <f t="shared" si="1195"/>
        <v>0</v>
      </c>
      <c r="B5837">
        <f t="shared" si="1196"/>
        <v>0</v>
      </c>
      <c r="C5837">
        <f t="shared" si="1197"/>
        <v>0</v>
      </c>
      <c r="D5837">
        <f t="shared" si="1198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9"/>
        <v>0</v>
      </c>
      <c r="G5837">
        <f t="shared" si="1200"/>
        <v>0</v>
      </c>
      <c r="H5837">
        <f t="shared" si="1201"/>
        <v>0</v>
      </c>
      <c r="I5837">
        <f t="shared" si="1202"/>
        <v>0</v>
      </c>
      <c r="J5837">
        <f t="shared" si="1203"/>
        <v>0</v>
      </c>
      <c r="K5837" s="4" t="e">
        <f t="shared" si="1191"/>
        <v>#N/A</v>
      </c>
      <c r="L5837" t="e">
        <f t="shared" si="1192"/>
        <v>#N/A</v>
      </c>
      <c r="M5837" s="4" t="e">
        <f t="shared" si="1193"/>
        <v>#N/A</v>
      </c>
      <c r="N5837" s="4" t="e">
        <f t="shared" si="1194"/>
        <v>#N/A</v>
      </c>
    </row>
    <row r="5838" spans="1:14">
      <c r="A5838">
        <f t="shared" si="1195"/>
        <v>0</v>
      </c>
      <c r="B5838">
        <f t="shared" si="1196"/>
        <v>0</v>
      </c>
      <c r="C5838">
        <f t="shared" si="1197"/>
        <v>0</v>
      </c>
      <c r="D5838">
        <f t="shared" si="1198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9"/>
        <v>0</v>
      </c>
      <c r="G5838">
        <f t="shared" si="1200"/>
        <v>0</v>
      </c>
      <c r="H5838">
        <f t="shared" si="1201"/>
        <v>0</v>
      </c>
      <c r="I5838">
        <f t="shared" si="1202"/>
        <v>0</v>
      </c>
      <c r="J5838">
        <f t="shared" si="1203"/>
        <v>0</v>
      </c>
      <c r="K5838" s="4" t="e">
        <f t="shared" si="1191"/>
        <v>#N/A</v>
      </c>
      <c r="L5838" t="e">
        <f t="shared" si="1192"/>
        <v>#N/A</v>
      </c>
      <c r="M5838" s="4" t="e">
        <f t="shared" si="1193"/>
        <v>#N/A</v>
      </c>
      <c r="N5838" s="4" t="e">
        <f t="shared" si="1194"/>
        <v>#N/A</v>
      </c>
    </row>
    <row r="5839" spans="1:14">
      <c r="A5839">
        <f t="shared" si="1195"/>
        <v>0</v>
      </c>
      <c r="B5839">
        <f t="shared" si="1196"/>
        <v>0</v>
      </c>
      <c r="C5839">
        <f t="shared" si="1197"/>
        <v>0</v>
      </c>
      <c r="D5839">
        <f t="shared" si="1198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9"/>
        <v>0</v>
      </c>
      <c r="G5839">
        <f t="shared" si="1200"/>
        <v>0</v>
      </c>
      <c r="H5839">
        <f t="shared" si="1201"/>
        <v>0</v>
      </c>
      <c r="I5839">
        <f t="shared" si="1202"/>
        <v>0</v>
      </c>
      <c r="J5839">
        <f t="shared" si="1203"/>
        <v>0</v>
      </c>
      <c r="K5839" s="4" t="e">
        <f t="shared" si="1191"/>
        <v>#N/A</v>
      </c>
      <c r="L5839" t="e">
        <f t="shared" si="1192"/>
        <v>#N/A</v>
      </c>
      <c r="M5839" s="4" t="e">
        <f t="shared" si="1193"/>
        <v>#N/A</v>
      </c>
      <c r="N5839" s="4" t="e">
        <f t="shared" si="1194"/>
        <v>#N/A</v>
      </c>
    </row>
    <row r="5840" spans="1:14">
      <c r="A5840">
        <f t="shared" si="1195"/>
        <v>0</v>
      </c>
      <c r="B5840">
        <f t="shared" si="1196"/>
        <v>0</v>
      </c>
      <c r="C5840">
        <f t="shared" si="1197"/>
        <v>0</v>
      </c>
      <c r="D5840">
        <f t="shared" si="1198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9"/>
        <v>0</v>
      </c>
      <c r="G5840">
        <f t="shared" si="1200"/>
        <v>0</v>
      </c>
      <c r="H5840">
        <f t="shared" si="1201"/>
        <v>0</v>
      </c>
      <c r="I5840">
        <f t="shared" si="1202"/>
        <v>0</v>
      </c>
      <c r="J5840">
        <f t="shared" si="1203"/>
        <v>0</v>
      </c>
      <c r="K5840" s="4" t="e">
        <f t="shared" si="1191"/>
        <v>#N/A</v>
      </c>
      <c r="L5840" t="e">
        <f t="shared" si="1192"/>
        <v>#N/A</v>
      </c>
      <c r="M5840" s="4" t="e">
        <f t="shared" si="1193"/>
        <v>#N/A</v>
      </c>
      <c r="N5840" s="4" t="e">
        <f t="shared" si="1194"/>
        <v>#N/A</v>
      </c>
    </row>
    <row r="5841" spans="1:14">
      <c r="A5841">
        <f t="shared" si="1195"/>
        <v>0</v>
      </c>
      <c r="B5841">
        <f t="shared" si="1196"/>
        <v>0</v>
      </c>
      <c r="C5841">
        <f t="shared" si="1197"/>
        <v>0</v>
      </c>
      <c r="D5841">
        <f t="shared" si="1198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9"/>
        <v>0</v>
      </c>
      <c r="G5841">
        <f t="shared" si="1200"/>
        <v>0</v>
      </c>
      <c r="H5841">
        <f t="shared" si="1201"/>
        <v>0</v>
      </c>
      <c r="I5841">
        <f t="shared" si="1202"/>
        <v>0</v>
      </c>
      <c r="J5841">
        <f t="shared" si="1203"/>
        <v>0</v>
      </c>
      <c r="K5841" s="4" t="e">
        <f t="shared" si="1191"/>
        <v>#N/A</v>
      </c>
      <c r="L5841" t="e">
        <f t="shared" si="1192"/>
        <v>#N/A</v>
      </c>
      <c r="M5841" s="4" t="e">
        <f t="shared" si="1193"/>
        <v>#N/A</v>
      </c>
      <c r="N5841" s="4" t="e">
        <f t="shared" si="1194"/>
        <v>#N/A</v>
      </c>
    </row>
    <row r="5842" spans="1:14">
      <c r="A5842">
        <f t="shared" si="1195"/>
        <v>0</v>
      </c>
      <c r="B5842">
        <f t="shared" si="1196"/>
        <v>0</v>
      </c>
      <c r="C5842">
        <f t="shared" si="1197"/>
        <v>0</v>
      </c>
      <c r="D5842">
        <f t="shared" si="1198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9"/>
        <v>0</v>
      </c>
      <c r="G5842">
        <f t="shared" si="1200"/>
        <v>0</v>
      </c>
      <c r="H5842">
        <f t="shared" si="1201"/>
        <v>0</v>
      </c>
      <c r="I5842">
        <f t="shared" si="1202"/>
        <v>0</v>
      </c>
      <c r="J5842">
        <f t="shared" si="1203"/>
        <v>0</v>
      </c>
      <c r="K5842" s="4" t="e">
        <f t="shared" si="1191"/>
        <v>#N/A</v>
      </c>
      <c r="L5842" t="e">
        <f t="shared" si="1192"/>
        <v>#N/A</v>
      </c>
      <c r="M5842" s="4" t="e">
        <f t="shared" si="1193"/>
        <v>#N/A</v>
      </c>
      <c r="N5842" s="4" t="e">
        <f t="shared" si="1194"/>
        <v>#N/A</v>
      </c>
    </row>
    <row r="5843" spans="1:14">
      <c r="A5843">
        <f t="shared" si="1195"/>
        <v>0</v>
      </c>
      <c r="B5843">
        <f t="shared" si="1196"/>
        <v>0</v>
      </c>
      <c r="C5843">
        <f t="shared" si="1197"/>
        <v>0</v>
      </c>
      <c r="D5843">
        <f t="shared" si="1198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9"/>
        <v>0</v>
      </c>
      <c r="G5843">
        <f t="shared" si="1200"/>
        <v>0</v>
      </c>
      <c r="H5843">
        <f t="shared" si="1201"/>
        <v>0</v>
      </c>
      <c r="I5843">
        <f t="shared" si="1202"/>
        <v>0</v>
      </c>
      <c r="J5843">
        <f t="shared" si="1203"/>
        <v>0</v>
      </c>
      <c r="K5843" s="4" t="e">
        <f t="shared" si="1191"/>
        <v>#N/A</v>
      </c>
      <c r="L5843" t="e">
        <f t="shared" si="1192"/>
        <v>#N/A</v>
      </c>
      <c r="M5843" s="4" t="e">
        <f t="shared" si="1193"/>
        <v>#N/A</v>
      </c>
      <c r="N5843" s="4" t="e">
        <f t="shared" si="1194"/>
        <v>#N/A</v>
      </c>
    </row>
    <row r="5844" spans="1:14">
      <c r="A5844">
        <f t="shared" si="1195"/>
        <v>0</v>
      </c>
      <c r="B5844">
        <f t="shared" si="1196"/>
        <v>0</v>
      </c>
      <c r="C5844">
        <f t="shared" si="1197"/>
        <v>0</v>
      </c>
      <c r="D5844">
        <f t="shared" si="1198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9"/>
        <v>0</v>
      </c>
      <c r="G5844">
        <f t="shared" si="1200"/>
        <v>0</v>
      </c>
      <c r="H5844">
        <f t="shared" si="1201"/>
        <v>0</v>
      </c>
      <c r="I5844">
        <f t="shared" si="1202"/>
        <v>0</v>
      </c>
      <c r="J5844">
        <f t="shared" si="1203"/>
        <v>0</v>
      </c>
      <c r="K5844" s="4" t="e">
        <f t="shared" si="1191"/>
        <v>#N/A</v>
      </c>
      <c r="L5844" t="e">
        <f t="shared" si="1192"/>
        <v>#N/A</v>
      </c>
      <c r="M5844" s="4" t="e">
        <f t="shared" si="1193"/>
        <v>#N/A</v>
      </c>
      <c r="N5844" s="4" t="e">
        <f t="shared" si="1194"/>
        <v>#N/A</v>
      </c>
    </row>
    <row r="5845" spans="1:14">
      <c r="A5845">
        <f t="shared" si="1195"/>
        <v>0</v>
      </c>
      <c r="B5845">
        <f t="shared" si="1196"/>
        <v>0</v>
      </c>
      <c r="C5845">
        <f t="shared" si="1197"/>
        <v>0</v>
      </c>
      <c r="D5845">
        <f t="shared" si="1198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9"/>
        <v>0</v>
      </c>
      <c r="G5845">
        <f t="shared" si="1200"/>
        <v>0</v>
      </c>
      <c r="H5845">
        <f t="shared" si="1201"/>
        <v>0</v>
      </c>
      <c r="I5845">
        <f t="shared" si="1202"/>
        <v>0</v>
      </c>
      <c r="J5845">
        <f t="shared" si="1203"/>
        <v>0</v>
      </c>
      <c r="K5845" s="4" t="e">
        <f t="shared" si="1191"/>
        <v>#N/A</v>
      </c>
      <c r="L5845" t="e">
        <f t="shared" si="1192"/>
        <v>#N/A</v>
      </c>
      <c r="M5845" s="4" t="e">
        <f t="shared" si="1193"/>
        <v>#N/A</v>
      </c>
      <c r="N5845" s="4" t="e">
        <f t="shared" si="1194"/>
        <v>#N/A</v>
      </c>
    </row>
    <row r="5846" spans="1:14">
      <c r="A5846">
        <f t="shared" si="1195"/>
        <v>0</v>
      </c>
      <c r="B5846">
        <f t="shared" si="1196"/>
        <v>0</v>
      </c>
      <c r="C5846">
        <f t="shared" si="1197"/>
        <v>0</v>
      </c>
      <c r="D5846">
        <f t="shared" si="1198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9"/>
        <v>0</v>
      </c>
      <c r="G5846">
        <f t="shared" si="1200"/>
        <v>0</v>
      </c>
      <c r="H5846">
        <f t="shared" si="1201"/>
        <v>0</v>
      </c>
      <c r="I5846">
        <f t="shared" si="1202"/>
        <v>0</v>
      </c>
      <c r="J5846">
        <f t="shared" si="1203"/>
        <v>0</v>
      </c>
      <c r="K5846" s="4" t="e">
        <f t="shared" si="1191"/>
        <v>#N/A</v>
      </c>
      <c r="L5846" t="e">
        <f t="shared" si="1192"/>
        <v>#N/A</v>
      </c>
      <c r="M5846" s="4" t="e">
        <f t="shared" si="1193"/>
        <v>#N/A</v>
      </c>
      <c r="N5846" s="4" t="e">
        <f t="shared" si="1194"/>
        <v>#N/A</v>
      </c>
    </row>
    <row r="5847" spans="1:14">
      <c r="A5847">
        <f t="shared" si="1195"/>
        <v>0</v>
      </c>
      <c r="B5847">
        <f t="shared" si="1196"/>
        <v>0</v>
      </c>
      <c r="C5847">
        <f t="shared" si="1197"/>
        <v>0</v>
      </c>
      <c r="D5847">
        <f t="shared" si="1198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9"/>
        <v>0</v>
      </c>
      <c r="G5847">
        <f t="shared" si="1200"/>
        <v>0</v>
      </c>
      <c r="H5847">
        <f t="shared" si="1201"/>
        <v>0</v>
      </c>
      <c r="I5847">
        <f t="shared" si="1202"/>
        <v>0</v>
      </c>
      <c r="J5847">
        <f t="shared" si="1203"/>
        <v>0</v>
      </c>
      <c r="K5847" s="4" t="e">
        <f t="shared" si="1191"/>
        <v>#N/A</v>
      </c>
      <c r="L5847" t="e">
        <f t="shared" si="1192"/>
        <v>#N/A</v>
      </c>
      <c r="M5847" s="4" t="e">
        <f t="shared" si="1193"/>
        <v>#N/A</v>
      </c>
      <c r="N5847" s="4" t="e">
        <f t="shared" si="1194"/>
        <v>#N/A</v>
      </c>
    </row>
    <row r="5848" spans="1:14">
      <c r="A5848">
        <f t="shared" si="1195"/>
        <v>0</v>
      </c>
      <c r="B5848">
        <f t="shared" si="1196"/>
        <v>0</v>
      </c>
      <c r="C5848">
        <f t="shared" si="1197"/>
        <v>0</v>
      </c>
      <c r="D5848">
        <f t="shared" si="1198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9"/>
        <v>0</v>
      </c>
      <c r="G5848">
        <f t="shared" si="1200"/>
        <v>0</v>
      </c>
      <c r="H5848">
        <f t="shared" si="1201"/>
        <v>0</v>
      </c>
      <c r="I5848">
        <f t="shared" si="1202"/>
        <v>0</v>
      </c>
      <c r="J5848">
        <f t="shared" si="1203"/>
        <v>0</v>
      </c>
      <c r="K5848" s="4" t="e">
        <f t="shared" si="1191"/>
        <v>#N/A</v>
      </c>
      <c r="L5848" t="e">
        <f t="shared" si="1192"/>
        <v>#N/A</v>
      </c>
      <c r="M5848" s="4" t="e">
        <f t="shared" si="1193"/>
        <v>#N/A</v>
      </c>
      <c r="N5848" s="4" t="e">
        <f t="shared" si="1194"/>
        <v>#N/A</v>
      </c>
    </row>
    <row r="5849" spans="1:14">
      <c r="A5849">
        <f t="shared" si="1195"/>
        <v>0</v>
      </c>
      <c r="B5849">
        <f t="shared" si="1196"/>
        <v>0</v>
      </c>
      <c r="C5849">
        <f t="shared" si="1197"/>
        <v>0</v>
      </c>
      <c r="D5849">
        <f t="shared" si="1198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9"/>
        <v>0</v>
      </c>
      <c r="G5849">
        <f t="shared" si="1200"/>
        <v>0</v>
      </c>
      <c r="H5849">
        <f t="shared" si="1201"/>
        <v>0</v>
      </c>
      <c r="I5849">
        <f t="shared" si="1202"/>
        <v>0</v>
      </c>
      <c r="J5849">
        <f t="shared" si="1203"/>
        <v>0</v>
      </c>
      <c r="K5849" s="4" t="e">
        <f t="shared" si="1191"/>
        <v>#N/A</v>
      </c>
      <c r="L5849" t="e">
        <f t="shared" si="1192"/>
        <v>#N/A</v>
      </c>
      <c r="M5849" s="4" t="e">
        <f t="shared" si="1193"/>
        <v>#N/A</v>
      </c>
      <c r="N5849" s="4" t="e">
        <f t="shared" si="1194"/>
        <v>#N/A</v>
      </c>
    </row>
    <row r="5850" spans="1:14">
      <c r="A5850">
        <f t="shared" si="1195"/>
        <v>0</v>
      </c>
      <c r="B5850">
        <f t="shared" si="1196"/>
        <v>0</v>
      </c>
      <c r="C5850">
        <f t="shared" si="1197"/>
        <v>0</v>
      </c>
      <c r="D5850">
        <f t="shared" si="1198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9"/>
        <v>0</v>
      </c>
      <c r="G5850">
        <f t="shared" si="1200"/>
        <v>0</v>
      </c>
      <c r="H5850">
        <f t="shared" si="1201"/>
        <v>0</v>
      </c>
      <c r="I5850">
        <f t="shared" si="1202"/>
        <v>0</v>
      </c>
      <c r="J5850">
        <f t="shared" si="1203"/>
        <v>0</v>
      </c>
      <c r="K5850" s="4" t="e">
        <f t="shared" si="1191"/>
        <v>#N/A</v>
      </c>
      <c r="L5850" t="e">
        <f t="shared" si="1192"/>
        <v>#N/A</v>
      </c>
      <c r="M5850" s="4" t="e">
        <f t="shared" si="1193"/>
        <v>#N/A</v>
      </c>
      <c r="N5850" s="4" t="e">
        <f t="shared" si="1194"/>
        <v>#N/A</v>
      </c>
    </row>
    <row r="5851" spans="1:14">
      <c r="A5851">
        <f t="shared" si="1195"/>
        <v>0</v>
      </c>
      <c r="B5851">
        <f t="shared" si="1196"/>
        <v>0</v>
      </c>
      <c r="C5851">
        <f t="shared" si="1197"/>
        <v>0</v>
      </c>
      <c r="D5851">
        <f t="shared" si="1198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9"/>
        <v>0</v>
      </c>
      <c r="G5851">
        <f t="shared" si="1200"/>
        <v>0</v>
      </c>
      <c r="H5851">
        <f t="shared" si="1201"/>
        <v>0</v>
      </c>
      <c r="I5851">
        <f t="shared" si="1202"/>
        <v>0</v>
      </c>
      <c r="J5851">
        <f t="shared" si="1203"/>
        <v>0</v>
      </c>
      <c r="K5851" s="4" t="e">
        <f t="shared" si="1191"/>
        <v>#N/A</v>
      </c>
      <c r="L5851" t="e">
        <f t="shared" si="1192"/>
        <v>#N/A</v>
      </c>
      <c r="M5851" s="4" t="e">
        <f t="shared" si="1193"/>
        <v>#N/A</v>
      </c>
      <c r="N5851" s="4" t="e">
        <f t="shared" si="1194"/>
        <v>#N/A</v>
      </c>
    </row>
    <row r="5852" spans="1:14">
      <c r="A5852">
        <f t="shared" si="1195"/>
        <v>0</v>
      </c>
      <c r="B5852">
        <f t="shared" si="1196"/>
        <v>0</v>
      </c>
      <c r="C5852">
        <f t="shared" si="1197"/>
        <v>0</v>
      </c>
      <c r="D5852">
        <f t="shared" si="1198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9"/>
        <v>0</v>
      </c>
      <c r="G5852">
        <f t="shared" si="1200"/>
        <v>0</v>
      </c>
      <c r="H5852">
        <f t="shared" si="1201"/>
        <v>0</v>
      </c>
      <c r="I5852">
        <f t="shared" si="1202"/>
        <v>0</v>
      </c>
      <c r="J5852">
        <f t="shared" si="1203"/>
        <v>0</v>
      </c>
      <c r="K5852" s="4" t="e">
        <f t="shared" si="1191"/>
        <v>#N/A</v>
      </c>
      <c r="L5852" t="e">
        <f t="shared" si="1192"/>
        <v>#N/A</v>
      </c>
      <c r="M5852" s="4" t="e">
        <f t="shared" si="1193"/>
        <v>#N/A</v>
      </c>
      <c r="N5852" s="4" t="e">
        <f t="shared" si="1194"/>
        <v>#N/A</v>
      </c>
    </row>
    <row r="5853" spans="1:14">
      <c r="A5853">
        <f t="shared" si="1195"/>
        <v>0</v>
      </c>
      <c r="B5853">
        <f t="shared" si="1196"/>
        <v>0</v>
      </c>
      <c r="C5853">
        <f t="shared" si="1197"/>
        <v>0</v>
      </c>
      <c r="D5853">
        <f t="shared" si="1198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9"/>
        <v>0</v>
      </c>
      <c r="G5853">
        <f t="shared" si="1200"/>
        <v>0</v>
      </c>
      <c r="H5853">
        <f t="shared" si="1201"/>
        <v>0</v>
      </c>
      <c r="I5853">
        <f t="shared" si="1202"/>
        <v>0</v>
      </c>
      <c r="J5853">
        <f t="shared" si="1203"/>
        <v>0</v>
      </c>
      <c r="K5853" s="4" t="e">
        <f t="shared" si="1191"/>
        <v>#N/A</v>
      </c>
      <c r="L5853" t="e">
        <f t="shared" si="1192"/>
        <v>#N/A</v>
      </c>
      <c r="M5853" s="4" t="e">
        <f t="shared" si="1193"/>
        <v>#N/A</v>
      </c>
      <c r="N5853" s="4" t="e">
        <f t="shared" si="1194"/>
        <v>#N/A</v>
      </c>
    </row>
    <row r="5854" spans="1:14">
      <c r="A5854">
        <f t="shared" si="1195"/>
        <v>0</v>
      </c>
      <c r="B5854">
        <f t="shared" si="1196"/>
        <v>0</v>
      </c>
      <c r="C5854">
        <f t="shared" si="1197"/>
        <v>0</v>
      </c>
      <c r="D5854">
        <f t="shared" si="1198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9"/>
        <v>0</v>
      </c>
      <c r="G5854">
        <f t="shared" si="1200"/>
        <v>0</v>
      </c>
      <c r="H5854">
        <f t="shared" si="1201"/>
        <v>0</v>
      </c>
      <c r="I5854">
        <f t="shared" si="1202"/>
        <v>0</v>
      </c>
      <c r="J5854">
        <f t="shared" si="1203"/>
        <v>0</v>
      </c>
      <c r="K5854" s="4" t="e">
        <f t="shared" si="1191"/>
        <v>#N/A</v>
      </c>
      <c r="L5854" t="e">
        <f t="shared" si="1192"/>
        <v>#N/A</v>
      </c>
      <c r="M5854" s="4" t="e">
        <f t="shared" si="1193"/>
        <v>#N/A</v>
      </c>
      <c r="N5854" s="4" t="e">
        <f t="shared" si="1194"/>
        <v>#N/A</v>
      </c>
    </row>
    <row r="5855" spans="1:14">
      <c r="A5855">
        <f t="shared" si="1195"/>
        <v>0</v>
      </c>
      <c r="B5855">
        <f t="shared" si="1196"/>
        <v>0</v>
      </c>
      <c r="C5855">
        <f t="shared" si="1197"/>
        <v>0</v>
      </c>
      <c r="D5855">
        <f t="shared" si="1198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9"/>
        <v>0</v>
      </c>
      <c r="G5855">
        <f t="shared" si="1200"/>
        <v>0</v>
      </c>
      <c r="H5855">
        <f t="shared" si="1201"/>
        <v>0</v>
      </c>
      <c r="I5855">
        <f t="shared" si="1202"/>
        <v>0</v>
      </c>
      <c r="J5855">
        <f t="shared" si="1203"/>
        <v>0</v>
      </c>
      <c r="K5855" s="4" t="e">
        <f t="shared" si="1191"/>
        <v>#N/A</v>
      </c>
      <c r="L5855" t="e">
        <f t="shared" si="1192"/>
        <v>#N/A</v>
      </c>
      <c r="M5855" s="4" t="e">
        <f t="shared" si="1193"/>
        <v>#N/A</v>
      </c>
      <c r="N5855" s="4" t="e">
        <f t="shared" si="1194"/>
        <v>#N/A</v>
      </c>
    </row>
    <row r="5856" spans="1:14">
      <c r="A5856">
        <f t="shared" si="1195"/>
        <v>0</v>
      </c>
      <c r="B5856">
        <f t="shared" si="1196"/>
        <v>0</v>
      </c>
      <c r="C5856">
        <f t="shared" si="1197"/>
        <v>0</v>
      </c>
      <c r="D5856">
        <f t="shared" si="1198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9"/>
        <v>0</v>
      </c>
      <c r="G5856">
        <f t="shared" si="1200"/>
        <v>0</v>
      </c>
      <c r="H5856">
        <f t="shared" si="1201"/>
        <v>0</v>
      </c>
      <c r="I5856">
        <f t="shared" si="1202"/>
        <v>0</v>
      </c>
      <c r="J5856">
        <f t="shared" si="1203"/>
        <v>0</v>
      </c>
      <c r="K5856" s="4" t="e">
        <f t="shared" si="1191"/>
        <v>#N/A</v>
      </c>
      <c r="L5856" t="e">
        <f t="shared" si="1192"/>
        <v>#N/A</v>
      </c>
      <c r="M5856" s="4" t="e">
        <f t="shared" si="1193"/>
        <v>#N/A</v>
      </c>
      <c r="N5856" s="4" t="e">
        <f t="shared" si="1194"/>
        <v>#N/A</v>
      </c>
    </row>
    <row r="5857" spans="1:14">
      <c r="A5857">
        <f t="shared" si="1195"/>
        <v>0</v>
      </c>
      <c r="B5857">
        <f t="shared" si="1196"/>
        <v>0</v>
      </c>
      <c r="C5857">
        <f t="shared" si="1197"/>
        <v>0</v>
      </c>
      <c r="D5857">
        <f t="shared" si="1198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9"/>
        <v>0</v>
      </c>
      <c r="G5857">
        <f t="shared" si="1200"/>
        <v>0</v>
      </c>
      <c r="H5857">
        <f t="shared" si="1201"/>
        <v>0</v>
      </c>
      <c r="I5857">
        <f t="shared" si="1202"/>
        <v>0</v>
      </c>
      <c r="J5857">
        <f t="shared" si="1203"/>
        <v>0</v>
      </c>
      <c r="K5857" s="4" t="e">
        <f t="shared" si="1191"/>
        <v>#N/A</v>
      </c>
      <c r="L5857" t="e">
        <f t="shared" si="1192"/>
        <v>#N/A</v>
      </c>
      <c r="M5857" s="4" t="e">
        <f t="shared" si="1193"/>
        <v>#N/A</v>
      </c>
      <c r="N5857" s="4" t="e">
        <f t="shared" si="1194"/>
        <v>#N/A</v>
      </c>
    </row>
    <row r="5858" spans="1:14">
      <c r="A5858">
        <f t="shared" si="1195"/>
        <v>0</v>
      </c>
      <c r="B5858">
        <f t="shared" si="1196"/>
        <v>0</v>
      </c>
      <c r="C5858">
        <f t="shared" si="1197"/>
        <v>0</v>
      </c>
      <c r="D5858">
        <f t="shared" si="1198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9"/>
        <v>0</v>
      </c>
      <c r="G5858">
        <f t="shared" si="1200"/>
        <v>0</v>
      </c>
      <c r="H5858">
        <f t="shared" si="1201"/>
        <v>0</v>
      </c>
      <c r="I5858">
        <f t="shared" si="1202"/>
        <v>0</v>
      </c>
      <c r="J5858">
        <f t="shared" si="1203"/>
        <v>0</v>
      </c>
      <c r="K5858" s="4" t="e">
        <f t="shared" si="1191"/>
        <v>#N/A</v>
      </c>
      <c r="L5858" t="e">
        <f t="shared" si="1192"/>
        <v>#N/A</v>
      </c>
      <c r="M5858" s="4" t="e">
        <f t="shared" si="1193"/>
        <v>#N/A</v>
      </c>
      <c r="N5858" s="4" t="e">
        <f t="shared" si="1194"/>
        <v>#N/A</v>
      </c>
    </row>
    <row r="5859" spans="1:14">
      <c r="A5859">
        <f t="shared" si="1195"/>
        <v>0</v>
      </c>
      <c r="B5859">
        <f t="shared" si="1196"/>
        <v>0</v>
      </c>
      <c r="C5859">
        <f t="shared" si="1197"/>
        <v>0</v>
      </c>
      <c r="D5859">
        <f t="shared" si="1198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9"/>
        <v>0</v>
      </c>
      <c r="G5859">
        <f t="shared" si="1200"/>
        <v>0</v>
      </c>
      <c r="H5859">
        <f t="shared" si="1201"/>
        <v>0</v>
      </c>
      <c r="I5859">
        <f t="shared" si="1202"/>
        <v>0</v>
      </c>
      <c r="J5859">
        <f t="shared" si="1203"/>
        <v>0</v>
      </c>
      <c r="K5859" s="4" t="e">
        <f t="shared" si="1191"/>
        <v>#N/A</v>
      </c>
      <c r="L5859" t="e">
        <f t="shared" si="1192"/>
        <v>#N/A</v>
      </c>
      <c r="M5859" s="4" t="e">
        <f t="shared" si="1193"/>
        <v>#N/A</v>
      </c>
      <c r="N5859" s="4" t="e">
        <f t="shared" si="1194"/>
        <v>#N/A</v>
      </c>
    </row>
    <row r="5860" spans="1:14">
      <c r="A5860">
        <f t="shared" si="1195"/>
        <v>0</v>
      </c>
      <c r="B5860">
        <f t="shared" si="1196"/>
        <v>0</v>
      </c>
      <c r="C5860">
        <f t="shared" si="1197"/>
        <v>0</v>
      </c>
      <c r="D5860">
        <f t="shared" si="1198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9"/>
        <v>0</v>
      </c>
      <c r="G5860">
        <f t="shared" si="1200"/>
        <v>0</v>
      </c>
      <c r="H5860">
        <f t="shared" si="1201"/>
        <v>0</v>
      </c>
      <c r="I5860">
        <f t="shared" si="1202"/>
        <v>0</v>
      </c>
      <c r="J5860">
        <f t="shared" si="1203"/>
        <v>0</v>
      </c>
      <c r="K5860" s="4" t="e">
        <f t="shared" si="1191"/>
        <v>#N/A</v>
      </c>
      <c r="L5860" t="e">
        <f t="shared" si="1192"/>
        <v>#N/A</v>
      </c>
      <c r="M5860" s="4" t="e">
        <f t="shared" si="1193"/>
        <v>#N/A</v>
      </c>
      <c r="N5860" s="4" t="e">
        <f t="shared" si="1194"/>
        <v>#N/A</v>
      </c>
    </row>
    <row r="5861" spans="1:14">
      <c r="A5861">
        <f t="shared" si="1195"/>
        <v>0</v>
      </c>
      <c r="B5861">
        <f t="shared" si="1196"/>
        <v>0</v>
      </c>
      <c r="C5861">
        <f t="shared" si="1197"/>
        <v>0</v>
      </c>
      <c r="D5861">
        <f t="shared" si="1198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9"/>
        <v>0</v>
      </c>
      <c r="G5861">
        <f t="shared" si="1200"/>
        <v>0</v>
      </c>
      <c r="H5861">
        <f t="shared" si="1201"/>
        <v>0</v>
      </c>
      <c r="I5861">
        <f t="shared" si="1202"/>
        <v>0</v>
      </c>
      <c r="J5861">
        <f t="shared" si="1203"/>
        <v>0</v>
      </c>
      <c r="K5861" s="4" t="e">
        <f t="shared" si="1191"/>
        <v>#N/A</v>
      </c>
      <c r="L5861" t="e">
        <f t="shared" si="1192"/>
        <v>#N/A</v>
      </c>
      <c r="M5861" s="4" t="e">
        <f t="shared" si="1193"/>
        <v>#N/A</v>
      </c>
      <c r="N5861" s="4" t="e">
        <f t="shared" si="1194"/>
        <v>#N/A</v>
      </c>
    </row>
    <row r="5862" spans="1:14">
      <c r="A5862">
        <f t="shared" si="1195"/>
        <v>0</v>
      </c>
      <c r="B5862">
        <f t="shared" si="1196"/>
        <v>0</v>
      </c>
      <c r="C5862">
        <f t="shared" si="1197"/>
        <v>0</v>
      </c>
      <c r="D5862">
        <f t="shared" si="1198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9"/>
        <v>0</v>
      </c>
      <c r="G5862">
        <f t="shared" si="1200"/>
        <v>0</v>
      </c>
      <c r="H5862">
        <f t="shared" si="1201"/>
        <v>0</v>
      </c>
      <c r="I5862">
        <f t="shared" si="1202"/>
        <v>0</v>
      </c>
      <c r="J5862">
        <f t="shared" si="1203"/>
        <v>0</v>
      </c>
      <c r="K5862" s="4" t="e">
        <f t="shared" si="1191"/>
        <v>#N/A</v>
      </c>
      <c r="L5862" t="e">
        <f t="shared" si="1192"/>
        <v>#N/A</v>
      </c>
      <c r="M5862" s="4" t="e">
        <f t="shared" si="1193"/>
        <v>#N/A</v>
      </c>
      <c r="N5862" s="4" t="e">
        <f t="shared" si="1194"/>
        <v>#N/A</v>
      </c>
    </row>
    <row r="5863" spans="1:14">
      <c r="A5863">
        <f t="shared" si="1195"/>
        <v>0</v>
      </c>
      <c r="B5863">
        <f t="shared" si="1196"/>
        <v>0</v>
      </c>
      <c r="C5863">
        <f t="shared" si="1197"/>
        <v>0</v>
      </c>
      <c r="D5863">
        <f t="shared" si="1198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9"/>
        <v>0</v>
      </c>
      <c r="G5863">
        <f t="shared" si="1200"/>
        <v>0</v>
      </c>
      <c r="H5863">
        <f t="shared" si="1201"/>
        <v>0</v>
      </c>
      <c r="I5863">
        <f t="shared" si="1202"/>
        <v>0</v>
      </c>
      <c r="J5863">
        <f t="shared" si="1203"/>
        <v>0</v>
      </c>
      <c r="K5863" s="4" t="e">
        <f t="shared" si="1191"/>
        <v>#N/A</v>
      </c>
      <c r="L5863" t="e">
        <f t="shared" si="1192"/>
        <v>#N/A</v>
      </c>
      <c r="M5863" s="4" t="e">
        <f t="shared" si="1193"/>
        <v>#N/A</v>
      </c>
      <c r="N5863" s="4" t="e">
        <f t="shared" si="1194"/>
        <v>#N/A</v>
      </c>
    </row>
    <row r="5864" spans="1:14">
      <c r="A5864">
        <f t="shared" si="1195"/>
        <v>0</v>
      </c>
      <c r="B5864">
        <f t="shared" si="1196"/>
        <v>0</v>
      </c>
      <c r="C5864">
        <f t="shared" si="1197"/>
        <v>0</v>
      </c>
      <c r="D5864">
        <f t="shared" si="1198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9"/>
        <v>0</v>
      </c>
      <c r="G5864">
        <f t="shared" si="1200"/>
        <v>0</v>
      </c>
      <c r="H5864">
        <f t="shared" si="1201"/>
        <v>0</v>
      </c>
      <c r="I5864">
        <f t="shared" si="1202"/>
        <v>0</v>
      </c>
      <c r="J5864">
        <f t="shared" si="1203"/>
        <v>0</v>
      </c>
      <c r="K5864" s="4" t="e">
        <f t="shared" si="1191"/>
        <v>#N/A</v>
      </c>
      <c r="L5864" t="e">
        <f t="shared" si="1192"/>
        <v>#N/A</v>
      </c>
      <c r="M5864" s="4" t="e">
        <f t="shared" si="1193"/>
        <v>#N/A</v>
      </c>
      <c r="N5864" s="4" t="e">
        <f t="shared" si="1194"/>
        <v>#N/A</v>
      </c>
    </row>
    <row r="5865" spans="1:14">
      <c r="A5865">
        <f t="shared" si="1195"/>
        <v>0</v>
      </c>
      <c r="B5865">
        <f t="shared" si="1196"/>
        <v>0</v>
      </c>
      <c r="C5865">
        <f t="shared" si="1197"/>
        <v>0</v>
      </c>
      <c r="D5865">
        <f t="shared" si="1198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9"/>
        <v>0</v>
      </c>
      <c r="G5865">
        <f t="shared" si="1200"/>
        <v>0</v>
      </c>
      <c r="H5865">
        <f t="shared" si="1201"/>
        <v>0</v>
      </c>
      <c r="I5865">
        <f t="shared" si="1202"/>
        <v>0</v>
      </c>
      <c r="J5865">
        <f t="shared" si="1203"/>
        <v>0</v>
      </c>
      <c r="K5865" s="4" t="e">
        <f t="shared" si="1191"/>
        <v>#N/A</v>
      </c>
      <c r="L5865" t="e">
        <f t="shared" si="1192"/>
        <v>#N/A</v>
      </c>
      <c r="M5865" s="4" t="e">
        <f t="shared" si="1193"/>
        <v>#N/A</v>
      </c>
      <c r="N5865" s="4" t="e">
        <f t="shared" si="1194"/>
        <v>#N/A</v>
      </c>
    </row>
    <row r="5866" spans="1:14">
      <c r="A5866">
        <f t="shared" si="1195"/>
        <v>0</v>
      </c>
      <c r="B5866">
        <f t="shared" si="1196"/>
        <v>0</v>
      </c>
      <c r="C5866">
        <f t="shared" si="1197"/>
        <v>0</v>
      </c>
      <c r="D5866">
        <f t="shared" si="1198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9"/>
        <v>0</v>
      </c>
      <c r="G5866">
        <f t="shared" si="1200"/>
        <v>0</v>
      </c>
      <c r="H5866">
        <f t="shared" si="1201"/>
        <v>0</v>
      </c>
      <c r="I5866">
        <f t="shared" si="1202"/>
        <v>0</v>
      </c>
      <c r="J5866">
        <f t="shared" si="1203"/>
        <v>0</v>
      </c>
      <c r="K5866" s="4" t="e">
        <f t="shared" si="1191"/>
        <v>#N/A</v>
      </c>
      <c r="L5866" t="e">
        <f t="shared" si="1192"/>
        <v>#N/A</v>
      </c>
      <c r="M5866" s="4" t="e">
        <f t="shared" si="1193"/>
        <v>#N/A</v>
      </c>
      <c r="N5866" s="4" t="e">
        <f t="shared" si="1194"/>
        <v>#N/A</v>
      </c>
    </row>
    <row r="5867" spans="1:14">
      <c r="A5867">
        <f t="shared" si="1195"/>
        <v>0</v>
      </c>
      <c r="B5867">
        <f t="shared" si="1196"/>
        <v>0</v>
      </c>
      <c r="C5867">
        <f t="shared" si="1197"/>
        <v>0</v>
      </c>
      <c r="D5867">
        <f t="shared" si="1198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9"/>
        <v>0</v>
      </c>
      <c r="G5867">
        <f t="shared" si="1200"/>
        <v>0</v>
      </c>
      <c r="H5867">
        <f t="shared" si="1201"/>
        <v>0</v>
      </c>
      <c r="I5867">
        <f t="shared" si="1202"/>
        <v>0</v>
      </c>
      <c r="J5867">
        <f t="shared" si="1203"/>
        <v>0</v>
      </c>
      <c r="K5867" s="4" t="e">
        <f t="shared" si="1191"/>
        <v>#N/A</v>
      </c>
      <c r="L5867" t="e">
        <f t="shared" si="1192"/>
        <v>#N/A</v>
      </c>
      <c r="M5867" s="4" t="e">
        <f t="shared" si="1193"/>
        <v>#N/A</v>
      </c>
      <c r="N5867" s="4" t="e">
        <f t="shared" si="1194"/>
        <v>#N/A</v>
      </c>
    </row>
    <row r="5868" spans="1:14">
      <c r="A5868">
        <f t="shared" si="1195"/>
        <v>0</v>
      </c>
      <c r="B5868">
        <f t="shared" si="1196"/>
        <v>0</v>
      </c>
      <c r="C5868">
        <f t="shared" si="1197"/>
        <v>0</v>
      </c>
      <c r="D5868">
        <f t="shared" si="1198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9"/>
        <v>0</v>
      </c>
      <c r="G5868">
        <f t="shared" si="1200"/>
        <v>0</v>
      </c>
      <c r="H5868">
        <f t="shared" si="1201"/>
        <v>0</v>
      </c>
      <c r="I5868">
        <f t="shared" si="1202"/>
        <v>0</v>
      </c>
      <c r="J5868">
        <f t="shared" si="1203"/>
        <v>0</v>
      </c>
      <c r="K5868" s="4" t="e">
        <f t="shared" si="1191"/>
        <v>#N/A</v>
      </c>
      <c r="L5868" t="e">
        <f t="shared" si="1192"/>
        <v>#N/A</v>
      </c>
      <c r="M5868" s="4" t="e">
        <f t="shared" si="1193"/>
        <v>#N/A</v>
      </c>
      <c r="N5868" s="4" t="e">
        <f t="shared" si="1194"/>
        <v>#N/A</v>
      </c>
    </row>
    <row r="5869" spans="1:14">
      <c r="A5869">
        <f t="shared" si="1195"/>
        <v>0</v>
      </c>
      <c r="B5869">
        <f t="shared" si="1196"/>
        <v>0</v>
      </c>
      <c r="C5869">
        <f t="shared" si="1197"/>
        <v>0</v>
      </c>
      <c r="D5869">
        <f t="shared" si="1198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9"/>
        <v>0</v>
      </c>
      <c r="G5869">
        <f t="shared" si="1200"/>
        <v>0</v>
      </c>
      <c r="H5869">
        <f t="shared" si="1201"/>
        <v>0</v>
      </c>
      <c r="I5869">
        <f t="shared" si="1202"/>
        <v>0</v>
      </c>
      <c r="J5869">
        <f t="shared" si="1203"/>
        <v>0</v>
      </c>
      <c r="K5869" s="4" t="e">
        <f t="shared" si="1191"/>
        <v>#N/A</v>
      </c>
      <c r="L5869" t="e">
        <f t="shared" si="1192"/>
        <v>#N/A</v>
      </c>
      <c r="M5869" s="4" t="e">
        <f t="shared" si="1193"/>
        <v>#N/A</v>
      </c>
      <c r="N5869" s="4" t="e">
        <f t="shared" si="1194"/>
        <v>#N/A</v>
      </c>
    </row>
    <row r="5870" spans="1:14">
      <c r="A5870">
        <f t="shared" si="1195"/>
        <v>0</v>
      </c>
      <c r="B5870">
        <f t="shared" si="1196"/>
        <v>0</v>
      </c>
      <c r="C5870">
        <f t="shared" si="1197"/>
        <v>0</v>
      </c>
      <c r="D5870">
        <f t="shared" si="1198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9"/>
        <v>0</v>
      </c>
      <c r="G5870">
        <f t="shared" si="1200"/>
        <v>0</v>
      </c>
      <c r="H5870">
        <f t="shared" si="1201"/>
        <v>0</v>
      </c>
      <c r="I5870">
        <f t="shared" si="1202"/>
        <v>0</v>
      </c>
      <c r="J5870">
        <f t="shared" si="1203"/>
        <v>0</v>
      </c>
      <c r="K5870" s="4" t="e">
        <f t="shared" si="1191"/>
        <v>#N/A</v>
      </c>
      <c r="L5870" t="e">
        <f t="shared" si="1192"/>
        <v>#N/A</v>
      </c>
      <c r="M5870" s="4" t="e">
        <f t="shared" si="1193"/>
        <v>#N/A</v>
      </c>
      <c r="N5870" s="4" t="e">
        <f t="shared" si="1194"/>
        <v>#N/A</v>
      </c>
    </row>
    <row r="5871" spans="1:14">
      <c r="A5871">
        <f t="shared" si="1195"/>
        <v>0</v>
      </c>
      <c r="B5871">
        <f t="shared" si="1196"/>
        <v>0</v>
      </c>
      <c r="C5871">
        <f t="shared" si="1197"/>
        <v>0</v>
      </c>
      <c r="D5871">
        <f t="shared" si="1198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9"/>
        <v>0</v>
      </c>
      <c r="G5871">
        <f t="shared" si="1200"/>
        <v>0</v>
      </c>
      <c r="H5871">
        <f t="shared" si="1201"/>
        <v>0</v>
      </c>
      <c r="I5871">
        <f t="shared" si="1202"/>
        <v>0</v>
      </c>
      <c r="J5871">
        <f t="shared" si="1203"/>
        <v>0</v>
      </c>
      <c r="K5871" s="4" t="e">
        <f t="shared" si="1191"/>
        <v>#N/A</v>
      </c>
      <c r="L5871" t="e">
        <f t="shared" si="1192"/>
        <v>#N/A</v>
      </c>
      <c r="M5871" s="4" t="e">
        <f t="shared" si="1193"/>
        <v>#N/A</v>
      </c>
      <c r="N5871" s="4" t="e">
        <f t="shared" si="1194"/>
        <v>#N/A</v>
      </c>
    </row>
    <row r="5872" spans="1:14">
      <c r="A5872">
        <f t="shared" si="1195"/>
        <v>0</v>
      </c>
      <c r="B5872">
        <f t="shared" si="1196"/>
        <v>0</v>
      </c>
      <c r="C5872">
        <f t="shared" si="1197"/>
        <v>0</v>
      </c>
      <c r="D5872">
        <f t="shared" si="1198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9"/>
        <v>0</v>
      </c>
      <c r="G5872">
        <f t="shared" si="1200"/>
        <v>0</v>
      </c>
      <c r="H5872">
        <f t="shared" si="1201"/>
        <v>0</v>
      </c>
      <c r="I5872">
        <f t="shared" si="1202"/>
        <v>0</v>
      </c>
      <c r="J5872">
        <f t="shared" si="1203"/>
        <v>0</v>
      </c>
      <c r="K5872" s="4" t="e">
        <f t="shared" si="1191"/>
        <v>#N/A</v>
      </c>
      <c r="L5872" t="e">
        <f t="shared" si="1192"/>
        <v>#N/A</v>
      </c>
      <c r="M5872" s="4" t="e">
        <f t="shared" si="1193"/>
        <v>#N/A</v>
      </c>
      <c r="N5872" s="4" t="e">
        <f t="shared" si="1194"/>
        <v>#N/A</v>
      </c>
    </row>
    <row r="5873" spans="1:14">
      <c r="A5873">
        <f t="shared" si="1195"/>
        <v>0</v>
      </c>
      <c r="B5873">
        <f t="shared" si="1196"/>
        <v>0</v>
      </c>
      <c r="C5873">
        <f t="shared" si="1197"/>
        <v>0</v>
      </c>
      <c r="D5873">
        <f t="shared" si="1198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9"/>
        <v>0</v>
      </c>
      <c r="G5873">
        <f t="shared" si="1200"/>
        <v>0</v>
      </c>
      <c r="H5873">
        <f t="shared" si="1201"/>
        <v>0</v>
      </c>
      <c r="I5873">
        <f t="shared" si="1202"/>
        <v>0</v>
      </c>
      <c r="J5873">
        <f t="shared" si="1203"/>
        <v>0</v>
      </c>
      <c r="K5873" s="4" t="e">
        <f t="shared" si="1191"/>
        <v>#N/A</v>
      </c>
      <c r="L5873" t="e">
        <f t="shared" si="1192"/>
        <v>#N/A</v>
      </c>
      <c r="M5873" s="4" t="e">
        <f t="shared" si="1193"/>
        <v>#N/A</v>
      </c>
      <c r="N5873" s="4" t="e">
        <f t="shared" si="1194"/>
        <v>#N/A</v>
      </c>
    </row>
    <row r="5874" spans="1:14">
      <c r="A5874">
        <f t="shared" si="1195"/>
        <v>0</v>
      </c>
      <c r="B5874">
        <f t="shared" si="1196"/>
        <v>0</v>
      </c>
      <c r="C5874">
        <f t="shared" si="1197"/>
        <v>0</v>
      </c>
      <c r="D5874">
        <f t="shared" si="1198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9"/>
        <v>0</v>
      </c>
      <c r="G5874">
        <f t="shared" si="1200"/>
        <v>0</v>
      </c>
      <c r="H5874">
        <f t="shared" si="1201"/>
        <v>0</v>
      </c>
      <c r="I5874">
        <f t="shared" si="1202"/>
        <v>0</v>
      </c>
      <c r="J5874">
        <f t="shared" si="1203"/>
        <v>0</v>
      </c>
      <c r="K5874" s="4" t="e">
        <f t="shared" si="1191"/>
        <v>#N/A</v>
      </c>
      <c r="L5874" t="e">
        <f t="shared" si="1192"/>
        <v>#N/A</v>
      </c>
      <c r="M5874" s="4" t="e">
        <f t="shared" si="1193"/>
        <v>#N/A</v>
      </c>
      <c r="N5874" s="4" t="e">
        <f t="shared" si="1194"/>
        <v>#N/A</v>
      </c>
    </row>
    <row r="5875" spans="1:14">
      <c r="A5875">
        <f t="shared" si="1195"/>
        <v>0</v>
      </c>
      <c r="B5875">
        <f t="shared" si="1196"/>
        <v>0</v>
      </c>
      <c r="C5875">
        <f t="shared" si="1197"/>
        <v>0</v>
      </c>
      <c r="D5875">
        <f t="shared" si="1198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9"/>
        <v>0</v>
      </c>
      <c r="G5875">
        <f t="shared" si="1200"/>
        <v>0</v>
      </c>
      <c r="H5875">
        <f t="shared" si="1201"/>
        <v>0</v>
      </c>
      <c r="I5875">
        <f t="shared" si="1202"/>
        <v>0</v>
      </c>
      <c r="J5875">
        <f t="shared" si="1203"/>
        <v>0</v>
      </c>
      <c r="K5875" s="4" t="e">
        <f t="shared" si="1191"/>
        <v>#N/A</v>
      </c>
      <c r="L5875" t="e">
        <f t="shared" si="1192"/>
        <v>#N/A</v>
      </c>
      <c r="M5875" s="4" t="e">
        <f t="shared" si="1193"/>
        <v>#N/A</v>
      </c>
      <c r="N5875" s="4" t="e">
        <f t="shared" si="1194"/>
        <v>#N/A</v>
      </c>
    </row>
    <row r="5876" spans="1:14">
      <c r="A5876">
        <f t="shared" si="1195"/>
        <v>0</v>
      </c>
      <c r="B5876">
        <f t="shared" si="1196"/>
        <v>0</v>
      </c>
      <c r="C5876">
        <f t="shared" si="1197"/>
        <v>0</v>
      </c>
      <c r="D5876">
        <f t="shared" si="1198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9"/>
        <v>0</v>
      </c>
      <c r="G5876">
        <f t="shared" si="1200"/>
        <v>0</v>
      </c>
      <c r="H5876">
        <f t="shared" si="1201"/>
        <v>0</v>
      </c>
      <c r="I5876">
        <f t="shared" si="1202"/>
        <v>0</v>
      </c>
      <c r="J5876">
        <f t="shared" si="1203"/>
        <v>0</v>
      </c>
      <c r="K5876" s="4" t="e">
        <f t="shared" si="1191"/>
        <v>#N/A</v>
      </c>
      <c r="L5876" t="e">
        <f t="shared" si="1192"/>
        <v>#N/A</v>
      </c>
      <c r="M5876" s="4" t="e">
        <f t="shared" si="1193"/>
        <v>#N/A</v>
      </c>
      <c r="N5876" s="4" t="e">
        <f t="shared" si="1194"/>
        <v>#N/A</v>
      </c>
    </row>
    <row r="5877" spans="1:14">
      <c r="A5877">
        <f t="shared" si="1195"/>
        <v>0</v>
      </c>
      <c r="B5877">
        <f t="shared" si="1196"/>
        <v>0</v>
      </c>
      <c r="C5877">
        <f t="shared" si="1197"/>
        <v>0</v>
      </c>
      <c r="D5877">
        <f t="shared" si="1198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9"/>
        <v>0</v>
      </c>
      <c r="G5877">
        <f t="shared" si="1200"/>
        <v>0</v>
      </c>
      <c r="H5877">
        <f t="shared" si="1201"/>
        <v>0</v>
      </c>
      <c r="I5877">
        <f t="shared" si="1202"/>
        <v>0</v>
      </c>
      <c r="J5877">
        <f t="shared" si="1203"/>
        <v>0</v>
      </c>
      <c r="K5877" s="4" t="e">
        <f t="shared" si="1191"/>
        <v>#N/A</v>
      </c>
      <c r="L5877" t="e">
        <f t="shared" si="1192"/>
        <v>#N/A</v>
      </c>
      <c r="M5877" s="4" t="e">
        <f t="shared" si="1193"/>
        <v>#N/A</v>
      </c>
      <c r="N5877" s="4" t="e">
        <f t="shared" si="1194"/>
        <v>#N/A</v>
      </c>
    </row>
    <row r="5878" spans="1:14">
      <c r="A5878">
        <f t="shared" si="1195"/>
        <v>0</v>
      </c>
      <c r="B5878">
        <f t="shared" si="1196"/>
        <v>0</v>
      </c>
      <c r="C5878">
        <f t="shared" si="1197"/>
        <v>0</v>
      </c>
      <c r="D5878">
        <f t="shared" si="1198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9"/>
        <v>0</v>
      </c>
      <c r="G5878">
        <f t="shared" si="1200"/>
        <v>0</v>
      </c>
      <c r="H5878">
        <f t="shared" si="1201"/>
        <v>0</v>
      </c>
      <c r="I5878">
        <f t="shared" si="1202"/>
        <v>0</v>
      </c>
      <c r="J5878">
        <f t="shared" si="1203"/>
        <v>0</v>
      </c>
      <c r="K5878" s="4" t="e">
        <f t="shared" si="1191"/>
        <v>#N/A</v>
      </c>
      <c r="L5878" t="e">
        <f t="shared" si="1192"/>
        <v>#N/A</v>
      </c>
      <c r="M5878" s="4" t="e">
        <f t="shared" si="1193"/>
        <v>#N/A</v>
      </c>
      <c r="N5878" s="4" t="e">
        <f t="shared" si="1194"/>
        <v>#N/A</v>
      </c>
    </row>
    <row r="5879" spans="1:14">
      <c r="A5879">
        <f t="shared" si="1195"/>
        <v>0</v>
      </c>
      <c r="B5879">
        <f t="shared" si="1196"/>
        <v>0</v>
      </c>
      <c r="C5879">
        <f t="shared" si="1197"/>
        <v>0</v>
      </c>
      <c r="D5879">
        <f t="shared" si="1198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9"/>
        <v>0</v>
      </c>
      <c r="G5879">
        <f t="shared" si="1200"/>
        <v>0</v>
      </c>
      <c r="H5879">
        <f t="shared" si="1201"/>
        <v>0</v>
      </c>
      <c r="I5879">
        <f t="shared" si="1202"/>
        <v>0</v>
      </c>
      <c r="J5879">
        <f t="shared" si="1203"/>
        <v>0</v>
      </c>
      <c r="K5879" s="4" t="e">
        <f t="shared" si="1191"/>
        <v>#N/A</v>
      </c>
      <c r="L5879" t="e">
        <f t="shared" si="1192"/>
        <v>#N/A</v>
      </c>
      <c r="M5879" s="4" t="e">
        <f t="shared" si="1193"/>
        <v>#N/A</v>
      </c>
      <c r="N5879" s="4" t="e">
        <f t="shared" si="1194"/>
        <v>#N/A</v>
      </c>
    </row>
    <row r="5880" spans="1:14">
      <c r="A5880">
        <f t="shared" si="1195"/>
        <v>0</v>
      </c>
      <c r="B5880">
        <f t="shared" si="1196"/>
        <v>0</v>
      </c>
      <c r="C5880">
        <f t="shared" si="1197"/>
        <v>0</v>
      </c>
      <c r="D5880">
        <f t="shared" si="1198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9"/>
        <v>0</v>
      </c>
      <c r="G5880">
        <f t="shared" si="1200"/>
        <v>0</v>
      </c>
      <c r="H5880">
        <f t="shared" si="1201"/>
        <v>0</v>
      </c>
      <c r="I5880">
        <f t="shared" si="1202"/>
        <v>0</v>
      </c>
      <c r="J5880">
        <f t="shared" si="1203"/>
        <v>0</v>
      </c>
      <c r="K5880" s="4" t="e">
        <f t="shared" si="1191"/>
        <v>#N/A</v>
      </c>
      <c r="L5880" t="e">
        <f t="shared" si="1192"/>
        <v>#N/A</v>
      </c>
      <c r="M5880" s="4" t="e">
        <f t="shared" si="1193"/>
        <v>#N/A</v>
      </c>
      <c r="N5880" s="4" t="e">
        <f t="shared" si="1194"/>
        <v>#N/A</v>
      </c>
    </row>
    <row r="5881" spans="1:14">
      <c r="A5881">
        <f t="shared" si="1195"/>
        <v>0</v>
      </c>
      <c r="B5881">
        <f t="shared" si="1196"/>
        <v>0</v>
      </c>
      <c r="C5881">
        <f t="shared" si="1197"/>
        <v>0</v>
      </c>
      <c r="D5881">
        <f t="shared" si="1198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9"/>
        <v>0</v>
      </c>
      <c r="G5881">
        <f t="shared" si="1200"/>
        <v>0</v>
      </c>
      <c r="H5881">
        <f t="shared" si="1201"/>
        <v>0</v>
      </c>
      <c r="I5881">
        <f t="shared" si="1202"/>
        <v>0</v>
      </c>
      <c r="J5881">
        <f t="shared" si="1203"/>
        <v>0</v>
      </c>
      <c r="K5881" s="4" t="e">
        <f t="shared" si="1191"/>
        <v>#N/A</v>
      </c>
      <c r="L5881" t="e">
        <f t="shared" si="1192"/>
        <v>#N/A</v>
      </c>
      <c r="M5881" s="4" t="e">
        <f t="shared" si="1193"/>
        <v>#N/A</v>
      </c>
      <c r="N5881" s="4" t="e">
        <f t="shared" si="1194"/>
        <v>#N/A</v>
      </c>
    </row>
    <row r="5882" spans="1:14">
      <c r="A5882">
        <f t="shared" si="1195"/>
        <v>0</v>
      </c>
      <c r="B5882">
        <f t="shared" si="1196"/>
        <v>0</v>
      </c>
      <c r="C5882">
        <f t="shared" si="1197"/>
        <v>0</v>
      </c>
      <c r="D5882">
        <f t="shared" si="1198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9"/>
        <v>0</v>
      </c>
      <c r="G5882">
        <f t="shared" si="1200"/>
        <v>0</v>
      </c>
      <c r="H5882">
        <f t="shared" si="1201"/>
        <v>0</v>
      </c>
      <c r="I5882">
        <f t="shared" si="1202"/>
        <v>0</v>
      </c>
      <c r="J5882">
        <f t="shared" si="1203"/>
        <v>0</v>
      </c>
      <c r="K5882" s="4" t="e">
        <f t="shared" si="1191"/>
        <v>#N/A</v>
      </c>
      <c r="L5882" t="e">
        <f t="shared" si="1192"/>
        <v>#N/A</v>
      </c>
      <c r="M5882" s="4" t="e">
        <f t="shared" si="1193"/>
        <v>#N/A</v>
      </c>
      <c r="N5882" s="4" t="e">
        <f t="shared" si="1194"/>
        <v>#N/A</v>
      </c>
    </row>
    <row r="5883" spans="1:14">
      <c r="A5883">
        <f t="shared" si="1195"/>
        <v>0</v>
      </c>
      <c r="B5883">
        <f t="shared" si="1196"/>
        <v>0</v>
      </c>
      <c r="C5883">
        <f t="shared" si="1197"/>
        <v>0</v>
      </c>
      <c r="D5883">
        <f t="shared" si="1198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9"/>
        <v>0</v>
      </c>
      <c r="G5883">
        <f t="shared" si="1200"/>
        <v>0</v>
      </c>
      <c r="H5883">
        <f t="shared" si="1201"/>
        <v>0</v>
      </c>
      <c r="I5883">
        <f t="shared" si="1202"/>
        <v>0</v>
      </c>
      <c r="J5883">
        <f t="shared" si="1203"/>
        <v>0</v>
      </c>
      <c r="K5883" s="4" t="e">
        <f t="shared" si="1191"/>
        <v>#N/A</v>
      </c>
      <c r="L5883" t="e">
        <f t="shared" si="1192"/>
        <v>#N/A</v>
      </c>
      <c r="M5883" s="4" t="e">
        <f t="shared" si="1193"/>
        <v>#N/A</v>
      </c>
      <c r="N5883" s="4" t="e">
        <f t="shared" si="1194"/>
        <v>#N/A</v>
      </c>
    </row>
    <row r="5884" spans="1:14">
      <c r="A5884">
        <f t="shared" si="1195"/>
        <v>0</v>
      </c>
      <c r="B5884">
        <f t="shared" si="1196"/>
        <v>0</v>
      </c>
      <c r="C5884">
        <f t="shared" si="1197"/>
        <v>0</v>
      </c>
      <c r="D5884">
        <f t="shared" si="1198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9"/>
        <v>0</v>
      </c>
      <c r="G5884">
        <f t="shared" si="1200"/>
        <v>0</v>
      </c>
      <c r="H5884">
        <f t="shared" si="1201"/>
        <v>0</v>
      </c>
      <c r="I5884">
        <f t="shared" si="1202"/>
        <v>0</v>
      </c>
      <c r="J5884">
        <f t="shared" si="1203"/>
        <v>0</v>
      </c>
      <c r="K5884" s="4" t="e">
        <f t="shared" si="1191"/>
        <v>#N/A</v>
      </c>
      <c r="L5884" t="e">
        <f t="shared" si="1192"/>
        <v>#N/A</v>
      </c>
      <c r="M5884" s="4" t="e">
        <f t="shared" si="1193"/>
        <v>#N/A</v>
      </c>
      <c r="N5884" s="4" t="e">
        <f t="shared" si="1194"/>
        <v>#N/A</v>
      </c>
    </row>
    <row r="5885" spans="1:14">
      <c r="A5885">
        <f t="shared" si="1195"/>
        <v>0</v>
      </c>
      <c r="B5885">
        <f t="shared" si="1196"/>
        <v>0</v>
      </c>
      <c r="C5885">
        <f t="shared" si="1197"/>
        <v>0</v>
      </c>
      <c r="D5885">
        <f t="shared" si="1198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9"/>
        <v>0</v>
      </c>
      <c r="G5885">
        <f t="shared" si="1200"/>
        <v>0</v>
      </c>
      <c r="H5885">
        <f t="shared" si="1201"/>
        <v>0</v>
      </c>
      <c r="I5885">
        <f t="shared" si="1202"/>
        <v>0</v>
      </c>
      <c r="J5885">
        <f t="shared" si="1203"/>
        <v>0</v>
      </c>
      <c r="K5885" s="4" t="e">
        <f t="shared" ref="K5885:K5948" si="1204">IF(LEFT(B5885,3)="DBM",0,VLOOKUP(E5885,tabela,2,FALSE))</f>
        <v>#N/A</v>
      </c>
      <c r="L5885" t="e">
        <f t="shared" ref="L5885:L5948" si="1205">VLOOKUP(E5885,tabela,3,FALSE)</f>
        <v>#N/A</v>
      </c>
      <c r="M5885" s="4" t="e">
        <f t="shared" ref="M5885:M5948" si="1206">IF(E5885="Dynamic Click",J5885*K5885,K5885*$I5885/1000)</f>
        <v>#N/A</v>
      </c>
      <c r="N5885" s="4" t="e">
        <f t="shared" ref="N5885:N5948" si="1207">IF(E5885="Dynamic Click",J5885*L5885,L5885*$I5885/1000)</f>
        <v>#N/A</v>
      </c>
    </row>
    <row r="5886" spans="1:14">
      <c r="A5886">
        <f t="shared" si="1195"/>
        <v>0</v>
      </c>
      <c r="B5886">
        <f t="shared" si="1196"/>
        <v>0</v>
      </c>
      <c r="C5886">
        <f t="shared" si="1197"/>
        <v>0</v>
      </c>
      <c r="D5886">
        <f t="shared" si="1198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9"/>
        <v>0</v>
      </c>
      <c r="G5886">
        <f t="shared" si="1200"/>
        <v>0</v>
      </c>
      <c r="H5886">
        <f t="shared" si="1201"/>
        <v>0</v>
      </c>
      <c r="I5886">
        <f t="shared" si="1202"/>
        <v>0</v>
      </c>
      <c r="J5886">
        <f t="shared" si="1203"/>
        <v>0</v>
      </c>
      <c r="K5886" s="4" t="e">
        <f t="shared" si="1204"/>
        <v>#N/A</v>
      </c>
      <c r="L5886" t="e">
        <f t="shared" si="1205"/>
        <v>#N/A</v>
      </c>
      <c r="M5886" s="4" t="e">
        <f t="shared" si="1206"/>
        <v>#N/A</v>
      </c>
      <c r="N5886" s="4" t="e">
        <f t="shared" si="1207"/>
        <v>#N/A</v>
      </c>
    </row>
    <row r="5887" spans="1:14">
      <c r="A5887">
        <f t="shared" si="1195"/>
        <v>0</v>
      </c>
      <c r="B5887">
        <f t="shared" si="1196"/>
        <v>0</v>
      </c>
      <c r="C5887">
        <f t="shared" si="1197"/>
        <v>0</v>
      </c>
      <c r="D5887">
        <f t="shared" si="1198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9"/>
        <v>0</v>
      </c>
      <c r="G5887">
        <f t="shared" si="1200"/>
        <v>0</v>
      </c>
      <c r="H5887">
        <f t="shared" si="1201"/>
        <v>0</v>
      </c>
      <c r="I5887">
        <f t="shared" si="1202"/>
        <v>0</v>
      </c>
      <c r="J5887">
        <f t="shared" si="1203"/>
        <v>0</v>
      </c>
      <c r="K5887" s="4" t="e">
        <f t="shared" si="1204"/>
        <v>#N/A</v>
      </c>
      <c r="L5887" t="e">
        <f t="shared" si="1205"/>
        <v>#N/A</v>
      </c>
      <c r="M5887" s="4" t="e">
        <f t="shared" si="1206"/>
        <v>#N/A</v>
      </c>
      <c r="N5887" s="4" t="e">
        <f t="shared" si="1207"/>
        <v>#N/A</v>
      </c>
    </row>
    <row r="5888" spans="1:14">
      <c r="A5888">
        <f t="shared" si="1195"/>
        <v>0</v>
      </c>
      <c r="B5888">
        <f t="shared" si="1196"/>
        <v>0</v>
      </c>
      <c r="C5888">
        <f t="shared" si="1197"/>
        <v>0</v>
      </c>
      <c r="D5888">
        <f t="shared" si="1198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9"/>
        <v>0</v>
      </c>
      <c r="G5888">
        <f t="shared" si="1200"/>
        <v>0</v>
      </c>
      <c r="H5888">
        <f t="shared" si="1201"/>
        <v>0</v>
      </c>
      <c r="I5888">
        <f t="shared" si="1202"/>
        <v>0</v>
      </c>
      <c r="J5888">
        <f t="shared" si="1203"/>
        <v>0</v>
      </c>
      <c r="K5888" s="4" t="e">
        <f t="shared" si="1204"/>
        <v>#N/A</v>
      </c>
      <c r="L5888" t="e">
        <f t="shared" si="1205"/>
        <v>#N/A</v>
      </c>
      <c r="M5888" s="4" t="e">
        <f t="shared" si="1206"/>
        <v>#N/A</v>
      </c>
      <c r="N5888" s="4" t="e">
        <f t="shared" si="1207"/>
        <v>#N/A</v>
      </c>
    </row>
    <row r="5889" spans="1:14">
      <c r="A5889">
        <f t="shared" si="1195"/>
        <v>0</v>
      </c>
      <c r="B5889">
        <f t="shared" si="1196"/>
        <v>0</v>
      </c>
      <c r="C5889">
        <f t="shared" si="1197"/>
        <v>0</v>
      </c>
      <c r="D5889">
        <f t="shared" si="1198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9"/>
        <v>0</v>
      </c>
      <c r="G5889">
        <f t="shared" si="1200"/>
        <v>0</v>
      </c>
      <c r="H5889">
        <f t="shared" si="1201"/>
        <v>0</v>
      </c>
      <c r="I5889">
        <f t="shared" si="1202"/>
        <v>0</v>
      </c>
      <c r="J5889">
        <f t="shared" si="1203"/>
        <v>0</v>
      </c>
      <c r="K5889" s="4" t="e">
        <f t="shared" si="1204"/>
        <v>#N/A</v>
      </c>
      <c r="L5889" t="e">
        <f t="shared" si="1205"/>
        <v>#N/A</v>
      </c>
      <c r="M5889" s="4" t="e">
        <f t="shared" si="1206"/>
        <v>#N/A</v>
      </c>
      <c r="N5889" s="4" t="e">
        <f t="shared" si="1207"/>
        <v>#N/A</v>
      </c>
    </row>
    <row r="5890" spans="1:14">
      <c r="A5890">
        <f t="shared" ref="A5890:A5953" si="1208">bd_campaign</f>
        <v>0</v>
      </c>
      <c r="B5890">
        <f t="shared" ref="B5890:B5953" si="1209">bd_site</f>
        <v>0</v>
      </c>
      <c r="C5890">
        <f t="shared" ref="C5890:C5953" si="1210">bd_placement</f>
        <v>0</v>
      </c>
      <c r="D5890">
        <f t="shared" ref="D5890:D5953" si="1211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2">bd_ad</f>
        <v>0</v>
      </c>
      <c r="G5890">
        <f t="shared" ref="G5890:G5953" si="1213">bd_adid</f>
        <v>0</v>
      </c>
      <c r="H5890">
        <f t="shared" ref="H5890:H5953" si="1214">bd_creativetype</f>
        <v>0</v>
      </c>
      <c r="I5890">
        <f t="shared" ref="I5890:I5953" si="1215">bd_impression</f>
        <v>0</v>
      </c>
      <c r="J5890">
        <f t="shared" ref="J5890:J5953" si="1216">bd_clicks</f>
        <v>0</v>
      </c>
      <c r="K5890" s="4" t="e">
        <f t="shared" si="1204"/>
        <v>#N/A</v>
      </c>
      <c r="L5890" t="e">
        <f t="shared" si="1205"/>
        <v>#N/A</v>
      </c>
      <c r="M5890" s="4" t="e">
        <f t="shared" si="1206"/>
        <v>#N/A</v>
      </c>
      <c r="N5890" s="4" t="e">
        <f t="shared" si="1207"/>
        <v>#N/A</v>
      </c>
    </row>
    <row r="5891" spans="1:14">
      <c r="A5891">
        <f t="shared" si="1208"/>
        <v>0</v>
      </c>
      <c r="B5891">
        <f t="shared" si="1209"/>
        <v>0</v>
      </c>
      <c r="C5891">
        <f t="shared" si="1210"/>
        <v>0</v>
      </c>
      <c r="D5891">
        <f t="shared" si="1211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2"/>
        <v>0</v>
      </c>
      <c r="G5891">
        <f t="shared" si="1213"/>
        <v>0</v>
      </c>
      <c r="H5891">
        <f t="shared" si="1214"/>
        <v>0</v>
      </c>
      <c r="I5891">
        <f t="shared" si="1215"/>
        <v>0</v>
      </c>
      <c r="J5891">
        <f t="shared" si="1216"/>
        <v>0</v>
      </c>
      <c r="K5891" s="4" t="e">
        <f t="shared" si="1204"/>
        <v>#N/A</v>
      </c>
      <c r="L5891" t="e">
        <f t="shared" si="1205"/>
        <v>#N/A</v>
      </c>
      <c r="M5891" s="4" t="e">
        <f t="shared" si="1206"/>
        <v>#N/A</v>
      </c>
      <c r="N5891" s="4" t="e">
        <f t="shared" si="1207"/>
        <v>#N/A</v>
      </c>
    </row>
    <row r="5892" spans="1:14">
      <c r="A5892">
        <f t="shared" si="1208"/>
        <v>0</v>
      </c>
      <c r="B5892">
        <f t="shared" si="1209"/>
        <v>0</v>
      </c>
      <c r="C5892">
        <f t="shared" si="1210"/>
        <v>0</v>
      </c>
      <c r="D5892">
        <f t="shared" si="1211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2"/>
        <v>0</v>
      </c>
      <c r="G5892">
        <f t="shared" si="1213"/>
        <v>0</v>
      </c>
      <c r="H5892">
        <f t="shared" si="1214"/>
        <v>0</v>
      </c>
      <c r="I5892">
        <f t="shared" si="1215"/>
        <v>0</v>
      </c>
      <c r="J5892">
        <f t="shared" si="1216"/>
        <v>0</v>
      </c>
      <c r="K5892" s="4" t="e">
        <f t="shared" si="1204"/>
        <v>#N/A</v>
      </c>
      <c r="L5892" t="e">
        <f t="shared" si="1205"/>
        <v>#N/A</v>
      </c>
      <c r="M5892" s="4" t="e">
        <f t="shared" si="1206"/>
        <v>#N/A</v>
      </c>
      <c r="N5892" s="4" t="e">
        <f t="shared" si="1207"/>
        <v>#N/A</v>
      </c>
    </row>
    <row r="5893" spans="1:14">
      <c r="A5893">
        <f t="shared" si="1208"/>
        <v>0</v>
      </c>
      <c r="B5893">
        <f t="shared" si="1209"/>
        <v>0</v>
      </c>
      <c r="C5893">
        <f t="shared" si="1210"/>
        <v>0</v>
      </c>
      <c r="D5893">
        <f t="shared" si="1211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2"/>
        <v>0</v>
      </c>
      <c r="G5893">
        <f t="shared" si="1213"/>
        <v>0</v>
      </c>
      <c r="H5893">
        <f t="shared" si="1214"/>
        <v>0</v>
      </c>
      <c r="I5893">
        <f t="shared" si="1215"/>
        <v>0</v>
      </c>
      <c r="J5893">
        <f t="shared" si="1216"/>
        <v>0</v>
      </c>
      <c r="K5893" s="4" t="e">
        <f t="shared" si="1204"/>
        <v>#N/A</v>
      </c>
      <c r="L5893" t="e">
        <f t="shared" si="1205"/>
        <v>#N/A</v>
      </c>
      <c r="M5893" s="4" t="e">
        <f t="shared" si="1206"/>
        <v>#N/A</v>
      </c>
      <c r="N5893" s="4" t="e">
        <f t="shared" si="1207"/>
        <v>#N/A</v>
      </c>
    </row>
    <row r="5894" spans="1:14">
      <c r="A5894">
        <f t="shared" si="1208"/>
        <v>0</v>
      </c>
      <c r="B5894">
        <f t="shared" si="1209"/>
        <v>0</v>
      </c>
      <c r="C5894">
        <f t="shared" si="1210"/>
        <v>0</v>
      </c>
      <c r="D5894">
        <f t="shared" si="1211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2"/>
        <v>0</v>
      </c>
      <c r="G5894">
        <f t="shared" si="1213"/>
        <v>0</v>
      </c>
      <c r="H5894">
        <f t="shared" si="1214"/>
        <v>0</v>
      </c>
      <c r="I5894">
        <f t="shared" si="1215"/>
        <v>0</v>
      </c>
      <c r="J5894">
        <f t="shared" si="1216"/>
        <v>0</v>
      </c>
      <c r="K5894" s="4" t="e">
        <f t="shared" si="1204"/>
        <v>#N/A</v>
      </c>
      <c r="L5894" t="e">
        <f t="shared" si="1205"/>
        <v>#N/A</v>
      </c>
      <c r="M5894" s="4" t="e">
        <f t="shared" si="1206"/>
        <v>#N/A</v>
      </c>
      <c r="N5894" s="4" t="e">
        <f t="shared" si="1207"/>
        <v>#N/A</v>
      </c>
    </row>
    <row r="5895" spans="1:14">
      <c r="A5895">
        <f t="shared" si="1208"/>
        <v>0</v>
      </c>
      <c r="B5895">
        <f t="shared" si="1209"/>
        <v>0</v>
      </c>
      <c r="C5895">
        <f t="shared" si="1210"/>
        <v>0</v>
      </c>
      <c r="D5895">
        <f t="shared" si="1211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2"/>
        <v>0</v>
      </c>
      <c r="G5895">
        <f t="shared" si="1213"/>
        <v>0</v>
      </c>
      <c r="H5895">
        <f t="shared" si="1214"/>
        <v>0</v>
      </c>
      <c r="I5895">
        <f t="shared" si="1215"/>
        <v>0</v>
      </c>
      <c r="J5895">
        <f t="shared" si="1216"/>
        <v>0</v>
      </c>
      <c r="K5895" s="4" t="e">
        <f t="shared" si="1204"/>
        <v>#N/A</v>
      </c>
      <c r="L5895" t="e">
        <f t="shared" si="1205"/>
        <v>#N/A</v>
      </c>
      <c r="M5895" s="4" t="e">
        <f t="shared" si="1206"/>
        <v>#N/A</v>
      </c>
      <c r="N5895" s="4" t="e">
        <f t="shared" si="1207"/>
        <v>#N/A</v>
      </c>
    </row>
    <row r="5896" spans="1:14">
      <c r="A5896">
        <f t="shared" si="1208"/>
        <v>0</v>
      </c>
      <c r="B5896">
        <f t="shared" si="1209"/>
        <v>0</v>
      </c>
      <c r="C5896">
        <f t="shared" si="1210"/>
        <v>0</v>
      </c>
      <c r="D5896">
        <f t="shared" si="1211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2"/>
        <v>0</v>
      </c>
      <c r="G5896">
        <f t="shared" si="1213"/>
        <v>0</v>
      </c>
      <c r="H5896">
        <f t="shared" si="1214"/>
        <v>0</v>
      </c>
      <c r="I5896">
        <f t="shared" si="1215"/>
        <v>0</v>
      </c>
      <c r="J5896">
        <f t="shared" si="1216"/>
        <v>0</v>
      </c>
      <c r="K5896" s="4" t="e">
        <f t="shared" si="1204"/>
        <v>#N/A</v>
      </c>
      <c r="L5896" t="e">
        <f t="shared" si="1205"/>
        <v>#N/A</v>
      </c>
      <c r="M5896" s="4" t="e">
        <f t="shared" si="1206"/>
        <v>#N/A</v>
      </c>
      <c r="N5896" s="4" t="e">
        <f t="shared" si="1207"/>
        <v>#N/A</v>
      </c>
    </row>
    <row r="5897" spans="1:14">
      <c r="A5897">
        <f t="shared" si="1208"/>
        <v>0</v>
      </c>
      <c r="B5897">
        <f t="shared" si="1209"/>
        <v>0</v>
      </c>
      <c r="C5897">
        <f t="shared" si="1210"/>
        <v>0</v>
      </c>
      <c r="D5897">
        <f t="shared" si="1211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2"/>
        <v>0</v>
      </c>
      <c r="G5897">
        <f t="shared" si="1213"/>
        <v>0</v>
      </c>
      <c r="H5897">
        <f t="shared" si="1214"/>
        <v>0</v>
      </c>
      <c r="I5897">
        <f t="shared" si="1215"/>
        <v>0</v>
      </c>
      <c r="J5897">
        <f t="shared" si="1216"/>
        <v>0</v>
      </c>
      <c r="K5897" s="4" t="e">
        <f t="shared" si="1204"/>
        <v>#N/A</v>
      </c>
      <c r="L5897" t="e">
        <f t="shared" si="1205"/>
        <v>#N/A</v>
      </c>
      <c r="M5897" s="4" t="e">
        <f t="shared" si="1206"/>
        <v>#N/A</v>
      </c>
      <c r="N5897" s="4" t="e">
        <f t="shared" si="1207"/>
        <v>#N/A</v>
      </c>
    </row>
    <row r="5898" spans="1:14">
      <c r="A5898">
        <f t="shared" si="1208"/>
        <v>0</v>
      </c>
      <c r="B5898">
        <f t="shared" si="1209"/>
        <v>0</v>
      </c>
      <c r="C5898">
        <f t="shared" si="1210"/>
        <v>0</v>
      </c>
      <c r="D5898">
        <f t="shared" si="1211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2"/>
        <v>0</v>
      </c>
      <c r="G5898">
        <f t="shared" si="1213"/>
        <v>0</v>
      </c>
      <c r="H5898">
        <f t="shared" si="1214"/>
        <v>0</v>
      </c>
      <c r="I5898">
        <f t="shared" si="1215"/>
        <v>0</v>
      </c>
      <c r="J5898">
        <f t="shared" si="1216"/>
        <v>0</v>
      </c>
      <c r="K5898" s="4" t="e">
        <f t="shared" si="1204"/>
        <v>#N/A</v>
      </c>
      <c r="L5898" t="e">
        <f t="shared" si="1205"/>
        <v>#N/A</v>
      </c>
      <c r="M5898" s="4" t="e">
        <f t="shared" si="1206"/>
        <v>#N/A</v>
      </c>
      <c r="N5898" s="4" t="e">
        <f t="shared" si="1207"/>
        <v>#N/A</v>
      </c>
    </row>
    <row r="5899" spans="1:14">
      <c r="A5899">
        <f t="shared" si="1208"/>
        <v>0</v>
      </c>
      <c r="B5899">
        <f t="shared" si="1209"/>
        <v>0</v>
      </c>
      <c r="C5899">
        <f t="shared" si="1210"/>
        <v>0</v>
      </c>
      <c r="D5899">
        <f t="shared" si="1211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2"/>
        <v>0</v>
      </c>
      <c r="G5899">
        <f t="shared" si="1213"/>
        <v>0</v>
      </c>
      <c r="H5899">
        <f t="shared" si="1214"/>
        <v>0</v>
      </c>
      <c r="I5899">
        <f t="shared" si="1215"/>
        <v>0</v>
      </c>
      <c r="J5899">
        <f t="shared" si="1216"/>
        <v>0</v>
      </c>
      <c r="K5899" s="4" t="e">
        <f t="shared" si="1204"/>
        <v>#N/A</v>
      </c>
      <c r="L5899" t="e">
        <f t="shared" si="1205"/>
        <v>#N/A</v>
      </c>
      <c r="M5899" s="4" t="e">
        <f t="shared" si="1206"/>
        <v>#N/A</v>
      </c>
      <c r="N5899" s="4" t="e">
        <f t="shared" si="1207"/>
        <v>#N/A</v>
      </c>
    </row>
    <row r="5900" spans="1:14">
      <c r="A5900">
        <f t="shared" si="1208"/>
        <v>0</v>
      </c>
      <c r="B5900">
        <f t="shared" si="1209"/>
        <v>0</v>
      </c>
      <c r="C5900">
        <f t="shared" si="1210"/>
        <v>0</v>
      </c>
      <c r="D5900">
        <f t="shared" si="1211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2"/>
        <v>0</v>
      </c>
      <c r="G5900">
        <f t="shared" si="1213"/>
        <v>0</v>
      </c>
      <c r="H5900">
        <f t="shared" si="1214"/>
        <v>0</v>
      </c>
      <c r="I5900">
        <f t="shared" si="1215"/>
        <v>0</v>
      </c>
      <c r="J5900">
        <f t="shared" si="1216"/>
        <v>0</v>
      </c>
      <c r="K5900" s="4" t="e">
        <f t="shared" si="1204"/>
        <v>#N/A</v>
      </c>
      <c r="L5900" t="e">
        <f t="shared" si="1205"/>
        <v>#N/A</v>
      </c>
      <c r="M5900" s="4" t="e">
        <f t="shared" si="1206"/>
        <v>#N/A</v>
      </c>
      <c r="N5900" s="4" t="e">
        <f t="shared" si="1207"/>
        <v>#N/A</v>
      </c>
    </row>
    <row r="5901" spans="1:14">
      <c r="A5901">
        <f t="shared" si="1208"/>
        <v>0</v>
      </c>
      <c r="B5901">
        <f t="shared" si="1209"/>
        <v>0</v>
      </c>
      <c r="C5901">
        <f t="shared" si="1210"/>
        <v>0</v>
      </c>
      <c r="D5901">
        <f t="shared" si="1211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2"/>
        <v>0</v>
      </c>
      <c r="G5901">
        <f t="shared" si="1213"/>
        <v>0</v>
      </c>
      <c r="H5901">
        <f t="shared" si="1214"/>
        <v>0</v>
      </c>
      <c r="I5901">
        <f t="shared" si="1215"/>
        <v>0</v>
      </c>
      <c r="J5901">
        <f t="shared" si="1216"/>
        <v>0</v>
      </c>
      <c r="K5901" s="4" t="e">
        <f t="shared" si="1204"/>
        <v>#N/A</v>
      </c>
      <c r="L5901" t="e">
        <f t="shared" si="1205"/>
        <v>#N/A</v>
      </c>
      <c r="M5901" s="4" t="e">
        <f t="shared" si="1206"/>
        <v>#N/A</v>
      </c>
      <c r="N5901" s="4" t="e">
        <f t="shared" si="1207"/>
        <v>#N/A</v>
      </c>
    </row>
    <row r="5902" spans="1:14">
      <c r="A5902">
        <f t="shared" si="1208"/>
        <v>0</v>
      </c>
      <c r="B5902">
        <f t="shared" si="1209"/>
        <v>0</v>
      </c>
      <c r="C5902">
        <f t="shared" si="1210"/>
        <v>0</v>
      </c>
      <c r="D5902">
        <f t="shared" si="1211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2"/>
        <v>0</v>
      </c>
      <c r="G5902">
        <f t="shared" si="1213"/>
        <v>0</v>
      </c>
      <c r="H5902">
        <f t="shared" si="1214"/>
        <v>0</v>
      </c>
      <c r="I5902">
        <f t="shared" si="1215"/>
        <v>0</v>
      </c>
      <c r="J5902">
        <f t="shared" si="1216"/>
        <v>0</v>
      </c>
      <c r="K5902" s="4" t="e">
        <f t="shared" si="1204"/>
        <v>#N/A</v>
      </c>
      <c r="L5902" t="e">
        <f t="shared" si="1205"/>
        <v>#N/A</v>
      </c>
      <c r="M5902" s="4" t="e">
        <f t="shared" si="1206"/>
        <v>#N/A</v>
      </c>
      <c r="N5902" s="4" t="e">
        <f t="shared" si="1207"/>
        <v>#N/A</v>
      </c>
    </row>
    <row r="5903" spans="1:14">
      <c r="A5903">
        <f t="shared" si="1208"/>
        <v>0</v>
      </c>
      <c r="B5903">
        <f t="shared" si="1209"/>
        <v>0</v>
      </c>
      <c r="C5903">
        <f t="shared" si="1210"/>
        <v>0</v>
      </c>
      <c r="D5903">
        <f t="shared" si="1211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2"/>
        <v>0</v>
      </c>
      <c r="G5903">
        <f t="shared" si="1213"/>
        <v>0</v>
      </c>
      <c r="H5903">
        <f t="shared" si="1214"/>
        <v>0</v>
      </c>
      <c r="I5903">
        <f t="shared" si="1215"/>
        <v>0</v>
      </c>
      <c r="J5903">
        <f t="shared" si="1216"/>
        <v>0</v>
      </c>
      <c r="K5903" s="4" t="e">
        <f t="shared" si="1204"/>
        <v>#N/A</v>
      </c>
      <c r="L5903" t="e">
        <f t="shared" si="1205"/>
        <v>#N/A</v>
      </c>
      <c r="M5903" s="4" t="e">
        <f t="shared" si="1206"/>
        <v>#N/A</v>
      </c>
      <c r="N5903" s="4" t="e">
        <f t="shared" si="1207"/>
        <v>#N/A</v>
      </c>
    </row>
    <row r="5904" spans="1:14">
      <c r="A5904">
        <f t="shared" si="1208"/>
        <v>0</v>
      </c>
      <c r="B5904">
        <f t="shared" si="1209"/>
        <v>0</v>
      </c>
      <c r="C5904">
        <f t="shared" si="1210"/>
        <v>0</v>
      </c>
      <c r="D5904">
        <f t="shared" si="1211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2"/>
        <v>0</v>
      </c>
      <c r="G5904">
        <f t="shared" si="1213"/>
        <v>0</v>
      </c>
      <c r="H5904">
        <f t="shared" si="1214"/>
        <v>0</v>
      </c>
      <c r="I5904">
        <f t="shared" si="1215"/>
        <v>0</v>
      </c>
      <c r="J5904">
        <f t="shared" si="1216"/>
        <v>0</v>
      </c>
      <c r="K5904" s="4" t="e">
        <f t="shared" si="1204"/>
        <v>#N/A</v>
      </c>
      <c r="L5904" t="e">
        <f t="shared" si="1205"/>
        <v>#N/A</v>
      </c>
      <c r="M5904" s="4" t="e">
        <f t="shared" si="1206"/>
        <v>#N/A</v>
      </c>
      <c r="N5904" s="4" t="e">
        <f t="shared" si="1207"/>
        <v>#N/A</v>
      </c>
    </row>
    <row r="5905" spans="1:14">
      <c r="A5905">
        <f t="shared" si="1208"/>
        <v>0</v>
      </c>
      <c r="B5905">
        <f t="shared" si="1209"/>
        <v>0</v>
      </c>
      <c r="C5905">
        <f t="shared" si="1210"/>
        <v>0</v>
      </c>
      <c r="D5905">
        <f t="shared" si="1211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2"/>
        <v>0</v>
      </c>
      <c r="G5905">
        <f t="shared" si="1213"/>
        <v>0</v>
      </c>
      <c r="H5905">
        <f t="shared" si="1214"/>
        <v>0</v>
      </c>
      <c r="I5905">
        <f t="shared" si="1215"/>
        <v>0</v>
      </c>
      <c r="J5905">
        <f t="shared" si="1216"/>
        <v>0</v>
      </c>
      <c r="K5905" s="4" t="e">
        <f t="shared" si="1204"/>
        <v>#N/A</v>
      </c>
      <c r="L5905" t="e">
        <f t="shared" si="1205"/>
        <v>#N/A</v>
      </c>
      <c r="M5905" s="4" t="e">
        <f t="shared" si="1206"/>
        <v>#N/A</v>
      </c>
      <c r="N5905" s="4" t="e">
        <f t="shared" si="1207"/>
        <v>#N/A</v>
      </c>
    </row>
    <row r="5906" spans="1:14">
      <c r="A5906">
        <f t="shared" si="1208"/>
        <v>0</v>
      </c>
      <c r="B5906">
        <f t="shared" si="1209"/>
        <v>0</v>
      </c>
      <c r="C5906">
        <f t="shared" si="1210"/>
        <v>0</v>
      </c>
      <c r="D5906">
        <f t="shared" si="1211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2"/>
        <v>0</v>
      </c>
      <c r="G5906">
        <f t="shared" si="1213"/>
        <v>0</v>
      </c>
      <c r="H5906">
        <f t="shared" si="1214"/>
        <v>0</v>
      </c>
      <c r="I5906">
        <f t="shared" si="1215"/>
        <v>0</v>
      </c>
      <c r="J5906">
        <f t="shared" si="1216"/>
        <v>0</v>
      </c>
      <c r="K5906" s="4" t="e">
        <f t="shared" si="1204"/>
        <v>#N/A</v>
      </c>
      <c r="L5906" t="e">
        <f t="shared" si="1205"/>
        <v>#N/A</v>
      </c>
      <c r="M5906" s="4" t="e">
        <f t="shared" si="1206"/>
        <v>#N/A</v>
      </c>
      <c r="N5906" s="4" t="e">
        <f t="shared" si="1207"/>
        <v>#N/A</v>
      </c>
    </row>
    <row r="5907" spans="1:14">
      <c r="A5907">
        <f t="shared" si="1208"/>
        <v>0</v>
      </c>
      <c r="B5907">
        <f t="shared" si="1209"/>
        <v>0</v>
      </c>
      <c r="C5907">
        <f t="shared" si="1210"/>
        <v>0</v>
      </c>
      <c r="D5907">
        <f t="shared" si="1211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2"/>
        <v>0</v>
      </c>
      <c r="G5907">
        <f t="shared" si="1213"/>
        <v>0</v>
      </c>
      <c r="H5907">
        <f t="shared" si="1214"/>
        <v>0</v>
      </c>
      <c r="I5907">
        <f t="shared" si="1215"/>
        <v>0</v>
      </c>
      <c r="J5907">
        <f t="shared" si="1216"/>
        <v>0</v>
      </c>
      <c r="K5907" s="4" t="e">
        <f t="shared" si="1204"/>
        <v>#N/A</v>
      </c>
      <c r="L5907" t="e">
        <f t="shared" si="1205"/>
        <v>#N/A</v>
      </c>
      <c r="M5907" s="4" t="e">
        <f t="shared" si="1206"/>
        <v>#N/A</v>
      </c>
      <c r="N5907" s="4" t="e">
        <f t="shared" si="1207"/>
        <v>#N/A</v>
      </c>
    </row>
    <row r="5908" spans="1:14">
      <c r="A5908">
        <f t="shared" si="1208"/>
        <v>0</v>
      </c>
      <c r="B5908">
        <f t="shared" si="1209"/>
        <v>0</v>
      </c>
      <c r="C5908">
        <f t="shared" si="1210"/>
        <v>0</v>
      </c>
      <c r="D5908">
        <f t="shared" si="1211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2"/>
        <v>0</v>
      </c>
      <c r="G5908">
        <f t="shared" si="1213"/>
        <v>0</v>
      </c>
      <c r="H5908">
        <f t="shared" si="1214"/>
        <v>0</v>
      </c>
      <c r="I5908">
        <f t="shared" si="1215"/>
        <v>0</v>
      </c>
      <c r="J5908">
        <f t="shared" si="1216"/>
        <v>0</v>
      </c>
      <c r="K5908" s="4" t="e">
        <f t="shared" si="1204"/>
        <v>#N/A</v>
      </c>
      <c r="L5908" t="e">
        <f t="shared" si="1205"/>
        <v>#N/A</v>
      </c>
      <c r="M5908" s="4" t="e">
        <f t="shared" si="1206"/>
        <v>#N/A</v>
      </c>
      <c r="N5908" s="4" t="e">
        <f t="shared" si="1207"/>
        <v>#N/A</v>
      </c>
    </row>
    <row r="5909" spans="1:14">
      <c r="A5909">
        <f t="shared" si="1208"/>
        <v>0</v>
      </c>
      <c r="B5909">
        <f t="shared" si="1209"/>
        <v>0</v>
      </c>
      <c r="C5909">
        <f t="shared" si="1210"/>
        <v>0</v>
      </c>
      <c r="D5909">
        <f t="shared" si="1211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2"/>
        <v>0</v>
      </c>
      <c r="G5909">
        <f t="shared" si="1213"/>
        <v>0</v>
      </c>
      <c r="H5909">
        <f t="shared" si="1214"/>
        <v>0</v>
      </c>
      <c r="I5909">
        <f t="shared" si="1215"/>
        <v>0</v>
      </c>
      <c r="J5909">
        <f t="shared" si="1216"/>
        <v>0</v>
      </c>
      <c r="K5909" s="4" t="e">
        <f t="shared" si="1204"/>
        <v>#N/A</v>
      </c>
      <c r="L5909" t="e">
        <f t="shared" si="1205"/>
        <v>#N/A</v>
      </c>
      <c r="M5909" s="4" t="e">
        <f t="shared" si="1206"/>
        <v>#N/A</v>
      </c>
      <c r="N5909" s="4" t="e">
        <f t="shared" si="1207"/>
        <v>#N/A</v>
      </c>
    </row>
    <row r="5910" spans="1:14">
      <c r="A5910">
        <f t="shared" si="1208"/>
        <v>0</v>
      </c>
      <c r="B5910">
        <f t="shared" si="1209"/>
        <v>0</v>
      </c>
      <c r="C5910">
        <f t="shared" si="1210"/>
        <v>0</v>
      </c>
      <c r="D5910">
        <f t="shared" si="1211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2"/>
        <v>0</v>
      </c>
      <c r="G5910">
        <f t="shared" si="1213"/>
        <v>0</v>
      </c>
      <c r="H5910">
        <f t="shared" si="1214"/>
        <v>0</v>
      </c>
      <c r="I5910">
        <f t="shared" si="1215"/>
        <v>0</v>
      </c>
      <c r="J5910">
        <f t="shared" si="1216"/>
        <v>0</v>
      </c>
      <c r="K5910" s="4" t="e">
        <f t="shared" si="1204"/>
        <v>#N/A</v>
      </c>
      <c r="L5910" t="e">
        <f t="shared" si="1205"/>
        <v>#N/A</v>
      </c>
      <c r="M5910" s="4" t="e">
        <f t="shared" si="1206"/>
        <v>#N/A</v>
      </c>
      <c r="N5910" s="4" t="e">
        <f t="shared" si="1207"/>
        <v>#N/A</v>
      </c>
    </row>
    <row r="5911" spans="1:14">
      <c r="A5911">
        <f t="shared" si="1208"/>
        <v>0</v>
      </c>
      <c r="B5911">
        <f t="shared" si="1209"/>
        <v>0</v>
      </c>
      <c r="C5911">
        <f t="shared" si="1210"/>
        <v>0</v>
      </c>
      <c r="D5911">
        <f t="shared" si="1211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2"/>
        <v>0</v>
      </c>
      <c r="G5911">
        <f t="shared" si="1213"/>
        <v>0</v>
      </c>
      <c r="H5911">
        <f t="shared" si="1214"/>
        <v>0</v>
      </c>
      <c r="I5911">
        <f t="shared" si="1215"/>
        <v>0</v>
      </c>
      <c r="J5911">
        <f t="shared" si="1216"/>
        <v>0</v>
      </c>
      <c r="K5911" s="4" t="e">
        <f t="shared" si="1204"/>
        <v>#N/A</v>
      </c>
      <c r="L5911" t="e">
        <f t="shared" si="1205"/>
        <v>#N/A</v>
      </c>
      <c r="M5911" s="4" t="e">
        <f t="shared" si="1206"/>
        <v>#N/A</v>
      </c>
      <c r="N5911" s="4" t="e">
        <f t="shared" si="1207"/>
        <v>#N/A</v>
      </c>
    </row>
    <row r="5912" spans="1:14">
      <c r="A5912">
        <f t="shared" si="1208"/>
        <v>0</v>
      </c>
      <c r="B5912">
        <f t="shared" si="1209"/>
        <v>0</v>
      </c>
      <c r="C5912">
        <f t="shared" si="1210"/>
        <v>0</v>
      </c>
      <c r="D5912">
        <f t="shared" si="1211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2"/>
        <v>0</v>
      </c>
      <c r="G5912">
        <f t="shared" si="1213"/>
        <v>0</v>
      </c>
      <c r="H5912">
        <f t="shared" si="1214"/>
        <v>0</v>
      </c>
      <c r="I5912">
        <f t="shared" si="1215"/>
        <v>0</v>
      </c>
      <c r="J5912">
        <f t="shared" si="1216"/>
        <v>0</v>
      </c>
      <c r="K5912" s="4" t="e">
        <f t="shared" si="1204"/>
        <v>#N/A</v>
      </c>
      <c r="L5912" t="e">
        <f t="shared" si="1205"/>
        <v>#N/A</v>
      </c>
      <c r="M5912" s="4" t="e">
        <f t="shared" si="1206"/>
        <v>#N/A</v>
      </c>
      <c r="N5912" s="4" t="e">
        <f t="shared" si="1207"/>
        <v>#N/A</v>
      </c>
    </row>
    <row r="5913" spans="1:14">
      <c r="A5913">
        <f t="shared" si="1208"/>
        <v>0</v>
      </c>
      <c r="B5913">
        <f t="shared" si="1209"/>
        <v>0</v>
      </c>
      <c r="C5913">
        <f t="shared" si="1210"/>
        <v>0</v>
      </c>
      <c r="D5913">
        <f t="shared" si="1211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2"/>
        <v>0</v>
      </c>
      <c r="G5913">
        <f t="shared" si="1213"/>
        <v>0</v>
      </c>
      <c r="H5913">
        <f t="shared" si="1214"/>
        <v>0</v>
      </c>
      <c r="I5913">
        <f t="shared" si="1215"/>
        <v>0</v>
      </c>
      <c r="J5913">
        <f t="shared" si="1216"/>
        <v>0</v>
      </c>
      <c r="K5913" s="4" t="e">
        <f t="shared" si="1204"/>
        <v>#N/A</v>
      </c>
      <c r="L5913" t="e">
        <f t="shared" si="1205"/>
        <v>#N/A</v>
      </c>
      <c r="M5913" s="4" t="e">
        <f t="shared" si="1206"/>
        <v>#N/A</v>
      </c>
      <c r="N5913" s="4" t="e">
        <f t="shared" si="1207"/>
        <v>#N/A</v>
      </c>
    </row>
    <row r="5914" spans="1:14">
      <c r="A5914">
        <f t="shared" si="1208"/>
        <v>0</v>
      </c>
      <c r="B5914">
        <f t="shared" si="1209"/>
        <v>0</v>
      </c>
      <c r="C5914">
        <f t="shared" si="1210"/>
        <v>0</v>
      </c>
      <c r="D5914">
        <f t="shared" si="1211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2"/>
        <v>0</v>
      </c>
      <c r="G5914">
        <f t="shared" si="1213"/>
        <v>0</v>
      </c>
      <c r="H5914">
        <f t="shared" si="1214"/>
        <v>0</v>
      </c>
      <c r="I5914">
        <f t="shared" si="1215"/>
        <v>0</v>
      </c>
      <c r="J5914">
        <f t="shared" si="1216"/>
        <v>0</v>
      </c>
      <c r="K5914" s="4" t="e">
        <f t="shared" si="1204"/>
        <v>#N/A</v>
      </c>
      <c r="L5914" t="e">
        <f t="shared" si="1205"/>
        <v>#N/A</v>
      </c>
      <c r="M5914" s="4" t="e">
        <f t="shared" si="1206"/>
        <v>#N/A</v>
      </c>
      <c r="N5914" s="4" t="e">
        <f t="shared" si="1207"/>
        <v>#N/A</v>
      </c>
    </row>
    <row r="5915" spans="1:14">
      <c r="A5915">
        <f t="shared" si="1208"/>
        <v>0</v>
      </c>
      <c r="B5915">
        <f t="shared" si="1209"/>
        <v>0</v>
      </c>
      <c r="C5915">
        <f t="shared" si="1210"/>
        <v>0</v>
      </c>
      <c r="D5915">
        <f t="shared" si="1211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2"/>
        <v>0</v>
      </c>
      <c r="G5915">
        <f t="shared" si="1213"/>
        <v>0</v>
      </c>
      <c r="H5915">
        <f t="shared" si="1214"/>
        <v>0</v>
      </c>
      <c r="I5915">
        <f t="shared" si="1215"/>
        <v>0</v>
      </c>
      <c r="J5915">
        <f t="shared" si="1216"/>
        <v>0</v>
      </c>
      <c r="K5915" s="4" t="e">
        <f t="shared" si="1204"/>
        <v>#N/A</v>
      </c>
      <c r="L5915" t="e">
        <f t="shared" si="1205"/>
        <v>#N/A</v>
      </c>
      <c r="M5915" s="4" t="e">
        <f t="shared" si="1206"/>
        <v>#N/A</v>
      </c>
      <c r="N5915" s="4" t="e">
        <f t="shared" si="1207"/>
        <v>#N/A</v>
      </c>
    </row>
    <row r="5916" spans="1:14">
      <c r="A5916">
        <f t="shared" si="1208"/>
        <v>0</v>
      </c>
      <c r="B5916">
        <f t="shared" si="1209"/>
        <v>0</v>
      </c>
      <c r="C5916">
        <f t="shared" si="1210"/>
        <v>0</v>
      </c>
      <c r="D5916">
        <f t="shared" si="1211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2"/>
        <v>0</v>
      </c>
      <c r="G5916">
        <f t="shared" si="1213"/>
        <v>0</v>
      </c>
      <c r="H5916">
        <f t="shared" si="1214"/>
        <v>0</v>
      </c>
      <c r="I5916">
        <f t="shared" si="1215"/>
        <v>0</v>
      </c>
      <c r="J5916">
        <f t="shared" si="1216"/>
        <v>0</v>
      </c>
      <c r="K5916" s="4" t="e">
        <f t="shared" si="1204"/>
        <v>#N/A</v>
      </c>
      <c r="L5916" t="e">
        <f t="shared" si="1205"/>
        <v>#N/A</v>
      </c>
      <c r="M5916" s="4" t="e">
        <f t="shared" si="1206"/>
        <v>#N/A</v>
      </c>
      <c r="N5916" s="4" t="e">
        <f t="shared" si="1207"/>
        <v>#N/A</v>
      </c>
    </row>
    <row r="5917" spans="1:14">
      <c r="A5917">
        <f t="shared" si="1208"/>
        <v>0</v>
      </c>
      <c r="B5917">
        <f t="shared" si="1209"/>
        <v>0</v>
      </c>
      <c r="C5917">
        <f t="shared" si="1210"/>
        <v>0</v>
      </c>
      <c r="D5917">
        <f t="shared" si="1211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2"/>
        <v>0</v>
      </c>
      <c r="G5917">
        <f t="shared" si="1213"/>
        <v>0</v>
      </c>
      <c r="H5917">
        <f t="shared" si="1214"/>
        <v>0</v>
      </c>
      <c r="I5917">
        <f t="shared" si="1215"/>
        <v>0</v>
      </c>
      <c r="J5917">
        <f t="shared" si="1216"/>
        <v>0</v>
      </c>
      <c r="K5917" s="4" t="e">
        <f t="shared" si="1204"/>
        <v>#N/A</v>
      </c>
      <c r="L5917" t="e">
        <f t="shared" si="1205"/>
        <v>#N/A</v>
      </c>
      <c r="M5917" s="4" t="e">
        <f t="shared" si="1206"/>
        <v>#N/A</v>
      </c>
      <c r="N5917" s="4" t="e">
        <f t="shared" si="1207"/>
        <v>#N/A</v>
      </c>
    </row>
    <row r="5918" spans="1:14">
      <c r="A5918">
        <f t="shared" si="1208"/>
        <v>0</v>
      </c>
      <c r="B5918">
        <f t="shared" si="1209"/>
        <v>0</v>
      </c>
      <c r="C5918">
        <f t="shared" si="1210"/>
        <v>0</v>
      </c>
      <c r="D5918">
        <f t="shared" si="1211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2"/>
        <v>0</v>
      </c>
      <c r="G5918">
        <f t="shared" si="1213"/>
        <v>0</v>
      </c>
      <c r="H5918">
        <f t="shared" si="1214"/>
        <v>0</v>
      </c>
      <c r="I5918">
        <f t="shared" si="1215"/>
        <v>0</v>
      </c>
      <c r="J5918">
        <f t="shared" si="1216"/>
        <v>0</v>
      </c>
      <c r="K5918" s="4" t="e">
        <f t="shared" si="1204"/>
        <v>#N/A</v>
      </c>
      <c r="L5918" t="e">
        <f t="shared" si="1205"/>
        <v>#N/A</v>
      </c>
      <c r="M5918" s="4" t="e">
        <f t="shared" si="1206"/>
        <v>#N/A</v>
      </c>
      <c r="N5918" s="4" t="e">
        <f t="shared" si="1207"/>
        <v>#N/A</v>
      </c>
    </row>
    <row r="5919" spans="1:14">
      <c r="A5919">
        <f t="shared" si="1208"/>
        <v>0</v>
      </c>
      <c r="B5919">
        <f t="shared" si="1209"/>
        <v>0</v>
      </c>
      <c r="C5919">
        <f t="shared" si="1210"/>
        <v>0</v>
      </c>
      <c r="D5919">
        <f t="shared" si="1211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2"/>
        <v>0</v>
      </c>
      <c r="G5919">
        <f t="shared" si="1213"/>
        <v>0</v>
      </c>
      <c r="H5919">
        <f t="shared" si="1214"/>
        <v>0</v>
      </c>
      <c r="I5919">
        <f t="shared" si="1215"/>
        <v>0</v>
      </c>
      <c r="J5919">
        <f t="shared" si="1216"/>
        <v>0</v>
      </c>
      <c r="K5919" s="4" t="e">
        <f t="shared" si="1204"/>
        <v>#N/A</v>
      </c>
      <c r="L5919" t="e">
        <f t="shared" si="1205"/>
        <v>#N/A</v>
      </c>
      <c r="M5919" s="4" t="e">
        <f t="shared" si="1206"/>
        <v>#N/A</v>
      </c>
      <c r="N5919" s="4" t="e">
        <f t="shared" si="1207"/>
        <v>#N/A</v>
      </c>
    </row>
    <row r="5920" spans="1:14">
      <c r="A5920">
        <f t="shared" si="1208"/>
        <v>0</v>
      </c>
      <c r="B5920">
        <f t="shared" si="1209"/>
        <v>0</v>
      </c>
      <c r="C5920">
        <f t="shared" si="1210"/>
        <v>0</v>
      </c>
      <c r="D5920">
        <f t="shared" si="1211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2"/>
        <v>0</v>
      </c>
      <c r="G5920">
        <f t="shared" si="1213"/>
        <v>0</v>
      </c>
      <c r="H5920">
        <f t="shared" si="1214"/>
        <v>0</v>
      </c>
      <c r="I5920">
        <f t="shared" si="1215"/>
        <v>0</v>
      </c>
      <c r="J5920">
        <f t="shared" si="1216"/>
        <v>0</v>
      </c>
      <c r="K5920" s="4" t="e">
        <f t="shared" si="1204"/>
        <v>#N/A</v>
      </c>
      <c r="L5920" t="e">
        <f t="shared" si="1205"/>
        <v>#N/A</v>
      </c>
      <c r="M5920" s="4" t="e">
        <f t="shared" si="1206"/>
        <v>#N/A</v>
      </c>
      <c r="N5920" s="4" t="e">
        <f t="shared" si="1207"/>
        <v>#N/A</v>
      </c>
    </row>
    <row r="5921" spans="1:14">
      <c r="A5921">
        <f t="shared" si="1208"/>
        <v>0</v>
      </c>
      <c r="B5921">
        <f t="shared" si="1209"/>
        <v>0</v>
      </c>
      <c r="C5921">
        <f t="shared" si="1210"/>
        <v>0</v>
      </c>
      <c r="D5921">
        <f t="shared" si="1211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2"/>
        <v>0</v>
      </c>
      <c r="G5921">
        <f t="shared" si="1213"/>
        <v>0</v>
      </c>
      <c r="H5921">
        <f t="shared" si="1214"/>
        <v>0</v>
      </c>
      <c r="I5921">
        <f t="shared" si="1215"/>
        <v>0</v>
      </c>
      <c r="J5921">
        <f t="shared" si="1216"/>
        <v>0</v>
      </c>
      <c r="K5921" s="4" t="e">
        <f t="shared" si="1204"/>
        <v>#N/A</v>
      </c>
      <c r="L5921" t="e">
        <f t="shared" si="1205"/>
        <v>#N/A</v>
      </c>
      <c r="M5921" s="4" t="e">
        <f t="shared" si="1206"/>
        <v>#N/A</v>
      </c>
      <c r="N5921" s="4" t="e">
        <f t="shared" si="1207"/>
        <v>#N/A</v>
      </c>
    </row>
    <row r="5922" spans="1:14">
      <c r="A5922">
        <f t="shared" si="1208"/>
        <v>0</v>
      </c>
      <c r="B5922">
        <f t="shared" si="1209"/>
        <v>0</v>
      </c>
      <c r="C5922">
        <f t="shared" si="1210"/>
        <v>0</v>
      </c>
      <c r="D5922">
        <f t="shared" si="1211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2"/>
        <v>0</v>
      </c>
      <c r="G5922">
        <f t="shared" si="1213"/>
        <v>0</v>
      </c>
      <c r="H5922">
        <f t="shared" si="1214"/>
        <v>0</v>
      </c>
      <c r="I5922">
        <f t="shared" si="1215"/>
        <v>0</v>
      </c>
      <c r="J5922">
        <f t="shared" si="1216"/>
        <v>0</v>
      </c>
      <c r="K5922" s="4" t="e">
        <f t="shared" si="1204"/>
        <v>#N/A</v>
      </c>
      <c r="L5922" t="e">
        <f t="shared" si="1205"/>
        <v>#N/A</v>
      </c>
      <c r="M5922" s="4" t="e">
        <f t="shared" si="1206"/>
        <v>#N/A</v>
      </c>
      <c r="N5922" s="4" t="e">
        <f t="shared" si="1207"/>
        <v>#N/A</v>
      </c>
    </row>
    <row r="5923" spans="1:14">
      <c r="A5923">
        <f t="shared" si="1208"/>
        <v>0</v>
      </c>
      <c r="B5923">
        <f t="shared" si="1209"/>
        <v>0</v>
      </c>
      <c r="C5923">
        <f t="shared" si="1210"/>
        <v>0</v>
      </c>
      <c r="D5923">
        <f t="shared" si="1211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2"/>
        <v>0</v>
      </c>
      <c r="G5923">
        <f t="shared" si="1213"/>
        <v>0</v>
      </c>
      <c r="H5923">
        <f t="shared" si="1214"/>
        <v>0</v>
      </c>
      <c r="I5923">
        <f t="shared" si="1215"/>
        <v>0</v>
      </c>
      <c r="J5923">
        <f t="shared" si="1216"/>
        <v>0</v>
      </c>
      <c r="K5923" s="4" t="e">
        <f t="shared" si="1204"/>
        <v>#N/A</v>
      </c>
      <c r="L5923" t="e">
        <f t="shared" si="1205"/>
        <v>#N/A</v>
      </c>
      <c r="M5923" s="4" t="e">
        <f t="shared" si="1206"/>
        <v>#N/A</v>
      </c>
      <c r="N5923" s="4" t="e">
        <f t="shared" si="1207"/>
        <v>#N/A</v>
      </c>
    </row>
    <row r="5924" spans="1:14">
      <c r="A5924">
        <f t="shared" si="1208"/>
        <v>0</v>
      </c>
      <c r="B5924">
        <f t="shared" si="1209"/>
        <v>0</v>
      </c>
      <c r="C5924">
        <f t="shared" si="1210"/>
        <v>0</v>
      </c>
      <c r="D5924">
        <f t="shared" si="1211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2"/>
        <v>0</v>
      </c>
      <c r="G5924">
        <f t="shared" si="1213"/>
        <v>0</v>
      </c>
      <c r="H5924">
        <f t="shared" si="1214"/>
        <v>0</v>
      </c>
      <c r="I5924">
        <f t="shared" si="1215"/>
        <v>0</v>
      </c>
      <c r="J5924">
        <f t="shared" si="1216"/>
        <v>0</v>
      </c>
      <c r="K5924" s="4" t="e">
        <f t="shared" si="1204"/>
        <v>#N/A</v>
      </c>
      <c r="L5924" t="e">
        <f t="shared" si="1205"/>
        <v>#N/A</v>
      </c>
      <c r="M5924" s="4" t="e">
        <f t="shared" si="1206"/>
        <v>#N/A</v>
      </c>
      <c r="N5924" s="4" t="e">
        <f t="shared" si="1207"/>
        <v>#N/A</v>
      </c>
    </row>
    <row r="5925" spans="1:14">
      <c r="A5925">
        <f t="shared" si="1208"/>
        <v>0</v>
      </c>
      <c r="B5925">
        <f t="shared" si="1209"/>
        <v>0</v>
      </c>
      <c r="C5925">
        <f t="shared" si="1210"/>
        <v>0</v>
      </c>
      <c r="D5925">
        <f t="shared" si="1211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2"/>
        <v>0</v>
      </c>
      <c r="G5925">
        <f t="shared" si="1213"/>
        <v>0</v>
      </c>
      <c r="H5925">
        <f t="shared" si="1214"/>
        <v>0</v>
      </c>
      <c r="I5925">
        <f t="shared" si="1215"/>
        <v>0</v>
      </c>
      <c r="J5925">
        <f t="shared" si="1216"/>
        <v>0</v>
      </c>
      <c r="K5925" s="4" t="e">
        <f t="shared" si="1204"/>
        <v>#N/A</v>
      </c>
      <c r="L5925" t="e">
        <f t="shared" si="1205"/>
        <v>#N/A</v>
      </c>
      <c r="M5925" s="4" t="e">
        <f t="shared" si="1206"/>
        <v>#N/A</v>
      </c>
      <c r="N5925" s="4" t="e">
        <f t="shared" si="1207"/>
        <v>#N/A</v>
      </c>
    </row>
    <row r="5926" spans="1:14">
      <c r="A5926">
        <f t="shared" si="1208"/>
        <v>0</v>
      </c>
      <c r="B5926">
        <f t="shared" si="1209"/>
        <v>0</v>
      </c>
      <c r="C5926">
        <f t="shared" si="1210"/>
        <v>0</v>
      </c>
      <c r="D5926">
        <f t="shared" si="1211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2"/>
        <v>0</v>
      </c>
      <c r="G5926">
        <f t="shared" si="1213"/>
        <v>0</v>
      </c>
      <c r="H5926">
        <f t="shared" si="1214"/>
        <v>0</v>
      </c>
      <c r="I5926">
        <f t="shared" si="1215"/>
        <v>0</v>
      </c>
      <c r="J5926">
        <f t="shared" si="1216"/>
        <v>0</v>
      </c>
      <c r="K5926" s="4" t="e">
        <f t="shared" si="1204"/>
        <v>#N/A</v>
      </c>
      <c r="L5926" t="e">
        <f t="shared" si="1205"/>
        <v>#N/A</v>
      </c>
      <c r="M5926" s="4" t="e">
        <f t="shared" si="1206"/>
        <v>#N/A</v>
      </c>
      <c r="N5926" s="4" t="e">
        <f t="shared" si="1207"/>
        <v>#N/A</v>
      </c>
    </row>
    <row r="5927" spans="1:14">
      <c r="A5927">
        <f t="shared" si="1208"/>
        <v>0</v>
      </c>
      <c r="B5927">
        <f t="shared" si="1209"/>
        <v>0</v>
      </c>
      <c r="C5927">
        <f t="shared" si="1210"/>
        <v>0</v>
      </c>
      <c r="D5927">
        <f t="shared" si="1211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2"/>
        <v>0</v>
      </c>
      <c r="G5927">
        <f t="shared" si="1213"/>
        <v>0</v>
      </c>
      <c r="H5927">
        <f t="shared" si="1214"/>
        <v>0</v>
      </c>
      <c r="I5927">
        <f t="shared" si="1215"/>
        <v>0</v>
      </c>
      <c r="J5927">
        <f t="shared" si="1216"/>
        <v>0</v>
      </c>
      <c r="K5927" s="4" t="e">
        <f t="shared" si="1204"/>
        <v>#N/A</v>
      </c>
      <c r="L5927" t="e">
        <f t="shared" si="1205"/>
        <v>#N/A</v>
      </c>
      <c r="M5927" s="4" t="e">
        <f t="shared" si="1206"/>
        <v>#N/A</v>
      </c>
      <c r="N5927" s="4" t="e">
        <f t="shared" si="1207"/>
        <v>#N/A</v>
      </c>
    </row>
    <row r="5928" spans="1:14">
      <c r="A5928">
        <f t="shared" si="1208"/>
        <v>0</v>
      </c>
      <c r="B5928">
        <f t="shared" si="1209"/>
        <v>0</v>
      </c>
      <c r="C5928">
        <f t="shared" si="1210"/>
        <v>0</v>
      </c>
      <c r="D5928">
        <f t="shared" si="1211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2"/>
        <v>0</v>
      </c>
      <c r="G5928">
        <f t="shared" si="1213"/>
        <v>0</v>
      </c>
      <c r="H5928">
        <f t="shared" si="1214"/>
        <v>0</v>
      </c>
      <c r="I5928">
        <f t="shared" si="1215"/>
        <v>0</v>
      </c>
      <c r="J5928">
        <f t="shared" si="1216"/>
        <v>0</v>
      </c>
      <c r="K5928" s="4" t="e">
        <f t="shared" si="1204"/>
        <v>#N/A</v>
      </c>
      <c r="L5928" t="e">
        <f t="shared" si="1205"/>
        <v>#N/A</v>
      </c>
      <c r="M5928" s="4" t="e">
        <f t="shared" si="1206"/>
        <v>#N/A</v>
      </c>
      <c r="N5928" s="4" t="e">
        <f t="shared" si="1207"/>
        <v>#N/A</v>
      </c>
    </row>
    <row r="5929" spans="1:14">
      <c r="A5929">
        <f t="shared" si="1208"/>
        <v>0</v>
      </c>
      <c r="B5929">
        <f t="shared" si="1209"/>
        <v>0</v>
      </c>
      <c r="C5929">
        <f t="shared" si="1210"/>
        <v>0</v>
      </c>
      <c r="D5929">
        <f t="shared" si="1211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2"/>
        <v>0</v>
      </c>
      <c r="G5929">
        <f t="shared" si="1213"/>
        <v>0</v>
      </c>
      <c r="H5929">
        <f t="shared" si="1214"/>
        <v>0</v>
      </c>
      <c r="I5929">
        <f t="shared" si="1215"/>
        <v>0</v>
      </c>
      <c r="J5929">
        <f t="shared" si="1216"/>
        <v>0</v>
      </c>
      <c r="K5929" s="4" t="e">
        <f t="shared" si="1204"/>
        <v>#N/A</v>
      </c>
      <c r="L5929" t="e">
        <f t="shared" si="1205"/>
        <v>#N/A</v>
      </c>
      <c r="M5929" s="4" t="e">
        <f t="shared" si="1206"/>
        <v>#N/A</v>
      </c>
      <c r="N5929" s="4" t="e">
        <f t="shared" si="1207"/>
        <v>#N/A</v>
      </c>
    </row>
    <row r="5930" spans="1:14">
      <c r="A5930">
        <f t="shared" si="1208"/>
        <v>0</v>
      </c>
      <c r="B5930">
        <f t="shared" si="1209"/>
        <v>0</v>
      </c>
      <c r="C5930">
        <f t="shared" si="1210"/>
        <v>0</v>
      </c>
      <c r="D5930">
        <f t="shared" si="1211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2"/>
        <v>0</v>
      </c>
      <c r="G5930">
        <f t="shared" si="1213"/>
        <v>0</v>
      </c>
      <c r="H5930">
        <f t="shared" si="1214"/>
        <v>0</v>
      </c>
      <c r="I5930">
        <f t="shared" si="1215"/>
        <v>0</v>
      </c>
      <c r="J5930">
        <f t="shared" si="1216"/>
        <v>0</v>
      </c>
      <c r="K5930" s="4" t="e">
        <f t="shared" si="1204"/>
        <v>#N/A</v>
      </c>
      <c r="L5930" t="e">
        <f t="shared" si="1205"/>
        <v>#N/A</v>
      </c>
      <c r="M5930" s="4" t="e">
        <f t="shared" si="1206"/>
        <v>#N/A</v>
      </c>
      <c r="N5930" s="4" t="e">
        <f t="shared" si="1207"/>
        <v>#N/A</v>
      </c>
    </row>
    <row r="5931" spans="1:14">
      <c r="A5931">
        <f t="shared" si="1208"/>
        <v>0</v>
      </c>
      <c r="B5931">
        <f t="shared" si="1209"/>
        <v>0</v>
      </c>
      <c r="C5931">
        <f t="shared" si="1210"/>
        <v>0</v>
      </c>
      <c r="D5931">
        <f t="shared" si="1211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2"/>
        <v>0</v>
      </c>
      <c r="G5931">
        <f t="shared" si="1213"/>
        <v>0</v>
      </c>
      <c r="H5931">
        <f t="shared" si="1214"/>
        <v>0</v>
      </c>
      <c r="I5931">
        <f t="shared" si="1215"/>
        <v>0</v>
      </c>
      <c r="J5931">
        <f t="shared" si="1216"/>
        <v>0</v>
      </c>
      <c r="K5931" s="4" t="e">
        <f t="shared" si="1204"/>
        <v>#N/A</v>
      </c>
      <c r="L5931" t="e">
        <f t="shared" si="1205"/>
        <v>#N/A</v>
      </c>
      <c r="M5931" s="4" t="e">
        <f t="shared" si="1206"/>
        <v>#N/A</v>
      </c>
      <c r="N5931" s="4" t="e">
        <f t="shared" si="1207"/>
        <v>#N/A</v>
      </c>
    </row>
    <row r="5932" spans="1:14">
      <c r="A5932">
        <f t="shared" si="1208"/>
        <v>0</v>
      </c>
      <c r="B5932">
        <f t="shared" si="1209"/>
        <v>0</v>
      </c>
      <c r="C5932">
        <f t="shared" si="1210"/>
        <v>0</v>
      </c>
      <c r="D5932">
        <f t="shared" si="1211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2"/>
        <v>0</v>
      </c>
      <c r="G5932">
        <f t="shared" si="1213"/>
        <v>0</v>
      </c>
      <c r="H5932">
        <f t="shared" si="1214"/>
        <v>0</v>
      </c>
      <c r="I5932">
        <f t="shared" si="1215"/>
        <v>0</v>
      </c>
      <c r="J5932">
        <f t="shared" si="1216"/>
        <v>0</v>
      </c>
      <c r="K5932" s="4" t="e">
        <f t="shared" si="1204"/>
        <v>#N/A</v>
      </c>
      <c r="L5932" t="e">
        <f t="shared" si="1205"/>
        <v>#N/A</v>
      </c>
      <c r="M5932" s="4" t="e">
        <f t="shared" si="1206"/>
        <v>#N/A</v>
      </c>
      <c r="N5932" s="4" t="e">
        <f t="shared" si="1207"/>
        <v>#N/A</v>
      </c>
    </row>
    <row r="5933" spans="1:14">
      <c r="A5933">
        <f t="shared" si="1208"/>
        <v>0</v>
      </c>
      <c r="B5933">
        <f t="shared" si="1209"/>
        <v>0</v>
      </c>
      <c r="C5933">
        <f t="shared" si="1210"/>
        <v>0</v>
      </c>
      <c r="D5933">
        <f t="shared" si="1211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2"/>
        <v>0</v>
      </c>
      <c r="G5933">
        <f t="shared" si="1213"/>
        <v>0</v>
      </c>
      <c r="H5933">
        <f t="shared" si="1214"/>
        <v>0</v>
      </c>
      <c r="I5933">
        <f t="shared" si="1215"/>
        <v>0</v>
      </c>
      <c r="J5933">
        <f t="shared" si="1216"/>
        <v>0</v>
      </c>
      <c r="K5933" s="4" t="e">
        <f t="shared" si="1204"/>
        <v>#N/A</v>
      </c>
      <c r="L5933" t="e">
        <f t="shared" si="1205"/>
        <v>#N/A</v>
      </c>
      <c r="M5933" s="4" t="e">
        <f t="shared" si="1206"/>
        <v>#N/A</v>
      </c>
      <c r="N5933" s="4" t="e">
        <f t="shared" si="1207"/>
        <v>#N/A</v>
      </c>
    </row>
    <row r="5934" spans="1:14">
      <c r="A5934">
        <f t="shared" si="1208"/>
        <v>0</v>
      </c>
      <c r="B5934">
        <f t="shared" si="1209"/>
        <v>0</v>
      </c>
      <c r="C5934">
        <f t="shared" si="1210"/>
        <v>0</v>
      </c>
      <c r="D5934">
        <f t="shared" si="1211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2"/>
        <v>0</v>
      </c>
      <c r="G5934">
        <f t="shared" si="1213"/>
        <v>0</v>
      </c>
      <c r="H5934">
        <f t="shared" si="1214"/>
        <v>0</v>
      </c>
      <c r="I5934">
        <f t="shared" si="1215"/>
        <v>0</v>
      </c>
      <c r="J5934">
        <f t="shared" si="1216"/>
        <v>0</v>
      </c>
      <c r="K5934" s="4" t="e">
        <f t="shared" si="1204"/>
        <v>#N/A</v>
      </c>
      <c r="L5934" t="e">
        <f t="shared" si="1205"/>
        <v>#N/A</v>
      </c>
      <c r="M5934" s="4" t="e">
        <f t="shared" si="1206"/>
        <v>#N/A</v>
      </c>
      <c r="N5934" s="4" t="e">
        <f t="shared" si="1207"/>
        <v>#N/A</v>
      </c>
    </row>
    <row r="5935" spans="1:14">
      <c r="A5935">
        <f t="shared" si="1208"/>
        <v>0</v>
      </c>
      <c r="B5935">
        <f t="shared" si="1209"/>
        <v>0</v>
      </c>
      <c r="C5935">
        <f t="shared" si="1210"/>
        <v>0</v>
      </c>
      <c r="D5935">
        <f t="shared" si="1211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2"/>
        <v>0</v>
      </c>
      <c r="G5935">
        <f t="shared" si="1213"/>
        <v>0</v>
      </c>
      <c r="H5935">
        <f t="shared" si="1214"/>
        <v>0</v>
      </c>
      <c r="I5935">
        <f t="shared" si="1215"/>
        <v>0</v>
      </c>
      <c r="J5935">
        <f t="shared" si="1216"/>
        <v>0</v>
      </c>
      <c r="K5935" s="4" t="e">
        <f t="shared" si="1204"/>
        <v>#N/A</v>
      </c>
      <c r="L5935" t="e">
        <f t="shared" si="1205"/>
        <v>#N/A</v>
      </c>
      <c r="M5935" s="4" t="e">
        <f t="shared" si="1206"/>
        <v>#N/A</v>
      </c>
      <c r="N5935" s="4" t="e">
        <f t="shared" si="1207"/>
        <v>#N/A</v>
      </c>
    </row>
    <row r="5936" spans="1:14">
      <c r="A5936">
        <f t="shared" si="1208"/>
        <v>0</v>
      </c>
      <c r="B5936">
        <f t="shared" si="1209"/>
        <v>0</v>
      </c>
      <c r="C5936">
        <f t="shared" si="1210"/>
        <v>0</v>
      </c>
      <c r="D5936">
        <f t="shared" si="1211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2"/>
        <v>0</v>
      </c>
      <c r="G5936">
        <f t="shared" si="1213"/>
        <v>0</v>
      </c>
      <c r="H5936">
        <f t="shared" si="1214"/>
        <v>0</v>
      </c>
      <c r="I5936">
        <f t="shared" si="1215"/>
        <v>0</v>
      </c>
      <c r="J5936">
        <f t="shared" si="1216"/>
        <v>0</v>
      </c>
      <c r="K5936" s="4" t="e">
        <f t="shared" si="1204"/>
        <v>#N/A</v>
      </c>
      <c r="L5936" t="e">
        <f t="shared" si="1205"/>
        <v>#N/A</v>
      </c>
      <c r="M5936" s="4" t="e">
        <f t="shared" si="1206"/>
        <v>#N/A</v>
      </c>
      <c r="N5936" s="4" t="e">
        <f t="shared" si="1207"/>
        <v>#N/A</v>
      </c>
    </row>
    <row r="5937" spans="1:14">
      <c r="A5937">
        <f t="shared" si="1208"/>
        <v>0</v>
      </c>
      <c r="B5937">
        <f t="shared" si="1209"/>
        <v>0</v>
      </c>
      <c r="C5937">
        <f t="shared" si="1210"/>
        <v>0</v>
      </c>
      <c r="D5937">
        <f t="shared" si="1211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2"/>
        <v>0</v>
      </c>
      <c r="G5937">
        <f t="shared" si="1213"/>
        <v>0</v>
      </c>
      <c r="H5937">
        <f t="shared" si="1214"/>
        <v>0</v>
      </c>
      <c r="I5937">
        <f t="shared" si="1215"/>
        <v>0</v>
      </c>
      <c r="J5937">
        <f t="shared" si="1216"/>
        <v>0</v>
      </c>
      <c r="K5937" s="4" t="e">
        <f t="shared" si="1204"/>
        <v>#N/A</v>
      </c>
      <c r="L5937" t="e">
        <f t="shared" si="1205"/>
        <v>#N/A</v>
      </c>
      <c r="M5937" s="4" t="e">
        <f t="shared" si="1206"/>
        <v>#N/A</v>
      </c>
      <c r="N5937" s="4" t="e">
        <f t="shared" si="1207"/>
        <v>#N/A</v>
      </c>
    </row>
    <row r="5938" spans="1:14">
      <c r="A5938">
        <f t="shared" si="1208"/>
        <v>0</v>
      </c>
      <c r="B5938">
        <f t="shared" si="1209"/>
        <v>0</v>
      </c>
      <c r="C5938">
        <f t="shared" si="1210"/>
        <v>0</v>
      </c>
      <c r="D5938">
        <f t="shared" si="1211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2"/>
        <v>0</v>
      </c>
      <c r="G5938">
        <f t="shared" si="1213"/>
        <v>0</v>
      </c>
      <c r="H5938">
        <f t="shared" si="1214"/>
        <v>0</v>
      </c>
      <c r="I5938">
        <f t="shared" si="1215"/>
        <v>0</v>
      </c>
      <c r="J5938">
        <f t="shared" si="1216"/>
        <v>0</v>
      </c>
      <c r="K5938" s="4" t="e">
        <f t="shared" si="1204"/>
        <v>#N/A</v>
      </c>
      <c r="L5938" t="e">
        <f t="shared" si="1205"/>
        <v>#N/A</v>
      </c>
      <c r="M5938" s="4" t="e">
        <f t="shared" si="1206"/>
        <v>#N/A</v>
      </c>
      <c r="N5938" s="4" t="e">
        <f t="shared" si="1207"/>
        <v>#N/A</v>
      </c>
    </row>
    <row r="5939" spans="1:14">
      <c r="A5939">
        <f t="shared" si="1208"/>
        <v>0</v>
      </c>
      <c r="B5939">
        <f t="shared" si="1209"/>
        <v>0</v>
      </c>
      <c r="C5939">
        <f t="shared" si="1210"/>
        <v>0</v>
      </c>
      <c r="D5939">
        <f t="shared" si="1211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2"/>
        <v>0</v>
      </c>
      <c r="G5939">
        <f t="shared" si="1213"/>
        <v>0</v>
      </c>
      <c r="H5939">
        <f t="shared" si="1214"/>
        <v>0</v>
      </c>
      <c r="I5939">
        <f t="shared" si="1215"/>
        <v>0</v>
      </c>
      <c r="J5939">
        <f t="shared" si="1216"/>
        <v>0</v>
      </c>
      <c r="K5939" s="4" t="e">
        <f t="shared" si="1204"/>
        <v>#N/A</v>
      </c>
      <c r="L5939" t="e">
        <f t="shared" si="1205"/>
        <v>#N/A</v>
      </c>
      <c r="M5939" s="4" t="e">
        <f t="shared" si="1206"/>
        <v>#N/A</v>
      </c>
      <c r="N5939" s="4" t="e">
        <f t="shared" si="1207"/>
        <v>#N/A</v>
      </c>
    </row>
    <row r="5940" spans="1:14">
      <c r="A5940">
        <f t="shared" si="1208"/>
        <v>0</v>
      </c>
      <c r="B5940">
        <f t="shared" si="1209"/>
        <v>0</v>
      </c>
      <c r="C5940">
        <f t="shared" si="1210"/>
        <v>0</v>
      </c>
      <c r="D5940">
        <f t="shared" si="1211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2"/>
        <v>0</v>
      </c>
      <c r="G5940">
        <f t="shared" si="1213"/>
        <v>0</v>
      </c>
      <c r="H5940">
        <f t="shared" si="1214"/>
        <v>0</v>
      </c>
      <c r="I5940">
        <f t="shared" si="1215"/>
        <v>0</v>
      </c>
      <c r="J5940">
        <f t="shared" si="1216"/>
        <v>0</v>
      </c>
      <c r="K5940" s="4" t="e">
        <f t="shared" si="1204"/>
        <v>#N/A</v>
      </c>
      <c r="L5940" t="e">
        <f t="shared" si="1205"/>
        <v>#N/A</v>
      </c>
      <c r="M5940" s="4" t="e">
        <f t="shared" si="1206"/>
        <v>#N/A</v>
      </c>
      <c r="N5940" s="4" t="e">
        <f t="shared" si="1207"/>
        <v>#N/A</v>
      </c>
    </row>
    <row r="5941" spans="1:14">
      <c r="A5941">
        <f t="shared" si="1208"/>
        <v>0</v>
      </c>
      <c r="B5941">
        <f t="shared" si="1209"/>
        <v>0</v>
      </c>
      <c r="C5941">
        <f t="shared" si="1210"/>
        <v>0</v>
      </c>
      <c r="D5941">
        <f t="shared" si="1211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2"/>
        <v>0</v>
      </c>
      <c r="G5941">
        <f t="shared" si="1213"/>
        <v>0</v>
      </c>
      <c r="H5941">
        <f t="shared" si="1214"/>
        <v>0</v>
      </c>
      <c r="I5941">
        <f t="shared" si="1215"/>
        <v>0</v>
      </c>
      <c r="J5941">
        <f t="shared" si="1216"/>
        <v>0</v>
      </c>
      <c r="K5941" s="4" t="e">
        <f t="shared" si="1204"/>
        <v>#N/A</v>
      </c>
      <c r="L5941" t="e">
        <f t="shared" si="1205"/>
        <v>#N/A</v>
      </c>
      <c r="M5941" s="4" t="e">
        <f t="shared" si="1206"/>
        <v>#N/A</v>
      </c>
      <c r="N5941" s="4" t="e">
        <f t="shared" si="1207"/>
        <v>#N/A</v>
      </c>
    </row>
    <row r="5942" spans="1:14">
      <c r="A5942">
        <f t="shared" si="1208"/>
        <v>0</v>
      </c>
      <c r="B5942">
        <f t="shared" si="1209"/>
        <v>0</v>
      </c>
      <c r="C5942">
        <f t="shared" si="1210"/>
        <v>0</v>
      </c>
      <c r="D5942">
        <f t="shared" si="1211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2"/>
        <v>0</v>
      </c>
      <c r="G5942">
        <f t="shared" si="1213"/>
        <v>0</v>
      </c>
      <c r="H5942">
        <f t="shared" si="1214"/>
        <v>0</v>
      </c>
      <c r="I5942">
        <f t="shared" si="1215"/>
        <v>0</v>
      </c>
      <c r="J5942">
        <f t="shared" si="1216"/>
        <v>0</v>
      </c>
      <c r="K5942" s="4" t="e">
        <f t="shared" si="1204"/>
        <v>#N/A</v>
      </c>
      <c r="L5942" t="e">
        <f t="shared" si="1205"/>
        <v>#N/A</v>
      </c>
      <c r="M5942" s="4" t="e">
        <f t="shared" si="1206"/>
        <v>#N/A</v>
      </c>
      <c r="N5942" s="4" t="e">
        <f t="shared" si="1207"/>
        <v>#N/A</v>
      </c>
    </row>
    <row r="5943" spans="1:14">
      <c r="A5943">
        <f t="shared" si="1208"/>
        <v>0</v>
      </c>
      <c r="B5943">
        <f t="shared" si="1209"/>
        <v>0</v>
      </c>
      <c r="C5943">
        <f t="shared" si="1210"/>
        <v>0</v>
      </c>
      <c r="D5943">
        <f t="shared" si="1211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2"/>
        <v>0</v>
      </c>
      <c r="G5943">
        <f t="shared" si="1213"/>
        <v>0</v>
      </c>
      <c r="H5943">
        <f t="shared" si="1214"/>
        <v>0</v>
      </c>
      <c r="I5943">
        <f t="shared" si="1215"/>
        <v>0</v>
      </c>
      <c r="J5943">
        <f t="shared" si="1216"/>
        <v>0</v>
      </c>
      <c r="K5943" s="4" t="e">
        <f t="shared" si="1204"/>
        <v>#N/A</v>
      </c>
      <c r="L5943" t="e">
        <f t="shared" si="1205"/>
        <v>#N/A</v>
      </c>
      <c r="M5943" s="4" t="e">
        <f t="shared" si="1206"/>
        <v>#N/A</v>
      </c>
      <c r="N5943" s="4" t="e">
        <f t="shared" si="1207"/>
        <v>#N/A</v>
      </c>
    </row>
    <row r="5944" spans="1:14">
      <c r="A5944">
        <f t="shared" si="1208"/>
        <v>0</v>
      </c>
      <c r="B5944">
        <f t="shared" si="1209"/>
        <v>0</v>
      </c>
      <c r="C5944">
        <f t="shared" si="1210"/>
        <v>0</v>
      </c>
      <c r="D5944">
        <f t="shared" si="1211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2"/>
        <v>0</v>
      </c>
      <c r="G5944">
        <f t="shared" si="1213"/>
        <v>0</v>
      </c>
      <c r="H5944">
        <f t="shared" si="1214"/>
        <v>0</v>
      </c>
      <c r="I5944">
        <f t="shared" si="1215"/>
        <v>0</v>
      </c>
      <c r="J5944">
        <f t="shared" si="1216"/>
        <v>0</v>
      </c>
      <c r="K5944" s="4" t="e">
        <f t="shared" si="1204"/>
        <v>#N/A</v>
      </c>
      <c r="L5944" t="e">
        <f t="shared" si="1205"/>
        <v>#N/A</v>
      </c>
      <c r="M5944" s="4" t="e">
        <f t="shared" si="1206"/>
        <v>#N/A</v>
      </c>
      <c r="N5944" s="4" t="e">
        <f t="shared" si="1207"/>
        <v>#N/A</v>
      </c>
    </row>
    <row r="5945" spans="1:14">
      <c r="A5945">
        <f t="shared" si="1208"/>
        <v>0</v>
      </c>
      <c r="B5945">
        <f t="shared" si="1209"/>
        <v>0</v>
      </c>
      <c r="C5945">
        <f t="shared" si="1210"/>
        <v>0</v>
      </c>
      <c r="D5945">
        <f t="shared" si="1211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2"/>
        <v>0</v>
      </c>
      <c r="G5945">
        <f t="shared" si="1213"/>
        <v>0</v>
      </c>
      <c r="H5945">
        <f t="shared" si="1214"/>
        <v>0</v>
      </c>
      <c r="I5945">
        <f t="shared" si="1215"/>
        <v>0</v>
      </c>
      <c r="J5945">
        <f t="shared" si="1216"/>
        <v>0</v>
      </c>
      <c r="K5945" s="4" t="e">
        <f t="shared" si="1204"/>
        <v>#N/A</v>
      </c>
      <c r="L5945" t="e">
        <f t="shared" si="1205"/>
        <v>#N/A</v>
      </c>
      <c r="M5945" s="4" t="e">
        <f t="shared" si="1206"/>
        <v>#N/A</v>
      </c>
      <c r="N5945" s="4" t="e">
        <f t="shared" si="1207"/>
        <v>#N/A</v>
      </c>
    </row>
    <row r="5946" spans="1:14">
      <c r="A5946">
        <f t="shared" si="1208"/>
        <v>0</v>
      </c>
      <c r="B5946">
        <f t="shared" si="1209"/>
        <v>0</v>
      </c>
      <c r="C5946">
        <f t="shared" si="1210"/>
        <v>0</v>
      </c>
      <c r="D5946">
        <f t="shared" si="1211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2"/>
        <v>0</v>
      </c>
      <c r="G5946">
        <f t="shared" si="1213"/>
        <v>0</v>
      </c>
      <c r="H5946">
        <f t="shared" si="1214"/>
        <v>0</v>
      </c>
      <c r="I5946">
        <f t="shared" si="1215"/>
        <v>0</v>
      </c>
      <c r="J5946">
        <f t="shared" si="1216"/>
        <v>0</v>
      </c>
      <c r="K5946" s="4" t="e">
        <f t="shared" si="1204"/>
        <v>#N/A</v>
      </c>
      <c r="L5946" t="e">
        <f t="shared" si="1205"/>
        <v>#N/A</v>
      </c>
      <c r="M5946" s="4" t="e">
        <f t="shared" si="1206"/>
        <v>#N/A</v>
      </c>
      <c r="N5946" s="4" t="e">
        <f t="shared" si="1207"/>
        <v>#N/A</v>
      </c>
    </row>
    <row r="5947" spans="1:14">
      <c r="A5947">
        <f t="shared" si="1208"/>
        <v>0</v>
      </c>
      <c r="B5947">
        <f t="shared" si="1209"/>
        <v>0</v>
      </c>
      <c r="C5947">
        <f t="shared" si="1210"/>
        <v>0</v>
      </c>
      <c r="D5947">
        <f t="shared" si="1211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2"/>
        <v>0</v>
      </c>
      <c r="G5947">
        <f t="shared" si="1213"/>
        <v>0</v>
      </c>
      <c r="H5947">
        <f t="shared" si="1214"/>
        <v>0</v>
      </c>
      <c r="I5947">
        <f t="shared" si="1215"/>
        <v>0</v>
      </c>
      <c r="J5947">
        <f t="shared" si="1216"/>
        <v>0</v>
      </c>
      <c r="K5947" s="4" t="e">
        <f t="shared" si="1204"/>
        <v>#N/A</v>
      </c>
      <c r="L5947" t="e">
        <f t="shared" si="1205"/>
        <v>#N/A</v>
      </c>
      <c r="M5947" s="4" t="e">
        <f t="shared" si="1206"/>
        <v>#N/A</v>
      </c>
      <c r="N5947" s="4" t="e">
        <f t="shared" si="1207"/>
        <v>#N/A</v>
      </c>
    </row>
    <row r="5948" spans="1:14">
      <c r="A5948">
        <f t="shared" si="1208"/>
        <v>0</v>
      </c>
      <c r="B5948">
        <f t="shared" si="1209"/>
        <v>0</v>
      </c>
      <c r="C5948">
        <f t="shared" si="1210"/>
        <v>0</v>
      </c>
      <c r="D5948">
        <f t="shared" si="1211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2"/>
        <v>0</v>
      </c>
      <c r="G5948">
        <f t="shared" si="1213"/>
        <v>0</v>
      </c>
      <c r="H5948">
        <f t="shared" si="1214"/>
        <v>0</v>
      </c>
      <c r="I5948">
        <f t="shared" si="1215"/>
        <v>0</v>
      </c>
      <c r="J5948">
        <f t="shared" si="1216"/>
        <v>0</v>
      </c>
      <c r="K5948" s="4" t="e">
        <f t="shared" si="1204"/>
        <v>#N/A</v>
      </c>
      <c r="L5948" t="e">
        <f t="shared" si="1205"/>
        <v>#N/A</v>
      </c>
      <c r="M5948" s="4" t="e">
        <f t="shared" si="1206"/>
        <v>#N/A</v>
      </c>
      <c r="N5948" s="4" t="e">
        <f t="shared" si="1207"/>
        <v>#N/A</v>
      </c>
    </row>
    <row r="5949" spans="1:14">
      <c r="A5949">
        <f t="shared" si="1208"/>
        <v>0</v>
      </c>
      <c r="B5949">
        <f t="shared" si="1209"/>
        <v>0</v>
      </c>
      <c r="C5949">
        <f t="shared" si="1210"/>
        <v>0</v>
      </c>
      <c r="D5949">
        <f t="shared" si="1211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2"/>
        <v>0</v>
      </c>
      <c r="G5949">
        <f t="shared" si="1213"/>
        <v>0</v>
      </c>
      <c r="H5949">
        <f t="shared" si="1214"/>
        <v>0</v>
      </c>
      <c r="I5949">
        <f t="shared" si="1215"/>
        <v>0</v>
      </c>
      <c r="J5949">
        <f t="shared" si="1216"/>
        <v>0</v>
      </c>
      <c r="K5949" s="4" t="e">
        <f t="shared" ref="K5949:K6012" si="1217">IF(LEFT(B5949,3)="DBM",0,VLOOKUP(E5949,tabela,2,FALSE))</f>
        <v>#N/A</v>
      </c>
      <c r="L5949" t="e">
        <f t="shared" ref="L5949:L6012" si="1218">VLOOKUP(E5949,tabela,3,FALSE)</f>
        <v>#N/A</v>
      </c>
      <c r="M5949" s="4" t="e">
        <f t="shared" ref="M5949:M6012" si="1219">IF(E5949="Dynamic Click",J5949*K5949,K5949*$I5949/1000)</f>
        <v>#N/A</v>
      </c>
      <c r="N5949" s="4" t="e">
        <f t="shared" ref="N5949:N6012" si="1220">IF(E5949="Dynamic Click",J5949*L5949,L5949*$I5949/1000)</f>
        <v>#N/A</v>
      </c>
    </row>
    <row r="5950" spans="1:14">
      <c r="A5950">
        <f t="shared" si="1208"/>
        <v>0</v>
      </c>
      <c r="B5950">
        <f t="shared" si="1209"/>
        <v>0</v>
      </c>
      <c r="C5950">
        <f t="shared" si="1210"/>
        <v>0</v>
      </c>
      <c r="D5950">
        <f t="shared" si="1211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2"/>
        <v>0</v>
      </c>
      <c r="G5950">
        <f t="shared" si="1213"/>
        <v>0</v>
      </c>
      <c r="H5950">
        <f t="shared" si="1214"/>
        <v>0</v>
      </c>
      <c r="I5950">
        <f t="shared" si="1215"/>
        <v>0</v>
      </c>
      <c r="J5950">
        <f t="shared" si="1216"/>
        <v>0</v>
      </c>
      <c r="K5950" s="4" t="e">
        <f t="shared" si="1217"/>
        <v>#N/A</v>
      </c>
      <c r="L5950" t="e">
        <f t="shared" si="1218"/>
        <v>#N/A</v>
      </c>
      <c r="M5950" s="4" t="e">
        <f t="shared" si="1219"/>
        <v>#N/A</v>
      </c>
      <c r="N5950" s="4" t="e">
        <f t="shared" si="1220"/>
        <v>#N/A</v>
      </c>
    </row>
    <row r="5951" spans="1:14">
      <c r="A5951">
        <f t="shared" si="1208"/>
        <v>0</v>
      </c>
      <c r="B5951">
        <f t="shared" si="1209"/>
        <v>0</v>
      </c>
      <c r="C5951">
        <f t="shared" si="1210"/>
        <v>0</v>
      </c>
      <c r="D5951">
        <f t="shared" si="1211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2"/>
        <v>0</v>
      </c>
      <c r="G5951">
        <f t="shared" si="1213"/>
        <v>0</v>
      </c>
      <c r="H5951">
        <f t="shared" si="1214"/>
        <v>0</v>
      </c>
      <c r="I5951">
        <f t="shared" si="1215"/>
        <v>0</v>
      </c>
      <c r="J5951">
        <f t="shared" si="1216"/>
        <v>0</v>
      </c>
      <c r="K5951" s="4" t="e">
        <f t="shared" si="1217"/>
        <v>#N/A</v>
      </c>
      <c r="L5951" t="e">
        <f t="shared" si="1218"/>
        <v>#N/A</v>
      </c>
      <c r="M5951" s="4" t="e">
        <f t="shared" si="1219"/>
        <v>#N/A</v>
      </c>
      <c r="N5951" s="4" t="e">
        <f t="shared" si="1220"/>
        <v>#N/A</v>
      </c>
    </row>
    <row r="5952" spans="1:14">
      <c r="A5952">
        <f t="shared" si="1208"/>
        <v>0</v>
      </c>
      <c r="B5952">
        <f t="shared" si="1209"/>
        <v>0</v>
      </c>
      <c r="C5952">
        <f t="shared" si="1210"/>
        <v>0</v>
      </c>
      <c r="D5952">
        <f t="shared" si="1211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2"/>
        <v>0</v>
      </c>
      <c r="G5952">
        <f t="shared" si="1213"/>
        <v>0</v>
      </c>
      <c r="H5952">
        <f t="shared" si="1214"/>
        <v>0</v>
      </c>
      <c r="I5952">
        <f t="shared" si="1215"/>
        <v>0</v>
      </c>
      <c r="J5952">
        <f t="shared" si="1216"/>
        <v>0</v>
      </c>
      <c r="K5952" s="4" t="e">
        <f t="shared" si="1217"/>
        <v>#N/A</v>
      </c>
      <c r="L5952" t="e">
        <f t="shared" si="1218"/>
        <v>#N/A</v>
      </c>
      <c r="M5952" s="4" t="e">
        <f t="shared" si="1219"/>
        <v>#N/A</v>
      </c>
      <c r="N5952" s="4" t="e">
        <f t="shared" si="1220"/>
        <v>#N/A</v>
      </c>
    </row>
    <row r="5953" spans="1:14">
      <c r="A5953">
        <f t="shared" si="1208"/>
        <v>0</v>
      </c>
      <c r="B5953">
        <f t="shared" si="1209"/>
        <v>0</v>
      </c>
      <c r="C5953">
        <f t="shared" si="1210"/>
        <v>0</v>
      </c>
      <c r="D5953">
        <f t="shared" si="1211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2"/>
        <v>0</v>
      </c>
      <c r="G5953">
        <f t="shared" si="1213"/>
        <v>0</v>
      </c>
      <c r="H5953">
        <f t="shared" si="1214"/>
        <v>0</v>
      </c>
      <c r="I5953">
        <f t="shared" si="1215"/>
        <v>0</v>
      </c>
      <c r="J5953">
        <f t="shared" si="1216"/>
        <v>0</v>
      </c>
      <c r="K5953" s="4" t="e">
        <f t="shared" si="1217"/>
        <v>#N/A</v>
      </c>
      <c r="L5953" t="e">
        <f t="shared" si="1218"/>
        <v>#N/A</v>
      </c>
      <c r="M5953" s="4" t="e">
        <f t="shared" si="1219"/>
        <v>#N/A</v>
      </c>
      <c r="N5953" s="4" t="e">
        <f t="shared" si="1220"/>
        <v>#N/A</v>
      </c>
    </row>
    <row r="5954" spans="1:14">
      <c r="A5954">
        <f t="shared" ref="A5954:A6017" si="1221">bd_campaign</f>
        <v>0</v>
      </c>
      <c r="B5954">
        <f t="shared" ref="B5954:B6017" si="1222">bd_site</f>
        <v>0</v>
      </c>
      <c r="C5954">
        <f t="shared" ref="C5954:C6017" si="1223">bd_placement</f>
        <v>0</v>
      </c>
      <c r="D5954">
        <f t="shared" ref="D5954:D6017" si="1224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5">bd_ad</f>
        <v>0</v>
      </c>
      <c r="G5954">
        <f t="shared" ref="G5954:G6017" si="1226">bd_adid</f>
        <v>0</v>
      </c>
      <c r="H5954">
        <f t="shared" ref="H5954:H6017" si="1227">bd_creativetype</f>
        <v>0</v>
      </c>
      <c r="I5954">
        <f t="shared" ref="I5954:I6017" si="1228">bd_impression</f>
        <v>0</v>
      </c>
      <c r="J5954">
        <f t="shared" ref="J5954:J6017" si="1229">bd_clicks</f>
        <v>0</v>
      </c>
      <c r="K5954" s="4" t="e">
        <f t="shared" si="1217"/>
        <v>#N/A</v>
      </c>
      <c r="L5954" t="e">
        <f t="shared" si="1218"/>
        <v>#N/A</v>
      </c>
      <c r="M5954" s="4" t="e">
        <f t="shared" si="1219"/>
        <v>#N/A</v>
      </c>
      <c r="N5954" s="4" t="e">
        <f t="shared" si="1220"/>
        <v>#N/A</v>
      </c>
    </row>
    <row r="5955" spans="1:14">
      <c r="A5955">
        <f t="shared" si="1221"/>
        <v>0</v>
      </c>
      <c r="B5955">
        <f t="shared" si="1222"/>
        <v>0</v>
      </c>
      <c r="C5955">
        <f t="shared" si="1223"/>
        <v>0</v>
      </c>
      <c r="D5955">
        <f t="shared" si="1224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5"/>
        <v>0</v>
      </c>
      <c r="G5955">
        <f t="shared" si="1226"/>
        <v>0</v>
      </c>
      <c r="H5955">
        <f t="shared" si="1227"/>
        <v>0</v>
      </c>
      <c r="I5955">
        <f t="shared" si="1228"/>
        <v>0</v>
      </c>
      <c r="J5955">
        <f t="shared" si="1229"/>
        <v>0</v>
      </c>
      <c r="K5955" s="4" t="e">
        <f t="shared" si="1217"/>
        <v>#N/A</v>
      </c>
      <c r="L5955" t="e">
        <f t="shared" si="1218"/>
        <v>#N/A</v>
      </c>
      <c r="M5955" s="4" t="e">
        <f t="shared" si="1219"/>
        <v>#N/A</v>
      </c>
      <c r="N5955" s="4" t="e">
        <f t="shared" si="1220"/>
        <v>#N/A</v>
      </c>
    </row>
    <row r="5956" spans="1:14">
      <c r="A5956">
        <f t="shared" si="1221"/>
        <v>0</v>
      </c>
      <c r="B5956">
        <f t="shared" si="1222"/>
        <v>0</v>
      </c>
      <c r="C5956">
        <f t="shared" si="1223"/>
        <v>0</v>
      </c>
      <c r="D5956">
        <f t="shared" si="1224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5"/>
        <v>0</v>
      </c>
      <c r="G5956">
        <f t="shared" si="1226"/>
        <v>0</v>
      </c>
      <c r="H5956">
        <f t="shared" si="1227"/>
        <v>0</v>
      </c>
      <c r="I5956">
        <f t="shared" si="1228"/>
        <v>0</v>
      </c>
      <c r="J5956">
        <f t="shared" si="1229"/>
        <v>0</v>
      </c>
      <c r="K5956" s="4" t="e">
        <f t="shared" si="1217"/>
        <v>#N/A</v>
      </c>
      <c r="L5956" t="e">
        <f t="shared" si="1218"/>
        <v>#N/A</v>
      </c>
      <c r="M5956" s="4" t="e">
        <f t="shared" si="1219"/>
        <v>#N/A</v>
      </c>
      <c r="N5956" s="4" t="e">
        <f t="shared" si="1220"/>
        <v>#N/A</v>
      </c>
    </row>
    <row r="5957" spans="1:14">
      <c r="A5957">
        <f t="shared" si="1221"/>
        <v>0</v>
      </c>
      <c r="B5957">
        <f t="shared" si="1222"/>
        <v>0</v>
      </c>
      <c r="C5957">
        <f t="shared" si="1223"/>
        <v>0</v>
      </c>
      <c r="D5957">
        <f t="shared" si="1224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5"/>
        <v>0</v>
      </c>
      <c r="G5957">
        <f t="shared" si="1226"/>
        <v>0</v>
      </c>
      <c r="H5957">
        <f t="shared" si="1227"/>
        <v>0</v>
      </c>
      <c r="I5957">
        <f t="shared" si="1228"/>
        <v>0</v>
      </c>
      <c r="J5957">
        <f t="shared" si="1229"/>
        <v>0</v>
      </c>
      <c r="K5957" s="4" t="e">
        <f t="shared" si="1217"/>
        <v>#N/A</v>
      </c>
      <c r="L5957" t="e">
        <f t="shared" si="1218"/>
        <v>#N/A</v>
      </c>
      <c r="M5957" s="4" t="e">
        <f t="shared" si="1219"/>
        <v>#N/A</v>
      </c>
      <c r="N5957" s="4" t="e">
        <f t="shared" si="1220"/>
        <v>#N/A</v>
      </c>
    </row>
    <row r="5958" spans="1:14">
      <c r="A5958">
        <f t="shared" si="1221"/>
        <v>0</v>
      </c>
      <c r="B5958">
        <f t="shared" si="1222"/>
        <v>0</v>
      </c>
      <c r="C5958">
        <f t="shared" si="1223"/>
        <v>0</v>
      </c>
      <c r="D5958">
        <f t="shared" si="1224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5"/>
        <v>0</v>
      </c>
      <c r="G5958">
        <f t="shared" si="1226"/>
        <v>0</v>
      </c>
      <c r="H5958">
        <f t="shared" si="1227"/>
        <v>0</v>
      </c>
      <c r="I5958">
        <f t="shared" si="1228"/>
        <v>0</v>
      </c>
      <c r="J5958">
        <f t="shared" si="1229"/>
        <v>0</v>
      </c>
      <c r="K5958" s="4" t="e">
        <f t="shared" si="1217"/>
        <v>#N/A</v>
      </c>
      <c r="L5958" t="e">
        <f t="shared" si="1218"/>
        <v>#N/A</v>
      </c>
      <c r="M5958" s="4" t="e">
        <f t="shared" si="1219"/>
        <v>#N/A</v>
      </c>
      <c r="N5958" s="4" t="e">
        <f t="shared" si="1220"/>
        <v>#N/A</v>
      </c>
    </row>
    <row r="5959" spans="1:14">
      <c r="A5959">
        <f t="shared" si="1221"/>
        <v>0</v>
      </c>
      <c r="B5959">
        <f t="shared" si="1222"/>
        <v>0</v>
      </c>
      <c r="C5959">
        <f t="shared" si="1223"/>
        <v>0</v>
      </c>
      <c r="D5959">
        <f t="shared" si="1224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5"/>
        <v>0</v>
      </c>
      <c r="G5959">
        <f t="shared" si="1226"/>
        <v>0</v>
      </c>
      <c r="H5959">
        <f t="shared" si="1227"/>
        <v>0</v>
      </c>
      <c r="I5959">
        <f t="shared" si="1228"/>
        <v>0</v>
      </c>
      <c r="J5959">
        <f t="shared" si="1229"/>
        <v>0</v>
      </c>
      <c r="K5959" s="4" t="e">
        <f t="shared" si="1217"/>
        <v>#N/A</v>
      </c>
      <c r="L5959" t="e">
        <f t="shared" si="1218"/>
        <v>#N/A</v>
      </c>
      <c r="M5959" s="4" t="e">
        <f t="shared" si="1219"/>
        <v>#N/A</v>
      </c>
      <c r="N5959" s="4" t="e">
        <f t="shared" si="1220"/>
        <v>#N/A</v>
      </c>
    </row>
    <row r="5960" spans="1:14">
      <c r="A5960">
        <f t="shared" si="1221"/>
        <v>0</v>
      </c>
      <c r="B5960">
        <f t="shared" si="1222"/>
        <v>0</v>
      </c>
      <c r="C5960">
        <f t="shared" si="1223"/>
        <v>0</v>
      </c>
      <c r="D5960">
        <f t="shared" si="1224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5"/>
        <v>0</v>
      </c>
      <c r="G5960">
        <f t="shared" si="1226"/>
        <v>0</v>
      </c>
      <c r="H5960">
        <f t="shared" si="1227"/>
        <v>0</v>
      </c>
      <c r="I5960">
        <f t="shared" si="1228"/>
        <v>0</v>
      </c>
      <c r="J5960">
        <f t="shared" si="1229"/>
        <v>0</v>
      </c>
      <c r="K5960" s="4" t="e">
        <f t="shared" si="1217"/>
        <v>#N/A</v>
      </c>
      <c r="L5960" t="e">
        <f t="shared" si="1218"/>
        <v>#N/A</v>
      </c>
      <c r="M5960" s="4" t="e">
        <f t="shared" si="1219"/>
        <v>#N/A</v>
      </c>
      <c r="N5960" s="4" t="e">
        <f t="shared" si="1220"/>
        <v>#N/A</v>
      </c>
    </row>
    <row r="5961" spans="1:14">
      <c r="A5961">
        <f t="shared" si="1221"/>
        <v>0</v>
      </c>
      <c r="B5961">
        <f t="shared" si="1222"/>
        <v>0</v>
      </c>
      <c r="C5961">
        <f t="shared" si="1223"/>
        <v>0</v>
      </c>
      <c r="D5961">
        <f t="shared" si="1224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5"/>
        <v>0</v>
      </c>
      <c r="G5961">
        <f t="shared" si="1226"/>
        <v>0</v>
      </c>
      <c r="H5961">
        <f t="shared" si="1227"/>
        <v>0</v>
      </c>
      <c r="I5961">
        <f t="shared" si="1228"/>
        <v>0</v>
      </c>
      <c r="J5961">
        <f t="shared" si="1229"/>
        <v>0</v>
      </c>
      <c r="K5961" s="4" t="e">
        <f t="shared" si="1217"/>
        <v>#N/A</v>
      </c>
      <c r="L5961" t="e">
        <f t="shared" si="1218"/>
        <v>#N/A</v>
      </c>
      <c r="M5961" s="4" t="e">
        <f t="shared" si="1219"/>
        <v>#N/A</v>
      </c>
      <c r="N5961" s="4" t="e">
        <f t="shared" si="1220"/>
        <v>#N/A</v>
      </c>
    </row>
    <row r="5962" spans="1:14">
      <c r="A5962">
        <f t="shared" si="1221"/>
        <v>0</v>
      </c>
      <c r="B5962">
        <f t="shared" si="1222"/>
        <v>0</v>
      </c>
      <c r="C5962">
        <f t="shared" si="1223"/>
        <v>0</v>
      </c>
      <c r="D5962">
        <f t="shared" si="1224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5"/>
        <v>0</v>
      </c>
      <c r="G5962">
        <f t="shared" si="1226"/>
        <v>0</v>
      </c>
      <c r="H5962">
        <f t="shared" si="1227"/>
        <v>0</v>
      </c>
      <c r="I5962">
        <f t="shared" si="1228"/>
        <v>0</v>
      </c>
      <c r="J5962">
        <f t="shared" si="1229"/>
        <v>0</v>
      </c>
      <c r="K5962" s="4" t="e">
        <f t="shared" si="1217"/>
        <v>#N/A</v>
      </c>
      <c r="L5962" t="e">
        <f t="shared" si="1218"/>
        <v>#N/A</v>
      </c>
      <c r="M5962" s="4" t="e">
        <f t="shared" si="1219"/>
        <v>#N/A</v>
      </c>
      <c r="N5962" s="4" t="e">
        <f t="shared" si="1220"/>
        <v>#N/A</v>
      </c>
    </row>
    <row r="5963" spans="1:14">
      <c r="A5963">
        <f t="shared" si="1221"/>
        <v>0</v>
      </c>
      <c r="B5963">
        <f t="shared" si="1222"/>
        <v>0</v>
      </c>
      <c r="C5963">
        <f t="shared" si="1223"/>
        <v>0</v>
      </c>
      <c r="D5963">
        <f t="shared" si="1224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5"/>
        <v>0</v>
      </c>
      <c r="G5963">
        <f t="shared" si="1226"/>
        <v>0</v>
      </c>
      <c r="H5963">
        <f t="shared" si="1227"/>
        <v>0</v>
      </c>
      <c r="I5963">
        <f t="shared" si="1228"/>
        <v>0</v>
      </c>
      <c r="J5963">
        <f t="shared" si="1229"/>
        <v>0</v>
      </c>
      <c r="K5963" s="4" t="e">
        <f t="shared" si="1217"/>
        <v>#N/A</v>
      </c>
      <c r="L5963" t="e">
        <f t="shared" si="1218"/>
        <v>#N/A</v>
      </c>
      <c r="M5963" s="4" t="e">
        <f t="shared" si="1219"/>
        <v>#N/A</v>
      </c>
      <c r="N5963" s="4" t="e">
        <f t="shared" si="1220"/>
        <v>#N/A</v>
      </c>
    </row>
    <row r="5964" spans="1:14">
      <c r="A5964">
        <f t="shared" si="1221"/>
        <v>0</v>
      </c>
      <c r="B5964">
        <f t="shared" si="1222"/>
        <v>0</v>
      </c>
      <c r="C5964">
        <f t="shared" si="1223"/>
        <v>0</v>
      </c>
      <c r="D5964">
        <f t="shared" si="1224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5"/>
        <v>0</v>
      </c>
      <c r="G5964">
        <f t="shared" si="1226"/>
        <v>0</v>
      </c>
      <c r="H5964">
        <f t="shared" si="1227"/>
        <v>0</v>
      </c>
      <c r="I5964">
        <f t="shared" si="1228"/>
        <v>0</v>
      </c>
      <c r="J5964">
        <f t="shared" si="1229"/>
        <v>0</v>
      </c>
      <c r="K5964" s="4" t="e">
        <f t="shared" si="1217"/>
        <v>#N/A</v>
      </c>
      <c r="L5964" t="e">
        <f t="shared" si="1218"/>
        <v>#N/A</v>
      </c>
      <c r="M5964" s="4" t="e">
        <f t="shared" si="1219"/>
        <v>#N/A</v>
      </c>
      <c r="N5964" s="4" t="e">
        <f t="shared" si="1220"/>
        <v>#N/A</v>
      </c>
    </row>
    <row r="5965" spans="1:14">
      <c r="A5965">
        <f t="shared" si="1221"/>
        <v>0</v>
      </c>
      <c r="B5965">
        <f t="shared" si="1222"/>
        <v>0</v>
      </c>
      <c r="C5965">
        <f t="shared" si="1223"/>
        <v>0</v>
      </c>
      <c r="D5965">
        <f t="shared" si="1224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5"/>
        <v>0</v>
      </c>
      <c r="G5965">
        <f t="shared" si="1226"/>
        <v>0</v>
      </c>
      <c r="H5965">
        <f t="shared" si="1227"/>
        <v>0</v>
      </c>
      <c r="I5965">
        <f t="shared" si="1228"/>
        <v>0</v>
      </c>
      <c r="J5965">
        <f t="shared" si="1229"/>
        <v>0</v>
      </c>
      <c r="K5965" s="4" t="e">
        <f t="shared" si="1217"/>
        <v>#N/A</v>
      </c>
      <c r="L5965" t="e">
        <f t="shared" si="1218"/>
        <v>#N/A</v>
      </c>
      <c r="M5965" s="4" t="e">
        <f t="shared" si="1219"/>
        <v>#N/A</v>
      </c>
      <c r="N5965" s="4" t="e">
        <f t="shared" si="1220"/>
        <v>#N/A</v>
      </c>
    </row>
    <row r="5966" spans="1:14">
      <c r="A5966">
        <f t="shared" si="1221"/>
        <v>0</v>
      </c>
      <c r="B5966">
        <f t="shared" si="1222"/>
        <v>0</v>
      </c>
      <c r="C5966">
        <f t="shared" si="1223"/>
        <v>0</v>
      </c>
      <c r="D5966">
        <f t="shared" si="1224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5"/>
        <v>0</v>
      </c>
      <c r="G5966">
        <f t="shared" si="1226"/>
        <v>0</v>
      </c>
      <c r="H5966">
        <f t="shared" si="1227"/>
        <v>0</v>
      </c>
      <c r="I5966">
        <f t="shared" si="1228"/>
        <v>0</v>
      </c>
      <c r="J5966">
        <f t="shared" si="1229"/>
        <v>0</v>
      </c>
      <c r="K5966" s="4" t="e">
        <f t="shared" si="1217"/>
        <v>#N/A</v>
      </c>
      <c r="L5966" t="e">
        <f t="shared" si="1218"/>
        <v>#N/A</v>
      </c>
      <c r="M5966" s="4" t="e">
        <f t="shared" si="1219"/>
        <v>#N/A</v>
      </c>
      <c r="N5966" s="4" t="e">
        <f t="shared" si="1220"/>
        <v>#N/A</v>
      </c>
    </row>
    <row r="5967" spans="1:14">
      <c r="A5967">
        <f t="shared" si="1221"/>
        <v>0</v>
      </c>
      <c r="B5967">
        <f t="shared" si="1222"/>
        <v>0</v>
      </c>
      <c r="C5967">
        <f t="shared" si="1223"/>
        <v>0</v>
      </c>
      <c r="D5967">
        <f t="shared" si="1224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5"/>
        <v>0</v>
      </c>
      <c r="G5967">
        <f t="shared" si="1226"/>
        <v>0</v>
      </c>
      <c r="H5967">
        <f t="shared" si="1227"/>
        <v>0</v>
      </c>
      <c r="I5967">
        <f t="shared" si="1228"/>
        <v>0</v>
      </c>
      <c r="J5967">
        <f t="shared" si="1229"/>
        <v>0</v>
      </c>
      <c r="K5967" s="4" t="e">
        <f t="shared" si="1217"/>
        <v>#N/A</v>
      </c>
      <c r="L5967" t="e">
        <f t="shared" si="1218"/>
        <v>#N/A</v>
      </c>
      <c r="M5967" s="4" t="e">
        <f t="shared" si="1219"/>
        <v>#N/A</v>
      </c>
      <c r="N5967" s="4" t="e">
        <f t="shared" si="1220"/>
        <v>#N/A</v>
      </c>
    </row>
    <row r="5968" spans="1:14">
      <c r="A5968">
        <f t="shared" si="1221"/>
        <v>0</v>
      </c>
      <c r="B5968">
        <f t="shared" si="1222"/>
        <v>0</v>
      </c>
      <c r="C5968">
        <f t="shared" si="1223"/>
        <v>0</v>
      </c>
      <c r="D5968">
        <f t="shared" si="1224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5"/>
        <v>0</v>
      </c>
      <c r="G5968">
        <f t="shared" si="1226"/>
        <v>0</v>
      </c>
      <c r="H5968">
        <f t="shared" si="1227"/>
        <v>0</v>
      </c>
      <c r="I5968">
        <f t="shared" si="1228"/>
        <v>0</v>
      </c>
      <c r="J5968">
        <f t="shared" si="1229"/>
        <v>0</v>
      </c>
      <c r="K5968" s="4" t="e">
        <f t="shared" si="1217"/>
        <v>#N/A</v>
      </c>
      <c r="L5968" t="e">
        <f t="shared" si="1218"/>
        <v>#N/A</v>
      </c>
      <c r="M5968" s="4" t="e">
        <f t="shared" si="1219"/>
        <v>#N/A</v>
      </c>
      <c r="N5968" s="4" t="e">
        <f t="shared" si="1220"/>
        <v>#N/A</v>
      </c>
    </row>
    <row r="5969" spans="1:14">
      <c r="A5969">
        <f t="shared" si="1221"/>
        <v>0</v>
      </c>
      <c r="B5969">
        <f t="shared" si="1222"/>
        <v>0</v>
      </c>
      <c r="C5969">
        <f t="shared" si="1223"/>
        <v>0</v>
      </c>
      <c r="D5969">
        <f t="shared" si="1224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5"/>
        <v>0</v>
      </c>
      <c r="G5969">
        <f t="shared" si="1226"/>
        <v>0</v>
      </c>
      <c r="H5969">
        <f t="shared" si="1227"/>
        <v>0</v>
      </c>
      <c r="I5969">
        <f t="shared" si="1228"/>
        <v>0</v>
      </c>
      <c r="J5969">
        <f t="shared" si="1229"/>
        <v>0</v>
      </c>
      <c r="K5969" s="4" t="e">
        <f t="shared" si="1217"/>
        <v>#N/A</v>
      </c>
      <c r="L5969" t="e">
        <f t="shared" si="1218"/>
        <v>#N/A</v>
      </c>
      <c r="M5969" s="4" t="e">
        <f t="shared" si="1219"/>
        <v>#N/A</v>
      </c>
      <c r="N5969" s="4" t="e">
        <f t="shared" si="1220"/>
        <v>#N/A</v>
      </c>
    </row>
    <row r="5970" spans="1:14">
      <c r="A5970">
        <f t="shared" si="1221"/>
        <v>0</v>
      </c>
      <c r="B5970">
        <f t="shared" si="1222"/>
        <v>0</v>
      </c>
      <c r="C5970">
        <f t="shared" si="1223"/>
        <v>0</v>
      </c>
      <c r="D5970">
        <f t="shared" si="1224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5"/>
        <v>0</v>
      </c>
      <c r="G5970">
        <f t="shared" si="1226"/>
        <v>0</v>
      </c>
      <c r="H5970">
        <f t="shared" si="1227"/>
        <v>0</v>
      </c>
      <c r="I5970">
        <f t="shared" si="1228"/>
        <v>0</v>
      </c>
      <c r="J5970">
        <f t="shared" si="1229"/>
        <v>0</v>
      </c>
      <c r="K5970" s="4" t="e">
        <f t="shared" si="1217"/>
        <v>#N/A</v>
      </c>
      <c r="L5970" t="e">
        <f t="shared" si="1218"/>
        <v>#N/A</v>
      </c>
      <c r="M5970" s="4" t="e">
        <f t="shared" si="1219"/>
        <v>#N/A</v>
      </c>
      <c r="N5970" s="4" t="e">
        <f t="shared" si="1220"/>
        <v>#N/A</v>
      </c>
    </row>
    <row r="5971" spans="1:14">
      <c r="A5971">
        <f t="shared" si="1221"/>
        <v>0</v>
      </c>
      <c r="B5971">
        <f t="shared" si="1222"/>
        <v>0</v>
      </c>
      <c r="C5971">
        <f t="shared" si="1223"/>
        <v>0</v>
      </c>
      <c r="D5971">
        <f t="shared" si="1224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5"/>
        <v>0</v>
      </c>
      <c r="G5971">
        <f t="shared" si="1226"/>
        <v>0</v>
      </c>
      <c r="H5971">
        <f t="shared" si="1227"/>
        <v>0</v>
      </c>
      <c r="I5971">
        <f t="shared" si="1228"/>
        <v>0</v>
      </c>
      <c r="J5971">
        <f t="shared" si="1229"/>
        <v>0</v>
      </c>
      <c r="K5971" s="4" t="e">
        <f t="shared" si="1217"/>
        <v>#N/A</v>
      </c>
      <c r="L5971" t="e">
        <f t="shared" si="1218"/>
        <v>#N/A</v>
      </c>
      <c r="M5971" s="4" t="e">
        <f t="shared" si="1219"/>
        <v>#N/A</v>
      </c>
      <c r="N5971" s="4" t="e">
        <f t="shared" si="1220"/>
        <v>#N/A</v>
      </c>
    </row>
    <row r="5972" spans="1:14">
      <c r="A5972">
        <f t="shared" si="1221"/>
        <v>0</v>
      </c>
      <c r="B5972">
        <f t="shared" si="1222"/>
        <v>0</v>
      </c>
      <c r="C5972">
        <f t="shared" si="1223"/>
        <v>0</v>
      </c>
      <c r="D5972">
        <f t="shared" si="1224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5"/>
        <v>0</v>
      </c>
      <c r="G5972">
        <f t="shared" si="1226"/>
        <v>0</v>
      </c>
      <c r="H5972">
        <f t="shared" si="1227"/>
        <v>0</v>
      </c>
      <c r="I5972">
        <f t="shared" si="1228"/>
        <v>0</v>
      </c>
      <c r="J5972">
        <f t="shared" si="1229"/>
        <v>0</v>
      </c>
      <c r="K5972" s="4" t="e">
        <f t="shared" si="1217"/>
        <v>#N/A</v>
      </c>
      <c r="L5972" t="e">
        <f t="shared" si="1218"/>
        <v>#N/A</v>
      </c>
      <c r="M5972" s="4" t="e">
        <f t="shared" si="1219"/>
        <v>#N/A</v>
      </c>
      <c r="N5972" s="4" t="e">
        <f t="shared" si="1220"/>
        <v>#N/A</v>
      </c>
    </row>
    <row r="5973" spans="1:14">
      <c r="A5973">
        <f t="shared" si="1221"/>
        <v>0</v>
      </c>
      <c r="B5973">
        <f t="shared" si="1222"/>
        <v>0</v>
      </c>
      <c r="C5973">
        <f t="shared" si="1223"/>
        <v>0</v>
      </c>
      <c r="D5973">
        <f t="shared" si="1224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5"/>
        <v>0</v>
      </c>
      <c r="G5973">
        <f t="shared" si="1226"/>
        <v>0</v>
      </c>
      <c r="H5973">
        <f t="shared" si="1227"/>
        <v>0</v>
      </c>
      <c r="I5973">
        <f t="shared" si="1228"/>
        <v>0</v>
      </c>
      <c r="J5973">
        <f t="shared" si="1229"/>
        <v>0</v>
      </c>
      <c r="K5973" s="4" t="e">
        <f t="shared" si="1217"/>
        <v>#N/A</v>
      </c>
      <c r="L5973" t="e">
        <f t="shared" si="1218"/>
        <v>#N/A</v>
      </c>
      <c r="M5973" s="4" t="e">
        <f t="shared" si="1219"/>
        <v>#N/A</v>
      </c>
      <c r="N5973" s="4" t="e">
        <f t="shared" si="1220"/>
        <v>#N/A</v>
      </c>
    </row>
    <row r="5974" spans="1:14">
      <c r="A5974">
        <f t="shared" si="1221"/>
        <v>0</v>
      </c>
      <c r="B5974">
        <f t="shared" si="1222"/>
        <v>0</v>
      </c>
      <c r="C5974">
        <f t="shared" si="1223"/>
        <v>0</v>
      </c>
      <c r="D5974">
        <f t="shared" si="1224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5"/>
        <v>0</v>
      </c>
      <c r="G5974">
        <f t="shared" si="1226"/>
        <v>0</v>
      </c>
      <c r="H5974">
        <f t="shared" si="1227"/>
        <v>0</v>
      </c>
      <c r="I5974">
        <f t="shared" si="1228"/>
        <v>0</v>
      </c>
      <c r="J5974">
        <f t="shared" si="1229"/>
        <v>0</v>
      </c>
      <c r="K5974" s="4" t="e">
        <f t="shared" si="1217"/>
        <v>#N/A</v>
      </c>
      <c r="L5974" t="e">
        <f t="shared" si="1218"/>
        <v>#N/A</v>
      </c>
      <c r="M5974" s="4" t="e">
        <f t="shared" si="1219"/>
        <v>#N/A</v>
      </c>
      <c r="N5974" s="4" t="e">
        <f t="shared" si="1220"/>
        <v>#N/A</v>
      </c>
    </row>
    <row r="5975" spans="1:14">
      <c r="A5975">
        <f t="shared" si="1221"/>
        <v>0</v>
      </c>
      <c r="B5975">
        <f t="shared" si="1222"/>
        <v>0</v>
      </c>
      <c r="C5975">
        <f t="shared" si="1223"/>
        <v>0</v>
      </c>
      <c r="D5975">
        <f t="shared" si="1224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5"/>
        <v>0</v>
      </c>
      <c r="G5975">
        <f t="shared" si="1226"/>
        <v>0</v>
      </c>
      <c r="H5975">
        <f t="shared" si="1227"/>
        <v>0</v>
      </c>
      <c r="I5975">
        <f t="shared" si="1228"/>
        <v>0</v>
      </c>
      <c r="J5975">
        <f t="shared" si="1229"/>
        <v>0</v>
      </c>
      <c r="K5975" s="4" t="e">
        <f t="shared" si="1217"/>
        <v>#N/A</v>
      </c>
      <c r="L5975" t="e">
        <f t="shared" si="1218"/>
        <v>#N/A</v>
      </c>
      <c r="M5975" s="4" t="e">
        <f t="shared" si="1219"/>
        <v>#N/A</v>
      </c>
      <c r="N5975" s="4" t="e">
        <f t="shared" si="1220"/>
        <v>#N/A</v>
      </c>
    </row>
    <row r="5976" spans="1:14">
      <c r="A5976">
        <f t="shared" si="1221"/>
        <v>0</v>
      </c>
      <c r="B5976">
        <f t="shared" si="1222"/>
        <v>0</v>
      </c>
      <c r="C5976">
        <f t="shared" si="1223"/>
        <v>0</v>
      </c>
      <c r="D5976">
        <f t="shared" si="1224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5"/>
        <v>0</v>
      </c>
      <c r="G5976">
        <f t="shared" si="1226"/>
        <v>0</v>
      </c>
      <c r="H5976">
        <f t="shared" si="1227"/>
        <v>0</v>
      </c>
      <c r="I5976">
        <f t="shared" si="1228"/>
        <v>0</v>
      </c>
      <c r="J5976">
        <f t="shared" si="1229"/>
        <v>0</v>
      </c>
      <c r="K5976" s="4" t="e">
        <f t="shared" si="1217"/>
        <v>#N/A</v>
      </c>
      <c r="L5976" t="e">
        <f t="shared" si="1218"/>
        <v>#N/A</v>
      </c>
      <c r="M5976" s="4" t="e">
        <f t="shared" si="1219"/>
        <v>#N/A</v>
      </c>
      <c r="N5976" s="4" t="e">
        <f t="shared" si="1220"/>
        <v>#N/A</v>
      </c>
    </row>
    <row r="5977" spans="1:14">
      <c r="A5977">
        <f t="shared" si="1221"/>
        <v>0</v>
      </c>
      <c r="B5977">
        <f t="shared" si="1222"/>
        <v>0</v>
      </c>
      <c r="C5977">
        <f t="shared" si="1223"/>
        <v>0</v>
      </c>
      <c r="D5977">
        <f t="shared" si="1224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5"/>
        <v>0</v>
      </c>
      <c r="G5977">
        <f t="shared" si="1226"/>
        <v>0</v>
      </c>
      <c r="H5977">
        <f t="shared" si="1227"/>
        <v>0</v>
      </c>
      <c r="I5977">
        <f t="shared" si="1228"/>
        <v>0</v>
      </c>
      <c r="J5977">
        <f t="shared" si="1229"/>
        <v>0</v>
      </c>
      <c r="K5977" s="4" t="e">
        <f t="shared" si="1217"/>
        <v>#N/A</v>
      </c>
      <c r="L5977" t="e">
        <f t="shared" si="1218"/>
        <v>#N/A</v>
      </c>
      <c r="M5977" s="4" t="e">
        <f t="shared" si="1219"/>
        <v>#N/A</v>
      </c>
      <c r="N5977" s="4" t="e">
        <f t="shared" si="1220"/>
        <v>#N/A</v>
      </c>
    </row>
    <row r="5978" spans="1:14">
      <c r="A5978">
        <f t="shared" si="1221"/>
        <v>0</v>
      </c>
      <c r="B5978">
        <f t="shared" si="1222"/>
        <v>0</v>
      </c>
      <c r="C5978">
        <f t="shared" si="1223"/>
        <v>0</v>
      </c>
      <c r="D5978">
        <f t="shared" si="1224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5"/>
        <v>0</v>
      </c>
      <c r="G5978">
        <f t="shared" si="1226"/>
        <v>0</v>
      </c>
      <c r="H5978">
        <f t="shared" si="1227"/>
        <v>0</v>
      </c>
      <c r="I5978">
        <f t="shared" si="1228"/>
        <v>0</v>
      </c>
      <c r="J5978">
        <f t="shared" si="1229"/>
        <v>0</v>
      </c>
      <c r="K5978" s="4" t="e">
        <f t="shared" si="1217"/>
        <v>#N/A</v>
      </c>
      <c r="L5978" t="e">
        <f t="shared" si="1218"/>
        <v>#N/A</v>
      </c>
      <c r="M5978" s="4" t="e">
        <f t="shared" si="1219"/>
        <v>#N/A</v>
      </c>
      <c r="N5978" s="4" t="e">
        <f t="shared" si="1220"/>
        <v>#N/A</v>
      </c>
    </row>
    <row r="5979" spans="1:14">
      <c r="A5979">
        <f t="shared" si="1221"/>
        <v>0</v>
      </c>
      <c r="B5979">
        <f t="shared" si="1222"/>
        <v>0</v>
      </c>
      <c r="C5979">
        <f t="shared" si="1223"/>
        <v>0</v>
      </c>
      <c r="D5979">
        <f t="shared" si="1224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5"/>
        <v>0</v>
      </c>
      <c r="G5979">
        <f t="shared" si="1226"/>
        <v>0</v>
      </c>
      <c r="H5979">
        <f t="shared" si="1227"/>
        <v>0</v>
      </c>
      <c r="I5979">
        <f t="shared" si="1228"/>
        <v>0</v>
      </c>
      <c r="J5979">
        <f t="shared" si="1229"/>
        <v>0</v>
      </c>
      <c r="K5979" s="4" t="e">
        <f t="shared" si="1217"/>
        <v>#N/A</v>
      </c>
      <c r="L5979" t="e">
        <f t="shared" si="1218"/>
        <v>#N/A</v>
      </c>
      <c r="M5979" s="4" t="e">
        <f t="shared" si="1219"/>
        <v>#N/A</v>
      </c>
      <c r="N5979" s="4" t="e">
        <f t="shared" si="1220"/>
        <v>#N/A</v>
      </c>
    </row>
    <row r="5980" spans="1:14">
      <c r="A5980">
        <f t="shared" si="1221"/>
        <v>0</v>
      </c>
      <c r="B5980">
        <f t="shared" si="1222"/>
        <v>0</v>
      </c>
      <c r="C5980">
        <f t="shared" si="1223"/>
        <v>0</v>
      </c>
      <c r="D5980">
        <f t="shared" si="1224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5"/>
        <v>0</v>
      </c>
      <c r="G5980">
        <f t="shared" si="1226"/>
        <v>0</v>
      </c>
      <c r="H5980">
        <f t="shared" si="1227"/>
        <v>0</v>
      </c>
      <c r="I5980">
        <f t="shared" si="1228"/>
        <v>0</v>
      </c>
      <c r="J5980">
        <f t="shared" si="1229"/>
        <v>0</v>
      </c>
      <c r="K5980" s="4" t="e">
        <f t="shared" si="1217"/>
        <v>#N/A</v>
      </c>
      <c r="L5980" t="e">
        <f t="shared" si="1218"/>
        <v>#N/A</v>
      </c>
      <c r="M5980" s="4" t="e">
        <f t="shared" si="1219"/>
        <v>#N/A</v>
      </c>
      <c r="N5980" s="4" t="e">
        <f t="shared" si="1220"/>
        <v>#N/A</v>
      </c>
    </row>
    <row r="5981" spans="1:14">
      <c r="A5981">
        <f t="shared" si="1221"/>
        <v>0</v>
      </c>
      <c r="B5981">
        <f t="shared" si="1222"/>
        <v>0</v>
      </c>
      <c r="C5981">
        <f t="shared" si="1223"/>
        <v>0</v>
      </c>
      <c r="D5981">
        <f t="shared" si="1224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5"/>
        <v>0</v>
      </c>
      <c r="G5981">
        <f t="shared" si="1226"/>
        <v>0</v>
      </c>
      <c r="H5981">
        <f t="shared" si="1227"/>
        <v>0</v>
      </c>
      <c r="I5981">
        <f t="shared" si="1228"/>
        <v>0</v>
      </c>
      <c r="J5981">
        <f t="shared" si="1229"/>
        <v>0</v>
      </c>
      <c r="K5981" s="4" t="e">
        <f t="shared" si="1217"/>
        <v>#N/A</v>
      </c>
      <c r="L5981" t="e">
        <f t="shared" si="1218"/>
        <v>#N/A</v>
      </c>
      <c r="M5981" s="4" t="e">
        <f t="shared" si="1219"/>
        <v>#N/A</v>
      </c>
      <c r="N5981" s="4" t="e">
        <f t="shared" si="1220"/>
        <v>#N/A</v>
      </c>
    </row>
    <row r="5982" spans="1:14">
      <c r="A5982">
        <f t="shared" si="1221"/>
        <v>0</v>
      </c>
      <c r="B5982">
        <f t="shared" si="1222"/>
        <v>0</v>
      </c>
      <c r="C5982">
        <f t="shared" si="1223"/>
        <v>0</v>
      </c>
      <c r="D5982">
        <f t="shared" si="1224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5"/>
        <v>0</v>
      </c>
      <c r="G5982">
        <f t="shared" si="1226"/>
        <v>0</v>
      </c>
      <c r="H5982">
        <f t="shared" si="1227"/>
        <v>0</v>
      </c>
      <c r="I5982">
        <f t="shared" si="1228"/>
        <v>0</v>
      </c>
      <c r="J5982">
        <f t="shared" si="1229"/>
        <v>0</v>
      </c>
      <c r="K5982" s="4" t="e">
        <f t="shared" si="1217"/>
        <v>#N/A</v>
      </c>
      <c r="L5982" t="e">
        <f t="shared" si="1218"/>
        <v>#N/A</v>
      </c>
      <c r="M5982" s="4" t="e">
        <f t="shared" si="1219"/>
        <v>#N/A</v>
      </c>
      <c r="N5982" s="4" t="e">
        <f t="shared" si="1220"/>
        <v>#N/A</v>
      </c>
    </row>
    <row r="5983" spans="1:14">
      <c r="A5983">
        <f t="shared" si="1221"/>
        <v>0</v>
      </c>
      <c r="B5983">
        <f t="shared" si="1222"/>
        <v>0</v>
      </c>
      <c r="C5983">
        <f t="shared" si="1223"/>
        <v>0</v>
      </c>
      <c r="D5983">
        <f t="shared" si="1224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5"/>
        <v>0</v>
      </c>
      <c r="G5983">
        <f t="shared" si="1226"/>
        <v>0</v>
      </c>
      <c r="H5983">
        <f t="shared" si="1227"/>
        <v>0</v>
      </c>
      <c r="I5983">
        <f t="shared" si="1228"/>
        <v>0</v>
      </c>
      <c r="J5983">
        <f t="shared" si="1229"/>
        <v>0</v>
      </c>
      <c r="K5983" s="4" t="e">
        <f t="shared" si="1217"/>
        <v>#N/A</v>
      </c>
      <c r="L5983" t="e">
        <f t="shared" si="1218"/>
        <v>#N/A</v>
      </c>
      <c r="M5983" s="4" t="e">
        <f t="shared" si="1219"/>
        <v>#N/A</v>
      </c>
      <c r="N5983" s="4" t="e">
        <f t="shared" si="1220"/>
        <v>#N/A</v>
      </c>
    </row>
    <row r="5984" spans="1:14">
      <c r="A5984">
        <f t="shared" si="1221"/>
        <v>0</v>
      </c>
      <c r="B5984">
        <f t="shared" si="1222"/>
        <v>0</v>
      </c>
      <c r="C5984">
        <f t="shared" si="1223"/>
        <v>0</v>
      </c>
      <c r="D5984">
        <f t="shared" si="1224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5"/>
        <v>0</v>
      </c>
      <c r="G5984">
        <f t="shared" si="1226"/>
        <v>0</v>
      </c>
      <c r="H5984">
        <f t="shared" si="1227"/>
        <v>0</v>
      </c>
      <c r="I5984">
        <f t="shared" si="1228"/>
        <v>0</v>
      </c>
      <c r="J5984">
        <f t="shared" si="1229"/>
        <v>0</v>
      </c>
      <c r="K5984" s="4" t="e">
        <f t="shared" si="1217"/>
        <v>#N/A</v>
      </c>
      <c r="L5984" t="e">
        <f t="shared" si="1218"/>
        <v>#N/A</v>
      </c>
      <c r="M5984" s="4" t="e">
        <f t="shared" si="1219"/>
        <v>#N/A</v>
      </c>
      <c r="N5984" s="4" t="e">
        <f t="shared" si="1220"/>
        <v>#N/A</v>
      </c>
    </row>
    <row r="5985" spans="1:14">
      <c r="A5985">
        <f t="shared" si="1221"/>
        <v>0</v>
      </c>
      <c r="B5985">
        <f t="shared" si="1222"/>
        <v>0</v>
      </c>
      <c r="C5985">
        <f t="shared" si="1223"/>
        <v>0</v>
      </c>
      <c r="D5985">
        <f t="shared" si="1224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5"/>
        <v>0</v>
      </c>
      <c r="G5985">
        <f t="shared" si="1226"/>
        <v>0</v>
      </c>
      <c r="H5985">
        <f t="shared" si="1227"/>
        <v>0</v>
      </c>
      <c r="I5985">
        <f t="shared" si="1228"/>
        <v>0</v>
      </c>
      <c r="J5985">
        <f t="shared" si="1229"/>
        <v>0</v>
      </c>
      <c r="K5985" s="4" t="e">
        <f t="shared" si="1217"/>
        <v>#N/A</v>
      </c>
      <c r="L5985" t="e">
        <f t="shared" si="1218"/>
        <v>#N/A</v>
      </c>
      <c r="M5985" s="4" t="e">
        <f t="shared" si="1219"/>
        <v>#N/A</v>
      </c>
      <c r="N5985" s="4" t="e">
        <f t="shared" si="1220"/>
        <v>#N/A</v>
      </c>
    </row>
    <row r="5986" spans="1:14">
      <c r="A5986">
        <f t="shared" si="1221"/>
        <v>0</v>
      </c>
      <c r="B5986">
        <f t="shared" si="1222"/>
        <v>0</v>
      </c>
      <c r="C5986">
        <f t="shared" si="1223"/>
        <v>0</v>
      </c>
      <c r="D5986">
        <f t="shared" si="1224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5"/>
        <v>0</v>
      </c>
      <c r="G5986">
        <f t="shared" si="1226"/>
        <v>0</v>
      </c>
      <c r="H5986">
        <f t="shared" si="1227"/>
        <v>0</v>
      </c>
      <c r="I5986">
        <f t="shared" si="1228"/>
        <v>0</v>
      </c>
      <c r="J5986">
        <f t="shared" si="1229"/>
        <v>0</v>
      </c>
      <c r="K5986" s="4" t="e">
        <f t="shared" si="1217"/>
        <v>#N/A</v>
      </c>
      <c r="L5986" t="e">
        <f t="shared" si="1218"/>
        <v>#N/A</v>
      </c>
      <c r="M5986" s="4" t="e">
        <f t="shared" si="1219"/>
        <v>#N/A</v>
      </c>
      <c r="N5986" s="4" t="e">
        <f t="shared" si="1220"/>
        <v>#N/A</v>
      </c>
    </row>
    <row r="5987" spans="1:14">
      <c r="A5987">
        <f t="shared" si="1221"/>
        <v>0</v>
      </c>
      <c r="B5987">
        <f t="shared" si="1222"/>
        <v>0</v>
      </c>
      <c r="C5987">
        <f t="shared" si="1223"/>
        <v>0</v>
      </c>
      <c r="D5987">
        <f t="shared" si="1224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5"/>
        <v>0</v>
      </c>
      <c r="G5987">
        <f t="shared" si="1226"/>
        <v>0</v>
      </c>
      <c r="H5987">
        <f t="shared" si="1227"/>
        <v>0</v>
      </c>
      <c r="I5987">
        <f t="shared" si="1228"/>
        <v>0</v>
      </c>
      <c r="J5987">
        <f t="shared" si="1229"/>
        <v>0</v>
      </c>
      <c r="K5987" s="4" t="e">
        <f t="shared" si="1217"/>
        <v>#N/A</v>
      </c>
      <c r="L5987" t="e">
        <f t="shared" si="1218"/>
        <v>#N/A</v>
      </c>
      <c r="M5987" s="4" t="e">
        <f t="shared" si="1219"/>
        <v>#N/A</v>
      </c>
      <c r="N5987" s="4" t="e">
        <f t="shared" si="1220"/>
        <v>#N/A</v>
      </c>
    </row>
    <row r="5988" spans="1:14">
      <c r="A5988">
        <f t="shared" si="1221"/>
        <v>0</v>
      </c>
      <c r="B5988">
        <f t="shared" si="1222"/>
        <v>0</v>
      </c>
      <c r="C5988">
        <f t="shared" si="1223"/>
        <v>0</v>
      </c>
      <c r="D5988">
        <f t="shared" si="1224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5"/>
        <v>0</v>
      </c>
      <c r="G5988">
        <f t="shared" si="1226"/>
        <v>0</v>
      </c>
      <c r="H5988">
        <f t="shared" si="1227"/>
        <v>0</v>
      </c>
      <c r="I5988">
        <f t="shared" si="1228"/>
        <v>0</v>
      </c>
      <c r="J5988">
        <f t="shared" si="1229"/>
        <v>0</v>
      </c>
      <c r="K5988" s="4" t="e">
        <f t="shared" si="1217"/>
        <v>#N/A</v>
      </c>
      <c r="L5988" t="e">
        <f t="shared" si="1218"/>
        <v>#N/A</v>
      </c>
      <c r="M5988" s="4" t="e">
        <f t="shared" si="1219"/>
        <v>#N/A</v>
      </c>
      <c r="N5988" s="4" t="e">
        <f t="shared" si="1220"/>
        <v>#N/A</v>
      </c>
    </row>
    <row r="5989" spans="1:14">
      <c r="A5989">
        <f t="shared" si="1221"/>
        <v>0</v>
      </c>
      <c r="B5989">
        <f t="shared" si="1222"/>
        <v>0</v>
      </c>
      <c r="C5989">
        <f t="shared" si="1223"/>
        <v>0</v>
      </c>
      <c r="D5989">
        <f t="shared" si="1224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5"/>
        <v>0</v>
      </c>
      <c r="G5989">
        <f t="shared" si="1226"/>
        <v>0</v>
      </c>
      <c r="H5989">
        <f t="shared" si="1227"/>
        <v>0</v>
      </c>
      <c r="I5989">
        <f t="shared" si="1228"/>
        <v>0</v>
      </c>
      <c r="J5989">
        <f t="shared" si="1229"/>
        <v>0</v>
      </c>
      <c r="K5989" s="4" t="e">
        <f t="shared" si="1217"/>
        <v>#N/A</v>
      </c>
      <c r="L5989" t="e">
        <f t="shared" si="1218"/>
        <v>#N/A</v>
      </c>
      <c r="M5989" s="4" t="e">
        <f t="shared" si="1219"/>
        <v>#N/A</v>
      </c>
      <c r="N5989" s="4" t="e">
        <f t="shared" si="1220"/>
        <v>#N/A</v>
      </c>
    </row>
    <row r="5990" spans="1:14">
      <c r="A5990">
        <f t="shared" si="1221"/>
        <v>0</v>
      </c>
      <c r="B5990">
        <f t="shared" si="1222"/>
        <v>0</v>
      </c>
      <c r="C5990">
        <f t="shared" si="1223"/>
        <v>0</v>
      </c>
      <c r="D5990">
        <f t="shared" si="1224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5"/>
        <v>0</v>
      </c>
      <c r="G5990">
        <f t="shared" si="1226"/>
        <v>0</v>
      </c>
      <c r="H5990">
        <f t="shared" si="1227"/>
        <v>0</v>
      </c>
      <c r="I5990">
        <f t="shared" si="1228"/>
        <v>0</v>
      </c>
      <c r="J5990">
        <f t="shared" si="1229"/>
        <v>0</v>
      </c>
      <c r="K5990" s="4" t="e">
        <f t="shared" si="1217"/>
        <v>#N/A</v>
      </c>
      <c r="L5990" t="e">
        <f t="shared" si="1218"/>
        <v>#N/A</v>
      </c>
      <c r="M5990" s="4" t="e">
        <f t="shared" si="1219"/>
        <v>#N/A</v>
      </c>
      <c r="N5990" s="4" t="e">
        <f t="shared" si="1220"/>
        <v>#N/A</v>
      </c>
    </row>
    <row r="5991" spans="1:14">
      <c r="A5991">
        <f t="shared" si="1221"/>
        <v>0</v>
      </c>
      <c r="B5991">
        <f t="shared" si="1222"/>
        <v>0</v>
      </c>
      <c r="C5991">
        <f t="shared" si="1223"/>
        <v>0</v>
      </c>
      <c r="D5991">
        <f t="shared" si="1224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5"/>
        <v>0</v>
      </c>
      <c r="G5991">
        <f t="shared" si="1226"/>
        <v>0</v>
      </c>
      <c r="H5991">
        <f t="shared" si="1227"/>
        <v>0</v>
      </c>
      <c r="I5991">
        <f t="shared" si="1228"/>
        <v>0</v>
      </c>
      <c r="J5991">
        <f t="shared" si="1229"/>
        <v>0</v>
      </c>
      <c r="K5991" s="4" t="e">
        <f t="shared" si="1217"/>
        <v>#N/A</v>
      </c>
      <c r="L5991" t="e">
        <f t="shared" si="1218"/>
        <v>#N/A</v>
      </c>
      <c r="M5991" s="4" t="e">
        <f t="shared" si="1219"/>
        <v>#N/A</v>
      </c>
      <c r="N5991" s="4" t="e">
        <f t="shared" si="1220"/>
        <v>#N/A</v>
      </c>
    </row>
    <row r="5992" spans="1:14">
      <c r="A5992">
        <f t="shared" si="1221"/>
        <v>0</v>
      </c>
      <c r="B5992">
        <f t="shared" si="1222"/>
        <v>0</v>
      </c>
      <c r="C5992">
        <f t="shared" si="1223"/>
        <v>0</v>
      </c>
      <c r="D5992">
        <f t="shared" si="1224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5"/>
        <v>0</v>
      </c>
      <c r="G5992">
        <f t="shared" si="1226"/>
        <v>0</v>
      </c>
      <c r="H5992">
        <f t="shared" si="1227"/>
        <v>0</v>
      </c>
      <c r="I5992">
        <f t="shared" si="1228"/>
        <v>0</v>
      </c>
      <c r="J5992">
        <f t="shared" si="1229"/>
        <v>0</v>
      </c>
      <c r="K5992" s="4" t="e">
        <f t="shared" si="1217"/>
        <v>#N/A</v>
      </c>
      <c r="L5992" t="e">
        <f t="shared" si="1218"/>
        <v>#N/A</v>
      </c>
      <c r="M5992" s="4" t="e">
        <f t="shared" si="1219"/>
        <v>#N/A</v>
      </c>
      <c r="N5992" s="4" t="e">
        <f t="shared" si="1220"/>
        <v>#N/A</v>
      </c>
    </row>
    <row r="5993" spans="1:14">
      <c r="A5993">
        <f t="shared" si="1221"/>
        <v>0</v>
      </c>
      <c r="B5993">
        <f t="shared" si="1222"/>
        <v>0</v>
      </c>
      <c r="C5993">
        <f t="shared" si="1223"/>
        <v>0</v>
      </c>
      <c r="D5993">
        <f t="shared" si="1224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5"/>
        <v>0</v>
      </c>
      <c r="G5993">
        <f t="shared" si="1226"/>
        <v>0</v>
      </c>
      <c r="H5993">
        <f t="shared" si="1227"/>
        <v>0</v>
      </c>
      <c r="I5993">
        <f t="shared" si="1228"/>
        <v>0</v>
      </c>
      <c r="J5993">
        <f t="shared" si="1229"/>
        <v>0</v>
      </c>
      <c r="K5993" s="4" t="e">
        <f t="shared" si="1217"/>
        <v>#N/A</v>
      </c>
      <c r="L5993" t="e">
        <f t="shared" si="1218"/>
        <v>#N/A</v>
      </c>
      <c r="M5993" s="4" t="e">
        <f t="shared" si="1219"/>
        <v>#N/A</v>
      </c>
      <c r="N5993" s="4" t="e">
        <f t="shared" si="1220"/>
        <v>#N/A</v>
      </c>
    </row>
    <row r="5994" spans="1:14">
      <c r="A5994">
        <f t="shared" si="1221"/>
        <v>0</v>
      </c>
      <c r="B5994">
        <f t="shared" si="1222"/>
        <v>0</v>
      </c>
      <c r="C5994">
        <f t="shared" si="1223"/>
        <v>0</v>
      </c>
      <c r="D5994">
        <f t="shared" si="1224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5"/>
        <v>0</v>
      </c>
      <c r="G5994">
        <f t="shared" si="1226"/>
        <v>0</v>
      </c>
      <c r="H5994">
        <f t="shared" si="1227"/>
        <v>0</v>
      </c>
      <c r="I5994">
        <f t="shared" si="1228"/>
        <v>0</v>
      </c>
      <c r="J5994">
        <f t="shared" si="1229"/>
        <v>0</v>
      </c>
      <c r="K5994" s="4" t="e">
        <f t="shared" si="1217"/>
        <v>#N/A</v>
      </c>
      <c r="L5994" t="e">
        <f t="shared" si="1218"/>
        <v>#N/A</v>
      </c>
      <c r="M5994" s="4" t="e">
        <f t="shared" si="1219"/>
        <v>#N/A</v>
      </c>
      <c r="N5994" s="4" t="e">
        <f t="shared" si="1220"/>
        <v>#N/A</v>
      </c>
    </row>
    <row r="5995" spans="1:14">
      <c r="A5995">
        <f t="shared" si="1221"/>
        <v>0</v>
      </c>
      <c r="B5995">
        <f t="shared" si="1222"/>
        <v>0</v>
      </c>
      <c r="C5995">
        <f t="shared" si="1223"/>
        <v>0</v>
      </c>
      <c r="D5995">
        <f t="shared" si="1224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5"/>
        <v>0</v>
      </c>
      <c r="G5995">
        <f t="shared" si="1226"/>
        <v>0</v>
      </c>
      <c r="H5995">
        <f t="shared" si="1227"/>
        <v>0</v>
      </c>
      <c r="I5995">
        <f t="shared" si="1228"/>
        <v>0</v>
      </c>
      <c r="J5995">
        <f t="shared" si="1229"/>
        <v>0</v>
      </c>
      <c r="K5995" s="4" t="e">
        <f t="shared" si="1217"/>
        <v>#N/A</v>
      </c>
      <c r="L5995" t="e">
        <f t="shared" si="1218"/>
        <v>#N/A</v>
      </c>
      <c r="M5995" s="4" t="e">
        <f t="shared" si="1219"/>
        <v>#N/A</v>
      </c>
      <c r="N5995" s="4" t="e">
        <f t="shared" si="1220"/>
        <v>#N/A</v>
      </c>
    </row>
    <row r="5996" spans="1:14">
      <c r="A5996">
        <f t="shared" si="1221"/>
        <v>0</v>
      </c>
      <c r="B5996">
        <f t="shared" si="1222"/>
        <v>0</v>
      </c>
      <c r="C5996">
        <f t="shared" si="1223"/>
        <v>0</v>
      </c>
      <c r="D5996">
        <f t="shared" si="1224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5"/>
        <v>0</v>
      </c>
      <c r="G5996">
        <f t="shared" si="1226"/>
        <v>0</v>
      </c>
      <c r="H5996">
        <f t="shared" si="1227"/>
        <v>0</v>
      </c>
      <c r="I5996">
        <f t="shared" si="1228"/>
        <v>0</v>
      </c>
      <c r="J5996">
        <f t="shared" si="1229"/>
        <v>0</v>
      </c>
      <c r="K5996" s="4" t="e">
        <f t="shared" si="1217"/>
        <v>#N/A</v>
      </c>
      <c r="L5996" t="e">
        <f t="shared" si="1218"/>
        <v>#N/A</v>
      </c>
      <c r="M5996" s="4" t="e">
        <f t="shared" si="1219"/>
        <v>#N/A</v>
      </c>
      <c r="N5996" s="4" t="e">
        <f t="shared" si="1220"/>
        <v>#N/A</v>
      </c>
    </row>
    <row r="5997" spans="1:14">
      <c r="A5997">
        <f t="shared" si="1221"/>
        <v>0</v>
      </c>
      <c r="B5997">
        <f t="shared" si="1222"/>
        <v>0</v>
      </c>
      <c r="C5997">
        <f t="shared" si="1223"/>
        <v>0</v>
      </c>
      <c r="D5997">
        <f t="shared" si="1224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5"/>
        <v>0</v>
      </c>
      <c r="G5997">
        <f t="shared" si="1226"/>
        <v>0</v>
      </c>
      <c r="H5997">
        <f t="shared" si="1227"/>
        <v>0</v>
      </c>
      <c r="I5997">
        <f t="shared" si="1228"/>
        <v>0</v>
      </c>
      <c r="J5997">
        <f t="shared" si="1229"/>
        <v>0</v>
      </c>
      <c r="K5997" s="4" t="e">
        <f t="shared" si="1217"/>
        <v>#N/A</v>
      </c>
      <c r="L5997" t="e">
        <f t="shared" si="1218"/>
        <v>#N/A</v>
      </c>
      <c r="M5997" s="4" t="e">
        <f t="shared" si="1219"/>
        <v>#N/A</v>
      </c>
      <c r="N5997" s="4" t="e">
        <f t="shared" si="1220"/>
        <v>#N/A</v>
      </c>
    </row>
    <row r="5998" spans="1:14">
      <c r="A5998">
        <f t="shared" si="1221"/>
        <v>0</v>
      </c>
      <c r="B5998">
        <f t="shared" si="1222"/>
        <v>0</v>
      </c>
      <c r="C5998">
        <f t="shared" si="1223"/>
        <v>0</v>
      </c>
      <c r="D5998">
        <f t="shared" si="1224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5"/>
        <v>0</v>
      </c>
      <c r="G5998">
        <f t="shared" si="1226"/>
        <v>0</v>
      </c>
      <c r="H5998">
        <f t="shared" si="1227"/>
        <v>0</v>
      </c>
      <c r="I5998">
        <f t="shared" si="1228"/>
        <v>0</v>
      </c>
      <c r="J5998">
        <f t="shared" si="1229"/>
        <v>0</v>
      </c>
      <c r="K5998" s="4" t="e">
        <f t="shared" si="1217"/>
        <v>#N/A</v>
      </c>
      <c r="L5998" t="e">
        <f t="shared" si="1218"/>
        <v>#N/A</v>
      </c>
      <c r="M5998" s="4" t="e">
        <f t="shared" si="1219"/>
        <v>#N/A</v>
      </c>
      <c r="N5998" s="4" t="e">
        <f t="shared" si="1220"/>
        <v>#N/A</v>
      </c>
    </row>
    <row r="5999" spans="1:14">
      <c r="A5999">
        <f t="shared" si="1221"/>
        <v>0</v>
      </c>
      <c r="B5999">
        <f t="shared" si="1222"/>
        <v>0</v>
      </c>
      <c r="C5999">
        <f t="shared" si="1223"/>
        <v>0</v>
      </c>
      <c r="D5999">
        <f t="shared" si="1224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5"/>
        <v>0</v>
      </c>
      <c r="G5999">
        <f t="shared" si="1226"/>
        <v>0</v>
      </c>
      <c r="H5999">
        <f t="shared" si="1227"/>
        <v>0</v>
      </c>
      <c r="I5999">
        <f t="shared" si="1228"/>
        <v>0</v>
      </c>
      <c r="J5999">
        <f t="shared" si="1229"/>
        <v>0</v>
      </c>
      <c r="K5999" s="4" t="e">
        <f t="shared" si="1217"/>
        <v>#N/A</v>
      </c>
      <c r="L5999" t="e">
        <f t="shared" si="1218"/>
        <v>#N/A</v>
      </c>
      <c r="M5999" s="4" t="e">
        <f t="shared" si="1219"/>
        <v>#N/A</v>
      </c>
      <c r="N5999" s="4" t="e">
        <f t="shared" si="1220"/>
        <v>#N/A</v>
      </c>
    </row>
    <row r="6000" spans="1:14">
      <c r="A6000">
        <f t="shared" si="1221"/>
        <v>0</v>
      </c>
      <c r="B6000">
        <f t="shared" si="1222"/>
        <v>0</v>
      </c>
      <c r="C6000">
        <f t="shared" si="1223"/>
        <v>0</v>
      </c>
      <c r="D6000">
        <f t="shared" si="1224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5"/>
        <v>0</v>
      </c>
      <c r="G6000">
        <f t="shared" si="1226"/>
        <v>0</v>
      </c>
      <c r="H6000">
        <f t="shared" si="1227"/>
        <v>0</v>
      </c>
      <c r="I6000">
        <f t="shared" si="1228"/>
        <v>0</v>
      </c>
      <c r="J6000">
        <f t="shared" si="1229"/>
        <v>0</v>
      </c>
      <c r="K6000" s="4" t="e">
        <f t="shared" si="1217"/>
        <v>#N/A</v>
      </c>
      <c r="L6000" t="e">
        <f t="shared" si="1218"/>
        <v>#N/A</v>
      </c>
      <c r="M6000" s="4" t="e">
        <f t="shared" si="1219"/>
        <v>#N/A</v>
      </c>
      <c r="N6000" s="4" t="e">
        <f t="shared" si="1220"/>
        <v>#N/A</v>
      </c>
    </row>
    <row r="6001" spans="1:14">
      <c r="A6001">
        <f t="shared" si="1221"/>
        <v>0</v>
      </c>
      <c r="B6001">
        <f t="shared" si="1222"/>
        <v>0</v>
      </c>
      <c r="C6001">
        <f t="shared" si="1223"/>
        <v>0</v>
      </c>
      <c r="D6001">
        <f t="shared" si="1224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5"/>
        <v>0</v>
      </c>
      <c r="G6001">
        <f t="shared" si="1226"/>
        <v>0</v>
      </c>
      <c r="H6001">
        <f t="shared" si="1227"/>
        <v>0</v>
      </c>
      <c r="I6001">
        <f t="shared" si="1228"/>
        <v>0</v>
      </c>
      <c r="J6001">
        <f t="shared" si="1229"/>
        <v>0</v>
      </c>
      <c r="K6001" s="4" t="e">
        <f t="shared" si="1217"/>
        <v>#N/A</v>
      </c>
      <c r="L6001" t="e">
        <f t="shared" si="1218"/>
        <v>#N/A</v>
      </c>
      <c r="M6001" s="4" t="e">
        <f t="shared" si="1219"/>
        <v>#N/A</v>
      </c>
      <c r="N6001" s="4" t="e">
        <f t="shared" si="1220"/>
        <v>#N/A</v>
      </c>
    </row>
    <row r="6002" spans="1:14">
      <c r="A6002">
        <f t="shared" si="1221"/>
        <v>0</v>
      </c>
      <c r="B6002">
        <f t="shared" si="1222"/>
        <v>0</v>
      </c>
      <c r="C6002">
        <f t="shared" si="1223"/>
        <v>0</v>
      </c>
      <c r="D6002">
        <f t="shared" si="1224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5"/>
        <v>0</v>
      </c>
      <c r="G6002">
        <f t="shared" si="1226"/>
        <v>0</v>
      </c>
      <c r="H6002">
        <f t="shared" si="1227"/>
        <v>0</v>
      </c>
      <c r="I6002">
        <f t="shared" si="1228"/>
        <v>0</v>
      </c>
      <c r="J6002">
        <f t="shared" si="1229"/>
        <v>0</v>
      </c>
      <c r="K6002" s="4" t="e">
        <f t="shared" si="1217"/>
        <v>#N/A</v>
      </c>
      <c r="L6002" t="e">
        <f t="shared" si="1218"/>
        <v>#N/A</v>
      </c>
      <c r="M6002" s="4" t="e">
        <f t="shared" si="1219"/>
        <v>#N/A</v>
      </c>
      <c r="N6002" s="4" t="e">
        <f t="shared" si="1220"/>
        <v>#N/A</v>
      </c>
    </row>
    <row r="6003" spans="1:14">
      <c r="A6003">
        <f t="shared" si="1221"/>
        <v>0</v>
      </c>
      <c r="B6003">
        <f t="shared" si="1222"/>
        <v>0</v>
      </c>
      <c r="C6003">
        <f t="shared" si="1223"/>
        <v>0</v>
      </c>
      <c r="D6003">
        <f t="shared" si="1224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5"/>
        <v>0</v>
      </c>
      <c r="G6003">
        <f t="shared" si="1226"/>
        <v>0</v>
      </c>
      <c r="H6003">
        <f t="shared" si="1227"/>
        <v>0</v>
      </c>
      <c r="I6003">
        <f t="shared" si="1228"/>
        <v>0</v>
      </c>
      <c r="J6003">
        <f t="shared" si="1229"/>
        <v>0</v>
      </c>
      <c r="K6003" s="4" t="e">
        <f t="shared" si="1217"/>
        <v>#N/A</v>
      </c>
      <c r="L6003" t="e">
        <f t="shared" si="1218"/>
        <v>#N/A</v>
      </c>
      <c r="M6003" s="4" t="e">
        <f t="shared" si="1219"/>
        <v>#N/A</v>
      </c>
      <c r="N6003" s="4" t="e">
        <f t="shared" si="1220"/>
        <v>#N/A</v>
      </c>
    </row>
    <row r="6004" spans="1:14">
      <c r="A6004">
        <f t="shared" si="1221"/>
        <v>0</v>
      </c>
      <c r="B6004">
        <f t="shared" si="1222"/>
        <v>0</v>
      </c>
      <c r="C6004">
        <f t="shared" si="1223"/>
        <v>0</v>
      </c>
      <c r="D6004">
        <f t="shared" si="1224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5"/>
        <v>0</v>
      </c>
      <c r="G6004">
        <f t="shared" si="1226"/>
        <v>0</v>
      </c>
      <c r="H6004">
        <f t="shared" si="1227"/>
        <v>0</v>
      </c>
      <c r="I6004">
        <f t="shared" si="1228"/>
        <v>0</v>
      </c>
      <c r="J6004">
        <f t="shared" si="1229"/>
        <v>0</v>
      </c>
      <c r="K6004" s="4" t="e">
        <f t="shared" si="1217"/>
        <v>#N/A</v>
      </c>
      <c r="L6004" t="e">
        <f t="shared" si="1218"/>
        <v>#N/A</v>
      </c>
      <c r="M6004" s="4" t="e">
        <f t="shared" si="1219"/>
        <v>#N/A</v>
      </c>
      <c r="N6004" s="4" t="e">
        <f t="shared" si="1220"/>
        <v>#N/A</v>
      </c>
    </row>
    <row r="6005" spans="1:14">
      <c r="A6005">
        <f t="shared" si="1221"/>
        <v>0</v>
      </c>
      <c r="B6005">
        <f t="shared" si="1222"/>
        <v>0</v>
      </c>
      <c r="C6005">
        <f t="shared" si="1223"/>
        <v>0</v>
      </c>
      <c r="D6005">
        <f t="shared" si="1224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5"/>
        <v>0</v>
      </c>
      <c r="G6005">
        <f t="shared" si="1226"/>
        <v>0</v>
      </c>
      <c r="H6005">
        <f t="shared" si="1227"/>
        <v>0</v>
      </c>
      <c r="I6005">
        <f t="shared" si="1228"/>
        <v>0</v>
      </c>
      <c r="J6005">
        <f t="shared" si="1229"/>
        <v>0</v>
      </c>
      <c r="K6005" s="4" t="e">
        <f t="shared" si="1217"/>
        <v>#N/A</v>
      </c>
      <c r="L6005" t="e">
        <f t="shared" si="1218"/>
        <v>#N/A</v>
      </c>
      <c r="M6005" s="4" t="e">
        <f t="shared" si="1219"/>
        <v>#N/A</v>
      </c>
      <c r="N6005" s="4" t="e">
        <f t="shared" si="1220"/>
        <v>#N/A</v>
      </c>
    </row>
    <row r="6006" spans="1:14">
      <c r="A6006">
        <f t="shared" si="1221"/>
        <v>0</v>
      </c>
      <c r="B6006">
        <f t="shared" si="1222"/>
        <v>0</v>
      </c>
      <c r="C6006">
        <f t="shared" si="1223"/>
        <v>0</v>
      </c>
      <c r="D6006">
        <f t="shared" si="1224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5"/>
        <v>0</v>
      </c>
      <c r="G6006">
        <f t="shared" si="1226"/>
        <v>0</v>
      </c>
      <c r="H6006">
        <f t="shared" si="1227"/>
        <v>0</v>
      </c>
      <c r="I6006">
        <f t="shared" si="1228"/>
        <v>0</v>
      </c>
      <c r="J6006">
        <f t="shared" si="1229"/>
        <v>0</v>
      </c>
      <c r="K6006" s="4" t="e">
        <f t="shared" si="1217"/>
        <v>#N/A</v>
      </c>
      <c r="L6006" t="e">
        <f t="shared" si="1218"/>
        <v>#N/A</v>
      </c>
      <c r="M6006" s="4" t="e">
        <f t="shared" si="1219"/>
        <v>#N/A</v>
      </c>
      <c r="N6006" s="4" t="e">
        <f t="shared" si="1220"/>
        <v>#N/A</v>
      </c>
    </row>
    <row r="6007" spans="1:14">
      <c r="A6007">
        <f t="shared" si="1221"/>
        <v>0</v>
      </c>
      <c r="B6007">
        <f t="shared" si="1222"/>
        <v>0</v>
      </c>
      <c r="C6007">
        <f t="shared" si="1223"/>
        <v>0</v>
      </c>
      <c r="D6007">
        <f t="shared" si="1224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5"/>
        <v>0</v>
      </c>
      <c r="G6007">
        <f t="shared" si="1226"/>
        <v>0</v>
      </c>
      <c r="H6007">
        <f t="shared" si="1227"/>
        <v>0</v>
      </c>
      <c r="I6007">
        <f t="shared" si="1228"/>
        <v>0</v>
      </c>
      <c r="J6007">
        <f t="shared" si="1229"/>
        <v>0</v>
      </c>
      <c r="K6007" s="4" t="e">
        <f t="shared" si="1217"/>
        <v>#N/A</v>
      </c>
      <c r="L6007" t="e">
        <f t="shared" si="1218"/>
        <v>#N/A</v>
      </c>
      <c r="M6007" s="4" t="e">
        <f t="shared" si="1219"/>
        <v>#N/A</v>
      </c>
      <c r="N6007" s="4" t="e">
        <f t="shared" si="1220"/>
        <v>#N/A</v>
      </c>
    </row>
    <row r="6008" spans="1:14">
      <c r="A6008">
        <f t="shared" si="1221"/>
        <v>0</v>
      </c>
      <c r="B6008">
        <f t="shared" si="1222"/>
        <v>0</v>
      </c>
      <c r="C6008">
        <f t="shared" si="1223"/>
        <v>0</v>
      </c>
      <c r="D6008">
        <f t="shared" si="1224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5"/>
        <v>0</v>
      </c>
      <c r="G6008">
        <f t="shared" si="1226"/>
        <v>0</v>
      </c>
      <c r="H6008">
        <f t="shared" si="1227"/>
        <v>0</v>
      </c>
      <c r="I6008">
        <f t="shared" si="1228"/>
        <v>0</v>
      </c>
      <c r="J6008">
        <f t="shared" si="1229"/>
        <v>0</v>
      </c>
      <c r="K6008" s="4" t="e">
        <f t="shared" si="1217"/>
        <v>#N/A</v>
      </c>
      <c r="L6008" t="e">
        <f t="shared" si="1218"/>
        <v>#N/A</v>
      </c>
      <c r="M6008" s="4" t="e">
        <f t="shared" si="1219"/>
        <v>#N/A</v>
      </c>
      <c r="N6008" s="4" t="e">
        <f t="shared" si="1220"/>
        <v>#N/A</v>
      </c>
    </row>
    <row r="6009" spans="1:14">
      <c r="A6009">
        <f t="shared" si="1221"/>
        <v>0</v>
      </c>
      <c r="B6009">
        <f t="shared" si="1222"/>
        <v>0</v>
      </c>
      <c r="C6009">
        <f t="shared" si="1223"/>
        <v>0</v>
      </c>
      <c r="D6009">
        <f t="shared" si="1224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5"/>
        <v>0</v>
      </c>
      <c r="G6009">
        <f t="shared" si="1226"/>
        <v>0</v>
      </c>
      <c r="H6009">
        <f t="shared" si="1227"/>
        <v>0</v>
      </c>
      <c r="I6009">
        <f t="shared" si="1228"/>
        <v>0</v>
      </c>
      <c r="J6009">
        <f t="shared" si="1229"/>
        <v>0</v>
      </c>
      <c r="K6009" s="4" t="e">
        <f t="shared" si="1217"/>
        <v>#N/A</v>
      </c>
      <c r="L6009" t="e">
        <f t="shared" si="1218"/>
        <v>#N/A</v>
      </c>
      <c r="M6009" s="4" t="e">
        <f t="shared" si="1219"/>
        <v>#N/A</v>
      </c>
      <c r="N6009" s="4" t="e">
        <f t="shared" si="1220"/>
        <v>#N/A</v>
      </c>
    </row>
    <row r="6010" spans="1:14">
      <c r="A6010">
        <f t="shared" si="1221"/>
        <v>0</v>
      </c>
      <c r="B6010">
        <f t="shared" si="1222"/>
        <v>0</v>
      </c>
      <c r="C6010">
        <f t="shared" si="1223"/>
        <v>0</v>
      </c>
      <c r="D6010">
        <f t="shared" si="1224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5"/>
        <v>0</v>
      </c>
      <c r="G6010">
        <f t="shared" si="1226"/>
        <v>0</v>
      </c>
      <c r="H6010">
        <f t="shared" si="1227"/>
        <v>0</v>
      </c>
      <c r="I6010">
        <f t="shared" si="1228"/>
        <v>0</v>
      </c>
      <c r="J6010">
        <f t="shared" si="1229"/>
        <v>0</v>
      </c>
      <c r="K6010" s="4" t="e">
        <f t="shared" si="1217"/>
        <v>#N/A</v>
      </c>
      <c r="L6010" t="e">
        <f t="shared" si="1218"/>
        <v>#N/A</v>
      </c>
      <c r="M6010" s="4" t="e">
        <f t="shared" si="1219"/>
        <v>#N/A</v>
      </c>
      <c r="N6010" s="4" t="e">
        <f t="shared" si="1220"/>
        <v>#N/A</v>
      </c>
    </row>
    <row r="6011" spans="1:14">
      <c r="A6011">
        <f t="shared" si="1221"/>
        <v>0</v>
      </c>
      <c r="B6011">
        <f t="shared" si="1222"/>
        <v>0</v>
      </c>
      <c r="C6011">
        <f t="shared" si="1223"/>
        <v>0</v>
      </c>
      <c r="D6011">
        <f t="shared" si="1224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5"/>
        <v>0</v>
      </c>
      <c r="G6011">
        <f t="shared" si="1226"/>
        <v>0</v>
      </c>
      <c r="H6011">
        <f t="shared" si="1227"/>
        <v>0</v>
      </c>
      <c r="I6011">
        <f t="shared" si="1228"/>
        <v>0</v>
      </c>
      <c r="J6011">
        <f t="shared" si="1229"/>
        <v>0</v>
      </c>
      <c r="K6011" s="4" t="e">
        <f t="shared" si="1217"/>
        <v>#N/A</v>
      </c>
      <c r="L6011" t="e">
        <f t="shared" si="1218"/>
        <v>#N/A</v>
      </c>
      <c r="M6011" s="4" t="e">
        <f t="shared" si="1219"/>
        <v>#N/A</v>
      </c>
      <c r="N6011" s="4" t="e">
        <f t="shared" si="1220"/>
        <v>#N/A</v>
      </c>
    </row>
    <row r="6012" spans="1:14">
      <c r="A6012">
        <f t="shared" si="1221"/>
        <v>0</v>
      </c>
      <c r="B6012">
        <f t="shared" si="1222"/>
        <v>0</v>
      </c>
      <c r="C6012">
        <f t="shared" si="1223"/>
        <v>0</v>
      </c>
      <c r="D6012">
        <f t="shared" si="1224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5"/>
        <v>0</v>
      </c>
      <c r="G6012">
        <f t="shared" si="1226"/>
        <v>0</v>
      </c>
      <c r="H6012">
        <f t="shared" si="1227"/>
        <v>0</v>
      </c>
      <c r="I6012">
        <f t="shared" si="1228"/>
        <v>0</v>
      </c>
      <c r="J6012">
        <f t="shared" si="1229"/>
        <v>0</v>
      </c>
      <c r="K6012" s="4" t="e">
        <f t="shared" si="1217"/>
        <v>#N/A</v>
      </c>
      <c r="L6012" t="e">
        <f t="shared" si="1218"/>
        <v>#N/A</v>
      </c>
      <c r="M6012" s="4" t="e">
        <f t="shared" si="1219"/>
        <v>#N/A</v>
      </c>
      <c r="N6012" s="4" t="e">
        <f t="shared" si="1220"/>
        <v>#N/A</v>
      </c>
    </row>
    <row r="6013" spans="1:14">
      <c r="A6013">
        <f t="shared" si="1221"/>
        <v>0</v>
      </c>
      <c r="B6013">
        <f t="shared" si="1222"/>
        <v>0</v>
      </c>
      <c r="C6013">
        <f t="shared" si="1223"/>
        <v>0</v>
      </c>
      <c r="D6013">
        <f t="shared" si="1224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5"/>
        <v>0</v>
      </c>
      <c r="G6013">
        <f t="shared" si="1226"/>
        <v>0</v>
      </c>
      <c r="H6013">
        <f t="shared" si="1227"/>
        <v>0</v>
      </c>
      <c r="I6013">
        <f t="shared" si="1228"/>
        <v>0</v>
      </c>
      <c r="J6013">
        <f t="shared" si="1229"/>
        <v>0</v>
      </c>
      <c r="K6013" s="4" t="e">
        <f t="shared" ref="K6013:K6076" si="1230">IF(LEFT(B6013,3)="DBM",0,VLOOKUP(E6013,tabela,2,FALSE))</f>
        <v>#N/A</v>
      </c>
      <c r="L6013" t="e">
        <f t="shared" ref="L6013:L6076" si="1231">VLOOKUP(E6013,tabela,3,FALSE)</f>
        <v>#N/A</v>
      </c>
      <c r="M6013" s="4" t="e">
        <f t="shared" ref="M6013:M6076" si="1232">IF(E6013="Dynamic Click",J6013*K6013,K6013*$I6013/1000)</f>
        <v>#N/A</v>
      </c>
      <c r="N6013" s="4" t="e">
        <f t="shared" ref="N6013:N6076" si="1233">IF(E6013="Dynamic Click",J6013*L6013,L6013*$I6013/1000)</f>
        <v>#N/A</v>
      </c>
    </row>
    <row r="6014" spans="1:14">
      <c r="A6014">
        <f t="shared" si="1221"/>
        <v>0</v>
      </c>
      <c r="B6014">
        <f t="shared" si="1222"/>
        <v>0</v>
      </c>
      <c r="C6014">
        <f t="shared" si="1223"/>
        <v>0</v>
      </c>
      <c r="D6014">
        <f t="shared" si="1224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5"/>
        <v>0</v>
      </c>
      <c r="G6014">
        <f t="shared" si="1226"/>
        <v>0</v>
      </c>
      <c r="H6014">
        <f t="shared" si="1227"/>
        <v>0</v>
      </c>
      <c r="I6014">
        <f t="shared" si="1228"/>
        <v>0</v>
      </c>
      <c r="J6014">
        <f t="shared" si="1229"/>
        <v>0</v>
      </c>
      <c r="K6014" s="4" t="e">
        <f t="shared" si="1230"/>
        <v>#N/A</v>
      </c>
      <c r="L6014" t="e">
        <f t="shared" si="1231"/>
        <v>#N/A</v>
      </c>
      <c r="M6014" s="4" t="e">
        <f t="shared" si="1232"/>
        <v>#N/A</v>
      </c>
      <c r="N6014" s="4" t="e">
        <f t="shared" si="1233"/>
        <v>#N/A</v>
      </c>
    </row>
    <row r="6015" spans="1:14">
      <c r="A6015">
        <f t="shared" si="1221"/>
        <v>0</v>
      </c>
      <c r="B6015">
        <f t="shared" si="1222"/>
        <v>0</v>
      </c>
      <c r="C6015">
        <f t="shared" si="1223"/>
        <v>0</v>
      </c>
      <c r="D6015">
        <f t="shared" si="1224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5"/>
        <v>0</v>
      </c>
      <c r="G6015">
        <f t="shared" si="1226"/>
        <v>0</v>
      </c>
      <c r="H6015">
        <f t="shared" si="1227"/>
        <v>0</v>
      </c>
      <c r="I6015">
        <f t="shared" si="1228"/>
        <v>0</v>
      </c>
      <c r="J6015">
        <f t="shared" si="1229"/>
        <v>0</v>
      </c>
      <c r="K6015" s="4" t="e">
        <f t="shared" si="1230"/>
        <v>#N/A</v>
      </c>
      <c r="L6015" t="e">
        <f t="shared" si="1231"/>
        <v>#N/A</v>
      </c>
      <c r="M6015" s="4" t="e">
        <f t="shared" si="1232"/>
        <v>#N/A</v>
      </c>
      <c r="N6015" s="4" t="e">
        <f t="shared" si="1233"/>
        <v>#N/A</v>
      </c>
    </row>
    <row r="6016" spans="1:14">
      <c r="A6016">
        <f t="shared" si="1221"/>
        <v>0</v>
      </c>
      <c r="B6016">
        <f t="shared" si="1222"/>
        <v>0</v>
      </c>
      <c r="C6016">
        <f t="shared" si="1223"/>
        <v>0</v>
      </c>
      <c r="D6016">
        <f t="shared" si="1224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5"/>
        <v>0</v>
      </c>
      <c r="G6016">
        <f t="shared" si="1226"/>
        <v>0</v>
      </c>
      <c r="H6016">
        <f t="shared" si="1227"/>
        <v>0</v>
      </c>
      <c r="I6016">
        <f t="shared" si="1228"/>
        <v>0</v>
      </c>
      <c r="J6016">
        <f t="shared" si="1229"/>
        <v>0</v>
      </c>
      <c r="K6016" s="4" t="e">
        <f t="shared" si="1230"/>
        <v>#N/A</v>
      </c>
      <c r="L6016" t="e">
        <f t="shared" si="1231"/>
        <v>#N/A</v>
      </c>
      <c r="M6016" s="4" t="e">
        <f t="shared" si="1232"/>
        <v>#N/A</v>
      </c>
      <c r="N6016" s="4" t="e">
        <f t="shared" si="1233"/>
        <v>#N/A</v>
      </c>
    </row>
    <row r="6017" spans="1:14">
      <c r="A6017">
        <f t="shared" si="1221"/>
        <v>0</v>
      </c>
      <c r="B6017">
        <f t="shared" si="1222"/>
        <v>0</v>
      </c>
      <c r="C6017">
        <f t="shared" si="1223"/>
        <v>0</v>
      </c>
      <c r="D6017">
        <f t="shared" si="1224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5"/>
        <v>0</v>
      </c>
      <c r="G6017">
        <f t="shared" si="1226"/>
        <v>0</v>
      </c>
      <c r="H6017">
        <f t="shared" si="1227"/>
        <v>0</v>
      </c>
      <c r="I6017">
        <f t="shared" si="1228"/>
        <v>0</v>
      </c>
      <c r="J6017">
        <f t="shared" si="1229"/>
        <v>0</v>
      </c>
      <c r="K6017" s="4" t="e">
        <f t="shared" si="1230"/>
        <v>#N/A</v>
      </c>
      <c r="L6017" t="e">
        <f t="shared" si="1231"/>
        <v>#N/A</v>
      </c>
      <c r="M6017" s="4" t="e">
        <f t="shared" si="1232"/>
        <v>#N/A</v>
      </c>
      <c r="N6017" s="4" t="e">
        <f t="shared" si="1233"/>
        <v>#N/A</v>
      </c>
    </row>
    <row r="6018" spans="1:14">
      <c r="A6018">
        <f t="shared" ref="A6018:A6081" si="1234">bd_campaign</f>
        <v>0</v>
      </c>
      <c r="B6018">
        <f t="shared" ref="B6018:B6081" si="1235">bd_site</f>
        <v>0</v>
      </c>
      <c r="C6018">
        <f t="shared" ref="C6018:C6081" si="1236">bd_placement</f>
        <v>0</v>
      </c>
      <c r="D6018">
        <f t="shared" ref="D6018:D6081" si="1237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8">bd_ad</f>
        <v>0</v>
      </c>
      <c r="G6018">
        <f t="shared" ref="G6018:G6081" si="1239">bd_adid</f>
        <v>0</v>
      </c>
      <c r="H6018">
        <f t="shared" ref="H6018:H6081" si="1240">bd_creativetype</f>
        <v>0</v>
      </c>
      <c r="I6018">
        <f t="shared" ref="I6018:I6081" si="1241">bd_impression</f>
        <v>0</v>
      </c>
      <c r="J6018">
        <f t="shared" ref="J6018:J6081" si="1242">bd_clicks</f>
        <v>0</v>
      </c>
      <c r="K6018" s="4" t="e">
        <f t="shared" si="1230"/>
        <v>#N/A</v>
      </c>
      <c r="L6018" t="e">
        <f t="shared" si="1231"/>
        <v>#N/A</v>
      </c>
      <c r="M6018" s="4" t="e">
        <f t="shared" si="1232"/>
        <v>#N/A</v>
      </c>
      <c r="N6018" s="4" t="e">
        <f t="shared" si="1233"/>
        <v>#N/A</v>
      </c>
    </row>
    <row r="6019" spans="1:14">
      <c r="A6019">
        <f t="shared" si="1234"/>
        <v>0</v>
      </c>
      <c r="B6019">
        <f t="shared" si="1235"/>
        <v>0</v>
      </c>
      <c r="C6019">
        <f t="shared" si="1236"/>
        <v>0</v>
      </c>
      <c r="D6019">
        <f t="shared" si="1237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8"/>
        <v>0</v>
      </c>
      <c r="G6019">
        <f t="shared" si="1239"/>
        <v>0</v>
      </c>
      <c r="H6019">
        <f t="shared" si="1240"/>
        <v>0</v>
      </c>
      <c r="I6019">
        <f t="shared" si="1241"/>
        <v>0</v>
      </c>
      <c r="J6019">
        <f t="shared" si="1242"/>
        <v>0</v>
      </c>
      <c r="K6019" s="4" t="e">
        <f t="shared" si="1230"/>
        <v>#N/A</v>
      </c>
      <c r="L6019" t="e">
        <f t="shared" si="1231"/>
        <v>#N/A</v>
      </c>
      <c r="M6019" s="4" t="e">
        <f t="shared" si="1232"/>
        <v>#N/A</v>
      </c>
      <c r="N6019" s="4" t="e">
        <f t="shared" si="1233"/>
        <v>#N/A</v>
      </c>
    </row>
    <row r="6020" spans="1:14">
      <c r="A6020">
        <f t="shared" si="1234"/>
        <v>0</v>
      </c>
      <c r="B6020">
        <f t="shared" si="1235"/>
        <v>0</v>
      </c>
      <c r="C6020">
        <f t="shared" si="1236"/>
        <v>0</v>
      </c>
      <c r="D6020">
        <f t="shared" si="1237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8"/>
        <v>0</v>
      </c>
      <c r="G6020">
        <f t="shared" si="1239"/>
        <v>0</v>
      </c>
      <c r="H6020">
        <f t="shared" si="1240"/>
        <v>0</v>
      </c>
      <c r="I6020">
        <f t="shared" si="1241"/>
        <v>0</v>
      </c>
      <c r="J6020">
        <f t="shared" si="1242"/>
        <v>0</v>
      </c>
      <c r="K6020" s="4" t="e">
        <f t="shared" si="1230"/>
        <v>#N/A</v>
      </c>
      <c r="L6020" t="e">
        <f t="shared" si="1231"/>
        <v>#N/A</v>
      </c>
      <c r="M6020" s="4" t="e">
        <f t="shared" si="1232"/>
        <v>#N/A</v>
      </c>
      <c r="N6020" s="4" t="e">
        <f t="shared" si="1233"/>
        <v>#N/A</v>
      </c>
    </row>
    <row r="6021" spans="1:14">
      <c r="A6021">
        <f t="shared" si="1234"/>
        <v>0</v>
      </c>
      <c r="B6021">
        <f t="shared" si="1235"/>
        <v>0</v>
      </c>
      <c r="C6021">
        <f t="shared" si="1236"/>
        <v>0</v>
      </c>
      <c r="D6021">
        <f t="shared" si="1237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8"/>
        <v>0</v>
      </c>
      <c r="G6021">
        <f t="shared" si="1239"/>
        <v>0</v>
      </c>
      <c r="H6021">
        <f t="shared" si="1240"/>
        <v>0</v>
      </c>
      <c r="I6021">
        <f t="shared" si="1241"/>
        <v>0</v>
      </c>
      <c r="J6021">
        <f t="shared" si="1242"/>
        <v>0</v>
      </c>
      <c r="K6021" s="4" t="e">
        <f t="shared" si="1230"/>
        <v>#N/A</v>
      </c>
      <c r="L6021" t="e">
        <f t="shared" si="1231"/>
        <v>#N/A</v>
      </c>
      <c r="M6021" s="4" t="e">
        <f t="shared" si="1232"/>
        <v>#N/A</v>
      </c>
      <c r="N6021" s="4" t="e">
        <f t="shared" si="1233"/>
        <v>#N/A</v>
      </c>
    </row>
    <row r="6022" spans="1:14">
      <c r="A6022">
        <f t="shared" si="1234"/>
        <v>0</v>
      </c>
      <c r="B6022">
        <f t="shared" si="1235"/>
        <v>0</v>
      </c>
      <c r="C6022">
        <f t="shared" si="1236"/>
        <v>0</v>
      </c>
      <c r="D6022">
        <f t="shared" si="1237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8"/>
        <v>0</v>
      </c>
      <c r="G6022">
        <f t="shared" si="1239"/>
        <v>0</v>
      </c>
      <c r="H6022">
        <f t="shared" si="1240"/>
        <v>0</v>
      </c>
      <c r="I6022">
        <f t="shared" si="1241"/>
        <v>0</v>
      </c>
      <c r="J6022">
        <f t="shared" si="1242"/>
        <v>0</v>
      </c>
      <c r="K6022" s="4" t="e">
        <f t="shared" si="1230"/>
        <v>#N/A</v>
      </c>
      <c r="L6022" t="e">
        <f t="shared" si="1231"/>
        <v>#N/A</v>
      </c>
      <c r="M6022" s="4" t="e">
        <f t="shared" si="1232"/>
        <v>#N/A</v>
      </c>
      <c r="N6022" s="4" t="e">
        <f t="shared" si="1233"/>
        <v>#N/A</v>
      </c>
    </row>
    <row r="6023" spans="1:14">
      <c r="A6023">
        <f t="shared" si="1234"/>
        <v>0</v>
      </c>
      <c r="B6023">
        <f t="shared" si="1235"/>
        <v>0</v>
      </c>
      <c r="C6023">
        <f t="shared" si="1236"/>
        <v>0</v>
      </c>
      <c r="D6023">
        <f t="shared" si="1237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8"/>
        <v>0</v>
      </c>
      <c r="G6023">
        <f t="shared" si="1239"/>
        <v>0</v>
      </c>
      <c r="H6023">
        <f t="shared" si="1240"/>
        <v>0</v>
      </c>
      <c r="I6023">
        <f t="shared" si="1241"/>
        <v>0</v>
      </c>
      <c r="J6023">
        <f t="shared" si="1242"/>
        <v>0</v>
      </c>
      <c r="K6023" s="4" t="e">
        <f t="shared" si="1230"/>
        <v>#N/A</v>
      </c>
      <c r="L6023" t="e">
        <f t="shared" si="1231"/>
        <v>#N/A</v>
      </c>
      <c r="M6023" s="4" t="e">
        <f t="shared" si="1232"/>
        <v>#N/A</v>
      </c>
      <c r="N6023" s="4" t="e">
        <f t="shared" si="1233"/>
        <v>#N/A</v>
      </c>
    </row>
    <row r="6024" spans="1:14">
      <c r="A6024">
        <f t="shared" si="1234"/>
        <v>0</v>
      </c>
      <c r="B6024">
        <f t="shared" si="1235"/>
        <v>0</v>
      </c>
      <c r="C6024">
        <f t="shared" si="1236"/>
        <v>0</v>
      </c>
      <c r="D6024">
        <f t="shared" si="1237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8"/>
        <v>0</v>
      </c>
      <c r="G6024">
        <f t="shared" si="1239"/>
        <v>0</v>
      </c>
      <c r="H6024">
        <f t="shared" si="1240"/>
        <v>0</v>
      </c>
      <c r="I6024">
        <f t="shared" si="1241"/>
        <v>0</v>
      </c>
      <c r="J6024">
        <f t="shared" si="1242"/>
        <v>0</v>
      </c>
      <c r="K6024" s="4" t="e">
        <f t="shared" si="1230"/>
        <v>#N/A</v>
      </c>
      <c r="L6024" t="e">
        <f t="shared" si="1231"/>
        <v>#N/A</v>
      </c>
      <c r="M6024" s="4" t="e">
        <f t="shared" si="1232"/>
        <v>#N/A</v>
      </c>
      <c r="N6024" s="4" t="e">
        <f t="shared" si="1233"/>
        <v>#N/A</v>
      </c>
    </row>
    <row r="6025" spans="1:14">
      <c r="A6025">
        <f t="shared" si="1234"/>
        <v>0</v>
      </c>
      <c r="B6025">
        <f t="shared" si="1235"/>
        <v>0</v>
      </c>
      <c r="C6025">
        <f t="shared" si="1236"/>
        <v>0</v>
      </c>
      <c r="D6025">
        <f t="shared" si="1237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8"/>
        <v>0</v>
      </c>
      <c r="G6025">
        <f t="shared" si="1239"/>
        <v>0</v>
      </c>
      <c r="H6025">
        <f t="shared" si="1240"/>
        <v>0</v>
      </c>
      <c r="I6025">
        <f t="shared" si="1241"/>
        <v>0</v>
      </c>
      <c r="J6025">
        <f t="shared" si="1242"/>
        <v>0</v>
      </c>
      <c r="K6025" s="4" t="e">
        <f t="shared" si="1230"/>
        <v>#N/A</v>
      </c>
      <c r="L6025" t="e">
        <f t="shared" si="1231"/>
        <v>#N/A</v>
      </c>
      <c r="M6025" s="4" t="e">
        <f t="shared" si="1232"/>
        <v>#N/A</v>
      </c>
      <c r="N6025" s="4" t="e">
        <f t="shared" si="1233"/>
        <v>#N/A</v>
      </c>
    </row>
    <row r="6026" spans="1:14">
      <c r="A6026">
        <f t="shared" si="1234"/>
        <v>0</v>
      </c>
      <c r="B6026">
        <f t="shared" si="1235"/>
        <v>0</v>
      </c>
      <c r="C6026">
        <f t="shared" si="1236"/>
        <v>0</v>
      </c>
      <c r="D6026">
        <f t="shared" si="1237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8"/>
        <v>0</v>
      </c>
      <c r="G6026">
        <f t="shared" si="1239"/>
        <v>0</v>
      </c>
      <c r="H6026">
        <f t="shared" si="1240"/>
        <v>0</v>
      </c>
      <c r="I6026">
        <f t="shared" si="1241"/>
        <v>0</v>
      </c>
      <c r="J6026">
        <f t="shared" si="1242"/>
        <v>0</v>
      </c>
      <c r="K6026" s="4" t="e">
        <f t="shared" si="1230"/>
        <v>#N/A</v>
      </c>
      <c r="L6026" t="e">
        <f t="shared" si="1231"/>
        <v>#N/A</v>
      </c>
      <c r="M6026" s="4" t="e">
        <f t="shared" si="1232"/>
        <v>#N/A</v>
      </c>
      <c r="N6026" s="4" t="e">
        <f t="shared" si="1233"/>
        <v>#N/A</v>
      </c>
    </row>
    <row r="6027" spans="1:14">
      <c r="A6027">
        <f t="shared" si="1234"/>
        <v>0</v>
      </c>
      <c r="B6027">
        <f t="shared" si="1235"/>
        <v>0</v>
      </c>
      <c r="C6027">
        <f t="shared" si="1236"/>
        <v>0</v>
      </c>
      <c r="D6027">
        <f t="shared" si="1237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8"/>
        <v>0</v>
      </c>
      <c r="G6027">
        <f t="shared" si="1239"/>
        <v>0</v>
      </c>
      <c r="H6027">
        <f t="shared" si="1240"/>
        <v>0</v>
      </c>
      <c r="I6027">
        <f t="shared" si="1241"/>
        <v>0</v>
      </c>
      <c r="J6027">
        <f t="shared" si="1242"/>
        <v>0</v>
      </c>
      <c r="K6027" s="4" t="e">
        <f t="shared" si="1230"/>
        <v>#N/A</v>
      </c>
      <c r="L6027" t="e">
        <f t="shared" si="1231"/>
        <v>#N/A</v>
      </c>
      <c r="M6027" s="4" t="e">
        <f t="shared" si="1232"/>
        <v>#N/A</v>
      </c>
      <c r="N6027" s="4" t="e">
        <f t="shared" si="1233"/>
        <v>#N/A</v>
      </c>
    </row>
    <row r="6028" spans="1:14">
      <c r="A6028">
        <f t="shared" si="1234"/>
        <v>0</v>
      </c>
      <c r="B6028">
        <f t="shared" si="1235"/>
        <v>0</v>
      </c>
      <c r="C6028">
        <f t="shared" si="1236"/>
        <v>0</v>
      </c>
      <c r="D6028">
        <f t="shared" si="1237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8"/>
        <v>0</v>
      </c>
      <c r="G6028">
        <f t="shared" si="1239"/>
        <v>0</v>
      </c>
      <c r="H6028">
        <f t="shared" si="1240"/>
        <v>0</v>
      </c>
      <c r="I6028">
        <f t="shared" si="1241"/>
        <v>0</v>
      </c>
      <c r="J6028">
        <f t="shared" si="1242"/>
        <v>0</v>
      </c>
      <c r="K6028" s="4" t="e">
        <f t="shared" si="1230"/>
        <v>#N/A</v>
      </c>
      <c r="L6028" t="e">
        <f t="shared" si="1231"/>
        <v>#N/A</v>
      </c>
      <c r="M6028" s="4" t="e">
        <f t="shared" si="1232"/>
        <v>#N/A</v>
      </c>
      <c r="N6028" s="4" t="e">
        <f t="shared" si="1233"/>
        <v>#N/A</v>
      </c>
    </row>
    <row r="6029" spans="1:14">
      <c r="A6029">
        <f t="shared" si="1234"/>
        <v>0</v>
      </c>
      <c r="B6029">
        <f t="shared" si="1235"/>
        <v>0</v>
      </c>
      <c r="C6029">
        <f t="shared" si="1236"/>
        <v>0</v>
      </c>
      <c r="D6029">
        <f t="shared" si="1237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8"/>
        <v>0</v>
      </c>
      <c r="G6029">
        <f t="shared" si="1239"/>
        <v>0</v>
      </c>
      <c r="H6029">
        <f t="shared" si="1240"/>
        <v>0</v>
      </c>
      <c r="I6029">
        <f t="shared" si="1241"/>
        <v>0</v>
      </c>
      <c r="J6029">
        <f t="shared" si="1242"/>
        <v>0</v>
      </c>
      <c r="K6029" s="4" t="e">
        <f t="shared" si="1230"/>
        <v>#N/A</v>
      </c>
      <c r="L6029" t="e">
        <f t="shared" si="1231"/>
        <v>#N/A</v>
      </c>
      <c r="M6029" s="4" t="e">
        <f t="shared" si="1232"/>
        <v>#N/A</v>
      </c>
      <c r="N6029" s="4" t="e">
        <f t="shared" si="1233"/>
        <v>#N/A</v>
      </c>
    </row>
    <row r="6030" spans="1:14">
      <c r="A6030">
        <f t="shared" si="1234"/>
        <v>0</v>
      </c>
      <c r="B6030">
        <f t="shared" si="1235"/>
        <v>0</v>
      </c>
      <c r="C6030">
        <f t="shared" si="1236"/>
        <v>0</v>
      </c>
      <c r="D6030">
        <f t="shared" si="1237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8"/>
        <v>0</v>
      </c>
      <c r="G6030">
        <f t="shared" si="1239"/>
        <v>0</v>
      </c>
      <c r="H6030">
        <f t="shared" si="1240"/>
        <v>0</v>
      </c>
      <c r="I6030">
        <f t="shared" si="1241"/>
        <v>0</v>
      </c>
      <c r="J6030">
        <f t="shared" si="1242"/>
        <v>0</v>
      </c>
      <c r="K6030" s="4" t="e">
        <f t="shared" si="1230"/>
        <v>#N/A</v>
      </c>
      <c r="L6030" t="e">
        <f t="shared" si="1231"/>
        <v>#N/A</v>
      </c>
      <c r="M6030" s="4" t="e">
        <f t="shared" si="1232"/>
        <v>#N/A</v>
      </c>
      <c r="N6030" s="4" t="e">
        <f t="shared" si="1233"/>
        <v>#N/A</v>
      </c>
    </row>
    <row r="6031" spans="1:14">
      <c r="A6031">
        <f t="shared" si="1234"/>
        <v>0</v>
      </c>
      <c r="B6031">
        <f t="shared" si="1235"/>
        <v>0</v>
      </c>
      <c r="C6031">
        <f t="shared" si="1236"/>
        <v>0</v>
      </c>
      <c r="D6031">
        <f t="shared" si="1237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8"/>
        <v>0</v>
      </c>
      <c r="G6031">
        <f t="shared" si="1239"/>
        <v>0</v>
      </c>
      <c r="H6031">
        <f t="shared" si="1240"/>
        <v>0</v>
      </c>
      <c r="I6031">
        <f t="shared" si="1241"/>
        <v>0</v>
      </c>
      <c r="J6031">
        <f t="shared" si="1242"/>
        <v>0</v>
      </c>
      <c r="K6031" s="4" t="e">
        <f t="shared" si="1230"/>
        <v>#N/A</v>
      </c>
      <c r="L6031" t="e">
        <f t="shared" si="1231"/>
        <v>#N/A</v>
      </c>
      <c r="M6031" s="4" t="e">
        <f t="shared" si="1232"/>
        <v>#N/A</v>
      </c>
      <c r="N6031" s="4" t="e">
        <f t="shared" si="1233"/>
        <v>#N/A</v>
      </c>
    </row>
    <row r="6032" spans="1:14">
      <c r="A6032">
        <f t="shared" si="1234"/>
        <v>0</v>
      </c>
      <c r="B6032">
        <f t="shared" si="1235"/>
        <v>0</v>
      </c>
      <c r="C6032">
        <f t="shared" si="1236"/>
        <v>0</v>
      </c>
      <c r="D6032">
        <f t="shared" si="1237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8"/>
        <v>0</v>
      </c>
      <c r="G6032">
        <f t="shared" si="1239"/>
        <v>0</v>
      </c>
      <c r="H6032">
        <f t="shared" si="1240"/>
        <v>0</v>
      </c>
      <c r="I6032">
        <f t="shared" si="1241"/>
        <v>0</v>
      </c>
      <c r="J6032">
        <f t="shared" si="1242"/>
        <v>0</v>
      </c>
      <c r="K6032" s="4" t="e">
        <f t="shared" si="1230"/>
        <v>#N/A</v>
      </c>
      <c r="L6032" t="e">
        <f t="shared" si="1231"/>
        <v>#N/A</v>
      </c>
      <c r="M6032" s="4" t="e">
        <f t="shared" si="1232"/>
        <v>#N/A</v>
      </c>
      <c r="N6032" s="4" t="e">
        <f t="shared" si="1233"/>
        <v>#N/A</v>
      </c>
    </row>
    <row r="6033" spans="1:14">
      <c r="A6033">
        <f t="shared" si="1234"/>
        <v>0</v>
      </c>
      <c r="B6033">
        <f t="shared" si="1235"/>
        <v>0</v>
      </c>
      <c r="C6033">
        <f t="shared" si="1236"/>
        <v>0</v>
      </c>
      <c r="D6033">
        <f t="shared" si="1237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8"/>
        <v>0</v>
      </c>
      <c r="G6033">
        <f t="shared" si="1239"/>
        <v>0</v>
      </c>
      <c r="H6033">
        <f t="shared" si="1240"/>
        <v>0</v>
      </c>
      <c r="I6033">
        <f t="shared" si="1241"/>
        <v>0</v>
      </c>
      <c r="J6033">
        <f t="shared" si="1242"/>
        <v>0</v>
      </c>
      <c r="K6033" s="4" t="e">
        <f t="shared" si="1230"/>
        <v>#N/A</v>
      </c>
      <c r="L6033" t="e">
        <f t="shared" si="1231"/>
        <v>#N/A</v>
      </c>
      <c r="M6033" s="4" t="e">
        <f t="shared" si="1232"/>
        <v>#N/A</v>
      </c>
      <c r="N6033" s="4" t="e">
        <f t="shared" si="1233"/>
        <v>#N/A</v>
      </c>
    </row>
    <row r="6034" spans="1:14">
      <c r="A6034">
        <f t="shared" si="1234"/>
        <v>0</v>
      </c>
      <c r="B6034">
        <f t="shared" si="1235"/>
        <v>0</v>
      </c>
      <c r="C6034">
        <f t="shared" si="1236"/>
        <v>0</v>
      </c>
      <c r="D6034">
        <f t="shared" si="1237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8"/>
        <v>0</v>
      </c>
      <c r="G6034">
        <f t="shared" si="1239"/>
        <v>0</v>
      </c>
      <c r="H6034">
        <f t="shared" si="1240"/>
        <v>0</v>
      </c>
      <c r="I6034">
        <f t="shared" si="1241"/>
        <v>0</v>
      </c>
      <c r="J6034">
        <f t="shared" si="1242"/>
        <v>0</v>
      </c>
      <c r="K6034" s="4" t="e">
        <f t="shared" si="1230"/>
        <v>#N/A</v>
      </c>
      <c r="L6034" t="e">
        <f t="shared" si="1231"/>
        <v>#N/A</v>
      </c>
      <c r="M6034" s="4" t="e">
        <f t="shared" si="1232"/>
        <v>#N/A</v>
      </c>
      <c r="N6034" s="4" t="e">
        <f t="shared" si="1233"/>
        <v>#N/A</v>
      </c>
    </row>
    <row r="6035" spans="1:14">
      <c r="A6035">
        <f t="shared" si="1234"/>
        <v>0</v>
      </c>
      <c r="B6035">
        <f t="shared" si="1235"/>
        <v>0</v>
      </c>
      <c r="C6035">
        <f t="shared" si="1236"/>
        <v>0</v>
      </c>
      <c r="D6035">
        <f t="shared" si="1237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8"/>
        <v>0</v>
      </c>
      <c r="G6035">
        <f t="shared" si="1239"/>
        <v>0</v>
      </c>
      <c r="H6035">
        <f t="shared" si="1240"/>
        <v>0</v>
      </c>
      <c r="I6035">
        <f t="shared" si="1241"/>
        <v>0</v>
      </c>
      <c r="J6035">
        <f t="shared" si="1242"/>
        <v>0</v>
      </c>
      <c r="K6035" s="4" t="e">
        <f t="shared" si="1230"/>
        <v>#N/A</v>
      </c>
      <c r="L6035" t="e">
        <f t="shared" si="1231"/>
        <v>#N/A</v>
      </c>
      <c r="M6035" s="4" t="e">
        <f t="shared" si="1232"/>
        <v>#N/A</v>
      </c>
      <c r="N6035" s="4" t="e">
        <f t="shared" si="1233"/>
        <v>#N/A</v>
      </c>
    </row>
    <row r="6036" spans="1:14">
      <c r="A6036">
        <f t="shared" si="1234"/>
        <v>0</v>
      </c>
      <c r="B6036">
        <f t="shared" si="1235"/>
        <v>0</v>
      </c>
      <c r="C6036">
        <f t="shared" si="1236"/>
        <v>0</v>
      </c>
      <c r="D6036">
        <f t="shared" si="1237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8"/>
        <v>0</v>
      </c>
      <c r="G6036">
        <f t="shared" si="1239"/>
        <v>0</v>
      </c>
      <c r="H6036">
        <f t="shared" si="1240"/>
        <v>0</v>
      </c>
      <c r="I6036">
        <f t="shared" si="1241"/>
        <v>0</v>
      </c>
      <c r="J6036">
        <f t="shared" si="1242"/>
        <v>0</v>
      </c>
      <c r="K6036" s="4" t="e">
        <f t="shared" si="1230"/>
        <v>#N/A</v>
      </c>
      <c r="L6036" t="e">
        <f t="shared" si="1231"/>
        <v>#N/A</v>
      </c>
      <c r="M6036" s="4" t="e">
        <f t="shared" si="1232"/>
        <v>#N/A</v>
      </c>
      <c r="N6036" s="4" t="e">
        <f t="shared" si="1233"/>
        <v>#N/A</v>
      </c>
    </row>
    <row r="6037" spans="1:14">
      <c r="A6037">
        <f t="shared" si="1234"/>
        <v>0</v>
      </c>
      <c r="B6037">
        <f t="shared" si="1235"/>
        <v>0</v>
      </c>
      <c r="C6037">
        <f t="shared" si="1236"/>
        <v>0</v>
      </c>
      <c r="D6037">
        <f t="shared" si="1237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8"/>
        <v>0</v>
      </c>
      <c r="G6037">
        <f t="shared" si="1239"/>
        <v>0</v>
      </c>
      <c r="H6037">
        <f t="shared" si="1240"/>
        <v>0</v>
      </c>
      <c r="I6037">
        <f t="shared" si="1241"/>
        <v>0</v>
      </c>
      <c r="J6037">
        <f t="shared" si="1242"/>
        <v>0</v>
      </c>
      <c r="K6037" s="4" t="e">
        <f t="shared" si="1230"/>
        <v>#N/A</v>
      </c>
      <c r="L6037" t="e">
        <f t="shared" si="1231"/>
        <v>#N/A</v>
      </c>
      <c r="M6037" s="4" t="e">
        <f t="shared" si="1232"/>
        <v>#N/A</v>
      </c>
      <c r="N6037" s="4" t="e">
        <f t="shared" si="1233"/>
        <v>#N/A</v>
      </c>
    </row>
    <row r="6038" spans="1:14">
      <c r="A6038">
        <f t="shared" si="1234"/>
        <v>0</v>
      </c>
      <c r="B6038">
        <f t="shared" si="1235"/>
        <v>0</v>
      </c>
      <c r="C6038">
        <f t="shared" si="1236"/>
        <v>0</v>
      </c>
      <c r="D6038">
        <f t="shared" si="1237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8"/>
        <v>0</v>
      </c>
      <c r="G6038">
        <f t="shared" si="1239"/>
        <v>0</v>
      </c>
      <c r="H6038">
        <f t="shared" si="1240"/>
        <v>0</v>
      </c>
      <c r="I6038">
        <f t="shared" si="1241"/>
        <v>0</v>
      </c>
      <c r="J6038">
        <f t="shared" si="1242"/>
        <v>0</v>
      </c>
      <c r="K6038" s="4" t="e">
        <f t="shared" si="1230"/>
        <v>#N/A</v>
      </c>
      <c r="L6038" t="e">
        <f t="shared" si="1231"/>
        <v>#N/A</v>
      </c>
      <c r="M6038" s="4" t="e">
        <f t="shared" si="1232"/>
        <v>#N/A</v>
      </c>
      <c r="N6038" s="4" t="e">
        <f t="shared" si="1233"/>
        <v>#N/A</v>
      </c>
    </row>
    <row r="6039" spans="1:14">
      <c r="A6039">
        <f t="shared" si="1234"/>
        <v>0</v>
      </c>
      <c r="B6039">
        <f t="shared" si="1235"/>
        <v>0</v>
      </c>
      <c r="C6039">
        <f t="shared" si="1236"/>
        <v>0</v>
      </c>
      <c r="D6039">
        <f t="shared" si="1237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8"/>
        <v>0</v>
      </c>
      <c r="G6039">
        <f t="shared" si="1239"/>
        <v>0</v>
      </c>
      <c r="H6039">
        <f t="shared" si="1240"/>
        <v>0</v>
      </c>
      <c r="I6039">
        <f t="shared" si="1241"/>
        <v>0</v>
      </c>
      <c r="J6039">
        <f t="shared" si="1242"/>
        <v>0</v>
      </c>
      <c r="K6039" s="4" t="e">
        <f t="shared" si="1230"/>
        <v>#N/A</v>
      </c>
      <c r="L6039" t="e">
        <f t="shared" si="1231"/>
        <v>#N/A</v>
      </c>
      <c r="M6039" s="4" t="e">
        <f t="shared" si="1232"/>
        <v>#N/A</v>
      </c>
      <c r="N6039" s="4" t="e">
        <f t="shared" si="1233"/>
        <v>#N/A</v>
      </c>
    </row>
    <row r="6040" spans="1:14">
      <c r="A6040">
        <f t="shared" si="1234"/>
        <v>0</v>
      </c>
      <c r="B6040">
        <f t="shared" si="1235"/>
        <v>0</v>
      </c>
      <c r="C6040">
        <f t="shared" si="1236"/>
        <v>0</v>
      </c>
      <c r="D6040">
        <f t="shared" si="1237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8"/>
        <v>0</v>
      </c>
      <c r="G6040">
        <f t="shared" si="1239"/>
        <v>0</v>
      </c>
      <c r="H6040">
        <f t="shared" si="1240"/>
        <v>0</v>
      </c>
      <c r="I6040">
        <f t="shared" si="1241"/>
        <v>0</v>
      </c>
      <c r="J6040">
        <f t="shared" si="1242"/>
        <v>0</v>
      </c>
      <c r="K6040" s="4" t="e">
        <f t="shared" si="1230"/>
        <v>#N/A</v>
      </c>
      <c r="L6040" t="e">
        <f t="shared" si="1231"/>
        <v>#N/A</v>
      </c>
      <c r="M6040" s="4" t="e">
        <f t="shared" si="1232"/>
        <v>#N/A</v>
      </c>
      <c r="N6040" s="4" t="e">
        <f t="shared" si="1233"/>
        <v>#N/A</v>
      </c>
    </row>
    <row r="6041" spans="1:14">
      <c r="A6041">
        <f t="shared" si="1234"/>
        <v>0</v>
      </c>
      <c r="B6041">
        <f t="shared" si="1235"/>
        <v>0</v>
      </c>
      <c r="C6041">
        <f t="shared" si="1236"/>
        <v>0</v>
      </c>
      <c r="D6041">
        <f t="shared" si="1237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8"/>
        <v>0</v>
      </c>
      <c r="G6041">
        <f t="shared" si="1239"/>
        <v>0</v>
      </c>
      <c r="H6041">
        <f t="shared" si="1240"/>
        <v>0</v>
      </c>
      <c r="I6041">
        <f t="shared" si="1241"/>
        <v>0</v>
      </c>
      <c r="J6041">
        <f t="shared" si="1242"/>
        <v>0</v>
      </c>
      <c r="K6041" s="4" t="e">
        <f t="shared" si="1230"/>
        <v>#N/A</v>
      </c>
      <c r="L6041" t="e">
        <f t="shared" si="1231"/>
        <v>#N/A</v>
      </c>
      <c r="M6041" s="4" t="e">
        <f t="shared" si="1232"/>
        <v>#N/A</v>
      </c>
      <c r="N6041" s="4" t="e">
        <f t="shared" si="1233"/>
        <v>#N/A</v>
      </c>
    </row>
    <row r="6042" spans="1:14">
      <c r="A6042">
        <f t="shared" si="1234"/>
        <v>0</v>
      </c>
      <c r="B6042">
        <f t="shared" si="1235"/>
        <v>0</v>
      </c>
      <c r="C6042">
        <f t="shared" si="1236"/>
        <v>0</v>
      </c>
      <c r="D6042">
        <f t="shared" si="1237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8"/>
        <v>0</v>
      </c>
      <c r="G6042">
        <f t="shared" si="1239"/>
        <v>0</v>
      </c>
      <c r="H6042">
        <f t="shared" si="1240"/>
        <v>0</v>
      </c>
      <c r="I6042">
        <f t="shared" si="1241"/>
        <v>0</v>
      </c>
      <c r="J6042">
        <f t="shared" si="1242"/>
        <v>0</v>
      </c>
      <c r="K6042" s="4" t="e">
        <f t="shared" si="1230"/>
        <v>#N/A</v>
      </c>
      <c r="L6042" t="e">
        <f t="shared" si="1231"/>
        <v>#N/A</v>
      </c>
      <c r="M6042" s="4" t="e">
        <f t="shared" si="1232"/>
        <v>#N/A</v>
      </c>
      <c r="N6042" s="4" t="e">
        <f t="shared" si="1233"/>
        <v>#N/A</v>
      </c>
    </row>
    <row r="6043" spans="1:14">
      <c r="A6043">
        <f t="shared" si="1234"/>
        <v>0</v>
      </c>
      <c r="B6043">
        <f t="shared" si="1235"/>
        <v>0</v>
      </c>
      <c r="C6043">
        <f t="shared" si="1236"/>
        <v>0</v>
      </c>
      <c r="D6043">
        <f t="shared" si="1237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8"/>
        <v>0</v>
      </c>
      <c r="G6043">
        <f t="shared" si="1239"/>
        <v>0</v>
      </c>
      <c r="H6043">
        <f t="shared" si="1240"/>
        <v>0</v>
      </c>
      <c r="I6043">
        <f t="shared" si="1241"/>
        <v>0</v>
      </c>
      <c r="J6043">
        <f t="shared" si="1242"/>
        <v>0</v>
      </c>
      <c r="K6043" s="4" t="e">
        <f t="shared" si="1230"/>
        <v>#N/A</v>
      </c>
      <c r="L6043" t="e">
        <f t="shared" si="1231"/>
        <v>#N/A</v>
      </c>
      <c r="M6043" s="4" t="e">
        <f t="shared" si="1232"/>
        <v>#N/A</v>
      </c>
      <c r="N6043" s="4" t="e">
        <f t="shared" si="1233"/>
        <v>#N/A</v>
      </c>
    </row>
    <row r="6044" spans="1:14">
      <c r="A6044">
        <f t="shared" si="1234"/>
        <v>0</v>
      </c>
      <c r="B6044">
        <f t="shared" si="1235"/>
        <v>0</v>
      </c>
      <c r="C6044">
        <f t="shared" si="1236"/>
        <v>0</v>
      </c>
      <c r="D6044">
        <f t="shared" si="1237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8"/>
        <v>0</v>
      </c>
      <c r="G6044">
        <f t="shared" si="1239"/>
        <v>0</v>
      </c>
      <c r="H6044">
        <f t="shared" si="1240"/>
        <v>0</v>
      </c>
      <c r="I6044">
        <f t="shared" si="1241"/>
        <v>0</v>
      </c>
      <c r="J6044">
        <f t="shared" si="1242"/>
        <v>0</v>
      </c>
      <c r="K6044" s="4" t="e">
        <f t="shared" si="1230"/>
        <v>#N/A</v>
      </c>
      <c r="L6044" t="e">
        <f t="shared" si="1231"/>
        <v>#N/A</v>
      </c>
      <c r="M6044" s="4" t="e">
        <f t="shared" si="1232"/>
        <v>#N/A</v>
      </c>
      <c r="N6044" s="4" t="e">
        <f t="shared" si="1233"/>
        <v>#N/A</v>
      </c>
    </row>
    <row r="6045" spans="1:14">
      <c r="A6045">
        <f t="shared" si="1234"/>
        <v>0</v>
      </c>
      <c r="B6045">
        <f t="shared" si="1235"/>
        <v>0</v>
      </c>
      <c r="C6045">
        <f t="shared" si="1236"/>
        <v>0</v>
      </c>
      <c r="D6045">
        <f t="shared" si="1237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8"/>
        <v>0</v>
      </c>
      <c r="G6045">
        <f t="shared" si="1239"/>
        <v>0</v>
      </c>
      <c r="H6045">
        <f t="shared" si="1240"/>
        <v>0</v>
      </c>
      <c r="I6045">
        <f t="shared" si="1241"/>
        <v>0</v>
      </c>
      <c r="J6045">
        <f t="shared" si="1242"/>
        <v>0</v>
      </c>
      <c r="K6045" s="4" t="e">
        <f t="shared" si="1230"/>
        <v>#N/A</v>
      </c>
      <c r="L6045" t="e">
        <f t="shared" si="1231"/>
        <v>#N/A</v>
      </c>
      <c r="M6045" s="4" t="e">
        <f t="shared" si="1232"/>
        <v>#N/A</v>
      </c>
      <c r="N6045" s="4" t="e">
        <f t="shared" si="1233"/>
        <v>#N/A</v>
      </c>
    </row>
    <row r="6046" spans="1:14">
      <c r="A6046">
        <f t="shared" si="1234"/>
        <v>0</v>
      </c>
      <c r="B6046">
        <f t="shared" si="1235"/>
        <v>0</v>
      </c>
      <c r="C6046">
        <f t="shared" si="1236"/>
        <v>0</v>
      </c>
      <c r="D6046">
        <f t="shared" si="1237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8"/>
        <v>0</v>
      </c>
      <c r="G6046">
        <f t="shared" si="1239"/>
        <v>0</v>
      </c>
      <c r="H6046">
        <f t="shared" si="1240"/>
        <v>0</v>
      </c>
      <c r="I6046">
        <f t="shared" si="1241"/>
        <v>0</v>
      </c>
      <c r="J6046">
        <f t="shared" si="1242"/>
        <v>0</v>
      </c>
      <c r="K6046" s="4" t="e">
        <f t="shared" si="1230"/>
        <v>#N/A</v>
      </c>
      <c r="L6046" t="e">
        <f t="shared" si="1231"/>
        <v>#N/A</v>
      </c>
      <c r="M6046" s="4" t="e">
        <f t="shared" si="1232"/>
        <v>#N/A</v>
      </c>
      <c r="N6046" s="4" t="e">
        <f t="shared" si="1233"/>
        <v>#N/A</v>
      </c>
    </row>
    <row r="6047" spans="1:14">
      <c r="A6047">
        <f t="shared" si="1234"/>
        <v>0</v>
      </c>
      <c r="B6047">
        <f t="shared" si="1235"/>
        <v>0</v>
      </c>
      <c r="C6047">
        <f t="shared" si="1236"/>
        <v>0</v>
      </c>
      <c r="D6047">
        <f t="shared" si="1237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8"/>
        <v>0</v>
      </c>
      <c r="G6047">
        <f t="shared" si="1239"/>
        <v>0</v>
      </c>
      <c r="H6047">
        <f t="shared" si="1240"/>
        <v>0</v>
      </c>
      <c r="I6047">
        <f t="shared" si="1241"/>
        <v>0</v>
      </c>
      <c r="J6047">
        <f t="shared" si="1242"/>
        <v>0</v>
      </c>
      <c r="K6047" s="4" t="e">
        <f t="shared" si="1230"/>
        <v>#N/A</v>
      </c>
      <c r="L6047" t="e">
        <f t="shared" si="1231"/>
        <v>#N/A</v>
      </c>
      <c r="M6047" s="4" t="e">
        <f t="shared" si="1232"/>
        <v>#N/A</v>
      </c>
      <c r="N6047" s="4" t="e">
        <f t="shared" si="1233"/>
        <v>#N/A</v>
      </c>
    </row>
    <row r="6048" spans="1:14">
      <c r="A6048">
        <f t="shared" si="1234"/>
        <v>0</v>
      </c>
      <c r="B6048">
        <f t="shared" si="1235"/>
        <v>0</v>
      </c>
      <c r="C6048">
        <f t="shared" si="1236"/>
        <v>0</v>
      </c>
      <c r="D6048">
        <f t="shared" si="1237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8"/>
        <v>0</v>
      </c>
      <c r="G6048">
        <f t="shared" si="1239"/>
        <v>0</v>
      </c>
      <c r="H6048">
        <f t="shared" si="1240"/>
        <v>0</v>
      </c>
      <c r="I6048">
        <f t="shared" si="1241"/>
        <v>0</v>
      </c>
      <c r="J6048">
        <f t="shared" si="1242"/>
        <v>0</v>
      </c>
      <c r="K6048" s="4" t="e">
        <f t="shared" si="1230"/>
        <v>#N/A</v>
      </c>
      <c r="L6048" t="e">
        <f t="shared" si="1231"/>
        <v>#N/A</v>
      </c>
      <c r="M6048" s="4" t="e">
        <f t="shared" si="1232"/>
        <v>#N/A</v>
      </c>
      <c r="N6048" s="4" t="e">
        <f t="shared" si="1233"/>
        <v>#N/A</v>
      </c>
    </row>
    <row r="6049" spans="1:14">
      <c r="A6049">
        <f t="shared" si="1234"/>
        <v>0</v>
      </c>
      <c r="B6049">
        <f t="shared" si="1235"/>
        <v>0</v>
      </c>
      <c r="C6049">
        <f t="shared" si="1236"/>
        <v>0</v>
      </c>
      <c r="D6049">
        <f t="shared" si="1237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8"/>
        <v>0</v>
      </c>
      <c r="G6049">
        <f t="shared" si="1239"/>
        <v>0</v>
      </c>
      <c r="H6049">
        <f t="shared" si="1240"/>
        <v>0</v>
      </c>
      <c r="I6049">
        <f t="shared" si="1241"/>
        <v>0</v>
      </c>
      <c r="J6049">
        <f t="shared" si="1242"/>
        <v>0</v>
      </c>
      <c r="K6049" s="4" t="e">
        <f t="shared" si="1230"/>
        <v>#N/A</v>
      </c>
      <c r="L6049" t="e">
        <f t="shared" si="1231"/>
        <v>#N/A</v>
      </c>
      <c r="M6049" s="4" t="e">
        <f t="shared" si="1232"/>
        <v>#N/A</v>
      </c>
      <c r="N6049" s="4" t="e">
        <f t="shared" si="1233"/>
        <v>#N/A</v>
      </c>
    </row>
    <row r="6050" spans="1:14">
      <c r="A6050">
        <f t="shared" si="1234"/>
        <v>0</v>
      </c>
      <c r="B6050">
        <f t="shared" si="1235"/>
        <v>0</v>
      </c>
      <c r="C6050">
        <f t="shared" si="1236"/>
        <v>0</v>
      </c>
      <c r="D6050">
        <f t="shared" si="1237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8"/>
        <v>0</v>
      </c>
      <c r="G6050">
        <f t="shared" si="1239"/>
        <v>0</v>
      </c>
      <c r="H6050">
        <f t="shared" si="1240"/>
        <v>0</v>
      </c>
      <c r="I6050">
        <f t="shared" si="1241"/>
        <v>0</v>
      </c>
      <c r="J6050">
        <f t="shared" si="1242"/>
        <v>0</v>
      </c>
      <c r="K6050" s="4" t="e">
        <f t="shared" si="1230"/>
        <v>#N/A</v>
      </c>
      <c r="L6050" t="e">
        <f t="shared" si="1231"/>
        <v>#N/A</v>
      </c>
      <c r="M6050" s="4" t="e">
        <f t="shared" si="1232"/>
        <v>#N/A</v>
      </c>
      <c r="N6050" s="4" t="e">
        <f t="shared" si="1233"/>
        <v>#N/A</v>
      </c>
    </row>
    <row r="6051" spans="1:14">
      <c r="A6051">
        <f t="shared" si="1234"/>
        <v>0</v>
      </c>
      <c r="B6051">
        <f t="shared" si="1235"/>
        <v>0</v>
      </c>
      <c r="C6051">
        <f t="shared" si="1236"/>
        <v>0</v>
      </c>
      <c r="D6051">
        <f t="shared" si="1237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8"/>
        <v>0</v>
      </c>
      <c r="G6051">
        <f t="shared" si="1239"/>
        <v>0</v>
      </c>
      <c r="H6051">
        <f t="shared" si="1240"/>
        <v>0</v>
      </c>
      <c r="I6051">
        <f t="shared" si="1241"/>
        <v>0</v>
      </c>
      <c r="J6051">
        <f t="shared" si="1242"/>
        <v>0</v>
      </c>
      <c r="K6051" s="4" t="e">
        <f t="shared" si="1230"/>
        <v>#N/A</v>
      </c>
      <c r="L6051" t="e">
        <f t="shared" si="1231"/>
        <v>#N/A</v>
      </c>
      <c r="M6051" s="4" t="e">
        <f t="shared" si="1232"/>
        <v>#N/A</v>
      </c>
      <c r="N6051" s="4" t="e">
        <f t="shared" si="1233"/>
        <v>#N/A</v>
      </c>
    </row>
    <row r="6052" spans="1:14">
      <c r="A6052">
        <f t="shared" si="1234"/>
        <v>0</v>
      </c>
      <c r="B6052">
        <f t="shared" si="1235"/>
        <v>0</v>
      </c>
      <c r="C6052">
        <f t="shared" si="1236"/>
        <v>0</v>
      </c>
      <c r="D6052">
        <f t="shared" si="1237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8"/>
        <v>0</v>
      </c>
      <c r="G6052">
        <f t="shared" si="1239"/>
        <v>0</v>
      </c>
      <c r="H6052">
        <f t="shared" si="1240"/>
        <v>0</v>
      </c>
      <c r="I6052">
        <f t="shared" si="1241"/>
        <v>0</v>
      </c>
      <c r="J6052">
        <f t="shared" si="1242"/>
        <v>0</v>
      </c>
      <c r="K6052" s="4" t="e">
        <f t="shared" si="1230"/>
        <v>#N/A</v>
      </c>
      <c r="L6052" t="e">
        <f t="shared" si="1231"/>
        <v>#N/A</v>
      </c>
      <c r="M6052" s="4" t="e">
        <f t="shared" si="1232"/>
        <v>#N/A</v>
      </c>
      <c r="N6052" s="4" t="e">
        <f t="shared" si="1233"/>
        <v>#N/A</v>
      </c>
    </row>
    <row r="6053" spans="1:14">
      <c r="A6053">
        <f t="shared" si="1234"/>
        <v>0</v>
      </c>
      <c r="B6053">
        <f t="shared" si="1235"/>
        <v>0</v>
      </c>
      <c r="C6053">
        <f t="shared" si="1236"/>
        <v>0</v>
      </c>
      <c r="D6053">
        <f t="shared" si="1237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8"/>
        <v>0</v>
      </c>
      <c r="G6053">
        <f t="shared" si="1239"/>
        <v>0</v>
      </c>
      <c r="H6053">
        <f t="shared" si="1240"/>
        <v>0</v>
      </c>
      <c r="I6053">
        <f t="shared" si="1241"/>
        <v>0</v>
      </c>
      <c r="J6053">
        <f t="shared" si="1242"/>
        <v>0</v>
      </c>
      <c r="K6053" s="4" t="e">
        <f t="shared" si="1230"/>
        <v>#N/A</v>
      </c>
      <c r="L6053" t="e">
        <f t="shared" si="1231"/>
        <v>#N/A</v>
      </c>
      <c r="M6053" s="4" t="e">
        <f t="shared" si="1232"/>
        <v>#N/A</v>
      </c>
      <c r="N6053" s="4" t="e">
        <f t="shared" si="1233"/>
        <v>#N/A</v>
      </c>
    </row>
    <row r="6054" spans="1:14">
      <c r="A6054">
        <f t="shared" si="1234"/>
        <v>0</v>
      </c>
      <c r="B6054">
        <f t="shared" si="1235"/>
        <v>0</v>
      </c>
      <c r="C6054">
        <f t="shared" si="1236"/>
        <v>0</v>
      </c>
      <c r="D6054">
        <f t="shared" si="1237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8"/>
        <v>0</v>
      </c>
      <c r="G6054">
        <f t="shared" si="1239"/>
        <v>0</v>
      </c>
      <c r="H6054">
        <f t="shared" si="1240"/>
        <v>0</v>
      </c>
      <c r="I6054">
        <f t="shared" si="1241"/>
        <v>0</v>
      </c>
      <c r="J6054">
        <f t="shared" si="1242"/>
        <v>0</v>
      </c>
      <c r="K6054" s="4" t="e">
        <f t="shared" si="1230"/>
        <v>#N/A</v>
      </c>
      <c r="L6054" t="e">
        <f t="shared" si="1231"/>
        <v>#N/A</v>
      </c>
      <c r="M6054" s="4" t="e">
        <f t="shared" si="1232"/>
        <v>#N/A</v>
      </c>
      <c r="N6054" s="4" t="e">
        <f t="shared" si="1233"/>
        <v>#N/A</v>
      </c>
    </row>
    <row r="6055" spans="1:14">
      <c r="A6055">
        <f t="shared" si="1234"/>
        <v>0</v>
      </c>
      <c r="B6055">
        <f t="shared" si="1235"/>
        <v>0</v>
      </c>
      <c r="C6055">
        <f t="shared" si="1236"/>
        <v>0</v>
      </c>
      <c r="D6055">
        <f t="shared" si="1237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8"/>
        <v>0</v>
      </c>
      <c r="G6055">
        <f t="shared" si="1239"/>
        <v>0</v>
      </c>
      <c r="H6055">
        <f t="shared" si="1240"/>
        <v>0</v>
      </c>
      <c r="I6055">
        <f t="shared" si="1241"/>
        <v>0</v>
      </c>
      <c r="J6055">
        <f t="shared" si="1242"/>
        <v>0</v>
      </c>
      <c r="K6055" s="4" t="e">
        <f t="shared" si="1230"/>
        <v>#N/A</v>
      </c>
      <c r="L6055" t="e">
        <f t="shared" si="1231"/>
        <v>#N/A</v>
      </c>
      <c r="M6055" s="4" t="e">
        <f t="shared" si="1232"/>
        <v>#N/A</v>
      </c>
      <c r="N6055" s="4" t="e">
        <f t="shared" si="1233"/>
        <v>#N/A</v>
      </c>
    </row>
    <row r="6056" spans="1:14">
      <c r="A6056">
        <f t="shared" si="1234"/>
        <v>0</v>
      </c>
      <c r="B6056">
        <f t="shared" si="1235"/>
        <v>0</v>
      </c>
      <c r="C6056">
        <f t="shared" si="1236"/>
        <v>0</v>
      </c>
      <c r="D6056">
        <f t="shared" si="1237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8"/>
        <v>0</v>
      </c>
      <c r="G6056">
        <f t="shared" si="1239"/>
        <v>0</v>
      </c>
      <c r="H6056">
        <f t="shared" si="1240"/>
        <v>0</v>
      </c>
      <c r="I6056">
        <f t="shared" si="1241"/>
        <v>0</v>
      </c>
      <c r="J6056">
        <f t="shared" si="1242"/>
        <v>0</v>
      </c>
      <c r="K6056" s="4" t="e">
        <f t="shared" si="1230"/>
        <v>#N/A</v>
      </c>
      <c r="L6056" t="e">
        <f t="shared" si="1231"/>
        <v>#N/A</v>
      </c>
      <c r="M6056" s="4" t="e">
        <f t="shared" si="1232"/>
        <v>#N/A</v>
      </c>
      <c r="N6056" s="4" t="e">
        <f t="shared" si="1233"/>
        <v>#N/A</v>
      </c>
    </row>
    <row r="6057" spans="1:14">
      <c r="A6057">
        <f t="shared" si="1234"/>
        <v>0</v>
      </c>
      <c r="B6057">
        <f t="shared" si="1235"/>
        <v>0</v>
      </c>
      <c r="C6057">
        <f t="shared" si="1236"/>
        <v>0</v>
      </c>
      <c r="D6057">
        <f t="shared" si="1237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8"/>
        <v>0</v>
      </c>
      <c r="G6057">
        <f t="shared" si="1239"/>
        <v>0</v>
      </c>
      <c r="H6057">
        <f t="shared" si="1240"/>
        <v>0</v>
      </c>
      <c r="I6057">
        <f t="shared" si="1241"/>
        <v>0</v>
      </c>
      <c r="J6057">
        <f t="shared" si="1242"/>
        <v>0</v>
      </c>
      <c r="K6057" s="4" t="e">
        <f t="shared" si="1230"/>
        <v>#N/A</v>
      </c>
      <c r="L6057" t="e">
        <f t="shared" si="1231"/>
        <v>#N/A</v>
      </c>
      <c r="M6057" s="4" t="e">
        <f t="shared" si="1232"/>
        <v>#N/A</v>
      </c>
      <c r="N6057" s="4" t="e">
        <f t="shared" si="1233"/>
        <v>#N/A</v>
      </c>
    </row>
    <row r="6058" spans="1:14">
      <c r="A6058">
        <f t="shared" si="1234"/>
        <v>0</v>
      </c>
      <c r="B6058">
        <f t="shared" si="1235"/>
        <v>0</v>
      </c>
      <c r="C6058">
        <f t="shared" si="1236"/>
        <v>0</v>
      </c>
      <c r="D6058">
        <f t="shared" si="1237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8"/>
        <v>0</v>
      </c>
      <c r="G6058">
        <f t="shared" si="1239"/>
        <v>0</v>
      </c>
      <c r="H6058">
        <f t="shared" si="1240"/>
        <v>0</v>
      </c>
      <c r="I6058">
        <f t="shared" si="1241"/>
        <v>0</v>
      </c>
      <c r="J6058">
        <f t="shared" si="1242"/>
        <v>0</v>
      </c>
      <c r="K6058" s="4" t="e">
        <f t="shared" si="1230"/>
        <v>#N/A</v>
      </c>
      <c r="L6058" t="e">
        <f t="shared" si="1231"/>
        <v>#N/A</v>
      </c>
      <c r="M6058" s="4" t="e">
        <f t="shared" si="1232"/>
        <v>#N/A</v>
      </c>
      <c r="N6058" s="4" t="e">
        <f t="shared" si="1233"/>
        <v>#N/A</v>
      </c>
    </row>
    <row r="6059" spans="1:14">
      <c r="A6059">
        <f t="shared" si="1234"/>
        <v>0</v>
      </c>
      <c r="B6059">
        <f t="shared" si="1235"/>
        <v>0</v>
      </c>
      <c r="C6059">
        <f t="shared" si="1236"/>
        <v>0</v>
      </c>
      <c r="D6059">
        <f t="shared" si="1237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8"/>
        <v>0</v>
      </c>
      <c r="G6059">
        <f t="shared" si="1239"/>
        <v>0</v>
      </c>
      <c r="H6059">
        <f t="shared" si="1240"/>
        <v>0</v>
      </c>
      <c r="I6059">
        <f t="shared" si="1241"/>
        <v>0</v>
      </c>
      <c r="J6059">
        <f t="shared" si="1242"/>
        <v>0</v>
      </c>
      <c r="K6059" s="4" t="e">
        <f t="shared" si="1230"/>
        <v>#N/A</v>
      </c>
      <c r="L6059" t="e">
        <f t="shared" si="1231"/>
        <v>#N/A</v>
      </c>
      <c r="M6059" s="4" t="e">
        <f t="shared" si="1232"/>
        <v>#N/A</v>
      </c>
      <c r="N6059" s="4" t="e">
        <f t="shared" si="1233"/>
        <v>#N/A</v>
      </c>
    </row>
    <row r="6060" spans="1:14">
      <c r="A6060">
        <f t="shared" si="1234"/>
        <v>0</v>
      </c>
      <c r="B6060">
        <f t="shared" si="1235"/>
        <v>0</v>
      </c>
      <c r="C6060">
        <f t="shared" si="1236"/>
        <v>0</v>
      </c>
      <c r="D6060">
        <f t="shared" si="1237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8"/>
        <v>0</v>
      </c>
      <c r="G6060">
        <f t="shared" si="1239"/>
        <v>0</v>
      </c>
      <c r="H6060">
        <f t="shared" si="1240"/>
        <v>0</v>
      </c>
      <c r="I6060">
        <f t="shared" si="1241"/>
        <v>0</v>
      </c>
      <c r="J6060">
        <f t="shared" si="1242"/>
        <v>0</v>
      </c>
      <c r="K6060" s="4" t="e">
        <f t="shared" si="1230"/>
        <v>#N/A</v>
      </c>
      <c r="L6060" t="e">
        <f t="shared" si="1231"/>
        <v>#N/A</v>
      </c>
      <c r="M6060" s="4" t="e">
        <f t="shared" si="1232"/>
        <v>#N/A</v>
      </c>
      <c r="N6060" s="4" t="e">
        <f t="shared" si="1233"/>
        <v>#N/A</v>
      </c>
    </row>
    <row r="6061" spans="1:14">
      <c r="A6061">
        <f t="shared" si="1234"/>
        <v>0</v>
      </c>
      <c r="B6061">
        <f t="shared" si="1235"/>
        <v>0</v>
      </c>
      <c r="C6061">
        <f t="shared" si="1236"/>
        <v>0</v>
      </c>
      <c r="D6061">
        <f t="shared" si="1237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8"/>
        <v>0</v>
      </c>
      <c r="G6061">
        <f t="shared" si="1239"/>
        <v>0</v>
      </c>
      <c r="H6061">
        <f t="shared" si="1240"/>
        <v>0</v>
      </c>
      <c r="I6061">
        <f t="shared" si="1241"/>
        <v>0</v>
      </c>
      <c r="J6061">
        <f t="shared" si="1242"/>
        <v>0</v>
      </c>
      <c r="K6061" s="4" t="e">
        <f t="shared" si="1230"/>
        <v>#N/A</v>
      </c>
      <c r="L6061" t="e">
        <f t="shared" si="1231"/>
        <v>#N/A</v>
      </c>
      <c r="M6061" s="4" t="e">
        <f t="shared" si="1232"/>
        <v>#N/A</v>
      </c>
      <c r="N6061" s="4" t="e">
        <f t="shared" si="1233"/>
        <v>#N/A</v>
      </c>
    </row>
    <row r="6062" spans="1:14">
      <c r="A6062">
        <f t="shared" si="1234"/>
        <v>0</v>
      </c>
      <c r="B6062">
        <f t="shared" si="1235"/>
        <v>0</v>
      </c>
      <c r="C6062">
        <f t="shared" si="1236"/>
        <v>0</v>
      </c>
      <c r="D6062">
        <f t="shared" si="1237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8"/>
        <v>0</v>
      </c>
      <c r="G6062">
        <f t="shared" si="1239"/>
        <v>0</v>
      </c>
      <c r="H6062">
        <f t="shared" si="1240"/>
        <v>0</v>
      </c>
      <c r="I6062">
        <f t="shared" si="1241"/>
        <v>0</v>
      </c>
      <c r="J6062">
        <f t="shared" si="1242"/>
        <v>0</v>
      </c>
      <c r="K6062" s="4" t="e">
        <f t="shared" si="1230"/>
        <v>#N/A</v>
      </c>
      <c r="L6062" t="e">
        <f t="shared" si="1231"/>
        <v>#N/A</v>
      </c>
      <c r="M6062" s="4" t="e">
        <f t="shared" si="1232"/>
        <v>#N/A</v>
      </c>
      <c r="N6062" s="4" t="e">
        <f t="shared" si="1233"/>
        <v>#N/A</v>
      </c>
    </row>
    <row r="6063" spans="1:14">
      <c r="A6063">
        <f t="shared" si="1234"/>
        <v>0</v>
      </c>
      <c r="B6063">
        <f t="shared" si="1235"/>
        <v>0</v>
      </c>
      <c r="C6063">
        <f t="shared" si="1236"/>
        <v>0</v>
      </c>
      <c r="D6063">
        <f t="shared" si="1237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8"/>
        <v>0</v>
      </c>
      <c r="G6063">
        <f t="shared" si="1239"/>
        <v>0</v>
      </c>
      <c r="H6063">
        <f t="shared" si="1240"/>
        <v>0</v>
      </c>
      <c r="I6063">
        <f t="shared" si="1241"/>
        <v>0</v>
      </c>
      <c r="J6063">
        <f t="shared" si="1242"/>
        <v>0</v>
      </c>
      <c r="K6063" s="4" t="e">
        <f t="shared" si="1230"/>
        <v>#N/A</v>
      </c>
      <c r="L6063" t="e">
        <f t="shared" si="1231"/>
        <v>#N/A</v>
      </c>
      <c r="M6063" s="4" t="e">
        <f t="shared" si="1232"/>
        <v>#N/A</v>
      </c>
      <c r="N6063" s="4" t="e">
        <f t="shared" si="1233"/>
        <v>#N/A</v>
      </c>
    </row>
    <row r="6064" spans="1:14">
      <c r="A6064">
        <f t="shared" si="1234"/>
        <v>0</v>
      </c>
      <c r="B6064">
        <f t="shared" si="1235"/>
        <v>0</v>
      </c>
      <c r="C6064">
        <f t="shared" si="1236"/>
        <v>0</v>
      </c>
      <c r="D6064">
        <f t="shared" si="1237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8"/>
        <v>0</v>
      </c>
      <c r="G6064">
        <f t="shared" si="1239"/>
        <v>0</v>
      </c>
      <c r="H6064">
        <f t="shared" si="1240"/>
        <v>0</v>
      </c>
      <c r="I6064">
        <f t="shared" si="1241"/>
        <v>0</v>
      </c>
      <c r="J6064">
        <f t="shared" si="1242"/>
        <v>0</v>
      </c>
      <c r="K6064" s="4" t="e">
        <f t="shared" si="1230"/>
        <v>#N/A</v>
      </c>
      <c r="L6064" t="e">
        <f t="shared" si="1231"/>
        <v>#N/A</v>
      </c>
      <c r="M6064" s="4" t="e">
        <f t="shared" si="1232"/>
        <v>#N/A</v>
      </c>
      <c r="N6064" s="4" t="e">
        <f t="shared" si="1233"/>
        <v>#N/A</v>
      </c>
    </row>
    <row r="6065" spans="1:14">
      <c r="A6065">
        <f t="shared" si="1234"/>
        <v>0</v>
      </c>
      <c r="B6065">
        <f t="shared" si="1235"/>
        <v>0</v>
      </c>
      <c r="C6065">
        <f t="shared" si="1236"/>
        <v>0</v>
      </c>
      <c r="D6065">
        <f t="shared" si="1237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8"/>
        <v>0</v>
      </c>
      <c r="G6065">
        <f t="shared" si="1239"/>
        <v>0</v>
      </c>
      <c r="H6065">
        <f t="shared" si="1240"/>
        <v>0</v>
      </c>
      <c r="I6065">
        <f t="shared" si="1241"/>
        <v>0</v>
      </c>
      <c r="J6065">
        <f t="shared" si="1242"/>
        <v>0</v>
      </c>
      <c r="K6065" s="4" t="e">
        <f t="shared" si="1230"/>
        <v>#N/A</v>
      </c>
      <c r="L6065" t="e">
        <f t="shared" si="1231"/>
        <v>#N/A</v>
      </c>
      <c r="M6065" s="4" t="e">
        <f t="shared" si="1232"/>
        <v>#N/A</v>
      </c>
      <c r="N6065" s="4" t="e">
        <f t="shared" si="1233"/>
        <v>#N/A</v>
      </c>
    </row>
    <row r="6066" spans="1:14">
      <c r="A6066">
        <f t="shared" si="1234"/>
        <v>0</v>
      </c>
      <c r="B6066">
        <f t="shared" si="1235"/>
        <v>0</v>
      </c>
      <c r="C6066">
        <f t="shared" si="1236"/>
        <v>0</v>
      </c>
      <c r="D6066">
        <f t="shared" si="1237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8"/>
        <v>0</v>
      </c>
      <c r="G6066">
        <f t="shared" si="1239"/>
        <v>0</v>
      </c>
      <c r="H6066">
        <f t="shared" si="1240"/>
        <v>0</v>
      </c>
      <c r="I6066">
        <f t="shared" si="1241"/>
        <v>0</v>
      </c>
      <c r="J6066">
        <f t="shared" si="1242"/>
        <v>0</v>
      </c>
      <c r="K6066" s="4" t="e">
        <f t="shared" si="1230"/>
        <v>#N/A</v>
      </c>
      <c r="L6066" t="e">
        <f t="shared" si="1231"/>
        <v>#N/A</v>
      </c>
      <c r="M6066" s="4" t="e">
        <f t="shared" si="1232"/>
        <v>#N/A</v>
      </c>
      <c r="N6066" s="4" t="e">
        <f t="shared" si="1233"/>
        <v>#N/A</v>
      </c>
    </row>
    <row r="6067" spans="1:14">
      <c r="A6067">
        <f t="shared" si="1234"/>
        <v>0</v>
      </c>
      <c r="B6067">
        <f t="shared" si="1235"/>
        <v>0</v>
      </c>
      <c r="C6067">
        <f t="shared" si="1236"/>
        <v>0</v>
      </c>
      <c r="D6067">
        <f t="shared" si="1237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8"/>
        <v>0</v>
      </c>
      <c r="G6067">
        <f t="shared" si="1239"/>
        <v>0</v>
      </c>
      <c r="H6067">
        <f t="shared" si="1240"/>
        <v>0</v>
      </c>
      <c r="I6067">
        <f t="shared" si="1241"/>
        <v>0</v>
      </c>
      <c r="J6067">
        <f t="shared" si="1242"/>
        <v>0</v>
      </c>
      <c r="K6067" s="4" t="e">
        <f t="shared" si="1230"/>
        <v>#N/A</v>
      </c>
      <c r="L6067" t="e">
        <f t="shared" si="1231"/>
        <v>#N/A</v>
      </c>
      <c r="M6067" s="4" t="e">
        <f t="shared" si="1232"/>
        <v>#N/A</v>
      </c>
      <c r="N6067" s="4" t="e">
        <f t="shared" si="1233"/>
        <v>#N/A</v>
      </c>
    </row>
    <row r="6068" spans="1:14">
      <c r="A6068">
        <f t="shared" si="1234"/>
        <v>0</v>
      </c>
      <c r="B6068">
        <f t="shared" si="1235"/>
        <v>0</v>
      </c>
      <c r="C6068">
        <f t="shared" si="1236"/>
        <v>0</v>
      </c>
      <c r="D6068">
        <f t="shared" si="1237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8"/>
        <v>0</v>
      </c>
      <c r="G6068">
        <f t="shared" si="1239"/>
        <v>0</v>
      </c>
      <c r="H6068">
        <f t="shared" si="1240"/>
        <v>0</v>
      </c>
      <c r="I6068">
        <f t="shared" si="1241"/>
        <v>0</v>
      </c>
      <c r="J6068">
        <f t="shared" si="1242"/>
        <v>0</v>
      </c>
      <c r="K6068" s="4" t="e">
        <f t="shared" si="1230"/>
        <v>#N/A</v>
      </c>
      <c r="L6068" t="e">
        <f t="shared" si="1231"/>
        <v>#N/A</v>
      </c>
      <c r="M6068" s="4" t="e">
        <f t="shared" si="1232"/>
        <v>#N/A</v>
      </c>
      <c r="N6068" s="4" t="e">
        <f t="shared" si="1233"/>
        <v>#N/A</v>
      </c>
    </row>
    <row r="6069" spans="1:14">
      <c r="A6069">
        <f t="shared" si="1234"/>
        <v>0</v>
      </c>
      <c r="B6069">
        <f t="shared" si="1235"/>
        <v>0</v>
      </c>
      <c r="C6069">
        <f t="shared" si="1236"/>
        <v>0</v>
      </c>
      <c r="D6069">
        <f t="shared" si="1237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8"/>
        <v>0</v>
      </c>
      <c r="G6069">
        <f t="shared" si="1239"/>
        <v>0</v>
      </c>
      <c r="H6069">
        <f t="shared" si="1240"/>
        <v>0</v>
      </c>
      <c r="I6069">
        <f t="shared" si="1241"/>
        <v>0</v>
      </c>
      <c r="J6069">
        <f t="shared" si="1242"/>
        <v>0</v>
      </c>
      <c r="K6069" s="4" t="e">
        <f t="shared" si="1230"/>
        <v>#N/A</v>
      </c>
      <c r="L6069" t="e">
        <f t="shared" si="1231"/>
        <v>#N/A</v>
      </c>
      <c r="M6069" s="4" t="e">
        <f t="shared" si="1232"/>
        <v>#N/A</v>
      </c>
      <c r="N6069" s="4" t="e">
        <f t="shared" si="1233"/>
        <v>#N/A</v>
      </c>
    </row>
    <row r="6070" spans="1:14">
      <c r="A6070">
        <f t="shared" si="1234"/>
        <v>0</v>
      </c>
      <c r="B6070">
        <f t="shared" si="1235"/>
        <v>0</v>
      </c>
      <c r="C6070">
        <f t="shared" si="1236"/>
        <v>0</v>
      </c>
      <c r="D6070">
        <f t="shared" si="1237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8"/>
        <v>0</v>
      </c>
      <c r="G6070">
        <f t="shared" si="1239"/>
        <v>0</v>
      </c>
      <c r="H6070">
        <f t="shared" si="1240"/>
        <v>0</v>
      </c>
      <c r="I6070">
        <f t="shared" si="1241"/>
        <v>0</v>
      </c>
      <c r="J6070">
        <f t="shared" si="1242"/>
        <v>0</v>
      </c>
      <c r="K6070" s="4" t="e">
        <f t="shared" si="1230"/>
        <v>#N/A</v>
      </c>
      <c r="L6070" t="e">
        <f t="shared" si="1231"/>
        <v>#N/A</v>
      </c>
      <c r="M6070" s="4" t="e">
        <f t="shared" si="1232"/>
        <v>#N/A</v>
      </c>
      <c r="N6070" s="4" t="e">
        <f t="shared" si="1233"/>
        <v>#N/A</v>
      </c>
    </row>
    <row r="6071" spans="1:14">
      <c r="A6071">
        <f t="shared" si="1234"/>
        <v>0</v>
      </c>
      <c r="B6071">
        <f t="shared" si="1235"/>
        <v>0</v>
      </c>
      <c r="C6071">
        <f t="shared" si="1236"/>
        <v>0</v>
      </c>
      <c r="D6071">
        <f t="shared" si="1237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8"/>
        <v>0</v>
      </c>
      <c r="G6071">
        <f t="shared" si="1239"/>
        <v>0</v>
      </c>
      <c r="H6071">
        <f t="shared" si="1240"/>
        <v>0</v>
      </c>
      <c r="I6071">
        <f t="shared" si="1241"/>
        <v>0</v>
      </c>
      <c r="J6071">
        <f t="shared" si="1242"/>
        <v>0</v>
      </c>
      <c r="K6071" s="4" t="e">
        <f t="shared" si="1230"/>
        <v>#N/A</v>
      </c>
      <c r="L6071" t="e">
        <f t="shared" si="1231"/>
        <v>#N/A</v>
      </c>
      <c r="M6071" s="4" t="e">
        <f t="shared" si="1232"/>
        <v>#N/A</v>
      </c>
      <c r="N6071" s="4" t="e">
        <f t="shared" si="1233"/>
        <v>#N/A</v>
      </c>
    </row>
    <row r="6072" spans="1:14">
      <c r="A6072">
        <f t="shared" si="1234"/>
        <v>0</v>
      </c>
      <c r="B6072">
        <f t="shared" si="1235"/>
        <v>0</v>
      </c>
      <c r="C6072">
        <f t="shared" si="1236"/>
        <v>0</v>
      </c>
      <c r="D6072">
        <f t="shared" si="1237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8"/>
        <v>0</v>
      </c>
      <c r="G6072">
        <f t="shared" si="1239"/>
        <v>0</v>
      </c>
      <c r="H6072">
        <f t="shared" si="1240"/>
        <v>0</v>
      </c>
      <c r="I6072">
        <f t="shared" si="1241"/>
        <v>0</v>
      </c>
      <c r="J6072">
        <f t="shared" si="1242"/>
        <v>0</v>
      </c>
      <c r="K6072" s="4" t="e">
        <f t="shared" si="1230"/>
        <v>#N/A</v>
      </c>
      <c r="L6072" t="e">
        <f t="shared" si="1231"/>
        <v>#N/A</v>
      </c>
      <c r="M6072" s="4" t="e">
        <f t="shared" si="1232"/>
        <v>#N/A</v>
      </c>
      <c r="N6072" s="4" t="e">
        <f t="shared" si="1233"/>
        <v>#N/A</v>
      </c>
    </row>
    <row r="6073" spans="1:14">
      <c r="A6073">
        <f t="shared" si="1234"/>
        <v>0</v>
      </c>
      <c r="B6073">
        <f t="shared" si="1235"/>
        <v>0</v>
      </c>
      <c r="C6073">
        <f t="shared" si="1236"/>
        <v>0</v>
      </c>
      <c r="D6073">
        <f t="shared" si="1237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8"/>
        <v>0</v>
      </c>
      <c r="G6073">
        <f t="shared" si="1239"/>
        <v>0</v>
      </c>
      <c r="H6073">
        <f t="shared" si="1240"/>
        <v>0</v>
      </c>
      <c r="I6073">
        <f t="shared" si="1241"/>
        <v>0</v>
      </c>
      <c r="J6073">
        <f t="shared" si="1242"/>
        <v>0</v>
      </c>
      <c r="K6073" s="4" t="e">
        <f t="shared" si="1230"/>
        <v>#N/A</v>
      </c>
      <c r="L6073" t="e">
        <f t="shared" si="1231"/>
        <v>#N/A</v>
      </c>
      <c r="M6073" s="4" t="e">
        <f t="shared" si="1232"/>
        <v>#N/A</v>
      </c>
      <c r="N6073" s="4" t="e">
        <f t="shared" si="1233"/>
        <v>#N/A</v>
      </c>
    </row>
    <row r="6074" spans="1:14">
      <c r="A6074">
        <f t="shared" si="1234"/>
        <v>0</v>
      </c>
      <c r="B6074">
        <f t="shared" si="1235"/>
        <v>0</v>
      </c>
      <c r="C6074">
        <f t="shared" si="1236"/>
        <v>0</v>
      </c>
      <c r="D6074">
        <f t="shared" si="1237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8"/>
        <v>0</v>
      </c>
      <c r="G6074">
        <f t="shared" si="1239"/>
        <v>0</v>
      </c>
      <c r="H6074">
        <f t="shared" si="1240"/>
        <v>0</v>
      </c>
      <c r="I6074">
        <f t="shared" si="1241"/>
        <v>0</v>
      </c>
      <c r="J6074">
        <f t="shared" si="1242"/>
        <v>0</v>
      </c>
      <c r="K6074" s="4" t="e">
        <f t="shared" si="1230"/>
        <v>#N/A</v>
      </c>
      <c r="L6074" t="e">
        <f t="shared" si="1231"/>
        <v>#N/A</v>
      </c>
      <c r="M6074" s="4" t="e">
        <f t="shared" si="1232"/>
        <v>#N/A</v>
      </c>
      <c r="N6074" s="4" t="e">
        <f t="shared" si="1233"/>
        <v>#N/A</v>
      </c>
    </row>
    <row r="6075" spans="1:14">
      <c r="A6075">
        <f t="shared" si="1234"/>
        <v>0</v>
      </c>
      <c r="B6075">
        <f t="shared" si="1235"/>
        <v>0</v>
      </c>
      <c r="C6075">
        <f t="shared" si="1236"/>
        <v>0</v>
      </c>
      <c r="D6075">
        <f t="shared" si="1237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8"/>
        <v>0</v>
      </c>
      <c r="G6075">
        <f t="shared" si="1239"/>
        <v>0</v>
      </c>
      <c r="H6075">
        <f t="shared" si="1240"/>
        <v>0</v>
      </c>
      <c r="I6075">
        <f t="shared" si="1241"/>
        <v>0</v>
      </c>
      <c r="J6075">
        <f t="shared" si="1242"/>
        <v>0</v>
      </c>
      <c r="K6075" s="4" t="e">
        <f t="shared" si="1230"/>
        <v>#N/A</v>
      </c>
      <c r="L6075" t="e">
        <f t="shared" si="1231"/>
        <v>#N/A</v>
      </c>
      <c r="M6075" s="4" t="e">
        <f t="shared" si="1232"/>
        <v>#N/A</v>
      </c>
      <c r="N6075" s="4" t="e">
        <f t="shared" si="1233"/>
        <v>#N/A</v>
      </c>
    </row>
    <row r="6076" spans="1:14">
      <c r="A6076">
        <f t="shared" si="1234"/>
        <v>0</v>
      </c>
      <c r="B6076">
        <f t="shared" si="1235"/>
        <v>0</v>
      </c>
      <c r="C6076">
        <f t="shared" si="1236"/>
        <v>0</v>
      </c>
      <c r="D6076">
        <f t="shared" si="1237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8"/>
        <v>0</v>
      </c>
      <c r="G6076">
        <f t="shared" si="1239"/>
        <v>0</v>
      </c>
      <c r="H6076">
        <f t="shared" si="1240"/>
        <v>0</v>
      </c>
      <c r="I6076">
        <f t="shared" si="1241"/>
        <v>0</v>
      </c>
      <c r="J6076">
        <f t="shared" si="1242"/>
        <v>0</v>
      </c>
      <c r="K6076" s="4" t="e">
        <f t="shared" si="1230"/>
        <v>#N/A</v>
      </c>
      <c r="L6076" t="e">
        <f t="shared" si="1231"/>
        <v>#N/A</v>
      </c>
      <c r="M6076" s="4" t="e">
        <f t="shared" si="1232"/>
        <v>#N/A</v>
      </c>
      <c r="N6076" s="4" t="e">
        <f t="shared" si="1233"/>
        <v>#N/A</v>
      </c>
    </row>
    <row r="6077" spans="1:14">
      <c r="A6077">
        <f t="shared" si="1234"/>
        <v>0</v>
      </c>
      <c r="B6077">
        <f t="shared" si="1235"/>
        <v>0</v>
      </c>
      <c r="C6077">
        <f t="shared" si="1236"/>
        <v>0</v>
      </c>
      <c r="D6077">
        <f t="shared" si="1237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8"/>
        <v>0</v>
      </c>
      <c r="G6077">
        <f t="shared" si="1239"/>
        <v>0</v>
      </c>
      <c r="H6077">
        <f t="shared" si="1240"/>
        <v>0</v>
      </c>
      <c r="I6077">
        <f t="shared" si="1241"/>
        <v>0</v>
      </c>
      <c r="J6077">
        <f t="shared" si="1242"/>
        <v>0</v>
      </c>
      <c r="K6077" s="4" t="e">
        <f t="shared" ref="K6077:K6140" si="1243">IF(LEFT(B6077,3)="DBM",0,VLOOKUP(E6077,tabela,2,FALSE))</f>
        <v>#N/A</v>
      </c>
      <c r="L6077" t="e">
        <f t="shared" ref="L6077:L6140" si="1244">VLOOKUP(E6077,tabela,3,FALSE)</f>
        <v>#N/A</v>
      </c>
      <c r="M6077" s="4" t="e">
        <f t="shared" ref="M6077:M6140" si="1245">IF(E6077="Dynamic Click",J6077*K6077,K6077*$I6077/1000)</f>
        <v>#N/A</v>
      </c>
      <c r="N6077" s="4" t="e">
        <f t="shared" ref="N6077:N6140" si="1246">IF(E6077="Dynamic Click",J6077*L6077,L6077*$I6077/1000)</f>
        <v>#N/A</v>
      </c>
    </row>
    <row r="6078" spans="1:14">
      <c r="A6078">
        <f t="shared" si="1234"/>
        <v>0</v>
      </c>
      <c r="B6078">
        <f t="shared" si="1235"/>
        <v>0</v>
      </c>
      <c r="C6078">
        <f t="shared" si="1236"/>
        <v>0</v>
      </c>
      <c r="D6078">
        <f t="shared" si="1237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8"/>
        <v>0</v>
      </c>
      <c r="G6078">
        <f t="shared" si="1239"/>
        <v>0</v>
      </c>
      <c r="H6078">
        <f t="shared" si="1240"/>
        <v>0</v>
      </c>
      <c r="I6078">
        <f t="shared" si="1241"/>
        <v>0</v>
      </c>
      <c r="J6078">
        <f t="shared" si="1242"/>
        <v>0</v>
      </c>
      <c r="K6078" s="4" t="e">
        <f t="shared" si="1243"/>
        <v>#N/A</v>
      </c>
      <c r="L6078" t="e">
        <f t="shared" si="1244"/>
        <v>#N/A</v>
      </c>
      <c r="M6078" s="4" t="e">
        <f t="shared" si="1245"/>
        <v>#N/A</v>
      </c>
      <c r="N6078" s="4" t="e">
        <f t="shared" si="1246"/>
        <v>#N/A</v>
      </c>
    </row>
    <row r="6079" spans="1:14">
      <c r="A6079">
        <f t="shared" si="1234"/>
        <v>0</v>
      </c>
      <c r="B6079">
        <f t="shared" si="1235"/>
        <v>0</v>
      </c>
      <c r="C6079">
        <f t="shared" si="1236"/>
        <v>0</v>
      </c>
      <c r="D6079">
        <f t="shared" si="1237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8"/>
        <v>0</v>
      </c>
      <c r="G6079">
        <f t="shared" si="1239"/>
        <v>0</v>
      </c>
      <c r="H6079">
        <f t="shared" si="1240"/>
        <v>0</v>
      </c>
      <c r="I6079">
        <f t="shared" si="1241"/>
        <v>0</v>
      </c>
      <c r="J6079">
        <f t="shared" si="1242"/>
        <v>0</v>
      </c>
      <c r="K6079" s="4" t="e">
        <f t="shared" si="1243"/>
        <v>#N/A</v>
      </c>
      <c r="L6079" t="e">
        <f t="shared" si="1244"/>
        <v>#N/A</v>
      </c>
      <c r="M6079" s="4" t="e">
        <f t="shared" si="1245"/>
        <v>#N/A</v>
      </c>
      <c r="N6079" s="4" t="e">
        <f t="shared" si="1246"/>
        <v>#N/A</v>
      </c>
    </row>
    <row r="6080" spans="1:14">
      <c r="A6080">
        <f t="shared" si="1234"/>
        <v>0</v>
      </c>
      <c r="B6080">
        <f t="shared" si="1235"/>
        <v>0</v>
      </c>
      <c r="C6080">
        <f t="shared" si="1236"/>
        <v>0</v>
      </c>
      <c r="D6080">
        <f t="shared" si="1237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8"/>
        <v>0</v>
      </c>
      <c r="G6080">
        <f t="shared" si="1239"/>
        <v>0</v>
      </c>
      <c r="H6080">
        <f t="shared" si="1240"/>
        <v>0</v>
      </c>
      <c r="I6080">
        <f t="shared" si="1241"/>
        <v>0</v>
      </c>
      <c r="J6080">
        <f t="shared" si="1242"/>
        <v>0</v>
      </c>
      <c r="K6080" s="4" t="e">
        <f t="shared" si="1243"/>
        <v>#N/A</v>
      </c>
      <c r="L6080" t="e">
        <f t="shared" si="1244"/>
        <v>#N/A</v>
      </c>
      <c r="M6080" s="4" t="e">
        <f t="shared" si="1245"/>
        <v>#N/A</v>
      </c>
      <c r="N6080" s="4" t="e">
        <f t="shared" si="1246"/>
        <v>#N/A</v>
      </c>
    </row>
    <row r="6081" spans="1:14">
      <c r="A6081">
        <f t="shared" si="1234"/>
        <v>0</v>
      </c>
      <c r="B6081">
        <f t="shared" si="1235"/>
        <v>0</v>
      </c>
      <c r="C6081">
        <f t="shared" si="1236"/>
        <v>0</v>
      </c>
      <c r="D6081">
        <f t="shared" si="1237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8"/>
        <v>0</v>
      </c>
      <c r="G6081">
        <f t="shared" si="1239"/>
        <v>0</v>
      </c>
      <c r="H6081">
        <f t="shared" si="1240"/>
        <v>0</v>
      </c>
      <c r="I6081">
        <f t="shared" si="1241"/>
        <v>0</v>
      </c>
      <c r="J6081">
        <f t="shared" si="1242"/>
        <v>0</v>
      </c>
      <c r="K6081" s="4" t="e">
        <f t="shared" si="1243"/>
        <v>#N/A</v>
      </c>
      <c r="L6081" t="e">
        <f t="shared" si="1244"/>
        <v>#N/A</v>
      </c>
      <c r="M6081" s="4" t="e">
        <f t="shared" si="1245"/>
        <v>#N/A</v>
      </c>
      <c r="N6081" s="4" t="e">
        <f t="shared" si="1246"/>
        <v>#N/A</v>
      </c>
    </row>
    <row r="6082" spans="1:14">
      <c r="A6082">
        <f t="shared" ref="A6082:A6145" si="1247">bd_campaign</f>
        <v>0</v>
      </c>
      <c r="B6082">
        <f t="shared" ref="B6082:B6145" si="1248">bd_site</f>
        <v>0</v>
      </c>
      <c r="C6082">
        <f t="shared" ref="C6082:C6145" si="1249">bd_placement</f>
        <v>0</v>
      </c>
      <c r="D6082">
        <f t="shared" ref="D6082:D6145" si="1250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51">bd_ad</f>
        <v>0</v>
      </c>
      <c r="G6082">
        <f t="shared" ref="G6082:G6145" si="1252">bd_adid</f>
        <v>0</v>
      </c>
      <c r="H6082">
        <f t="shared" ref="H6082:H6145" si="1253">bd_creativetype</f>
        <v>0</v>
      </c>
      <c r="I6082">
        <f t="shared" ref="I6082:I6145" si="1254">bd_impression</f>
        <v>0</v>
      </c>
      <c r="J6082">
        <f t="shared" ref="J6082:J6145" si="1255">bd_clicks</f>
        <v>0</v>
      </c>
      <c r="K6082" s="4" t="e">
        <f t="shared" si="1243"/>
        <v>#N/A</v>
      </c>
      <c r="L6082" t="e">
        <f t="shared" si="1244"/>
        <v>#N/A</v>
      </c>
      <c r="M6082" s="4" t="e">
        <f t="shared" si="1245"/>
        <v>#N/A</v>
      </c>
      <c r="N6082" s="4" t="e">
        <f t="shared" si="1246"/>
        <v>#N/A</v>
      </c>
    </row>
    <row r="6083" spans="1:14">
      <c r="A6083">
        <f t="shared" si="1247"/>
        <v>0</v>
      </c>
      <c r="B6083">
        <f t="shared" si="1248"/>
        <v>0</v>
      </c>
      <c r="C6083">
        <f t="shared" si="1249"/>
        <v>0</v>
      </c>
      <c r="D6083">
        <f t="shared" si="1250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51"/>
        <v>0</v>
      </c>
      <c r="G6083">
        <f t="shared" si="1252"/>
        <v>0</v>
      </c>
      <c r="H6083">
        <f t="shared" si="1253"/>
        <v>0</v>
      </c>
      <c r="I6083">
        <f t="shared" si="1254"/>
        <v>0</v>
      </c>
      <c r="J6083">
        <f t="shared" si="1255"/>
        <v>0</v>
      </c>
      <c r="K6083" s="4" t="e">
        <f t="shared" si="1243"/>
        <v>#N/A</v>
      </c>
      <c r="L6083" t="e">
        <f t="shared" si="1244"/>
        <v>#N/A</v>
      </c>
      <c r="M6083" s="4" t="e">
        <f t="shared" si="1245"/>
        <v>#N/A</v>
      </c>
      <c r="N6083" s="4" t="e">
        <f t="shared" si="1246"/>
        <v>#N/A</v>
      </c>
    </row>
    <row r="6084" spans="1:14">
      <c r="A6084">
        <f t="shared" si="1247"/>
        <v>0</v>
      </c>
      <c r="B6084">
        <f t="shared" si="1248"/>
        <v>0</v>
      </c>
      <c r="C6084">
        <f t="shared" si="1249"/>
        <v>0</v>
      </c>
      <c r="D6084">
        <f t="shared" si="1250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51"/>
        <v>0</v>
      </c>
      <c r="G6084">
        <f t="shared" si="1252"/>
        <v>0</v>
      </c>
      <c r="H6084">
        <f t="shared" si="1253"/>
        <v>0</v>
      </c>
      <c r="I6084">
        <f t="shared" si="1254"/>
        <v>0</v>
      </c>
      <c r="J6084">
        <f t="shared" si="1255"/>
        <v>0</v>
      </c>
      <c r="K6084" s="4" t="e">
        <f t="shared" si="1243"/>
        <v>#N/A</v>
      </c>
      <c r="L6084" t="e">
        <f t="shared" si="1244"/>
        <v>#N/A</v>
      </c>
      <c r="M6084" s="4" t="e">
        <f t="shared" si="1245"/>
        <v>#N/A</v>
      </c>
      <c r="N6084" s="4" t="e">
        <f t="shared" si="1246"/>
        <v>#N/A</v>
      </c>
    </row>
    <row r="6085" spans="1:14">
      <c r="A6085">
        <f t="shared" si="1247"/>
        <v>0</v>
      </c>
      <c r="B6085">
        <f t="shared" si="1248"/>
        <v>0</v>
      </c>
      <c r="C6085">
        <f t="shared" si="1249"/>
        <v>0</v>
      </c>
      <c r="D6085">
        <f t="shared" si="1250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51"/>
        <v>0</v>
      </c>
      <c r="G6085">
        <f t="shared" si="1252"/>
        <v>0</v>
      </c>
      <c r="H6085">
        <f t="shared" si="1253"/>
        <v>0</v>
      </c>
      <c r="I6085">
        <f t="shared" si="1254"/>
        <v>0</v>
      </c>
      <c r="J6085">
        <f t="shared" si="1255"/>
        <v>0</v>
      </c>
      <c r="K6085" s="4" t="e">
        <f t="shared" si="1243"/>
        <v>#N/A</v>
      </c>
      <c r="L6085" t="e">
        <f t="shared" si="1244"/>
        <v>#N/A</v>
      </c>
      <c r="M6085" s="4" t="e">
        <f t="shared" si="1245"/>
        <v>#N/A</v>
      </c>
      <c r="N6085" s="4" t="e">
        <f t="shared" si="1246"/>
        <v>#N/A</v>
      </c>
    </row>
    <row r="6086" spans="1:14">
      <c r="A6086">
        <f t="shared" si="1247"/>
        <v>0</v>
      </c>
      <c r="B6086">
        <f t="shared" si="1248"/>
        <v>0</v>
      </c>
      <c r="C6086">
        <f t="shared" si="1249"/>
        <v>0</v>
      </c>
      <c r="D6086">
        <f t="shared" si="1250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51"/>
        <v>0</v>
      </c>
      <c r="G6086">
        <f t="shared" si="1252"/>
        <v>0</v>
      </c>
      <c r="H6086">
        <f t="shared" si="1253"/>
        <v>0</v>
      </c>
      <c r="I6086">
        <f t="shared" si="1254"/>
        <v>0</v>
      </c>
      <c r="J6086">
        <f t="shared" si="1255"/>
        <v>0</v>
      </c>
      <c r="K6086" s="4" t="e">
        <f t="shared" si="1243"/>
        <v>#N/A</v>
      </c>
      <c r="L6086" t="e">
        <f t="shared" si="1244"/>
        <v>#N/A</v>
      </c>
      <c r="M6086" s="4" t="e">
        <f t="shared" si="1245"/>
        <v>#N/A</v>
      </c>
      <c r="N6086" s="4" t="e">
        <f t="shared" si="1246"/>
        <v>#N/A</v>
      </c>
    </row>
    <row r="6087" spans="1:14">
      <c r="A6087">
        <f t="shared" si="1247"/>
        <v>0</v>
      </c>
      <c r="B6087">
        <f t="shared" si="1248"/>
        <v>0</v>
      </c>
      <c r="C6087">
        <f t="shared" si="1249"/>
        <v>0</v>
      </c>
      <c r="D6087">
        <f t="shared" si="1250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51"/>
        <v>0</v>
      </c>
      <c r="G6087">
        <f t="shared" si="1252"/>
        <v>0</v>
      </c>
      <c r="H6087">
        <f t="shared" si="1253"/>
        <v>0</v>
      </c>
      <c r="I6087">
        <f t="shared" si="1254"/>
        <v>0</v>
      </c>
      <c r="J6087">
        <f t="shared" si="1255"/>
        <v>0</v>
      </c>
      <c r="K6087" s="4" t="e">
        <f t="shared" si="1243"/>
        <v>#N/A</v>
      </c>
      <c r="L6087" t="e">
        <f t="shared" si="1244"/>
        <v>#N/A</v>
      </c>
      <c r="M6087" s="4" t="e">
        <f t="shared" si="1245"/>
        <v>#N/A</v>
      </c>
      <c r="N6087" s="4" t="e">
        <f t="shared" si="1246"/>
        <v>#N/A</v>
      </c>
    </row>
    <row r="6088" spans="1:14">
      <c r="A6088">
        <f t="shared" si="1247"/>
        <v>0</v>
      </c>
      <c r="B6088">
        <f t="shared" si="1248"/>
        <v>0</v>
      </c>
      <c r="C6088">
        <f t="shared" si="1249"/>
        <v>0</v>
      </c>
      <c r="D6088">
        <f t="shared" si="1250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51"/>
        <v>0</v>
      </c>
      <c r="G6088">
        <f t="shared" si="1252"/>
        <v>0</v>
      </c>
      <c r="H6088">
        <f t="shared" si="1253"/>
        <v>0</v>
      </c>
      <c r="I6088">
        <f t="shared" si="1254"/>
        <v>0</v>
      </c>
      <c r="J6088">
        <f t="shared" si="1255"/>
        <v>0</v>
      </c>
      <c r="K6088" s="4" t="e">
        <f t="shared" si="1243"/>
        <v>#N/A</v>
      </c>
      <c r="L6088" t="e">
        <f t="shared" si="1244"/>
        <v>#N/A</v>
      </c>
      <c r="M6088" s="4" t="e">
        <f t="shared" si="1245"/>
        <v>#N/A</v>
      </c>
      <c r="N6088" s="4" t="e">
        <f t="shared" si="1246"/>
        <v>#N/A</v>
      </c>
    </row>
    <row r="6089" spans="1:14">
      <c r="A6089">
        <f t="shared" si="1247"/>
        <v>0</v>
      </c>
      <c r="B6089">
        <f t="shared" si="1248"/>
        <v>0</v>
      </c>
      <c r="C6089">
        <f t="shared" si="1249"/>
        <v>0</v>
      </c>
      <c r="D6089">
        <f t="shared" si="1250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51"/>
        <v>0</v>
      </c>
      <c r="G6089">
        <f t="shared" si="1252"/>
        <v>0</v>
      </c>
      <c r="H6089">
        <f t="shared" si="1253"/>
        <v>0</v>
      </c>
      <c r="I6089">
        <f t="shared" si="1254"/>
        <v>0</v>
      </c>
      <c r="J6089">
        <f t="shared" si="1255"/>
        <v>0</v>
      </c>
      <c r="K6089" s="4" t="e">
        <f t="shared" si="1243"/>
        <v>#N/A</v>
      </c>
      <c r="L6089" t="e">
        <f t="shared" si="1244"/>
        <v>#N/A</v>
      </c>
      <c r="M6089" s="4" t="e">
        <f t="shared" si="1245"/>
        <v>#N/A</v>
      </c>
      <c r="N6089" s="4" t="e">
        <f t="shared" si="1246"/>
        <v>#N/A</v>
      </c>
    </row>
    <row r="6090" spans="1:14">
      <c r="A6090">
        <f t="shared" si="1247"/>
        <v>0</v>
      </c>
      <c r="B6090">
        <f t="shared" si="1248"/>
        <v>0</v>
      </c>
      <c r="C6090">
        <f t="shared" si="1249"/>
        <v>0</v>
      </c>
      <c r="D6090">
        <f t="shared" si="1250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51"/>
        <v>0</v>
      </c>
      <c r="G6090">
        <f t="shared" si="1252"/>
        <v>0</v>
      </c>
      <c r="H6090">
        <f t="shared" si="1253"/>
        <v>0</v>
      </c>
      <c r="I6090">
        <f t="shared" si="1254"/>
        <v>0</v>
      </c>
      <c r="J6090">
        <f t="shared" si="1255"/>
        <v>0</v>
      </c>
      <c r="K6090" s="4" t="e">
        <f t="shared" si="1243"/>
        <v>#N/A</v>
      </c>
      <c r="L6090" t="e">
        <f t="shared" si="1244"/>
        <v>#N/A</v>
      </c>
      <c r="M6090" s="4" t="e">
        <f t="shared" si="1245"/>
        <v>#N/A</v>
      </c>
      <c r="N6090" s="4" t="e">
        <f t="shared" si="1246"/>
        <v>#N/A</v>
      </c>
    </row>
    <row r="6091" spans="1:14">
      <c r="A6091">
        <f t="shared" si="1247"/>
        <v>0</v>
      </c>
      <c r="B6091">
        <f t="shared" si="1248"/>
        <v>0</v>
      </c>
      <c r="C6091">
        <f t="shared" si="1249"/>
        <v>0</v>
      </c>
      <c r="D6091">
        <f t="shared" si="1250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51"/>
        <v>0</v>
      </c>
      <c r="G6091">
        <f t="shared" si="1252"/>
        <v>0</v>
      </c>
      <c r="H6091">
        <f t="shared" si="1253"/>
        <v>0</v>
      </c>
      <c r="I6091">
        <f t="shared" si="1254"/>
        <v>0</v>
      </c>
      <c r="J6091">
        <f t="shared" si="1255"/>
        <v>0</v>
      </c>
      <c r="K6091" s="4" t="e">
        <f t="shared" si="1243"/>
        <v>#N/A</v>
      </c>
      <c r="L6091" t="e">
        <f t="shared" si="1244"/>
        <v>#N/A</v>
      </c>
      <c r="M6091" s="4" t="e">
        <f t="shared" si="1245"/>
        <v>#N/A</v>
      </c>
      <c r="N6091" s="4" t="e">
        <f t="shared" si="1246"/>
        <v>#N/A</v>
      </c>
    </row>
    <row r="6092" spans="1:14">
      <c r="A6092">
        <f t="shared" si="1247"/>
        <v>0</v>
      </c>
      <c r="B6092">
        <f t="shared" si="1248"/>
        <v>0</v>
      </c>
      <c r="C6092">
        <f t="shared" si="1249"/>
        <v>0</v>
      </c>
      <c r="D6092">
        <f t="shared" si="1250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51"/>
        <v>0</v>
      </c>
      <c r="G6092">
        <f t="shared" si="1252"/>
        <v>0</v>
      </c>
      <c r="H6092">
        <f t="shared" si="1253"/>
        <v>0</v>
      </c>
      <c r="I6092">
        <f t="shared" si="1254"/>
        <v>0</v>
      </c>
      <c r="J6092">
        <f t="shared" si="1255"/>
        <v>0</v>
      </c>
      <c r="K6092" s="4" t="e">
        <f t="shared" si="1243"/>
        <v>#N/A</v>
      </c>
      <c r="L6092" t="e">
        <f t="shared" si="1244"/>
        <v>#N/A</v>
      </c>
      <c r="M6092" s="4" t="e">
        <f t="shared" si="1245"/>
        <v>#N/A</v>
      </c>
      <c r="N6092" s="4" t="e">
        <f t="shared" si="1246"/>
        <v>#N/A</v>
      </c>
    </row>
    <row r="6093" spans="1:14">
      <c r="A6093">
        <f t="shared" si="1247"/>
        <v>0</v>
      </c>
      <c r="B6093">
        <f t="shared" si="1248"/>
        <v>0</v>
      </c>
      <c r="C6093">
        <f t="shared" si="1249"/>
        <v>0</v>
      </c>
      <c r="D6093">
        <f t="shared" si="1250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51"/>
        <v>0</v>
      </c>
      <c r="G6093">
        <f t="shared" si="1252"/>
        <v>0</v>
      </c>
      <c r="H6093">
        <f t="shared" si="1253"/>
        <v>0</v>
      </c>
      <c r="I6093">
        <f t="shared" si="1254"/>
        <v>0</v>
      </c>
      <c r="J6093">
        <f t="shared" si="1255"/>
        <v>0</v>
      </c>
      <c r="K6093" s="4" t="e">
        <f t="shared" si="1243"/>
        <v>#N/A</v>
      </c>
      <c r="L6093" t="e">
        <f t="shared" si="1244"/>
        <v>#N/A</v>
      </c>
      <c r="M6093" s="4" t="e">
        <f t="shared" si="1245"/>
        <v>#N/A</v>
      </c>
      <c r="N6093" s="4" t="e">
        <f t="shared" si="1246"/>
        <v>#N/A</v>
      </c>
    </row>
    <row r="6094" spans="1:14">
      <c r="A6094">
        <f t="shared" si="1247"/>
        <v>0</v>
      </c>
      <c r="B6094">
        <f t="shared" si="1248"/>
        <v>0</v>
      </c>
      <c r="C6094">
        <f t="shared" si="1249"/>
        <v>0</v>
      </c>
      <c r="D6094">
        <f t="shared" si="1250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51"/>
        <v>0</v>
      </c>
      <c r="G6094">
        <f t="shared" si="1252"/>
        <v>0</v>
      </c>
      <c r="H6094">
        <f t="shared" si="1253"/>
        <v>0</v>
      </c>
      <c r="I6094">
        <f t="shared" si="1254"/>
        <v>0</v>
      </c>
      <c r="J6094">
        <f t="shared" si="1255"/>
        <v>0</v>
      </c>
      <c r="K6094" s="4" t="e">
        <f t="shared" si="1243"/>
        <v>#N/A</v>
      </c>
      <c r="L6094" t="e">
        <f t="shared" si="1244"/>
        <v>#N/A</v>
      </c>
      <c r="M6094" s="4" t="e">
        <f t="shared" si="1245"/>
        <v>#N/A</v>
      </c>
      <c r="N6094" s="4" t="e">
        <f t="shared" si="1246"/>
        <v>#N/A</v>
      </c>
    </row>
    <row r="6095" spans="1:14">
      <c r="A6095">
        <f t="shared" si="1247"/>
        <v>0</v>
      </c>
      <c r="B6095">
        <f t="shared" si="1248"/>
        <v>0</v>
      </c>
      <c r="C6095">
        <f t="shared" si="1249"/>
        <v>0</v>
      </c>
      <c r="D6095">
        <f t="shared" si="1250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51"/>
        <v>0</v>
      </c>
      <c r="G6095">
        <f t="shared" si="1252"/>
        <v>0</v>
      </c>
      <c r="H6095">
        <f t="shared" si="1253"/>
        <v>0</v>
      </c>
      <c r="I6095">
        <f t="shared" si="1254"/>
        <v>0</v>
      </c>
      <c r="J6095">
        <f t="shared" si="1255"/>
        <v>0</v>
      </c>
      <c r="K6095" s="4" t="e">
        <f t="shared" si="1243"/>
        <v>#N/A</v>
      </c>
      <c r="L6095" t="e">
        <f t="shared" si="1244"/>
        <v>#N/A</v>
      </c>
      <c r="M6095" s="4" t="e">
        <f t="shared" si="1245"/>
        <v>#N/A</v>
      </c>
      <c r="N6095" s="4" t="e">
        <f t="shared" si="1246"/>
        <v>#N/A</v>
      </c>
    </row>
    <row r="6096" spans="1:14">
      <c r="A6096">
        <f t="shared" si="1247"/>
        <v>0</v>
      </c>
      <c r="B6096">
        <f t="shared" si="1248"/>
        <v>0</v>
      </c>
      <c r="C6096">
        <f t="shared" si="1249"/>
        <v>0</v>
      </c>
      <c r="D6096">
        <f t="shared" si="1250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51"/>
        <v>0</v>
      </c>
      <c r="G6096">
        <f t="shared" si="1252"/>
        <v>0</v>
      </c>
      <c r="H6096">
        <f t="shared" si="1253"/>
        <v>0</v>
      </c>
      <c r="I6096">
        <f t="shared" si="1254"/>
        <v>0</v>
      </c>
      <c r="J6096">
        <f t="shared" si="1255"/>
        <v>0</v>
      </c>
      <c r="K6096" s="4" t="e">
        <f t="shared" si="1243"/>
        <v>#N/A</v>
      </c>
      <c r="L6096" t="e">
        <f t="shared" si="1244"/>
        <v>#N/A</v>
      </c>
      <c r="M6096" s="4" t="e">
        <f t="shared" si="1245"/>
        <v>#N/A</v>
      </c>
      <c r="N6096" s="4" t="e">
        <f t="shared" si="1246"/>
        <v>#N/A</v>
      </c>
    </row>
    <row r="6097" spans="1:14">
      <c r="A6097">
        <f t="shared" si="1247"/>
        <v>0</v>
      </c>
      <c r="B6097">
        <f t="shared" si="1248"/>
        <v>0</v>
      </c>
      <c r="C6097">
        <f t="shared" si="1249"/>
        <v>0</v>
      </c>
      <c r="D6097">
        <f t="shared" si="1250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51"/>
        <v>0</v>
      </c>
      <c r="G6097">
        <f t="shared" si="1252"/>
        <v>0</v>
      </c>
      <c r="H6097">
        <f t="shared" si="1253"/>
        <v>0</v>
      </c>
      <c r="I6097">
        <f t="shared" si="1254"/>
        <v>0</v>
      </c>
      <c r="J6097">
        <f t="shared" si="1255"/>
        <v>0</v>
      </c>
      <c r="K6097" s="4" t="e">
        <f t="shared" si="1243"/>
        <v>#N/A</v>
      </c>
      <c r="L6097" t="e">
        <f t="shared" si="1244"/>
        <v>#N/A</v>
      </c>
      <c r="M6097" s="4" t="e">
        <f t="shared" si="1245"/>
        <v>#N/A</v>
      </c>
      <c r="N6097" s="4" t="e">
        <f t="shared" si="1246"/>
        <v>#N/A</v>
      </c>
    </row>
    <row r="6098" spans="1:14">
      <c r="A6098">
        <f t="shared" si="1247"/>
        <v>0</v>
      </c>
      <c r="B6098">
        <f t="shared" si="1248"/>
        <v>0</v>
      </c>
      <c r="C6098">
        <f t="shared" si="1249"/>
        <v>0</v>
      </c>
      <c r="D6098">
        <f t="shared" si="1250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51"/>
        <v>0</v>
      </c>
      <c r="G6098">
        <f t="shared" si="1252"/>
        <v>0</v>
      </c>
      <c r="H6098">
        <f t="shared" si="1253"/>
        <v>0</v>
      </c>
      <c r="I6098">
        <f t="shared" si="1254"/>
        <v>0</v>
      </c>
      <c r="J6098">
        <f t="shared" si="1255"/>
        <v>0</v>
      </c>
      <c r="K6098" s="4" t="e">
        <f t="shared" si="1243"/>
        <v>#N/A</v>
      </c>
      <c r="L6098" t="e">
        <f t="shared" si="1244"/>
        <v>#N/A</v>
      </c>
      <c r="M6098" s="4" t="e">
        <f t="shared" si="1245"/>
        <v>#N/A</v>
      </c>
      <c r="N6098" s="4" t="e">
        <f t="shared" si="1246"/>
        <v>#N/A</v>
      </c>
    </row>
    <row r="6099" spans="1:14">
      <c r="A6099">
        <f t="shared" si="1247"/>
        <v>0</v>
      </c>
      <c r="B6099">
        <f t="shared" si="1248"/>
        <v>0</v>
      </c>
      <c r="C6099">
        <f t="shared" si="1249"/>
        <v>0</v>
      </c>
      <c r="D6099">
        <f t="shared" si="1250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51"/>
        <v>0</v>
      </c>
      <c r="G6099">
        <f t="shared" si="1252"/>
        <v>0</v>
      </c>
      <c r="H6099">
        <f t="shared" si="1253"/>
        <v>0</v>
      </c>
      <c r="I6099">
        <f t="shared" si="1254"/>
        <v>0</v>
      </c>
      <c r="J6099">
        <f t="shared" si="1255"/>
        <v>0</v>
      </c>
      <c r="K6099" s="4" t="e">
        <f t="shared" si="1243"/>
        <v>#N/A</v>
      </c>
      <c r="L6099" t="e">
        <f t="shared" si="1244"/>
        <v>#N/A</v>
      </c>
      <c r="M6099" s="4" t="e">
        <f t="shared" si="1245"/>
        <v>#N/A</v>
      </c>
      <c r="N6099" s="4" t="e">
        <f t="shared" si="1246"/>
        <v>#N/A</v>
      </c>
    </row>
    <row r="6100" spans="1:14">
      <c r="A6100">
        <f t="shared" si="1247"/>
        <v>0</v>
      </c>
      <c r="B6100">
        <f t="shared" si="1248"/>
        <v>0</v>
      </c>
      <c r="C6100">
        <f t="shared" si="1249"/>
        <v>0</v>
      </c>
      <c r="D6100">
        <f t="shared" si="1250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51"/>
        <v>0</v>
      </c>
      <c r="G6100">
        <f t="shared" si="1252"/>
        <v>0</v>
      </c>
      <c r="H6100">
        <f t="shared" si="1253"/>
        <v>0</v>
      </c>
      <c r="I6100">
        <f t="shared" si="1254"/>
        <v>0</v>
      </c>
      <c r="J6100">
        <f t="shared" si="1255"/>
        <v>0</v>
      </c>
      <c r="K6100" s="4" t="e">
        <f t="shared" si="1243"/>
        <v>#N/A</v>
      </c>
      <c r="L6100" t="e">
        <f t="shared" si="1244"/>
        <v>#N/A</v>
      </c>
      <c r="M6100" s="4" t="e">
        <f t="shared" si="1245"/>
        <v>#N/A</v>
      </c>
      <c r="N6100" s="4" t="e">
        <f t="shared" si="1246"/>
        <v>#N/A</v>
      </c>
    </row>
    <row r="6101" spans="1:14">
      <c r="A6101">
        <f t="shared" si="1247"/>
        <v>0</v>
      </c>
      <c r="B6101">
        <f t="shared" si="1248"/>
        <v>0</v>
      </c>
      <c r="C6101">
        <f t="shared" si="1249"/>
        <v>0</v>
      </c>
      <c r="D6101">
        <f t="shared" si="1250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51"/>
        <v>0</v>
      </c>
      <c r="G6101">
        <f t="shared" si="1252"/>
        <v>0</v>
      </c>
      <c r="H6101">
        <f t="shared" si="1253"/>
        <v>0</v>
      </c>
      <c r="I6101">
        <f t="shared" si="1254"/>
        <v>0</v>
      </c>
      <c r="J6101">
        <f t="shared" si="1255"/>
        <v>0</v>
      </c>
      <c r="K6101" s="4" t="e">
        <f t="shared" si="1243"/>
        <v>#N/A</v>
      </c>
      <c r="L6101" t="e">
        <f t="shared" si="1244"/>
        <v>#N/A</v>
      </c>
      <c r="M6101" s="4" t="e">
        <f t="shared" si="1245"/>
        <v>#N/A</v>
      </c>
      <c r="N6101" s="4" t="e">
        <f t="shared" si="1246"/>
        <v>#N/A</v>
      </c>
    </row>
    <row r="6102" spans="1:14">
      <c r="A6102">
        <f t="shared" si="1247"/>
        <v>0</v>
      </c>
      <c r="B6102">
        <f t="shared" si="1248"/>
        <v>0</v>
      </c>
      <c r="C6102">
        <f t="shared" si="1249"/>
        <v>0</v>
      </c>
      <c r="D6102">
        <f t="shared" si="1250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51"/>
        <v>0</v>
      </c>
      <c r="G6102">
        <f t="shared" si="1252"/>
        <v>0</v>
      </c>
      <c r="H6102">
        <f t="shared" si="1253"/>
        <v>0</v>
      </c>
      <c r="I6102">
        <f t="shared" si="1254"/>
        <v>0</v>
      </c>
      <c r="J6102">
        <f t="shared" si="1255"/>
        <v>0</v>
      </c>
      <c r="K6102" s="4" t="e">
        <f t="shared" si="1243"/>
        <v>#N/A</v>
      </c>
      <c r="L6102" t="e">
        <f t="shared" si="1244"/>
        <v>#N/A</v>
      </c>
      <c r="M6102" s="4" t="e">
        <f t="shared" si="1245"/>
        <v>#N/A</v>
      </c>
      <c r="N6102" s="4" t="e">
        <f t="shared" si="1246"/>
        <v>#N/A</v>
      </c>
    </row>
    <row r="6103" spans="1:14">
      <c r="A6103">
        <f t="shared" si="1247"/>
        <v>0</v>
      </c>
      <c r="B6103">
        <f t="shared" si="1248"/>
        <v>0</v>
      </c>
      <c r="C6103">
        <f t="shared" si="1249"/>
        <v>0</v>
      </c>
      <c r="D6103">
        <f t="shared" si="1250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51"/>
        <v>0</v>
      </c>
      <c r="G6103">
        <f t="shared" si="1252"/>
        <v>0</v>
      </c>
      <c r="H6103">
        <f t="shared" si="1253"/>
        <v>0</v>
      </c>
      <c r="I6103">
        <f t="shared" si="1254"/>
        <v>0</v>
      </c>
      <c r="J6103">
        <f t="shared" si="1255"/>
        <v>0</v>
      </c>
      <c r="K6103" s="4" t="e">
        <f t="shared" si="1243"/>
        <v>#N/A</v>
      </c>
      <c r="L6103" t="e">
        <f t="shared" si="1244"/>
        <v>#N/A</v>
      </c>
      <c r="M6103" s="4" t="e">
        <f t="shared" si="1245"/>
        <v>#N/A</v>
      </c>
      <c r="N6103" s="4" t="e">
        <f t="shared" si="1246"/>
        <v>#N/A</v>
      </c>
    </row>
    <row r="6104" spans="1:14">
      <c r="A6104">
        <f t="shared" si="1247"/>
        <v>0</v>
      </c>
      <c r="B6104">
        <f t="shared" si="1248"/>
        <v>0</v>
      </c>
      <c r="C6104">
        <f t="shared" si="1249"/>
        <v>0</v>
      </c>
      <c r="D6104">
        <f t="shared" si="1250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51"/>
        <v>0</v>
      </c>
      <c r="G6104">
        <f t="shared" si="1252"/>
        <v>0</v>
      </c>
      <c r="H6104">
        <f t="shared" si="1253"/>
        <v>0</v>
      </c>
      <c r="I6104">
        <f t="shared" si="1254"/>
        <v>0</v>
      </c>
      <c r="J6104">
        <f t="shared" si="1255"/>
        <v>0</v>
      </c>
      <c r="K6104" s="4" t="e">
        <f t="shared" si="1243"/>
        <v>#N/A</v>
      </c>
      <c r="L6104" t="e">
        <f t="shared" si="1244"/>
        <v>#N/A</v>
      </c>
      <c r="M6104" s="4" t="e">
        <f t="shared" si="1245"/>
        <v>#N/A</v>
      </c>
      <c r="N6104" s="4" t="e">
        <f t="shared" si="1246"/>
        <v>#N/A</v>
      </c>
    </row>
    <row r="6105" spans="1:14">
      <c r="A6105">
        <f t="shared" si="1247"/>
        <v>0</v>
      </c>
      <c r="B6105">
        <f t="shared" si="1248"/>
        <v>0</v>
      </c>
      <c r="C6105">
        <f t="shared" si="1249"/>
        <v>0</v>
      </c>
      <c r="D6105">
        <f t="shared" si="1250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51"/>
        <v>0</v>
      </c>
      <c r="G6105">
        <f t="shared" si="1252"/>
        <v>0</v>
      </c>
      <c r="H6105">
        <f t="shared" si="1253"/>
        <v>0</v>
      </c>
      <c r="I6105">
        <f t="shared" si="1254"/>
        <v>0</v>
      </c>
      <c r="J6105">
        <f t="shared" si="1255"/>
        <v>0</v>
      </c>
      <c r="K6105" s="4" t="e">
        <f t="shared" si="1243"/>
        <v>#N/A</v>
      </c>
      <c r="L6105" t="e">
        <f t="shared" si="1244"/>
        <v>#N/A</v>
      </c>
      <c r="M6105" s="4" t="e">
        <f t="shared" si="1245"/>
        <v>#N/A</v>
      </c>
      <c r="N6105" s="4" t="e">
        <f t="shared" si="1246"/>
        <v>#N/A</v>
      </c>
    </row>
    <row r="6106" spans="1:14">
      <c r="A6106">
        <f t="shared" si="1247"/>
        <v>0</v>
      </c>
      <c r="B6106">
        <f t="shared" si="1248"/>
        <v>0</v>
      </c>
      <c r="C6106">
        <f t="shared" si="1249"/>
        <v>0</v>
      </c>
      <c r="D6106">
        <f t="shared" si="1250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51"/>
        <v>0</v>
      </c>
      <c r="G6106">
        <f t="shared" si="1252"/>
        <v>0</v>
      </c>
      <c r="H6106">
        <f t="shared" si="1253"/>
        <v>0</v>
      </c>
      <c r="I6106">
        <f t="shared" si="1254"/>
        <v>0</v>
      </c>
      <c r="J6106">
        <f t="shared" si="1255"/>
        <v>0</v>
      </c>
      <c r="K6106" s="4" t="e">
        <f t="shared" si="1243"/>
        <v>#N/A</v>
      </c>
      <c r="L6106" t="e">
        <f t="shared" si="1244"/>
        <v>#N/A</v>
      </c>
      <c r="M6106" s="4" t="e">
        <f t="shared" si="1245"/>
        <v>#N/A</v>
      </c>
      <c r="N6106" s="4" t="e">
        <f t="shared" si="1246"/>
        <v>#N/A</v>
      </c>
    </row>
    <row r="6107" spans="1:14">
      <c r="A6107">
        <f t="shared" si="1247"/>
        <v>0</v>
      </c>
      <c r="B6107">
        <f t="shared" si="1248"/>
        <v>0</v>
      </c>
      <c r="C6107">
        <f t="shared" si="1249"/>
        <v>0</v>
      </c>
      <c r="D6107">
        <f t="shared" si="1250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51"/>
        <v>0</v>
      </c>
      <c r="G6107">
        <f t="shared" si="1252"/>
        <v>0</v>
      </c>
      <c r="H6107">
        <f t="shared" si="1253"/>
        <v>0</v>
      </c>
      <c r="I6107">
        <f t="shared" si="1254"/>
        <v>0</v>
      </c>
      <c r="J6107">
        <f t="shared" si="1255"/>
        <v>0</v>
      </c>
      <c r="K6107" s="4" t="e">
        <f t="shared" si="1243"/>
        <v>#N/A</v>
      </c>
      <c r="L6107" t="e">
        <f t="shared" si="1244"/>
        <v>#N/A</v>
      </c>
      <c r="M6107" s="4" t="e">
        <f t="shared" si="1245"/>
        <v>#N/A</v>
      </c>
      <c r="N6107" s="4" t="e">
        <f t="shared" si="1246"/>
        <v>#N/A</v>
      </c>
    </row>
    <row r="6108" spans="1:14">
      <c r="A6108">
        <f t="shared" si="1247"/>
        <v>0</v>
      </c>
      <c r="B6108">
        <f t="shared" si="1248"/>
        <v>0</v>
      </c>
      <c r="C6108">
        <f t="shared" si="1249"/>
        <v>0</v>
      </c>
      <c r="D6108">
        <f t="shared" si="1250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51"/>
        <v>0</v>
      </c>
      <c r="G6108">
        <f t="shared" si="1252"/>
        <v>0</v>
      </c>
      <c r="H6108">
        <f t="shared" si="1253"/>
        <v>0</v>
      </c>
      <c r="I6108">
        <f t="shared" si="1254"/>
        <v>0</v>
      </c>
      <c r="J6108">
        <f t="shared" si="1255"/>
        <v>0</v>
      </c>
      <c r="K6108" s="4" t="e">
        <f t="shared" si="1243"/>
        <v>#N/A</v>
      </c>
      <c r="L6108" t="e">
        <f t="shared" si="1244"/>
        <v>#N/A</v>
      </c>
      <c r="M6108" s="4" t="e">
        <f t="shared" si="1245"/>
        <v>#N/A</v>
      </c>
      <c r="N6108" s="4" t="e">
        <f t="shared" si="1246"/>
        <v>#N/A</v>
      </c>
    </row>
    <row r="6109" spans="1:14">
      <c r="A6109">
        <f t="shared" si="1247"/>
        <v>0</v>
      </c>
      <c r="B6109">
        <f t="shared" si="1248"/>
        <v>0</v>
      </c>
      <c r="C6109">
        <f t="shared" si="1249"/>
        <v>0</v>
      </c>
      <c r="D6109">
        <f t="shared" si="1250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51"/>
        <v>0</v>
      </c>
      <c r="G6109">
        <f t="shared" si="1252"/>
        <v>0</v>
      </c>
      <c r="H6109">
        <f t="shared" si="1253"/>
        <v>0</v>
      </c>
      <c r="I6109">
        <f t="shared" si="1254"/>
        <v>0</v>
      </c>
      <c r="J6109">
        <f t="shared" si="1255"/>
        <v>0</v>
      </c>
      <c r="K6109" s="4" t="e">
        <f t="shared" si="1243"/>
        <v>#N/A</v>
      </c>
      <c r="L6109" t="e">
        <f t="shared" si="1244"/>
        <v>#N/A</v>
      </c>
      <c r="M6109" s="4" t="e">
        <f t="shared" si="1245"/>
        <v>#N/A</v>
      </c>
      <c r="N6109" s="4" t="e">
        <f t="shared" si="1246"/>
        <v>#N/A</v>
      </c>
    </row>
    <row r="6110" spans="1:14">
      <c r="A6110">
        <f t="shared" si="1247"/>
        <v>0</v>
      </c>
      <c r="B6110">
        <f t="shared" si="1248"/>
        <v>0</v>
      </c>
      <c r="C6110">
        <f t="shared" si="1249"/>
        <v>0</v>
      </c>
      <c r="D6110">
        <f t="shared" si="1250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51"/>
        <v>0</v>
      </c>
      <c r="G6110">
        <f t="shared" si="1252"/>
        <v>0</v>
      </c>
      <c r="H6110">
        <f t="shared" si="1253"/>
        <v>0</v>
      </c>
      <c r="I6110">
        <f t="shared" si="1254"/>
        <v>0</v>
      </c>
      <c r="J6110">
        <f t="shared" si="1255"/>
        <v>0</v>
      </c>
      <c r="K6110" s="4" t="e">
        <f t="shared" si="1243"/>
        <v>#N/A</v>
      </c>
      <c r="L6110" t="e">
        <f t="shared" si="1244"/>
        <v>#N/A</v>
      </c>
      <c r="M6110" s="4" t="e">
        <f t="shared" si="1245"/>
        <v>#N/A</v>
      </c>
      <c r="N6110" s="4" t="e">
        <f t="shared" si="1246"/>
        <v>#N/A</v>
      </c>
    </row>
    <row r="6111" spans="1:14">
      <c r="A6111">
        <f t="shared" si="1247"/>
        <v>0</v>
      </c>
      <c r="B6111">
        <f t="shared" si="1248"/>
        <v>0</v>
      </c>
      <c r="C6111">
        <f t="shared" si="1249"/>
        <v>0</v>
      </c>
      <c r="D6111">
        <f t="shared" si="1250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51"/>
        <v>0</v>
      </c>
      <c r="G6111">
        <f t="shared" si="1252"/>
        <v>0</v>
      </c>
      <c r="H6111">
        <f t="shared" si="1253"/>
        <v>0</v>
      </c>
      <c r="I6111">
        <f t="shared" si="1254"/>
        <v>0</v>
      </c>
      <c r="J6111">
        <f t="shared" si="1255"/>
        <v>0</v>
      </c>
      <c r="K6111" s="4" t="e">
        <f t="shared" si="1243"/>
        <v>#N/A</v>
      </c>
      <c r="L6111" t="e">
        <f t="shared" si="1244"/>
        <v>#N/A</v>
      </c>
      <c r="M6111" s="4" t="e">
        <f t="shared" si="1245"/>
        <v>#N/A</v>
      </c>
      <c r="N6111" s="4" t="e">
        <f t="shared" si="1246"/>
        <v>#N/A</v>
      </c>
    </row>
    <row r="6112" spans="1:14">
      <c r="A6112">
        <f t="shared" si="1247"/>
        <v>0</v>
      </c>
      <c r="B6112">
        <f t="shared" si="1248"/>
        <v>0</v>
      </c>
      <c r="C6112">
        <f t="shared" si="1249"/>
        <v>0</v>
      </c>
      <c r="D6112">
        <f t="shared" si="1250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51"/>
        <v>0</v>
      </c>
      <c r="G6112">
        <f t="shared" si="1252"/>
        <v>0</v>
      </c>
      <c r="H6112">
        <f t="shared" si="1253"/>
        <v>0</v>
      </c>
      <c r="I6112">
        <f t="shared" si="1254"/>
        <v>0</v>
      </c>
      <c r="J6112">
        <f t="shared" si="1255"/>
        <v>0</v>
      </c>
      <c r="K6112" s="4" t="e">
        <f t="shared" si="1243"/>
        <v>#N/A</v>
      </c>
      <c r="L6112" t="e">
        <f t="shared" si="1244"/>
        <v>#N/A</v>
      </c>
      <c r="M6112" s="4" t="e">
        <f t="shared" si="1245"/>
        <v>#N/A</v>
      </c>
      <c r="N6112" s="4" t="e">
        <f t="shared" si="1246"/>
        <v>#N/A</v>
      </c>
    </row>
    <row r="6113" spans="1:14">
      <c r="A6113">
        <f t="shared" si="1247"/>
        <v>0</v>
      </c>
      <c r="B6113">
        <f t="shared" si="1248"/>
        <v>0</v>
      </c>
      <c r="C6113">
        <f t="shared" si="1249"/>
        <v>0</v>
      </c>
      <c r="D6113">
        <f t="shared" si="1250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51"/>
        <v>0</v>
      </c>
      <c r="G6113">
        <f t="shared" si="1252"/>
        <v>0</v>
      </c>
      <c r="H6113">
        <f t="shared" si="1253"/>
        <v>0</v>
      </c>
      <c r="I6113">
        <f t="shared" si="1254"/>
        <v>0</v>
      </c>
      <c r="J6113">
        <f t="shared" si="1255"/>
        <v>0</v>
      </c>
      <c r="K6113" s="4" t="e">
        <f t="shared" si="1243"/>
        <v>#N/A</v>
      </c>
      <c r="L6113" t="e">
        <f t="shared" si="1244"/>
        <v>#N/A</v>
      </c>
      <c r="M6113" s="4" t="e">
        <f t="shared" si="1245"/>
        <v>#N/A</v>
      </c>
      <c r="N6113" s="4" t="e">
        <f t="shared" si="1246"/>
        <v>#N/A</v>
      </c>
    </row>
    <row r="6114" spans="1:14">
      <c r="A6114">
        <f t="shared" si="1247"/>
        <v>0</v>
      </c>
      <c r="B6114">
        <f t="shared" si="1248"/>
        <v>0</v>
      </c>
      <c r="C6114">
        <f t="shared" si="1249"/>
        <v>0</v>
      </c>
      <c r="D6114">
        <f t="shared" si="1250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51"/>
        <v>0</v>
      </c>
      <c r="G6114">
        <f t="shared" si="1252"/>
        <v>0</v>
      </c>
      <c r="H6114">
        <f t="shared" si="1253"/>
        <v>0</v>
      </c>
      <c r="I6114">
        <f t="shared" si="1254"/>
        <v>0</v>
      </c>
      <c r="J6114">
        <f t="shared" si="1255"/>
        <v>0</v>
      </c>
      <c r="K6114" s="4" t="e">
        <f t="shared" si="1243"/>
        <v>#N/A</v>
      </c>
      <c r="L6114" t="e">
        <f t="shared" si="1244"/>
        <v>#N/A</v>
      </c>
      <c r="M6114" s="4" t="e">
        <f t="shared" si="1245"/>
        <v>#N/A</v>
      </c>
      <c r="N6114" s="4" t="e">
        <f t="shared" si="1246"/>
        <v>#N/A</v>
      </c>
    </row>
    <row r="6115" spans="1:14">
      <c r="A6115">
        <f t="shared" si="1247"/>
        <v>0</v>
      </c>
      <c r="B6115">
        <f t="shared" si="1248"/>
        <v>0</v>
      </c>
      <c r="C6115">
        <f t="shared" si="1249"/>
        <v>0</v>
      </c>
      <c r="D6115">
        <f t="shared" si="1250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51"/>
        <v>0</v>
      </c>
      <c r="G6115">
        <f t="shared" si="1252"/>
        <v>0</v>
      </c>
      <c r="H6115">
        <f t="shared" si="1253"/>
        <v>0</v>
      </c>
      <c r="I6115">
        <f t="shared" si="1254"/>
        <v>0</v>
      </c>
      <c r="J6115">
        <f t="shared" si="1255"/>
        <v>0</v>
      </c>
      <c r="K6115" s="4" t="e">
        <f t="shared" si="1243"/>
        <v>#N/A</v>
      </c>
      <c r="L6115" t="e">
        <f t="shared" si="1244"/>
        <v>#N/A</v>
      </c>
      <c r="M6115" s="4" t="e">
        <f t="shared" si="1245"/>
        <v>#N/A</v>
      </c>
      <c r="N6115" s="4" t="e">
        <f t="shared" si="1246"/>
        <v>#N/A</v>
      </c>
    </row>
    <row r="6116" spans="1:14">
      <c r="A6116">
        <f t="shared" si="1247"/>
        <v>0</v>
      </c>
      <c r="B6116">
        <f t="shared" si="1248"/>
        <v>0</v>
      </c>
      <c r="C6116">
        <f t="shared" si="1249"/>
        <v>0</v>
      </c>
      <c r="D6116">
        <f t="shared" si="1250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51"/>
        <v>0</v>
      </c>
      <c r="G6116">
        <f t="shared" si="1252"/>
        <v>0</v>
      </c>
      <c r="H6116">
        <f t="shared" si="1253"/>
        <v>0</v>
      </c>
      <c r="I6116">
        <f t="shared" si="1254"/>
        <v>0</v>
      </c>
      <c r="J6116">
        <f t="shared" si="1255"/>
        <v>0</v>
      </c>
      <c r="K6116" s="4" t="e">
        <f t="shared" si="1243"/>
        <v>#N/A</v>
      </c>
      <c r="L6116" t="e">
        <f t="shared" si="1244"/>
        <v>#N/A</v>
      </c>
      <c r="M6116" s="4" t="e">
        <f t="shared" si="1245"/>
        <v>#N/A</v>
      </c>
      <c r="N6116" s="4" t="e">
        <f t="shared" si="1246"/>
        <v>#N/A</v>
      </c>
    </row>
    <row r="6117" spans="1:14">
      <c r="A6117">
        <f t="shared" si="1247"/>
        <v>0</v>
      </c>
      <c r="B6117">
        <f t="shared" si="1248"/>
        <v>0</v>
      </c>
      <c r="C6117">
        <f t="shared" si="1249"/>
        <v>0</v>
      </c>
      <c r="D6117">
        <f t="shared" si="1250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51"/>
        <v>0</v>
      </c>
      <c r="G6117">
        <f t="shared" si="1252"/>
        <v>0</v>
      </c>
      <c r="H6117">
        <f t="shared" si="1253"/>
        <v>0</v>
      </c>
      <c r="I6117">
        <f t="shared" si="1254"/>
        <v>0</v>
      </c>
      <c r="J6117">
        <f t="shared" si="1255"/>
        <v>0</v>
      </c>
      <c r="K6117" s="4" t="e">
        <f t="shared" si="1243"/>
        <v>#N/A</v>
      </c>
      <c r="L6117" t="e">
        <f t="shared" si="1244"/>
        <v>#N/A</v>
      </c>
      <c r="M6117" s="4" t="e">
        <f t="shared" si="1245"/>
        <v>#N/A</v>
      </c>
      <c r="N6117" s="4" t="e">
        <f t="shared" si="1246"/>
        <v>#N/A</v>
      </c>
    </row>
    <row r="6118" spans="1:14">
      <c r="A6118">
        <f t="shared" si="1247"/>
        <v>0</v>
      </c>
      <c r="B6118">
        <f t="shared" si="1248"/>
        <v>0</v>
      </c>
      <c r="C6118">
        <f t="shared" si="1249"/>
        <v>0</v>
      </c>
      <c r="D6118">
        <f t="shared" si="1250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51"/>
        <v>0</v>
      </c>
      <c r="G6118">
        <f t="shared" si="1252"/>
        <v>0</v>
      </c>
      <c r="H6118">
        <f t="shared" si="1253"/>
        <v>0</v>
      </c>
      <c r="I6118">
        <f t="shared" si="1254"/>
        <v>0</v>
      </c>
      <c r="J6118">
        <f t="shared" si="1255"/>
        <v>0</v>
      </c>
      <c r="K6118" s="4" t="e">
        <f t="shared" si="1243"/>
        <v>#N/A</v>
      </c>
      <c r="L6118" t="e">
        <f t="shared" si="1244"/>
        <v>#N/A</v>
      </c>
      <c r="M6118" s="4" t="e">
        <f t="shared" si="1245"/>
        <v>#N/A</v>
      </c>
      <c r="N6118" s="4" t="e">
        <f t="shared" si="1246"/>
        <v>#N/A</v>
      </c>
    </row>
    <row r="6119" spans="1:14">
      <c r="A6119">
        <f t="shared" si="1247"/>
        <v>0</v>
      </c>
      <c r="B6119">
        <f t="shared" si="1248"/>
        <v>0</v>
      </c>
      <c r="C6119">
        <f t="shared" si="1249"/>
        <v>0</v>
      </c>
      <c r="D6119">
        <f t="shared" si="1250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51"/>
        <v>0</v>
      </c>
      <c r="G6119">
        <f t="shared" si="1252"/>
        <v>0</v>
      </c>
      <c r="H6119">
        <f t="shared" si="1253"/>
        <v>0</v>
      </c>
      <c r="I6119">
        <f t="shared" si="1254"/>
        <v>0</v>
      </c>
      <c r="J6119">
        <f t="shared" si="1255"/>
        <v>0</v>
      </c>
      <c r="K6119" s="4" t="e">
        <f t="shared" si="1243"/>
        <v>#N/A</v>
      </c>
      <c r="L6119" t="e">
        <f t="shared" si="1244"/>
        <v>#N/A</v>
      </c>
      <c r="M6119" s="4" t="e">
        <f t="shared" si="1245"/>
        <v>#N/A</v>
      </c>
      <c r="N6119" s="4" t="e">
        <f t="shared" si="1246"/>
        <v>#N/A</v>
      </c>
    </row>
    <row r="6120" spans="1:14">
      <c r="A6120">
        <f t="shared" si="1247"/>
        <v>0</v>
      </c>
      <c r="B6120">
        <f t="shared" si="1248"/>
        <v>0</v>
      </c>
      <c r="C6120">
        <f t="shared" si="1249"/>
        <v>0</v>
      </c>
      <c r="D6120">
        <f t="shared" si="1250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51"/>
        <v>0</v>
      </c>
      <c r="G6120">
        <f t="shared" si="1252"/>
        <v>0</v>
      </c>
      <c r="H6120">
        <f t="shared" si="1253"/>
        <v>0</v>
      </c>
      <c r="I6120">
        <f t="shared" si="1254"/>
        <v>0</v>
      </c>
      <c r="J6120">
        <f t="shared" si="1255"/>
        <v>0</v>
      </c>
      <c r="K6120" s="4" t="e">
        <f t="shared" si="1243"/>
        <v>#N/A</v>
      </c>
      <c r="L6120" t="e">
        <f t="shared" si="1244"/>
        <v>#N/A</v>
      </c>
      <c r="M6120" s="4" t="e">
        <f t="shared" si="1245"/>
        <v>#N/A</v>
      </c>
      <c r="N6120" s="4" t="e">
        <f t="shared" si="1246"/>
        <v>#N/A</v>
      </c>
    </row>
    <row r="6121" spans="1:14">
      <c r="A6121">
        <f t="shared" si="1247"/>
        <v>0</v>
      </c>
      <c r="B6121">
        <f t="shared" si="1248"/>
        <v>0</v>
      </c>
      <c r="C6121">
        <f t="shared" si="1249"/>
        <v>0</v>
      </c>
      <c r="D6121">
        <f t="shared" si="1250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51"/>
        <v>0</v>
      </c>
      <c r="G6121">
        <f t="shared" si="1252"/>
        <v>0</v>
      </c>
      <c r="H6121">
        <f t="shared" si="1253"/>
        <v>0</v>
      </c>
      <c r="I6121">
        <f t="shared" si="1254"/>
        <v>0</v>
      </c>
      <c r="J6121">
        <f t="shared" si="1255"/>
        <v>0</v>
      </c>
      <c r="K6121" s="4" t="e">
        <f t="shared" si="1243"/>
        <v>#N/A</v>
      </c>
      <c r="L6121" t="e">
        <f t="shared" si="1244"/>
        <v>#N/A</v>
      </c>
      <c r="M6121" s="4" t="e">
        <f t="shared" si="1245"/>
        <v>#N/A</v>
      </c>
      <c r="N6121" s="4" t="e">
        <f t="shared" si="1246"/>
        <v>#N/A</v>
      </c>
    </row>
    <row r="6122" spans="1:14">
      <c r="A6122">
        <f t="shared" si="1247"/>
        <v>0</v>
      </c>
      <c r="B6122">
        <f t="shared" si="1248"/>
        <v>0</v>
      </c>
      <c r="C6122">
        <f t="shared" si="1249"/>
        <v>0</v>
      </c>
      <c r="D6122">
        <f t="shared" si="1250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51"/>
        <v>0</v>
      </c>
      <c r="G6122">
        <f t="shared" si="1252"/>
        <v>0</v>
      </c>
      <c r="H6122">
        <f t="shared" si="1253"/>
        <v>0</v>
      </c>
      <c r="I6122">
        <f t="shared" si="1254"/>
        <v>0</v>
      </c>
      <c r="J6122">
        <f t="shared" si="1255"/>
        <v>0</v>
      </c>
      <c r="K6122" s="4" t="e">
        <f t="shared" si="1243"/>
        <v>#N/A</v>
      </c>
      <c r="L6122" t="e">
        <f t="shared" si="1244"/>
        <v>#N/A</v>
      </c>
      <c r="M6122" s="4" t="e">
        <f t="shared" si="1245"/>
        <v>#N/A</v>
      </c>
      <c r="N6122" s="4" t="e">
        <f t="shared" si="1246"/>
        <v>#N/A</v>
      </c>
    </row>
    <row r="6123" spans="1:14">
      <c r="A6123">
        <f t="shared" si="1247"/>
        <v>0</v>
      </c>
      <c r="B6123">
        <f t="shared" si="1248"/>
        <v>0</v>
      </c>
      <c r="C6123">
        <f t="shared" si="1249"/>
        <v>0</v>
      </c>
      <c r="D6123">
        <f t="shared" si="1250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51"/>
        <v>0</v>
      </c>
      <c r="G6123">
        <f t="shared" si="1252"/>
        <v>0</v>
      </c>
      <c r="H6123">
        <f t="shared" si="1253"/>
        <v>0</v>
      </c>
      <c r="I6123">
        <f t="shared" si="1254"/>
        <v>0</v>
      </c>
      <c r="J6123">
        <f t="shared" si="1255"/>
        <v>0</v>
      </c>
      <c r="K6123" s="4" t="e">
        <f t="shared" si="1243"/>
        <v>#N/A</v>
      </c>
      <c r="L6123" t="e">
        <f t="shared" si="1244"/>
        <v>#N/A</v>
      </c>
      <c r="M6123" s="4" t="e">
        <f t="shared" si="1245"/>
        <v>#N/A</v>
      </c>
      <c r="N6123" s="4" t="e">
        <f t="shared" si="1246"/>
        <v>#N/A</v>
      </c>
    </row>
    <row r="6124" spans="1:14">
      <c r="A6124">
        <f t="shared" si="1247"/>
        <v>0</v>
      </c>
      <c r="B6124">
        <f t="shared" si="1248"/>
        <v>0</v>
      </c>
      <c r="C6124">
        <f t="shared" si="1249"/>
        <v>0</v>
      </c>
      <c r="D6124">
        <f t="shared" si="1250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51"/>
        <v>0</v>
      </c>
      <c r="G6124">
        <f t="shared" si="1252"/>
        <v>0</v>
      </c>
      <c r="H6124">
        <f t="shared" si="1253"/>
        <v>0</v>
      </c>
      <c r="I6124">
        <f t="shared" si="1254"/>
        <v>0</v>
      </c>
      <c r="J6124">
        <f t="shared" si="1255"/>
        <v>0</v>
      </c>
      <c r="K6124" s="4" t="e">
        <f t="shared" si="1243"/>
        <v>#N/A</v>
      </c>
      <c r="L6124" t="e">
        <f t="shared" si="1244"/>
        <v>#N/A</v>
      </c>
      <c r="M6124" s="4" t="e">
        <f t="shared" si="1245"/>
        <v>#N/A</v>
      </c>
      <c r="N6124" s="4" t="e">
        <f t="shared" si="1246"/>
        <v>#N/A</v>
      </c>
    </row>
    <row r="6125" spans="1:14">
      <c r="A6125">
        <f t="shared" si="1247"/>
        <v>0</v>
      </c>
      <c r="B6125">
        <f t="shared" si="1248"/>
        <v>0</v>
      </c>
      <c r="C6125">
        <f t="shared" si="1249"/>
        <v>0</v>
      </c>
      <c r="D6125">
        <f t="shared" si="1250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51"/>
        <v>0</v>
      </c>
      <c r="G6125">
        <f t="shared" si="1252"/>
        <v>0</v>
      </c>
      <c r="H6125">
        <f t="shared" si="1253"/>
        <v>0</v>
      </c>
      <c r="I6125">
        <f t="shared" si="1254"/>
        <v>0</v>
      </c>
      <c r="J6125">
        <f t="shared" si="1255"/>
        <v>0</v>
      </c>
      <c r="K6125" s="4" t="e">
        <f t="shared" si="1243"/>
        <v>#N/A</v>
      </c>
      <c r="L6125" t="e">
        <f t="shared" si="1244"/>
        <v>#N/A</v>
      </c>
      <c r="M6125" s="4" t="e">
        <f t="shared" si="1245"/>
        <v>#N/A</v>
      </c>
      <c r="N6125" s="4" t="e">
        <f t="shared" si="1246"/>
        <v>#N/A</v>
      </c>
    </row>
    <row r="6126" spans="1:14">
      <c r="A6126">
        <f t="shared" si="1247"/>
        <v>0</v>
      </c>
      <c r="B6126">
        <f t="shared" si="1248"/>
        <v>0</v>
      </c>
      <c r="C6126">
        <f t="shared" si="1249"/>
        <v>0</v>
      </c>
      <c r="D6126">
        <f t="shared" si="1250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51"/>
        <v>0</v>
      </c>
      <c r="G6126">
        <f t="shared" si="1252"/>
        <v>0</v>
      </c>
      <c r="H6126">
        <f t="shared" si="1253"/>
        <v>0</v>
      </c>
      <c r="I6126">
        <f t="shared" si="1254"/>
        <v>0</v>
      </c>
      <c r="J6126">
        <f t="shared" si="1255"/>
        <v>0</v>
      </c>
      <c r="K6126" s="4" t="e">
        <f t="shared" si="1243"/>
        <v>#N/A</v>
      </c>
      <c r="L6126" t="e">
        <f t="shared" si="1244"/>
        <v>#N/A</v>
      </c>
      <c r="M6126" s="4" t="e">
        <f t="shared" si="1245"/>
        <v>#N/A</v>
      </c>
      <c r="N6126" s="4" t="e">
        <f t="shared" si="1246"/>
        <v>#N/A</v>
      </c>
    </row>
    <row r="6127" spans="1:14">
      <c r="A6127">
        <f t="shared" si="1247"/>
        <v>0</v>
      </c>
      <c r="B6127">
        <f t="shared" si="1248"/>
        <v>0</v>
      </c>
      <c r="C6127">
        <f t="shared" si="1249"/>
        <v>0</v>
      </c>
      <c r="D6127">
        <f t="shared" si="1250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51"/>
        <v>0</v>
      </c>
      <c r="G6127">
        <f t="shared" si="1252"/>
        <v>0</v>
      </c>
      <c r="H6127">
        <f t="shared" si="1253"/>
        <v>0</v>
      </c>
      <c r="I6127">
        <f t="shared" si="1254"/>
        <v>0</v>
      </c>
      <c r="J6127">
        <f t="shared" si="1255"/>
        <v>0</v>
      </c>
      <c r="K6127" s="4" t="e">
        <f t="shared" si="1243"/>
        <v>#N/A</v>
      </c>
      <c r="L6127" t="e">
        <f t="shared" si="1244"/>
        <v>#N/A</v>
      </c>
      <c r="M6127" s="4" t="e">
        <f t="shared" si="1245"/>
        <v>#N/A</v>
      </c>
      <c r="N6127" s="4" t="e">
        <f t="shared" si="1246"/>
        <v>#N/A</v>
      </c>
    </row>
    <row r="6128" spans="1:14">
      <c r="A6128">
        <f t="shared" si="1247"/>
        <v>0</v>
      </c>
      <c r="B6128">
        <f t="shared" si="1248"/>
        <v>0</v>
      </c>
      <c r="C6128">
        <f t="shared" si="1249"/>
        <v>0</v>
      </c>
      <c r="D6128">
        <f t="shared" si="1250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51"/>
        <v>0</v>
      </c>
      <c r="G6128">
        <f t="shared" si="1252"/>
        <v>0</v>
      </c>
      <c r="H6128">
        <f t="shared" si="1253"/>
        <v>0</v>
      </c>
      <c r="I6128">
        <f t="shared" si="1254"/>
        <v>0</v>
      </c>
      <c r="J6128">
        <f t="shared" si="1255"/>
        <v>0</v>
      </c>
      <c r="K6128" s="4" t="e">
        <f t="shared" si="1243"/>
        <v>#N/A</v>
      </c>
      <c r="L6128" t="e">
        <f t="shared" si="1244"/>
        <v>#N/A</v>
      </c>
      <c r="M6128" s="4" t="e">
        <f t="shared" si="1245"/>
        <v>#N/A</v>
      </c>
      <c r="N6128" s="4" t="e">
        <f t="shared" si="1246"/>
        <v>#N/A</v>
      </c>
    </row>
    <row r="6129" spans="1:14">
      <c r="A6129">
        <f t="shared" si="1247"/>
        <v>0</v>
      </c>
      <c r="B6129">
        <f t="shared" si="1248"/>
        <v>0</v>
      </c>
      <c r="C6129">
        <f t="shared" si="1249"/>
        <v>0</v>
      </c>
      <c r="D6129">
        <f t="shared" si="1250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51"/>
        <v>0</v>
      </c>
      <c r="G6129">
        <f t="shared" si="1252"/>
        <v>0</v>
      </c>
      <c r="H6129">
        <f t="shared" si="1253"/>
        <v>0</v>
      </c>
      <c r="I6129">
        <f t="shared" si="1254"/>
        <v>0</v>
      </c>
      <c r="J6129">
        <f t="shared" si="1255"/>
        <v>0</v>
      </c>
      <c r="K6129" s="4" t="e">
        <f t="shared" si="1243"/>
        <v>#N/A</v>
      </c>
      <c r="L6129" t="e">
        <f t="shared" si="1244"/>
        <v>#N/A</v>
      </c>
      <c r="M6129" s="4" t="e">
        <f t="shared" si="1245"/>
        <v>#N/A</v>
      </c>
      <c r="N6129" s="4" t="e">
        <f t="shared" si="1246"/>
        <v>#N/A</v>
      </c>
    </row>
    <row r="6130" spans="1:14">
      <c r="A6130">
        <f t="shared" si="1247"/>
        <v>0</v>
      </c>
      <c r="B6130">
        <f t="shared" si="1248"/>
        <v>0</v>
      </c>
      <c r="C6130">
        <f t="shared" si="1249"/>
        <v>0</v>
      </c>
      <c r="D6130">
        <f t="shared" si="1250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51"/>
        <v>0</v>
      </c>
      <c r="G6130">
        <f t="shared" si="1252"/>
        <v>0</v>
      </c>
      <c r="H6130">
        <f t="shared" si="1253"/>
        <v>0</v>
      </c>
      <c r="I6130">
        <f t="shared" si="1254"/>
        <v>0</v>
      </c>
      <c r="J6130">
        <f t="shared" si="1255"/>
        <v>0</v>
      </c>
      <c r="K6130" s="4" t="e">
        <f t="shared" si="1243"/>
        <v>#N/A</v>
      </c>
      <c r="L6130" t="e">
        <f t="shared" si="1244"/>
        <v>#N/A</v>
      </c>
      <c r="M6130" s="4" t="e">
        <f t="shared" si="1245"/>
        <v>#N/A</v>
      </c>
      <c r="N6130" s="4" t="e">
        <f t="shared" si="1246"/>
        <v>#N/A</v>
      </c>
    </row>
    <row r="6131" spans="1:14">
      <c r="A6131">
        <f t="shared" si="1247"/>
        <v>0</v>
      </c>
      <c r="B6131">
        <f t="shared" si="1248"/>
        <v>0</v>
      </c>
      <c r="C6131">
        <f t="shared" si="1249"/>
        <v>0</v>
      </c>
      <c r="D6131">
        <f t="shared" si="1250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51"/>
        <v>0</v>
      </c>
      <c r="G6131">
        <f t="shared" si="1252"/>
        <v>0</v>
      </c>
      <c r="H6131">
        <f t="shared" si="1253"/>
        <v>0</v>
      </c>
      <c r="I6131">
        <f t="shared" si="1254"/>
        <v>0</v>
      </c>
      <c r="J6131">
        <f t="shared" si="1255"/>
        <v>0</v>
      </c>
      <c r="K6131" s="4" t="e">
        <f t="shared" si="1243"/>
        <v>#N/A</v>
      </c>
      <c r="L6131" t="e">
        <f t="shared" si="1244"/>
        <v>#N/A</v>
      </c>
      <c r="M6131" s="4" t="e">
        <f t="shared" si="1245"/>
        <v>#N/A</v>
      </c>
      <c r="N6131" s="4" t="e">
        <f t="shared" si="1246"/>
        <v>#N/A</v>
      </c>
    </row>
    <row r="6132" spans="1:14">
      <c r="A6132">
        <f t="shared" si="1247"/>
        <v>0</v>
      </c>
      <c r="B6132">
        <f t="shared" si="1248"/>
        <v>0</v>
      </c>
      <c r="C6132">
        <f t="shared" si="1249"/>
        <v>0</v>
      </c>
      <c r="D6132">
        <f t="shared" si="1250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51"/>
        <v>0</v>
      </c>
      <c r="G6132">
        <f t="shared" si="1252"/>
        <v>0</v>
      </c>
      <c r="H6132">
        <f t="shared" si="1253"/>
        <v>0</v>
      </c>
      <c r="I6132">
        <f t="shared" si="1254"/>
        <v>0</v>
      </c>
      <c r="J6132">
        <f t="shared" si="1255"/>
        <v>0</v>
      </c>
      <c r="K6132" s="4" t="e">
        <f t="shared" si="1243"/>
        <v>#N/A</v>
      </c>
      <c r="L6132" t="e">
        <f t="shared" si="1244"/>
        <v>#N/A</v>
      </c>
      <c r="M6132" s="4" t="e">
        <f t="shared" si="1245"/>
        <v>#N/A</v>
      </c>
      <c r="N6132" s="4" t="e">
        <f t="shared" si="1246"/>
        <v>#N/A</v>
      </c>
    </row>
    <row r="6133" spans="1:14">
      <c r="A6133">
        <f t="shared" si="1247"/>
        <v>0</v>
      </c>
      <c r="B6133">
        <f t="shared" si="1248"/>
        <v>0</v>
      </c>
      <c r="C6133">
        <f t="shared" si="1249"/>
        <v>0</v>
      </c>
      <c r="D6133">
        <f t="shared" si="1250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51"/>
        <v>0</v>
      </c>
      <c r="G6133">
        <f t="shared" si="1252"/>
        <v>0</v>
      </c>
      <c r="H6133">
        <f t="shared" si="1253"/>
        <v>0</v>
      </c>
      <c r="I6133">
        <f t="shared" si="1254"/>
        <v>0</v>
      </c>
      <c r="J6133">
        <f t="shared" si="1255"/>
        <v>0</v>
      </c>
      <c r="K6133" s="4" t="e">
        <f t="shared" si="1243"/>
        <v>#N/A</v>
      </c>
      <c r="L6133" t="e">
        <f t="shared" si="1244"/>
        <v>#N/A</v>
      </c>
      <c r="M6133" s="4" t="e">
        <f t="shared" si="1245"/>
        <v>#N/A</v>
      </c>
      <c r="N6133" s="4" t="e">
        <f t="shared" si="1246"/>
        <v>#N/A</v>
      </c>
    </row>
    <row r="6134" spans="1:14">
      <c r="A6134">
        <f t="shared" si="1247"/>
        <v>0</v>
      </c>
      <c r="B6134">
        <f t="shared" si="1248"/>
        <v>0</v>
      </c>
      <c r="C6134">
        <f t="shared" si="1249"/>
        <v>0</v>
      </c>
      <c r="D6134">
        <f t="shared" si="1250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51"/>
        <v>0</v>
      </c>
      <c r="G6134">
        <f t="shared" si="1252"/>
        <v>0</v>
      </c>
      <c r="H6134">
        <f t="shared" si="1253"/>
        <v>0</v>
      </c>
      <c r="I6134">
        <f t="shared" si="1254"/>
        <v>0</v>
      </c>
      <c r="J6134">
        <f t="shared" si="1255"/>
        <v>0</v>
      </c>
      <c r="K6134" s="4" t="e">
        <f t="shared" si="1243"/>
        <v>#N/A</v>
      </c>
      <c r="L6134" t="e">
        <f t="shared" si="1244"/>
        <v>#N/A</v>
      </c>
      <c r="M6134" s="4" t="e">
        <f t="shared" si="1245"/>
        <v>#N/A</v>
      </c>
      <c r="N6134" s="4" t="e">
        <f t="shared" si="1246"/>
        <v>#N/A</v>
      </c>
    </row>
    <row r="6135" spans="1:14">
      <c r="A6135">
        <f t="shared" si="1247"/>
        <v>0</v>
      </c>
      <c r="B6135">
        <f t="shared" si="1248"/>
        <v>0</v>
      </c>
      <c r="C6135">
        <f t="shared" si="1249"/>
        <v>0</v>
      </c>
      <c r="D6135">
        <f t="shared" si="1250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51"/>
        <v>0</v>
      </c>
      <c r="G6135">
        <f t="shared" si="1252"/>
        <v>0</v>
      </c>
      <c r="H6135">
        <f t="shared" si="1253"/>
        <v>0</v>
      </c>
      <c r="I6135">
        <f t="shared" si="1254"/>
        <v>0</v>
      </c>
      <c r="J6135">
        <f t="shared" si="1255"/>
        <v>0</v>
      </c>
      <c r="K6135" s="4" t="e">
        <f t="shared" si="1243"/>
        <v>#N/A</v>
      </c>
      <c r="L6135" t="e">
        <f t="shared" si="1244"/>
        <v>#N/A</v>
      </c>
      <c r="M6135" s="4" t="e">
        <f t="shared" si="1245"/>
        <v>#N/A</v>
      </c>
      <c r="N6135" s="4" t="e">
        <f t="shared" si="1246"/>
        <v>#N/A</v>
      </c>
    </row>
    <row r="6136" spans="1:14">
      <c r="A6136">
        <f t="shared" si="1247"/>
        <v>0</v>
      </c>
      <c r="B6136">
        <f t="shared" si="1248"/>
        <v>0</v>
      </c>
      <c r="C6136">
        <f t="shared" si="1249"/>
        <v>0</v>
      </c>
      <c r="D6136">
        <f t="shared" si="1250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51"/>
        <v>0</v>
      </c>
      <c r="G6136">
        <f t="shared" si="1252"/>
        <v>0</v>
      </c>
      <c r="H6136">
        <f t="shared" si="1253"/>
        <v>0</v>
      </c>
      <c r="I6136">
        <f t="shared" si="1254"/>
        <v>0</v>
      </c>
      <c r="J6136">
        <f t="shared" si="1255"/>
        <v>0</v>
      </c>
      <c r="K6136" s="4" t="e">
        <f t="shared" si="1243"/>
        <v>#N/A</v>
      </c>
      <c r="L6136" t="e">
        <f t="shared" si="1244"/>
        <v>#N/A</v>
      </c>
      <c r="M6136" s="4" t="e">
        <f t="shared" si="1245"/>
        <v>#N/A</v>
      </c>
      <c r="N6136" s="4" t="e">
        <f t="shared" si="1246"/>
        <v>#N/A</v>
      </c>
    </row>
    <row r="6137" spans="1:14">
      <c r="A6137">
        <f t="shared" si="1247"/>
        <v>0</v>
      </c>
      <c r="B6137">
        <f t="shared" si="1248"/>
        <v>0</v>
      </c>
      <c r="C6137">
        <f t="shared" si="1249"/>
        <v>0</v>
      </c>
      <c r="D6137">
        <f t="shared" si="1250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51"/>
        <v>0</v>
      </c>
      <c r="G6137">
        <f t="shared" si="1252"/>
        <v>0</v>
      </c>
      <c r="H6137">
        <f t="shared" si="1253"/>
        <v>0</v>
      </c>
      <c r="I6137">
        <f t="shared" si="1254"/>
        <v>0</v>
      </c>
      <c r="J6137">
        <f t="shared" si="1255"/>
        <v>0</v>
      </c>
      <c r="K6137" s="4" t="e">
        <f t="shared" si="1243"/>
        <v>#N/A</v>
      </c>
      <c r="L6137" t="e">
        <f t="shared" si="1244"/>
        <v>#N/A</v>
      </c>
      <c r="M6137" s="4" t="e">
        <f t="shared" si="1245"/>
        <v>#N/A</v>
      </c>
      <c r="N6137" s="4" t="e">
        <f t="shared" si="1246"/>
        <v>#N/A</v>
      </c>
    </row>
    <row r="6138" spans="1:14">
      <c r="A6138">
        <f t="shared" si="1247"/>
        <v>0</v>
      </c>
      <c r="B6138">
        <f t="shared" si="1248"/>
        <v>0</v>
      </c>
      <c r="C6138">
        <f t="shared" si="1249"/>
        <v>0</v>
      </c>
      <c r="D6138">
        <f t="shared" si="1250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51"/>
        <v>0</v>
      </c>
      <c r="G6138">
        <f t="shared" si="1252"/>
        <v>0</v>
      </c>
      <c r="H6138">
        <f t="shared" si="1253"/>
        <v>0</v>
      </c>
      <c r="I6138">
        <f t="shared" si="1254"/>
        <v>0</v>
      </c>
      <c r="J6138">
        <f t="shared" si="1255"/>
        <v>0</v>
      </c>
      <c r="K6138" s="4" t="e">
        <f t="shared" si="1243"/>
        <v>#N/A</v>
      </c>
      <c r="L6138" t="e">
        <f t="shared" si="1244"/>
        <v>#N/A</v>
      </c>
      <c r="M6138" s="4" t="e">
        <f t="shared" si="1245"/>
        <v>#N/A</v>
      </c>
      <c r="N6138" s="4" t="e">
        <f t="shared" si="1246"/>
        <v>#N/A</v>
      </c>
    </row>
    <row r="6139" spans="1:14">
      <c r="A6139">
        <f t="shared" si="1247"/>
        <v>0</v>
      </c>
      <c r="B6139">
        <f t="shared" si="1248"/>
        <v>0</v>
      </c>
      <c r="C6139">
        <f t="shared" si="1249"/>
        <v>0</v>
      </c>
      <c r="D6139">
        <f t="shared" si="1250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51"/>
        <v>0</v>
      </c>
      <c r="G6139">
        <f t="shared" si="1252"/>
        <v>0</v>
      </c>
      <c r="H6139">
        <f t="shared" si="1253"/>
        <v>0</v>
      </c>
      <c r="I6139">
        <f t="shared" si="1254"/>
        <v>0</v>
      </c>
      <c r="J6139">
        <f t="shared" si="1255"/>
        <v>0</v>
      </c>
      <c r="K6139" s="4" t="e">
        <f t="shared" si="1243"/>
        <v>#N/A</v>
      </c>
      <c r="L6139" t="e">
        <f t="shared" si="1244"/>
        <v>#N/A</v>
      </c>
      <c r="M6139" s="4" t="e">
        <f t="shared" si="1245"/>
        <v>#N/A</v>
      </c>
      <c r="N6139" s="4" t="e">
        <f t="shared" si="1246"/>
        <v>#N/A</v>
      </c>
    </row>
    <row r="6140" spans="1:14">
      <c r="A6140">
        <f t="shared" si="1247"/>
        <v>0</v>
      </c>
      <c r="B6140">
        <f t="shared" si="1248"/>
        <v>0</v>
      </c>
      <c r="C6140">
        <f t="shared" si="1249"/>
        <v>0</v>
      </c>
      <c r="D6140">
        <f t="shared" si="1250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51"/>
        <v>0</v>
      </c>
      <c r="G6140">
        <f t="shared" si="1252"/>
        <v>0</v>
      </c>
      <c r="H6140">
        <f t="shared" si="1253"/>
        <v>0</v>
      </c>
      <c r="I6140">
        <f t="shared" si="1254"/>
        <v>0</v>
      </c>
      <c r="J6140">
        <f t="shared" si="1255"/>
        <v>0</v>
      </c>
      <c r="K6140" s="4" t="e">
        <f t="shared" si="1243"/>
        <v>#N/A</v>
      </c>
      <c r="L6140" t="e">
        <f t="shared" si="1244"/>
        <v>#N/A</v>
      </c>
      <c r="M6140" s="4" t="e">
        <f t="shared" si="1245"/>
        <v>#N/A</v>
      </c>
      <c r="N6140" s="4" t="e">
        <f t="shared" si="1246"/>
        <v>#N/A</v>
      </c>
    </row>
    <row r="6141" spans="1:14">
      <c r="A6141">
        <f t="shared" si="1247"/>
        <v>0</v>
      </c>
      <c r="B6141">
        <f t="shared" si="1248"/>
        <v>0</v>
      </c>
      <c r="C6141">
        <f t="shared" si="1249"/>
        <v>0</v>
      </c>
      <c r="D6141">
        <f t="shared" si="1250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51"/>
        <v>0</v>
      </c>
      <c r="G6141">
        <f t="shared" si="1252"/>
        <v>0</v>
      </c>
      <c r="H6141">
        <f t="shared" si="1253"/>
        <v>0</v>
      </c>
      <c r="I6141">
        <f t="shared" si="1254"/>
        <v>0</v>
      </c>
      <c r="J6141">
        <f t="shared" si="1255"/>
        <v>0</v>
      </c>
      <c r="K6141" s="4" t="e">
        <f t="shared" ref="K6141:K6204" si="1256">IF(LEFT(B6141,3)="DBM",0,VLOOKUP(E6141,tabela,2,FALSE))</f>
        <v>#N/A</v>
      </c>
      <c r="L6141" t="e">
        <f t="shared" ref="L6141:L6204" si="1257">VLOOKUP(E6141,tabela,3,FALSE)</f>
        <v>#N/A</v>
      </c>
      <c r="M6141" s="4" t="e">
        <f t="shared" ref="M6141:M6204" si="1258">IF(E6141="Dynamic Click",J6141*K6141,K6141*$I6141/1000)</f>
        <v>#N/A</v>
      </c>
      <c r="N6141" s="4" t="e">
        <f t="shared" ref="N6141:N6204" si="1259">IF(E6141="Dynamic Click",J6141*L6141,L6141*$I6141/1000)</f>
        <v>#N/A</v>
      </c>
    </row>
    <row r="6142" spans="1:14">
      <c r="A6142">
        <f t="shared" si="1247"/>
        <v>0</v>
      </c>
      <c r="B6142">
        <f t="shared" si="1248"/>
        <v>0</v>
      </c>
      <c r="C6142">
        <f t="shared" si="1249"/>
        <v>0</v>
      </c>
      <c r="D6142">
        <f t="shared" si="1250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51"/>
        <v>0</v>
      </c>
      <c r="G6142">
        <f t="shared" si="1252"/>
        <v>0</v>
      </c>
      <c r="H6142">
        <f t="shared" si="1253"/>
        <v>0</v>
      </c>
      <c r="I6142">
        <f t="shared" si="1254"/>
        <v>0</v>
      </c>
      <c r="J6142">
        <f t="shared" si="1255"/>
        <v>0</v>
      </c>
      <c r="K6142" s="4" t="e">
        <f t="shared" si="1256"/>
        <v>#N/A</v>
      </c>
      <c r="L6142" t="e">
        <f t="shared" si="1257"/>
        <v>#N/A</v>
      </c>
      <c r="M6142" s="4" t="e">
        <f t="shared" si="1258"/>
        <v>#N/A</v>
      </c>
      <c r="N6142" s="4" t="e">
        <f t="shared" si="1259"/>
        <v>#N/A</v>
      </c>
    </row>
    <row r="6143" spans="1:14">
      <c r="A6143">
        <f t="shared" si="1247"/>
        <v>0</v>
      </c>
      <c r="B6143">
        <f t="shared" si="1248"/>
        <v>0</v>
      </c>
      <c r="C6143">
        <f t="shared" si="1249"/>
        <v>0</v>
      </c>
      <c r="D6143">
        <f t="shared" si="1250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51"/>
        <v>0</v>
      </c>
      <c r="G6143">
        <f t="shared" si="1252"/>
        <v>0</v>
      </c>
      <c r="H6143">
        <f t="shared" si="1253"/>
        <v>0</v>
      </c>
      <c r="I6143">
        <f t="shared" si="1254"/>
        <v>0</v>
      </c>
      <c r="J6143">
        <f t="shared" si="1255"/>
        <v>0</v>
      </c>
      <c r="K6143" s="4" t="e">
        <f t="shared" si="1256"/>
        <v>#N/A</v>
      </c>
      <c r="L6143" t="e">
        <f t="shared" si="1257"/>
        <v>#N/A</v>
      </c>
      <c r="M6143" s="4" t="e">
        <f t="shared" si="1258"/>
        <v>#N/A</v>
      </c>
      <c r="N6143" s="4" t="e">
        <f t="shared" si="1259"/>
        <v>#N/A</v>
      </c>
    </row>
    <row r="6144" spans="1:14">
      <c r="A6144">
        <f t="shared" si="1247"/>
        <v>0</v>
      </c>
      <c r="B6144">
        <f t="shared" si="1248"/>
        <v>0</v>
      </c>
      <c r="C6144">
        <f t="shared" si="1249"/>
        <v>0</v>
      </c>
      <c r="D6144">
        <f t="shared" si="1250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51"/>
        <v>0</v>
      </c>
      <c r="G6144">
        <f t="shared" si="1252"/>
        <v>0</v>
      </c>
      <c r="H6144">
        <f t="shared" si="1253"/>
        <v>0</v>
      </c>
      <c r="I6144">
        <f t="shared" si="1254"/>
        <v>0</v>
      </c>
      <c r="J6144">
        <f t="shared" si="1255"/>
        <v>0</v>
      </c>
      <c r="K6144" s="4" t="e">
        <f t="shared" si="1256"/>
        <v>#N/A</v>
      </c>
      <c r="L6144" t="e">
        <f t="shared" si="1257"/>
        <v>#N/A</v>
      </c>
      <c r="M6144" s="4" t="e">
        <f t="shared" si="1258"/>
        <v>#N/A</v>
      </c>
      <c r="N6144" s="4" t="e">
        <f t="shared" si="1259"/>
        <v>#N/A</v>
      </c>
    </row>
    <row r="6145" spans="1:14">
      <c r="A6145">
        <f t="shared" si="1247"/>
        <v>0</v>
      </c>
      <c r="B6145">
        <f t="shared" si="1248"/>
        <v>0</v>
      </c>
      <c r="C6145">
        <f t="shared" si="1249"/>
        <v>0</v>
      </c>
      <c r="D6145">
        <f t="shared" si="1250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51"/>
        <v>0</v>
      </c>
      <c r="G6145">
        <f t="shared" si="1252"/>
        <v>0</v>
      </c>
      <c r="H6145">
        <f t="shared" si="1253"/>
        <v>0</v>
      </c>
      <c r="I6145">
        <f t="shared" si="1254"/>
        <v>0</v>
      </c>
      <c r="J6145">
        <f t="shared" si="1255"/>
        <v>0</v>
      </c>
      <c r="K6145" s="4" t="e">
        <f t="shared" si="1256"/>
        <v>#N/A</v>
      </c>
      <c r="L6145" t="e">
        <f t="shared" si="1257"/>
        <v>#N/A</v>
      </c>
      <c r="M6145" s="4" t="e">
        <f t="shared" si="1258"/>
        <v>#N/A</v>
      </c>
      <c r="N6145" s="4" t="e">
        <f t="shared" si="1259"/>
        <v>#N/A</v>
      </c>
    </row>
    <row r="6146" spans="1:14">
      <c r="A6146">
        <f t="shared" ref="A6146:A6209" si="1260">bd_campaign</f>
        <v>0</v>
      </c>
      <c r="B6146">
        <f t="shared" ref="B6146:B6209" si="1261">bd_site</f>
        <v>0</v>
      </c>
      <c r="C6146">
        <f t="shared" ref="C6146:C6209" si="1262">bd_placement</f>
        <v>0</v>
      </c>
      <c r="D6146">
        <f t="shared" ref="D6146:D6209" si="1263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4">bd_ad</f>
        <v>0</v>
      </c>
      <c r="G6146">
        <f t="shared" ref="G6146:G6209" si="1265">bd_adid</f>
        <v>0</v>
      </c>
      <c r="H6146">
        <f t="shared" ref="H6146:H6209" si="1266">bd_creativetype</f>
        <v>0</v>
      </c>
      <c r="I6146">
        <f t="shared" ref="I6146:I6209" si="1267">bd_impression</f>
        <v>0</v>
      </c>
      <c r="J6146">
        <f t="shared" ref="J6146:J6209" si="1268">bd_clicks</f>
        <v>0</v>
      </c>
      <c r="K6146" s="4" t="e">
        <f t="shared" si="1256"/>
        <v>#N/A</v>
      </c>
      <c r="L6146" t="e">
        <f t="shared" si="1257"/>
        <v>#N/A</v>
      </c>
      <c r="M6146" s="4" t="e">
        <f t="shared" si="1258"/>
        <v>#N/A</v>
      </c>
      <c r="N6146" s="4" t="e">
        <f t="shared" si="1259"/>
        <v>#N/A</v>
      </c>
    </row>
    <row r="6147" spans="1:14">
      <c r="A6147">
        <f t="shared" si="1260"/>
        <v>0</v>
      </c>
      <c r="B6147">
        <f t="shared" si="1261"/>
        <v>0</v>
      </c>
      <c r="C6147">
        <f t="shared" si="1262"/>
        <v>0</v>
      </c>
      <c r="D6147">
        <f t="shared" si="1263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4"/>
        <v>0</v>
      </c>
      <c r="G6147">
        <f t="shared" si="1265"/>
        <v>0</v>
      </c>
      <c r="H6147">
        <f t="shared" si="1266"/>
        <v>0</v>
      </c>
      <c r="I6147">
        <f t="shared" si="1267"/>
        <v>0</v>
      </c>
      <c r="J6147">
        <f t="shared" si="1268"/>
        <v>0</v>
      </c>
      <c r="K6147" s="4" t="e">
        <f t="shared" si="1256"/>
        <v>#N/A</v>
      </c>
      <c r="L6147" t="e">
        <f t="shared" si="1257"/>
        <v>#N/A</v>
      </c>
      <c r="M6147" s="4" t="e">
        <f t="shared" si="1258"/>
        <v>#N/A</v>
      </c>
      <c r="N6147" s="4" t="e">
        <f t="shared" si="1259"/>
        <v>#N/A</v>
      </c>
    </row>
    <row r="6148" spans="1:14">
      <c r="A6148">
        <f t="shared" si="1260"/>
        <v>0</v>
      </c>
      <c r="B6148">
        <f t="shared" si="1261"/>
        <v>0</v>
      </c>
      <c r="C6148">
        <f t="shared" si="1262"/>
        <v>0</v>
      </c>
      <c r="D6148">
        <f t="shared" si="1263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4"/>
        <v>0</v>
      </c>
      <c r="G6148">
        <f t="shared" si="1265"/>
        <v>0</v>
      </c>
      <c r="H6148">
        <f t="shared" si="1266"/>
        <v>0</v>
      </c>
      <c r="I6148">
        <f t="shared" si="1267"/>
        <v>0</v>
      </c>
      <c r="J6148">
        <f t="shared" si="1268"/>
        <v>0</v>
      </c>
      <c r="K6148" s="4" t="e">
        <f t="shared" si="1256"/>
        <v>#N/A</v>
      </c>
      <c r="L6148" t="e">
        <f t="shared" si="1257"/>
        <v>#N/A</v>
      </c>
      <c r="M6148" s="4" t="e">
        <f t="shared" si="1258"/>
        <v>#N/A</v>
      </c>
      <c r="N6148" s="4" t="e">
        <f t="shared" si="1259"/>
        <v>#N/A</v>
      </c>
    </row>
    <row r="6149" spans="1:14">
      <c r="A6149">
        <f t="shared" si="1260"/>
        <v>0</v>
      </c>
      <c r="B6149">
        <f t="shared" si="1261"/>
        <v>0</v>
      </c>
      <c r="C6149">
        <f t="shared" si="1262"/>
        <v>0</v>
      </c>
      <c r="D6149">
        <f t="shared" si="1263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4"/>
        <v>0</v>
      </c>
      <c r="G6149">
        <f t="shared" si="1265"/>
        <v>0</v>
      </c>
      <c r="H6149">
        <f t="shared" si="1266"/>
        <v>0</v>
      </c>
      <c r="I6149">
        <f t="shared" si="1267"/>
        <v>0</v>
      </c>
      <c r="J6149">
        <f t="shared" si="1268"/>
        <v>0</v>
      </c>
      <c r="K6149" s="4" t="e">
        <f t="shared" si="1256"/>
        <v>#N/A</v>
      </c>
      <c r="L6149" t="e">
        <f t="shared" si="1257"/>
        <v>#N/A</v>
      </c>
      <c r="M6149" s="4" t="e">
        <f t="shared" si="1258"/>
        <v>#N/A</v>
      </c>
      <c r="N6149" s="4" t="e">
        <f t="shared" si="1259"/>
        <v>#N/A</v>
      </c>
    </row>
    <row r="6150" spans="1:14">
      <c r="A6150">
        <f t="shared" si="1260"/>
        <v>0</v>
      </c>
      <c r="B6150">
        <f t="shared" si="1261"/>
        <v>0</v>
      </c>
      <c r="C6150">
        <f t="shared" si="1262"/>
        <v>0</v>
      </c>
      <c r="D6150">
        <f t="shared" si="1263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4"/>
        <v>0</v>
      </c>
      <c r="G6150">
        <f t="shared" si="1265"/>
        <v>0</v>
      </c>
      <c r="H6150">
        <f t="shared" si="1266"/>
        <v>0</v>
      </c>
      <c r="I6150">
        <f t="shared" si="1267"/>
        <v>0</v>
      </c>
      <c r="J6150">
        <f t="shared" si="1268"/>
        <v>0</v>
      </c>
      <c r="K6150" s="4" t="e">
        <f t="shared" si="1256"/>
        <v>#N/A</v>
      </c>
      <c r="L6150" t="e">
        <f t="shared" si="1257"/>
        <v>#N/A</v>
      </c>
      <c r="M6150" s="4" t="e">
        <f t="shared" si="1258"/>
        <v>#N/A</v>
      </c>
      <c r="N6150" s="4" t="e">
        <f t="shared" si="1259"/>
        <v>#N/A</v>
      </c>
    </row>
    <row r="6151" spans="1:14">
      <c r="A6151">
        <f t="shared" si="1260"/>
        <v>0</v>
      </c>
      <c r="B6151">
        <f t="shared" si="1261"/>
        <v>0</v>
      </c>
      <c r="C6151">
        <f t="shared" si="1262"/>
        <v>0</v>
      </c>
      <c r="D6151">
        <f t="shared" si="1263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4"/>
        <v>0</v>
      </c>
      <c r="G6151">
        <f t="shared" si="1265"/>
        <v>0</v>
      </c>
      <c r="H6151">
        <f t="shared" si="1266"/>
        <v>0</v>
      </c>
      <c r="I6151">
        <f t="shared" si="1267"/>
        <v>0</v>
      </c>
      <c r="J6151">
        <f t="shared" si="1268"/>
        <v>0</v>
      </c>
      <c r="K6151" s="4" t="e">
        <f t="shared" si="1256"/>
        <v>#N/A</v>
      </c>
      <c r="L6151" t="e">
        <f t="shared" si="1257"/>
        <v>#N/A</v>
      </c>
      <c r="M6151" s="4" t="e">
        <f t="shared" si="1258"/>
        <v>#N/A</v>
      </c>
      <c r="N6151" s="4" t="e">
        <f t="shared" si="1259"/>
        <v>#N/A</v>
      </c>
    </row>
    <row r="6152" spans="1:14">
      <c r="A6152">
        <f t="shared" si="1260"/>
        <v>0</v>
      </c>
      <c r="B6152">
        <f t="shared" si="1261"/>
        <v>0</v>
      </c>
      <c r="C6152">
        <f t="shared" si="1262"/>
        <v>0</v>
      </c>
      <c r="D6152">
        <f t="shared" si="1263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4"/>
        <v>0</v>
      </c>
      <c r="G6152">
        <f t="shared" si="1265"/>
        <v>0</v>
      </c>
      <c r="H6152">
        <f t="shared" si="1266"/>
        <v>0</v>
      </c>
      <c r="I6152">
        <f t="shared" si="1267"/>
        <v>0</v>
      </c>
      <c r="J6152">
        <f t="shared" si="1268"/>
        <v>0</v>
      </c>
      <c r="K6152" s="4" t="e">
        <f t="shared" si="1256"/>
        <v>#N/A</v>
      </c>
      <c r="L6152" t="e">
        <f t="shared" si="1257"/>
        <v>#N/A</v>
      </c>
      <c r="M6152" s="4" t="e">
        <f t="shared" si="1258"/>
        <v>#N/A</v>
      </c>
      <c r="N6152" s="4" t="e">
        <f t="shared" si="1259"/>
        <v>#N/A</v>
      </c>
    </row>
    <row r="6153" spans="1:14">
      <c r="A6153">
        <f t="shared" si="1260"/>
        <v>0</v>
      </c>
      <c r="B6153">
        <f t="shared" si="1261"/>
        <v>0</v>
      </c>
      <c r="C6153">
        <f t="shared" si="1262"/>
        <v>0</v>
      </c>
      <c r="D6153">
        <f t="shared" si="1263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4"/>
        <v>0</v>
      </c>
      <c r="G6153">
        <f t="shared" si="1265"/>
        <v>0</v>
      </c>
      <c r="H6153">
        <f t="shared" si="1266"/>
        <v>0</v>
      </c>
      <c r="I6153">
        <f t="shared" si="1267"/>
        <v>0</v>
      </c>
      <c r="J6153">
        <f t="shared" si="1268"/>
        <v>0</v>
      </c>
      <c r="K6153" s="4" t="e">
        <f t="shared" si="1256"/>
        <v>#N/A</v>
      </c>
      <c r="L6153" t="e">
        <f t="shared" si="1257"/>
        <v>#N/A</v>
      </c>
      <c r="M6153" s="4" t="e">
        <f t="shared" si="1258"/>
        <v>#N/A</v>
      </c>
      <c r="N6153" s="4" t="e">
        <f t="shared" si="1259"/>
        <v>#N/A</v>
      </c>
    </row>
    <row r="6154" spans="1:14">
      <c r="A6154">
        <f t="shared" si="1260"/>
        <v>0</v>
      </c>
      <c r="B6154">
        <f t="shared" si="1261"/>
        <v>0</v>
      </c>
      <c r="C6154">
        <f t="shared" si="1262"/>
        <v>0</v>
      </c>
      <c r="D6154">
        <f t="shared" si="1263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4"/>
        <v>0</v>
      </c>
      <c r="G6154">
        <f t="shared" si="1265"/>
        <v>0</v>
      </c>
      <c r="H6154">
        <f t="shared" si="1266"/>
        <v>0</v>
      </c>
      <c r="I6154">
        <f t="shared" si="1267"/>
        <v>0</v>
      </c>
      <c r="J6154">
        <f t="shared" si="1268"/>
        <v>0</v>
      </c>
      <c r="K6154" s="4" t="e">
        <f t="shared" si="1256"/>
        <v>#N/A</v>
      </c>
      <c r="L6154" t="e">
        <f t="shared" si="1257"/>
        <v>#N/A</v>
      </c>
      <c r="M6154" s="4" t="e">
        <f t="shared" si="1258"/>
        <v>#N/A</v>
      </c>
      <c r="N6154" s="4" t="e">
        <f t="shared" si="1259"/>
        <v>#N/A</v>
      </c>
    </row>
    <row r="6155" spans="1:14">
      <c r="A6155">
        <f t="shared" si="1260"/>
        <v>0</v>
      </c>
      <c r="B6155">
        <f t="shared" si="1261"/>
        <v>0</v>
      </c>
      <c r="C6155">
        <f t="shared" si="1262"/>
        <v>0</v>
      </c>
      <c r="D6155">
        <f t="shared" si="1263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4"/>
        <v>0</v>
      </c>
      <c r="G6155">
        <f t="shared" si="1265"/>
        <v>0</v>
      </c>
      <c r="H6155">
        <f t="shared" si="1266"/>
        <v>0</v>
      </c>
      <c r="I6155">
        <f t="shared" si="1267"/>
        <v>0</v>
      </c>
      <c r="J6155">
        <f t="shared" si="1268"/>
        <v>0</v>
      </c>
      <c r="K6155" s="4" t="e">
        <f t="shared" si="1256"/>
        <v>#N/A</v>
      </c>
      <c r="L6155" t="e">
        <f t="shared" si="1257"/>
        <v>#N/A</v>
      </c>
      <c r="M6155" s="4" t="e">
        <f t="shared" si="1258"/>
        <v>#N/A</v>
      </c>
      <c r="N6155" s="4" t="e">
        <f t="shared" si="1259"/>
        <v>#N/A</v>
      </c>
    </row>
    <row r="6156" spans="1:14">
      <c r="A6156">
        <f t="shared" si="1260"/>
        <v>0</v>
      </c>
      <c r="B6156">
        <f t="shared" si="1261"/>
        <v>0</v>
      </c>
      <c r="C6156">
        <f t="shared" si="1262"/>
        <v>0</v>
      </c>
      <c r="D6156">
        <f t="shared" si="1263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4"/>
        <v>0</v>
      </c>
      <c r="G6156">
        <f t="shared" si="1265"/>
        <v>0</v>
      </c>
      <c r="H6156">
        <f t="shared" si="1266"/>
        <v>0</v>
      </c>
      <c r="I6156">
        <f t="shared" si="1267"/>
        <v>0</v>
      </c>
      <c r="J6156">
        <f t="shared" si="1268"/>
        <v>0</v>
      </c>
      <c r="K6156" s="4" t="e">
        <f t="shared" si="1256"/>
        <v>#N/A</v>
      </c>
      <c r="L6156" t="e">
        <f t="shared" si="1257"/>
        <v>#N/A</v>
      </c>
      <c r="M6156" s="4" t="e">
        <f t="shared" si="1258"/>
        <v>#N/A</v>
      </c>
      <c r="N6156" s="4" t="e">
        <f t="shared" si="1259"/>
        <v>#N/A</v>
      </c>
    </row>
    <row r="6157" spans="1:14">
      <c r="A6157">
        <f t="shared" si="1260"/>
        <v>0</v>
      </c>
      <c r="B6157">
        <f t="shared" si="1261"/>
        <v>0</v>
      </c>
      <c r="C6157">
        <f t="shared" si="1262"/>
        <v>0</v>
      </c>
      <c r="D6157">
        <f t="shared" si="1263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4"/>
        <v>0</v>
      </c>
      <c r="G6157">
        <f t="shared" si="1265"/>
        <v>0</v>
      </c>
      <c r="H6157">
        <f t="shared" si="1266"/>
        <v>0</v>
      </c>
      <c r="I6157">
        <f t="shared" si="1267"/>
        <v>0</v>
      </c>
      <c r="J6157">
        <f t="shared" si="1268"/>
        <v>0</v>
      </c>
      <c r="K6157" s="4" t="e">
        <f t="shared" si="1256"/>
        <v>#N/A</v>
      </c>
      <c r="L6157" t="e">
        <f t="shared" si="1257"/>
        <v>#N/A</v>
      </c>
      <c r="M6157" s="4" t="e">
        <f t="shared" si="1258"/>
        <v>#N/A</v>
      </c>
      <c r="N6157" s="4" t="e">
        <f t="shared" si="1259"/>
        <v>#N/A</v>
      </c>
    </row>
    <row r="6158" spans="1:14">
      <c r="A6158">
        <f t="shared" si="1260"/>
        <v>0</v>
      </c>
      <c r="B6158">
        <f t="shared" si="1261"/>
        <v>0</v>
      </c>
      <c r="C6158">
        <f t="shared" si="1262"/>
        <v>0</v>
      </c>
      <c r="D6158">
        <f t="shared" si="1263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4"/>
        <v>0</v>
      </c>
      <c r="G6158">
        <f t="shared" si="1265"/>
        <v>0</v>
      </c>
      <c r="H6158">
        <f t="shared" si="1266"/>
        <v>0</v>
      </c>
      <c r="I6158">
        <f t="shared" si="1267"/>
        <v>0</v>
      </c>
      <c r="J6158">
        <f t="shared" si="1268"/>
        <v>0</v>
      </c>
      <c r="K6158" s="4" t="e">
        <f t="shared" si="1256"/>
        <v>#N/A</v>
      </c>
      <c r="L6158" t="e">
        <f t="shared" si="1257"/>
        <v>#N/A</v>
      </c>
      <c r="M6158" s="4" t="e">
        <f t="shared" si="1258"/>
        <v>#N/A</v>
      </c>
      <c r="N6158" s="4" t="e">
        <f t="shared" si="1259"/>
        <v>#N/A</v>
      </c>
    </row>
    <row r="6159" spans="1:14">
      <c r="A6159">
        <f t="shared" si="1260"/>
        <v>0</v>
      </c>
      <c r="B6159">
        <f t="shared" si="1261"/>
        <v>0</v>
      </c>
      <c r="C6159">
        <f t="shared" si="1262"/>
        <v>0</v>
      </c>
      <c r="D6159">
        <f t="shared" si="1263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4"/>
        <v>0</v>
      </c>
      <c r="G6159">
        <f t="shared" si="1265"/>
        <v>0</v>
      </c>
      <c r="H6159">
        <f t="shared" si="1266"/>
        <v>0</v>
      </c>
      <c r="I6159">
        <f t="shared" si="1267"/>
        <v>0</v>
      </c>
      <c r="J6159">
        <f t="shared" si="1268"/>
        <v>0</v>
      </c>
      <c r="K6159" s="4" t="e">
        <f t="shared" si="1256"/>
        <v>#N/A</v>
      </c>
      <c r="L6159" t="e">
        <f t="shared" si="1257"/>
        <v>#N/A</v>
      </c>
      <c r="M6159" s="4" t="e">
        <f t="shared" si="1258"/>
        <v>#N/A</v>
      </c>
      <c r="N6159" s="4" t="e">
        <f t="shared" si="1259"/>
        <v>#N/A</v>
      </c>
    </row>
    <row r="6160" spans="1:14">
      <c r="A6160">
        <f t="shared" si="1260"/>
        <v>0</v>
      </c>
      <c r="B6160">
        <f t="shared" si="1261"/>
        <v>0</v>
      </c>
      <c r="C6160">
        <f t="shared" si="1262"/>
        <v>0</v>
      </c>
      <c r="D6160">
        <f t="shared" si="1263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4"/>
        <v>0</v>
      </c>
      <c r="G6160">
        <f t="shared" si="1265"/>
        <v>0</v>
      </c>
      <c r="H6160">
        <f t="shared" si="1266"/>
        <v>0</v>
      </c>
      <c r="I6160">
        <f t="shared" si="1267"/>
        <v>0</v>
      </c>
      <c r="J6160">
        <f t="shared" si="1268"/>
        <v>0</v>
      </c>
      <c r="K6160" s="4" t="e">
        <f t="shared" si="1256"/>
        <v>#N/A</v>
      </c>
      <c r="L6160" t="e">
        <f t="shared" si="1257"/>
        <v>#N/A</v>
      </c>
      <c r="M6160" s="4" t="e">
        <f t="shared" si="1258"/>
        <v>#N/A</v>
      </c>
      <c r="N6160" s="4" t="e">
        <f t="shared" si="1259"/>
        <v>#N/A</v>
      </c>
    </row>
    <row r="6161" spans="1:14">
      <c r="A6161">
        <f t="shared" si="1260"/>
        <v>0</v>
      </c>
      <c r="B6161">
        <f t="shared" si="1261"/>
        <v>0</v>
      </c>
      <c r="C6161">
        <f t="shared" si="1262"/>
        <v>0</v>
      </c>
      <c r="D6161">
        <f t="shared" si="1263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4"/>
        <v>0</v>
      </c>
      <c r="G6161">
        <f t="shared" si="1265"/>
        <v>0</v>
      </c>
      <c r="H6161">
        <f t="shared" si="1266"/>
        <v>0</v>
      </c>
      <c r="I6161">
        <f t="shared" si="1267"/>
        <v>0</v>
      </c>
      <c r="J6161">
        <f t="shared" si="1268"/>
        <v>0</v>
      </c>
      <c r="K6161" s="4" t="e">
        <f t="shared" si="1256"/>
        <v>#N/A</v>
      </c>
      <c r="L6161" t="e">
        <f t="shared" si="1257"/>
        <v>#N/A</v>
      </c>
      <c r="M6161" s="4" t="e">
        <f t="shared" si="1258"/>
        <v>#N/A</v>
      </c>
      <c r="N6161" s="4" t="e">
        <f t="shared" si="1259"/>
        <v>#N/A</v>
      </c>
    </row>
    <row r="6162" spans="1:14">
      <c r="A6162">
        <f t="shared" si="1260"/>
        <v>0</v>
      </c>
      <c r="B6162">
        <f t="shared" si="1261"/>
        <v>0</v>
      </c>
      <c r="C6162">
        <f t="shared" si="1262"/>
        <v>0</v>
      </c>
      <c r="D6162">
        <f t="shared" si="1263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4"/>
        <v>0</v>
      </c>
      <c r="G6162">
        <f t="shared" si="1265"/>
        <v>0</v>
      </c>
      <c r="H6162">
        <f t="shared" si="1266"/>
        <v>0</v>
      </c>
      <c r="I6162">
        <f t="shared" si="1267"/>
        <v>0</v>
      </c>
      <c r="J6162">
        <f t="shared" si="1268"/>
        <v>0</v>
      </c>
      <c r="K6162" s="4" t="e">
        <f t="shared" si="1256"/>
        <v>#N/A</v>
      </c>
      <c r="L6162" t="e">
        <f t="shared" si="1257"/>
        <v>#N/A</v>
      </c>
      <c r="M6162" s="4" t="e">
        <f t="shared" si="1258"/>
        <v>#N/A</v>
      </c>
      <c r="N6162" s="4" t="e">
        <f t="shared" si="1259"/>
        <v>#N/A</v>
      </c>
    </row>
    <row r="6163" spans="1:14">
      <c r="A6163">
        <f t="shared" si="1260"/>
        <v>0</v>
      </c>
      <c r="B6163">
        <f t="shared" si="1261"/>
        <v>0</v>
      </c>
      <c r="C6163">
        <f t="shared" si="1262"/>
        <v>0</v>
      </c>
      <c r="D6163">
        <f t="shared" si="1263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4"/>
        <v>0</v>
      </c>
      <c r="G6163">
        <f t="shared" si="1265"/>
        <v>0</v>
      </c>
      <c r="H6163">
        <f t="shared" si="1266"/>
        <v>0</v>
      </c>
      <c r="I6163">
        <f t="shared" si="1267"/>
        <v>0</v>
      </c>
      <c r="J6163">
        <f t="shared" si="1268"/>
        <v>0</v>
      </c>
      <c r="K6163" s="4" t="e">
        <f t="shared" si="1256"/>
        <v>#N/A</v>
      </c>
      <c r="L6163" t="e">
        <f t="shared" si="1257"/>
        <v>#N/A</v>
      </c>
      <c r="M6163" s="4" t="e">
        <f t="shared" si="1258"/>
        <v>#N/A</v>
      </c>
      <c r="N6163" s="4" t="e">
        <f t="shared" si="1259"/>
        <v>#N/A</v>
      </c>
    </row>
    <row r="6164" spans="1:14">
      <c r="A6164">
        <f t="shared" si="1260"/>
        <v>0</v>
      </c>
      <c r="B6164">
        <f t="shared" si="1261"/>
        <v>0</v>
      </c>
      <c r="C6164">
        <f t="shared" si="1262"/>
        <v>0</v>
      </c>
      <c r="D6164">
        <f t="shared" si="1263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4"/>
        <v>0</v>
      </c>
      <c r="G6164">
        <f t="shared" si="1265"/>
        <v>0</v>
      </c>
      <c r="H6164">
        <f t="shared" si="1266"/>
        <v>0</v>
      </c>
      <c r="I6164">
        <f t="shared" si="1267"/>
        <v>0</v>
      </c>
      <c r="J6164">
        <f t="shared" si="1268"/>
        <v>0</v>
      </c>
      <c r="K6164" s="4" t="e">
        <f t="shared" si="1256"/>
        <v>#N/A</v>
      </c>
      <c r="L6164" t="e">
        <f t="shared" si="1257"/>
        <v>#N/A</v>
      </c>
      <c r="M6164" s="4" t="e">
        <f t="shared" si="1258"/>
        <v>#N/A</v>
      </c>
      <c r="N6164" s="4" t="e">
        <f t="shared" si="1259"/>
        <v>#N/A</v>
      </c>
    </row>
    <row r="6165" spans="1:14">
      <c r="A6165">
        <f t="shared" si="1260"/>
        <v>0</v>
      </c>
      <c r="B6165">
        <f t="shared" si="1261"/>
        <v>0</v>
      </c>
      <c r="C6165">
        <f t="shared" si="1262"/>
        <v>0</v>
      </c>
      <c r="D6165">
        <f t="shared" si="1263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4"/>
        <v>0</v>
      </c>
      <c r="G6165">
        <f t="shared" si="1265"/>
        <v>0</v>
      </c>
      <c r="H6165">
        <f t="shared" si="1266"/>
        <v>0</v>
      </c>
      <c r="I6165">
        <f t="shared" si="1267"/>
        <v>0</v>
      </c>
      <c r="J6165">
        <f t="shared" si="1268"/>
        <v>0</v>
      </c>
      <c r="K6165" s="4" t="e">
        <f t="shared" si="1256"/>
        <v>#N/A</v>
      </c>
      <c r="L6165" t="e">
        <f t="shared" si="1257"/>
        <v>#N/A</v>
      </c>
      <c r="M6165" s="4" t="e">
        <f t="shared" si="1258"/>
        <v>#N/A</v>
      </c>
      <c r="N6165" s="4" t="e">
        <f t="shared" si="1259"/>
        <v>#N/A</v>
      </c>
    </row>
    <row r="6166" spans="1:14">
      <c r="A6166">
        <f t="shared" si="1260"/>
        <v>0</v>
      </c>
      <c r="B6166">
        <f t="shared" si="1261"/>
        <v>0</v>
      </c>
      <c r="C6166">
        <f t="shared" si="1262"/>
        <v>0</v>
      </c>
      <c r="D6166">
        <f t="shared" si="1263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4"/>
        <v>0</v>
      </c>
      <c r="G6166">
        <f t="shared" si="1265"/>
        <v>0</v>
      </c>
      <c r="H6166">
        <f t="shared" si="1266"/>
        <v>0</v>
      </c>
      <c r="I6166">
        <f t="shared" si="1267"/>
        <v>0</v>
      </c>
      <c r="J6166">
        <f t="shared" si="1268"/>
        <v>0</v>
      </c>
      <c r="K6166" s="4" t="e">
        <f t="shared" si="1256"/>
        <v>#N/A</v>
      </c>
      <c r="L6166" t="e">
        <f t="shared" si="1257"/>
        <v>#N/A</v>
      </c>
      <c r="M6166" s="4" t="e">
        <f t="shared" si="1258"/>
        <v>#N/A</v>
      </c>
      <c r="N6166" s="4" t="e">
        <f t="shared" si="1259"/>
        <v>#N/A</v>
      </c>
    </row>
    <row r="6167" spans="1:14">
      <c r="A6167">
        <f t="shared" si="1260"/>
        <v>0</v>
      </c>
      <c r="B6167">
        <f t="shared" si="1261"/>
        <v>0</v>
      </c>
      <c r="C6167">
        <f t="shared" si="1262"/>
        <v>0</v>
      </c>
      <c r="D6167">
        <f t="shared" si="1263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4"/>
        <v>0</v>
      </c>
      <c r="G6167">
        <f t="shared" si="1265"/>
        <v>0</v>
      </c>
      <c r="H6167">
        <f t="shared" si="1266"/>
        <v>0</v>
      </c>
      <c r="I6167">
        <f t="shared" si="1267"/>
        <v>0</v>
      </c>
      <c r="J6167">
        <f t="shared" si="1268"/>
        <v>0</v>
      </c>
      <c r="K6167" s="4" t="e">
        <f t="shared" si="1256"/>
        <v>#N/A</v>
      </c>
      <c r="L6167" t="e">
        <f t="shared" si="1257"/>
        <v>#N/A</v>
      </c>
      <c r="M6167" s="4" t="e">
        <f t="shared" si="1258"/>
        <v>#N/A</v>
      </c>
      <c r="N6167" s="4" t="e">
        <f t="shared" si="1259"/>
        <v>#N/A</v>
      </c>
    </row>
    <row r="6168" spans="1:14">
      <c r="A6168">
        <f t="shared" si="1260"/>
        <v>0</v>
      </c>
      <c r="B6168">
        <f t="shared" si="1261"/>
        <v>0</v>
      </c>
      <c r="C6168">
        <f t="shared" si="1262"/>
        <v>0</v>
      </c>
      <c r="D6168">
        <f t="shared" si="1263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4"/>
        <v>0</v>
      </c>
      <c r="G6168">
        <f t="shared" si="1265"/>
        <v>0</v>
      </c>
      <c r="H6168">
        <f t="shared" si="1266"/>
        <v>0</v>
      </c>
      <c r="I6168">
        <f t="shared" si="1267"/>
        <v>0</v>
      </c>
      <c r="J6168">
        <f t="shared" si="1268"/>
        <v>0</v>
      </c>
      <c r="K6168" s="4" t="e">
        <f t="shared" si="1256"/>
        <v>#N/A</v>
      </c>
      <c r="L6168" t="e">
        <f t="shared" si="1257"/>
        <v>#N/A</v>
      </c>
      <c r="M6168" s="4" t="e">
        <f t="shared" si="1258"/>
        <v>#N/A</v>
      </c>
      <c r="N6168" s="4" t="e">
        <f t="shared" si="1259"/>
        <v>#N/A</v>
      </c>
    </row>
    <row r="6169" spans="1:14">
      <c r="A6169">
        <f t="shared" si="1260"/>
        <v>0</v>
      </c>
      <c r="B6169">
        <f t="shared" si="1261"/>
        <v>0</v>
      </c>
      <c r="C6169">
        <f t="shared" si="1262"/>
        <v>0</v>
      </c>
      <c r="D6169">
        <f t="shared" si="1263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4"/>
        <v>0</v>
      </c>
      <c r="G6169">
        <f t="shared" si="1265"/>
        <v>0</v>
      </c>
      <c r="H6169">
        <f t="shared" si="1266"/>
        <v>0</v>
      </c>
      <c r="I6169">
        <f t="shared" si="1267"/>
        <v>0</v>
      </c>
      <c r="J6169">
        <f t="shared" si="1268"/>
        <v>0</v>
      </c>
      <c r="K6169" s="4" t="e">
        <f t="shared" si="1256"/>
        <v>#N/A</v>
      </c>
      <c r="L6169" t="e">
        <f t="shared" si="1257"/>
        <v>#N/A</v>
      </c>
      <c r="M6169" s="4" t="e">
        <f t="shared" si="1258"/>
        <v>#N/A</v>
      </c>
      <c r="N6169" s="4" t="e">
        <f t="shared" si="1259"/>
        <v>#N/A</v>
      </c>
    </row>
    <row r="6170" spans="1:14">
      <c r="A6170">
        <f t="shared" si="1260"/>
        <v>0</v>
      </c>
      <c r="B6170">
        <f t="shared" si="1261"/>
        <v>0</v>
      </c>
      <c r="C6170">
        <f t="shared" si="1262"/>
        <v>0</v>
      </c>
      <c r="D6170">
        <f t="shared" si="1263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4"/>
        <v>0</v>
      </c>
      <c r="G6170">
        <f t="shared" si="1265"/>
        <v>0</v>
      </c>
      <c r="H6170">
        <f t="shared" si="1266"/>
        <v>0</v>
      </c>
      <c r="I6170">
        <f t="shared" si="1267"/>
        <v>0</v>
      </c>
      <c r="J6170">
        <f t="shared" si="1268"/>
        <v>0</v>
      </c>
      <c r="K6170" s="4" t="e">
        <f t="shared" si="1256"/>
        <v>#N/A</v>
      </c>
      <c r="L6170" t="e">
        <f t="shared" si="1257"/>
        <v>#N/A</v>
      </c>
      <c r="M6170" s="4" t="e">
        <f t="shared" si="1258"/>
        <v>#N/A</v>
      </c>
      <c r="N6170" s="4" t="e">
        <f t="shared" si="1259"/>
        <v>#N/A</v>
      </c>
    </row>
    <row r="6171" spans="1:14">
      <c r="A6171">
        <f t="shared" si="1260"/>
        <v>0</v>
      </c>
      <c r="B6171">
        <f t="shared" si="1261"/>
        <v>0</v>
      </c>
      <c r="C6171">
        <f t="shared" si="1262"/>
        <v>0</v>
      </c>
      <c r="D6171">
        <f t="shared" si="1263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4"/>
        <v>0</v>
      </c>
      <c r="G6171">
        <f t="shared" si="1265"/>
        <v>0</v>
      </c>
      <c r="H6171">
        <f t="shared" si="1266"/>
        <v>0</v>
      </c>
      <c r="I6171">
        <f t="shared" si="1267"/>
        <v>0</v>
      </c>
      <c r="J6171">
        <f t="shared" si="1268"/>
        <v>0</v>
      </c>
      <c r="K6171" s="4" t="e">
        <f t="shared" si="1256"/>
        <v>#N/A</v>
      </c>
      <c r="L6171" t="e">
        <f t="shared" si="1257"/>
        <v>#N/A</v>
      </c>
      <c r="M6171" s="4" t="e">
        <f t="shared" si="1258"/>
        <v>#N/A</v>
      </c>
      <c r="N6171" s="4" t="e">
        <f t="shared" si="1259"/>
        <v>#N/A</v>
      </c>
    </row>
    <row r="6172" spans="1:14">
      <c r="A6172">
        <f t="shared" si="1260"/>
        <v>0</v>
      </c>
      <c r="B6172">
        <f t="shared" si="1261"/>
        <v>0</v>
      </c>
      <c r="C6172">
        <f t="shared" si="1262"/>
        <v>0</v>
      </c>
      <c r="D6172">
        <f t="shared" si="1263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4"/>
        <v>0</v>
      </c>
      <c r="G6172">
        <f t="shared" si="1265"/>
        <v>0</v>
      </c>
      <c r="H6172">
        <f t="shared" si="1266"/>
        <v>0</v>
      </c>
      <c r="I6172">
        <f t="shared" si="1267"/>
        <v>0</v>
      </c>
      <c r="J6172">
        <f t="shared" si="1268"/>
        <v>0</v>
      </c>
      <c r="K6172" s="4" t="e">
        <f t="shared" si="1256"/>
        <v>#N/A</v>
      </c>
      <c r="L6172" t="e">
        <f t="shared" si="1257"/>
        <v>#N/A</v>
      </c>
      <c r="M6172" s="4" t="e">
        <f t="shared" si="1258"/>
        <v>#N/A</v>
      </c>
      <c r="N6172" s="4" t="e">
        <f t="shared" si="1259"/>
        <v>#N/A</v>
      </c>
    </row>
    <row r="6173" spans="1:14">
      <c r="A6173">
        <f t="shared" si="1260"/>
        <v>0</v>
      </c>
      <c r="B6173">
        <f t="shared" si="1261"/>
        <v>0</v>
      </c>
      <c r="C6173">
        <f t="shared" si="1262"/>
        <v>0</v>
      </c>
      <c r="D6173">
        <f t="shared" si="1263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4"/>
        <v>0</v>
      </c>
      <c r="G6173">
        <f t="shared" si="1265"/>
        <v>0</v>
      </c>
      <c r="H6173">
        <f t="shared" si="1266"/>
        <v>0</v>
      </c>
      <c r="I6173">
        <f t="shared" si="1267"/>
        <v>0</v>
      </c>
      <c r="J6173">
        <f t="shared" si="1268"/>
        <v>0</v>
      </c>
      <c r="K6173" s="4" t="e">
        <f t="shared" si="1256"/>
        <v>#N/A</v>
      </c>
      <c r="L6173" t="e">
        <f t="shared" si="1257"/>
        <v>#N/A</v>
      </c>
      <c r="M6173" s="4" t="e">
        <f t="shared" si="1258"/>
        <v>#N/A</v>
      </c>
      <c r="N6173" s="4" t="e">
        <f t="shared" si="1259"/>
        <v>#N/A</v>
      </c>
    </row>
    <row r="6174" spans="1:14">
      <c r="A6174">
        <f t="shared" si="1260"/>
        <v>0</v>
      </c>
      <c r="B6174">
        <f t="shared" si="1261"/>
        <v>0</v>
      </c>
      <c r="C6174">
        <f t="shared" si="1262"/>
        <v>0</v>
      </c>
      <c r="D6174">
        <f t="shared" si="1263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4"/>
        <v>0</v>
      </c>
      <c r="G6174">
        <f t="shared" si="1265"/>
        <v>0</v>
      </c>
      <c r="H6174">
        <f t="shared" si="1266"/>
        <v>0</v>
      </c>
      <c r="I6174">
        <f t="shared" si="1267"/>
        <v>0</v>
      </c>
      <c r="J6174">
        <f t="shared" si="1268"/>
        <v>0</v>
      </c>
      <c r="K6174" s="4" t="e">
        <f t="shared" si="1256"/>
        <v>#N/A</v>
      </c>
      <c r="L6174" t="e">
        <f t="shared" si="1257"/>
        <v>#N/A</v>
      </c>
      <c r="M6174" s="4" t="e">
        <f t="shared" si="1258"/>
        <v>#N/A</v>
      </c>
      <c r="N6174" s="4" t="e">
        <f t="shared" si="1259"/>
        <v>#N/A</v>
      </c>
    </row>
    <row r="6175" spans="1:14">
      <c r="A6175">
        <f t="shared" si="1260"/>
        <v>0</v>
      </c>
      <c r="B6175">
        <f t="shared" si="1261"/>
        <v>0</v>
      </c>
      <c r="C6175">
        <f t="shared" si="1262"/>
        <v>0</v>
      </c>
      <c r="D6175">
        <f t="shared" si="1263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4"/>
        <v>0</v>
      </c>
      <c r="G6175">
        <f t="shared" si="1265"/>
        <v>0</v>
      </c>
      <c r="H6175">
        <f t="shared" si="1266"/>
        <v>0</v>
      </c>
      <c r="I6175">
        <f t="shared" si="1267"/>
        <v>0</v>
      </c>
      <c r="J6175">
        <f t="shared" si="1268"/>
        <v>0</v>
      </c>
      <c r="K6175" s="4" t="e">
        <f t="shared" si="1256"/>
        <v>#N/A</v>
      </c>
      <c r="L6175" t="e">
        <f t="shared" si="1257"/>
        <v>#N/A</v>
      </c>
      <c r="M6175" s="4" t="e">
        <f t="shared" si="1258"/>
        <v>#N/A</v>
      </c>
      <c r="N6175" s="4" t="e">
        <f t="shared" si="1259"/>
        <v>#N/A</v>
      </c>
    </row>
    <row r="6176" spans="1:14">
      <c r="A6176">
        <f t="shared" si="1260"/>
        <v>0</v>
      </c>
      <c r="B6176">
        <f t="shared" si="1261"/>
        <v>0</v>
      </c>
      <c r="C6176">
        <f t="shared" si="1262"/>
        <v>0</v>
      </c>
      <c r="D6176">
        <f t="shared" si="1263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4"/>
        <v>0</v>
      </c>
      <c r="G6176">
        <f t="shared" si="1265"/>
        <v>0</v>
      </c>
      <c r="H6176">
        <f t="shared" si="1266"/>
        <v>0</v>
      </c>
      <c r="I6176">
        <f t="shared" si="1267"/>
        <v>0</v>
      </c>
      <c r="J6176">
        <f t="shared" si="1268"/>
        <v>0</v>
      </c>
      <c r="K6176" s="4" t="e">
        <f t="shared" si="1256"/>
        <v>#N/A</v>
      </c>
      <c r="L6176" t="e">
        <f t="shared" si="1257"/>
        <v>#N/A</v>
      </c>
      <c r="M6176" s="4" t="e">
        <f t="shared" si="1258"/>
        <v>#N/A</v>
      </c>
      <c r="N6176" s="4" t="e">
        <f t="shared" si="1259"/>
        <v>#N/A</v>
      </c>
    </row>
    <row r="6177" spans="1:14">
      <c r="A6177">
        <f t="shared" si="1260"/>
        <v>0</v>
      </c>
      <c r="B6177">
        <f t="shared" si="1261"/>
        <v>0</v>
      </c>
      <c r="C6177">
        <f t="shared" si="1262"/>
        <v>0</v>
      </c>
      <c r="D6177">
        <f t="shared" si="1263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4"/>
        <v>0</v>
      </c>
      <c r="G6177">
        <f t="shared" si="1265"/>
        <v>0</v>
      </c>
      <c r="H6177">
        <f t="shared" si="1266"/>
        <v>0</v>
      </c>
      <c r="I6177">
        <f t="shared" si="1267"/>
        <v>0</v>
      </c>
      <c r="J6177">
        <f t="shared" si="1268"/>
        <v>0</v>
      </c>
      <c r="K6177" s="4" t="e">
        <f t="shared" si="1256"/>
        <v>#N/A</v>
      </c>
      <c r="L6177" t="e">
        <f t="shared" si="1257"/>
        <v>#N/A</v>
      </c>
      <c r="M6177" s="4" t="e">
        <f t="shared" si="1258"/>
        <v>#N/A</v>
      </c>
      <c r="N6177" s="4" t="e">
        <f t="shared" si="1259"/>
        <v>#N/A</v>
      </c>
    </row>
    <row r="6178" spans="1:14">
      <c r="A6178">
        <f t="shared" si="1260"/>
        <v>0</v>
      </c>
      <c r="B6178">
        <f t="shared" si="1261"/>
        <v>0</v>
      </c>
      <c r="C6178">
        <f t="shared" si="1262"/>
        <v>0</v>
      </c>
      <c r="D6178">
        <f t="shared" si="1263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4"/>
        <v>0</v>
      </c>
      <c r="G6178">
        <f t="shared" si="1265"/>
        <v>0</v>
      </c>
      <c r="H6178">
        <f t="shared" si="1266"/>
        <v>0</v>
      </c>
      <c r="I6178">
        <f t="shared" si="1267"/>
        <v>0</v>
      </c>
      <c r="J6178">
        <f t="shared" si="1268"/>
        <v>0</v>
      </c>
      <c r="K6178" s="4" t="e">
        <f t="shared" si="1256"/>
        <v>#N/A</v>
      </c>
      <c r="L6178" t="e">
        <f t="shared" si="1257"/>
        <v>#N/A</v>
      </c>
      <c r="M6178" s="4" t="e">
        <f t="shared" si="1258"/>
        <v>#N/A</v>
      </c>
      <c r="N6178" s="4" t="e">
        <f t="shared" si="1259"/>
        <v>#N/A</v>
      </c>
    </row>
    <row r="6179" spans="1:14">
      <c r="A6179">
        <f t="shared" si="1260"/>
        <v>0</v>
      </c>
      <c r="B6179">
        <f t="shared" si="1261"/>
        <v>0</v>
      </c>
      <c r="C6179">
        <f t="shared" si="1262"/>
        <v>0</v>
      </c>
      <c r="D6179">
        <f t="shared" si="1263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4"/>
        <v>0</v>
      </c>
      <c r="G6179">
        <f t="shared" si="1265"/>
        <v>0</v>
      </c>
      <c r="H6179">
        <f t="shared" si="1266"/>
        <v>0</v>
      </c>
      <c r="I6179">
        <f t="shared" si="1267"/>
        <v>0</v>
      </c>
      <c r="J6179">
        <f t="shared" si="1268"/>
        <v>0</v>
      </c>
      <c r="K6179" s="4" t="e">
        <f t="shared" si="1256"/>
        <v>#N/A</v>
      </c>
      <c r="L6179" t="e">
        <f t="shared" si="1257"/>
        <v>#N/A</v>
      </c>
      <c r="M6179" s="4" t="e">
        <f t="shared" si="1258"/>
        <v>#N/A</v>
      </c>
      <c r="N6179" s="4" t="e">
        <f t="shared" si="1259"/>
        <v>#N/A</v>
      </c>
    </row>
    <row r="6180" spans="1:14">
      <c r="A6180">
        <f t="shared" si="1260"/>
        <v>0</v>
      </c>
      <c r="B6180">
        <f t="shared" si="1261"/>
        <v>0</v>
      </c>
      <c r="C6180">
        <f t="shared" si="1262"/>
        <v>0</v>
      </c>
      <c r="D6180">
        <f t="shared" si="1263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4"/>
        <v>0</v>
      </c>
      <c r="G6180">
        <f t="shared" si="1265"/>
        <v>0</v>
      </c>
      <c r="H6180">
        <f t="shared" si="1266"/>
        <v>0</v>
      </c>
      <c r="I6180">
        <f t="shared" si="1267"/>
        <v>0</v>
      </c>
      <c r="J6180">
        <f t="shared" si="1268"/>
        <v>0</v>
      </c>
      <c r="K6180" s="4" t="e">
        <f t="shared" si="1256"/>
        <v>#N/A</v>
      </c>
      <c r="L6180" t="e">
        <f t="shared" si="1257"/>
        <v>#N/A</v>
      </c>
      <c r="M6180" s="4" t="e">
        <f t="shared" si="1258"/>
        <v>#N/A</v>
      </c>
      <c r="N6180" s="4" t="e">
        <f t="shared" si="1259"/>
        <v>#N/A</v>
      </c>
    </row>
    <row r="6181" spans="1:14">
      <c r="A6181">
        <f t="shared" si="1260"/>
        <v>0</v>
      </c>
      <c r="B6181">
        <f t="shared" si="1261"/>
        <v>0</v>
      </c>
      <c r="C6181">
        <f t="shared" si="1262"/>
        <v>0</v>
      </c>
      <c r="D6181">
        <f t="shared" si="1263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4"/>
        <v>0</v>
      </c>
      <c r="G6181">
        <f t="shared" si="1265"/>
        <v>0</v>
      </c>
      <c r="H6181">
        <f t="shared" si="1266"/>
        <v>0</v>
      </c>
      <c r="I6181">
        <f t="shared" si="1267"/>
        <v>0</v>
      </c>
      <c r="J6181">
        <f t="shared" si="1268"/>
        <v>0</v>
      </c>
      <c r="K6181" s="4" t="e">
        <f t="shared" si="1256"/>
        <v>#N/A</v>
      </c>
      <c r="L6181" t="e">
        <f t="shared" si="1257"/>
        <v>#N/A</v>
      </c>
      <c r="M6181" s="4" t="e">
        <f t="shared" si="1258"/>
        <v>#N/A</v>
      </c>
      <c r="N6181" s="4" t="e">
        <f t="shared" si="1259"/>
        <v>#N/A</v>
      </c>
    </row>
    <row r="6182" spans="1:14">
      <c r="A6182">
        <f t="shared" si="1260"/>
        <v>0</v>
      </c>
      <c r="B6182">
        <f t="shared" si="1261"/>
        <v>0</v>
      </c>
      <c r="C6182">
        <f t="shared" si="1262"/>
        <v>0</v>
      </c>
      <c r="D6182">
        <f t="shared" si="1263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4"/>
        <v>0</v>
      </c>
      <c r="G6182">
        <f t="shared" si="1265"/>
        <v>0</v>
      </c>
      <c r="H6182">
        <f t="shared" si="1266"/>
        <v>0</v>
      </c>
      <c r="I6182">
        <f t="shared" si="1267"/>
        <v>0</v>
      </c>
      <c r="J6182">
        <f t="shared" si="1268"/>
        <v>0</v>
      </c>
      <c r="K6182" s="4" t="e">
        <f t="shared" si="1256"/>
        <v>#N/A</v>
      </c>
      <c r="L6182" t="e">
        <f t="shared" si="1257"/>
        <v>#N/A</v>
      </c>
      <c r="M6182" s="4" t="e">
        <f t="shared" si="1258"/>
        <v>#N/A</v>
      </c>
      <c r="N6182" s="4" t="e">
        <f t="shared" si="1259"/>
        <v>#N/A</v>
      </c>
    </row>
    <row r="6183" spans="1:14">
      <c r="A6183">
        <f t="shared" si="1260"/>
        <v>0</v>
      </c>
      <c r="B6183">
        <f t="shared" si="1261"/>
        <v>0</v>
      </c>
      <c r="C6183">
        <f t="shared" si="1262"/>
        <v>0</v>
      </c>
      <c r="D6183">
        <f t="shared" si="1263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4"/>
        <v>0</v>
      </c>
      <c r="G6183">
        <f t="shared" si="1265"/>
        <v>0</v>
      </c>
      <c r="H6183">
        <f t="shared" si="1266"/>
        <v>0</v>
      </c>
      <c r="I6183">
        <f t="shared" si="1267"/>
        <v>0</v>
      </c>
      <c r="J6183">
        <f t="shared" si="1268"/>
        <v>0</v>
      </c>
      <c r="K6183" s="4" t="e">
        <f t="shared" si="1256"/>
        <v>#N/A</v>
      </c>
      <c r="L6183" t="e">
        <f t="shared" si="1257"/>
        <v>#N/A</v>
      </c>
      <c r="M6183" s="4" t="e">
        <f t="shared" si="1258"/>
        <v>#N/A</v>
      </c>
      <c r="N6183" s="4" t="e">
        <f t="shared" si="1259"/>
        <v>#N/A</v>
      </c>
    </row>
    <row r="6184" spans="1:14">
      <c r="A6184">
        <f t="shared" si="1260"/>
        <v>0</v>
      </c>
      <c r="B6184">
        <f t="shared" si="1261"/>
        <v>0</v>
      </c>
      <c r="C6184">
        <f t="shared" si="1262"/>
        <v>0</v>
      </c>
      <c r="D6184">
        <f t="shared" si="1263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4"/>
        <v>0</v>
      </c>
      <c r="G6184">
        <f t="shared" si="1265"/>
        <v>0</v>
      </c>
      <c r="H6184">
        <f t="shared" si="1266"/>
        <v>0</v>
      </c>
      <c r="I6184">
        <f t="shared" si="1267"/>
        <v>0</v>
      </c>
      <c r="J6184">
        <f t="shared" si="1268"/>
        <v>0</v>
      </c>
      <c r="K6184" s="4" t="e">
        <f t="shared" si="1256"/>
        <v>#N/A</v>
      </c>
      <c r="L6184" t="e">
        <f t="shared" si="1257"/>
        <v>#N/A</v>
      </c>
      <c r="M6184" s="4" t="e">
        <f t="shared" si="1258"/>
        <v>#N/A</v>
      </c>
      <c r="N6184" s="4" t="e">
        <f t="shared" si="1259"/>
        <v>#N/A</v>
      </c>
    </row>
    <row r="6185" spans="1:14">
      <c r="A6185">
        <f t="shared" si="1260"/>
        <v>0</v>
      </c>
      <c r="B6185">
        <f t="shared" si="1261"/>
        <v>0</v>
      </c>
      <c r="C6185">
        <f t="shared" si="1262"/>
        <v>0</v>
      </c>
      <c r="D6185">
        <f t="shared" si="1263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4"/>
        <v>0</v>
      </c>
      <c r="G6185">
        <f t="shared" si="1265"/>
        <v>0</v>
      </c>
      <c r="H6185">
        <f t="shared" si="1266"/>
        <v>0</v>
      </c>
      <c r="I6185">
        <f t="shared" si="1267"/>
        <v>0</v>
      </c>
      <c r="J6185">
        <f t="shared" si="1268"/>
        <v>0</v>
      </c>
      <c r="K6185" s="4" t="e">
        <f t="shared" si="1256"/>
        <v>#N/A</v>
      </c>
      <c r="L6185" t="e">
        <f t="shared" si="1257"/>
        <v>#N/A</v>
      </c>
      <c r="M6185" s="4" t="e">
        <f t="shared" si="1258"/>
        <v>#N/A</v>
      </c>
      <c r="N6185" s="4" t="e">
        <f t="shared" si="1259"/>
        <v>#N/A</v>
      </c>
    </row>
    <row r="6186" spans="1:14">
      <c r="A6186">
        <f t="shared" si="1260"/>
        <v>0</v>
      </c>
      <c r="B6186">
        <f t="shared" si="1261"/>
        <v>0</v>
      </c>
      <c r="C6186">
        <f t="shared" si="1262"/>
        <v>0</v>
      </c>
      <c r="D6186">
        <f t="shared" si="1263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4"/>
        <v>0</v>
      </c>
      <c r="G6186">
        <f t="shared" si="1265"/>
        <v>0</v>
      </c>
      <c r="H6186">
        <f t="shared" si="1266"/>
        <v>0</v>
      </c>
      <c r="I6186">
        <f t="shared" si="1267"/>
        <v>0</v>
      </c>
      <c r="J6186">
        <f t="shared" si="1268"/>
        <v>0</v>
      </c>
      <c r="K6186" s="4" t="e">
        <f t="shared" si="1256"/>
        <v>#N/A</v>
      </c>
      <c r="L6186" t="e">
        <f t="shared" si="1257"/>
        <v>#N/A</v>
      </c>
      <c r="M6186" s="4" t="e">
        <f t="shared" si="1258"/>
        <v>#N/A</v>
      </c>
      <c r="N6186" s="4" t="e">
        <f t="shared" si="1259"/>
        <v>#N/A</v>
      </c>
    </row>
    <row r="6187" spans="1:14">
      <c r="A6187">
        <f t="shared" si="1260"/>
        <v>0</v>
      </c>
      <c r="B6187">
        <f t="shared" si="1261"/>
        <v>0</v>
      </c>
      <c r="C6187">
        <f t="shared" si="1262"/>
        <v>0</v>
      </c>
      <c r="D6187">
        <f t="shared" si="1263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4"/>
        <v>0</v>
      </c>
      <c r="G6187">
        <f t="shared" si="1265"/>
        <v>0</v>
      </c>
      <c r="H6187">
        <f t="shared" si="1266"/>
        <v>0</v>
      </c>
      <c r="I6187">
        <f t="shared" si="1267"/>
        <v>0</v>
      </c>
      <c r="J6187">
        <f t="shared" si="1268"/>
        <v>0</v>
      </c>
      <c r="K6187" s="4" t="e">
        <f t="shared" si="1256"/>
        <v>#N/A</v>
      </c>
      <c r="L6187" t="e">
        <f t="shared" si="1257"/>
        <v>#N/A</v>
      </c>
      <c r="M6187" s="4" t="e">
        <f t="shared" si="1258"/>
        <v>#N/A</v>
      </c>
      <c r="N6187" s="4" t="e">
        <f t="shared" si="1259"/>
        <v>#N/A</v>
      </c>
    </row>
    <row r="6188" spans="1:14">
      <c r="A6188">
        <f t="shared" si="1260"/>
        <v>0</v>
      </c>
      <c r="B6188">
        <f t="shared" si="1261"/>
        <v>0</v>
      </c>
      <c r="C6188">
        <f t="shared" si="1262"/>
        <v>0</v>
      </c>
      <c r="D6188">
        <f t="shared" si="1263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4"/>
        <v>0</v>
      </c>
      <c r="G6188">
        <f t="shared" si="1265"/>
        <v>0</v>
      </c>
      <c r="H6188">
        <f t="shared" si="1266"/>
        <v>0</v>
      </c>
      <c r="I6188">
        <f t="shared" si="1267"/>
        <v>0</v>
      </c>
      <c r="J6188">
        <f t="shared" si="1268"/>
        <v>0</v>
      </c>
      <c r="K6188" s="4" t="e">
        <f t="shared" si="1256"/>
        <v>#N/A</v>
      </c>
      <c r="L6188" t="e">
        <f t="shared" si="1257"/>
        <v>#N/A</v>
      </c>
      <c r="M6188" s="4" t="e">
        <f t="shared" si="1258"/>
        <v>#N/A</v>
      </c>
      <c r="N6188" s="4" t="e">
        <f t="shared" si="1259"/>
        <v>#N/A</v>
      </c>
    </row>
    <row r="6189" spans="1:14">
      <c r="A6189">
        <f t="shared" si="1260"/>
        <v>0</v>
      </c>
      <c r="B6189">
        <f t="shared" si="1261"/>
        <v>0</v>
      </c>
      <c r="C6189">
        <f t="shared" si="1262"/>
        <v>0</v>
      </c>
      <c r="D6189">
        <f t="shared" si="1263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4"/>
        <v>0</v>
      </c>
      <c r="G6189">
        <f t="shared" si="1265"/>
        <v>0</v>
      </c>
      <c r="H6189">
        <f t="shared" si="1266"/>
        <v>0</v>
      </c>
      <c r="I6189">
        <f t="shared" si="1267"/>
        <v>0</v>
      </c>
      <c r="J6189">
        <f t="shared" si="1268"/>
        <v>0</v>
      </c>
      <c r="K6189" s="4" t="e">
        <f t="shared" si="1256"/>
        <v>#N/A</v>
      </c>
      <c r="L6189" t="e">
        <f t="shared" si="1257"/>
        <v>#N/A</v>
      </c>
      <c r="M6189" s="4" t="e">
        <f t="shared" si="1258"/>
        <v>#N/A</v>
      </c>
      <c r="N6189" s="4" t="e">
        <f t="shared" si="1259"/>
        <v>#N/A</v>
      </c>
    </row>
    <row r="6190" spans="1:14">
      <c r="A6190">
        <f t="shared" si="1260"/>
        <v>0</v>
      </c>
      <c r="B6190">
        <f t="shared" si="1261"/>
        <v>0</v>
      </c>
      <c r="C6190">
        <f t="shared" si="1262"/>
        <v>0</v>
      </c>
      <c r="D6190">
        <f t="shared" si="1263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4"/>
        <v>0</v>
      </c>
      <c r="G6190">
        <f t="shared" si="1265"/>
        <v>0</v>
      </c>
      <c r="H6190">
        <f t="shared" si="1266"/>
        <v>0</v>
      </c>
      <c r="I6190">
        <f t="shared" si="1267"/>
        <v>0</v>
      </c>
      <c r="J6190">
        <f t="shared" si="1268"/>
        <v>0</v>
      </c>
      <c r="K6190" s="4" t="e">
        <f t="shared" si="1256"/>
        <v>#N/A</v>
      </c>
      <c r="L6190" t="e">
        <f t="shared" si="1257"/>
        <v>#N/A</v>
      </c>
      <c r="M6190" s="4" t="e">
        <f t="shared" si="1258"/>
        <v>#N/A</v>
      </c>
      <c r="N6190" s="4" t="e">
        <f t="shared" si="1259"/>
        <v>#N/A</v>
      </c>
    </row>
    <row r="6191" spans="1:14">
      <c r="A6191">
        <f t="shared" si="1260"/>
        <v>0</v>
      </c>
      <c r="B6191">
        <f t="shared" si="1261"/>
        <v>0</v>
      </c>
      <c r="C6191">
        <f t="shared" si="1262"/>
        <v>0</v>
      </c>
      <c r="D6191">
        <f t="shared" si="1263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4"/>
        <v>0</v>
      </c>
      <c r="G6191">
        <f t="shared" si="1265"/>
        <v>0</v>
      </c>
      <c r="H6191">
        <f t="shared" si="1266"/>
        <v>0</v>
      </c>
      <c r="I6191">
        <f t="shared" si="1267"/>
        <v>0</v>
      </c>
      <c r="J6191">
        <f t="shared" si="1268"/>
        <v>0</v>
      </c>
      <c r="K6191" s="4" t="e">
        <f t="shared" si="1256"/>
        <v>#N/A</v>
      </c>
      <c r="L6191" t="e">
        <f t="shared" si="1257"/>
        <v>#N/A</v>
      </c>
      <c r="M6191" s="4" t="e">
        <f t="shared" si="1258"/>
        <v>#N/A</v>
      </c>
      <c r="N6191" s="4" t="e">
        <f t="shared" si="1259"/>
        <v>#N/A</v>
      </c>
    </row>
    <row r="6192" spans="1:14">
      <c r="A6192">
        <f t="shared" si="1260"/>
        <v>0</v>
      </c>
      <c r="B6192">
        <f t="shared" si="1261"/>
        <v>0</v>
      </c>
      <c r="C6192">
        <f t="shared" si="1262"/>
        <v>0</v>
      </c>
      <c r="D6192">
        <f t="shared" si="1263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4"/>
        <v>0</v>
      </c>
      <c r="G6192">
        <f t="shared" si="1265"/>
        <v>0</v>
      </c>
      <c r="H6192">
        <f t="shared" si="1266"/>
        <v>0</v>
      </c>
      <c r="I6192">
        <f t="shared" si="1267"/>
        <v>0</v>
      </c>
      <c r="J6192">
        <f t="shared" si="1268"/>
        <v>0</v>
      </c>
      <c r="K6192" s="4" t="e">
        <f t="shared" si="1256"/>
        <v>#N/A</v>
      </c>
      <c r="L6192" t="e">
        <f t="shared" si="1257"/>
        <v>#N/A</v>
      </c>
      <c r="M6192" s="4" t="e">
        <f t="shared" si="1258"/>
        <v>#N/A</v>
      </c>
      <c r="N6192" s="4" t="e">
        <f t="shared" si="1259"/>
        <v>#N/A</v>
      </c>
    </row>
    <row r="6193" spans="1:14">
      <c r="A6193">
        <f t="shared" si="1260"/>
        <v>0</v>
      </c>
      <c r="B6193">
        <f t="shared" si="1261"/>
        <v>0</v>
      </c>
      <c r="C6193">
        <f t="shared" si="1262"/>
        <v>0</v>
      </c>
      <c r="D6193">
        <f t="shared" si="1263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4"/>
        <v>0</v>
      </c>
      <c r="G6193">
        <f t="shared" si="1265"/>
        <v>0</v>
      </c>
      <c r="H6193">
        <f t="shared" si="1266"/>
        <v>0</v>
      </c>
      <c r="I6193">
        <f t="shared" si="1267"/>
        <v>0</v>
      </c>
      <c r="J6193">
        <f t="shared" si="1268"/>
        <v>0</v>
      </c>
      <c r="K6193" s="4" t="e">
        <f t="shared" si="1256"/>
        <v>#N/A</v>
      </c>
      <c r="L6193" t="e">
        <f t="shared" si="1257"/>
        <v>#N/A</v>
      </c>
      <c r="M6193" s="4" t="e">
        <f t="shared" si="1258"/>
        <v>#N/A</v>
      </c>
      <c r="N6193" s="4" t="e">
        <f t="shared" si="1259"/>
        <v>#N/A</v>
      </c>
    </row>
    <row r="6194" spans="1:14">
      <c r="A6194">
        <f t="shared" si="1260"/>
        <v>0</v>
      </c>
      <c r="B6194">
        <f t="shared" si="1261"/>
        <v>0</v>
      </c>
      <c r="C6194">
        <f t="shared" si="1262"/>
        <v>0</v>
      </c>
      <c r="D6194">
        <f t="shared" si="1263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4"/>
        <v>0</v>
      </c>
      <c r="G6194">
        <f t="shared" si="1265"/>
        <v>0</v>
      </c>
      <c r="H6194">
        <f t="shared" si="1266"/>
        <v>0</v>
      </c>
      <c r="I6194">
        <f t="shared" si="1267"/>
        <v>0</v>
      </c>
      <c r="J6194">
        <f t="shared" si="1268"/>
        <v>0</v>
      </c>
      <c r="K6194" s="4" t="e">
        <f t="shared" si="1256"/>
        <v>#N/A</v>
      </c>
      <c r="L6194" t="e">
        <f t="shared" si="1257"/>
        <v>#N/A</v>
      </c>
      <c r="M6194" s="4" t="e">
        <f t="shared" si="1258"/>
        <v>#N/A</v>
      </c>
      <c r="N6194" s="4" t="e">
        <f t="shared" si="1259"/>
        <v>#N/A</v>
      </c>
    </row>
    <row r="6195" spans="1:14">
      <c r="A6195">
        <f t="shared" si="1260"/>
        <v>0</v>
      </c>
      <c r="B6195">
        <f t="shared" si="1261"/>
        <v>0</v>
      </c>
      <c r="C6195">
        <f t="shared" si="1262"/>
        <v>0</v>
      </c>
      <c r="D6195">
        <f t="shared" si="1263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4"/>
        <v>0</v>
      </c>
      <c r="G6195">
        <f t="shared" si="1265"/>
        <v>0</v>
      </c>
      <c r="H6195">
        <f t="shared" si="1266"/>
        <v>0</v>
      </c>
      <c r="I6195">
        <f t="shared" si="1267"/>
        <v>0</v>
      </c>
      <c r="J6195">
        <f t="shared" si="1268"/>
        <v>0</v>
      </c>
      <c r="K6195" s="4" t="e">
        <f t="shared" si="1256"/>
        <v>#N/A</v>
      </c>
      <c r="L6195" t="e">
        <f t="shared" si="1257"/>
        <v>#N/A</v>
      </c>
      <c r="M6195" s="4" t="e">
        <f t="shared" si="1258"/>
        <v>#N/A</v>
      </c>
      <c r="N6195" s="4" t="e">
        <f t="shared" si="1259"/>
        <v>#N/A</v>
      </c>
    </row>
    <row r="6196" spans="1:14">
      <c r="A6196">
        <f t="shared" si="1260"/>
        <v>0</v>
      </c>
      <c r="B6196">
        <f t="shared" si="1261"/>
        <v>0</v>
      </c>
      <c r="C6196">
        <f t="shared" si="1262"/>
        <v>0</v>
      </c>
      <c r="D6196">
        <f t="shared" si="1263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4"/>
        <v>0</v>
      </c>
      <c r="G6196">
        <f t="shared" si="1265"/>
        <v>0</v>
      </c>
      <c r="H6196">
        <f t="shared" si="1266"/>
        <v>0</v>
      </c>
      <c r="I6196">
        <f t="shared" si="1267"/>
        <v>0</v>
      </c>
      <c r="J6196">
        <f t="shared" si="1268"/>
        <v>0</v>
      </c>
      <c r="K6196" s="4" t="e">
        <f t="shared" si="1256"/>
        <v>#N/A</v>
      </c>
      <c r="L6196" t="e">
        <f t="shared" si="1257"/>
        <v>#N/A</v>
      </c>
      <c r="M6196" s="4" t="e">
        <f t="shared" si="1258"/>
        <v>#N/A</v>
      </c>
      <c r="N6196" s="4" t="e">
        <f t="shared" si="1259"/>
        <v>#N/A</v>
      </c>
    </row>
    <row r="6197" spans="1:14">
      <c r="A6197">
        <f t="shared" si="1260"/>
        <v>0</v>
      </c>
      <c r="B6197">
        <f t="shared" si="1261"/>
        <v>0</v>
      </c>
      <c r="C6197">
        <f t="shared" si="1262"/>
        <v>0</v>
      </c>
      <c r="D6197">
        <f t="shared" si="1263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4"/>
        <v>0</v>
      </c>
      <c r="G6197">
        <f t="shared" si="1265"/>
        <v>0</v>
      </c>
      <c r="H6197">
        <f t="shared" si="1266"/>
        <v>0</v>
      </c>
      <c r="I6197">
        <f t="shared" si="1267"/>
        <v>0</v>
      </c>
      <c r="J6197">
        <f t="shared" si="1268"/>
        <v>0</v>
      </c>
      <c r="K6197" s="4" t="e">
        <f t="shared" si="1256"/>
        <v>#N/A</v>
      </c>
      <c r="L6197" t="e">
        <f t="shared" si="1257"/>
        <v>#N/A</v>
      </c>
      <c r="M6197" s="4" t="e">
        <f t="shared" si="1258"/>
        <v>#N/A</v>
      </c>
      <c r="N6197" s="4" t="e">
        <f t="shared" si="1259"/>
        <v>#N/A</v>
      </c>
    </row>
    <row r="6198" spans="1:14">
      <c r="A6198">
        <f t="shared" si="1260"/>
        <v>0</v>
      </c>
      <c r="B6198">
        <f t="shared" si="1261"/>
        <v>0</v>
      </c>
      <c r="C6198">
        <f t="shared" si="1262"/>
        <v>0</v>
      </c>
      <c r="D6198">
        <f t="shared" si="1263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4"/>
        <v>0</v>
      </c>
      <c r="G6198">
        <f t="shared" si="1265"/>
        <v>0</v>
      </c>
      <c r="H6198">
        <f t="shared" si="1266"/>
        <v>0</v>
      </c>
      <c r="I6198">
        <f t="shared" si="1267"/>
        <v>0</v>
      </c>
      <c r="J6198">
        <f t="shared" si="1268"/>
        <v>0</v>
      </c>
      <c r="K6198" s="4" t="e">
        <f t="shared" si="1256"/>
        <v>#N/A</v>
      </c>
      <c r="L6198" t="e">
        <f t="shared" si="1257"/>
        <v>#N/A</v>
      </c>
      <c r="M6198" s="4" t="e">
        <f t="shared" si="1258"/>
        <v>#N/A</v>
      </c>
      <c r="N6198" s="4" t="e">
        <f t="shared" si="1259"/>
        <v>#N/A</v>
      </c>
    </row>
    <row r="6199" spans="1:14">
      <c r="A6199">
        <f t="shared" si="1260"/>
        <v>0</v>
      </c>
      <c r="B6199">
        <f t="shared" si="1261"/>
        <v>0</v>
      </c>
      <c r="C6199">
        <f t="shared" si="1262"/>
        <v>0</v>
      </c>
      <c r="D6199">
        <f t="shared" si="1263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4"/>
        <v>0</v>
      </c>
      <c r="G6199">
        <f t="shared" si="1265"/>
        <v>0</v>
      </c>
      <c r="H6199">
        <f t="shared" si="1266"/>
        <v>0</v>
      </c>
      <c r="I6199">
        <f t="shared" si="1267"/>
        <v>0</v>
      </c>
      <c r="J6199">
        <f t="shared" si="1268"/>
        <v>0</v>
      </c>
      <c r="K6199" s="4" t="e">
        <f t="shared" si="1256"/>
        <v>#N/A</v>
      </c>
      <c r="L6199" t="e">
        <f t="shared" si="1257"/>
        <v>#N/A</v>
      </c>
      <c r="M6199" s="4" t="e">
        <f t="shared" si="1258"/>
        <v>#N/A</v>
      </c>
      <c r="N6199" s="4" t="e">
        <f t="shared" si="1259"/>
        <v>#N/A</v>
      </c>
    </row>
    <row r="6200" spans="1:14">
      <c r="A6200">
        <f t="shared" si="1260"/>
        <v>0</v>
      </c>
      <c r="B6200">
        <f t="shared" si="1261"/>
        <v>0</v>
      </c>
      <c r="C6200">
        <f t="shared" si="1262"/>
        <v>0</v>
      </c>
      <c r="D6200">
        <f t="shared" si="1263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4"/>
        <v>0</v>
      </c>
      <c r="G6200">
        <f t="shared" si="1265"/>
        <v>0</v>
      </c>
      <c r="H6200">
        <f t="shared" si="1266"/>
        <v>0</v>
      </c>
      <c r="I6200">
        <f t="shared" si="1267"/>
        <v>0</v>
      </c>
      <c r="J6200">
        <f t="shared" si="1268"/>
        <v>0</v>
      </c>
      <c r="K6200" s="4" t="e">
        <f t="shared" si="1256"/>
        <v>#N/A</v>
      </c>
      <c r="L6200" t="e">
        <f t="shared" si="1257"/>
        <v>#N/A</v>
      </c>
      <c r="M6200" s="4" t="e">
        <f t="shared" si="1258"/>
        <v>#N/A</v>
      </c>
      <c r="N6200" s="4" t="e">
        <f t="shared" si="1259"/>
        <v>#N/A</v>
      </c>
    </row>
    <row r="6201" spans="1:14">
      <c r="A6201">
        <f t="shared" si="1260"/>
        <v>0</v>
      </c>
      <c r="B6201">
        <f t="shared" si="1261"/>
        <v>0</v>
      </c>
      <c r="C6201">
        <f t="shared" si="1262"/>
        <v>0</v>
      </c>
      <c r="D6201">
        <f t="shared" si="1263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4"/>
        <v>0</v>
      </c>
      <c r="G6201">
        <f t="shared" si="1265"/>
        <v>0</v>
      </c>
      <c r="H6201">
        <f t="shared" si="1266"/>
        <v>0</v>
      </c>
      <c r="I6201">
        <f t="shared" si="1267"/>
        <v>0</v>
      </c>
      <c r="J6201">
        <f t="shared" si="1268"/>
        <v>0</v>
      </c>
      <c r="K6201" s="4" t="e">
        <f t="shared" si="1256"/>
        <v>#N/A</v>
      </c>
      <c r="L6201" t="e">
        <f t="shared" si="1257"/>
        <v>#N/A</v>
      </c>
      <c r="M6201" s="4" t="e">
        <f t="shared" si="1258"/>
        <v>#N/A</v>
      </c>
      <c r="N6201" s="4" t="e">
        <f t="shared" si="1259"/>
        <v>#N/A</v>
      </c>
    </row>
    <row r="6202" spans="1:14">
      <c r="A6202">
        <f t="shared" si="1260"/>
        <v>0</v>
      </c>
      <c r="B6202">
        <f t="shared" si="1261"/>
        <v>0</v>
      </c>
      <c r="C6202">
        <f t="shared" si="1262"/>
        <v>0</v>
      </c>
      <c r="D6202">
        <f t="shared" si="1263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4"/>
        <v>0</v>
      </c>
      <c r="G6202">
        <f t="shared" si="1265"/>
        <v>0</v>
      </c>
      <c r="H6202">
        <f t="shared" si="1266"/>
        <v>0</v>
      </c>
      <c r="I6202">
        <f t="shared" si="1267"/>
        <v>0</v>
      </c>
      <c r="J6202">
        <f t="shared" si="1268"/>
        <v>0</v>
      </c>
      <c r="K6202" s="4" t="e">
        <f t="shared" si="1256"/>
        <v>#N/A</v>
      </c>
      <c r="L6202" t="e">
        <f t="shared" si="1257"/>
        <v>#N/A</v>
      </c>
      <c r="M6202" s="4" t="e">
        <f t="shared" si="1258"/>
        <v>#N/A</v>
      </c>
      <c r="N6202" s="4" t="e">
        <f t="shared" si="1259"/>
        <v>#N/A</v>
      </c>
    </row>
    <row r="6203" spans="1:14">
      <c r="A6203">
        <f t="shared" si="1260"/>
        <v>0</v>
      </c>
      <c r="B6203">
        <f t="shared" si="1261"/>
        <v>0</v>
      </c>
      <c r="C6203">
        <f t="shared" si="1262"/>
        <v>0</v>
      </c>
      <c r="D6203">
        <f t="shared" si="1263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4"/>
        <v>0</v>
      </c>
      <c r="G6203">
        <f t="shared" si="1265"/>
        <v>0</v>
      </c>
      <c r="H6203">
        <f t="shared" si="1266"/>
        <v>0</v>
      </c>
      <c r="I6203">
        <f t="shared" si="1267"/>
        <v>0</v>
      </c>
      <c r="J6203">
        <f t="shared" si="1268"/>
        <v>0</v>
      </c>
      <c r="K6203" s="4" t="e">
        <f t="shared" si="1256"/>
        <v>#N/A</v>
      </c>
      <c r="L6203" t="e">
        <f t="shared" si="1257"/>
        <v>#N/A</v>
      </c>
      <c r="M6203" s="4" t="e">
        <f t="shared" si="1258"/>
        <v>#N/A</v>
      </c>
      <c r="N6203" s="4" t="e">
        <f t="shared" si="1259"/>
        <v>#N/A</v>
      </c>
    </row>
    <row r="6204" spans="1:14">
      <c r="A6204">
        <f t="shared" si="1260"/>
        <v>0</v>
      </c>
      <c r="B6204">
        <f t="shared" si="1261"/>
        <v>0</v>
      </c>
      <c r="C6204">
        <f t="shared" si="1262"/>
        <v>0</v>
      </c>
      <c r="D6204">
        <f t="shared" si="1263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4"/>
        <v>0</v>
      </c>
      <c r="G6204">
        <f t="shared" si="1265"/>
        <v>0</v>
      </c>
      <c r="H6204">
        <f t="shared" si="1266"/>
        <v>0</v>
      </c>
      <c r="I6204">
        <f t="shared" si="1267"/>
        <v>0</v>
      </c>
      <c r="J6204">
        <f t="shared" si="1268"/>
        <v>0</v>
      </c>
      <c r="K6204" s="4" t="e">
        <f t="shared" si="1256"/>
        <v>#N/A</v>
      </c>
      <c r="L6204" t="e">
        <f t="shared" si="1257"/>
        <v>#N/A</v>
      </c>
      <c r="M6204" s="4" t="e">
        <f t="shared" si="1258"/>
        <v>#N/A</v>
      </c>
      <c r="N6204" s="4" t="e">
        <f t="shared" si="1259"/>
        <v>#N/A</v>
      </c>
    </row>
    <row r="6205" spans="1:14">
      <c r="A6205">
        <f t="shared" si="1260"/>
        <v>0</v>
      </c>
      <c r="B6205">
        <f t="shared" si="1261"/>
        <v>0</v>
      </c>
      <c r="C6205">
        <f t="shared" si="1262"/>
        <v>0</v>
      </c>
      <c r="D6205">
        <f t="shared" si="1263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4"/>
        <v>0</v>
      </c>
      <c r="G6205">
        <f t="shared" si="1265"/>
        <v>0</v>
      </c>
      <c r="H6205">
        <f t="shared" si="1266"/>
        <v>0</v>
      </c>
      <c r="I6205">
        <f t="shared" si="1267"/>
        <v>0</v>
      </c>
      <c r="J6205">
        <f t="shared" si="1268"/>
        <v>0</v>
      </c>
      <c r="K6205" s="4" t="e">
        <f t="shared" ref="K6205:K6268" si="1269">IF(LEFT(B6205,3)="DBM",0,VLOOKUP(E6205,tabela,2,FALSE))</f>
        <v>#N/A</v>
      </c>
      <c r="L6205" t="e">
        <f t="shared" ref="L6205:L6268" si="1270">VLOOKUP(E6205,tabela,3,FALSE)</f>
        <v>#N/A</v>
      </c>
      <c r="M6205" s="4" t="e">
        <f t="shared" ref="M6205:M6268" si="1271">IF(E6205="Dynamic Click",J6205*K6205,K6205*$I6205/1000)</f>
        <v>#N/A</v>
      </c>
      <c r="N6205" s="4" t="e">
        <f t="shared" ref="N6205:N6268" si="1272">IF(E6205="Dynamic Click",J6205*L6205,L6205*$I6205/1000)</f>
        <v>#N/A</v>
      </c>
    </row>
    <row r="6206" spans="1:14">
      <c r="A6206">
        <f t="shared" si="1260"/>
        <v>0</v>
      </c>
      <c r="B6206">
        <f t="shared" si="1261"/>
        <v>0</v>
      </c>
      <c r="C6206">
        <f t="shared" si="1262"/>
        <v>0</v>
      </c>
      <c r="D6206">
        <f t="shared" si="1263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4"/>
        <v>0</v>
      </c>
      <c r="G6206">
        <f t="shared" si="1265"/>
        <v>0</v>
      </c>
      <c r="H6206">
        <f t="shared" si="1266"/>
        <v>0</v>
      </c>
      <c r="I6206">
        <f t="shared" si="1267"/>
        <v>0</v>
      </c>
      <c r="J6206">
        <f t="shared" si="1268"/>
        <v>0</v>
      </c>
      <c r="K6206" s="4" t="e">
        <f t="shared" si="1269"/>
        <v>#N/A</v>
      </c>
      <c r="L6206" t="e">
        <f t="shared" si="1270"/>
        <v>#N/A</v>
      </c>
      <c r="M6206" s="4" t="e">
        <f t="shared" si="1271"/>
        <v>#N/A</v>
      </c>
      <c r="N6206" s="4" t="e">
        <f t="shared" si="1272"/>
        <v>#N/A</v>
      </c>
    </row>
    <row r="6207" spans="1:14">
      <c r="A6207">
        <f t="shared" si="1260"/>
        <v>0</v>
      </c>
      <c r="B6207">
        <f t="shared" si="1261"/>
        <v>0</v>
      </c>
      <c r="C6207">
        <f t="shared" si="1262"/>
        <v>0</v>
      </c>
      <c r="D6207">
        <f t="shared" si="1263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4"/>
        <v>0</v>
      </c>
      <c r="G6207">
        <f t="shared" si="1265"/>
        <v>0</v>
      </c>
      <c r="H6207">
        <f t="shared" si="1266"/>
        <v>0</v>
      </c>
      <c r="I6207">
        <f t="shared" si="1267"/>
        <v>0</v>
      </c>
      <c r="J6207">
        <f t="shared" si="1268"/>
        <v>0</v>
      </c>
      <c r="K6207" s="4" t="e">
        <f t="shared" si="1269"/>
        <v>#N/A</v>
      </c>
      <c r="L6207" t="e">
        <f t="shared" si="1270"/>
        <v>#N/A</v>
      </c>
      <c r="M6207" s="4" t="e">
        <f t="shared" si="1271"/>
        <v>#N/A</v>
      </c>
      <c r="N6207" s="4" t="e">
        <f t="shared" si="1272"/>
        <v>#N/A</v>
      </c>
    </row>
    <row r="6208" spans="1:14">
      <c r="A6208">
        <f t="shared" si="1260"/>
        <v>0</v>
      </c>
      <c r="B6208">
        <f t="shared" si="1261"/>
        <v>0</v>
      </c>
      <c r="C6208">
        <f t="shared" si="1262"/>
        <v>0</v>
      </c>
      <c r="D6208">
        <f t="shared" si="1263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4"/>
        <v>0</v>
      </c>
      <c r="G6208">
        <f t="shared" si="1265"/>
        <v>0</v>
      </c>
      <c r="H6208">
        <f t="shared" si="1266"/>
        <v>0</v>
      </c>
      <c r="I6208">
        <f t="shared" si="1267"/>
        <v>0</v>
      </c>
      <c r="J6208">
        <f t="shared" si="1268"/>
        <v>0</v>
      </c>
      <c r="K6208" s="4" t="e">
        <f t="shared" si="1269"/>
        <v>#N/A</v>
      </c>
      <c r="L6208" t="e">
        <f t="shared" si="1270"/>
        <v>#N/A</v>
      </c>
      <c r="M6208" s="4" t="e">
        <f t="shared" si="1271"/>
        <v>#N/A</v>
      </c>
      <c r="N6208" s="4" t="e">
        <f t="shared" si="1272"/>
        <v>#N/A</v>
      </c>
    </row>
    <row r="6209" spans="1:14">
      <c r="A6209">
        <f t="shared" si="1260"/>
        <v>0</v>
      </c>
      <c r="B6209">
        <f t="shared" si="1261"/>
        <v>0</v>
      </c>
      <c r="C6209">
        <f t="shared" si="1262"/>
        <v>0</v>
      </c>
      <c r="D6209">
        <f t="shared" si="1263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4"/>
        <v>0</v>
      </c>
      <c r="G6209">
        <f t="shared" si="1265"/>
        <v>0</v>
      </c>
      <c r="H6209">
        <f t="shared" si="1266"/>
        <v>0</v>
      </c>
      <c r="I6209">
        <f t="shared" si="1267"/>
        <v>0</v>
      </c>
      <c r="J6209">
        <f t="shared" si="1268"/>
        <v>0</v>
      </c>
      <c r="K6209" s="4" t="e">
        <f t="shared" si="1269"/>
        <v>#N/A</v>
      </c>
      <c r="L6209" t="e">
        <f t="shared" si="1270"/>
        <v>#N/A</v>
      </c>
      <c r="M6209" s="4" t="e">
        <f t="shared" si="1271"/>
        <v>#N/A</v>
      </c>
      <c r="N6209" s="4" t="e">
        <f t="shared" si="1272"/>
        <v>#N/A</v>
      </c>
    </row>
    <row r="6210" spans="1:14">
      <c r="A6210">
        <f t="shared" ref="A6210:A6273" si="1273">bd_campaign</f>
        <v>0</v>
      </c>
      <c r="B6210">
        <f t="shared" ref="B6210:B6273" si="1274">bd_site</f>
        <v>0</v>
      </c>
      <c r="C6210">
        <f t="shared" ref="C6210:C6273" si="1275">bd_placement</f>
        <v>0</v>
      </c>
      <c r="D6210">
        <f t="shared" ref="D6210:D6273" si="1276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7">bd_ad</f>
        <v>0</v>
      </c>
      <c r="G6210">
        <f t="shared" ref="G6210:G6273" si="1278">bd_adid</f>
        <v>0</v>
      </c>
      <c r="H6210">
        <f t="shared" ref="H6210:H6273" si="1279">bd_creativetype</f>
        <v>0</v>
      </c>
      <c r="I6210">
        <f t="shared" ref="I6210:I6273" si="1280">bd_impression</f>
        <v>0</v>
      </c>
      <c r="J6210">
        <f t="shared" ref="J6210:J6273" si="1281">bd_clicks</f>
        <v>0</v>
      </c>
      <c r="K6210" s="4" t="e">
        <f t="shared" si="1269"/>
        <v>#N/A</v>
      </c>
      <c r="L6210" t="e">
        <f t="shared" si="1270"/>
        <v>#N/A</v>
      </c>
      <c r="M6210" s="4" t="e">
        <f t="shared" si="1271"/>
        <v>#N/A</v>
      </c>
      <c r="N6210" s="4" t="e">
        <f t="shared" si="1272"/>
        <v>#N/A</v>
      </c>
    </row>
    <row r="6211" spans="1:14">
      <c r="A6211">
        <f t="shared" si="1273"/>
        <v>0</v>
      </c>
      <c r="B6211">
        <f t="shared" si="1274"/>
        <v>0</v>
      </c>
      <c r="C6211">
        <f t="shared" si="1275"/>
        <v>0</v>
      </c>
      <c r="D6211">
        <f t="shared" si="1276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7"/>
        <v>0</v>
      </c>
      <c r="G6211">
        <f t="shared" si="1278"/>
        <v>0</v>
      </c>
      <c r="H6211">
        <f t="shared" si="1279"/>
        <v>0</v>
      </c>
      <c r="I6211">
        <f t="shared" si="1280"/>
        <v>0</v>
      </c>
      <c r="J6211">
        <f t="shared" si="1281"/>
        <v>0</v>
      </c>
      <c r="K6211" s="4" t="e">
        <f t="shared" si="1269"/>
        <v>#N/A</v>
      </c>
      <c r="L6211" t="e">
        <f t="shared" si="1270"/>
        <v>#N/A</v>
      </c>
      <c r="M6211" s="4" t="e">
        <f t="shared" si="1271"/>
        <v>#N/A</v>
      </c>
      <c r="N6211" s="4" t="e">
        <f t="shared" si="1272"/>
        <v>#N/A</v>
      </c>
    </row>
    <row r="6212" spans="1:14">
      <c r="A6212">
        <f t="shared" si="1273"/>
        <v>0</v>
      </c>
      <c r="B6212">
        <f t="shared" si="1274"/>
        <v>0</v>
      </c>
      <c r="C6212">
        <f t="shared" si="1275"/>
        <v>0</v>
      </c>
      <c r="D6212">
        <f t="shared" si="1276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7"/>
        <v>0</v>
      </c>
      <c r="G6212">
        <f t="shared" si="1278"/>
        <v>0</v>
      </c>
      <c r="H6212">
        <f t="shared" si="1279"/>
        <v>0</v>
      </c>
      <c r="I6212">
        <f t="shared" si="1280"/>
        <v>0</v>
      </c>
      <c r="J6212">
        <f t="shared" si="1281"/>
        <v>0</v>
      </c>
      <c r="K6212" s="4" t="e">
        <f t="shared" si="1269"/>
        <v>#N/A</v>
      </c>
      <c r="L6212" t="e">
        <f t="shared" si="1270"/>
        <v>#N/A</v>
      </c>
      <c r="M6212" s="4" t="e">
        <f t="shared" si="1271"/>
        <v>#N/A</v>
      </c>
      <c r="N6212" s="4" t="e">
        <f t="shared" si="1272"/>
        <v>#N/A</v>
      </c>
    </row>
    <row r="6213" spans="1:14">
      <c r="A6213">
        <f t="shared" si="1273"/>
        <v>0</v>
      </c>
      <c r="B6213">
        <f t="shared" si="1274"/>
        <v>0</v>
      </c>
      <c r="C6213">
        <f t="shared" si="1275"/>
        <v>0</v>
      </c>
      <c r="D6213">
        <f t="shared" si="1276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7"/>
        <v>0</v>
      </c>
      <c r="G6213">
        <f t="shared" si="1278"/>
        <v>0</v>
      </c>
      <c r="H6213">
        <f t="shared" si="1279"/>
        <v>0</v>
      </c>
      <c r="I6213">
        <f t="shared" si="1280"/>
        <v>0</v>
      </c>
      <c r="J6213">
        <f t="shared" si="1281"/>
        <v>0</v>
      </c>
      <c r="K6213" s="4" t="e">
        <f t="shared" si="1269"/>
        <v>#N/A</v>
      </c>
      <c r="L6213" t="e">
        <f t="shared" si="1270"/>
        <v>#N/A</v>
      </c>
      <c r="M6213" s="4" t="e">
        <f t="shared" si="1271"/>
        <v>#N/A</v>
      </c>
      <c r="N6213" s="4" t="e">
        <f t="shared" si="1272"/>
        <v>#N/A</v>
      </c>
    </row>
    <row r="6214" spans="1:14">
      <c r="A6214">
        <f t="shared" si="1273"/>
        <v>0</v>
      </c>
      <c r="B6214">
        <f t="shared" si="1274"/>
        <v>0</v>
      </c>
      <c r="C6214">
        <f t="shared" si="1275"/>
        <v>0</v>
      </c>
      <c r="D6214">
        <f t="shared" si="1276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7"/>
        <v>0</v>
      </c>
      <c r="G6214">
        <f t="shared" si="1278"/>
        <v>0</v>
      </c>
      <c r="H6214">
        <f t="shared" si="1279"/>
        <v>0</v>
      </c>
      <c r="I6214">
        <f t="shared" si="1280"/>
        <v>0</v>
      </c>
      <c r="J6214">
        <f t="shared" si="1281"/>
        <v>0</v>
      </c>
      <c r="K6214" s="4" t="e">
        <f t="shared" si="1269"/>
        <v>#N/A</v>
      </c>
      <c r="L6214" t="e">
        <f t="shared" si="1270"/>
        <v>#N/A</v>
      </c>
      <c r="M6214" s="4" t="e">
        <f t="shared" si="1271"/>
        <v>#N/A</v>
      </c>
      <c r="N6214" s="4" t="e">
        <f t="shared" si="1272"/>
        <v>#N/A</v>
      </c>
    </row>
    <row r="6215" spans="1:14">
      <c r="A6215">
        <f t="shared" si="1273"/>
        <v>0</v>
      </c>
      <c r="B6215">
        <f t="shared" si="1274"/>
        <v>0</v>
      </c>
      <c r="C6215">
        <f t="shared" si="1275"/>
        <v>0</v>
      </c>
      <c r="D6215">
        <f t="shared" si="1276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7"/>
        <v>0</v>
      </c>
      <c r="G6215">
        <f t="shared" si="1278"/>
        <v>0</v>
      </c>
      <c r="H6215">
        <f t="shared" si="1279"/>
        <v>0</v>
      </c>
      <c r="I6215">
        <f t="shared" si="1280"/>
        <v>0</v>
      </c>
      <c r="J6215">
        <f t="shared" si="1281"/>
        <v>0</v>
      </c>
      <c r="K6215" s="4" t="e">
        <f t="shared" si="1269"/>
        <v>#N/A</v>
      </c>
      <c r="L6215" t="e">
        <f t="shared" si="1270"/>
        <v>#N/A</v>
      </c>
      <c r="M6215" s="4" t="e">
        <f t="shared" si="1271"/>
        <v>#N/A</v>
      </c>
      <c r="N6215" s="4" t="e">
        <f t="shared" si="1272"/>
        <v>#N/A</v>
      </c>
    </row>
    <row r="6216" spans="1:14">
      <c r="A6216">
        <f t="shared" si="1273"/>
        <v>0</v>
      </c>
      <c r="B6216">
        <f t="shared" si="1274"/>
        <v>0</v>
      </c>
      <c r="C6216">
        <f t="shared" si="1275"/>
        <v>0</v>
      </c>
      <c r="D6216">
        <f t="shared" si="1276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7"/>
        <v>0</v>
      </c>
      <c r="G6216">
        <f t="shared" si="1278"/>
        <v>0</v>
      </c>
      <c r="H6216">
        <f t="shared" si="1279"/>
        <v>0</v>
      </c>
      <c r="I6216">
        <f t="shared" si="1280"/>
        <v>0</v>
      </c>
      <c r="J6216">
        <f t="shared" si="1281"/>
        <v>0</v>
      </c>
      <c r="K6216" s="4" t="e">
        <f t="shared" si="1269"/>
        <v>#N/A</v>
      </c>
      <c r="L6216" t="e">
        <f t="shared" si="1270"/>
        <v>#N/A</v>
      </c>
      <c r="M6216" s="4" t="e">
        <f t="shared" si="1271"/>
        <v>#N/A</v>
      </c>
      <c r="N6216" s="4" t="e">
        <f t="shared" si="1272"/>
        <v>#N/A</v>
      </c>
    </row>
    <row r="6217" spans="1:14">
      <c r="A6217">
        <f t="shared" si="1273"/>
        <v>0</v>
      </c>
      <c r="B6217">
        <f t="shared" si="1274"/>
        <v>0</v>
      </c>
      <c r="C6217">
        <f t="shared" si="1275"/>
        <v>0</v>
      </c>
      <c r="D6217">
        <f t="shared" si="1276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7"/>
        <v>0</v>
      </c>
      <c r="G6217">
        <f t="shared" si="1278"/>
        <v>0</v>
      </c>
      <c r="H6217">
        <f t="shared" si="1279"/>
        <v>0</v>
      </c>
      <c r="I6217">
        <f t="shared" si="1280"/>
        <v>0</v>
      </c>
      <c r="J6217">
        <f t="shared" si="1281"/>
        <v>0</v>
      </c>
      <c r="K6217" s="4" t="e">
        <f t="shared" si="1269"/>
        <v>#N/A</v>
      </c>
      <c r="L6217" t="e">
        <f t="shared" si="1270"/>
        <v>#N/A</v>
      </c>
      <c r="M6217" s="4" t="e">
        <f t="shared" si="1271"/>
        <v>#N/A</v>
      </c>
      <c r="N6217" s="4" t="e">
        <f t="shared" si="1272"/>
        <v>#N/A</v>
      </c>
    </row>
    <row r="6218" spans="1:14">
      <c r="A6218">
        <f t="shared" si="1273"/>
        <v>0</v>
      </c>
      <c r="B6218">
        <f t="shared" si="1274"/>
        <v>0</v>
      </c>
      <c r="C6218">
        <f t="shared" si="1275"/>
        <v>0</v>
      </c>
      <c r="D6218">
        <f t="shared" si="1276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7"/>
        <v>0</v>
      </c>
      <c r="G6218">
        <f t="shared" si="1278"/>
        <v>0</v>
      </c>
      <c r="H6218">
        <f t="shared" si="1279"/>
        <v>0</v>
      </c>
      <c r="I6218">
        <f t="shared" si="1280"/>
        <v>0</v>
      </c>
      <c r="J6218">
        <f t="shared" si="1281"/>
        <v>0</v>
      </c>
      <c r="K6218" s="4" t="e">
        <f t="shared" si="1269"/>
        <v>#N/A</v>
      </c>
      <c r="L6218" t="e">
        <f t="shared" si="1270"/>
        <v>#N/A</v>
      </c>
      <c r="M6218" s="4" t="e">
        <f t="shared" si="1271"/>
        <v>#N/A</v>
      </c>
      <c r="N6218" s="4" t="e">
        <f t="shared" si="1272"/>
        <v>#N/A</v>
      </c>
    </row>
    <row r="6219" spans="1:14">
      <c r="A6219">
        <f t="shared" si="1273"/>
        <v>0</v>
      </c>
      <c r="B6219">
        <f t="shared" si="1274"/>
        <v>0</v>
      </c>
      <c r="C6219">
        <f t="shared" si="1275"/>
        <v>0</v>
      </c>
      <c r="D6219">
        <f t="shared" si="1276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7"/>
        <v>0</v>
      </c>
      <c r="G6219">
        <f t="shared" si="1278"/>
        <v>0</v>
      </c>
      <c r="H6219">
        <f t="shared" si="1279"/>
        <v>0</v>
      </c>
      <c r="I6219">
        <f t="shared" si="1280"/>
        <v>0</v>
      </c>
      <c r="J6219">
        <f t="shared" si="1281"/>
        <v>0</v>
      </c>
      <c r="K6219" s="4" t="e">
        <f t="shared" si="1269"/>
        <v>#N/A</v>
      </c>
      <c r="L6219" t="e">
        <f t="shared" si="1270"/>
        <v>#N/A</v>
      </c>
      <c r="M6219" s="4" t="e">
        <f t="shared" si="1271"/>
        <v>#N/A</v>
      </c>
      <c r="N6219" s="4" t="e">
        <f t="shared" si="1272"/>
        <v>#N/A</v>
      </c>
    </row>
    <row r="6220" spans="1:14">
      <c r="A6220">
        <f t="shared" si="1273"/>
        <v>0</v>
      </c>
      <c r="B6220">
        <f t="shared" si="1274"/>
        <v>0</v>
      </c>
      <c r="C6220">
        <f t="shared" si="1275"/>
        <v>0</v>
      </c>
      <c r="D6220">
        <f t="shared" si="1276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7"/>
        <v>0</v>
      </c>
      <c r="G6220">
        <f t="shared" si="1278"/>
        <v>0</v>
      </c>
      <c r="H6220">
        <f t="shared" si="1279"/>
        <v>0</v>
      </c>
      <c r="I6220">
        <f t="shared" si="1280"/>
        <v>0</v>
      </c>
      <c r="J6220">
        <f t="shared" si="1281"/>
        <v>0</v>
      </c>
      <c r="K6220" s="4" t="e">
        <f t="shared" si="1269"/>
        <v>#N/A</v>
      </c>
      <c r="L6220" t="e">
        <f t="shared" si="1270"/>
        <v>#N/A</v>
      </c>
      <c r="M6220" s="4" t="e">
        <f t="shared" si="1271"/>
        <v>#N/A</v>
      </c>
      <c r="N6220" s="4" t="e">
        <f t="shared" si="1272"/>
        <v>#N/A</v>
      </c>
    </row>
    <row r="6221" spans="1:14">
      <c r="A6221">
        <f t="shared" si="1273"/>
        <v>0</v>
      </c>
      <c r="B6221">
        <f t="shared" si="1274"/>
        <v>0</v>
      </c>
      <c r="C6221">
        <f t="shared" si="1275"/>
        <v>0</v>
      </c>
      <c r="D6221">
        <f t="shared" si="1276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7"/>
        <v>0</v>
      </c>
      <c r="G6221">
        <f t="shared" si="1278"/>
        <v>0</v>
      </c>
      <c r="H6221">
        <f t="shared" si="1279"/>
        <v>0</v>
      </c>
      <c r="I6221">
        <f t="shared" si="1280"/>
        <v>0</v>
      </c>
      <c r="J6221">
        <f t="shared" si="1281"/>
        <v>0</v>
      </c>
      <c r="K6221" s="4" t="e">
        <f t="shared" si="1269"/>
        <v>#N/A</v>
      </c>
      <c r="L6221" t="e">
        <f t="shared" si="1270"/>
        <v>#N/A</v>
      </c>
      <c r="M6221" s="4" t="e">
        <f t="shared" si="1271"/>
        <v>#N/A</v>
      </c>
      <c r="N6221" s="4" t="e">
        <f t="shared" si="1272"/>
        <v>#N/A</v>
      </c>
    </row>
    <row r="6222" spans="1:14">
      <c r="A6222">
        <f t="shared" si="1273"/>
        <v>0</v>
      </c>
      <c r="B6222">
        <f t="shared" si="1274"/>
        <v>0</v>
      </c>
      <c r="C6222">
        <f t="shared" si="1275"/>
        <v>0</v>
      </c>
      <c r="D6222">
        <f t="shared" si="1276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7"/>
        <v>0</v>
      </c>
      <c r="G6222">
        <f t="shared" si="1278"/>
        <v>0</v>
      </c>
      <c r="H6222">
        <f t="shared" si="1279"/>
        <v>0</v>
      </c>
      <c r="I6222">
        <f t="shared" si="1280"/>
        <v>0</v>
      </c>
      <c r="J6222">
        <f t="shared" si="1281"/>
        <v>0</v>
      </c>
      <c r="K6222" s="4" t="e">
        <f t="shared" si="1269"/>
        <v>#N/A</v>
      </c>
      <c r="L6222" t="e">
        <f t="shared" si="1270"/>
        <v>#N/A</v>
      </c>
      <c r="M6222" s="4" t="e">
        <f t="shared" si="1271"/>
        <v>#N/A</v>
      </c>
      <c r="N6222" s="4" t="e">
        <f t="shared" si="1272"/>
        <v>#N/A</v>
      </c>
    </row>
    <row r="6223" spans="1:14">
      <c r="A6223">
        <f t="shared" si="1273"/>
        <v>0</v>
      </c>
      <c r="B6223">
        <f t="shared" si="1274"/>
        <v>0</v>
      </c>
      <c r="C6223">
        <f t="shared" si="1275"/>
        <v>0</v>
      </c>
      <c r="D6223">
        <f t="shared" si="1276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7"/>
        <v>0</v>
      </c>
      <c r="G6223">
        <f t="shared" si="1278"/>
        <v>0</v>
      </c>
      <c r="H6223">
        <f t="shared" si="1279"/>
        <v>0</v>
      </c>
      <c r="I6223">
        <f t="shared" si="1280"/>
        <v>0</v>
      </c>
      <c r="J6223">
        <f t="shared" si="1281"/>
        <v>0</v>
      </c>
      <c r="K6223" s="4" t="e">
        <f t="shared" si="1269"/>
        <v>#N/A</v>
      </c>
      <c r="L6223" t="e">
        <f t="shared" si="1270"/>
        <v>#N/A</v>
      </c>
      <c r="M6223" s="4" t="e">
        <f t="shared" si="1271"/>
        <v>#N/A</v>
      </c>
      <c r="N6223" s="4" t="e">
        <f t="shared" si="1272"/>
        <v>#N/A</v>
      </c>
    </row>
    <row r="6224" spans="1:14">
      <c r="A6224">
        <f t="shared" si="1273"/>
        <v>0</v>
      </c>
      <c r="B6224">
        <f t="shared" si="1274"/>
        <v>0</v>
      </c>
      <c r="C6224">
        <f t="shared" si="1275"/>
        <v>0</v>
      </c>
      <c r="D6224">
        <f t="shared" si="1276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7"/>
        <v>0</v>
      </c>
      <c r="G6224">
        <f t="shared" si="1278"/>
        <v>0</v>
      </c>
      <c r="H6224">
        <f t="shared" si="1279"/>
        <v>0</v>
      </c>
      <c r="I6224">
        <f t="shared" si="1280"/>
        <v>0</v>
      </c>
      <c r="J6224">
        <f t="shared" si="1281"/>
        <v>0</v>
      </c>
      <c r="K6224" s="4" t="e">
        <f t="shared" si="1269"/>
        <v>#N/A</v>
      </c>
      <c r="L6224" t="e">
        <f t="shared" si="1270"/>
        <v>#N/A</v>
      </c>
      <c r="M6224" s="4" t="e">
        <f t="shared" si="1271"/>
        <v>#N/A</v>
      </c>
      <c r="N6224" s="4" t="e">
        <f t="shared" si="1272"/>
        <v>#N/A</v>
      </c>
    </row>
    <row r="6225" spans="1:14">
      <c r="A6225">
        <f t="shared" si="1273"/>
        <v>0</v>
      </c>
      <c r="B6225">
        <f t="shared" si="1274"/>
        <v>0</v>
      </c>
      <c r="C6225">
        <f t="shared" si="1275"/>
        <v>0</v>
      </c>
      <c r="D6225">
        <f t="shared" si="1276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7"/>
        <v>0</v>
      </c>
      <c r="G6225">
        <f t="shared" si="1278"/>
        <v>0</v>
      </c>
      <c r="H6225">
        <f t="shared" si="1279"/>
        <v>0</v>
      </c>
      <c r="I6225">
        <f t="shared" si="1280"/>
        <v>0</v>
      </c>
      <c r="J6225">
        <f t="shared" si="1281"/>
        <v>0</v>
      </c>
      <c r="K6225" s="4" t="e">
        <f t="shared" si="1269"/>
        <v>#N/A</v>
      </c>
      <c r="L6225" t="e">
        <f t="shared" si="1270"/>
        <v>#N/A</v>
      </c>
      <c r="M6225" s="4" t="e">
        <f t="shared" si="1271"/>
        <v>#N/A</v>
      </c>
      <c r="N6225" s="4" t="e">
        <f t="shared" si="1272"/>
        <v>#N/A</v>
      </c>
    </row>
    <row r="6226" spans="1:14">
      <c r="A6226">
        <f t="shared" si="1273"/>
        <v>0</v>
      </c>
      <c r="B6226">
        <f t="shared" si="1274"/>
        <v>0</v>
      </c>
      <c r="C6226">
        <f t="shared" si="1275"/>
        <v>0</v>
      </c>
      <c r="D6226">
        <f t="shared" si="1276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7"/>
        <v>0</v>
      </c>
      <c r="G6226">
        <f t="shared" si="1278"/>
        <v>0</v>
      </c>
      <c r="H6226">
        <f t="shared" si="1279"/>
        <v>0</v>
      </c>
      <c r="I6226">
        <f t="shared" si="1280"/>
        <v>0</v>
      </c>
      <c r="J6226">
        <f t="shared" si="1281"/>
        <v>0</v>
      </c>
      <c r="K6226" s="4" t="e">
        <f t="shared" si="1269"/>
        <v>#N/A</v>
      </c>
      <c r="L6226" t="e">
        <f t="shared" si="1270"/>
        <v>#N/A</v>
      </c>
      <c r="M6226" s="4" t="e">
        <f t="shared" si="1271"/>
        <v>#N/A</v>
      </c>
      <c r="N6226" s="4" t="e">
        <f t="shared" si="1272"/>
        <v>#N/A</v>
      </c>
    </row>
    <row r="6227" spans="1:14">
      <c r="A6227">
        <f t="shared" si="1273"/>
        <v>0</v>
      </c>
      <c r="B6227">
        <f t="shared" si="1274"/>
        <v>0</v>
      </c>
      <c r="C6227">
        <f t="shared" si="1275"/>
        <v>0</v>
      </c>
      <c r="D6227">
        <f t="shared" si="1276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7"/>
        <v>0</v>
      </c>
      <c r="G6227">
        <f t="shared" si="1278"/>
        <v>0</v>
      </c>
      <c r="H6227">
        <f t="shared" si="1279"/>
        <v>0</v>
      </c>
      <c r="I6227">
        <f t="shared" si="1280"/>
        <v>0</v>
      </c>
      <c r="J6227">
        <f t="shared" si="1281"/>
        <v>0</v>
      </c>
      <c r="K6227" s="4" t="e">
        <f t="shared" si="1269"/>
        <v>#N/A</v>
      </c>
      <c r="L6227" t="e">
        <f t="shared" si="1270"/>
        <v>#N/A</v>
      </c>
      <c r="M6227" s="4" t="e">
        <f t="shared" si="1271"/>
        <v>#N/A</v>
      </c>
      <c r="N6227" s="4" t="e">
        <f t="shared" si="1272"/>
        <v>#N/A</v>
      </c>
    </row>
    <row r="6228" spans="1:14">
      <c r="A6228">
        <f t="shared" si="1273"/>
        <v>0</v>
      </c>
      <c r="B6228">
        <f t="shared" si="1274"/>
        <v>0</v>
      </c>
      <c r="C6228">
        <f t="shared" si="1275"/>
        <v>0</v>
      </c>
      <c r="D6228">
        <f t="shared" si="1276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7"/>
        <v>0</v>
      </c>
      <c r="G6228">
        <f t="shared" si="1278"/>
        <v>0</v>
      </c>
      <c r="H6228">
        <f t="shared" si="1279"/>
        <v>0</v>
      </c>
      <c r="I6228">
        <f t="shared" si="1280"/>
        <v>0</v>
      </c>
      <c r="J6228">
        <f t="shared" si="1281"/>
        <v>0</v>
      </c>
      <c r="K6228" s="4" t="e">
        <f t="shared" si="1269"/>
        <v>#N/A</v>
      </c>
      <c r="L6228" t="e">
        <f t="shared" si="1270"/>
        <v>#N/A</v>
      </c>
      <c r="M6228" s="4" t="e">
        <f t="shared" si="1271"/>
        <v>#N/A</v>
      </c>
      <c r="N6228" s="4" t="e">
        <f t="shared" si="1272"/>
        <v>#N/A</v>
      </c>
    </row>
    <row r="6229" spans="1:14">
      <c r="A6229">
        <f t="shared" si="1273"/>
        <v>0</v>
      </c>
      <c r="B6229">
        <f t="shared" si="1274"/>
        <v>0</v>
      </c>
      <c r="C6229">
        <f t="shared" si="1275"/>
        <v>0</v>
      </c>
      <c r="D6229">
        <f t="shared" si="1276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7"/>
        <v>0</v>
      </c>
      <c r="G6229">
        <f t="shared" si="1278"/>
        <v>0</v>
      </c>
      <c r="H6229">
        <f t="shared" si="1279"/>
        <v>0</v>
      </c>
      <c r="I6229">
        <f t="shared" si="1280"/>
        <v>0</v>
      </c>
      <c r="J6229">
        <f t="shared" si="1281"/>
        <v>0</v>
      </c>
      <c r="K6229" s="4" t="e">
        <f t="shared" si="1269"/>
        <v>#N/A</v>
      </c>
      <c r="L6229" t="e">
        <f t="shared" si="1270"/>
        <v>#N/A</v>
      </c>
      <c r="M6229" s="4" t="e">
        <f t="shared" si="1271"/>
        <v>#N/A</v>
      </c>
      <c r="N6229" s="4" t="e">
        <f t="shared" si="1272"/>
        <v>#N/A</v>
      </c>
    </row>
    <row r="6230" spans="1:14">
      <c r="A6230">
        <f t="shared" si="1273"/>
        <v>0</v>
      </c>
      <c r="B6230">
        <f t="shared" si="1274"/>
        <v>0</v>
      </c>
      <c r="C6230">
        <f t="shared" si="1275"/>
        <v>0</v>
      </c>
      <c r="D6230">
        <f t="shared" si="1276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7"/>
        <v>0</v>
      </c>
      <c r="G6230">
        <f t="shared" si="1278"/>
        <v>0</v>
      </c>
      <c r="H6230">
        <f t="shared" si="1279"/>
        <v>0</v>
      </c>
      <c r="I6230">
        <f t="shared" si="1280"/>
        <v>0</v>
      </c>
      <c r="J6230">
        <f t="shared" si="1281"/>
        <v>0</v>
      </c>
      <c r="K6230" s="4" t="e">
        <f t="shared" si="1269"/>
        <v>#N/A</v>
      </c>
      <c r="L6230" t="e">
        <f t="shared" si="1270"/>
        <v>#N/A</v>
      </c>
      <c r="M6230" s="4" t="e">
        <f t="shared" si="1271"/>
        <v>#N/A</v>
      </c>
      <c r="N6230" s="4" t="e">
        <f t="shared" si="1272"/>
        <v>#N/A</v>
      </c>
    </row>
    <row r="6231" spans="1:14">
      <c r="A6231">
        <f t="shared" si="1273"/>
        <v>0</v>
      </c>
      <c r="B6231">
        <f t="shared" si="1274"/>
        <v>0</v>
      </c>
      <c r="C6231">
        <f t="shared" si="1275"/>
        <v>0</v>
      </c>
      <c r="D6231">
        <f t="shared" si="1276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7"/>
        <v>0</v>
      </c>
      <c r="G6231">
        <f t="shared" si="1278"/>
        <v>0</v>
      </c>
      <c r="H6231">
        <f t="shared" si="1279"/>
        <v>0</v>
      </c>
      <c r="I6231">
        <f t="shared" si="1280"/>
        <v>0</v>
      </c>
      <c r="J6231">
        <f t="shared" si="1281"/>
        <v>0</v>
      </c>
      <c r="K6231" s="4" t="e">
        <f t="shared" si="1269"/>
        <v>#N/A</v>
      </c>
      <c r="L6231" t="e">
        <f t="shared" si="1270"/>
        <v>#N/A</v>
      </c>
      <c r="M6231" s="4" t="e">
        <f t="shared" si="1271"/>
        <v>#N/A</v>
      </c>
      <c r="N6231" s="4" t="e">
        <f t="shared" si="1272"/>
        <v>#N/A</v>
      </c>
    </row>
    <row r="6232" spans="1:14">
      <c r="A6232">
        <f t="shared" si="1273"/>
        <v>0</v>
      </c>
      <c r="B6232">
        <f t="shared" si="1274"/>
        <v>0</v>
      </c>
      <c r="C6232">
        <f t="shared" si="1275"/>
        <v>0</v>
      </c>
      <c r="D6232">
        <f t="shared" si="1276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7"/>
        <v>0</v>
      </c>
      <c r="G6232">
        <f t="shared" si="1278"/>
        <v>0</v>
      </c>
      <c r="H6232">
        <f t="shared" si="1279"/>
        <v>0</v>
      </c>
      <c r="I6232">
        <f t="shared" si="1280"/>
        <v>0</v>
      </c>
      <c r="J6232">
        <f t="shared" si="1281"/>
        <v>0</v>
      </c>
      <c r="K6232" s="4" t="e">
        <f t="shared" si="1269"/>
        <v>#N/A</v>
      </c>
      <c r="L6232" t="e">
        <f t="shared" si="1270"/>
        <v>#N/A</v>
      </c>
      <c r="M6232" s="4" t="e">
        <f t="shared" si="1271"/>
        <v>#N/A</v>
      </c>
      <c r="N6232" s="4" t="e">
        <f t="shared" si="1272"/>
        <v>#N/A</v>
      </c>
    </row>
    <row r="6233" spans="1:14">
      <c r="A6233">
        <f t="shared" si="1273"/>
        <v>0</v>
      </c>
      <c r="B6233">
        <f t="shared" si="1274"/>
        <v>0</v>
      </c>
      <c r="C6233">
        <f t="shared" si="1275"/>
        <v>0</v>
      </c>
      <c r="D6233">
        <f t="shared" si="1276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7"/>
        <v>0</v>
      </c>
      <c r="G6233">
        <f t="shared" si="1278"/>
        <v>0</v>
      </c>
      <c r="H6233">
        <f t="shared" si="1279"/>
        <v>0</v>
      </c>
      <c r="I6233">
        <f t="shared" si="1280"/>
        <v>0</v>
      </c>
      <c r="J6233">
        <f t="shared" si="1281"/>
        <v>0</v>
      </c>
      <c r="K6233" s="4" t="e">
        <f t="shared" si="1269"/>
        <v>#N/A</v>
      </c>
      <c r="L6233" t="e">
        <f t="shared" si="1270"/>
        <v>#N/A</v>
      </c>
      <c r="M6233" s="4" t="e">
        <f t="shared" si="1271"/>
        <v>#N/A</v>
      </c>
      <c r="N6233" s="4" t="e">
        <f t="shared" si="1272"/>
        <v>#N/A</v>
      </c>
    </row>
    <row r="6234" spans="1:14">
      <c r="A6234">
        <f t="shared" si="1273"/>
        <v>0</v>
      </c>
      <c r="B6234">
        <f t="shared" si="1274"/>
        <v>0</v>
      </c>
      <c r="C6234">
        <f t="shared" si="1275"/>
        <v>0</v>
      </c>
      <c r="D6234">
        <f t="shared" si="1276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7"/>
        <v>0</v>
      </c>
      <c r="G6234">
        <f t="shared" si="1278"/>
        <v>0</v>
      </c>
      <c r="H6234">
        <f t="shared" si="1279"/>
        <v>0</v>
      </c>
      <c r="I6234">
        <f t="shared" si="1280"/>
        <v>0</v>
      </c>
      <c r="J6234">
        <f t="shared" si="1281"/>
        <v>0</v>
      </c>
      <c r="K6234" s="4" t="e">
        <f t="shared" si="1269"/>
        <v>#N/A</v>
      </c>
      <c r="L6234" t="e">
        <f t="shared" si="1270"/>
        <v>#N/A</v>
      </c>
      <c r="M6234" s="4" t="e">
        <f t="shared" si="1271"/>
        <v>#N/A</v>
      </c>
      <c r="N6234" s="4" t="e">
        <f t="shared" si="1272"/>
        <v>#N/A</v>
      </c>
    </row>
    <row r="6235" spans="1:14">
      <c r="A6235">
        <f t="shared" si="1273"/>
        <v>0</v>
      </c>
      <c r="B6235">
        <f t="shared" si="1274"/>
        <v>0</v>
      </c>
      <c r="C6235">
        <f t="shared" si="1275"/>
        <v>0</v>
      </c>
      <c r="D6235">
        <f t="shared" si="1276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7"/>
        <v>0</v>
      </c>
      <c r="G6235">
        <f t="shared" si="1278"/>
        <v>0</v>
      </c>
      <c r="H6235">
        <f t="shared" si="1279"/>
        <v>0</v>
      </c>
      <c r="I6235">
        <f t="shared" si="1280"/>
        <v>0</v>
      </c>
      <c r="J6235">
        <f t="shared" si="1281"/>
        <v>0</v>
      </c>
      <c r="K6235" s="4" t="e">
        <f t="shared" si="1269"/>
        <v>#N/A</v>
      </c>
      <c r="L6235" t="e">
        <f t="shared" si="1270"/>
        <v>#N/A</v>
      </c>
      <c r="M6235" s="4" t="e">
        <f t="shared" si="1271"/>
        <v>#N/A</v>
      </c>
      <c r="N6235" s="4" t="e">
        <f t="shared" si="1272"/>
        <v>#N/A</v>
      </c>
    </row>
    <row r="6236" spans="1:14">
      <c r="A6236">
        <f t="shared" si="1273"/>
        <v>0</v>
      </c>
      <c r="B6236">
        <f t="shared" si="1274"/>
        <v>0</v>
      </c>
      <c r="C6236">
        <f t="shared" si="1275"/>
        <v>0</v>
      </c>
      <c r="D6236">
        <f t="shared" si="1276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7"/>
        <v>0</v>
      </c>
      <c r="G6236">
        <f t="shared" si="1278"/>
        <v>0</v>
      </c>
      <c r="H6236">
        <f t="shared" si="1279"/>
        <v>0</v>
      </c>
      <c r="I6236">
        <f t="shared" si="1280"/>
        <v>0</v>
      </c>
      <c r="J6236">
        <f t="shared" si="1281"/>
        <v>0</v>
      </c>
      <c r="K6236" s="4" t="e">
        <f t="shared" si="1269"/>
        <v>#N/A</v>
      </c>
      <c r="L6236" t="e">
        <f t="shared" si="1270"/>
        <v>#N/A</v>
      </c>
      <c r="M6236" s="4" t="e">
        <f t="shared" si="1271"/>
        <v>#N/A</v>
      </c>
      <c r="N6236" s="4" t="e">
        <f t="shared" si="1272"/>
        <v>#N/A</v>
      </c>
    </row>
    <row r="6237" spans="1:14">
      <c r="A6237">
        <f t="shared" si="1273"/>
        <v>0</v>
      </c>
      <c r="B6237">
        <f t="shared" si="1274"/>
        <v>0</v>
      </c>
      <c r="C6237">
        <f t="shared" si="1275"/>
        <v>0</v>
      </c>
      <c r="D6237">
        <f t="shared" si="1276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7"/>
        <v>0</v>
      </c>
      <c r="G6237">
        <f t="shared" si="1278"/>
        <v>0</v>
      </c>
      <c r="H6237">
        <f t="shared" si="1279"/>
        <v>0</v>
      </c>
      <c r="I6237">
        <f t="shared" si="1280"/>
        <v>0</v>
      </c>
      <c r="J6237">
        <f t="shared" si="1281"/>
        <v>0</v>
      </c>
      <c r="K6237" s="4" t="e">
        <f t="shared" si="1269"/>
        <v>#N/A</v>
      </c>
      <c r="L6237" t="e">
        <f t="shared" si="1270"/>
        <v>#N/A</v>
      </c>
      <c r="M6237" s="4" t="e">
        <f t="shared" si="1271"/>
        <v>#N/A</v>
      </c>
      <c r="N6237" s="4" t="e">
        <f t="shared" si="1272"/>
        <v>#N/A</v>
      </c>
    </row>
    <row r="6238" spans="1:14">
      <c r="A6238">
        <f t="shared" si="1273"/>
        <v>0</v>
      </c>
      <c r="B6238">
        <f t="shared" si="1274"/>
        <v>0</v>
      </c>
      <c r="C6238">
        <f t="shared" si="1275"/>
        <v>0</v>
      </c>
      <c r="D6238">
        <f t="shared" si="1276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7"/>
        <v>0</v>
      </c>
      <c r="G6238">
        <f t="shared" si="1278"/>
        <v>0</v>
      </c>
      <c r="H6238">
        <f t="shared" si="1279"/>
        <v>0</v>
      </c>
      <c r="I6238">
        <f t="shared" si="1280"/>
        <v>0</v>
      </c>
      <c r="J6238">
        <f t="shared" si="1281"/>
        <v>0</v>
      </c>
      <c r="K6238" s="4" t="e">
        <f t="shared" si="1269"/>
        <v>#N/A</v>
      </c>
      <c r="L6238" t="e">
        <f t="shared" si="1270"/>
        <v>#N/A</v>
      </c>
      <c r="M6238" s="4" t="e">
        <f t="shared" si="1271"/>
        <v>#N/A</v>
      </c>
      <c r="N6238" s="4" t="e">
        <f t="shared" si="1272"/>
        <v>#N/A</v>
      </c>
    </row>
    <row r="6239" spans="1:14">
      <c r="A6239">
        <f t="shared" si="1273"/>
        <v>0</v>
      </c>
      <c r="B6239">
        <f t="shared" si="1274"/>
        <v>0</v>
      </c>
      <c r="C6239">
        <f t="shared" si="1275"/>
        <v>0</v>
      </c>
      <c r="D6239">
        <f t="shared" si="1276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7"/>
        <v>0</v>
      </c>
      <c r="G6239">
        <f t="shared" si="1278"/>
        <v>0</v>
      </c>
      <c r="H6239">
        <f t="shared" si="1279"/>
        <v>0</v>
      </c>
      <c r="I6239">
        <f t="shared" si="1280"/>
        <v>0</v>
      </c>
      <c r="J6239">
        <f t="shared" si="1281"/>
        <v>0</v>
      </c>
      <c r="K6239" s="4" t="e">
        <f t="shared" si="1269"/>
        <v>#N/A</v>
      </c>
      <c r="L6239" t="e">
        <f t="shared" si="1270"/>
        <v>#N/A</v>
      </c>
      <c r="M6239" s="4" t="e">
        <f t="shared" si="1271"/>
        <v>#N/A</v>
      </c>
      <c r="N6239" s="4" t="e">
        <f t="shared" si="1272"/>
        <v>#N/A</v>
      </c>
    </row>
    <row r="6240" spans="1:14">
      <c r="A6240">
        <f t="shared" si="1273"/>
        <v>0</v>
      </c>
      <c r="B6240">
        <f t="shared" si="1274"/>
        <v>0</v>
      </c>
      <c r="C6240">
        <f t="shared" si="1275"/>
        <v>0</v>
      </c>
      <c r="D6240">
        <f t="shared" si="1276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7"/>
        <v>0</v>
      </c>
      <c r="G6240">
        <f t="shared" si="1278"/>
        <v>0</v>
      </c>
      <c r="H6240">
        <f t="shared" si="1279"/>
        <v>0</v>
      </c>
      <c r="I6240">
        <f t="shared" si="1280"/>
        <v>0</v>
      </c>
      <c r="J6240">
        <f t="shared" si="1281"/>
        <v>0</v>
      </c>
      <c r="K6240" s="4" t="e">
        <f t="shared" si="1269"/>
        <v>#N/A</v>
      </c>
      <c r="L6240" t="e">
        <f t="shared" si="1270"/>
        <v>#N/A</v>
      </c>
      <c r="M6240" s="4" t="e">
        <f t="shared" si="1271"/>
        <v>#N/A</v>
      </c>
      <c r="N6240" s="4" t="e">
        <f t="shared" si="1272"/>
        <v>#N/A</v>
      </c>
    </row>
    <row r="6241" spans="1:14">
      <c r="A6241">
        <f t="shared" si="1273"/>
        <v>0</v>
      </c>
      <c r="B6241">
        <f t="shared" si="1274"/>
        <v>0</v>
      </c>
      <c r="C6241">
        <f t="shared" si="1275"/>
        <v>0</v>
      </c>
      <c r="D6241">
        <f t="shared" si="1276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7"/>
        <v>0</v>
      </c>
      <c r="G6241">
        <f t="shared" si="1278"/>
        <v>0</v>
      </c>
      <c r="H6241">
        <f t="shared" si="1279"/>
        <v>0</v>
      </c>
      <c r="I6241">
        <f t="shared" si="1280"/>
        <v>0</v>
      </c>
      <c r="J6241">
        <f t="shared" si="1281"/>
        <v>0</v>
      </c>
      <c r="K6241" s="4" t="e">
        <f t="shared" si="1269"/>
        <v>#N/A</v>
      </c>
      <c r="L6241" t="e">
        <f t="shared" si="1270"/>
        <v>#N/A</v>
      </c>
      <c r="M6241" s="4" t="e">
        <f t="shared" si="1271"/>
        <v>#N/A</v>
      </c>
      <c r="N6241" s="4" t="e">
        <f t="shared" si="1272"/>
        <v>#N/A</v>
      </c>
    </row>
    <row r="6242" spans="1:14">
      <c r="A6242">
        <f t="shared" si="1273"/>
        <v>0</v>
      </c>
      <c r="B6242">
        <f t="shared" si="1274"/>
        <v>0</v>
      </c>
      <c r="C6242">
        <f t="shared" si="1275"/>
        <v>0</v>
      </c>
      <c r="D6242">
        <f t="shared" si="1276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7"/>
        <v>0</v>
      </c>
      <c r="G6242">
        <f t="shared" si="1278"/>
        <v>0</v>
      </c>
      <c r="H6242">
        <f t="shared" si="1279"/>
        <v>0</v>
      </c>
      <c r="I6242">
        <f t="shared" si="1280"/>
        <v>0</v>
      </c>
      <c r="J6242">
        <f t="shared" si="1281"/>
        <v>0</v>
      </c>
      <c r="K6242" s="4" t="e">
        <f t="shared" si="1269"/>
        <v>#N/A</v>
      </c>
      <c r="L6242" t="e">
        <f t="shared" si="1270"/>
        <v>#N/A</v>
      </c>
      <c r="M6242" s="4" t="e">
        <f t="shared" si="1271"/>
        <v>#N/A</v>
      </c>
      <c r="N6242" s="4" t="e">
        <f t="shared" si="1272"/>
        <v>#N/A</v>
      </c>
    </row>
    <row r="6243" spans="1:14">
      <c r="A6243">
        <f t="shared" si="1273"/>
        <v>0</v>
      </c>
      <c r="B6243">
        <f t="shared" si="1274"/>
        <v>0</v>
      </c>
      <c r="C6243">
        <f t="shared" si="1275"/>
        <v>0</v>
      </c>
      <c r="D6243">
        <f t="shared" si="1276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7"/>
        <v>0</v>
      </c>
      <c r="G6243">
        <f t="shared" si="1278"/>
        <v>0</v>
      </c>
      <c r="H6243">
        <f t="shared" si="1279"/>
        <v>0</v>
      </c>
      <c r="I6243">
        <f t="shared" si="1280"/>
        <v>0</v>
      </c>
      <c r="J6243">
        <f t="shared" si="1281"/>
        <v>0</v>
      </c>
      <c r="K6243" s="4" t="e">
        <f t="shared" si="1269"/>
        <v>#N/A</v>
      </c>
      <c r="L6243" t="e">
        <f t="shared" si="1270"/>
        <v>#N/A</v>
      </c>
      <c r="M6243" s="4" t="e">
        <f t="shared" si="1271"/>
        <v>#N/A</v>
      </c>
      <c r="N6243" s="4" t="e">
        <f t="shared" si="1272"/>
        <v>#N/A</v>
      </c>
    </row>
    <row r="6244" spans="1:14">
      <c r="A6244">
        <f t="shared" si="1273"/>
        <v>0</v>
      </c>
      <c r="B6244">
        <f t="shared" si="1274"/>
        <v>0</v>
      </c>
      <c r="C6244">
        <f t="shared" si="1275"/>
        <v>0</v>
      </c>
      <c r="D6244">
        <f t="shared" si="1276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7"/>
        <v>0</v>
      </c>
      <c r="G6244">
        <f t="shared" si="1278"/>
        <v>0</v>
      </c>
      <c r="H6244">
        <f t="shared" si="1279"/>
        <v>0</v>
      </c>
      <c r="I6244">
        <f t="shared" si="1280"/>
        <v>0</v>
      </c>
      <c r="J6244">
        <f t="shared" si="1281"/>
        <v>0</v>
      </c>
      <c r="K6244" s="4" t="e">
        <f t="shared" si="1269"/>
        <v>#N/A</v>
      </c>
      <c r="L6244" t="e">
        <f t="shared" si="1270"/>
        <v>#N/A</v>
      </c>
      <c r="M6244" s="4" t="e">
        <f t="shared" si="1271"/>
        <v>#N/A</v>
      </c>
      <c r="N6244" s="4" t="e">
        <f t="shared" si="1272"/>
        <v>#N/A</v>
      </c>
    </row>
    <row r="6245" spans="1:14">
      <c r="A6245">
        <f t="shared" si="1273"/>
        <v>0</v>
      </c>
      <c r="B6245">
        <f t="shared" si="1274"/>
        <v>0</v>
      </c>
      <c r="C6245">
        <f t="shared" si="1275"/>
        <v>0</v>
      </c>
      <c r="D6245">
        <f t="shared" si="1276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7"/>
        <v>0</v>
      </c>
      <c r="G6245">
        <f t="shared" si="1278"/>
        <v>0</v>
      </c>
      <c r="H6245">
        <f t="shared" si="1279"/>
        <v>0</v>
      </c>
      <c r="I6245">
        <f t="shared" si="1280"/>
        <v>0</v>
      </c>
      <c r="J6245">
        <f t="shared" si="1281"/>
        <v>0</v>
      </c>
      <c r="K6245" s="4" t="e">
        <f t="shared" si="1269"/>
        <v>#N/A</v>
      </c>
      <c r="L6245" t="e">
        <f t="shared" si="1270"/>
        <v>#N/A</v>
      </c>
      <c r="M6245" s="4" t="e">
        <f t="shared" si="1271"/>
        <v>#N/A</v>
      </c>
      <c r="N6245" s="4" t="e">
        <f t="shared" si="1272"/>
        <v>#N/A</v>
      </c>
    </row>
    <row r="6246" spans="1:14">
      <c r="A6246">
        <f t="shared" si="1273"/>
        <v>0</v>
      </c>
      <c r="B6246">
        <f t="shared" si="1274"/>
        <v>0</v>
      </c>
      <c r="C6246">
        <f t="shared" si="1275"/>
        <v>0</v>
      </c>
      <c r="D6246">
        <f t="shared" si="1276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7"/>
        <v>0</v>
      </c>
      <c r="G6246">
        <f t="shared" si="1278"/>
        <v>0</v>
      </c>
      <c r="H6246">
        <f t="shared" si="1279"/>
        <v>0</v>
      </c>
      <c r="I6246">
        <f t="shared" si="1280"/>
        <v>0</v>
      </c>
      <c r="J6246">
        <f t="shared" si="1281"/>
        <v>0</v>
      </c>
      <c r="K6246" s="4" t="e">
        <f t="shared" si="1269"/>
        <v>#N/A</v>
      </c>
      <c r="L6246" t="e">
        <f t="shared" si="1270"/>
        <v>#N/A</v>
      </c>
      <c r="M6246" s="4" t="e">
        <f t="shared" si="1271"/>
        <v>#N/A</v>
      </c>
      <c r="N6246" s="4" t="e">
        <f t="shared" si="1272"/>
        <v>#N/A</v>
      </c>
    </row>
    <row r="6247" spans="1:14">
      <c r="A6247">
        <f t="shared" si="1273"/>
        <v>0</v>
      </c>
      <c r="B6247">
        <f t="shared" si="1274"/>
        <v>0</v>
      </c>
      <c r="C6247">
        <f t="shared" si="1275"/>
        <v>0</v>
      </c>
      <c r="D6247">
        <f t="shared" si="1276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7"/>
        <v>0</v>
      </c>
      <c r="G6247">
        <f t="shared" si="1278"/>
        <v>0</v>
      </c>
      <c r="H6247">
        <f t="shared" si="1279"/>
        <v>0</v>
      </c>
      <c r="I6247">
        <f t="shared" si="1280"/>
        <v>0</v>
      </c>
      <c r="J6247">
        <f t="shared" si="1281"/>
        <v>0</v>
      </c>
      <c r="K6247" s="4" t="e">
        <f t="shared" si="1269"/>
        <v>#N/A</v>
      </c>
      <c r="L6247" t="e">
        <f t="shared" si="1270"/>
        <v>#N/A</v>
      </c>
      <c r="M6247" s="4" t="e">
        <f t="shared" si="1271"/>
        <v>#N/A</v>
      </c>
      <c r="N6247" s="4" t="e">
        <f t="shared" si="1272"/>
        <v>#N/A</v>
      </c>
    </row>
    <row r="6248" spans="1:14">
      <c r="A6248">
        <f t="shared" si="1273"/>
        <v>0</v>
      </c>
      <c r="B6248">
        <f t="shared" si="1274"/>
        <v>0</v>
      </c>
      <c r="C6248">
        <f t="shared" si="1275"/>
        <v>0</v>
      </c>
      <c r="D6248">
        <f t="shared" si="1276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7"/>
        <v>0</v>
      </c>
      <c r="G6248">
        <f t="shared" si="1278"/>
        <v>0</v>
      </c>
      <c r="H6248">
        <f t="shared" si="1279"/>
        <v>0</v>
      </c>
      <c r="I6248">
        <f t="shared" si="1280"/>
        <v>0</v>
      </c>
      <c r="J6248">
        <f t="shared" si="1281"/>
        <v>0</v>
      </c>
      <c r="K6248" s="4" t="e">
        <f t="shared" si="1269"/>
        <v>#N/A</v>
      </c>
      <c r="L6248" t="e">
        <f t="shared" si="1270"/>
        <v>#N/A</v>
      </c>
      <c r="M6248" s="4" t="e">
        <f t="shared" si="1271"/>
        <v>#N/A</v>
      </c>
      <c r="N6248" s="4" t="e">
        <f t="shared" si="1272"/>
        <v>#N/A</v>
      </c>
    </row>
    <row r="6249" spans="1:14">
      <c r="A6249">
        <f t="shared" si="1273"/>
        <v>0</v>
      </c>
      <c r="B6249">
        <f t="shared" si="1274"/>
        <v>0</v>
      </c>
      <c r="C6249">
        <f t="shared" si="1275"/>
        <v>0</v>
      </c>
      <c r="D6249">
        <f t="shared" si="1276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7"/>
        <v>0</v>
      </c>
      <c r="G6249">
        <f t="shared" si="1278"/>
        <v>0</v>
      </c>
      <c r="H6249">
        <f t="shared" si="1279"/>
        <v>0</v>
      </c>
      <c r="I6249">
        <f t="shared" si="1280"/>
        <v>0</v>
      </c>
      <c r="J6249">
        <f t="shared" si="1281"/>
        <v>0</v>
      </c>
      <c r="K6249" s="4" t="e">
        <f t="shared" si="1269"/>
        <v>#N/A</v>
      </c>
      <c r="L6249" t="e">
        <f t="shared" si="1270"/>
        <v>#N/A</v>
      </c>
      <c r="M6249" s="4" t="e">
        <f t="shared" si="1271"/>
        <v>#N/A</v>
      </c>
      <c r="N6249" s="4" t="e">
        <f t="shared" si="1272"/>
        <v>#N/A</v>
      </c>
    </row>
    <row r="6250" spans="1:14">
      <c r="A6250">
        <f t="shared" si="1273"/>
        <v>0</v>
      </c>
      <c r="B6250">
        <f t="shared" si="1274"/>
        <v>0</v>
      </c>
      <c r="C6250">
        <f t="shared" si="1275"/>
        <v>0</v>
      </c>
      <c r="D6250">
        <f t="shared" si="1276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7"/>
        <v>0</v>
      </c>
      <c r="G6250">
        <f t="shared" si="1278"/>
        <v>0</v>
      </c>
      <c r="H6250">
        <f t="shared" si="1279"/>
        <v>0</v>
      </c>
      <c r="I6250">
        <f t="shared" si="1280"/>
        <v>0</v>
      </c>
      <c r="J6250">
        <f t="shared" si="1281"/>
        <v>0</v>
      </c>
      <c r="K6250" s="4" t="e">
        <f t="shared" si="1269"/>
        <v>#N/A</v>
      </c>
      <c r="L6250" t="e">
        <f t="shared" si="1270"/>
        <v>#N/A</v>
      </c>
      <c r="M6250" s="4" t="e">
        <f t="shared" si="1271"/>
        <v>#N/A</v>
      </c>
      <c r="N6250" s="4" t="e">
        <f t="shared" si="1272"/>
        <v>#N/A</v>
      </c>
    </row>
    <row r="6251" spans="1:14">
      <c r="A6251">
        <f t="shared" si="1273"/>
        <v>0</v>
      </c>
      <c r="B6251">
        <f t="shared" si="1274"/>
        <v>0</v>
      </c>
      <c r="C6251">
        <f t="shared" si="1275"/>
        <v>0</v>
      </c>
      <c r="D6251">
        <f t="shared" si="1276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7"/>
        <v>0</v>
      </c>
      <c r="G6251">
        <f t="shared" si="1278"/>
        <v>0</v>
      </c>
      <c r="H6251">
        <f t="shared" si="1279"/>
        <v>0</v>
      </c>
      <c r="I6251">
        <f t="shared" si="1280"/>
        <v>0</v>
      </c>
      <c r="J6251">
        <f t="shared" si="1281"/>
        <v>0</v>
      </c>
      <c r="K6251" s="4" t="e">
        <f t="shared" si="1269"/>
        <v>#N/A</v>
      </c>
      <c r="L6251" t="e">
        <f t="shared" si="1270"/>
        <v>#N/A</v>
      </c>
      <c r="M6251" s="4" t="e">
        <f t="shared" si="1271"/>
        <v>#N/A</v>
      </c>
      <c r="N6251" s="4" t="e">
        <f t="shared" si="1272"/>
        <v>#N/A</v>
      </c>
    </row>
    <row r="6252" spans="1:14">
      <c r="A6252">
        <f t="shared" si="1273"/>
        <v>0</v>
      </c>
      <c r="B6252">
        <f t="shared" si="1274"/>
        <v>0</v>
      </c>
      <c r="C6252">
        <f t="shared" si="1275"/>
        <v>0</v>
      </c>
      <c r="D6252">
        <f t="shared" si="1276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7"/>
        <v>0</v>
      </c>
      <c r="G6252">
        <f t="shared" si="1278"/>
        <v>0</v>
      </c>
      <c r="H6252">
        <f t="shared" si="1279"/>
        <v>0</v>
      </c>
      <c r="I6252">
        <f t="shared" si="1280"/>
        <v>0</v>
      </c>
      <c r="J6252">
        <f t="shared" si="1281"/>
        <v>0</v>
      </c>
      <c r="K6252" s="4" t="e">
        <f t="shared" si="1269"/>
        <v>#N/A</v>
      </c>
      <c r="L6252" t="e">
        <f t="shared" si="1270"/>
        <v>#N/A</v>
      </c>
      <c r="M6252" s="4" t="e">
        <f t="shared" si="1271"/>
        <v>#N/A</v>
      </c>
      <c r="N6252" s="4" t="e">
        <f t="shared" si="1272"/>
        <v>#N/A</v>
      </c>
    </row>
    <row r="6253" spans="1:14">
      <c r="A6253">
        <f t="shared" si="1273"/>
        <v>0</v>
      </c>
      <c r="B6253">
        <f t="shared" si="1274"/>
        <v>0</v>
      </c>
      <c r="C6253">
        <f t="shared" si="1275"/>
        <v>0</v>
      </c>
      <c r="D6253">
        <f t="shared" si="1276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7"/>
        <v>0</v>
      </c>
      <c r="G6253">
        <f t="shared" si="1278"/>
        <v>0</v>
      </c>
      <c r="H6253">
        <f t="shared" si="1279"/>
        <v>0</v>
      </c>
      <c r="I6253">
        <f t="shared" si="1280"/>
        <v>0</v>
      </c>
      <c r="J6253">
        <f t="shared" si="1281"/>
        <v>0</v>
      </c>
      <c r="K6253" s="4" t="e">
        <f t="shared" si="1269"/>
        <v>#N/A</v>
      </c>
      <c r="L6253" t="e">
        <f t="shared" si="1270"/>
        <v>#N/A</v>
      </c>
      <c r="M6253" s="4" t="e">
        <f t="shared" si="1271"/>
        <v>#N/A</v>
      </c>
      <c r="N6253" s="4" t="e">
        <f t="shared" si="1272"/>
        <v>#N/A</v>
      </c>
    </row>
    <row r="6254" spans="1:14">
      <c r="A6254">
        <f t="shared" si="1273"/>
        <v>0</v>
      </c>
      <c r="B6254">
        <f t="shared" si="1274"/>
        <v>0</v>
      </c>
      <c r="C6254">
        <f t="shared" si="1275"/>
        <v>0</v>
      </c>
      <c r="D6254">
        <f t="shared" si="1276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7"/>
        <v>0</v>
      </c>
      <c r="G6254">
        <f t="shared" si="1278"/>
        <v>0</v>
      </c>
      <c r="H6254">
        <f t="shared" si="1279"/>
        <v>0</v>
      </c>
      <c r="I6254">
        <f t="shared" si="1280"/>
        <v>0</v>
      </c>
      <c r="J6254">
        <f t="shared" si="1281"/>
        <v>0</v>
      </c>
      <c r="K6254" s="4" t="e">
        <f t="shared" si="1269"/>
        <v>#N/A</v>
      </c>
      <c r="L6254" t="e">
        <f t="shared" si="1270"/>
        <v>#N/A</v>
      </c>
      <c r="M6254" s="4" t="e">
        <f t="shared" si="1271"/>
        <v>#N/A</v>
      </c>
      <c r="N6254" s="4" t="e">
        <f t="shared" si="1272"/>
        <v>#N/A</v>
      </c>
    </row>
    <row r="6255" spans="1:14">
      <c r="A6255">
        <f t="shared" si="1273"/>
        <v>0</v>
      </c>
      <c r="B6255">
        <f t="shared" si="1274"/>
        <v>0</v>
      </c>
      <c r="C6255">
        <f t="shared" si="1275"/>
        <v>0</v>
      </c>
      <c r="D6255">
        <f t="shared" si="1276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7"/>
        <v>0</v>
      </c>
      <c r="G6255">
        <f t="shared" si="1278"/>
        <v>0</v>
      </c>
      <c r="H6255">
        <f t="shared" si="1279"/>
        <v>0</v>
      </c>
      <c r="I6255">
        <f t="shared" si="1280"/>
        <v>0</v>
      </c>
      <c r="J6255">
        <f t="shared" si="1281"/>
        <v>0</v>
      </c>
      <c r="K6255" s="4" t="e">
        <f t="shared" si="1269"/>
        <v>#N/A</v>
      </c>
      <c r="L6255" t="e">
        <f t="shared" si="1270"/>
        <v>#N/A</v>
      </c>
      <c r="M6255" s="4" t="e">
        <f t="shared" si="1271"/>
        <v>#N/A</v>
      </c>
      <c r="N6255" s="4" t="e">
        <f t="shared" si="1272"/>
        <v>#N/A</v>
      </c>
    </row>
    <row r="6256" spans="1:14">
      <c r="A6256">
        <f t="shared" si="1273"/>
        <v>0</v>
      </c>
      <c r="B6256">
        <f t="shared" si="1274"/>
        <v>0</v>
      </c>
      <c r="C6256">
        <f t="shared" si="1275"/>
        <v>0</v>
      </c>
      <c r="D6256">
        <f t="shared" si="1276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7"/>
        <v>0</v>
      </c>
      <c r="G6256">
        <f t="shared" si="1278"/>
        <v>0</v>
      </c>
      <c r="H6256">
        <f t="shared" si="1279"/>
        <v>0</v>
      </c>
      <c r="I6256">
        <f t="shared" si="1280"/>
        <v>0</v>
      </c>
      <c r="J6256">
        <f t="shared" si="1281"/>
        <v>0</v>
      </c>
      <c r="K6256" s="4" t="e">
        <f t="shared" si="1269"/>
        <v>#N/A</v>
      </c>
      <c r="L6256" t="e">
        <f t="shared" si="1270"/>
        <v>#N/A</v>
      </c>
      <c r="M6256" s="4" t="e">
        <f t="shared" si="1271"/>
        <v>#N/A</v>
      </c>
      <c r="N6256" s="4" t="e">
        <f t="shared" si="1272"/>
        <v>#N/A</v>
      </c>
    </row>
    <row r="6257" spans="1:14">
      <c r="A6257">
        <f t="shared" si="1273"/>
        <v>0</v>
      </c>
      <c r="B6257">
        <f t="shared" si="1274"/>
        <v>0</v>
      </c>
      <c r="C6257">
        <f t="shared" si="1275"/>
        <v>0</v>
      </c>
      <c r="D6257">
        <f t="shared" si="1276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7"/>
        <v>0</v>
      </c>
      <c r="G6257">
        <f t="shared" si="1278"/>
        <v>0</v>
      </c>
      <c r="H6257">
        <f t="shared" si="1279"/>
        <v>0</v>
      </c>
      <c r="I6257">
        <f t="shared" si="1280"/>
        <v>0</v>
      </c>
      <c r="J6257">
        <f t="shared" si="1281"/>
        <v>0</v>
      </c>
      <c r="K6257" s="4" t="e">
        <f t="shared" si="1269"/>
        <v>#N/A</v>
      </c>
      <c r="L6257" t="e">
        <f t="shared" si="1270"/>
        <v>#N/A</v>
      </c>
      <c r="M6257" s="4" t="e">
        <f t="shared" si="1271"/>
        <v>#N/A</v>
      </c>
      <c r="N6257" s="4" t="e">
        <f t="shared" si="1272"/>
        <v>#N/A</v>
      </c>
    </row>
    <row r="6258" spans="1:14">
      <c r="A6258">
        <f t="shared" si="1273"/>
        <v>0</v>
      </c>
      <c r="B6258">
        <f t="shared" si="1274"/>
        <v>0</v>
      </c>
      <c r="C6258">
        <f t="shared" si="1275"/>
        <v>0</v>
      </c>
      <c r="D6258">
        <f t="shared" si="1276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7"/>
        <v>0</v>
      </c>
      <c r="G6258">
        <f t="shared" si="1278"/>
        <v>0</v>
      </c>
      <c r="H6258">
        <f t="shared" si="1279"/>
        <v>0</v>
      </c>
      <c r="I6258">
        <f t="shared" si="1280"/>
        <v>0</v>
      </c>
      <c r="J6258">
        <f t="shared" si="1281"/>
        <v>0</v>
      </c>
      <c r="K6258" s="4" t="e">
        <f t="shared" si="1269"/>
        <v>#N/A</v>
      </c>
      <c r="L6258" t="e">
        <f t="shared" si="1270"/>
        <v>#N/A</v>
      </c>
      <c r="M6258" s="4" t="e">
        <f t="shared" si="1271"/>
        <v>#N/A</v>
      </c>
      <c r="N6258" s="4" t="e">
        <f t="shared" si="1272"/>
        <v>#N/A</v>
      </c>
    </row>
    <row r="6259" spans="1:14">
      <c r="A6259">
        <f t="shared" si="1273"/>
        <v>0</v>
      </c>
      <c r="B6259">
        <f t="shared" si="1274"/>
        <v>0</v>
      </c>
      <c r="C6259">
        <f t="shared" si="1275"/>
        <v>0</v>
      </c>
      <c r="D6259">
        <f t="shared" si="1276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7"/>
        <v>0</v>
      </c>
      <c r="G6259">
        <f t="shared" si="1278"/>
        <v>0</v>
      </c>
      <c r="H6259">
        <f t="shared" si="1279"/>
        <v>0</v>
      </c>
      <c r="I6259">
        <f t="shared" si="1280"/>
        <v>0</v>
      </c>
      <c r="J6259">
        <f t="shared" si="1281"/>
        <v>0</v>
      </c>
      <c r="K6259" s="4" t="e">
        <f t="shared" si="1269"/>
        <v>#N/A</v>
      </c>
      <c r="L6259" t="e">
        <f t="shared" si="1270"/>
        <v>#N/A</v>
      </c>
      <c r="M6259" s="4" t="e">
        <f t="shared" si="1271"/>
        <v>#N/A</v>
      </c>
      <c r="N6259" s="4" t="e">
        <f t="shared" si="1272"/>
        <v>#N/A</v>
      </c>
    </row>
    <row r="6260" spans="1:14">
      <c r="A6260">
        <f t="shared" si="1273"/>
        <v>0</v>
      </c>
      <c r="B6260">
        <f t="shared" si="1274"/>
        <v>0</v>
      </c>
      <c r="C6260">
        <f t="shared" si="1275"/>
        <v>0</v>
      </c>
      <c r="D6260">
        <f t="shared" si="1276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7"/>
        <v>0</v>
      </c>
      <c r="G6260">
        <f t="shared" si="1278"/>
        <v>0</v>
      </c>
      <c r="H6260">
        <f t="shared" si="1279"/>
        <v>0</v>
      </c>
      <c r="I6260">
        <f t="shared" si="1280"/>
        <v>0</v>
      </c>
      <c r="J6260">
        <f t="shared" si="1281"/>
        <v>0</v>
      </c>
      <c r="K6260" s="4" t="e">
        <f t="shared" si="1269"/>
        <v>#N/A</v>
      </c>
      <c r="L6260" t="e">
        <f t="shared" si="1270"/>
        <v>#N/A</v>
      </c>
      <c r="M6260" s="4" t="e">
        <f t="shared" si="1271"/>
        <v>#N/A</v>
      </c>
      <c r="N6260" s="4" t="e">
        <f t="shared" si="1272"/>
        <v>#N/A</v>
      </c>
    </row>
    <row r="6261" spans="1:14">
      <c r="A6261">
        <f t="shared" si="1273"/>
        <v>0</v>
      </c>
      <c r="B6261">
        <f t="shared" si="1274"/>
        <v>0</v>
      </c>
      <c r="C6261">
        <f t="shared" si="1275"/>
        <v>0</v>
      </c>
      <c r="D6261">
        <f t="shared" si="1276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7"/>
        <v>0</v>
      </c>
      <c r="G6261">
        <f t="shared" si="1278"/>
        <v>0</v>
      </c>
      <c r="H6261">
        <f t="shared" si="1279"/>
        <v>0</v>
      </c>
      <c r="I6261">
        <f t="shared" si="1280"/>
        <v>0</v>
      </c>
      <c r="J6261">
        <f t="shared" si="1281"/>
        <v>0</v>
      </c>
      <c r="K6261" s="4" t="e">
        <f t="shared" si="1269"/>
        <v>#N/A</v>
      </c>
      <c r="L6261" t="e">
        <f t="shared" si="1270"/>
        <v>#N/A</v>
      </c>
      <c r="M6261" s="4" t="e">
        <f t="shared" si="1271"/>
        <v>#N/A</v>
      </c>
      <c r="N6261" s="4" t="e">
        <f t="shared" si="1272"/>
        <v>#N/A</v>
      </c>
    </row>
    <row r="6262" spans="1:14">
      <c r="A6262">
        <f t="shared" si="1273"/>
        <v>0</v>
      </c>
      <c r="B6262">
        <f t="shared" si="1274"/>
        <v>0</v>
      </c>
      <c r="C6262">
        <f t="shared" si="1275"/>
        <v>0</v>
      </c>
      <c r="D6262">
        <f t="shared" si="1276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7"/>
        <v>0</v>
      </c>
      <c r="G6262">
        <f t="shared" si="1278"/>
        <v>0</v>
      </c>
      <c r="H6262">
        <f t="shared" si="1279"/>
        <v>0</v>
      </c>
      <c r="I6262">
        <f t="shared" si="1280"/>
        <v>0</v>
      </c>
      <c r="J6262">
        <f t="shared" si="1281"/>
        <v>0</v>
      </c>
      <c r="K6262" s="4" t="e">
        <f t="shared" si="1269"/>
        <v>#N/A</v>
      </c>
      <c r="L6262" t="e">
        <f t="shared" si="1270"/>
        <v>#N/A</v>
      </c>
      <c r="M6262" s="4" t="e">
        <f t="shared" si="1271"/>
        <v>#N/A</v>
      </c>
      <c r="N6262" s="4" t="e">
        <f t="shared" si="1272"/>
        <v>#N/A</v>
      </c>
    </row>
    <row r="6263" spans="1:14">
      <c r="A6263">
        <f t="shared" si="1273"/>
        <v>0</v>
      </c>
      <c r="B6263">
        <f t="shared" si="1274"/>
        <v>0</v>
      </c>
      <c r="C6263">
        <f t="shared" si="1275"/>
        <v>0</v>
      </c>
      <c r="D6263">
        <f t="shared" si="1276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7"/>
        <v>0</v>
      </c>
      <c r="G6263">
        <f t="shared" si="1278"/>
        <v>0</v>
      </c>
      <c r="H6263">
        <f t="shared" si="1279"/>
        <v>0</v>
      </c>
      <c r="I6263">
        <f t="shared" si="1280"/>
        <v>0</v>
      </c>
      <c r="J6263">
        <f t="shared" si="1281"/>
        <v>0</v>
      </c>
      <c r="K6263" s="4" t="e">
        <f t="shared" si="1269"/>
        <v>#N/A</v>
      </c>
      <c r="L6263" t="e">
        <f t="shared" si="1270"/>
        <v>#N/A</v>
      </c>
      <c r="M6263" s="4" t="e">
        <f t="shared" si="1271"/>
        <v>#N/A</v>
      </c>
      <c r="N6263" s="4" t="e">
        <f t="shared" si="1272"/>
        <v>#N/A</v>
      </c>
    </row>
    <row r="6264" spans="1:14">
      <c r="A6264">
        <f t="shared" si="1273"/>
        <v>0</v>
      </c>
      <c r="B6264">
        <f t="shared" si="1274"/>
        <v>0</v>
      </c>
      <c r="C6264">
        <f t="shared" si="1275"/>
        <v>0</v>
      </c>
      <c r="D6264">
        <f t="shared" si="1276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7"/>
        <v>0</v>
      </c>
      <c r="G6264">
        <f t="shared" si="1278"/>
        <v>0</v>
      </c>
      <c r="H6264">
        <f t="shared" si="1279"/>
        <v>0</v>
      </c>
      <c r="I6264">
        <f t="shared" si="1280"/>
        <v>0</v>
      </c>
      <c r="J6264">
        <f t="shared" si="1281"/>
        <v>0</v>
      </c>
      <c r="K6264" s="4" t="e">
        <f t="shared" si="1269"/>
        <v>#N/A</v>
      </c>
      <c r="L6264" t="e">
        <f t="shared" si="1270"/>
        <v>#N/A</v>
      </c>
      <c r="M6264" s="4" t="e">
        <f t="shared" si="1271"/>
        <v>#N/A</v>
      </c>
      <c r="N6264" s="4" t="e">
        <f t="shared" si="1272"/>
        <v>#N/A</v>
      </c>
    </row>
    <row r="6265" spans="1:14">
      <c r="A6265">
        <f t="shared" si="1273"/>
        <v>0</v>
      </c>
      <c r="B6265">
        <f t="shared" si="1274"/>
        <v>0</v>
      </c>
      <c r="C6265">
        <f t="shared" si="1275"/>
        <v>0</v>
      </c>
      <c r="D6265">
        <f t="shared" si="1276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7"/>
        <v>0</v>
      </c>
      <c r="G6265">
        <f t="shared" si="1278"/>
        <v>0</v>
      </c>
      <c r="H6265">
        <f t="shared" si="1279"/>
        <v>0</v>
      </c>
      <c r="I6265">
        <f t="shared" si="1280"/>
        <v>0</v>
      </c>
      <c r="J6265">
        <f t="shared" si="1281"/>
        <v>0</v>
      </c>
      <c r="K6265" s="4" t="e">
        <f t="shared" si="1269"/>
        <v>#N/A</v>
      </c>
      <c r="L6265" t="e">
        <f t="shared" si="1270"/>
        <v>#N/A</v>
      </c>
      <c r="M6265" s="4" t="e">
        <f t="shared" si="1271"/>
        <v>#N/A</v>
      </c>
      <c r="N6265" s="4" t="e">
        <f t="shared" si="1272"/>
        <v>#N/A</v>
      </c>
    </row>
    <row r="6266" spans="1:14">
      <c r="A6266">
        <f t="shared" si="1273"/>
        <v>0</v>
      </c>
      <c r="B6266">
        <f t="shared" si="1274"/>
        <v>0</v>
      </c>
      <c r="C6266">
        <f t="shared" si="1275"/>
        <v>0</v>
      </c>
      <c r="D6266">
        <f t="shared" si="1276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7"/>
        <v>0</v>
      </c>
      <c r="G6266">
        <f t="shared" si="1278"/>
        <v>0</v>
      </c>
      <c r="H6266">
        <f t="shared" si="1279"/>
        <v>0</v>
      </c>
      <c r="I6266">
        <f t="shared" si="1280"/>
        <v>0</v>
      </c>
      <c r="J6266">
        <f t="shared" si="1281"/>
        <v>0</v>
      </c>
      <c r="K6266" s="4" t="e">
        <f t="shared" si="1269"/>
        <v>#N/A</v>
      </c>
      <c r="L6266" t="e">
        <f t="shared" si="1270"/>
        <v>#N/A</v>
      </c>
      <c r="M6266" s="4" t="e">
        <f t="shared" si="1271"/>
        <v>#N/A</v>
      </c>
      <c r="N6266" s="4" t="e">
        <f t="shared" si="1272"/>
        <v>#N/A</v>
      </c>
    </row>
    <row r="6267" spans="1:14">
      <c r="A6267">
        <f t="shared" si="1273"/>
        <v>0</v>
      </c>
      <c r="B6267">
        <f t="shared" si="1274"/>
        <v>0</v>
      </c>
      <c r="C6267">
        <f t="shared" si="1275"/>
        <v>0</v>
      </c>
      <c r="D6267">
        <f t="shared" si="1276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7"/>
        <v>0</v>
      </c>
      <c r="G6267">
        <f t="shared" si="1278"/>
        <v>0</v>
      </c>
      <c r="H6267">
        <f t="shared" si="1279"/>
        <v>0</v>
      </c>
      <c r="I6267">
        <f t="shared" si="1280"/>
        <v>0</v>
      </c>
      <c r="J6267">
        <f t="shared" si="1281"/>
        <v>0</v>
      </c>
      <c r="K6267" s="4" t="e">
        <f t="shared" si="1269"/>
        <v>#N/A</v>
      </c>
      <c r="L6267" t="e">
        <f t="shared" si="1270"/>
        <v>#N/A</v>
      </c>
      <c r="M6267" s="4" t="e">
        <f t="shared" si="1271"/>
        <v>#N/A</v>
      </c>
      <c r="N6267" s="4" t="e">
        <f t="shared" si="1272"/>
        <v>#N/A</v>
      </c>
    </row>
    <row r="6268" spans="1:14">
      <c r="A6268">
        <f t="shared" si="1273"/>
        <v>0</v>
      </c>
      <c r="B6268">
        <f t="shared" si="1274"/>
        <v>0</v>
      </c>
      <c r="C6268">
        <f t="shared" si="1275"/>
        <v>0</v>
      </c>
      <c r="D6268">
        <f t="shared" si="1276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7"/>
        <v>0</v>
      </c>
      <c r="G6268">
        <f t="shared" si="1278"/>
        <v>0</v>
      </c>
      <c r="H6268">
        <f t="shared" si="1279"/>
        <v>0</v>
      </c>
      <c r="I6268">
        <f t="shared" si="1280"/>
        <v>0</v>
      </c>
      <c r="J6268">
        <f t="shared" si="1281"/>
        <v>0</v>
      </c>
      <c r="K6268" s="4" t="e">
        <f t="shared" si="1269"/>
        <v>#N/A</v>
      </c>
      <c r="L6268" t="e">
        <f t="shared" si="1270"/>
        <v>#N/A</v>
      </c>
      <c r="M6268" s="4" t="e">
        <f t="shared" si="1271"/>
        <v>#N/A</v>
      </c>
      <c r="N6268" s="4" t="e">
        <f t="shared" si="1272"/>
        <v>#N/A</v>
      </c>
    </row>
    <row r="6269" spans="1:14">
      <c r="A6269">
        <f t="shared" si="1273"/>
        <v>0</v>
      </c>
      <c r="B6269">
        <f t="shared" si="1274"/>
        <v>0</v>
      </c>
      <c r="C6269">
        <f t="shared" si="1275"/>
        <v>0</v>
      </c>
      <c r="D6269">
        <f t="shared" si="1276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7"/>
        <v>0</v>
      </c>
      <c r="G6269">
        <f t="shared" si="1278"/>
        <v>0</v>
      </c>
      <c r="H6269">
        <f t="shared" si="1279"/>
        <v>0</v>
      </c>
      <c r="I6269">
        <f t="shared" si="1280"/>
        <v>0</v>
      </c>
      <c r="J6269">
        <f t="shared" si="1281"/>
        <v>0</v>
      </c>
      <c r="K6269" s="4" t="e">
        <f t="shared" ref="K6269:K6332" si="1282">IF(LEFT(B6269,3)="DBM",0,VLOOKUP(E6269,tabela,2,FALSE))</f>
        <v>#N/A</v>
      </c>
      <c r="L6269" t="e">
        <f t="shared" ref="L6269:L6332" si="1283">VLOOKUP(E6269,tabela,3,FALSE)</f>
        <v>#N/A</v>
      </c>
      <c r="M6269" s="4" t="e">
        <f t="shared" ref="M6269:M6332" si="1284">IF(E6269="Dynamic Click",J6269*K6269,K6269*$I6269/1000)</f>
        <v>#N/A</v>
      </c>
      <c r="N6269" s="4" t="e">
        <f t="shared" ref="N6269:N6332" si="1285">IF(E6269="Dynamic Click",J6269*L6269,L6269*$I6269/1000)</f>
        <v>#N/A</v>
      </c>
    </row>
    <row r="6270" spans="1:14">
      <c r="A6270">
        <f t="shared" si="1273"/>
        <v>0</v>
      </c>
      <c r="B6270">
        <f t="shared" si="1274"/>
        <v>0</v>
      </c>
      <c r="C6270">
        <f t="shared" si="1275"/>
        <v>0</v>
      </c>
      <c r="D6270">
        <f t="shared" si="1276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7"/>
        <v>0</v>
      </c>
      <c r="G6270">
        <f t="shared" si="1278"/>
        <v>0</v>
      </c>
      <c r="H6270">
        <f t="shared" si="1279"/>
        <v>0</v>
      </c>
      <c r="I6270">
        <f t="shared" si="1280"/>
        <v>0</v>
      </c>
      <c r="J6270">
        <f t="shared" si="1281"/>
        <v>0</v>
      </c>
      <c r="K6270" s="4" t="e">
        <f t="shared" si="1282"/>
        <v>#N/A</v>
      </c>
      <c r="L6270" t="e">
        <f t="shared" si="1283"/>
        <v>#N/A</v>
      </c>
      <c r="M6270" s="4" t="e">
        <f t="shared" si="1284"/>
        <v>#N/A</v>
      </c>
      <c r="N6270" s="4" t="e">
        <f t="shared" si="1285"/>
        <v>#N/A</v>
      </c>
    </row>
    <row r="6271" spans="1:14">
      <c r="A6271">
        <f t="shared" si="1273"/>
        <v>0</v>
      </c>
      <c r="B6271">
        <f t="shared" si="1274"/>
        <v>0</v>
      </c>
      <c r="C6271">
        <f t="shared" si="1275"/>
        <v>0</v>
      </c>
      <c r="D6271">
        <f t="shared" si="1276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7"/>
        <v>0</v>
      </c>
      <c r="G6271">
        <f t="shared" si="1278"/>
        <v>0</v>
      </c>
      <c r="H6271">
        <f t="shared" si="1279"/>
        <v>0</v>
      </c>
      <c r="I6271">
        <f t="shared" si="1280"/>
        <v>0</v>
      </c>
      <c r="J6271">
        <f t="shared" si="1281"/>
        <v>0</v>
      </c>
      <c r="K6271" s="4" t="e">
        <f t="shared" si="1282"/>
        <v>#N/A</v>
      </c>
      <c r="L6271" t="e">
        <f t="shared" si="1283"/>
        <v>#N/A</v>
      </c>
      <c r="M6271" s="4" t="e">
        <f t="shared" si="1284"/>
        <v>#N/A</v>
      </c>
      <c r="N6271" s="4" t="e">
        <f t="shared" si="1285"/>
        <v>#N/A</v>
      </c>
    </row>
    <row r="6272" spans="1:14">
      <c r="A6272">
        <f t="shared" si="1273"/>
        <v>0</v>
      </c>
      <c r="B6272">
        <f t="shared" si="1274"/>
        <v>0</v>
      </c>
      <c r="C6272">
        <f t="shared" si="1275"/>
        <v>0</v>
      </c>
      <c r="D6272">
        <f t="shared" si="1276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7"/>
        <v>0</v>
      </c>
      <c r="G6272">
        <f t="shared" si="1278"/>
        <v>0</v>
      </c>
      <c r="H6272">
        <f t="shared" si="1279"/>
        <v>0</v>
      </c>
      <c r="I6272">
        <f t="shared" si="1280"/>
        <v>0</v>
      </c>
      <c r="J6272">
        <f t="shared" si="1281"/>
        <v>0</v>
      </c>
      <c r="K6272" s="4" t="e">
        <f t="shared" si="1282"/>
        <v>#N/A</v>
      </c>
      <c r="L6272" t="e">
        <f t="shared" si="1283"/>
        <v>#N/A</v>
      </c>
      <c r="M6272" s="4" t="e">
        <f t="shared" si="1284"/>
        <v>#N/A</v>
      </c>
      <c r="N6272" s="4" t="e">
        <f t="shared" si="1285"/>
        <v>#N/A</v>
      </c>
    </row>
    <row r="6273" spans="1:14">
      <c r="A6273">
        <f t="shared" si="1273"/>
        <v>0</v>
      </c>
      <c r="B6273">
        <f t="shared" si="1274"/>
        <v>0</v>
      </c>
      <c r="C6273">
        <f t="shared" si="1275"/>
        <v>0</v>
      </c>
      <c r="D6273">
        <f t="shared" si="1276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7"/>
        <v>0</v>
      </c>
      <c r="G6273">
        <f t="shared" si="1278"/>
        <v>0</v>
      </c>
      <c r="H6273">
        <f t="shared" si="1279"/>
        <v>0</v>
      </c>
      <c r="I6273">
        <f t="shared" si="1280"/>
        <v>0</v>
      </c>
      <c r="J6273">
        <f t="shared" si="1281"/>
        <v>0</v>
      </c>
      <c r="K6273" s="4" t="e">
        <f t="shared" si="1282"/>
        <v>#N/A</v>
      </c>
      <c r="L6273" t="e">
        <f t="shared" si="1283"/>
        <v>#N/A</v>
      </c>
      <c r="M6273" s="4" t="e">
        <f t="shared" si="1284"/>
        <v>#N/A</v>
      </c>
      <c r="N6273" s="4" t="e">
        <f t="shared" si="1285"/>
        <v>#N/A</v>
      </c>
    </row>
    <row r="6274" spans="1:14">
      <c r="A6274">
        <f t="shared" ref="A6274:A6337" si="1286">bd_campaign</f>
        <v>0</v>
      </c>
      <c r="B6274">
        <f t="shared" ref="B6274:B6337" si="1287">bd_site</f>
        <v>0</v>
      </c>
      <c r="C6274">
        <f t="shared" ref="C6274:C6337" si="1288">bd_placement</f>
        <v>0</v>
      </c>
      <c r="D6274">
        <f t="shared" ref="D6274:D6337" si="1289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90">bd_ad</f>
        <v>0</v>
      </c>
      <c r="G6274">
        <f t="shared" ref="G6274:G6337" si="1291">bd_adid</f>
        <v>0</v>
      </c>
      <c r="H6274">
        <f t="shared" ref="H6274:H6337" si="1292">bd_creativetype</f>
        <v>0</v>
      </c>
      <c r="I6274">
        <f t="shared" ref="I6274:I6337" si="1293">bd_impression</f>
        <v>0</v>
      </c>
      <c r="J6274">
        <f t="shared" ref="J6274:J6337" si="1294">bd_clicks</f>
        <v>0</v>
      </c>
      <c r="K6274" s="4" t="e">
        <f t="shared" si="1282"/>
        <v>#N/A</v>
      </c>
      <c r="L6274" t="e">
        <f t="shared" si="1283"/>
        <v>#N/A</v>
      </c>
      <c r="M6274" s="4" t="e">
        <f t="shared" si="1284"/>
        <v>#N/A</v>
      </c>
      <c r="N6274" s="4" t="e">
        <f t="shared" si="1285"/>
        <v>#N/A</v>
      </c>
    </row>
    <row r="6275" spans="1:14">
      <c r="A6275">
        <f t="shared" si="1286"/>
        <v>0</v>
      </c>
      <c r="B6275">
        <f t="shared" si="1287"/>
        <v>0</v>
      </c>
      <c r="C6275">
        <f t="shared" si="1288"/>
        <v>0</v>
      </c>
      <c r="D6275">
        <f t="shared" si="1289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90"/>
        <v>0</v>
      </c>
      <c r="G6275">
        <f t="shared" si="1291"/>
        <v>0</v>
      </c>
      <c r="H6275">
        <f t="shared" si="1292"/>
        <v>0</v>
      </c>
      <c r="I6275">
        <f t="shared" si="1293"/>
        <v>0</v>
      </c>
      <c r="J6275">
        <f t="shared" si="1294"/>
        <v>0</v>
      </c>
      <c r="K6275" s="4" t="e">
        <f t="shared" si="1282"/>
        <v>#N/A</v>
      </c>
      <c r="L6275" t="e">
        <f t="shared" si="1283"/>
        <v>#N/A</v>
      </c>
      <c r="M6275" s="4" t="e">
        <f t="shared" si="1284"/>
        <v>#N/A</v>
      </c>
      <c r="N6275" s="4" t="e">
        <f t="shared" si="1285"/>
        <v>#N/A</v>
      </c>
    </row>
    <row r="6276" spans="1:14">
      <c r="A6276">
        <f t="shared" si="1286"/>
        <v>0</v>
      </c>
      <c r="B6276">
        <f t="shared" si="1287"/>
        <v>0</v>
      </c>
      <c r="C6276">
        <f t="shared" si="1288"/>
        <v>0</v>
      </c>
      <c r="D6276">
        <f t="shared" si="1289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90"/>
        <v>0</v>
      </c>
      <c r="G6276">
        <f t="shared" si="1291"/>
        <v>0</v>
      </c>
      <c r="H6276">
        <f t="shared" si="1292"/>
        <v>0</v>
      </c>
      <c r="I6276">
        <f t="shared" si="1293"/>
        <v>0</v>
      </c>
      <c r="J6276">
        <f t="shared" si="1294"/>
        <v>0</v>
      </c>
      <c r="K6276" s="4" t="e">
        <f t="shared" si="1282"/>
        <v>#N/A</v>
      </c>
      <c r="L6276" t="e">
        <f t="shared" si="1283"/>
        <v>#N/A</v>
      </c>
      <c r="M6276" s="4" t="e">
        <f t="shared" si="1284"/>
        <v>#N/A</v>
      </c>
      <c r="N6276" s="4" t="e">
        <f t="shared" si="1285"/>
        <v>#N/A</v>
      </c>
    </row>
    <row r="6277" spans="1:14">
      <c r="A6277">
        <f t="shared" si="1286"/>
        <v>0</v>
      </c>
      <c r="B6277">
        <f t="shared" si="1287"/>
        <v>0</v>
      </c>
      <c r="C6277">
        <f t="shared" si="1288"/>
        <v>0</v>
      </c>
      <c r="D6277">
        <f t="shared" si="1289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90"/>
        <v>0</v>
      </c>
      <c r="G6277">
        <f t="shared" si="1291"/>
        <v>0</v>
      </c>
      <c r="H6277">
        <f t="shared" si="1292"/>
        <v>0</v>
      </c>
      <c r="I6277">
        <f t="shared" si="1293"/>
        <v>0</v>
      </c>
      <c r="J6277">
        <f t="shared" si="1294"/>
        <v>0</v>
      </c>
      <c r="K6277" s="4" t="e">
        <f t="shared" si="1282"/>
        <v>#N/A</v>
      </c>
      <c r="L6277" t="e">
        <f t="shared" si="1283"/>
        <v>#N/A</v>
      </c>
      <c r="M6277" s="4" t="e">
        <f t="shared" si="1284"/>
        <v>#N/A</v>
      </c>
      <c r="N6277" s="4" t="e">
        <f t="shared" si="1285"/>
        <v>#N/A</v>
      </c>
    </row>
    <row r="6278" spans="1:14">
      <c r="A6278">
        <f t="shared" si="1286"/>
        <v>0</v>
      </c>
      <c r="B6278">
        <f t="shared" si="1287"/>
        <v>0</v>
      </c>
      <c r="C6278">
        <f t="shared" si="1288"/>
        <v>0</v>
      </c>
      <c r="D6278">
        <f t="shared" si="1289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90"/>
        <v>0</v>
      </c>
      <c r="G6278">
        <f t="shared" si="1291"/>
        <v>0</v>
      </c>
      <c r="H6278">
        <f t="shared" si="1292"/>
        <v>0</v>
      </c>
      <c r="I6278">
        <f t="shared" si="1293"/>
        <v>0</v>
      </c>
      <c r="J6278">
        <f t="shared" si="1294"/>
        <v>0</v>
      </c>
      <c r="K6278" s="4" t="e">
        <f t="shared" si="1282"/>
        <v>#N/A</v>
      </c>
      <c r="L6278" t="e">
        <f t="shared" si="1283"/>
        <v>#N/A</v>
      </c>
      <c r="M6278" s="4" t="e">
        <f t="shared" si="1284"/>
        <v>#N/A</v>
      </c>
      <c r="N6278" s="4" t="e">
        <f t="shared" si="1285"/>
        <v>#N/A</v>
      </c>
    </row>
    <row r="6279" spans="1:14">
      <c r="A6279">
        <f t="shared" si="1286"/>
        <v>0</v>
      </c>
      <c r="B6279">
        <f t="shared" si="1287"/>
        <v>0</v>
      </c>
      <c r="C6279">
        <f t="shared" si="1288"/>
        <v>0</v>
      </c>
      <c r="D6279">
        <f t="shared" si="1289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90"/>
        <v>0</v>
      </c>
      <c r="G6279">
        <f t="shared" si="1291"/>
        <v>0</v>
      </c>
      <c r="H6279">
        <f t="shared" si="1292"/>
        <v>0</v>
      </c>
      <c r="I6279">
        <f t="shared" si="1293"/>
        <v>0</v>
      </c>
      <c r="J6279">
        <f t="shared" si="1294"/>
        <v>0</v>
      </c>
      <c r="K6279" s="4" t="e">
        <f t="shared" si="1282"/>
        <v>#N/A</v>
      </c>
      <c r="L6279" t="e">
        <f t="shared" si="1283"/>
        <v>#N/A</v>
      </c>
      <c r="M6279" s="4" t="e">
        <f t="shared" si="1284"/>
        <v>#N/A</v>
      </c>
      <c r="N6279" s="4" t="e">
        <f t="shared" si="1285"/>
        <v>#N/A</v>
      </c>
    </row>
    <row r="6280" spans="1:14">
      <c r="A6280">
        <f t="shared" si="1286"/>
        <v>0</v>
      </c>
      <c r="B6280">
        <f t="shared" si="1287"/>
        <v>0</v>
      </c>
      <c r="C6280">
        <f t="shared" si="1288"/>
        <v>0</v>
      </c>
      <c r="D6280">
        <f t="shared" si="1289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90"/>
        <v>0</v>
      </c>
      <c r="G6280">
        <f t="shared" si="1291"/>
        <v>0</v>
      </c>
      <c r="H6280">
        <f t="shared" si="1292"/>
        <v>0</v>
      </c>
      <c r="I6280">
        <f t="shared" si="1293"/>
        <v>0</v>
      </c>
      <c r="J6280">
        <f t="shared" si="1294"/>
        <v>0</v>
      </c>
      <c r="K6280" s="4" t="e">
        <f t="shared" si="1282"/>
        <v>#N/A</v>
      </c>
      <c r="L6280" t="e">
        <f t="shared" si="1283"/>
        <v>#N/A</v>
      </c>
      <c r="M6280" s="4" t="e">
        <f t="shared" si="1284"/>
        <v>#N/A</v>
      </c>
      <c r="N6280" s="4" t="e">
        <f t="shared" si="1285"/>
        <v>#N/A</v>
      </c>
    </row>
    <row r="6281" spans="1:14">
      <c r="A6281">
        <f t="shared" si="1286"/>
        <v>0</v>
      </c>
      <c r="B6281">
        <f t="shared" si="1287"/>
        <v>0</v>
      </c>
      <c r="C6281">
        <f t="shared" si="1288"/>
        <v>0</v>
      </c>
      <c r="D6281">
        <f t="shared" si="1289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90"/>
        <v>0</v>
      </c>
      <c r="G6281">
        <f t="shared" si="1291"/>
        <v>0</v>
      </c>
      <c r="H6281">
        <f t="shared" si="1292"/>
        <v>0</v>
      </c>
      <c r="I6281">
        <f t="shared" si="1293"/>
        <v>0</v>
      </c>
      <c r="J6281">
        <f t="shared" si="1294"/>
        <v>0</v>
      </c>
      <c r="K6281" s="4" t="e">
        <f t="shared" si="1282"/>
        <v>#N/A</v>
      </c>
      <c r="L6281" t="e">
        <f t="shared" si="1283"/>
        <v>#N/A</v>
      </c>
      <c r="M6281" s="4" t="e">
        <f t="shared" si="1284"/>
        <v>#N/A</v>
      </c>
      <c r="N6281" s="4" t="e">
        <f t="shared" si="1285"/>
        <v>#N/A</v>
      </c>
    </row>
    <row r="6282" spans="1:14">
      <c r="A6282">
        <f t="shared" si="1286"/>
        <v>0</v>
      </c>
      <c r="B6282">
        <f t="shared" si="1287"/>
        <v>0</v>
      </c>
      <c r="C6282">
        <f t="shared" si="1288"/>
        <v>0</v>
      </c>
      <c r="D6282">
        <f t="shared" si="1289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90"/>
        <v>0</v>
      </c>
      <c r="G6282">
        <f t="shared" si="1291"/>
        <v>0</v>
      </c>
      <c r="H6282">
        <f t="shared" si="1292"/>
        <v>0</v>
      </c>
      <c r="I6282">
        <f t="shared" si="1293"/>
        <v>0</v>
      </c>
      <c r="J6282">
        <f t="shared" si="1294"/>
        <v>0</v>
      </c>
      <c r="K6282" s="4" t="e">
        <f t="shared" si="1282"/>
        <v>#N/A</v>
      </c>
      <c r="L6282" t="e">
        <f t="shared" si="1283"/>
        <v>#N/A</v>
      </c>
      <c r="M6282" s="4" t="e">
        <f t="shared" si="1284"/>
        <v>#N/A</v>
      </c>
      <c r="N6282" s="4" t="e">
        <f t="shared" si="1285"/>
        <v>#N/A</v>
      </c>
    </row>
    <row r="6283" spans="1:14">
      <c r="A6283">
        <f t="shared" si="1286"/>
        <v>0</v>
      </c>
      <c r="B6283">
        <f t="shared" si="1287"/>
        <v>0</v>
      </c>
      <c r="C6283">
        <f t="shared" si="1288"/>
        <v>0</v>
      </c>
      <c r="D6283">
        <f t="shared" si="1289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90"/>
        <v>0</v>
      </c>
      <c r="G6283">
        <f t="shared" si="1291"/>
        <v>0</v>
      </c>
      <c r="H6283">
        <f t="shared" si="1292"/>
        <v>0</v>
      </c>
      <c r="I6283">
        <f t="shared" si="1293"/>
        <v>0</v>
      </c>
      <c r="J6283">
        <f t="shared" si="1294"/>
        <v>0</v>
      </c>
      <c r="K6283" s="4" t="e">
        <f t="shared" si="1282"/>
        <v>#N/A</v>
      </c>
      <c r="L6283" t="e">
        <f t="shared" si="1283"/>
        <v>#N/A</v>
      </c>
      <c r="M6283" s="4" t="e">
        <f t="shared" si="1284"/>
        <v>#N/A</v>
      </c>
      <c r="N6283" s="4" t="e">
        <f t="shared" si="1285"/>
        <v>#N/A</v>
      </c>
    </row>
    <row r="6284" spans="1:14">
      <c r="A6284">
        <f t="shared" si="1286"/>
        <v>0</v>
      </c>
      <c r="B6284">
        <f t="shared" si="1287"/>
        <v>0</v>
      </c>
      <c r="C6284">
        <f t="shared" si="1288"/>
        <v>0</v>
      </c>
      <c r="D6284">
        <f t="shared" si="1289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90"/>
        <v>0</v>
      </c>
      <c r="G6284">
        <f t="shared" si="1291"/>
        <v>0</v>
      </c>
      <c r="H6284">
        <f t="shared" si="1292"/>
        <v>0</v>
      </c>
      <c r="I6284">
        <f t="shared" si="1293"/>
        <v>0</v>
      </c>
      <c r="J6284">
        <f t="shared" si="1294"/>
        <v>0</v>
      </c>
      <c r="K6284" s="4" t="e">
        <f t="shared" si="1282"/>
        <v>#N/A</v>
      </c>
      <c r="L6284" t="e">
        <f t="shared" si="1283"/>
        <v>#N/A</v>
      </c>
      <c r="M6284" s="4" t="e">
        <f t="shared" si="1284"/>
        <v>#N/A</v>
      </c>
      <c r="N6284" s="4" t="e">
        <f t="shared" si="1285"/>
        <v>#N/A</v>
      </c>
    </row>
    <row r="6285" spans="1:14">
      <c r="A6285">
        <f t="shared" si="1286"/>
        <v>0</v>
      </c>
      <c r="B6285">
        <f t="shared" si="1287"/>
        <v>0</v>
      </c>
      <c r="C6285">
        <f t="shared" si="1288"/>
        <v>0</v>
      </c>
      <c r="D6285">
        <f t="shared" si="1289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90"/>
        <v>0</v>
      </c>
      <c r="G6285">
        <f t="shared" si="1291"/>
        <v>0</v>
      </c>
      <c r="H6285">
        <f t="shared" si="1292"/>
        <v>0</v>
      </c>
      <c r="I6285">
        <f t="shared" si="1293"/>
        <v>0</v>
      </c>
      <c r="J6285">
        <f t="shared" si="1294"/>
        <v>0</v>
      </c>
      <c r="K6285" s="4" t="e">
        <f t="shared" si="1282"/>
        <v>#N/A</v>
      </c>
      <c r="L6285" t="e">
        <f t="shared" si="1283"/>
        <v>#N/A</v>
      </c>
      <c r="M6285" s="4" t="e">
        <f t="shared" si="1284"/>
        <v>#N/A</v>
      </c>
      <c r="N6285" s="4" t="e">
        <f t="shared" si="1285"/>
        <v>#N/A</v>
      </c>
    </row>
    <row r="6286" spans="1:14">
      <c r="A6286">
        <f t="shared" si="1286"/>
        <v>0</v>
      </c>
      <c r="B6286">
        <f t="shared" si="1287"/>
        <v>0</v>
      </c>
      <c r="C6286">
        <f t="shared" si="1288"/>
        <v>0</v>
      </c>
      <c r="D6286">
        <f t="shared" si="1289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90"/>
        <v>0</v>
      </c>
      <c r="G6286">
        <f t="shared" si="1291"/>
        <v>0</v>
      </c>
      <c r="H6286">
        <f t="shared" si="1292"/>
        <v>0</v>
      </c>
      <c r="I6286">
        <f t="shared" si="1293"/>
        <v>0</v>
      </c>
      <c r="J6286">
        <f t="shared" si="1294"/>
        <v>0</v>
      </c>
      <c r="K6286" s="4" t="e">
        <f t="shared" si="1282"/>
        <v>#N/A</v>
      </c>
      <c r="L6286" t="e">
        <f t="shared" si="1283"/>
        <v>#N/A</v>
      </c>
      <c r="M6286" s="4" t="e">
        <f t="shared" si="1284"/>
        <v>#N/A</v>
      </c>
      <c r="N6286" s="4" t="e">
        <f t="shared" si="1285"/>
        <v>#N/A</v>
      </c>
    </row>
    <row r="6287" spans="1:14">
      <c r="A6287">
        <f t="shared" si="1286"/>
        <v>0</v>
      </c>
      <c r="B6287">
        <f t="shared" si="1287"/>
        <v>0</v>
      </c>
      <c r="C6287">
        <f t="shared" si="1288"/>
        <v>0</v>
      </c>
      <c r="D6287">
        <f t="shared" si="1289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90"/>
        <v>0</v>
      </c>
      <c r="G6287">
        <f t="shared" si="1291"/>
        <v>0</v>
      </c>
      <c r="H6287">
        <f t="shared" si="1292"/>
        <v>0</v>
      </c>
      <c r="I6287">
        <f t="shared" si="1293"/>
        <v>0</v>
      </c>
      <c r="J6287">
        <f t="shared" si="1294"/>
        <v>0</v>
      </c>
      <c r="K6287" s="4" t="e">
        <f t="shared" si="1282"/>
        <v>#N/A</v>
      </c>
      <c r="L6287" t="e">
        <f t="shared" si="1283"/>
        <v>#N/A</v>
      </c>
      <c r="M6287" s="4" t="e">
        <f t="shared" si="1284"/>
        <v>#N/A</v>
      </c>
      <c r="N6287" s="4" t="e">
        <f t="shared" si="1285"/>
        <v>#N/A</v>
      </c>
    </row>
    <row r="6288" spans="1:14">
      <c r="A6288">
        <f t="shared" si="1286"/>
        <v>0</v>
      </c>
      <c r="B6288">
        <f t="shared" si="1287"/>
        <v>0</v>
      </c>
      <c r="C6288">
        <f t="shared" si="1288"/>
        <v>0</v>
      </c>
      <c r="D6288">
        <f t="shared" si="1289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90"/>
        <v>0</v>
      </c>
      <c r="G6288">
        <f t="shared" si="1291"/>
        <v>0</v>
      </c>
      <c r="H6288">
        <f t="shared" si="1292"/>
        <v>0</v>
      </c>
      <c r="I6288">
        <f t="shared" si="1293"/>
        <v>0</v>
      </c>
      <c r="J6288">
        <f t="shared" si="1294"/>
        <v>0</v>
      </c>
      <c r="K6288" s="4" t="e">
        <f t="shared" si="1282"/>
        <v>#N/A</v>
      </c>
      <c r="L6288" t="e">
        <f t="shared" si="1283"/>
        <v>#N/A</v>
      </c>
      <c r="M6288" s="4" t="e">
        <f t="shared" si="1284"/>
        <v>#N/A</v>
      </c>
      <c r="N6288" s="4" t="e">
        <f t="shared" si="1285"/>
        <v>#N/A</v>
      </c>
    </row>
    <row r="6289" spans="1:14">
      <c r="A6289">
        <f t="shared" si="1286"/>
        <v>0</v>
      </c>
      <c r="B6289">
        <f t="shared" si="1287"/>
        <v>0</v>
      </c>
      <c r="C6289">
        <f t="shared" si="1288"/>
        <v>0</v>
      </c>
      <c r="D6289">
        <f t="shared" si="1289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90"/>
        <v>0</v>
      </c>
      <c r="G6289">
        <f t="shared" si="1291"/>
        <v>0</v>
      </c>
      <c r="H6289">
        <f t="shared" si="1292"/>
        <v>0</v>
      </c>
      <c r="I6289">
        <f t="shared" si="1293"/>
        <v>0</v>
      </c>
      <c r="J6289">
        <f t="shared" si="1294"/>
        <v>0</v>
      </c>
      <c r="K6289" s="4" t="e">
        <f t="shared" si="1282"/>
        <v>#N/A</v>
      </c>
      <c r="L6289" t="e">
        <f t="shared" si="1283"/>
        <v>#N/A</v>
      </c>
      <c r="M6289" s="4" t="e">
        <f t="shared" si="1284"/>
        <v>#N/A</v>
      </c>
      <c r="N6289" s="4" t="e">
        <f t="shared" si="1285"/>
        <v>#N/A</v>
      </c>
    </row>
    <row r="6290" spans="1:14">
      <c r="A6290">
        <f t="shared" si="1286"/>
        <v>0</v>
      </c>
      <c r="B6290">
        <f t="shared" si="1287"/>
        <v>0</v>
      </c>
      <c r="C6290">
        <f t="shared" si="1288"/>
        <v>0</v>
      </c>
      <c r="D6290">
        <f t="shared" si="1289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90"/>
        <v>0</v>
      </c>
      <c r="G6290">
        <f t="shared" si="1291"/>
        <v>0</v>
      </c>
      <c r="H6290">
        <f t="shared" si="1292"/>
        <v>0</v>
      </c>
      <c r="I6290">
        <f t="shared" si="1293"/>
        <v>0</v>
      </c>
      <c r="J6290">
        <f t="shared" si="1294"/>
        <v>0</v>
      </c>
      <c r="K6290" s="4" t="e">
        <f t="shared" si="1282"/>
        <v>#N/A</v>
      </c>
      <c r="L6290" t="e">
        <f t="shared" si="1283"/>
        <v>#N/A</v>
      </c>
      <c r="M6290" s="4" t="e">
        <f t="shared" si="1284"/>
        <v>#N/A</v>
      </c>
      <c r="N6290" s="4" t="e">
        <f t="shared" si="1285"/>
        <v>#N/A</v>
      </c>
    </row>
    <row r="6291" spans="1:14">
      <c r="A6291">
        <f t="shared" si="1286"/>
        <v>0</v>
      </c>
      <c r="B6291">
        <f t="shared" si="1287"/>
        <v>0</v>
      </c>
      <c r="C6291">
        <f t="shared" si="1288"/>
        <v>0</v>
      </c>
      <c r="D6291">
        <f t="shared" si="1289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90"/>
        <v>0</v>
      </c>
      <c r="G6291">
        <f t="shared" si="1291"/>
        <v>0</v>
      </c>
      <c r="H6291">
        <f t="shared" si="1292"/>
        <v>0</v>
      </c>
      <c r="I6291">
        <f t="shared" si="1293"/>
        <v>0</v>
      </c>
      <c r="J6291">
        <f t="shared" si="1294"/>
        <v>0</v>
      </c>
      <c r="K6291" s="4" t="e">
        <f t="shared" si="1282"/>
        <v>#N/A</v>
      </c>
      <c r="L6291" t="e">
        <f t="shared" si="1283"/>
        <v>#N/A</v>
      </c>
      <c r="M6291" s="4" t="e">
        <f t="shared" si="1284"/>
        <v>#N/A</v>
      </c>
      <c r="N6291" s="4" t="e">
        <f t="shared" si="1285"/>
        <v>#N/A</v>
      </c>
    </row>
    <row r="6292" spans="1:14">
      <c r="A6292">
        <f t="shared" si="1286"/>
        <v>0</v>
      </c>
      <c r="B6292">
        <f t="shared" si="1287"/>
        <v>0</v>
      </c>
      <c r="C6292">
        <f t="shared" si="1288"/>
        <v>0</v>
      </c>
      <c r="D6292">
        <f t="shared" si="1289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90"/>
        <v>0</v>
      </c>
      <c r="G6292">
        <f t="shared" si="1291"/>
        <v>0</v>
      </c>
      <c r="H6292">
        <f t="shared" si="1292"/>
        <v>0</v>
      </c>
      <c r="I6292">
        <f t="shared" si="1293"/>
        <v>0</v>
      </c>
      <c r="J6292">
        <f t="shared" si="1294"/>
        <v>0</v>
      </c>
      <c r="K6292" s="4" t="e">
        <f t="shared" si="1282"/>
        <v>#N/A</v>
      </c>
      <c r="L6292" t="e">
        <f t="shared" si="1283"/>
        <v>#N/A</v>
      </c>
      <c r="M6292" s="4" t="e">
        <f t="shared" si="1284"/>
        <v>#N/A</v>
      </c>
      <c r="N6292" s="4" t="e">
        <f t="shared" si="1285"/>
        <v>#N/A</v>
      </c>
    </row>
    <row r="6293" spans="1:14">
      <c r="A6293">
        <f t="shared" si="1286"/>
        <v>0</v>
      </c>
      <c r="B6293">
        <f t="shared" si="1287"/>
        <v>0</v>
      </c>
      <c r="C6293">
        <f t="shared" si="1288"/>
        <v>0</v>
      </c>
      <c r="D6293">
        <f t="shared" si="1289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90"/>
        <v>0</v>
      </c>
      <c r="G6293">
        <f t="shared" si="1291"/>
        <v>0</v>
      </c>
      <c r="H6293">
        <f t="shared" si="1292"/>
        <v>0</v>
      </c>
      <c r="I6293">
        <f t="shared" si="1293"/>
        <v>0</v>
      </c>
      <c r="J6293">
        <f t="shared" si="1294"/>
        <v>0</v>
      </c>
      <c r="K6293" s="4" t="e">
        <f t="shared" si="1282"/>
        <v>#N/A</v>
      </c>
      <c r="L6293" t="e">
        <f t="shared" si="1283"/>
        <v>#N/A</v>
      </c>
      <c r="M6293" s="4" t="e">
        <f t="shared" si="1284"/>
        <v>#N/A</v>
      </c>
      <c r="N6293" s="4" t="e">
        <f t="shared" si="1285"/>
        <v>#N/A</v>
      </c>
    </row>
    <row r="6294" spans="1:14">
      <c r="A6294">
        <f t="shared" si="1286"/>
        <v>0</v>
      </c>
      <c r="B6294">
        <f t="shared" si="1287"/>
        <v>0</v>
      </c>
      <c r="C6294">
        <f t="shared" si="1288"/>
        <v>0</v>
      </c>
      <c r="D6294">
        <f t="shared" si="1289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90"/>
        <v>0</v>
      </c>
      <c r="G6294">
        <f t="shared" si="1291"/>
        <v>0</v>
      </c>
      <c r="H6294">
        <f t="shared" si="1292"/>
        <v>0</v>
      </c>
      <c r="I6294">
        <f t="shared" si="1293"/>
        <v>0</v>
      </c>
      <c r="J6294">
        <f t="shared" si="1294"/>
        <v>0</v>
      </c>
      <c r="K6294" s="4" t="e">
        <f t="shared" si="1282"/>
        <v>#N/A</v>
      </c>
      <c r="L6294" t="e">
        <f t="shared" si="1283"/>
        <v>#N/A</v>
      </c>
      <c r="M6294" s="4" t="e">
        <f t="shared" si="1284"/>
        <v>#N/A</v>
      </c>
      <c r="N6294" s="4" t="e">
        <f t="shared" si="1285"/>
        <v>#N/A</v>
      </c>
    </row>
    <row r="6295" spans="1:14">
      <c r="A6295">
        <f t="shared" si="1286"/>
        <v>0</v>
      </c>
      <c r="B6295">
        <f t="shared" si="1287"/>
        <v>0</v>
      </c>
      <c r="C6295">
        <f t="shared" si="1288"/>
        <v>0</v>
      </c>
      <c r="D6295">
        <f t="shared" si="1289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90"/>
        <v>0</v>
      </c>
      <c r="G6295">
        <f t="shared" si="1291"/>
        <v>0</v>
      </c>
      <c r="H6295">
        <f t="shared" si="1292"/>
        <v>0</v>
      </c>
      <c r="I6295">
        <f t="shared" si="1293"/>
        <v>0</v>
      </c>
      <c r="J6295">
        <f t="shared" si="1294"/>
        <v>0</v>
      </c>
      <c r="K6295" s="4" t="e">
        <f t="shared" si="1282"/>
        <v>#N/A</v>
      </c>
      <c r="L6295" t="e">
        <f t="shared" si="1283"/>
        <v>#N/A</v>
      </c>
      <c r="M6295" s="4" t="e">
        <f t="shared" si="1284"/>
        <v>#N/A</v>
      </c>
      <c r="N6295" s="4" t="e">
        <f t="shared" si="1285"/>
        <v>#N/A</v>
      </c>
    </row>
    <row r="6296" spans="1:14">
      <c r="A6296">
        <f t="shared" si="1286"/>
        <v>0</v>
      </c>
      <c r="B6296">
        <f t="shared" si="1287"/>
        <v>0</v>
      </c>
      <c r="C6296">
        <f t="shared" si="1288"/>
        <v>0</v>
      </c>
      <c r="D6296">
        <f t="shared" si="1289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90"/>
        <v>0</v>
      </c>
      <c r="G6296">
        <f t="shared" si="1291"/>
        <v>0</v>
      </c>
      <c r="H6296">
        <f t="shared" si="1292"/>
        <v>0</v>
      </c>
      <c r="I6296">
        <f t="shared" si="1293"/>
        <v>0</v>
      </c>
      <c r="J6296">
        <f t="shared" si="1294"/>
        <v>0</v>
      </c>
      <c r="K6296" s="4" t="e">
        <f t="shared" si="1282"/>
        <v>#N/A</v>
      </c>
      <c r="L6296" t="e">
        <f t="shared" si="1283"/>
        <v>#N/A</v>
      </c>
      <c r="M6296" s="4" t="e">
        <f t="shared" si="1284"/>
        <v>#N/A</v>
      </c>
      <c r="N6296" s="4" t="e">
        <f t="shared" si="1285"/>
        <v>#N/A</v>
      </c>
    </row>
    <row r="6297" spans="1:14">
      <c r="A6297">
        <f t="shared" si="1286"/>
        <v>0</v>
      </c>
      <c r="B6297">
        <f t="shared" si="1287"/>
        <v>0</v>
      </c>
      <c r="C6297">
        <f t="shared" si="1288"/>
        <v>0</v>
      </c>
      <c r="D6297">
        <f t="shared" si="1289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90"/>
        <v>0</v>
      </c>
      <c r="G6297">
        <f t="shared" si="1291"/>
        <v>0</v>
      </c>
      <c r="H6297">
        <f t="shared" si="1292"/>
        <v>0</v>
      </c>
      <c r="I6297">
        <f t="shared" si="1293"/>
        <v>0</v>
      </c>
      <c r="J6297">
        <f t="shared" si="1294"/>
        <v>0</v>
      </c>
      <c r="K6297" s="4" t="e">
        <f t="shared" si="1282"/>
        <v>#N/A</v>
      </c>
      <c r="L6297" t="e">
        <f t="shared" si="1283"/>
        <v>#N/A</v>
      </c>
      <c r="M6297" s="4" t="e">
        <f t="shared" si="1284"/>
        <v>#N/A</v>
      </c>
      <c r="N6297" s="4" t="e">
        <f t="shared" si="1285"/>
        <v>#N/A</v>
      </c>
    </row>
    <row r="6298" spans="1:14">
      <c r="A6298">
        <f t="shared" si="1286"/>
        <v>0</v>
      </c>
      <c r="B6298">
        <f t="shared" si="1287"/>
        <v>0</v>
      </c>
      <c r="C6298">
        <f t="shared" si="1288"/>
        <v>0</v>
      </c>
      <c r="D6298">
        <f t="shared" si="1289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90"/>
        <v>0</v>
      </c>
      <c r="G6298">
        <f t="shared" si="1291"/>
        <v>0</v>
      </c>
      <c r="H6298">
        <f t="shared" si="1292"/>
        <v>0</v>
      </c>
      <c r="I6298">
        <f t="shared" si="1293"/>
        <v>0</v>
      </c>
      <c r="J6298">
        <f t="shared" si="1294"/>
        <v>0</v>
      </c>
      <c r="K6298" s="4" t="e">
        <f t="shared" si="1282"/>
        <v>#N/A</v>
      </c>
      <c r="L6298" t="e">
        <f t="shared" si="1283"/>
        <v>#N/A</v>
      </c>
      <c r="M6298" s="4" t="e">
        <f t="shared" si="1284"/>
        <v>#N/A</v>
      </c>
      <c r="N6298" s="4" t="e">
        <f t="shared" si="1285"/>
        <v>#N/A</v>
      </c>
    </row>
    <row r="6299" spans="1:14">
      <c r="A6299">
        <f t="shared" si="1286"/>
        <v>0</v>
      </c>
      <c r="B6299">
        <f t="shared" si="1287"/>
        <v>0</v>
      </c>
      <c r="C6299">
        <f t="shared" si="1288"/>
        <v>0</v>
      </c>
      <c r="D6299">
        <f t="shared" si="1289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90"/>
        <v>0</v>
      </c>
      <c r="G6299">
        <f t="shared" si="1291"/>
        <v>0</v>
      </c>
      <c r="H6299">
        <f t="shared" si="1292"/>
        <v>0</v>
      </c>
      <c r="I6299">
        <f t="shared" si="1293"/>
        <v>0</v>
      </c>
      <c r="J6299">
        <f t="shared" si="1294"/>
        <v>0</v>
      </c>
      <c r="K6299" s="4" t="e">
        <f t="shared" si="1282"/>
        <v>#N/A</v>
      </c>
      <c r="L6299" t="e">
        <f t="shared" si="1283"/>
        <v>#N/A</v>
      </c>
      <c r="M6299" s="4" t="e">
        <f t="shared" si="1284"/>
        <v>#N/A</v>
      </c>
      <c r="N6299" s="4" t="e">
        <f t="shared" si="1285"/>
        <v>#N/A</v>
      </c>
    </row>
    <row r="6300" spans="1:14">
      <c r="A6300">
        <f t="shared" si="1286"/>
        <v>0</v>
      </c>
      <c r="B6300">
        <f t="shared" si="1287"/>
        <v>0</v>
      </c>
      <c r="C6300">
        <f t="shared" si="1288"/>
        <v>0</v>
      </c>
      <c r="D6300">
        <f t="shared" si="1289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90"/>
        <v>0</v>
      </c>
      <c r="G6300">
        <f t="shared" si="1291"/>
        <v>0</v>
      </c>
      <c r="H6300">
        <f t="shared" si="1292"/>
        <v>0</v>
      </c>
      <c r="I6300">
        <f t="shared" si="1293"/>
        <v>0</v>
      </c>
      <c r="J6300">
        <f t="shared" si="1294"/>
        <v>0</v>
      </c>
      <c r="K6300" s="4" t="e">
        <f t="shared" si="1282"/>
        <v>#N/A</v>
      </c>
      <c r="L6300" t="e">
        <f t="shared" si="1283"/>
        <v>#N/A</v>
      </c>
      <c r="M6300" s="4" t="e">
        <f t="shared" si="1284"/>
        <v>#N/A</v>
      </c>
      <c r="N6300" s="4" t="e">
        <f t="shared" si="1285"/>
        <v>#N/A</v>
      </c>
    </row>
    <row r="6301" spans="1:14">
      <c r="A6301">
        <f t="shared" si="1286"/>
        <v>0</v>
      </c>
      <c r="B6301">
        <f t="shared" si="1287"/>
        <v>0</v>
      </c>
      <c r="C6301">
        <f t="shared" si="1288"/>
        <v>0</v>
      </c>
      <c r="D6301">
        <f t="shared" si="1289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90"/>
        <v>0</v>
      </c>
      <c r="G6301">
        <f t="shared" si="1291"/>
        <v>0</v>
      </c>
      <c r="H6301">
        <f t="shared" si="1292"/>
        <v>0</v>
      </c>
      <c r="I6301">
        <f t="shared" si="1293"/>
        <v>0</v>
      </c>
      <c r="J6301">
        <f t="shared" si="1294"/>
        <v>0</v>
      </c>
      <c r="K6301" s="4" t="e">
        <f t="shared" si="1282"/>
        <v>#N/A</v>
      </c>
      <c r="L6301" t="e">
        <f t="shared" si="1283"/>
        <v>#N/A</v>
      </c>
      <c r="M6301" s="4" t="e">
        <f t="shared" si="1284"/>
        <v>#N/A</v>
      </c>
      <c r="N6301" s="4" t="e">
        <f t="shared" si="1285"/>
        <v>#N/A</v>
      </c>
    </row>
    <row r="6302" spans="1:14">
      <c r="A6302">
        <f t="shared" si="1286"/>
        <v>0</v>
      </c>
      <c r="B6302">
        <f t="shared" si="1287"/>
        <v>0</v>
      </c>
      <c r="C6302">
        <f t="shared" si="1288"/>
        <v>0</v>
      </c>
      <c r="D6302">
        <f t="shared" si="1289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90"/>
        <v>0</v>
      </c>
      <c r="G6302">
        <f t="shared" si="1291"/>
        <v>0</v>
      </c>
      <c r="H6302">
        <f t="shared" si="1292"/>
        <v>0</v>
      </c>
      <c r="I6302">
        <f t="shared" si="1293"/>
        <v>0</v>
      </c>
      <c r="J6302">
        <f t="shared" si="1294"/>
        <v>0</v>
      </c>
      <c r="K6302" s="4" t="e">
        <f t="shared" si="1282"/>
        <v>#N/A</v>
      </c>
      <c r="L6302" t="e">
        <f t="shared" si="1283"/>
        <v>#N/A</v>
      </c>
      <c r="M6302" s="4" t="e">
        <f t="shared" si="1284"/>
        <v>#N/A</v>
      </c>
      <c r="N6302" s="4" t="e">
        <f t="shared" si="1285"/>
        <v>#N/A</v>
      </c>
    </row>
    <row r="6303" spans="1:14">
      <c r="A6303">
        <f t="shared" si="1286"/>
        <v>0</v>
      </c>
      <c r="B6303">
        <f t="shared" si="1287"/>
        <v>0</v>
      </c>
      <c r="C6303">
        <f t="shared" si="1288"/>
        <v>0</v>
      </c>
      <c r="D6303">
        <f t="shared" si="1289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90"/>
        <v>0</v>
      </c>
      <c r="G6303">
        <f t="shared" si="1291"/>
        <v>0</v>
      </c>
      <c r="H6303">
        <f t="shared" si="1292"/>
        <v>0</v>
      </c>
      <c r="I6303">
        <f t="shared" si="1293"/>
        <v>0</v>
      </c>
      <c r="J6303">
        <f t="shared" si="1294"/>
        <v>0</v>
      </c>
      <c r="K6303" s="4" t="e">
        <f t="shared" si="1282"/>
        <v>#N/A</v>
      </c>
      <c r="L6303" t="e">
        <f t="shared" si="1283"/>
        <v>#N/A</v>
      </c>
      <c r="M6303" s="4" t="e">
        <f t="shared" si="1284"/>
        <v>#N/A</v>
      </c>
      <c r="N6303" s="4" t="e">
        <f t="shared" si="1285"/>
        <v>#N/A</v>
      </c>
    </row>
    <row r="6304" spans="1:14">
      <c r="A6304">
        <f t="shared" si="1286"/>
        <v>0</v>
      </c>
      <c r="B6304">
        <f t="shared" si="1287"/>
        <v>0</v>
      </c>
      <c r="C6304">
        <f t="shared" si="1288"/>
        <v>0</v>
      </c>
      <c r="D6304">
        <f t="shared" si="1289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90"/>
        <v>0</v>
      </c>
      <c r="G6304">
        <f t="shared" si="1291"/>
        <v>0</v>
      </c>
      <c r="H6304">
        <f t="shared" si="1292"/>
        <v>0</v>
      </c>
      <c r="I6304">
        <f t="shared" si="1293"/>
        <v>0</v>
      </c>
      <c r="J6304">
        <f t="shared" si="1294"/>
        <v>0</v>
      </c>
      <c r="K6304" s="4" t="e">
        <f t="shared" si="1282"/>
        <v>#N/A</v>
      </c>
      <c r="L6304" t="e">
        <f t="shared" si="1283"/>
        <v>#N/A</v>
      </c>
      <c r="M6304" s="4" t="e">
        <f t="shared" si="1284"/>
        <v>#N/A</v>
      </c>
      <c r="N6304" s="4" t="e">
        <f t="shared" si="1285"/>
        <v>#N/A</v>
      </c>
    </row>
    <row r="6305" spans="1:14">
      <c r="A6305">
        <f t="shared" si="1286"/>
        <v>0</v>
      </c>
      <c r="B6305">
        <f t="shared" si="1287"/>
        <v>0</v>
      </c>
      <c r="C6305">
        <f t="shared" si="1288"/>
        <v>0</v>
      </c>
      <c r="D6305">
        <f t="shared" si="1289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90"/>
        <v>0</v>
      </c>
      <c r="G6305">
        <f t="shared" si="1291"/>
        <v>0</v>
      </c>
      <c r="H6305">
        <f t="shared" si="1292"/>
        <v>0</v>
      </c>
      <c r="I6305">
        <f t="shared" si="1293"/>
        <v>0</v>
      </c>
      <c r="J6305">
        <f t="shared" si="1294"/>
        <v>0</v>
      </c>
      <c r="K6305" s="4" t="e">
        <f t="shared" si="1282"/>
        <v>#N/A</v>
      </c>
      <c r="L6305" t="e">
        <f t="shared" si="1283"/>
        <v>#N/A</v>
      </c>
      <c r="M6305" s="4" t="e">
        <f t="shared" si="1284"/>
        <v>#N/A</v>
      </c>
      <c r="N6305" s="4" t="e">
        <f t="shared" si="1285"/>
        <v>#N/A</v>
      </c>
    </row>
    <row r="6306" spans="1:14">
      <c r="A6306">
        <f t="shared" si="1286"/>
        <v>0</v>
      </c>
      <c r="B6306">
        <f t="shared" si="1287"/>
        <v>0</v>
      </c>
      <c r="C6306">
        <f t="shared" si="1288"/>
        <v>0</v>
      </c>
      <c r="D6306">
        <f t="shared" si="1289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90"/>
        <v>0</v>
      </c>
      <c r="G6306">
        <f t="shared" si="1291"/>
        <v>0</v>
      </c>
      <c r="H6306">
        <f t="shared" si="1292"/>
        <v>0</v>
      </c>
      <c r="I6306">
        <f t="shared" si="1293"/>
        <v>0</v>
      </c>
      <c r="J6306">
        <f t="shared" si="1294"/>
        <v>0</v>
      </c>
      <c r="K6306" s="4" t="e">
        <f t="shared" si="1282"/>
        <v>#N/A</v>
      </c>
      <c r="L6306" t="e">
        <f t="shared" si="1283"/>
        <v>#N/A</v>
      </c>
      <c r="M6306" s="4" t="e">
        <f t="shared" si="1284"/>
        <v>#N/A</v>
      </c>
      <c r="N6306" s="4" t="e">
        <f t="shared" si="1285"/>
        <v>#N/A</v>
      </c>
    </row>
    <row r="6307" spans="1:14">
      <c r="A6307">
        <f t="shared" si="1286"/>
        <v>0</v>
      </c>
      <c r="B6307">
        <f t="shared" si="1287"/>
        <v>0</v>
      </c>
      <c r="C6307">
        <f t="shared" si="1288"/>
        <v>0</v>
      </c>
      <c r="D6307">
        <f t="shared" si="1289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90"/>
        <v>0</v>
      </c>
      <c r="G6307">
        <f t="shared" si="1291"/>
        <v>0</v>
      </c>
      <c r="H6307">
        <f t="shared" si="1292"/>
        <v>0</v>
      </c>
      <c r="I6307">
        <f t="shared" si="1293"/>
        <v>0</v>
      </c>
      <c r="J6307">
        <f t="shared" si="1294"/>
        <v>0</v>
      </c>
      <c r="K6307" s="4" t="e">
        <f t="shared" si="1282"/>
        <v>#N/A</v>
      </c>
      <c r="L6307" t="e">
        <f t="shared" si="1283"/>
        <v>#N/A</v>
      </c>
      <c r="M6307" s="4" t="e">
        <f t="shared" si="1284"/>
        <v>#N/A</v>
      </c>
      <c r="N6307" s="4" t="e">
        <f t="shared" si="1285"/>
        <v>#N/A</v>
      </c>
    </row>
    <row r="6308" spans="1:14">
      <c r="A6308">
        <f t="shared" si="1286"/>
        <v>0</v>
      </c>
      <c r="B6308">
        <f t="shared" si="1287"/>
        <v>0</v>
      </c>
      <c r="C6308">
        <f t="shared" si="1288"/>
        <v>0</v>
      </c>
      <c r="D6308">
        <f t="shared" si="1289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90"/>
        <v>0</v>
      </c>
      <c r="G6308">
        <f t="shared" si="1291"/>
        <v>0</v>
      </c>
      <c r="H6308">
        <f t="shared" si="1292"/>
        <v>0</v>
      </c>
      <c r="I6308">
        <f t="shared" si="1293"/>
        <v>0</v>
      </c>
      <c r="J6308">
        <f t="shared" si="1294"/>
        <v>0</v>
      </c>
      <c r="K6308" s="4" t="e">
        <f t="shared" si="1282"/>
        <v>#N/A</v>
      </c>
      <c r="L6308" t="e">
        <f t="shared" si="1283"/>
        <v>#N/A</v>
      </c>
      <c r="M6308" s="4" t="e">
        <f t="shared" si="1284"/>
        <v>#N/A</v>
      </c>
      <c r="N6308" s="4" t="e">
        <f t="shared" si="1285"/>
        <v>#N/A</v>
      </c>
    </row>
    <row r="6309" spans="1:14">
      <c r="A6309">
        <f t="shared" si="1286"/>
        <v>0</v>
      </c>
      <c r="B6309">
        <f t="shared" si="1287"/>
        <v>0</v>
      </c>
      <c r="C6309">
        <f t="shared" si="1288"/>
        <v>0</v>
      </c>
      <c r="D6309">
        <f t="shared" si="1289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90"/>
        <v>0</v>
      </c>
      <c r="G6309">
        <f t="shared" si="1291"/>
        <v>0</v>
      </c>
      <c r="H6309">
        <f t="shared" si="1292"/>
        <v>0</v>
      </c>
      <c r="I6309">
        <f t="shared" si="1293"/>
        <v>0</v>
      </c>
      <c r="J6309">
        <f t="shared" si="1294"/>
        <v>0</v>
      </c>
      <c r="K6309" s="4" t="e">
        <f t="shared" si="1282"/>
        <v>#N/A</v>
      </c>
      <c r="L6309" t="e">
        <f t="shared" si="1283"/>
        <v>#N/A</v>
      </c>
      <c r="M6309" s="4" t="e">
        <f t="shared" si="1284"/>
        <v>#N/A</v>
      </c>
      <c r="N6309" s="4" t="e">
        <f t="shared" si="1285"/>
        <v>#N/A</v>
      </c>
    </row>
    <row r="6310" spans="1:14">
      <c r="A6310">
        <f t="shared" si="1286"/>
        <v>0</v>
      </c>
      <c r="B6310">
        <f t="shared" si="1287"/>
        <v>0</v>
      </c>
      <c r="C6310">
        <f t="shared" si="1288"/>
        <v>0</v>
      </c>
      <c r="D6310">
        <f t="shared" si="1289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90"/>
        <v>0</v>
      </c>
      <c r="G6310">
        <f t="shared" si="1291"/>
        <v>0</v>
      </c>
      <c r="H6310">
        <f t="shared" si="1292"/>
        <v>0</v>
      </c>
      <c r="I6310">
        <f t="shared" si="1293"/>
        <v>0</v>
      </c>
      <c r="J6310">
        <f t="shared" si="1294"/>
        <v>0</v>
      </c>
      <c r="K6310" s="4" t="e">
        <f t="shared" si="1282"/>
        <v>#N/A</v>
      </c>
      <c r="L6310" t="e">
        <f t="shared" si="1283"/>
        <v>#N/A</v>
      </c>
      <c r="M6310" s="4" t="e">
        <f t="shared" si="1284"/>
        <v>#N/A</v>
      </c>
      <c r="N6310" s="4" t="e">
        <f t="shared" si="1285"/>
        <v>#N/A</v>
      </c>
    </row>
    <row r="6311" spans="1:14">
      <c r="A6311">
        <f t="shared" si="1286"/>
        <v>0</v>
      </c>
      <c r="B6311">
        <f t="shared" si="1287"/>
        <v>0</v>
      </c>
      <c r="C6311">
        <f t="shared" si="1288"/>
        <v>0</v>
      </c>
      <c r="D6311">
        <f t="shared" si="1289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90"/>
        <v>0</v>
      </c>
      <c r="G6311">
        <f t="shared" si="1291"/>
        <v>0</v>
      </c>
      <c r="H6311">
        <f t="shared" si="1292"/>
        <v>0</v>
      </c>
      <c r="I6311">
        <f t="shared" si="1293"/>
        <v>0</v>
      </c>
      <c r="J6311">
        <f t="shared" si="1294"/>
        <v>0</v>
      </c>
      <c r="K6311" s="4" t="e">
        <f t="shared" si="1282"/>
        <v>#N/A</v>
      </c>
      <c r="L6311" t="e">
        <f t="shared" si="1283"/>
        <v>#N/A</v>
      </c>
      <c r="M6311" s="4" t="e">
        <f t="shared" si="1284"/>
        <v>#N/A</v>
      </c>
      <c r="N6311" s="4" t="e">
        <f t="shared" si="1285"/>
        <v>#N/A</v>
      </c>
    </row>
    <row r="6312" spans="1:14">
      <c r="A6312">
        <f t="shared" si="1286"/>
        <v>0</v>
      </c>
      <c r="B6312">
        <f t="shared" si="1287"/>
        <v>0</v>
      </c>
      <c r="C6312">
        <f t="shared" si="1288"/>
        <v>0</v>
      </c>
      <c r="D6312">
        <f t="shared" si="1289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90"/>
        <v>0</v>
      </c>
      <c r="G6312">
        <f t="shared" si="1291"/>
        <v>0</v>
      </c>
      <c r="H6312">
        <f t="shared" si="1292"/>
        <v>0</v>
      </c>
      <c r="I6312">
        <f t="shared" si="1293"/>
        <v>0</v>
      </c>
      <c r="J6312">
        <f t="shared" si="1294"/>
        <v>0</v>
      </c>
      <c r="K6312" s="4" t="e">
        <f t="shared" si="1282"/>
        <v>#N/A</v>
      </c>
      <c r="L6312" t="e">
        <f t="shared" si="1283"/>
        <v>#N/A</v>
      </c>
      <c r="M6312" s="4" t="e">
        <f t="shared" si="1284"/>
        <v>#N/A</v>
      </c>
      <c r="N6312" s="4" t="e">
        <f t="shared" si="1285"/>
        <v>#N/A</v>
      </c>
    </row>
    <row r="6313" spans="1:14">
      <c r="A6313">
        <f t="shared" si="1286"/>
        <v>0</v>
      </c>
      <c r="B6313">
        <f t="shared" si="1287"/>
        <v>0</v>
      </c>
      <c r="C6313">
        <f t="shared" si="1288"/>
        <v>0</v>
      </c>
      <c r="D6313">
        <f t="shared" si="1289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90"/>
        <v>0</v>
      </c>
      <c r="G6313">
        <f t="shared" si="1291"/>
        <v>0</v>
      </c>
      <c r="H6313">
        <f t="shared" si="1292"/>
        <v>0</v>
      </c>
      <c r="I6313">
        <f t="shared" si="1293"/>
        <v>0</v>
      </c>
      <c r="J6313">
        <f t="shared" si="1294"/>
        <v>0</v>
      </c>
      <c r="K6313" s="4" t="e">
        <f t="shared" si="1282"/>
        <v>#N/A</v>
      </c>
      <c r="L6313" t="e">
        <f t="shared" si="1283"/>
        <v>#N/A</v>
      </c>
      <c r="M6313" s="4" t="e">
        <f t="shared" si="1284"/>
        <v>#N/A</v>
      </c>
      <c r="N6313" s="4" t="e">
        <f t="shared" si="1285"/>
        <v>#N/A</v>
      </c>
    </row>
    <row r="6314" spans="1:14">
      <c r="A6314">
        <f t="shared" si="1286"/>
        <v>0</v>
      </c>
      <c r="B6314">
        <f t="shared" si="1287"/>
        <v>0</v>
      </c>
      <c r="C6314">
        <f t="shared" si="1288"/>
        <v>0</v>
      </c>
      <c r="D6314">
        <f t="shared" si="1289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90"/>
        <v>0</v>
      </c>
      <c r="G6314">
        <f t="shared" si="1291"/>
        <v>0</v>
      </c>
      <c r="H6314">
        <f t="shared" si="1292"/>
        <v>0</v>
      </c>
      <c r="I6314">
        <f t="shared" si="1293"/>
        <v>0</v>
      </c>
      <c r="J6314">
        <f t="shared" si="1294"/>
        <v>0</v>
      </c>
      <c r="K6314" s="4" t="e">
        <f t="shared" si="1282"/>
        <v>#N/A</v>
      </c>
      <c r="L6314" t="e">
        <f t="shared" si="1283"/>
        <v>#N/A</v>
      </c>
      <c r="M6314" s="4" t="e">
        <f t="shared" si="1284"/>
        <v>#N/A</v>
      </c>
      <c r="N6314" s="4" t="e">
        <f t="shared" si="1285"/>
        <v>#N/A</v>
      </c>
    </row>
    <row r="6315" spans="1:14">
      <c r="A6315">
        <f t="shared" si="1286"/>
        <v>0</v>
      </c>
      <c r="B6315">
        <f t="shared" si="1287"/>
        <v>0</v>
      </c>
      <c r="C6315">
        <f t="shared" si="1288"/>
        <v>0</v>
      </c>
      <c r="D6315">
        <f t="shared" si="1289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90"/>
        <v>0</v>
      </c>
      <c r="G6315">
        <f t="shared" si="1291"/>
        <v>0</v>
      </c>
      <c r="H6315">
        <f t="shared" si="1292"/>
        <v>0</v>
      </c>
      <c r="I6315">
        <f t="shared" si="1293"/>
        <v>0</v>
      </c>
      <c r="J6315">
        <f t="shared" si="1294"/>
        <v>0</v>
      </c>
      <c r="K6315" s="4" t="e">
        <f t="shared" si="1282"/>
        <v>#N/A</v>
      </c>
      <c r="L6315" t="e">
        <f t="shared" si="1283"/>
        <v>#N/A</v>
      </c>
      <c r="M6315" s="4" t="e">
        <f t="shared" si="1284"/>
        <v>#N/A</v>
      </c>
      <c r="N6315" s="4" t="e">
        <f t="shared" si="1285"/>
        <v>#N/A</v>
      </c>
    </row>
    <row r="6316" spans="1:14">
      <c r="A6316">
        <f t="shared" si="1286"/>
        <v>0</v>
      </c>
      <c r="B6316">
        <f t="shared" si="1287"/>
        <v>0</v>
      </c>
      <c r="C6316">
        <f t="shared" si="1288"/>
        <v>0</v>
      </c>
      <c r="D6316">
        <f t="shared" si="1289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90"/>
        <v>0</v>
      </c>
      <c r="G6316">
        <f t="shared" si="1291"/>
        <v>0</v>
      </c>
      <c r="H6316">
        <f t="shared" si="1292"/>
        <v>0</v>
      </c>
      <c r="I6316">
        <f t="shared" si="1293"/>
        <v>0</v>
      </c>
      <c r="J6316">
        <f t="shared" si="1294"/>
        <v>0</v>
      </c>
      <c r="K6316" s="4" t="e">
        <f t="shared" si="1282"/>
        <v>#N/A</v>
      </c>
      <c r="L6316" t="e">
        <f t="shared" si="1283"/>
        <v>#N/A</v>
      </c>
      <c r="M6316" s="4" t="e">
        <f t="shared" si="1284"/>
        <v>#N/A</v>
      </c>
      <c r="N6316" s="4" t="e">
        <f t="shared" si="1285"/>
        <v>#N/A</v>
      </c>
    </row>
    <row r="6317" spans="1:14">
      <c r="A6317">
        <f t="shared" si="1286"/>
        <v>0</v>
      </c>
      <c r="B6317">
        <f t="shared" si="1287"/>
        <v>0</v>
      </c>
      <c r="C6317">
        <f t="shared" si="1288"/>
        <v>0</v>
      </c>
      <c r="D6317">
        <f t="shared" si="1289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90"/>
        <v>0</v>
      </c>
      <c r="G6317">
        <f t="shared" si="1291"/>
        <v>0</v>
      </c>
      <c r="H6317">
        <f t="shared" si="1292"/>
        <v>0</v>
      </c>
      <c r="I6317">
        <f t="shared" si="1293"/>
        <v>0</v>
      </c>
      <c r="J6317">
        <f t="shared" si="1294"/>
        <v>0</v>
      </c>
      <c r="K6317" s="4" t="e">
        <f t="shared" si="1282"/>
        <v>#N/A</v>
      </c>
      <c r="L6317" t="e">
        <f t="shared" si="1283"/>
        <v>#N/A</v>
      </c>
      <c r="M6317" s="4" t="e">
        <f t="shared" si="1284"/>
        <v>#N/A</v>
      </c>
      <c r="N6317" s="4" t="e">
        <f t="shared" si="1285"/>
        <v>#N/A</v>
      </c>
    </row>
    <row r="6318" spans="1:14">
      <c r="A6318">
        <f t="shared" si="1286"/>
        <v>0</v>
      </c>
      <c r="B6318">
        <f t="shared" si="1287"/>
        <v>0</v>
      </c>
      <c r="C6318">
        <f t="shared" si="1288"/>
        <v>0</v>
      </c>
      <c r="D6318">
        <f t="shared" si="1289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90"/>
        <v>0</v>
      </c>
      <c r="G6318">
        <f t="shared" si="1291"/>
        <v>0</v>
      </c>
      <c r="H6318">
        <f t="shared" si="1292"/>
        <v>0</v>
      </c>
      <c r="I6318">
        <f t="shared" si="1293"/>
        <v>0</v>
      </c>
      <c r="J6318">
        <f t="shared" si="1294"/>
        <v>0</v>
      </c>
      <c r="K6318" s="4" t="e">
        <f t="shared" si="1282"/>
        <v>#N/A</v>
      </c>
      <c r="L6318" t="e">
        <f t="shared" si="1283"/>
        <v>#N/A</v>
      </c>
      <c r="M6318" s="4" t="e">
        <f t="shared" si="1284"/>
        <v>#N/A</v>
      </c>
      <c r="N6318" s="4" t="e">
        <f t="shared" si="1285"/>
        <v>#N/A</v>
      </c>
    </row>
    <row r="6319" spans="1:14">
      <c r="A6319">
        <f t="shared" si="1286"/>
        <v>0</v>
      </c>
      <c r="B6319">
        <f t="shared" si="1287"/>
        <v>0</v>
      </c>
      <c r="C6319">
        <f t="shared" si="1288"/>
        <v>0</v>
      </c>
      <c r="D6319">
        <f t="shared" si="1289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90"/>
        <v>0</v>
      </c>
      <c r="G6319">
        <f t="shared" si="1291"/>
        <v>0</v>
      </c>
      <c r="H6319">
        <f t="shared" si="1292"/>
        <v>0</v>
      </c>
      <c r="I6319">
        <f t="shared" si="1293"/>
        <v>0</v>
      </c>
      <c r="J6319">
        <f t="shared" si="1294"/>
        <v>0</v>
      </c>
      <c r="K6319" s="4" t="e">
        <f t="shared" si="1282"/>
        <v>#N/A</v>
      </c>
      <c r="L6319" t="e">
        <f t="shared" si="1283"/>
        <v>#N/A</v>
      </c>
      <c r="M6319" s="4" t="e">
        <f t="shared" si="1284"/>
        <v>#N/A</v>
      </c>
      <c r="N6319" s="4" t="e">
        <f t="shared" si="1285"/>
        <v>#N/A</v>
      </c>
    </row>
    <row r="6320" spans="1:14">
      <c r="A6320">
        <f t="shared" si="1286"/>
        <v>0</v>
      </c>
      <c r="B6320">
        <f t="shared" si="1287"/>
        <v>0</v>
      </c>
      <c r="C6320">
        <f t="shared" si="1288"/>
        <v>0</v>
      </c>
      <c r="D6320">
        <f t="shared" si="1289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90"/>
        <v>0</v>
      </c>
      <c r="G6320">
        <f t="shared" si="1291"/>
        <v>0</v>
      </c>
      <c r="H6320">
        <f t="shared" si="1292"/>
        <v>0</v>
      </c>
      <c r="I6320">
        <f t="shared" si="1293"/>
        <v>0</v>
      </c>
      <c r="J6320">
        <f t="shared" si="1294"/>
        <v>0</v>
      </c>
      <c r="K6320" s="4" t="e">
        <f t="shared" si="1282"/>
        <v>#N/A</v>
      </c>
      <c r="L6320" t="e">
        <f t="shared" si="1283"/>
        <v>#N/A</v>
      </c>
      <c r="M6320" s="4" t="e">
        <f t="shared" si="1284"/>
        <v>#N/A</v>
      </c>
      <c r="N6320" s="4" t="e">
        <f t="shared" si="1285"/>
        <v>#N/A</v>
      </c>
    </row>
    <row r="6321" spans="1:14">
      <c r="A6321">
        <f t="shared" si="1286"/>
        <v>0</v>
      </c>
      <c r="B6321">
        <f t="shared" si="1287"/>
        <v>0</v>
      </c>
      <c r="C6321">
        <f t="shared" si="1288"/>
        <v>0</v>
      </c>
      <c r="D6321">
        <f t="shared" si="1289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90"/>
        <v>0</v>
      </c>
      <c r="G6321">
        <f t="shared" si="1291"/>
        <v>0</v>
      </c>
      <c r="H6321">
        <f t="shared" si="1292"/>
        <v>0</v>
      </c>
      <c r="I6321">
        <f t="shared" si="1293"/>
        <v>0</v>
      </c>
      <c r="J6321">
        <f t="shared" si="1294"/>
        <v>0</v>
      </c>
      <c r="K6321" s="4" t="e">
        <f t="shared" si="1282"/>
        <v>#N/A</v>
      </c>
      <c r="L6321" t="e">
        <f t="shared" si="1283"/>
        <v>#N/A</v>
      </c>
      <c r="M6321" s="4" t="e">
        <f t="shared" si="1284"/>
        <v>#N/A</v>
      </c>
      <c r="N6321" s="4" t="e">
        <f t="shared" si="1285"/>
        <v>#N/A</v>
      </c>
    </row>
    <row r="6322" spans="1:14">
      <c r="A6322">
        <f t="shared" si="1286"/>
        <v>0</v>
      </c>
      <c r="B6322">
        <f t="shared" si="1287"/>
        <v>0</v>
      </c>
      <c r="C6322">
        <f t="shared" si="1288"/>
        <v>0</v>
      </c>
      <c r="D6322">
        <f t="shared" si="1289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90"/>
        <v>0</v>
      </c>
      <c r="G6322">
        <f t="shared" si="1291"/>
        <v>0</v>
      </c>
      <c r="H6322">
        <f t="shared" si="1292"/>
        <v>0</v>
      </c>
      <c r="I6322">
        <f t="shared" si="1293"/>
        <v>0</v>
      </c>
      <c r="J6322">
        <f t="shared" si="1294"/>
        <v>0</v>
      </c>
      <c r="K6322" s="4" t="e">
        <f t="shared" si="1282"/>
        <v>#N/A</v>
      </c>
      <c r="L6322" t="e">
        <f t="shared" si="1283"/>
        <v>#N/A</v>
      </c>
      <c r="M6322" s="4" t="e">
        <f t="shared" si="1284"/>
        <v>#N/A</v>
      </c>
      <c r="N6322" s="4" t="e">
        <f t="shared" si="1285"/>
        <v>#N/A</v>
      </c>
    </row>
    <row r="6323" spans="1:14">
      <c r="A6323">
        <f t="shared" si="1286"/>
        <v>0</v>
      </c>
      <c r="B6323">
        <f t="shared" si="1287"/>
        <v>0</v>
      </c>
      <c r="C6323">
        <f t="shared" si="1288"/>
        <v>0</v>
      </c>
      <c r="D6323">
        <f t="shared" si="1289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90"/>
        <v>0</v>
      </c>
      <c r="G6323">
        <f t="shared" si="1291"/>
        <v>0</v>
      </c>
      <c r="H6323">
        <f t="shared" si="1292"/>
        <v>0</v>
      </c>
      <c r="I6323">
        <f t="shared" si="1293"/>
        <v>0</v>
      </c>
      <c r="J6323">
        <f t="shared" si="1294"/>
        <v>0</v>
      </c>
      <c r="K6323" s="4" t="e">
        <f t="shared" si="1282"/>
        <v>#N/A</v>
      </c>
      <c r="L6323" t="e">
        <f t="shared" si="1283"/>
        <v>#N/A</v>
      </c>
      <c r="M6323" s="4" t="e">
        <f t="shared" si="1284"/>
        <v>#N/A</v>
      </c>
      <c r="N6323" s="4" t="e">
        <f t="shared" si="1285"/>
        <v>#N/A</v>
      </c>
    </row>
    <row r="6324" spans="1:14">
      <c r="A6324">
        <f t="shared" si="1286"/>
        <v>0</v>
      </c>
      <c r="B6324">
        <f t="shared" si="1287"/>
        <v>0</v>
      </c>
      <c r="C6324">
        <f t="shared" si="1288"/>
        <v>0</v>
      </c>
      <c r="D6324">
        <f t="shared" si="1289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90"/>
        <v>0</v>
      </c>
      <c r="G6324">
        <f t="shared" si="1291"/>
        <v>0</v>
      </c>
      <c r="H6324">
        <f t="shared" si="1292"/>
        <v>0</v>
      </c>
      <c r="I6324">
        <f t="shared" si="1293"/>
        <v>0</v>
      </c>
      <c r="J6324">
        <f t="shared" si="1294"/>
        <v>0</v>
      </c>
      <c r="K6324" s="4" t="e">
        <f t="shared" si="1282"/>
        <v>#N/A</v>
      </c>
      <c r="L6324" t="e">
        <f t="shared" si="1283"/>
        <v>#N/A</v>
      </c>
      <c r="M6324" s="4" t="e">
        <f t="shared" si="1284"/>
        <v>#N/A</v>
      </c>
      <c r="N6324" s="4" t="e">
        <f t="shared" si="1285"/>
        <v>#N/A</v>
      </c>
    </row>
    <row r="6325" spans="1:14">
      <c r="A6325">
        <f t="shared" si="1286"/>
        <v>0</v>
      </c>
      <c r="B6325">
        <f t="shared" si="1287"/>
        <v>0</v>
      </c>
      <c r="C6325">
        <f t="shared" si="1288"/>
        <v>0</v>
      </c>
      <c r="D6325">
        <f t="shared" si="1289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90"/>
        <v>0</v>
      </c>
      <c r="G6325">
        <f t="shared" si="1291"/>
        <v>0</v>
      </c>
      <c r="H6325">
        <f t="shared" si="1292"/>
        <v>0</v>
      </c>
      <c r="I6325">
        <f t="shared" si="1293"/>
        <v>0</v>
      </c>
      <c r="J6325">
        <f t="shared" si="1294"/>
        <v>0</v>
      </c>
      <c r="K6325" s="4" t="e">
        <f t="shared" si="1282"/>
        <v>#N/A</v>
      </c>
      <c r="L6325" t="e">
        <f t="shared" si="1283"/>
        <v>#N/A</v>
      </c>
      <c r="M6325" s="4" t="e">
        <f t="shared" si="1284"/>
        <v>#N/A</v>
      </c>
      <c r="N6325" s="4" t="e">
        <f t="shared" si="1285"/>
        <v>#N/A</v>
      </c>
    </row>
    <row r="6326" spans="1:14">
      <c r="A6326">
        <f t="shared" si="1286"/>
        <v>0</v>
      </c>
      <c r="B6326">
        <f t="shared" si="1287"/>
        <v>0</v>
      </c>
      <c r="C6326">
        <f t="shared" si="1288"/>
        <v>0</v>
      </c>
      <c r="D6326">
        <f t="shared" si="1289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90"/>
        <v>0</v>
      </c>
      <c r="G6326">
        <f t="shared" si="1291"/>
        <v>0</v>
      </c>
      <c r="H6326">
        <f t="shared" si="1292"/>
        <v>0</v>
      </c>
      <c r="I6326">
        <f t="shared" si="1293"/>
        <v>0</v>
      </c>
      <c r="J6326">
        <f t="shared" si="1294"/>
        <v>0</v>
      </c>
      <c r="K6326" s="4" t="e">
        <f t="shared" si="1282"/>
        <v>#N/A</v>
      </c>
      <c r="L6326" t="e">
        <f t="shared" si="1283"/>
        <v>#N/A</v>
      </c>
      <c r="M6326" s="4" t="e">
        <f t="shared" si="1284"/>
        <v>#N/A</v>
      </c>
      <c r="N6326" s="4" t="e">
        <f t="shared" si="1285"/>
        <v>#N/A</v>
      </c>
    </row>
    <row r="6327" spans="1:14">
      <c r="A6327">
        <f t="shared" si="1286"/>
        <v>0</v>
      </c>
      <c r="B6327">
        <f t="shared" si="1287"/>
        <v>0</v>
      </c>
      <c r="C6327">
        <f t="shared" si="1288"/>
        <v>0</v>
      </c>
      <c r="D6327">
        <f t="shared" si="1289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90"/>
        <v>0</v>
      </c>
      <c r="G6327">
        <f t="shared" si="1291"/>
        <v>0</v>
      </c>
      <c r="H6327">
        <f t="shared" si="1292"/>
        <v>0</v>
      </c>
      <c r="I6327">
        <f t="shared" si="1293"/>
        <v>0</v>
      </c>
      <c r="J6327">
        <f t="shared" si="1294"/>
        <v>0</v>
      </c>
      <c r="K6327" s="4" t="e">
        <f t="shared" si="1282"/>
        <v>#N/A</v>
      </c>
      <c r="L6327" t="e">
        <f t="shared" si="1283"/>
        <v>#N/A</v>
      </c>
      <c r="M6327" s="4" t="e">
        <f t="shared" si="1284"/>
        <v>#N/A</v>
      </c>
      <c r="N6327" s="4" t="e">
        <f t="shared" si="1285"/>
        <v>#N/A</v>
      </c>
    </row>
    <row r="6328" spans="1:14">
      <c r="A6328">
        <f t="shared" si="1286"/>
        <v>0</v>
      </c>
      <c r="B6328">
        <f t="shared" si="1287"/>
        <v>0</v>
      </c>
      <c r="C6328">
        <f t="shared" si="1288"/>
        <v>0</v>
      </c>
      <c r="D6328">
        <f t="shared" si="1289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90"/>
        <v>0</v>
      </c>
      <c r="G6328">
        <f t="shared" si="1291"/>
        <v>0</v>
      </c>
      <c r="H6328">
        <f t="shared" si="1292"/>
        <v>0</v>
      </c>
      <c r="I6328">
        <f t="shared" si="1293"/>
        <v>0</v>
      </c>
      <c r="J6328">
        <f t="shared" si="1294"/>
        <v>0</v>
      </c>
      <c r="K6328" s="4" t="e">
        <f t="shared" si="1282"/>
        <v>#N/A</v>
      </c>
      <c r="L6328" t="e">
        <f t="shared" si="1283"/>
        <v>#N/A</v>
      </c>
      <c r="M6328" s="4" t="e">
        <f t="shared" si="1284"/>
        <v>#N/A</v>
      </c>
      <c r="N6328" s="4" t="e">
        <f t="shared" si="1285"/>
        <v>#N/A</v>
      </c>
    </row>
    <row r="6329" spans="1:14">
      <c r="A6329">
        <f t="shared" si="1286"/>
        <v>0</v>
      </c>
      <c r="B6329">
        <f t="shared" si="1287"/>
        <v>0</v>
      </c>
      <c r="C6329">
        <f t="shared" si="1288"/>
        <v>0</v>
      </c>
      <c r="D6329">
        <f t="shared" si="1289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90"/>
        <v>0</v>
      </c>
      <c r="G6329">
        <f t="shared" si="1291"/>
        <v>0</v>
      </c>
      <c r="H6329">
        <f t="shared" si="1292"/>
        <v>0</v>
      </c>
      <c r="I6329">
        <f t="shared" si="1293"/>
        <v>0</v>
      </c>
      <c r="J6329">
        <f t="shared" si="1294"/>
        <v>0</v>
      </c>
      <c r="K6329" s="4" t="e">
        <f t="shared" si="1282"/>
        <v>#N/A</v>
      </c>
      <c r="L6329" t="e">
        <f t="shared" si="1283"/>
        <v>#N/A</v>
      </c>
      <c r="M6329" s="4" t="e">
        <f t="shared" si="1284"/>
        <v>#N/A</v>
      </c>
      <c r="N6329" s="4" t="e">
        <f t="shared" si="1285"/>
        <v>#N/A</v>
      </c>
    </row>
    <row r="6330" spans="1:14">
      <c r="A6330">
        <f t="shared" si="1286"/>
        <v>0</v>
      </c>
      <c r="B6330">
        <f t="shared" si="1287"/>
        <v>0</v>
      </c>
      <c r="C6330">
        <f t="shared" si="1288"/>
        <v>0</v>
      </c>
      <c r="D6330">
        <f t="shared" si="1289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90"/>
        <v>0</v>
      </c>
      <c r="G6330">
        <f t="shared" si="1291"/>
        <v>0</v>
      </c>
      <c r="H6330">
        <f t="shared" si="1292"/>
        <v>0</v>
      </c>
      <c r="I6330">
        <f t="shared" si="1293"/>
        <v>0</v>
      </c>
      <c r="J6330">
        <f t="shared" si="1294"/>
        <v>0</v>
      </c>
      <c r="K6330" s="4" t="e">
        <f t="shared" si="1282"/>
        <v>#N/A</v>
      </c>
      <c r="L6330" t="e">
        <f t="shared" si="1283"/>
        <v>#N/A</v>
      </c>
      <c r="M6330" s="4" t="e">
        <f t="shared" si="1284"/>
        <v>#N/A</v>
      </c>
      <c r="N6330" s="4" t="e">
        <f t="shared" si="1285"/>
        <v>#N/A</v>
      </c>
    </row>
    <row r="6331" spans="1:14">
      <c r="A6331">
        <f t="shared" si="1286"/>
        <v>0</v>
      </c>
      <c r="B6331">
        <f t="shared" si="1287"/>
        <v>0</v>
      </c>
      <c r="C6331">
        <f t="shared" si="1288"/>
        <v>0</v>
      </c>
      <c r="D6331">
        <f t="shared" si="1289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90"/>
        <v>0</v>
      </c>
      <c r="G6331">
        <f t="shared" si="1291"/>
        <v>0</v>
      </c>
      <c r="H6331">
        <f t="shared" si="1292"/>
        <v>0</v>
      </c>
      <c r="I6331">
        <f t="shared" si="1293"/>
        <v>0</v>
      </c>
      <c r="J6331">
        <f t="shared" si="1294"/>
        <v>0</v>
      </c>
      <c r="K6331" s="4" t="e">
        <f t="shared" si="1282"/>
        <v>#N/A</v>
      </c>
      <c r="L6331" t="e">
        <f t="shared" si="1283"/>
        <v>#N/A</v>
      </c>
      <c r="M6331" s="4" t="e">
        <f t="shared" si="1284"/>
        <v>#N/A</v>
      </c>
      <c r="N6331" s="4" t="e">
        <f t="shared" si="1285"/>
        <v>#N/A</v>
      </c>
    </row>
    <row r="6332" spans="1:14">
      <c r="A6332">
        <f t="shared" si="1286"/>
        <v>0</v>
      </c>
      <c r="B6332">
        <f t="shared" si="1287"/>
        <v>0</v>
      </c>
      <c r="C6332">
        <f t="shared" si="1288"/>
        <v>0</v>
      </c>
      <c r="D6332">
        <f t="shared" si="1289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90"/>
        <v>0</v>
      </c>
      <c r="G6332">
        <f t="shared" si="1291"/>
        <v>0</v>
      </c>
      <c r="H6332">
        <f t="shared" si="1292"/>
        <v>0</v>
      </c>
      <c r="I6332">
        <f t="shared" si="1293"/>
        <v>0</v>
      </c>
      <c r="J6332">
        <f t="shared" si="1294"/>
        <v>0</v>
      </c>
      <c r="K6332" s="4" t="e">
        <f t="shared" si="1282"/>
        <v>#N/A</v>
      </c>
      <c r="L6332" t="e">
        <f t="shared" si="1283"/>
        <v>#N/A</v>
      </c>
      <c r="M6332" s="4" t="e">
        <f t="shared" si="1284"/>
        <v>#N/A</v>
      </c>
      <c r="N6332" s="4" t="e">
        <f t="shared" si="1285"/>
        <v>#N/A</v>
      </c>
    </row>
    <row r="6333" spans="1:14">
      <c r="A6333">
        <f t="shared" si="1286"/>
        <v>0</v>
      </c>
      <c r="B6333">
        <f t="shared" si="1287"/>
        <v>0</v>
      </c>
      <c r="C6333">
        <f t="shared" si="1288"/>
        <v>0</v>
      </c>
      <c r="D6333">
        <f t="shared" si="1289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90"/>
        <v>0</v>
      </c>
      <c r="G6333">
        <f t="shared" si="1291"/>
        <v>0</v>
      </c>
      <c r="H6333">
        <f t="shared" si="1292"/>
        <v>0</v>
      </c>
      <c r="I6333">
        <f t="shared" si="1293"/>
        <v>0</v>
      </c>
      <c r="J6333">
        <f t="shared" si="1294"/>
        <v>0</v>
      </c>
      <c r="K6333" s="4" t="e">
        <f t="shared" ref="K6333:K6396" si="1295">IF(LEFT(B6333,3)="DBM",0,VLOOKUP(E6333,tabela,2,FALSE))</f>
        <v>#N/A</v>
      </c>
      <c r="L6333" t="e">
        <f t="shared" ref="L6333:L6396" si="1296">VLOOKUP(E6333,tabela,3,FALSE)</f>
        <v>#N/A</v>
      </c>
      <c r="M6333" s="4" t="e">
        <f t="shared" ref="M6333:M6396" si="1297">IF(E6333="Dynamic Click",J6333*K6333,K6333*$I6333/1000)</f>
        <v>#N/A</v>
      </c>
      <c r="N6333" s="4" t="e">
        <f t="shared" ref="N6333:N6396" si="1298">IF(E6333="Dynamic Click",J6333*L6333,L6333*$I6333/1000)</f>
        <v>#N/A</v>
      </c>
    </row>
    <row r="6334" spans="1:14">
      <c r="A6334">
        <f t="shared" si="1286"/>
        <v>0</v>
      </c>
      <c r="B6334">
        <f t="shared" si="1287"/>
        <v>0</v>
      </c>
      <c r="C6334">
        <f t="shared" si="1288"/>
        <v>0</v>
      </c>
      <c r="D6334">
        <f t="shared" si="1289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90"/>
        <v>0</v>
      </c>
      <c r="G6334">
        <f t="shared" si="1291"/>
        <v>0</v>
      </c>
      <c r="H6334">
        <f t="shared" si="1292"/>
        <v>0</v>
      </c>
      <c r="I6334">
        <f t="shared" si="1293"/>
        <v>0</v>
      </c>
      <c r="J6334">
        <f t="shared" si="1294"/>
        <v>0</v>
      </c>
      <c r="K6334" s="4" t="e">
        <f t="shared" si="1295"/>
        <v>#N/A</v>
      </c>
      <c r="L6334" t="e">
        <f t="shared" si="1296"/>
        <v>#N/A</v>
      </c>
      <c r="M6334" s="4" t="e">
        <f t="shared" si="1297"/>
        <v>#N/A</v>
      </c>
      <c r="N6334" s="4" t="e">
        <f t="shared" si="1298"/>
        <v>#N/A</v>
      </c>
    </row>
    <row r="6335" spans="1:14">
      <c r="A6335">
        <f t="shared" si="1286"/>
        <v>0</v>
      </c>
      <c r="B6335">
        <f t="shared" si="1287"/>
        <v>0</v>
      </c>
      <c r="C6335">
        <f t="shared" si="1288"/>
        <v>0</v>
      </c>
      <c r="D6335">
        <f t="shared" si="1289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90"/>
        <v>0</v>
      </c>
      <c r="G6335">
        <f t="shared" si="1291"/>
        <v>0</v>
      </c>
      <c r="H6335">
        <f t="shared" si="1292"/>
        <v>0</v>
      </c>
      <c r="I6335">
        <f t="shared" si="1293"/>
        <v>0</v>
      </c>
      <c r="J6335">
        <f t="shared" si="1294"/>
        <v>0</v>
      </c>
      <c r="K6335" s="4" t="e">
        <f t="shared" si="1295"/>
        <v>#N/A</v>
      </c>
      <c r="L6335" t="e">
        <f t="shared" si="1296"/>
        <v>#N/A</v>
      </c>
      <c r="M6335" s="4" t="e">
        <f t="shared" si="1297"/>
        <v>#N/A</v>
      </c>
      <c r="N6335" s="4" t="e">
        <f t="shared" si="1298"/>
        <v>#N/A</v>
      </c>
    </row>
    <row r="6336" spans="1:14">
      <c r="A6336">
        <f t="shared" si="1286"/>
        <v>0</v>
      </c>
      <c r="B6336">
        <f t="shared" si="1287"/>
        <v>0</v>
      </c>
      <c r="C6336">
        <f t="shared" si="1288"/>
        <v>0</v>
      </c>
      <c r="D6336">
        <f t="shared" si="1289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90"/>
        <v>0</v>
      </c>
      <c r="G6336">
        <f t="shared" si="1291"/>
        <v>0</v>
      </c>
      <c r="H6336">
        <f t="shared" si="1292"/>
        <v>0</v>
      </c>
      <c r="I6336">
        <f t="shared" si="1293"/>
        <v>0</v>
      </c>
      <c r="J6336">
        <f t="shared" si="1294"/>
        <v>0</v>
      </c>
      <c r="K6336" s="4" t="e">
        <f t="shared" si="1295"/>
        <v>#N/A</v>
      </c>
      <c r="L6336" t="e">
        <f t="shared" si="1296"/>
        <v>#N/A</v>
      </c>
      <c r="M6336" s="4" t="e">
        <f t="shared" si="1297"/>
        <v>#N/A</v>
      </c>
      <c r="N6336" s="4" t="e">
        <f t="shared" si="1298"/>
        <v>#N/A</v>
      </c>
    </row>
    <row r="6337" spans="1:14">
      <c r="A6337">
        <f t="shared" si="1286"/>
        <v>0</v>
      </c>
      <c r="B6337">
        <f t="shared" si="1287"/>
        <v>0</v>
      </c>
      <c r="C6337">
        <f t="shared" si="1288"/>
        <v>0</v>
      </c>
      <c r="D6337">
        <f t="shared" si="1289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90"/>
        <v>0</v>
      </c>
      <c r="G6337">
        <f t="shared" si="1291"/>
        <v>0</v>
      </c>
      <c r="H6337">
        <f t="shared" si="1292"/>
        <v>0</v>
      </c>
      <c r="I6337">
        <f t="shared" si="1293"/>
        <v>0</v>
      </c>
      <c r="J6337">
        <f t="shared" si="1294"/>
        <v>0</v>
      </c>
      <c r="K6337" s="4" t="e">
        <f t="shared" si="1295"/>
        <v>#N/A</v>
      </c>
      <c r="L6337" t="e">
        <f t="shared" si="1296"/>
        <v>#N/A</v>
      </c>
      <c r="M6337" s="4" t="e">
        <f t="shared" si="1297"/>
        <v>#N/A</v>
      </c>
      <c r="N6337" s="4" t="e">
        <f t="shared" si="1298"/>
        <v>#N/A</v>
      </c>
    </row>
    <row r="6338" spans="1:14">
      <c r="A6338">
        <f t="shared" ref="A6338:A6401" si="1299">bd_campaign</f>
        <v>0</v>
      </c>
      <c r="B6338">
        <f t="shared" ref="B6338:B6401" si="1300">bd_site</f>
        <v>0</v>
      </c>
      <c r="C6338">
        <f t="shared" ref="C6338:C6401" si="1301">bd_placement</f>
        <v>0</v>
      </c>
      <c r="D6338">
        <f t="shared" ref="D6338:D6401" si="1302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3">bd_ad</f>
        <v>0</v>
      </c>
      <c r="G6338">
        <f t="shared" ref="G6338:G6401" si="1304">bd_adid</f>
        <v>0</v>
      </c>
      <c r="H6338">
        <f t="shared" ref="H6338:H6401" si="1305">bd_creativetype</f>
        <v>0</v>
      </c>
      <c r="I6338">
        <f t="shared" ref="I6338:I6401" si="1306">bd_impression</f>
        <v>0</v>
      </c>
      <c r="J6338">
        <f t="shared" ref="J6338:J6401" si="1307">bd_clicks</f>
        <v>0</v>
      </c>
      <c r="K6338" s="4" t="e">
        <f t="shared" si="1295"/>
        <v>#N/A</v>
      </c>
      <c r="L6338" t="e">
        <f t="shared" si="1296"/>
        <v>#N/A</v>
      </c>
      <c r="M6338" s="4" t="e">
        <f t="shared" si="1297"/>
        <v>#N/A</v>
      </c>
      <c r="N6338" s="4" t="e">
        <f t="shared" si="1298"/>
        <v>#N/A</v>
      </c>
    </row>
    <row r="6339" spans="1:14">
      <c r="A6339">
        <f t="shared" si="1299"/>
        <v>0</v>
      </c>
      <c r="B6339">
        <f t="shared" si="1300"/>
        <v>0</v>
      </c>
      <c r="C6339">
        <f t="shared" si="1301"/>
        <v>0</v>
      </c>
      <c r="D6339">
        <f t="shared" si="1302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3"/>
        <v>0</v>
      </c>
      <c r="G6339">
        <f t="shared" si="1304"/>
        <v>0</v>
      </c>
      <c r="H6339">
        <f t="shared" si="1305"/>
        <v>0</v>
      </c>
      <c r="I6339">
        <f t="shared" si="1306"/>
        <v>0</v>
      </c>
      <c r="J6339">
        <f t="shared" si="1307"/>
        <v>0</v>
      </c>
      <c r="K6339" s="4" t="e">
        <f t="shared" si="1295"/>
        <v>#N/A</v>
      </c>
      <c r="L6339" t="e">
        <f t="shared" si="1296"/>
        <v>#N/A</v>
      </c>
      <c r="M6339" s="4" t="e">
        <f t="shared" si="1297"/>
        <v>#N/A</v>
      </c>
      <c r="N6339" s="4" t="e">
        <f t="shared" si="1298"/>
        <v>#N/A</v>
      </c>
    </row>
    <row r="6340" spans="1:14">
      <c r="A6340">
        <f t="shared" si="1299"/>
        <v>0</v>
      </c>
      <c r="B6340">
        <f t="shared" si="1300"/>
        <v>0</v>
      </c>
      <c r="C6340">
        <f t="shared" si="1301"/>
        <v>0</v>
      </c>
      <c r="D6340">
        <f t="shared" si="1302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3"/>
        <v>0</v>
      </c>
      <c r="G6340">
        <f t="shared" si="1304"/>
        <v>0</v>
      </c>
      <c r="H6340">
        <f t="shared" si="1305"/>
        <v>0</v>
      </c>
      <c r="I6340">
        <f t="shared" si="1306"/>
        <v>0</v>
      </c>
      <c r="J6340">
        <f t="shared" si="1307"/>
        <v>0</v>
      </c>
      <c r="K6340" s="4" t="e">
        <f t="shared" si="1295"/>
        <v>#N/A</v>
      </c>
      <c r="L6340" t="e">
        <f t="shared" si="1296"/>
        <v>#N/A</v>
      </c>
      <c r="M6340" s="4" t="e">
        <f t="shared" si="1297"/>
        <v>#N/A</v>
      </c>
      <c r="N6340" s="4" t="e">
        <f t="shared" si="1298"/>
        <v>#N/A</v>
      </c>
    </row>
    <row r="6341" spans="1:14">
      <c r="A6341">
        <f t="shared" si="1299"/>
        <v>0</v>
      </c>
      <c r="B6341">
        <f t="shared" si="1300"/>
        <v>0</v>
      </c>
      <c r="C6341">
        <f t="shared" si="1301"/>
        <v>0</v>
      </c>
      <c r="D6341">
        <f t="shared" si="1302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3"/>
        <v>0</v>
      </c>
      <c r="G6341">
        <f t="shared" si="1304"/>
        <v>0</v>
      </c>
      <c r="H6341">
        <f t="shared" si="1305"/>
        <v>0</v>
      </c>
      <c r="I6341">
        <f t="shared" si="1306"/>
        <v>0</v>
      </c>
      <c r="J6341">
        <f t="shared" si="1307"/>
        <v>0</v>
      </c>
      <c r="K6341" s="4" t="e">
        <f t="shared" si="1295"/>
        <v>#N/A</v>
      </c>
      <c r="L6341" t="e">
        <f t="shared" si="1296"/>
        <v>#N/A</v>
      </c>
      <c r="M6341" s="4" t="e">
        <f t="shared" si="1297"/>
        <v>#N/A</v>
      </c>
      <c r="N6341" s="4" t="e">
        <f t="shared" si="1298"/>
        <v>#N/A</v>
      </c>
    </row>
    <row r="6342" spans="1:14">
      <c r="A6342">
        <f t="shared" si="1299"/>
        <v>0</v>
      </c>
      <c r="B6342">
        <f t="shared" si="1300"/>
        <v>0</v>
      </c>
      <c r="C6342">
        <f t="shared" si="1301"/>
        <v>0</v>
      </c>
      <c r="D6342">
        <f t="shared" si="1302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3"/>
        <v>0</v>
      </c>
      <c r="G6342">
        <f t="shared" si="1304"/>
        <v>0</v>
      </c>
      <c r="H6342">
        <f t="shared" si="1305"/>
        <v>0</v>
      </c>
      <c r="I6342">
        <f t="shared" si="1306"/>
        <v>0</v>
      </c>
      <c r="J6342">
        <f t="shared" si="1307"/>
        <v>0</v>
      </c>
      <c r="K6342" s="4" t="e">
        <f t="shared" si="1295"/>
        <v>#N/A</v>
      </c>
      <c r="L6342" t="e">
        <f t="shared" si="1296"/>
        <v>#N/A</v>
      </c>
      <c r="M6342" s="4" t="e">
        <f t="shared" si="1297"/>
        <v>#N/A</v>
      </c>
      <c r="N6342" s="4" t="e">
        <f t="shared" si="1298"/>
        <v>#N/A</v>
      </c>
    </row>
    <row r="6343" spans="1:14">
      <c r="A6343">
        <f t="shared" si="1299"/>
        <v>0</v>
      </c>
      <c r="B6343">
        <f t="shared" si="1300"/>
        <v>0</v>
      </c>
      <c r="C6343">
        <f t="shared" si="1301"/>
        <v>0</v>
      </c>
      <c r="D6343">
        <f t="shared" si="1302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3"/>
        <v>0</v>
      </c>
      <c r="G6343">
        <f t="shared" si="1304"/>
        <v>0</v>
      </c>
      <c r="H6343">
        <f t="shared" si="1305"/>
        <v>0</v>
      </c>
      <c r="I6343">
        <f t="shared" si="1306"/>
        <v>0</v>
      </c>
      <c r="J6343">
        <f t="shared" si="1307"/>
        <v>0</v>
      </c>
      <c r="K6343" s="4" t="e">
        <f t="shared" si="1295"/>
        <v>#N/A</v>
      </c>
      <c r="L6343" t="e">
        <f t="shared" si="1296"/>
        <v>#N/A</v>
      </c>
      <c r="M6343" s="4" t="e">
        <f t="shared" si="1297"/>
        <v>#N/A</v>
      </c>
      <c r="N6343" s="4" t="e">
        <f t="shared" si="1298"/>
        <v>#N/A</v>
      </c>
    </row>
    <row r="6344" spans="1:14">
      <c r="A6344">
        <f t="shared" si="1299"/>
        <v>0</v>
      </c>
      <c r="B6344">
        <f t="shared" si="1300"/>
        <v>0</v>
      </c>
      <c r="C6344">
        <f t="shared" si="1301"/>
        <v>0</v>
      </c>
      <c r="D6344">
        <f t="shared" si="1302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3"/>
        <v>0</v>
      </c>
      <c r="G6344">
        <f t="shared" si="1304"/>
        <v>0</v>
      </c>
      <c r="H6344">
        <f t="shared" si="1305"/>
        <v>0</v>
      </c>
      <c r="I6344">
        <f t="shared" si="1306"/>
        <v>0</v>
      </c>
      <c r="J6344">
        <f t="shared" si="1307"/>
        <v>0</v>
      </c>
      <c r="K6344" s="4" t="e">
        <f t="shared" si="1295"/>
        <v>#N/A</v>
      </c>
      <c r="L6344" t="e">
        <f t="shared" si="1296"/>
        <v>#N/A</v>
      </c>
      <c r="M6344" s="4" t="e">
        <f t="shared" si="1297"/>
        <v>#N/A</v>
      </c>
      <c r="N6344" s="4" t="e">
        <f t="shared" si="1298"/>
        <v>#N/A</v>
      </c>
    </row>
    <row r="6345" spans="1:14">
      <c r="A6345">
        <f t="shared" si="1299"/>
        <v>0</v>
      </c>
      <c r="B6345">
        <f t="shared" si="1300"/>
        <v>0</v>
      </c>
      <c r="C6345">
        <f t="shared" si="1301"/>
        <v>0</v>
      </c>
      <c r="D6345">
        <f t="shared" si="1302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3"/>
        <v>0</v>
      </c>
      <c r="G6345">
        <f t="shared" si="1304"/>
        <v>0</v>
      </c>
      <c r="H6345">
        <f t="shared" si="1305"/>
        <v>0</v>
      </c>
      <c r="I6345">
        <f t="shared" si="1306"/>
        <v>0</v>
      </c>
      <c r="J6345">
        <f t="shared" si="1307"/>
        <v>0</v>
      </c>
      <c r="K6345" s="4" t="e">
        <f t="shared" si="1295"/>
        <v>#N/A</v>
      </c>
      <c r="L6345" t="e">
        <f t="shared" si="1296"/>
        <v>#N/A</v>
      </c>
      <c r="M6345" s="4" t="e">
        <f t="shared" si="1297"/>
        <v>#N/A</v>
      </c>
      <c r="N6345" s="4" t="e">
        <f t="shared" si="1298"/>
        <v>#N/A</v>
      </c>
    </row>
    <row r="6346" spans="1:14">
      <c r="A6346">
        <f t="shared" si="1299"/>
        <v>0</v>
      </c>
      <c r="B6346">
        <f t="shared" si="1300"/>
        <v>0</v>
      </c>
      <c r="C6346">
        <f t="shared" si="1301"/>
        <v>0</v>
      </c>
      <c r="D6346">
        <f t="shared" si="1302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3"/>
        <v>0</v>
      </c>
      <c r="G6346">
        <f t="shared" si="1304"/>
        <v>0</v>
      </c>
      <c r="H6346">
        <f t="shared" si="1305"/>
        <v>0</v>
      </c>
      <c r="I6346">
        <f t="shared" si="1306"/>
        <v>0</v>
      </c>
      <c r="J6346">
        <f t="shared" si="1307"/>
        <v>0</v>
      </c>
      <c r="K6346" s="4" t="e">
        <f t="shared" si="1295"/>
        <v>#N/A</v>
      </c>
      <c r="L6346" t="e">
        <f t="shared" si="1296"/>
        <v>#N/A</v>
      </c>
      <c r="M6346" s="4" t="e">
        <f t="shared" si="1297"/>
        <v>#N/A</v>
      </c>
      <c r="N6346" s="4" t="e">
        <f t="shared" si="1298"/>
        <v>#N/A</v>
      </c>
    </row>
    <row r="6347" spans="1:14">
      <c r="A6347">
        <f t="shared" si="1299"/>
        <v>0</v>
      </c>
      <c r="B6347">
        <f t="shared" si="1300"/>
        <v>0</v>
      </c>
      <c r="C6347">
        <f t="shared" si="1301"/>
        <v>0</v>
      </c>
      <c r="D6347">
        <f t="shared" si="1302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3"/>
        <v>0</v>
      </c>
      <c r="G6347">
        <f t="shared" si="1304"/>
        <v>0</v>
      </c>
      <c r="H6347">
        <f t="shared" si="1305"/>
        <v>0</v>
      </c>
      <c r="I6347">
        <f t="shared" si="1306"/>
        <v>0</v>
      </c>
      <c r="J6347">
        <f t="shared" si="1307"/>
        <v>0</v>
      </c>
      <c r="K6347" s="4" t="e">
        <f t="shared" si="1295"/>
        <v>#N/A</v>
      </c>
      <c r="L6347" t="e">
        <f t="shared" si="1296"/>
        <v>#N/A</v>
      </c>
      <c r="M6347" s="4" t="e">
        <f t="shared" si="1297"/>
        <v>#N/A</v>
      </c>
      <c r="N6347" s="4" t="e">
        <f t="shared" si="1298"/>
        <v>#N/A</v>
      </c>
    </row>
    <row r="6348" spans="1:14">
      <c r="A6348">
        <f t="shared" si="1299"/>
        <v>0</v>
      </c>
      <c r="B6348">
        <f t="shared" si="1300"/>
        <v>0</v>
      </c>
      <c r="C6348">
        <f t="shared" si="1301"/>
        <v>0</v>
      </c>
      <c r="D6348">
        <f t="shared" si="1302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3"/>
        <v>0</v>
      </c>
      <c r="G6348">
        <f t="shared" si="1304"/>
        <v>0</v>
      </c>
      <c r="H6348">
        <f t="shared" si="1305"/>
        <v>0</v>
      </c>
      <c r="I6348">
        <f t="shared" si="1306"/>
        <v>0</v>
      </c>
      <c r="J6348">
        <f t="shared" si="1307"/>
        <v>0</v>
      </c>
      <c r="K6348" s="4" t="e">
        <f t="shared" si="1295"/>
        <v>#N/A</v>
      </c>
      <c r="L6348" t="e">
        <f t="shared" si="1296"/>
        <v>#N/A</v>
      </c>
      <c r="M6348" s="4" t="e">
        <f t="shared" si="1297"/>
        <v>#N/A</v>
      </c>
      <c r="N6348" s="4" t="e">
        <f t="shared" si="1298"/>
        <v>#N/A</v>
      </c>
    </row>
    <row r="6349" spans="1:14">
      <c r="A6349">
        <f t="shared" si="1299"/>
        <v>0</v>
      </c>
      <c r="B6349">
        <f t="shared" si="1300"/>
        <v>0</v>
      </c>
      <c r="C6349">
        <f t="shared" si="1301"/>
        <v>0</v>
      </c>
      <c r="D6349">
        <f t="shared" si="1302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3"/>
        <v>0</v>
      </c>
      <c r="G6349">
        <f t="shared" si="1304"/>
        <v>0</v>
      </c>
      <c r="H6349">
        <f t="shared" si="1305"/>
        <v>0</v>
      </c>
      <c r="I6349">
        <f t="shared" si="1306"/>
        <v>0</v>
      </c>
      <c r="J6349">
        <f t="shared" si="1307"/>
        <v>0</v>
      </c>
      <c r="K6349" s="4" t="e">
        <f t="shared" si="1295"/>
        <v>#N/A</v>
      </c>
      <c r="L6349" t="e">
        <f t="shared" si="1296"/>
        <v>#N/A</v>
      </c>
      <c r="M6349" s="4" t="e">
        <f t="shared" si="1297"/>
        <v>#N/A</v>
      </c>
      <c r="N6349" s="4" t="e">
        <f t="shared" si="1298"/>
        <v>#N/A</v>
      </c>
    </row>
    <row r="6350" spans="1:14">
      <c r="A6350">
        <f t="shared" si="1299"/>
        <v>0</v>
      </c>
      <c r="B6350">
        <f t="shared" si="1300"/>
        <v>0</v>
      </c>
      <c r="C6350">
        <f t="shared" si="1301"/>
        <v>0</v>
      </c>
      <c r="D6350">
        <f t="shared" si="1302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3"/>
        <v>0</v>
      </c>
      <c r="G6350">
        <f t="shared" si="1304"/>
        <v>0</v>
      </c>
      <c r="H6350">
        <f t="shared" si="1305"/>
        <v>0</v>
      </c>
      <c r="I6350">
        <f t="shared" si="1306"/>
        <v>0</v>
      </c>
      <c r="J6350">
        <f t="shared" si="1307"/>
        <v>0</v>
      </c>
      <c r="K6350" s="4" t="e">
        <f t="shared" si="1295"/>
        <v>#N/A</v>
      </c>
      <c r="L6350" t="e">
        <f t="shared" si="1296"/>
        <v>#N/A</v>
      </c>
      <c r="M6350" s="4" t="e">
        <f t="shared" si="1297"/>
        <v>#N/A</v>
      </c>
      <c r="N6350" s="4" t="e">
        <f t="shared" si="1298"/>
        <v>#N/A</v>
      </c>
    </row>
    <row r="6351" spans="1:14">
      <c r="A6351">
        <f t="shared" si="1299"/>
        <v>0</v>
      </c>
      <c r="B6351">
        <f t="shared" si="1300"/>
        <v>0</v>
      </c>
      <c r="C6351">
        <f t="shared" si="1301"/>
        <v>0</v>
      </c>
      <c r="D6351">
        <f t="shared" si="1302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3"/>
        <v>0</v>
      </c>
      <c r="G6351">
        <f t="shared" si="1304"/>
        <v>0</v>
      </c>
      <c r="H6351">
        <f t="shared" si="1305"/>
        <v>0</v>
      </c>
      <c r="I6351">
        <f t="shared" si="1306"/>
        <v>0</v>
      </c>
      <c r="J6351">
        <f t="shared" si="1307"/>
        <v>0</v>
      </c>
      <c r="K6351" s="4" t="e">
        <f t="shared" si="1295"/>
        <v>#N/A</v>
      </c>
      <c r="L6351" t="e">
        <f t="shared" si="1296"/>
        <v>#N/A</v>
      </c>
      <c r="M6351" s="4" t="e">
        <f t="shared" si="1297"/>
        <v>#N/A</v>
      </c>
      <c r="N6351" s="4" t="e">
        <f t="shared" si="1298"/>
        <v>#N/A</v>
      </c>
    </row>
    <row r="6352" spans="1:14">
      <c r="A6352">
        <f t="shared" si="1299"/>
        <v>0</v>
      </c>
      <c r="B6352">
        <f t="shared" si="1300"/>
        <v>0</v>
      </c>
      <c r="C6352">
        <f t="shared" si="1301"/>
        <v>0</v>
      </c>
      <c r="D6352">
        <f t="shared" si="1302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3"/>
        <v>0</v>
      </c>
      <c r="G6352">
        <f t="shared" si="1304"/>
        <v>0</v>
      </c>
      <c r="H6352">
        <f t="shared" si="1305"/>
        <v>0</v>
      </c>
      <c r="I6352">
        <f t="shared" si="1306"/>
        <v>0</v>
      </c>
      <c r="J6352">
        <f t="shared" si="1307"/>
        <v>0</v>
      </c>
      <c r="K6352" s="4" t="e">
        <f t="shared" si="1295"/>
        <v>#N/A</v>
      </c>
      <c r="L6352" t="e">
        <f t="shared" si="1296"/>
        <v>#N/A</v>
      </c>
      <c r="M6352" s="4" t="e">
        <f t="shared" si="1297"/>
        <v>#N/A</v>
      </c>
      <c r="N6352" s="4" t="e">
        <f t="shared" si="1298"/>
        <v>#N/A</v>
      </c>
    </row>
    <row r="6353" spans="1:14">
      <c r="A6353">
        <f t="shared" si="1299"/>
        <v>0</v>
      </c>
      <c r="B6353">
        <f t="shared" si="1300"/>
        <v>0</v>
      </c>
      <c r="C6353">
        <f t="shared" si="1301"/>
        <v>0</v>
      </c>
      <c r="D6353">
        <f t="shared" si="1302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3"/>
        <v>0</v>
      </c>
      <c r="G6353">
        <f t="shared" si="1304"/>
        <v>0</v>
      </c>
      <c r="H6353">
        <f t="shared" si="1305"/>
        <v>0</v>
      </c>
      <c r="I6353">
        <f t="shared" si="1306"/>
        <v>0</v>
      </c>
      <c r="J6353">
        <f t="shared" si="1307"/>
        <v>0</v>
      </c>
      <c r="K6353" s="4" t="e">
        <f t="shared" si="1295"/>
        <v>#N/A</v>
      </c>
      <c r="L6353" t="e">
        <f t="shared" si="1296"/>
        <v>#N/A</v>
      </c>
      <c r="M6353" s="4" t="e">
        <f t="shared" si="1297"/>
        <v>#N/A</v>
      </c>
      <c r="N6353" s="4" t="e">
        <f t="shared" si="1298"/>
        <v>#N/A</v>
      </c>
    </row>
    <row r="6354" spans="1:14">
      <c r="A6354">
        <f t="shared" si="1299"/>
        <v>0</v>
      </c>
      <c r="B6354">
        <f t="shared" si="1300"/>
        <v>0</v>
      </c>
      <c r="C6354">
        <f t="shared" si="1301"/>
        <v>0</v>
      </c>
      <c r="D6354">
        <f t="shared" si="1302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3"/>
        <v>0</v>
      </c>
      <c r="G6354">
        <f t="shared" si="1304"/>
        <v>0</v>
      </c>
      <c r="H6354">
        <f t="shared" si="1305"/>
        <v>0</v>
      </c>
      <c r="I6354">
        <f t="shared" si="1306"/>
        <v>0</v>
      </c>
      <c r="J6354">
        <f t="shared" si="1307"/>
        <v>0</v>
      </c>
      <c r="K6354" s="4" t="e">
        <f t="shared" si="1295"/>
        <v>#N/A</v>
      </c>
      <c r="L6354" t="e">
        <f t="shared" si="1296"/>
        <v>#N/A</v>
      </c>
      <c r="M6354" s="4" t="e">
        <f t="shared" si="1297"/>
        <v>#N/A</v>
      </c>
      <c r="N6354" s="4" t="e">
        <f t="shared" si="1298"/>
        <v>#N/A</v>
      </c>
    </row>
    <row r="6355" spans="1:14">
      <c r="A6355">
        <f t="shared" si="1299"/>
        <v>0</v>
      </c>
      <c r="B6355">
        <f t="shared" si="1300"/>
        <v>0</v>
      </c>
      <c r="C6355">
        <f t="shared" si="1301"/>
        <v>0</v>
      </c>
      <c r="D6355">
        <f t="shared" si="1302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3"/>
        <v>0</v>
      </c>
      <c r="G6355">
        <f t="shared" si="1304"/>
        <v>0</v>
      </c>
      <c r="H6355">
        <f t="shared" si="1305"/>
        <v>0</v>
      </c>
      <c r="I6355">
        <f t="shared" si="1306"/>
        <v>0</v>
      </c>
      <c r="J6355">
        <f t="shared" si="1307"/>
        <v>0</v>
      </c>
      <c r="K6355" s="4" t="e">
        <f t="shared" si="1295"/>
        <v>#N/A</v>
      </c>
      <c r="L6355" t="e">
        <f t="shared" si="1296"/>
        <v>#N/A</v>
      </c>
      <c r="M6355" s="4" t="e">
        <f t="shared" si="1297"/>
        <v>#N/A</v>
      </c>
      <c r="N6355" s="4" t="e">
        <f t="shared" si="1298"/>
        <v>#N/A</v>
      </c>
    </row>
    <row r="6356" spans="1:14">
      <c r="A6356">
        <f t="shared" si="1299"/>
        <v>0</v>
      </c>
      <c r="B6356">
        <f t="shared" si="1300"/>
        <v>0</v>
      </c>
      <c r="C6356">
        <f t="shared" si="1301"/>
        <v>0</v>
      </c>
      <c r="D6356">
        <f t="shared" si="1302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3"/>
        <v>0</v>
      </c>
      <c r="G6356">
        <f t="shared" si="1304"/>
        <v>0</v>
      </c>
      <c r="H6356">
        <f t="shared" si="1305"/>
        <v>0</v>
      </c>
      <c r="I6356">
        <f t="shared" si="1306"/>
        <v>0</v>
      </c>
      <c r="J6356">
        <f t="shared" si="1307"/>
        <v>0</v>
      </c>
      <c r="K6356" s="4" t="e">
        <f t="shared" si="1295"/>
        <v>#N/A</v>
      </c>
      <c r="L6356" t="e">
        <f t="shared" si="1296"/>
        <v>#N/A</v>
      </c>
      <c r="M6356" s="4" t="e">
        <f t="shared" si="1297"/>
        <v>#N/A</v>
      </c>
      <c r="N6356" s="4" t="e">
        <f t="shared" si="1298"/>
        <v>#N/A</v>
      </c>
    </row>
    <row r="6357" spans="1:14">
      <c r="A6357">
        <f t="shared" si="1299"/>
        <v>0</v>
      </c>
      <c r="B6357">
        <f t="shared" si="1300"/>
        <v>0</v>
      </c>
      <c r="C6357">
        <f t="shared" si="1301"/>
        <v>0</v>
      </c>
      <c r="D6357">
        <f t="shared" si="1302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3"/>
        <v>0</v>
      </c>
      <c r="G6357">
        <f t="shared" si="1304"/>
        <v>0</v>
      </c>
      <c r="H6357">
        <f t="shared" si="1305"/>
        <v>0</v>
      </c>
      <c r="I6357">
        <f t="shared" si="1306"/>
        <v>0</v>
      </c>
      <c r="J6357">
        <f t="shared" si="1307"/>
        <v>0</v>
      </c>
      <c r="K6357" s="4" t="e">
        <f t="shared" si="1295"/>
        <v>#N/A</v>
      </c>
      <c r="L6357" t="e">
        <f t="shared" si="1296"/>
        <v>#N/A</v>
      </c>
      <c r="M6357" s="4" t="e">
        <f t="shared" si="1297"/>
        <v>#N/A</v>
      </c>
      <c r="N6357" s="4" t="e">
        <f t="shared" si="1298"/>
        <v>#N/A</v>
      </c>
    </row>
    <row r="6358" spans="1:14">
      <c r="A6358">
        <f t="shared" si="1299"/>
        <v>0</v>
      </c>
      <c r="B6358">
        <f t="shared" si="1300"/>
        <v>0</v>
      </c>
      <c r="C6358">
        <f t="shared" si="1301"/>
        <v>0</v>
      </c>
      <c r="D6358">
        <f t="shared" si="1302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3"/>
        <v>0</v>
      </c>
      <c r="G6358">
        <f t="shared" si="1304"/>
        <v>0</v>
      </c>
      <c r="H6358">
        <f t="shared" si="1305"/>
        <v>0</v>
      </c>
      <c r="I6358">
        <f t="shared" si="1306"/>
        <v>0</v>
      </c>
      <c r="J6358">
        <f t="shared" si="1307"/>
        <v>0</v>
      </c>
      <c r="K6358" s="4" t="e">
        <f t="shared" si="1295"/>
        <v>#N/A</v>
      </c>
      <c r="L6358" t="e">
        <f t="shared" si="1296"/>
        <v>#N/A</v>
      </c>
      <c r="M6358" s="4" t="e">
        <f t="shared" si="1297"/>
        <v>#N/A</v>
      </c>
      <c r="N6358" s="4" t="e">
        <f t="shared" si="1298"/>
        <v>#N/A</v>
      </c>
    </row>
    <row r="6359" spans="1:14">
      <c r="A6359">
        <f t="shared" si="1299"/>
        <v>0</v>
      </c>
      <c r="B6359">
        <f t="shared" si="1300"/>
        <v>0</v>
      </c>
      <c r="C6359">
        <f t="shared" si="1301"/>
        <v>0</v>
      </c>
      <c r="D6359">
        <f t="shared" si="1302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3"/>
        <v>0</v>
      </c>
      <c r="G6359">
        <f t="shared" si="1304"/>
        <v>0</v>
      </c>
      <c r="H6359">
        <f t="shared" si="1305"/>
        <v>0</v>
      </c>
      <c r="I6359">
        <f t="shared" si="1306"/>
        <v>0</v>
      </c>
      <c r="J6359">
        <f t="shared" si="1307"/>
        <v>0</v>
      </c>
      <c r="K6359" s="4" t="e">
        <f t="shared" si="1295"/>
        <v>#N/A</v>
      </c>
      <c r="L6359" t="e">
        <f t="shared" si="1296"/>
        <v>#N/A</v>
      </c>
      <c r="M6359" s="4" t="e">
        <f t="shared" si="1297"/>
        <v>#N/A</v>
      </c>
      <c r="N6359" s="4" t="e">
        <f t="shared" si="1298"/>
        <v>#N/A</v>
      </c>
    </row>
    <row r="6360" spans="1:14">
      <c r="A6360">
        <f t="shared" si="1299"/>
        <v>0</v>
      </c>
      <c r="B6360">
        <f t="shared" si="1300"/>
        <v>0</v>
      </c>
      <c r="C6360">
        <f t="shared" si="1301"/>
        <v>0</v>
      </c>
      <c r="D6360">
        <f t="shared" si="1302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3"/>
        <v>0</v>
      </c>
      <c r="G6360">
        <f t="shared" si="1304"/>
        <v>0</v>
      </c>
      <c r="H6360">
        <f t="shared" si="1305"/>
        <v>0</v>
      </c>
      <c r="I6360">
        <f t="shared" si="1306"/>
        <v>0</v>
      </c>
      <c r="J6360">
        <f t="shared" si="1307"/>
        <v>0</v>
      </c>
      <c r="K6360" s="4" t="e">
        <f t="shared" si="1295"/>
        <v>#N/A</v>
      </c>
      <c r="L6360" t="e">
        <f t="shared" si="1296"/>
        <v>#N/A</v>
      </c>
      <c r="M6360" s="4" t="e">
        <f t="shared" si="1297"/>
        <v>#N/A</v>
      </c>
      <c r="N6360" s="4" t="e">
        <f t="shared" si="1298"/>
        <v>#N/A</v>
      </c>
    </row>
    <row r="6361" spans="1:14">
      <c r="A6361">
        <f t="shared" si="1299"/>
        <v>0</v>
      </c>
      <c r="B6361">
        <f t="shared" si="1300"/>
        <v>0</v>
      </c>
      <c r="C6361">
        <f t="shared" si="1301"/>
        <v>0</v>
      </c>
      <c r="D6361">
        <f t="shared" si="1302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3"/>
        <v>0</v>
      </c>
      <c r="G6361">
        <f t="shared" si="1304"/>
        <v>0</v>
      </c>
      <c r="H6361">
        <f t="shared" si="1305"/>
        <v>0</v>
      </c>
      <c r="I6361">
        <f t="shared" si="1306"/>
        <v>0</v>
      </c>
      <c r="J6361">
        <f t="shared" si="1307"/>
        <v>0</v>
      </c>
      <c r="K6361" s="4" t="e">
        <f t="shared" si="1295"/>
        <v>#N/A</v>
      </c>
      <c r="L6361" t="e">
        <f t="shared" si="1296"/>
        <v>#N/A</v>
      </c>
      <c r="M6361" s="4" t="e">
        <f t="shared" si="1297"/>
        <v>#N/A</v>
      </c>
      <c r="N6361" s="4" t="e">
        <f t="shared" si="1298"/>
        <v>#N/A</v>
      </c>
    </row>
    <row r="6362" spans="1:14">
      <c r="A6362">
        <f t="shared" si="1299"/>
        <v>0</v>
      </c>
      <c r="B6362">
        <f t="shared" si="1300"/>
        <v>0</v>
      </c>
      <c r="C6362">
        <f t="shared" si="1301"/>
        <v>0</v>
      </c>
      <c r="D6362">
        <f t="shared" si="1302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3"/>
        <v>0</v>
      </c>
      <c r="G6362">
        <f t="shared" si="1304"/>
        <v>0</v>
      </c>
      <c r="H6362">
        <f t="shared" si="1305"/>
        <v>0</v>
      </c>
      <c r="I6362">
        <f t="shared" si="1306"/>
        <v>0</v>
      </c>
      <c r="J6362">
        <f t="shared" si="1307"/>
        <v>0</v>
      </c>
      <c r="K6362" s="4" t="e">
        <f t="shared" si="1295"/>
        <v>#N/A</v>
      </c>
      <c r="L6362" t="e">
        <f t="shared" si="1296"/>
        <v>#N/A</v>
      </c>
      <c r="M6362" s="4" t="e">
        <f t="shared" si="1297"/>
        <v>#N/A</v>
      </c>
      <c r="N6362" s="4" t="e">
        <f t="shared" si="1298"/>
        <v>#N/A</v>
      </c>
    </row>
    <row r="6363" spans="1:14">
      <c r="A6363">
        <f t="shared" si="1299"/>
        <v>0</v>
      </c>
      <c r="B6363">
        <f t="shared" si="1300"/>
        <v>0</v>
      </c>
      <c r="C6363">
        <f t="shared" si="1301"/>
        <v>0</v>
      </c>
      <c r="D6363">
        <f t="shared" si="1302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3"/>
        <v>0</v>
      </c>
      <c r="G6363">
        <f t="shared" si="1304"/>
        <v>0</v>
      </c>
      <c r="H6363">
        <f t="shared" si="1305"/>
        <v>0</v>
      </c>
      <c r="I6363">
        <f t="shared" si="1306"/>
        <v>0</v>
      </c>
      <c r="J6363">
        <f t="shared" si="1307"/>
        <v>0</v>
      </c>
      <c r="K6363" s="4" t="e">
        <f t="shared" si="1295"/>
        <v>#N/A</v>
      </c>
      <c r="L6363" t="e">
        <f t="shared" si="1296"/>
        <v>#N/A</v>
      </c>
      <c r="M6363" s="4" t="e">
        <f t="shared" si="1297"/>
        <v>#N/A</v>
      </c>
      <c r="N6363" s="4" t="e">
        <f t="shared" si="1298"/>
        <v>#N/A</v>
      </c>
    </row>
    <row r="6364" spans="1:14">
      <c r="A6364">
        <f t="shared" si="1299"/>
        <v>0</v>
      </c>
      <c r="B6364">
        <f t="shared" si="1300"/>
        <v>0</v>
      </c>
      <c r="C6364">
        <f t="shared" si="1301"/>
        <v>0</v>
      </c>
      <c r="D6364">
        <f t="shared" si="1302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3"/>
        <v>0</v>
      </c>
      <c r="G6364">
        <f t="shared" si="1304"/>
        <v>0</v>
      </c>
      <c r="H6364">
        <f t="shared" si="1305"/>
        <v>0</v>
      </c>
      <c r="I6364">
        <f t="shared" si="1306"/>
        <v>0</v>
      </c>
      <c r="J6364">
        <f t="shared" si="1307"/>
        <v>0</v>
      </c>
      <c r="K6364" s="4" t="e">
        <f t="shared" si="1295"/>
        <v>#N/A</v>
      </c>
      <c r="L6364" t="e">
        <f t="shared" si="1296"/>
        <v>#N/A</v>
      </c>
      <c r="M6364" s="4" t="e">
        <f t="shared" si="1297"/>
        <v>#N/A</v>
      </c>
      <c r="N6364" s="4" t="e">
        <f t="shared" si="1298"/>
        <v>#N/A</v>
      </c>
    </row>
    <row r="6365" spans="1:14">
      <c r="A6365">
        <f t="shared" si="1299"/>
        <v>0</v>
      </c>
      <c r="B6365">
        <f t="shared" si="1300"/>
        <v>0</v>
      </c>
      <c r="C6365">
        <f t="shared" si="1301"/>
        <v>0</v>
      </c>
      <c r="D6365">
        <f t="shared" si="1302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3"/>
        <v>0</v>
      </c>
      <c r="G6365">
        <f t="shared" si="1304"/>
        <v>0</v>
      </c>
      <c r="H6365">
        <f t="shared" si="1305"/>
        <v>0</v>
      </c>
      <c r="I6365">
        <f t="shared" si="1306"/>
        <v>0</v>
      </c>
      <c r="J6365">
        <f t="shared" si="1307"/>
        <v>0</v>
      </c>
      <c r="K6365" s="4" t="e">
        <f t="shared" si="1295"/>
        <v>#N/A</v>
      </c>
      <c r="L6365" t="e">
        <f t="shared" si="1296"/>
        <v>#N/A</v>
      </c>
      <c r="M6365" s="4" t="e">
        <f t="shared" si="1297"/>
        <v>#N/A</v>
      </c>
      <c r="N6365" s="4" t="e">
        <f t="shared" si="1298"/>
        <v>#N/A</v>
      </c>
    </row>
    <row r="6366" spans="1:14">
      <c r="A6366">
        <f t="shared" si="1299"/>
        <v>0</v>
      </c>
      <c r="B6366">
        <f t="shared" si="1300"/>
        <v>0</v>
      </c>
      <c r="C6366">
        <f t="shared" si="1301"/>
        <v>0</v>
      </c>
      <c r="D6366">
        <f t="shared" si="1302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3"/>
        <v>0</v>
      </c>
      <c r="G6366">
        <f t="shared" si="1304"/>
        <v>0</v>
      </c>
      <c r="H6366">
        <f t="shared" si="1305"/>
        <v>0</v>
      </c>
      <c r="I6366">
        <f t="shared" si="1306"/>
        <v>0</v>
      </c>
      <c r="J6366">
        <f t="shared" si="1307"/>
        <v>0</v>
      </c>
      <c r="K6366" s="4" t="e">
        <f t="shared" si="1295"/>
        <v>#N/A</v>
      </c>
      <c r="L6366" t="e">
        <f t="shared" si="1296"/>
        <v>#N/A</v>
      </c>
      <c r="M6366" s="4" t="e">
        <f t="shared" si="1297"/>
        <v>#N/A</v>
      </c>
      <c r="N6366" s="4" t="e">
        <f t="shared" si="1298"/>
        <v>#N/A</v>
      </c>
    </row>
    <row r="6367" spans="1:14">
      <c r="A6367">
        <f t="shared" si="1299"/>
        <v>0</v>
      </c>
      <c r="B6367">
        <f t="shared" si="1300"/>
        <v>0</v>
      </c>
      <c r="C6367">
        <f t="shared" si="1301"/>
        <v>0</v>
      </c>
      <c r="D6367">
        <f t="shared" si="1302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3"/>
        <v>0</v>
      </c>
      <c r="G6367">
        <f t="shared" si="1304"/>
        <v>0</v>
      </c>
      <c r="H6367">
        <f t="shared" si="1305"/>
        <v>0</v>
      </c>
      <c r="I6367">
        <f t="shared" si="1306"/>
        <v>0</v>
      </c>
      <c r="J6367">
        <f t="shared" si="1307"/>
        <v>0</v>
      </c>
      <c r="K6367" s="4" t="e">
        <f t="shared" si="1295"/>
        <v>#N/A</v>
      </c>
      <c r="L6367" t="e">
        <f t="shared" si="1296"/>
        <v>#N/A</v>
      </c>
      <c r="M6367" s="4" t="e">
        <f t="shared" si="1297"/>
        <v>#N/A</v>
      </c>
      <c r="N6367" s="4" t="e">
        <f t="shared" si="1298"/>
        <v>#N/A</v>
      </c>
    </row>
    <row r="6368" spans="1:14">
      <c r="A6368">
        <f t="shared" si="1299"/>
        <v>0</v>
      </c>
      <c r="B6368">
        <f t="shared" si="1300"/>
        <v>0</v>
      </c>
      <c r="C6368">
        <f t="shared" si="1301"/>
        <v>0</v>
      </c>
      <c r="D6368">
        <f t="shared" si="1302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3"/>
        <v>0</v>
      </c>
      <c r="G6368">
        <f t="shared" si="1304"/>
        <v>0</v>
      </c>
      <c r="H6368">
        <f t="shared" si="1305"/>
        <v>0</v>
      </c>
      <c r="I6368">
        <f t="shared" si="1306"/>
        <v>0</v>
      </c>
      <c r="J6368">
        <f t="shared" si="1307"/>
        <v>0</v>
      </c>
      <c r="K6368" s="4" t="e">
        <f t="shared" si="1295"/>
        <v>#N/A</v>
      </c>
      <c r="L6368" t="e">
        <f t="shared" si="1296"/>
        <v>#N/A</v>
      </c>
      <c r="M6368" s="4" t="e">
        <f t="shared" si="1297"/>
        <v>#N/A</v>
      </c>
      <c r="N6368" s="4" t="e">
        <f t="shared" si="1298"/>
        <v>#N/A</v>
      </c>
    </row>
    <row r="6369" spans="1:14">
      <c r="A6369">
        <f t="shared" si="1299"/>
        <v>0</v>
      </c>
      <c r="B6369">
        <f t="shared" si="1300"/>
        <v>0</v>
      </c>
      <c r="C6369">
        <f t="shared" si="1301"/>
        <v>0</v>
      </c>
      <c r="D6369">
        <f t="shared" si="1302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3"/>
        <v>0</v>
      </c>
      <c r="G6369">
        <f t="shared" si="1304"/>
        <v>0</v>
      </c>
      <c r="H6369">
        <f t="shared" si="1305"/>
        <v>0</v>
      </c>
      <c r="I6369">
        <f t="shared" si="1306"/>
        <v>0</v>
      </c>
      <c r="J6369">
        <f t="shared" si="1307"/>
        <v>0</v>
      </c>
      <c r="K6369" s="4" t="e">
        <f t="shared" si="1295"/>
        <v>#N/A</v>
      </c>
      <c r="L6369" t="e">
        <f t="shared" si="1296"/>
        <v>#N/A</v>
      </c>
      <c r="M6369" s="4" t="e">
        <f t="shared" si="1297"/>
        <v>#N/A</v>
      </c>
      <c r="N6369" s="4" t="e">
        <f t="shared" si="1298"/>
        <v>#N/A</v>
      </c>
    </row>
    <row r="6370" spans="1:14">
      <c r="A6370">
        <f t="shared" si="1299"/>
        <v>0</v>
      </c>
      <c r="B6370">
        <f t="shared" si="1300"/>
        <v>0</v>
      </c>
      <c r="C6370">
        <f t="shared" si="1301"/>
        <v>0</v>
      </c>
      <c r="D6370">
        <f t="shared" si="1302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3"/>
        <v>0</v>
      </c>
      <c r="G6370">
        <f t="shared" si="1304"/>
        <v>0</v>
      </c>
      <c r="H6370">
        <f t="shared" si="1305"/>
        <v>0</v>
      </c>
      <c r="I6370">
        <f t="shared" si="1306"/>
        <v>0</v>
      </c>
      <c r="J6370">
        <f t="shared" si="1307"/>
        <v>0</v>
      </c>
      <c r="K6370" s="4" t="e">
        <f t="shared" si="1295"/>
        <v>#N/A</v>
      </c>
      <c r="L6370" t="e">
        <f t="shared" si="1296"/>
        <v>#N/A</v>
      </c>
      <c r="M6370" s="4" t="e">
        <f t="shared" si="1297"/>
        <v>#N/A</v>
      </c>
      <c r="N6370" s="4" t="e">
        <f t="shared" si="1298"/>
        <v>#N/A</v>
      </c>
    </row>
    <row r="6371" spans="1:14">
      <c r="A6371">
        <f t="shared" si="1299"/>
        <v>0</v>
      </c>
      <c r="B6371">
        <f t="shared" si="1300"/>
        <v>0</v>
      </c>
      <c r="C6371">
        <f t="shared" si="1301"/>
        <v>0</v>
      </c>
      <c r="D6371">
        <f t="shared" si="1302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3"/>
        <v>0</v>
      </c>
      <c r="G6371">
        <f t="shared" si="1304"/>
        <v>0</v>
      </c>
      <c r="H6371">
        <f t="shared" si="1305"/>
        <v>0</v>
      </c>
      <c r="I6371">
        <f t="shared" si="1306"/>
        <v>0</v>
      </c>
      <c r="J6371">
        <f t="shared" si="1307"/>
        <v>0</v>
      </c>
      <c r="K6371" s="4" t="e">
        <f t="shared" si="1295"/>
        <v>#N/A</v>
      </c>
      <c r="L6371" t="e">
        <f t="shared" si="1296"/>
        <v>#N/A</v>
      </c>
      <c r="M6371" s="4" t="e">
        <f t="shared" si="1297"/>
        <v>#N/A</v>
      </c>
      <c r="N6371" s="4" t="e">
        <f t="shared" si="1298"/>
        <v>#N/A</v>
      </c>
    </row>
    <row r="6372" spans="1:14">
      <c r="A6372">
        <f t="shared" si="1299"/>
        <v>0</v>
      </c>
      <c r="B6372">
        <f t="shared" si="1300"/>
        <v>0</v>
      </c>
      <c r="C6372">
        <f t="shared" si="1301"/>
        <v>0</v>
      </c>
      <c r="D6372">
        <f t="shared" si="1302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3"/>
        <v>0</v>
      </c>
      <c r="G6372">
        <f t="shared" si="1304"/>
        <v>0</v>
      </c>
      <c r="H6372">
        <f t="shared" si="1305"/>
        <v>0</v>
      </c>
      <c r="I6372">
        <f t="shared" si="1306"/>
        <v>0</v>
      </c>
      <c r="J6372">
        <f t="shared" si="1307"/>
        <v>0</v>
      </c>
      <c r="K6372" s="4" t="e">
        <f t="shared" si="1295"/>
        <v>#N/A</v>
      </c>
      <c r="L6372" t="e">
        <f t="shared" si="1296"/>
        <v>#N/A</v>
      </c>
      <c r="M6372" s="4" t="e">
        <f t="shared" si="1297"/>
        <v>#N/A</v>
      </c>
      <c r="N6372" s="4" t="e">
        <f t="shared" si="1298"/>
        <v>#N/A</v>
      </c>
    </row>
    <row r="6373" spans="1:14">
      <c r="A6373">
        <f t="shared" si="1299"/>
        <v>0</v>
      </c>
      <c r="B6373">
        <f t="shared" si="1300"/>
        <v>0</v>
      </c>
      <c r="C6373">
        <f t="shared" si="1301"/>
        <v>0</v>
      </c>
      <c r="D6373">
        <f t="shared" si="1302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3"/>
        <v>0</v>
      </c>
      <c r="G6373">
        <f t="shared" si="1304"/>
        <v>0</v>
      </c>
      <c r="H6373">
        <f t="shared" si="1305"/>
        <v>0</v>
      </c>
      <c r="I6373">
        <f t="shared" si="1306"/>
        <v>0</v>
      </c>
      <c r="J6373">
        <f t="shared" si="1307"/>
        <v>0</v>
      </c>
      <c r="K6373" s="4" t="e">
        <f t="shared" si="1295"/>
        <v>#N/A</v>
      </c>
      <c r="L6373" t="e">
        <f t="shared" si="1296"/>
        <v>#N/A</v>
      </c>
      <c r="M6373" s="4" t="e">
        <f t="shared" si="1297"/>
        <v>#N/A</v>
      </c>
      <c r="N6373" s="4" t="e">
        <f t="shared" si="1298"/>
        <v>#N/A</v>
      </c>
    </row>
    <row r="6374" spans="1:14">
      <c r="A6374">
        <f t="shared" si="1299"/>
        <v>0</v>
      </c>
      <c r="B6374">
        <f t="shared" si="1300"/>
        <v>0</v>
      </c>
      <c r="C6374">
        <f t="shared" si="1301"/>
        <v>0</v>
      </c>
      <c r="D6374">
        <f t="shared" si="1302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3"/>
        <v>0</v>
      </c>
      <c r="G6374">
        <f t="shared" si="1304"/>
        <v>0</v>
      </c>
      <c r="H6374">
        <f t="shared" si="1305"/>
        <v>0</v>
      </c>
      <c r="I6374">
        <f t="shared" si="1306"/>
        <v>0</v>
      </c>
      <c r="J6374">
        <f t="shared" si="1307"/>
        <v>0</v>
      </c>
      <c r="K6374" s="4" t="e">
        <f t="shared" si="1295"/>
        <v>#N/A</v>
      </c>
      <c r="L6374" t="e">
        <f t="shared" si="1296"/>
        <v>#N/A</v>
      </c>
      <c r="M6374" s="4" t="e">
        <f t="shared" si="1297"/>
        <v>#N/A</v>
      </c>
      <c r="N6374" s="4" t="e">
        <f t="shared" si="1298"/>
        <v>#N/A</v>
      </c>
    </row>
    <row r="6375" spans="1:14">
      <c r="A6375">
        <f t="shared" si="1299"/>
        <v>0</v>
      </c>
      <c r="B6375">
        <f t="shared" si="1300"/>
        <v>0</v>
      </c>
      <c r="C6375">
        <f t="shared" si="1301"/>
        <v>0</v>
      </c>
      <c r="D6375">
        <f t="shared" si="1302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3"/>
        <v>0</v>
      </c>
      <c r="G6375">
        <f t="shared" si="1304"/>
        <v>0</v>
      </c>
      <c r="H6375">
        <f t="shared" si="1305"/>
        <v>0</v>
      </c>
      <c r="I6375">
        <f t="shared" si="1306"/>
        <v>0</v>
      </c>
      <c r="J6375">
        <f t="shared" si="1307"/>
        <v>0</v>
      </c>
      <c r="K6375" s="4" t="e">
        <f t="shared" si="1295"/>
        <v>#N/A</v>
      </c>
      <c r="L6375" t="e">
        <f t="shared" si="1296"/>
        <v>#N/A</v>
      </c>
      <c r="M6375" s="4" t="e">
        <f t="shared" si="1297"/>
        <v>#N/A</v>
      </c>
      <c r="N6375" s="4" t="e">
        <f t="shared" si="1298"/>
        <v>#N/A</v>
      </c>
    </row>
    <row r="6376" spans="1:14">
      <c r="A6376">
        <f t="shared" si="1299"/>
        <v>0</v>
      </c>
      <c r="B6376">
        <f t="shared" si="1300"/>
        <v>0</v>
      </c>
      <c r="C6376">
        <f t="shared" si="1301"/>
        <v>0</v>
      </c>
      <c r="D6376">
        <f t="shared" si="1302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3"/>
        <v>0</v>
      </c>
      <c r="G6376">
        <f t="shared" si="1304"/>
        <v>0</v>
      </c>
      <c r="H6376">
        <f t="shared" si="1305"/>
        <v>0</v>
      </c>
      <c r="I6376">
        <f t="shared" si="1306"/>
        <v>0</v>
      </c>
      <c r="J6376">
        <f t="shared" si="1307"/>
        <v>0</v>
      </c>
      <c r="K6376" s="4" t="e">
        <f t="shared" si="1295"/>
        <v>#N/A</v>
      </c>
      <c r="L6376" t="e">
        <f t="shared" si="1296"/>
        <v>#N/A</v>
      </c>
      <c r="M6376" s="4" t="e">
        <f t="shared" si="1297"/>
        <v>#N/A</v>
      </c>
      <c r="N6376" s="4" t="e">
        <f t="shared" si="1298"/>
        <v>#N/A</v>
      </c>
    </row>
    <row r="6377" spans="1:14">
      <c r="A6377">
        <f t="shared" si="1299"/>
        <v>0</v>
      </c>
      <c r="B6377">
        <f t="shared" si="1300"/>
        <v>0</v>
      </c>
      <c r="C6377">
        <f t="shared" si="1301"/>
        <v>0</v>
      </c>
      <c r="D6377">
        <f t="shared" si="1302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3"/>
        <v>0</v>
      </c>
      <c r="G6377">
        <f t="shared" si="1304"/>
        <v>0</v>
      </c>
      <c r="H6377">
        <f t="shared" si="1305"/>
        <v>0</v>
      </c>
      <c r="I6377">
        <f t="shared" si="1306"/>
        <v>0</v>
      </c>
      <c r="J6377">
        <f t="shared" si="1307"/>
        <v>0</v>
      </c>
      <c r="K6377" s="4" t="e">
        <f t="shared" si="1295"/>
        <v>#N/A</v>
      </c>
      <c r="L6377" t="e">
        <f t="shared" si="1296"/>
        <v>#N/A</v>
      </c>
      <c r="M6377" s="4" t="e">
        <f t="shared" si="1297"/>
        <v>#N/A</v>
      </c>
      <c r="N6377" s="4" t="e">
        <f t="shared" si="1298"/>
        <v>#N/A</v>
      </c>
    </row>
    <row r="6378" spans="1:14">
      <c r="A6378">
        <f t="shared" si="1299"/>
        <v>0</v>
      </c>
      <c r="B6378">
        <f t="shared" si="1300"/>
        <v>0</v>
      </c>
      <c r="C6378">
        <f t="shared" si="1301"/>
        <v>0</v>
      </c>
      <c r="D6378">
        <f t="shared" si="1302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3"/>
        <v>0</v>
      </c>
      <c r="G6378">
        <f t="shared" si="1304"/>
        <v>0</v>
      </c>
      <c r="H6378">
        <f t="shared" si="1305"/>
        <v>0</v>
      </c>
      <c r="I6378">
        <f t="shared" si="1306"/>
        <v>0</v>
      </c>
      <c r="J6378">
        <f t="shared" si="1307"/>
        <v>0</v>
      </c>
      <c r="K6378" s="4" t="e">
        <f t="shared" si="1295"/>
        <v>#N/A</v>
      </c>
      <c r="L6378" t="e">
        <f t="shared" si="1296"/>
        <v>#N/A</v>
      </c>
      <c r="M6378" s="4" t="e">
        <f t="shared" si="1297"/>
        <v>#N/A</v>
      </c>
      <c r="N6378" s="4" t="e">
        <f t="shared" si="1298"/>
        <v>#N/A</v>
      </c>
    </row>
    <row r="6379" spans="1:14">
      <c r="A6379">
        <f t="shared" si="1299"/>
        <v>0</v>
      </c>
      <c r="B6379">
        <f t="shared" si="1300"/>
        <v>0</v>
      </c>
      <c r="C6379">
        <f t="shared" si="1301"/>
        <v>0</v>
      </c>
      <c r="D6379">
        <f t="shared" si="1302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3"/>
        <v>0</v>
      </c>
      <c r="G6379">
        <f t="shared" si="1304"/>
        <v>0</v>
      </c>
      <c r="H6379">
        <f t="shared" si="1305"/>
        <v>0</v>
      </c>
      <c r="I6379">
        <f t="shared" si="1306"/>
        <v>0</v>
      </c>
      <c r="J6379">
        <f t="shared" si="1307"/>
        <v>0</v>
      </c>
      <c r="K6379" s="4" t="e">
        <f t="shared" si="1295"/>
        <v>#N/A</v>
      </c>
      <c r="L6379" t="e">
        <f t="shared" si="1296"/>
        <v>#N/A</v>
      </c>
      <c r="M6379" s="4" t="e">
        <f t="shared" si="1297"/>
        <v>#N/A</v>
      </c>
      <c r="N6379" s="4" t="e">
        <f t="shared" si="1298"/>
        <v>#N/A</v>
      </c>
    </row>
    <row r="6380" spans="1:14">
      <c r="A6380">
        <f t="shared" si="1299"/>
        <v>0</v>
      </c>
      <c r="B6380">
        <f t="shared" si="1300"/>
        <v>0</v>
      </c>
      <c r="C6380">
        <f t="shared" si="1301"/>
        <v>0</v>
      </c>
      <c r="D6380">
        <f t="shared" si="1302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3"/>
        <v>0</v>
      </c>
      <c r="G6380">
        <f t="shared" si="1304"/>
        <v>0</v>
      </c>
      <c r="H6380">
        <f t="shared" si="1305"/>
        <v>0</v>
      </c>
      <c r="I6380">
        <f t="shared" si="1306"/>
        <v>0</v>
      </c>
      <c r="J6380">
        <f t="shared" si="1307"/>
        <v>0</v>
      </c>
      <c r="K6380" s="4" t="e">
        <f t="shared" si="1295"/>
        <v>#N/A</v>
      </c>
      <c r="L6380" t="e">
        <f t="shared" si="1296"/>
        <v>#N/A</v>
      </c>
      <c r="M6380" s="4" t="e">
        <f t="shared" si="1297"/>
        <v>#N/A</v>
      </c>
      <c r="N6380" s="4" t="e">
        <f t="shared" si="1298"/>
        <v>#N/A</v>
      </c>
    </row>
    <row r="6381" spans="1:14">
      <c r="A6381">
        <f t="shared" si="1299"/>
        <v>0</v>
      </c>
      <c r="B6381">
        <f t="shared" si="1300"/>
        <v>0</v>
      </c>
      <c r="C6381">
        <f t="shared" si="1301"/>
        <v>0</v>
      </c>
      <c r="D6381">
        <f t="shared" si="1302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3"/>
        <v>0</v>
      </c>
      <c r="G6381">
        <f t="shared" si="1304"/>
        <v>0</v>
      </c>
      <c r="H6381">
        <f t="shared" si="1305"/>
        <v>0</v>
      </c>
      <c r="I6381">
        <f t="shared" si="1306"/>
        <v>0</v>
      </c>
      <c r="J6381">
        <f t="shared" si="1307"/>
        <v>0</v>
      </c>
      <c r="K6381" s="4" t="e">
        <f t="shared" si="1295"/>
        <v>#N/A</v>
      </c>
      <c r="L6381" t="e">
        <f t="shared" si="1296"/>
        <v>#N/A</v>
      </c>
      <c r="M6381" s="4" t="e">
        <f t="shared" si="1297"/>
        <v>#N/A</v>
      </c>
      <c r="N6381" s="4" t="e">
        <f t="shared" si="1298"/>
        <v>#N/A</v>
      </c>
    </row>
    <row r="6382" spans="1:14">
      <c r="A6382">
        <f t="shared" si="1299"/>
        <v>0</v>
      </c>
      <c r="B6382">
        <f t="shared" si="1300"/>
        <v>0</v>
      </c>
      <c r="C6382">
        <f t="shared" si="1301"/>
        <v>0</v>
      </c>
      <c r="D6382">
        <f t="shared" si="1302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3"/>
        <v>0</v>
      </c>
      <c r="G6382">
        <f t="shared" si="1304"/>
        <v>0</v>
      </c>
      <c r="H6382">
        <f t="shared" si="1305"/>
        <v>0</v>
      </c>
      <c r="I6382">
        <f t="shared" si="1306"/>
        <v>0</v>
      </c>
      <c r="J6382">
        <f t="shared" si="1307"/>
        <v>0</v>
      </c>
      <c r="K6382" s="4" t="e">
        <f t="shared" si="1295"/>
        <v>#N/A</v>
      </c>
      <c r="L6382" t="e">
        <f t="shared" si="1296"/>
        <v>#N/A</v>
      </c>
      <c r="M6382" s="4" t="e">
        <f t="shared" si="1297"/>
        <v>#N/A</v>
      </c>
      <c r="N6382" s="4" t="e">
        <f t="shared" si="1298"/>
        <v>#N/A</v>
      </c>
    </row>
    <row r="6383" spans="1:14">
      <c r="A6383">
        <f t="shared" si="1299"/>
        <v>0</v>
      </c>
      <c r="B6383">
        <f t="shared" si="1300"/>
        <v>0</v>
      </c>
      <c r="C6383">
        <f t="shared" si="1301"/>
        <v>0</v>
      </c>
      <c r="D6383">
        <f t="shared" si="1302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3"/>
        <v>0</v>
      </c>
      <c r="G6383">
        <f t="shared" si="1304"/>
        <v>0</v>
      </c>
      <c r="H6383">
        <f t="shared" si="1305"/>
        <v>0</v>
      </c>
      <c r="I6383">
        <f t="shared" si="1306"/>
        <v>0</v>
      </c>
      <c r="J6383">
        <f t="shared" si="1307"/>
        <v>0</v>
      </c>
      <c r="K6383" s="4" t="e">
        <f t="shared" si="1295"/>
        <v>#N/A</v>
      </c>
      <c r="L6383" t="e">
        <f t="shared" si="1296"/>
        <v>#N/A</v>
      </c>
      <c r="M6383" s="4" t="e">
        <f t="shared" si="1297"/>
        <v>#N/A</v>
      </c>
      <c r="N6383" s="4" t="e">
        <f t="shared" si="1298"/>
        <v>#N/A</v>
      </c>
    </row>
    <row r="6384" spans="1:14">
      <c r="A6384">
        <f t="shared" si="1299"/>
        <v>0</v>
      </c>
      <c r="B6384">
        <f t="shared" si="1300"/>
        <v>0</v>
      </c>
      <c r="C6384">
        <f t="shared" si="1301"/>
        <v>0</v>
      </c>
      <c r="D6384">
        <f t="shared" si="1302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3"/>
        <v>0</v>
      </c>
      <c r="G6384">
        <f t="shared" si="1304"/>
        <v>0</v>
      </c>
      <c r="H6384">
        <f t="shared" si="1305"/>
        <v>0</v>
      </c>
      <c r="I6384">
        <f t="shared" si="1306"/>
        <v>0</v>
      </c>
      <c r="J6384">
        <f t="shared" si="1307"/>
        <v>0</v>
      </c>
      <c r="K6384" s="4" t="e">
        <f t="shared" si="1295"/>
        <v>#N/A</v>
      </c>
      <c r="L6384" t="e">
        <f t="shared" si="1296"/>
        <v>#N/A</v>
      </c>
      <c r="M6384" s="4" t="e">
        <f t="shared" si="1297"/>
        <v>#N/A</v>
      </c>
      <c r="N6384" s="4" t="e">
        <f t="shared" si="1298"/>
        <v>#N/A</v>
      </c>
    </row>
    <row r="6385" spans="1:14">
      <c r="A6385">
        <f t="shared" si="1299"/>
        <v>0</v>
      </c>
      <c r="B6385">
        <f t="shared" si="1300"/>
        <v>0</v>
      </c>
      <c r="C6385">
        <f t="shared" si="1301"/>
        <v>0</v>
      </c>
      <c r="D6385">
        <f t="shared" si="1302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3"/>
        <v>0</v>
      </c>
      <c r="G6385">
        <f t="shared" si="1304"/>
        <v>0</v>
      </c>
      <c r="H6385">
        <f t="shared" si="1305"/>
        <v>0</v>
      </c>
      <c r="I6385">
        <f t="shared" si="1306"/>
        <v>0</v>
      </c>
      <c r="J6385">
        <f t="shared" si="1307"/>
        <v>0</v>
      </c>
      <c r="K6385" s="4" t="e">
        <f t="shared" si="1295"/>
        <v>#N/A</v>
      </c>
      <c r="L6385" t="e">
        <f t="shared" si="1296"/>
        <v>#N/A</v>
      </c>
      <c r="M6385" s="4" t="e">
        <f t="shared" si="1297"/>
        <v>#N/A</v>
      </c>
      <c r="N6385" s="4" t="e">
        <f t="shared" si="1298"/>
        <v>#N/A</v>
      </c>
    </row>
    <row r="6386" spans="1:14">
      <c r="A6386">
        <f t="shared" si="1299"/>
        <v>0</v>
      </c>
      <c r="B6386">
        <f t="shared" si="1300"/>
        <v>0</v>
      </c>
      <c r="C6386">
        <f t="shared" si="1301"/>
        <v>0</v>
      </c>
      <c r="D6386">
        <f t="shared" si="1302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3"/>
        <v>0</v>
      </c>
      <c r="G6386">
        <f t="shared" si="1304"/>
        <v>0</v>
      </c>
      <c r="H6386">
        <f t="shared" si="1305"/>
        <v>0</v>
      </c>
      <c r="I6386">
        <f t="shared" si="1306"/>
        <v>0</v>
      </c>
      <c r="J6386">
        <f t="shared" si="1307"/>
        <v>0</v>
      </c>
      <c r="K6386" s="4" t="e">
        <f t="shared" si="1295"/>
        <v>#N/A</v>
      </c>
      <c r="L6386" t="e">
        <f t="shared" si="1296"/>
        <v>#N/A</v>
      </c>
      <c r="M6386" s="4" t="e">
        <f t="shared" si="1297"/>
        <v>#N/A</v>
      </c>
      <c r="N6386" s="4" t="e">
        <f t="shared" si="1298"/>
        <v>#N/A</v>
      </c>
    </row>
    <row r="6387" spans="1:14">
      <c r="A6387">
        <f t="shared" si="1299"/>
        <v>0</v>
      </c>
      <c r="B6387">
        <f t="shared" si="1300"/>
        <v>0</v>
      </c>
      <c r="C6387">
        <f t="shared" si="1301"/>
        <v>0</v>
      </c>
      <c r="D6387">
        <f t="shared" si="1302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3"/>
        <v>0</v>
      </c>
      <c r="G6387">
        <f t="shared" si="1304"/>
        <v>0</v>
      </c>
      <c r="H6387">
        <f t="shared" si="1305"/>
        <v>0</v>
      </c>
      <c r="I6387">
        <f t="shared" si="1306"/>
        <v>0</v>
      </c>
      <c r="J6387">
        <f t="shared" si="1307"/>
        <v>0</v>
      </c>
      <c r="K6387" s="4" t="e">
        <f t="shared" si="1295"/>
        <v>#N/A</v>
      </c>
      <c r="L6387" t="e">
        <f t="shared" si="1296"/>
        <v>#N/A</v>
      </c>
      <c r="M6387" s="4" t="e">
        <f t="shared" si="1297"/>
        <v>#N/A</v>
      </c>
      <c r="N6387" s="4" t="e">
        <f t="shared" si="1298"/>
        <v>#N/A</v>
      </c>
    </row>
    <row r="6388" spans="1:14">
      <c r="A6388">
        <f t="shared" si="1299"/>
        <v>0</v>
      </c>
      <c r="B6388">
        <f t="shared" si="1300"/>
        <v>0</v>
      </c>
      <c r="C6388">
        <f t="shared" si="1301"/>
        <v>0</v>
      </c>
      <c r="D6388">
        <f t="shared" si="1302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3"/>
        <v>0</v>
      </c>
      <c r="G6388">
        <f t="shared" si="1304"/>
        <v>0</v>
      </c>
      <c r="H6388">
        <f t="shared" si="1305"/>
        <v>0</v>
      </c>
      <c r="I6388">
        <f t="shared" si="1306"/>
        <v>0</v>
      </c>
      <c r="J6388">
        <f t="shared" si="1307"/>
        <v>0</v>
      </c>
      <c r="K6388" s="4" t="e">
        <f t="shared" si="1295"/>
        <v>#N/A</v>
      </c>
      <c r="L6388" t="e">
        <f t="shared" si="1296"/>
        <v>#N/A</v>
      </c>
      <c r="M6388" s="4" t="e">
        <f t="shared" si="1297"/>
        <v>#N/A</v>
      </c>
      <c r="N6388" s="4" t="e">
        <f t="shared" si="1298"/>
        <v>#N/A</v>
      </c>
    </row>
    <row r="6389" spans="1:14">
      <c r="A6389">
        <f t="shared" si="1299"/>
        <v>0</v>
      </c>
      <c r="B6389">
        <f t="shared" si="1300"/>
        <v>0</v>
      </c>
      <c r="C6389">
        <f t="shared" si="1301"/>
        <v>0</v>
      </c>
      <c r="D6389">
        <f t="shared" si="1302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3"/>
        <v>0</v>
      </c>
      <c r="G6389">
        <f t="shared" si="1304"/>
        <v>0</v>
      </c>
      <c r="H6389">
        <f t="shared" si="1305"/>
        <v>0</v>
      </c>
      <c r="I6389">
        <f t="shared" si="1306"/>
        <v>0</v>
      </c>
      <c r="J6389">
        <f t="shared" si="1307"/>
        <v>0</v>
      </c>
      <c r="K6389" s="4" t="e">
        <f t="shared" si="1295"/>
        <v>#N/A</v>
      </c>
      <c r="L6389" t="e">
        <f t="shared" si="1296"/>
        <v>#N/A</v>
      </c>
      <c r="M6389" s="4" t="e">
        <f t="shared" si="1297"/>
        <v>#N/A</v>
      </c>
      <c r="N6389" s="4" t="e">
        <f t="shared" si="1298"/>
        <v>#N/A</v>
      </c>
    </row>
    <row r="6390" spans="1:14">
      <c r="A6390">
        <f t="shared" si="1299"/>
        <v>0</v>
      </c>
      <c r="B6390">
        <f t="shared" si="1300"/>
        <v>0</v>
      </c>
      <c r="C6390">
        <f t="shared" si="1301"/>
        <v>0</v>
      </c>
      <c r="D6390">
        <f t="shared" si="1302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3"/>
        <v>0</v>
      </c>
      <c r="G6390">
        <f t="shared" si="1304"/>
        <v>0</v>
      </c>
      <c r="H6390">
        <f t="shared" si="1305"/>
        <v>0</v>
      </c>
      <c r="I6390">
        <f t="shared" si="1306"/>
        <v>0</v>
      </c>
      <c r="J6390">
        <f t="shared" si="1307"/>
        <v>0</v>
      </c>
      <c r="K6390" s="4" t="e">
        <f t="shared" si="1295"/>
        <v>#N/A</v>
      </c>
      <c r="L6390" t="e">
        <f t="shared" si="1296"/>
        <v>#N/A</v>
      </c>
      <c r="M6390" s="4" t="e">
        <f t="shared" si="1297"/>
        <v>#N/A</v>
      </c>
      <c r="N6390" s="4" t="e">
        <f t="shared" si="1298"/>
        <v>#N/A</v>
      </c>
    </row>
    <row r="6391" spans="1:14">
      <c r="A6391">
        <f t="shared" si="1299"/>
        <v>0</v>
      </c>
      <c r="B6391">
        <f t="shared" si="1300"/>
        <v>0</v>
      </c>
      <c r="C6391">
        <f t="shared" si="1301"/>
        <v>0</v>
      </c>
      <c r="D6391">
        <f t="shared" si="1302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3"/>
        <v>0</v>
      </c>
      <c r="G6391">
        <f t="shared" si="1304"/>
        <v>0</v>
      </c>
      <c r="H6391">
        <f t="shared" si="1305"/>
        <v>0</v>
      </c>
      <c r="I6391">
        <f t="shared" si="1306"/>
        <v>0</v>
      </c>
      <c r="J6391">
        <f t="shared" si="1307"/>
        <v>0</v>
      </c>
      <c r="K6391" s="4" t="e">
        <f t="shared" si="1295"/>
        <v>#N/A</v>
      </c>
      <c r="L6391" t="e">
        <f t="shared" si="1296"/>
        <v>#N/A</v>
      </c>
      <c r="M6391" s="4" t="e">
        <f t="shared" si="1297"/>
        <v>#N/A</v>
      </c>
      <c r="N6391" s="4" t="e">
        <f t="shared" si="1298"/>
        <v>#N/A</v>
      </c>
    </row>
    <row r="6392" spans="1:14">
      <c r="A6392">
        <f t="shared" si="1299"/>
        <v>0</v>
      </c>
      <c r="B6392">
        <f t="shared" si="1300"/>
        <v>0</v>
      </c>
      <c r="C6392">
        <f t="shared" si="1301"/>
        <v>0</v>
      </c>
      <c r="D6392">
        <f t="shared" si="1302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3"/>
        <v>0</v>
      </c>
      <c r="G6392">
        <f t="shared" si="1304"/>
        <v>0</v>
      </c>
      <c r="H6392">
        <f t="shared" si="1305"/>
        <v>0</v>
      </c>
      <c r="I6392">
        <f t="shared" si="1306"/>
        <v>0</v>
      </c>
      <c r="J6392">
        <f t="shared" si="1307"/>
        <v>0</v>
      </c>
      <c r="K6392" s="4" t="e">
        <f t="shared" si="1295"/>
        <v>#N/A</v>
      </c>
      <c r="L6392" t="e">
        <f t="shared" si="1296"/>
        <v>#N/A</v>
      </c>
      <c r="M6392" s="4" t="e">
        <f t="shared" si="1297"/>
        <v>#N/A</v>
      </c>
      <c r="N6392" s="4" t="e">
        <f t="shared" si="1298"/>
        <v>#N/A</v>
      </c>
    </row>
    <row r="6393" spans="1:14">
      <c r="A6393">
        <f t="shared" si="1299"/>
        <v>0</v>
      </c>
      <c r="B6393">
        <f t="shared" si="1300"/>
        <v>0</v>
      </c>
      <c r="C6393">
        <f t="shared" si="1301"/>
        <v>0</v>
      </c>
      <c r="D6393">
        <f t="shared" si="1302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3"/>
        <v>0</v>
      </c>
      <c r="G6393">
        <f t="shared" si="1304"/>
        <v>0</v>
      </c>
      <c r="H6393">
        <f t="shared" si="1305"/>
        <v>0</v>
      </c>
      <c r="I6393">
        <f t="shared" si="1306"/>
        <v>0</v>
      </c>
      <c r="J6393">
        <f t="shared" si="1307"/>
        <v>0</v>
      </c>
      <c r="K6393" s="4" t="e">
        <f t="shared" si="1295"/>
        <v>#N/A</v>
      </c>
      <c r="L6393" t="e">
        <f t="shared" si="1296"/>
        <v>#N/A</v>
      </c>
      <c r="M6393" s="4" t="e">
        <f t="shared" si="1297"/>
        <v>#N/A</v>
      </c>
      <c r="N6393" s="4" t="e">
        <f t="shared" si="1298"/>
        <v>#N/A</v>
      </c>
    </row>
    <row r="6394" spans="1:14">
      <c r="A6394">
        <f t="shared" si="1299"/>
        <v>0</v>
      </c>
      <c r="B6394">
        <f t="shared" si="1300"/>
        <v>0</v>
      </c>
      <c r="C6394">
        <f t="shared" si="1301"/>
        <v>0</v>
      </c>
      <c r="D6394">
        <f t="shared" si="1302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3"/>
        <v>0</v>
      </c>
      <c r="G6394">
        <f t="shared" si="1304"/>
        <v>0</v>
      </c>
      <c r="H6394">
        <f t="shared" si="1305"/>
        <v>0</v>
      </c>
      <c r="I6394">
        <f t="shared" si="1306"/>
        <v>0</v>
      </c>
      <c r="J6394">
        <f t="shared" si="1307"/>
        <v>0</v>
      </c>
      <c r="K6394" s="4" t="e">
        <f t="shared" si="1295"/>
        <v>#N/A</v>
      </c>
      <c r="L6394" t="e">
        <f t="shared" si="1296"/>
        <v>#N/A</v>
      </c>
      <c r="M6394" s="4" t="e">
        <f t="shared" si="1297"/>
        <v>#N/A</v>
      </c>
      <c r="N6394" s="4" t="e">
        <f t="shared" si="1298"/>
        <v>#N/A</v>
      </c>
    </row>
    <row r="6395" spans="1:14">
      <c r="A6395">
        <f t="shared" si="1299"/>
        <v>0</v>
      </c>
      <c r="B6395">
        <f t="shared" si="1300"/>
        <v>0</v>
      </c>
      <c r="C6395">
        <f t="shared" si="1301"/>
        <v>0</v>
      </c>
      <c r="D6395">
        <f t="shared" si="1302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3"/>
        <v>0</v>
      </c>
      <c r="G6395">
        <f t="shared" si="1304"/>
        <v>0</v>
      </c>
      <c r="H6395">
        <f t="shared" si="1305"/>
        <v>0</v>
      </c>
      <c r="I6395">
        <f t="shared" si="1306"/>
        <v>0</v>
      </c>
      <c r="J6395">
        <f t="shared" si="1307"/>
        <v>0</v>
      </c>
      <c r="K6395" s="4" t="e">
        <f t="shared" si="1295"/>
        <v>#N/A</v>
      </c>
      <c r="L6395" t="e">
        <f t="shared" si="1296"/>
        <v>#N/A</v>
      </c>
      <c r="M6395" s="4" t="e">
        <f t="shared" si="1297"/>
        <v>#N/A</v>
      </c>
      <c r="N6395" s="4" t="e">
        <f t="shared" si="1298"/>
        <v>#N/A</v>
      </c>
    </row>
    <row r="6396" spans="1:14">
      <c r="A6396">
        <f t="shared" si="1299"/>
        <v>0</v>
      </c>
      <c r="B6396">
        <f t="shared" si="1300"/>
        <v>0</v>
      </c>
      <c r="C6396">
        <f t="shared" si="1301"/>
        <v>0</v>
      </c>
      <c r="D6396">
        <f t="shared" si="1302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3"/>
        <v>0</v>
      </c>
      <c r="G6396">
        <f t="shared" si="1304"/>
        <v>0</v>
      </c>
      <c r="H6396">
        <f t="shared" si="1305"/>
        <v>0</v>
      </c>
      <c r="I6396">
        <f t="shared" si="1306"/>
        <v>0</v>
      </c>
      <c r="J6396">
        <f t="shared" si="1307"/>
        <v>0</v>
      </c>
      <c r="K6396" s="4" t="e">
        <f t="shared" si="1295"/>
        <v>#N/A</v>
      </c>
      <c r="L6396" t="e">
        <f t="shared" si="1296"/>
        <v>#N/A</v>
      </c>
      <c r="M6396" s="4" t="e">
        <f t="shared" si="1297"/>
        <v>#N/A</v>
      </c>
      <c r="N6396" s="4" t="e">
        <f t="shared" si="1298"/>
        <v>#N/A</v>
      </c>
    </row>
    <row r="6397" spans="1:14">
      <c r="A6397">
        <f t="shared" si="1299"/>
        <v>0</v>
      </c>
      <c r="B6397">
        <f t="shared" si="1300"/>
        <v>0</v>
      </c>
      <c r="C6397">
        <f t="shared" si="1301"/>
        <v>0</v>
      </c>
      <c r="D6397">
        <f t="shared" si="1302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3"/>
        <v>0</v>
      </c>
      <c r="G6397">
        <f t="shared" si="1304"/>
        <v>0</v>
      </c>
      <c r="H6397">
        <f t="shared" si="1305"/>
        <v>0</v>
      </c>
      <c r="I6397">
        <f t="shared" si="1306"/>
        <v>0</v>
      </c>
      <c r="J6397">
        <f t="shared" si="1307"/>
        <v>0</v>
      </c>
      <c r="K6397" s="4" t="e">
        <f t="shared" ref="K6397:K6460" si="1308">IF(LEFT(B6397,3)="DBM",0,VLOOKUP(E6397,tabela,2,FALSE))</f>
        <v>#N/A</v>
      </c>
      <c r="L6397" t="e">
        <f t="shared" ref="L6397:L6460" si="1309">VLOOKUP(E6397,tabela,3,FALSE)</f>
        <v>#N/A</v>
      </c>
      <c r="M6397" s="4" t="e">
        <f t="shared" ref="M6397:M6460" si="1310">IF(E6397="Dynamic Click",J6397*K6397,K6397*$I6397/1000)</f>
        <v>#N/A</v>
      </c>
      <c r="N6397" s="4" t="e">
        <f t="shared" ref="N6397:N6460" si="1311">IF(E6397="Dynamic Click",J6397*L6397,L6397*$I6397/1000)</f>
        <v>#N/A</v>
      </c>
    </row>
    <row r="6398" spans="1:14">
      <c r="A6398">
        <f t="shared" si="1299"/>
        <v>0</v>
      </c>
      <c r="B6398">
        <f t="shared" si="1300"/>
        <v>0</v>
      </c>
      <c r="C6398">
        <f t="shared" si="1301"/>
        <v>0</v>
      </c>
      <c r="D6398">
        <f t="shared" si="1302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3"/>
        <v>0</v>
      </c>
      <c r="G6398">
        <f t="shared" si="1304"/>
        <v>0</v>
      </c>
      <c r="H6398">
        <f t="shared" si="1305"/>
        <v>0</v>
      </c>
      <c r="I6398">
        <f t="shared" si="1306"/>
        <v>0</v>
      </c>
      <c r="J6398">
        <f t="shared" si="1307"/>
        <v>0</v>
      </c>
      <c r="K6398" s="4" t="e">
        <f t="shared" si="1308"/>
        <v>#N/A</v>
      </c>
      <c r="L6398" t="e">
        <f t="shared" si="1309"/>
        <v>#N/A</v>
      </c>
      <c r="M6398" s="4" t="e">
        <f t="shared" si="1310"/>
        <v>#N/A</v>
      </c>
      <c r="N6398" s="4" t="e">
        <f t="shared" si="1311"/>
        <v>#N/A</v>
      </c>
    </row>
    <row r="6399" spans="1:14">
      <c r="A6399">
        <f t="shared" si="1299"/>
        <v>0</v>
      </c>
      <c r="B6399">
        <f t="shared" si="1300"/>
        <v>0</v>
      </c>
      <c r="C6399">
        <f t="shared" si="1301"/>
        <v>0</v>
      </c>
      <c r="D6399">
        <f t="shared" si="1302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3"/>
        <v>0</v>
      </c>
      <c r="G6399">
        <f t="shared" si="1304"/>
        <v>0</v>
      </c>
      <c r="H6399">
        <f t="shared" si="1305"/>
        <v>0</v>
      </c>
      <c r="I6399">
        <f t="shared" si="1306"/>
        <v>0</v>
      </c>
      <c r="J6399">
        <f t="shared" si="1307"/>
        <v>0</v>
      </c>
      <c r="K6399" s="4" t="e">
        <f t="shared" si="1308"/>
        <v>#N/A</v>
      </c>
      <c r="L6399" t="e">
        <f t="shared" si="1309"/>
        <v>#N/A</v>
      </c>
      <c r="M6399" s="4" t="e">
        <f t="shared" si="1310"/>
        <v>#N/A</v>
      </c>
      <c r="N6399" s="4" t="e">
        <f t="shared" si="1311"/>
        <v>#N/A</v>
      </c>
    </row>
    <row r="6400" spans="1:14">
      <c r="A6400">
        <f t="shared" si="1299"/>
        <v>0</v>
      </c>
      <c r="B6400">
        <f t="shared" si="1300"/>
        <v>0</v>
      </c>
      <c r="C6400">
        <f t="shared" si="1301"/>
        <v>0</v>
      </c>
      <c r="D6400">
        <f t="shared" si="1302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3"/>
        <v>0</v>
      </c>
      <c r="G6400">
        <f t="shared" si="1304"/>
        <v>0</v>
      </c>
      <c r="H6400">
        <f t="shared" si="1305"/>
        <v>0</v>
      </c>
      <c r="I6400">
        <f t="shared" si="1306"/>
        <v>0</v>
      </c>
      <c r="J6400">
        <f t="shared" si="1307"/>
        <v>0</v>
      </c>
      <c r="K6400" s="4" t="e">
        <f t="shared" si="1308"/>
        <v>#N/A</v>
      </c>
      <c r="L6400" t="e">
        <f t="shared" si="1309"/>
        <v>#N/A</v>
      </c>
      <c r="M6400" s="4" t="e">
        <f t="shared" si="1310"/>
        <v>#N/A</v>
      </c>
      <c r="N6400" s="4" t="e">
        <f t="shared" si="1311"/>
        <v>#N/A</v>
      </c>
    </row>
    <row r="6401" spans="1:14">
      <c r="A6401">
        <f t="shared" si="1299"/>
        <v>0</v>
      </c>
      <c r="B6401">
        <f t="shared" si="1300"/>
        <v>0</v>
      </c>
      <c r="C6401">
        <f t="shared" si="1301"/>
        <v>0</v>
      </c>
      <c r="D6401">
        <f t="shared" si="1302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3"/>
        <v>0</v>
      </c>
      <c r="G6401">
        <f t="shared" si="1304"/>
        <v>0</v>
      </c>
      <c r="H6401">
        <f t="shared" si="1305"/>
        <v>0</v>
      </c>
      <c r="I6401">
        <f t="shared" si="1306"/>
        <v>0</v>
      </c>
      <c r="J6401">
        <f t="shared" si="1307"/>
        <v>0</v>
      </c>
      <c r="K6401" s="4" t="e">
        <f t="shared" si="1308"/>
        <v>#N/A</v>
      </c>
      <c r="L6401" t="e">
        <f t="shared" si="1309"/>
        <v>#N/A</v>
      </c>
      <c r="M6401" s="4" t="e">
        <f t="shared" si="1310"/>
        <v>#N/A</v>
      </c>
      <c r="N6401" s="4" t="e">
        <f t="shared" si="1311"/>
        <v>#N/A</v>
      </c>
    </row>
    <row r="6402" spans="1:14">
      <c r="A6402">
        <f t="shared" ref="A6402:A6465" si="1312">bd_campaign</f>
        <v>0</v>
      </c>
      <c r="B6402">
        <f t="shared" ref="B6402:B6465" si="1313">bd_site</f>
        <v>0</v>
      </c>
      <c r="C6402">
        <f t="shared" ref="C6402:C6465" si="1314">bd_placement</f>
        <v>0</v>
      </c>
      <c r="D6402">
        <f t="shared" ref="D6402:D6465" si="1315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6">bd_ad</f>
        <v>0</v>
      </c>
      <c r="G6402">
        <f t="shared" ref="G6402:G6465" si="1317">bd_adid</f>
        <v>0</v>
      </c>
      <c r="H6402">
        <f t="shared" ref="H6402:H6465" si="1318">bd_creativetype</f>
        <v>0</v>
      </c>
      <c r="I6402">
        <f t="shared" ref="I6402:I6465" si="1319">bd_impression</f>
        <v>0</v>
      </c>
      <c r="J6402">
        <f t="shared" ref="J6402:J6465" si="1320">bd_clicks</f>
        <v>0</v>
      </c>
      <c r="K6402" s="4" t="e">
        <f t="shared" si="1308"/>
        <v>#N/A</v>
      </c>
      <c r="L6402" t="e">
        <f t="shared" si="1309"/>
        <v>#N/A</v>
      </c>
      <c r="M6402" s="4" t="e">
        <f t="shared" si="1310"/>
        <v>#N/A</v>
      </c>
      <c r="N6402" s="4" t="e">
        <f t="shared" si="1311"/>
        <v>#N/A</v>
      </c>
    </row>
    <row r="6403" spans="1:14">
      <c r="A6403">
        <f t="shared" si="1312"/>
        <v>0</v>
      </c>
      <c r="B6403">
        <f t="shared" si="1313"/>
        <v>0</v>
      </c>
      <c r="C6403">
        <f t="shared" si="1314"/>
        <v>0</v>
      </c>
      <c r="D6403">
        <f t="shared" si="1315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6"/>
        <v>0</v>
      </c>
      <c r="G6403">
        <f t="shared" si="1317"/>
        <v>0</v>
      </c>
      <c r="H6403">
        <f t="shared" si="1318"/>
        <v>0</v>
      </c>
      <c r="I6403">
        <f t="shared" si="1319"/>
        <v>0</v>
      </c>
      <c r="J6403">
        <f t="shared" si="1320"/>
        <v>0</v>
      </c>
      <c r="K6403" s="4" t="e">
        <f t="shared" si="1308"/>
        <v>#N/A</v>
      </c>
      <c r="L6403" t="e">
        <f t="shared" si="1309"/>
        <v>#N/A</v>
      </c>
      <c r="M6403" s="4" t="e">
        <f t="shared" si="1310"/>
        <v>#N/A</v>
      </c>
      <c r="N6403" s="4" t="e">
        <f t="shared" si="1311"/>
        <v>#N/A</v>
      </c>
    </row>
    <row r="6404" spans="1:14">
      <c r="A6404">
        <f t="shared" si="1312"/>
        <v>0</v>
      </c>
      <c r="B6404">
        <f t="shared" si="1313"/>
        <v>0</v>
      </c>
      <c r="C6404">
        <f t="shared" si="1314"/>
        <v>0</v>
      </c>
      <c r="D6404">
        <f t="shared" si="1315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6"/>
        <v>0</v>
      </c>
      <c r="G6404">
        <f t="shared" si="1317"/>
        <v>0</v>
      </c>
      <c r="H6404">
        <f t="shared" si="1318"/>
        <v>0</v>
      </c>
      <c r="I6404">
        <f t="shared" si="1319"/>
        <v>0</v>
      </c>
      <c r="J6404">
        <f t="shared" si="1320"/>
        <v>0</v>
      </c>
      <c r="K6404" s="4" t="e">
        <f t="shared" si="1308"/>
        <v>#N/A</v>
      </c>
      <c r="L6404" t="e">
        <f t="shared" si="1309"/>
        <v>#N/A</v>
      </c>
      <c r="M6404" s="4" t="e">
        <f t="shared" si="1310"/>
        <v>#N/A</v>
      </c>
      <c r="N6404" s="4" t="e">
        <f t="shared" si="1311"/>
        <v>#N/A</v>
      </c>
    </row>
    <row r="6405" spans="1:14">
      <c r="A6405">
        <f t="shared" si="1312"/>
        <v>0</v>
      </c>
      <c r="B6405">
        <f t="shared" si="1313"/>
        <v>0</v>
      </c>
      <c r="C6405">
        <f t="shared" si="1314"/>
        <v>0</v>
      </c>
      <c r="D6405">
        <f t="shared" si="1315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6"/>
        <v>0</v>
      </c>
      <c r="G6405">
        <f t="shared" si="1317"/>
        <v>0</v>
      </c>
      <c r="H6405">
        <f t="shared" si="1318"/>
        <v>0</v>
      </c>
      <c r="I6405">
        <f t="shared" si="1319"/>
        <v>0</v>
      </c>
      <c r="J6405">
        <f t="shared" si="1320"/>
        <v>0</v>
      </c>
      <c r="K6405" s="4" t="e">
        <f t="shared" si="1308"/>
        <v>#N/A</v>
      </c>
      <c r="L6405" t="e">
        <f t="shared" si="1309"/>
        <v>#N/A</v>
      </c>
      <c r="M6405" s="4" t="e">
        <f t="shared" si="1310"/>
        <v>#N/A</v>
      </c>
      <c r="N6405" s="4" t="e">
        <f t="shared" si="1311"/>
        <v>#N/A</v>
      </c>
    </row>
    <row r="6406" spans="1:14">
      <c r="A6406">
        <f t="shared" si="1312"/>
        <v>0</v>
      </c>
      <c r="B6406">
        <f t="shared" si="1313"/>
        <v>0</v>
      </c>
      <c r="C6406">
        <f t="shared" si="1314"/>
        <v>0</v>
      </c>
      <c r="D6406">
        <f t="shared" si="1315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6"/>
        <v>0</v>
      </c>
      <c r="G6406">
        <f t="shared" si="1317"/>
        <v>0</v>
      </c>
      <c r="H6406">
        <f t="shared" si="1318"/>
        <v>0</v>
      </c>
      <c r="I6406">
        <f t="shared" si="1319"/>
        <v>0</v>
      </c>
      <c r="J6406">
        <f t="shared" si="1320"/>
        <v>0</v>
      </c>
      <c r="K6406" s="4" t="e">
        <f t="shared" si="1308"/>
        <v>#N/A</v>
      </c>
      <c r="L6406" t="e">
        <f t="shared" si="1309"/>
        <v>#N/A</v>
      </c>
      <c r="M6406" s="4" t="e">
        <f t="shared" si="1310"/>
        <v>#N/A</v>
      </c>
      <c r="N6406" s="4" t="e">
        <f t="shared" si="1311"/>
        <v>#N/A</v>
      </c>
    </row>
    <row r="6407" spans="1:14">
      <c r="A6407">
        <f t="shared" si="1312"/>
        <v>0</v>
      </c>
      <c r="B6407">
        <f t="shared" si="1313"/>
        <v>0</v>
      </c>
      <c r="C6407">
        <f t="shared" si="1314"/>
        <v>0</v>
      </c>
      <c r="D6407">
        <f t="shared" si="1315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6"/>
        <v>0</v>
      </c>
      <c r="G6407">
        <f t="shared" si="1317"/>
        <v>0</v>
      </c>
      <c r="H6407">
        <f t="shared" si="1318"/>
        <v>0</v>
      </c>
      <c r="I6407">
        <f t="shared" si="1319"/>
        <v>0</v>
      </c>
      <c r="J6407">
        <f t="shared" si="1320"/>
        <v>0</v>
      </c>
      <c r="K6407" s="4" t="e">
        <f t="shared" si="1308"/>
        <v>#N/A</v>
      </c>
      <c r="L6407" t="e">
        <f t="shared" si="1309"/>
        <v>#N/A</v>
      </c>
      <c r="M6407" s="4" t="e">
        <f t="shared" si="1310"/>
        <v>#N/A</v>
      </c>
      <c r="N6407" s="4" t="e">
        <f t="shared" si="1311"/>
        <v>#N/A</v>
      </c>
    </row>
    <row r="6408" spans="1:14">
      <c r="A6408">
        <f t="shared" si="1312"/>
        <v>0</v>
      </c>
      <c r="B6408">
        <f t="shared" si="1313"/>
        <v>0</v>
      </c>
      <c r="C6408">
        <f t="shared" si="1314"/>
        <v>0</v>
      </c>
      <c r="D6408">
        <f t="shared" si="1315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6"/>
        <v>0</v>
      </c>
      <c r="G6408">
        <f t="shared" si="1317"/>
        <v>0</v>
      </c>
      <c r="H6408">
        <f t="shared" si="1318"/>
        <v>0</v>
      </c>
      <c r="I6408">
        <f t="shared" si="1319"/>
        <v>0</v>
      </c>
      <c r="J6408">
        <f t="shared" si="1320"/>
        <v>0</v>
      </c>
      <c r="K6408" s="4" t="e">
        <f t="shared" si="1308"/>
        <v>#N/A</v>
      </c>
      <c r="L6408" t="e">
        <f t="shared" si="1309"/>
        <v>#N/A</v>
      </c>
      <c r="M6408" s="4" t="e">
        <f t="shared" si="1310"/>
        <v>#N/A</v>
      </c>
      <c r="N6408" s="4" t="e">
        <f t="shared" si="1311"/>
        <v>#N/A</v>
      </c>
    </row>
    <row r="6409" spans="1:14">
      <c r="A6409">
        <f t="shared" si="1312"/>
        <v>0</v>
      </c>
      <c r="B6409">
        <f t="shared" si="1313"/>
        <v>0</v>
      </c>
      <c r="C6409">
        <f t="shared" si="1314"/>
        <v>0</v>
      </c>
      <c r="D6409">
        <f t="shared" si="1315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6"/>
        <v>0</v>
      </c>
      <c r="G6409">
        <f t="shared" si="1317"/>
        <v>0</v>
      </c>
      <c r="H6409">
        <f t="shared" si="1318"/>
        <v>0</v>
      </c>
      <c r="I6409">
        <f t="shared" si="1319"/>
        <v>0</v>
      </c>
      <c r="J6409">
        <f t="shared" si="1320"/>
        <v>0</v>
      </c>
      <c r="K6409" s="4" t="e">
        <f t="shared" si="1308"/>
        <v>#N/A</v>
      </c>
      <c r="L6409" t="e">
        <f t="shared" si="1309"/>
        <v>#N/A</v>
      </c>
      <c r="M6409" s="4" t="e">
        <f t="shared" si="1310"/>
        <v>#N/A</v>
      </c>
      <c r="N6409" s="4" t="e">
        <f t="shared" si="1311"/>
        <v>#N/A</v>
      </c>
    </row>
    <row r="6410" spans="1:14">
      <c r="A6410">
        <f t="shared" si="1312"/>
        <v>0</v>
      </c>
      <c r="B6410">
        <f t="shared" si="1313"/>
        <v>0</v>
      </c>
      <c r="C6410">
        <f t="shared" si="1314"/>
        <v>0</v>
      </c>
      <c r="D6410">
        <f t="shared" si="1315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6"/>
        <v>0</v>
      </c>
      <c r="G6410">
        <f t="shared" si="1317"/>
        <v>0</v>
      </c>
      <c r="H6410">
        <f t="shared" si="1318"/>
        <v>0</v>
      </c>
      <c r="I6410">
        <f t="shared" si="1319"/>
        <v>0</v>
      </c>
      <c r="J6410">
        <f t="shared" si="1320"/>
        <v>0</v>
      </c>
      <c r="K6410" s="4" t="e">
        <f t="shared" si="1308"/>
        <v>#N/A</v>
      </c>
      <c r="L6410" t="e">
        <f t="shared" si="1309"/>
        <v>#N/A</v>
      </c>
      <c r="M6410" s="4" t="e">
        <f t="shared" si="1310"/>
        <v>#N/A</v>
      </c>
      <c r="N6410" s="4" t="e">
        <f t="shared" si="1311"/>
        <v>#N/A</v>
      </c>
    </row>
    <row r="6411" spans="1:14">
      <c r="A6411">
        <f t="shared" si="1312"/>
        <v>0</v>
      </c>
      <c r="B6411">
        <f t="shared" si="1313"/>
        <v>0</v>
      </c>
      <c r="C6411">
        <f t="shared" si="1314"/>
        <v>0</v>
      </c>
      <c r="D6411">
        <f t="shared" si="1315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6"/>
        <v>0</v>
      </c>
      <c r="G6411">
        <f t="shared" si="1317"/>
        <v>0</v>
      </c>
      <c r="H6411">
        <f t="shared" si="1318"/>
        <v>0</v>
      </c>
      <c r="I6411">
        <f t="shared" si="1319"/>
        <v>0</v>
      </c>
      <c r="J6411">
        <f t="shared" si="1320"/>
        <v>0</v>
      </c>
      <c r="K6411" s="4" t="e">
        <f t="shared" si="1308"/>
        <v>#N/A</v>
      </c>
      <c r="L6411" t="e">
        <f t="shared" si="1309"/>
        <v>#N/A</v>
      </c>
      <c r="M6411" s="4" t="e">
        <f t="shared" si="1310"/>
        <v>#N/A</v>
      </c>
      <c r="N6411" s="4" t="e">
        <f t="shared" si="1311"/>
        <v>#N/A</v>
      </c>
    </row>
    <row r="6412" spans="1:14">
      <c r="A6412">
        <f t="shared" si="1312"/>
        <v>0</v>
      </c>
      <c r="B6412">
        <f t="shared" si="1313"/>
        <v>0</v>
      </c>
      <c r="C6412">
        <f t="shared" si="1314"/>
        <v>0</v>
      </c>
      <c r="D6412">
        <f t="shared" si="1315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6"/>
        <v>0</v>
      </c>
      <c r="G6412">
        <f t="shared" si="1317"/>
        <v>0</v>
      </c>
      <c r="H6412">
        <f t="shared" si="1318"/>
        <v>0</v>
      </c>
      <c r="I6412">
        <f t="shared" si="1319"/>
        <v>0</v>
      </c>
      <c r="J6412">
        <f t="shared" si="1320"/>
        <v>0</v>
      </c>
      <c r="K6412" s="4" t="e">
        <f t="shared" si="1308"/>
        <v>#N/A</v>
      </c>
      <c r="L6412" t="e">
        <f t="shared" si="1309"/>
        <v>#N/A</v>
      </c>
      <c r="M6412" s="4" t="e">
        <f t="shared" si="1310"/>
        <v>#N/A</v>
      </c>
      <c r="N6412" s="4" t="e">
        <f t="shared" si="1311"/>
        <v>#N/A</v>
      </c>
    </row>
    <row r="6413" spans="1:14">
      <c r="A6413">
        <f t="shared" si="1312"/>
        <v>0</v>
      </c>
      <c r="B6413">
        <f t="shared" si="1313"/>
        <v>0</v>
      </c>
      <c r="C6413">
        <f t="shared" si="1314"/>
        <v>0</v>
      </c>
      <c r="D6413">
        <f t="shared" si="1315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6"/>
        <v>0</v>
      </c>
      <c r="G6413">
        <f t="shared" si="1317"/>
        <v>0</v>
      </c>
      <c r="H6413">
        <f t="shared" si="1318"/>
        <v>0</v>
      </c>
      <c r="I6413">
        <f t="shared" si="1319"/>
        <v>0</v>
      </c>
      <c r="J6413">
        <f t="shared" si="1320"/>
        <v>0</v>
      </c>
      <c r="K6413" s="4" t="e">
        <f t="shared" si="1308"/>
        <v>#N/A</v>
      </c>
      <c r="L6413" t="e">
        <f t="shared" si="1309"/>
        <v>#N/A</v>
      </c>
      <c r="M6413" s="4" t="e">
        <f t="shared" si="1310"/>
        <v>#N/A</v>
      </c>
      <c r="N6413" s="4" t="e">
        <f t="shared" si="1311"/>
        <v>#N/A</v>
      </c>
    </row>
    <row r="6414" spans="1:14">
      <c r="A6414">
        <f t="shared" si="1312"/>
        <v>0</v>
      </c>
      <c r="B6414">
        <f t="shared" si="1313"/>
        <v>0</v>
      </c>
      <c r="C6414">
        <f t="shared" si="1314"/>
        <v>0</v>
      </c>
      <c r="D6414">
        <f t="shared" si="1315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6"/>
        <v>0</v>
      </c>
      <c r="G6414">
        <f t="shared" si="1317"/>
        <v>0</v>
      </c>
      <c r="H6414">
        <f t="shared" si="1318"/>
        <v>0</v>
      </c>
      <c r="I6414">
        <f t="shared" si="1319"/>
        <v>0</v>
      </c>
      <c r="J6414">
        <f t="shared" si="1320"/>
        <v>0</v>
      </c>
      <c r="K6414" s="4" t="e">
        <f t="shared" si="1308"/>
        <v>#N/A</v>
      </c>
      <c r="L6414" t="e">
        <f t="shared" si="1309"/>
        <v>#N/A</v>
      </c>
      <c r="M6414" s="4" t="e">
        <f t="shared" si="1310"/>
        <v>#N/A</v>
      </c>
      <c r="N6414" s="4" t="e">
        <f t="shared" si="1311"/>
        <v>#N/A</v>
      </c>
    </row>
    <row r="6415" spans="1:14">
      <c r="A6415">
        <f t="shared" si="1312"/>
        <v>0</v>
      </c>
      <c r="B6415">
        <f t="shared" si="1313"/>
        <v>0</v>
      </c>
      <c r="C6415">
        <f t="shared" si="1314"/>
        <v>0</v>
      </c>
      <c r="D6415">
        <f t="shared" si="1315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6"/>
        <v>0</v>
      </c>
      <c r="G6415">
        <f t="shared" si="1317"/>
        <v>0</v>
      </c>
      <c r="H6415">
        <f t="shared" si="1318"/>
        <v>0</v>
      </c>
      <c r="I6415">
        <f t="shared" si="1319"/>
        <v>0</v>
      </c>
      <c r="J6415">
        <f t="shared" si="1320"/>
        <v>0</v>
      </c>
      <c r="K6415" s="4" t="e">
        <f t="shared" si="1308"/>
        <v>#N/A</v>
      </c>
      <c r="L6415" t="e">
        <f t="shared" si="1309"/>
        <v>#N/A</v>
      </c>
      <c r="M6415" s="4" t="e">
        <f t="shared" si="1310"/>
        <v>#N/A</v>
      </c>
      <c r="N6415" s="4" t="e">
        <f t="shared" si="1311"/>
        <v>#N/A</v>
      </c>
    </row>
    <row r="6416" spans="1:14">
      <c r="A6416">
        <f t="shared" si="1312"/>
        <v>0</v>
      </c>
      <c r="B6416">
        <f t="shared" si="1313"/>
        <v>0</v>
      </c>
      <c r="C6416">
        <f t="shared" si="1314"/>
        <v>0</v>
      </c>
      <c r="D6416">
        <f t="shared" si="1315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6"/>
        <v>0</v>
      </c>
      <c r="G6416">
        <f t="shared" si="1317"/>
        <v>0</v>
      </c>
      <c r="H6416">
        <f t="shared" si="1318"/>
        <v>0</v>
      </c>
      <c r="I6416">
        <f t="shared" si="1319"/>
        <v>0</v>
      </c>
      <c r="J6416">
        <f t="shared" si="1320"/>
        <v>0</v>
      </c>
      <c r="K6416" s="4" t="e">
        <f t="shared" si="1308"/>
        <v>#N/A</v>
      </c>
      <c r="L6416" t="e">
        <f t="shared" si="1309"/>
        <v>#N/A</v>
      </c>
      <c r="M6416" s="4" t="e">
        <f t="shared" si="1310"/>
        <v>#N/A</v>
      </c>
      <c r="N6416" s="4" t="e">
        <f t="shared" si="1311"/>
        <v>#N/A</v>
      </c>
    </row>
    <row r="6417" spans="1:14">
      <c r="A6417">
        <f t="shared" si="1312"/>
        <v>0</v>
      </c>
      <c r="B6417">
        <f t="shared" si="1313"/>
        <v>0</v>
      </c>
      <c r="C6417">
        <f t="shared" si="1314"/>
        <v>0</v>
      </c>
      <c r="D6417">
        <f t="shared" si="1315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6"/>
        <v>0</v>
      </c>
      <c r="G6417">
        <f t="shared" si="1317"/>
        <v>0</v>
      </c>
      <c r="H6417">
        <f t="shared" si="1318"/>
        <v>0</v>
      </c>
      <c r="I6417">
        <f t="shared" si="1319"/>
        <v>0</v>
      </c>
      <c r="J6417">
        <f t="shared" si="1320"/>
        <v>0</v>
      </c>
      <c r="K6417" s="4" t="e">
        <f t="shared" si="1308"/>
        <v>#N/A</v>
      </c>
      <c r="L6417" t="e">
        <f t="shared" si="1309"/>
        <v>#N/A</v>
      </c>
      <c r="M6417" s="4" t="e">
        <f t="shared" si="1310"/>
        <v>#N/A</v>
      </c>
      <c r="N6417" s="4" t="e">
        <f t="shared" si="1311"/>
        <v>#N/A</v>
      </c>
    </row>
    <row r="6418" spans="1:14">
      <c r="A6418">
        <f t="shared" si="1312"/>
        <v>0</v>
      </c>
      <c r="B6418">
        <f t="shared" si="1313"/>
        <v>0</v>
      </c>
      <c r="C6418">
        <f t="shared" si="1314"/>
        <v>0</v>
      </c>
      <c r="D6418">
        <f t="shared" si="1315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6"/>
        <v>0</v>
      </c>
      <c r="G6418">
        <f t="shared" si="1317"/>
        <v>0</v>
      </c>
      <c r="H6418">
        <f t="shared" si="1318"/>
        <v>0</v>
      </c>
      <c r="I6418">
        <f t="shared" si="1319"/>
        <v>0</v>
      </c>
      <c r="J6418">
        <f t="shared" si="1320"/>
        <v>0</v>
      </c>
      <c r="K6418" s="4" t="e">
        <f t="shared" si="1308"/>
        <v>#N/A</v>
      </c>
      <c r="L6418" t="e">
        <f t="shared" si="1309"/>
        <v>#N/A</v>
      </c>
      <c r="M6418" s="4" t="e">
        <f t="shared" si="1310"/>
        <v>#N/A</v>
      </c>
      <c r="N6418" s="4" t="e">
        <f t="shared" si="1311"/>
        <v>#N/A</v>
      </c>
    </row>
    <row r="6419" spans="1:14">
      <c r="A6419">
        <f t="shared" si="1312"/>
        <v>0</v>
      </c>
      <c r="B6419">
        <f t="shared" si="1313"/>
        <v>0</v>
      </c>
      <c r="C6419">
        <f t="shared" si="1314"/>
        <v>0</v>
      </c>
      <c r="D6419">
        <f t="shared" si="1315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6"/>
        <v>0</v>
      </c>
      <c r="G6419">
        <f t="shared" si="1317"/>
        <v>0</v>
      </c>
      <c r="H6419">
        <f t="shared" si="1318"/>
        <v>0</v>
      </c>
      <c r="I6419">
        <f t="shared" si="1319"/>
        <v>0</v>
      </c>
      <c r="J6419">
        <f t="shared" si="1320"/>
        <v>0</v>
      </c>
      <c r="K6419" s="4" t="e">
        <f t="shared" si="1308"/>
        <v>#N/A</v>
      </c>
      <c r="L6419" t="e">
        <f t="shared" si="1309"/>
        <v>#N/A</v>
      </c>
      <c r="M6419" s="4" t="e">
        <f t="shared" si="1310"/>
        <v>#N/A</v>
      </c>
      <c r="N6419" s="4" t="e">
        <f t="shared" si="1311"/>
        <v>#N/A</v>
      </c>
    </row>
    <row r="6420" spans="1:14">
      <c r="A6420">
        <f t="shared" si="1312"/>
        <v>0</v>
      </c>
      <c r="B6420">
        <f t="shared" si="1313"/>
        <v>0</v>
      </c>
      <c r="C6420">
        <f t="shared" si="1314"/>
        <v>0</v>
      </c>
      <c r="D6420">
        <f t="shared" si="1315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6"/>
        <v>0</v>
      </c>
      <c r="G6420">
        <f t="shared" si="1317"/>
        <v>0</v>
      </c>
      <c r="H6420">
        <f t="shared" si="1318"/>
        <v>0</v>
      </c>
      <c r="I6420">
        <f t="shared" si="1319"/>
        <v>0</v>
      </c>
      <c r="J6420">
        <f t="shared" si="1320"/>
        <v>0</v>
      </c>
      <c r="K6420" s="4" t="e">
        <f t="shared" si="1308"/>
        <v>#N/A</v>
      </c>
      <c r="L6420" t="e">
        <f t="shared" si="1309"/>
        <v>#N/A</v>
      </c>
      <c r="M6420" s="4" t="e">
        <f t="shared" si="1310"/>
        <v>#N/A</v>
      </c>
      <c r="N6420" s="4" t="e">
        <f t="shared" si="1311"/>
        <v>#N/A</v>
      </c>
    </row>
    <row r="6421" spans="1:14">
      <c r="A6421">
        <f t="shared" si="1312"/>
        <v>0</v>
      </c>
      <c r="B6421">
        <f t="shared" si="1313"/>
        <v>0</v>
      </c>
      <c r="C6421">
        <f t="shared" si="1314"/>
        <v>0</v>
      </c>
      <c r="D6421">
        <f t="shared" si="1315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6"/>
        <v>0</v>
      </c>
      <c r="G6421">
        <f t="shared" si="1317"/>
        <v>0</v>
      </c>
      <c r="H6421">
        <f t="shared" si="1318"/>
        <v>0</v>
      </c>
      <c r="I6421">
        <f t="shared" si="1319"/>
        <v>0</v>
      </c>
      <c r="J6421">
        <f t="shared" si="1320"/>
        <v>0</v>
      </c>
      <c r="K6421" s="4" t="e">
        <f t="shared" si="1308"/>
        <v>#N/A</v>
      </c>
      <c r="L6421" t="e">
        <f t="shared" si="1309"/>
        <v>#N/A</v>
      </c>
      <c r="M6421" s="4" t="e">
        <f t="shared" si="1310"/>
        <v>#N/A</v>
      </c>
      <c r="N6421" s="4" t="e">
        <f t="shared" si="1311"/>
        <v>#N/A</v>
      </c>
    </row>
    <row r="6422" spans="1:14">
      <c r="A6422">
        <f t="shared" si="1312"/>
        <v>0</v>
      </c>
      <c r="B6422">
        <f t="shared" si="1313"/>
        <v>0</v>
      </c>
      <c r="C6422">
        <f t="shared" si="1314"/>
        <v>0</v>
      </c>
      <c r="D6422">
        <f t="shared" si="1315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6"/>
        <v>0</v>
      </c>
      <c r="G6422">
        <f t="shared" si="1317"/>
        <v>0</v>
      </c>
      <c r="H6422">
        <f t="shared" si="1318"/>
        <v>0</v>
      </c>
      <c r="I6422">
        <f t="shared" si="1319"/>
        <v>0</v>
      </c>
      <c r="J6422">
        <f t="shared" si="1320"/>
        <v>0</v>
      </c>
      <c r="K6422" s="4" t="e">
        <f t="shared" si="1308"/>
        <v>#N/A</v>
      </c>
      <c r="L6422" t="e">
        <f t="shared" si="1309"/>
        <v>#N/A</v>
      </c>
      <c r="M6422" s="4" t="e">
        <f t="shared" si="1310"/>
        <v>#N/A</v>
      </c>
      <c r="N6422" s="4" t="e">
        <f t="shared" si="1311"/>
        <v>#N/A</v>
      </c>
    </row>
    <row r="6423" spans="1:14">
      <c r="A6423">
        <f t="shared" si="1312"/>
        <v>0</v>
      </c>
      <c r="B6423">
        <f t="shared" si="1313"/>
        <v>0</v>
      </c>
      <c r="C6423">
        <f t="shared" si="1314"/>
        <v>0</v>
      </c>
      <c r="D6423">
        <f t="shared" si="1315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6"/>
        <v>0</v>
      </c>
      <c r="G6423">
        <f t="shared" si="1317"/>
        <v>0</v>
      </c>
      <c r="H6423">
        <f t="shared" si="1318"/>
        <v>0</v>
      </c>
      <c r="I6423">
        <f t="shared" si="1319"/>
        <v>0</v>
      </c>
      <c r="J6423">
        <f t="shared" si="1320"/>
        <v>0</v>
      </c>
      <c r="K6423" s="4" t="e">
        <f t="shared" si="1308"/>
        <v>#N/A</v>
      </c>
      <c r="L6423" t="e">
        <f t="shared" si="1309"/>
        <v>#N/A</v>
      </c>
      <c r="M6423" s="4" t="e">
        <f t="shared" si="1310"/>
        <v>#N/A</v>
      </c>
      <c r="N6423" s="4" t="e">
        <f t="shared" si="1311"/>
        <v>#N/A</v>
      </c>
    </row>
    <row r="6424" spans="1:14">
      <c r="A6424">
        <f t="shared" si="1312"/>
        <v>0</v>
      </c>
      <c r="B6424">
        <f t="shared" si="1313"/>
        <v>0</v>
      </c>
      <c r="C6424">
        <f t="shared" si="1314"/>
        <v>0</v>
      </c>
      <c r="D6424">
        <f t="shared" si="1315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6"/>
        <v>0</v>
      </c>
      <c r="G6424">
        <f t="shared" si="1317"/>
        <v>0</v>
      </c>
      <c r="H6424">
        <f t="shared" si="1318"/>
        <v>0</v>
      </c>
      <c r="I6424">
        <f t="shared" si="1319"/>
        <v>0</v>
      </c>
      <c r="J6424">
        <f t="shared" si="1320"/>
        <v>0</v>
      </c>
      <c r="K6424" s="4" t="e">
        <f t="shared" si="1308"/>
        <v>#N/A</v>
      </c>
      <c r="L6424" t="e">
        <f t="shared" si="1309"/>
        <v>#N/A</v>
      </c>
      <c r="M6424" s="4" t="e">
        <f t="shared" si="1310"/>
        <v>#N/A</v>
      </c>
      <c r="N6424" s="4" t="e">
        <f t="shared" si="1311"/>
        <v>#N/A</v>
      </c>
    </row>
    <row r="6425" spans="1:14">
      <c r="A6425">
        <f t="shared" si="1312"/>
        <v>0</v>
      </c>
      <c r="B6425">
        <f t="shared" si="1313"/>
        <v>0</v>
      </c>
      <c r="C6425">
        <f t="shared" si="1314"/>
        <v>0</v>
      </c>
      <c r="D6425">
        <f t="shared" si="1315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6"/>
        <v>0</v>
      </c>
      <c r="G6425">
        <f t="shared" si="1317"/>
        <v>0</v>
      </c>
      <c r="H6425">
        <f t="shared" si="1318"/>
        <v>0</v>
      </c>
      <c r="I6425">
        <f t="shared" si="1319"/>
        <v>0</v>
      </c>
      <c r="J6425">
        <f t="shared" si="1320"/>
        <v>0</v>
      </c>
      <c r="K6425" s="4" t="e">
        <f t="shared" si="1308"/>
        <v>#N/A</v>
      </c>
      <c r="L6425" t="e">
        <f t="shared" si="1309"/>
        <v>#N/A</v>
      </c>
      <c r="M6425" s="4" t="e">
        <f t="shared" si="1310"/>
        <v>#N/A</v>
      </c>
      <c r="N6425" s="4" t="e">
        <f t="shared" si="1311"/>
        <v>#N/A</v>
      </c>
    </row>
    <row r="6426" spans="1:14">
      <c r="A6426">
        <f t="shared" si="1312"/>
        <v>0</v>
      </c>
      <c r="B6426">
        <f t="shared" si="1313"/>
        <v>0</v>
      </c>
      <c r="C6426">
        <f t="shared" si="1314"/>
        <v>0</v>
      </c>
      <c r="D6426">
        <f t="shared" si="1315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6"/>
        <v>0</v>
      </c>
      <c r="G6426">
        <f t="shared" si="1317"/>
        <v>0</v>
      </c>
      <c r="H6426">
        <f t="shared" si="1318"/>
        <v>0</v>
      </c>
      <c r="I6426">
        <f t="shared" si="1319"/>
        <v>0</v>
      </c>
      <c r="J6426">
        <f t="shared" si="1320"/>
        <v>0</v>
      </c>
      <c r="K6426" s="4" t="e">
        <f t="shared" si="1308"/>
        <v>#N/A</v>
      </c>
      <c r="L6426" t="e">
        <f t="shared" si="1309"/>
        <v>#N/A</v>
      </c>
      <c r="M6426" s="4" t="e">
        <f t="shared" si="1310"/>
        <v>#N/A</v>
      </c>
      <c r="N6426" s="4" t="e">
        <f t="shared" si="1311"/>
        <v>#N/A</v>
      </c>
    </row>
    <row r="6427" spans="1:14">
      <c r="A6427">
        <f t="shared" si="1312"/>
        <v>0</v>
      </c>
      <c r="B6427">
        <f t="shared" si="1313"/>
        <v>0</v>
      </c>
      <c r="C6427">
        <f t="shared" si="1314"/>
        <v>0</v>
      </c>
      <c r="D6427">
        <f t="shared" si="1315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6"/>
        <v>0</v>
      </c>
      <c r="G6427">
        <f t="shared" si="1317"/>
        <v>0</v>
      </c>
      <c r="H6427">
        <f t="shared" si="1318"/>
        <v>0</v>
      </c>
      <c r="I6427">
        <f t="shared" si="1319"/>
        <v>0</v>
      </c>
      <c r="J6427">
        <f t="shared" si="1320"/>
        <v>0</v>
      </c>
      <c r="K6427" s="4" t="e">
        <f t="shared" si="1308"/>
        <v>#N/A</v>
      </c>
      <c r="L6427" t="e">
        <f t="shared" si="1309"/>
        <v>#N/A</v>
      </c>
      <c r="M6427" s="4" t="e">
        <f t="shared" si="1310"/>
        <v>#N/A</v>
      </c>
      <c r="N6427" s="4" t="e">
        <f t="shared" si="1311"/>
        <v>#N/A</v>
      </c>
    </row>
    <row r="6428" spans="1:14">
      <c r="A6428">
        <f t="shared" si="1312"/>
        <v>0</v>
      </c>
      <c r="B6428">
        <f t="shared" si="1313"/>
        <v>0</v>
      </c>
      <c r="C6428">
        <f t="shared" si="1314"/>
        <v>0</v>
      </c>
      <c r="D6428">
        <f t="shared" si="1315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6"/>
        <v>0</v>
      </c>
      <c r="G6428">
        <f t="shared" si="1317"/>
        <v>0</v>
      </c>
      <c r="H6428">
        <f t="shared" si="1318"/>
        <v>0</v>
      </c>
      <c r="I6428">
        <f t="shared" si="1319"/>
        <v>0</v>
      </c>
      <c r="J6428">
        <f t="shared" si="1320"/>
        <v>0</v>
      </c>
      <c r="K6428" s="4" t="e">
        <f t="shared" si="1308"/>
        <v>#N/A</v>
      </c>
      <c r="L6428" t="e">
        <f t="shared" si="1309"/>
        <v>#N/A</v>
      </c>
      <c r="M6428" s="4" t="e">
        <f t="shared" si="1310"/>
        <v>#N/A</v>
      </c>
      <c r="N6428" s="4" t="e">
        <f t="shared" si="1311"/>
        <v>#N/A</v>
      </c>
    </row>
    <row r="6429" spans="1:14">
      <c r="A6429">
        <f t="shared" si="1312"/>
        <v>0</v>
      </c>
      <c r="B6429">
        <f t="shared" si="1313"/>
        <v>0</v>
      </c>
      <c r="C6429">
        <f t="shared" si="1314"/>
        <v>0</v>
      </c>
      <c r="D6429">
        <f t="shared" si="1315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6"/>
        <v>0</v>
      </c>
      <c r="G6429">
        <f t="shared" si="1317"/>
        <v>0</v>
      </c>
      <c r="H6429">
        <f t="shared" si="1318"/>
        <v>0</v>
      </c>
      <c r="I6429">
        <f t="shared" si="1319"/>
        <v>0</v>
      </c>
      <c r="J6429">
        <f t="shared" si="1320"/>
        <v>0</v>
      </c>
      <c r="K6429" s="4" t="e">
        <f t="shared" si="1308"/>
        <v>#N/A</v>
      </c>
      <c r="L6429" t="e">
        <f t="shared" si="1309"/>
        <v>#N/A</v>
      </c>
      <c r="M6429" s="4" t="e">
        <f t="shared" si="1310"/>
        <v>#N/A</v>
      </c>
      <c r="N6429" s="4" t="e">
        <f t="shared" si="1311"/>
        <v>#N/A</v>
      </c>
    </row>
    <row r="6430" spans="1:14">
      <c r="A6430">
        <f t="shared" si="1312"/>
        <v>0</v>
      </c>
      <c r="B6430">
        <f t="shared" si="1313"/>
        <v>0</v>
      </c>
      <c r="C6430">
        <f t="shared" si="1314"/>
        <v>0</v>
      </c>
      <c r="D6430">
        <f t="shared" si="1315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6"/>
        <v>0</v>
      </c>
      <c r="G6430">
        <f t="shared" si="1317"/>
        <v>0</v>
      </c>
      <c r="H6430">
        <f t="shared" si="1318"/>
        <v>0</v>
      </c>
      <c r="I6430">
        <f t="shared" si="1319"/>
        <v>0</v>
      </c>
      <c r="J6430">
        <f t="shared" si="1320"/>
        <v>0</v>
      </c>
      <c r="K6430" s="4" t="e">
        <f t="shared" si="1308"/>
        <v>#N/A</v>
      </c>
      <c r="L6430" t="e">
        <f t="shared" si="1309"/>
        <v>#N/A</v>
      </c>
      <c r="M6430" s="4" t="e">
        <f t="shared" si="1310"/>
        <v>#N/A</v>
      </c>
      <c r="N6430" s="4" t="e">
        <f t="shared" si="1311"/>
        <v>#N/A</v>
      </c>
    </row>
    <row r="6431" spans="1:14">
      <c r="A6431">
        <f t="shared" si="1312"/>
        <v>0</v>
      </c>
      <c r="B6431">
        <f t="shared" si="1313"/>
        <v>0</v>
      </c>
      <c r="C6431">
        <f t="shared" si="1314"/>
        <v>0</v>
      </c>
      <c r="D6431">
        <f t="shared" si="1315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6"/>
        <v>0</v>
      </c>
      <c r="G6431">
        <f t="shared" si="1317"/>
        <v>0</v>
      </c>
      <c r="H6431">
        <f t="shared" si="1318"/>
        <v>0</v>
      </c>
      <c r="I6431">
        <f t="shared" si="1319"/>
        <v>0</v>
      </c>
      <c r="J6431">
        <f t="shared" si="1320"/>
        <v>0</v>
      </c>
      <c r="K6431" s="4" t="e">
        <f t="shared" si="1308"/>
        <v>#N/A</v>
      </c>
      <c r="L6431" t="e">
        <f t="shared" si="1309"/>
        <v>#N/A</v>
      </c>
      <c r="M6431" s="4" t="e">
        <f t="shared" si="1310"/>
        <v>#N/A</v>
      </c>
      <c r="N6431" s="4" t="e">
        <f t="shared" si="1311"/>
        <v>#N/A</v>
      </c>
    </row>
    <row r="6432" spans="1:14">
      <c r="A6432">
        <f t="shared" si="1312"/>
        <v>0</v>
      </c>
      <c r="B6432">
        <f t="shared" si="1313"/>
        <v>0</v>
      </c>
      <c r="C6432">
        <f t="shared" si="1314"/>
        <v>0</v>
      </c>
      <c r="D6432">
        <f t="shared" si="1315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6"/>
        <v>0</v>
      </c>
      <c r="G6432">
        <f t="shared" si="1317"/>
        <v>0</v>
      </c>
      <c r="H6432">
        <f t="shared" si="1318"/>
        <v>0</v>
      </c>
      <c r="I6432">
        <f t="shared" si="1319"/>
        <v>0</v>
      </c>
      <c r="J6432">
        <f t="shared" si="1320"/>
        <v>0</v>
      </c>
      <c r="K6432" s="4" t="e">
        <f t="shared" si="1308"/>
        <v>#N/A</v>
      </c>
      <c r="L6432" t="e">
        <f t="shared" si="1309"/>
        <v>#N/A</v>
      </c>
      <c r="M6432" s="4" t="e">
        <f t="shared" si="1310"/>
        <v>#N/A</v>
      </c>
      <c r="N6432" s="4" t="e">
        <f t="shared" si="1311"/>
        <v>#N/A</v>
      </c>
    </row>
    <row r="6433" spans="1:14">
      <c r="A6433">
        <f t="shared" si="1312"/>
        <v>0</v>
      </c>
      <c r="B6433">
        <f t="shared" si="1313"/>
        <v>0</v>
      </c>
      <c r="C6433">
        <f t="shared" si="1314"/>
        <v>0</v>
      </c>
      <c r="D6433">
        <f t="shared" si="1315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6"/>
        <v>0</v>
      </c>
      <c r="G6433">
        <f t="shared" si="1317"/>
        <v>0</v>
      </c>
      <c r="H6433">
        <f t="shared" si="1318"/>
        <v>0</v>
      </c>
      <c r="I6433">
        <f t="shared" si="1319"/>
        <v>0</v>
      </c>
      <c r="J6433">
        <f t="shared" si="1320"/>
        <v>0</v>
      </c>
      <c r="K6433" s="4" t="e">
        <f t="shared" si="1308"/>
        <v>#N/A</v>
      </c>
      <c r="L6433" t="e">
        <f t="shared" si="1309"/>
        <v>#N/A</v>
      </c>
      <c r="M6433" s="4" t="e">
        <f t="shared" si="1310"/>
        <v>#N/A</v>
      </c>
      <c r="N6433" s="4" t="e">
        <f t="shared" si="1311"/>
        <v>#N/A</v>
      </c>
    </row>
    <row r="6434" spans="1:14">
      <c r="A6434">
        <f t="shared" si="1312"/>
        <v>0</v>
      </c>
      <c r="B6434">
        <f t="shared" si="1313"/>
        <v>0</v>
      </c>
      <c r="C6434">
        <f t="shared" si="1314"/>
        <v>0</v>
      </c>
      <c r="D6434">
        <f t="shared" si="1315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6"/>
        <v>0</v>
      </c>
      <c r="G6434">
        <f t="shared" si="1317"/>
        <v>0</v>
      </c>
      <c r="H6434">
        <f t="shared" si="1318"/>
        <v>0</v>
      </c>
      <c r="I6434">
        <f t="shared" si="1319"/>
        <v>0</v>
      </c>
      <c r="J6434">
        <f t="shared" si="1320"/>
        <v>0</v>
      </c>
      <c r="K6434" s="4" t="e">
        <f t="shared" si="1308"/>
        <v>#N/A</v>
      </c>
      <c r="L6434" t="e">
        <f t="shared" si="1309"/>
        <v>#N/A</v>
      </c>
      <c r="M6434" s="4" t="e">
        <f t="shared" si="1310"/>
        <v>#N/A</v>
      </c>
      <c r="N6434" s="4" t="e">
        <f t="shared" si="1311"/>
        <v>#N/A</v>
      </c>
    </row>
    <row r="6435" spans="1:14">
      <c r="A6435">
        <f t="shared" si="1312"/>
        <v>0</v>
      </c>
      <c r="B6435">
        <f t="shared" si="1313"/>
        <v>0</v>
      </c>
      <c r="C6435">
        <f t="shared" si="1314"/>
        <v>0</v>
      </c>
      <c r="D6435">
        <f t="shared" si="1315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6"/>
        <v>0</v>
      </c>
      <c r="G6435">
        <f t="shared" si="1317"/>
        <v>0</v>
      </c>
      <c r="H6435">
        <f t="shared" si="1318"/>
        <v>0</v>
      </c>
      <c r="I6435">
        <f t="shared" si="1319"/>
        <v>0</v>
      </c>
      <c r="J6435">
        <f t="shared" si="1320"/>
        <v>0</v>
      </c>
      <c r="K6435" s="4" t="e">
        <f t="shared" si="1308"/>
        <v>#N/A</v>
      </c>
      <c r="L6435" t="e">
        <f t="shared" si="1309"/>
        <v>#N/A</v>
      </c>
      <c r="M6435" s="4" t="e">
        <f t="shared" si="1310"/>
        <v>#N/A</v>
      </c>
      <c r="N6435" s="4" t="e">
        <f t="shared" si="1311"/>
        <v>#N/A</v>
      </c>
    </row>
    <row r="6436" spans="1:14">
      <c r="A6436">
        <f t="shared" si="1312"/>
        <v>0</v>
      </c>
      <c r="B6436">
        <f t="shared" si="1313"/>
        <v>0</v>
      </c>
      <c r="C6436">
        <f t="shared" si="1314"/>
        <v>0</v>
      </c>
      <c r="D6436">
        <f t="shared" si="1315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6"/>
        <v>0</v>
      </c>
      <c r="G6436">
        <f t="shared" si="1317"/>
        <v>0</v>
      </c>
      <c r="H6436">
        <f t="shared" si="1318"/>
        <v>0</v>
      </c>
      <c r="I6436">
        <f t="shared" si="1319"/>
        <v>0</v>
      </c>
      <c r="J6436">
        <f t="shared" si="1320"/>
        <v>0</v>
      </c>
      <c r="K6436" s="4" t="e">
        <f t="shared" si="1308"/>
        <v>#N/A</v>
      </c>
      <c r="L6436" t="e">
        <f t="shared" si="1309"/>
        <v>#N/A</v>
      </c>
      <c r="M6436" s="4" t="e">
        <f t="shared" si="1310"/>
        <v>#N/A</v>
      </c>
      <c r="N6436" s="4" t="e">
        <f t="shared" si="1311"/>
        <v>#N/A</v>
      </c>
    </row>
    <row r="6437" spans="1:14">
      <c r="A6437">
        <f t="shared" si="1312"/>
        <v>0</v>
      </c>
      <c r="B6437">
        <f t="shared" si="1313"/>
        <v>0</v>
      </c>
      <c r="C6437">
        <f t="shared" si="1314"/>
        <v>0</v>
      </c>
      <c r="D6437">
        <f t="shared" si="1315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6"/>
        <v>0</v>
      </c>
      <c r="G6437">
        <f t="shared" si="1317"/>
        <v>0</v>
      </c>
      <c r="H6437">
        <f t="shared" si="1318"/>
        <v>0</v>
      </c>
      <c r="I6437">
        <f t="shared" si="1319"/>
        <v>0</v>
      </c>
      <c r="J6437">
        <f t="shared" si="1320"/>
        <v>0</v>
      </c>
      <c r="K6437" s="4" t="e">
        <f t="shared" si="1308"/>
        <v>#N/A</v>
      </c>
      <c r="L6437" t="e">
        <f t="shared" si="1309"/>
        <v>#N/A</v>
      </c>
      <c r="M6437" s="4" t="e">
        <f t="shared" si="1310"/>
        <v>#N/A</v>
      </c>
      <c r="N6437" s="4" t="e">
        <f t="shared" si="1311"/>
        <v>#N/A</v>
      </c>
    </row>
    <row r="6438" spans="1:14">
      <c r="A6438">
        <f t="shared" si="1312"/>
        <v>0</v>
      </c>
      <c r="B6438">
        <f t="shared" si="1313"/>
        <v>0</v>
      </c>
      <c r="C6438">
        <f t="shared" si="1314"/>
        <v>0</v>
      </c>
      <c r="D6438">
        <f t="shared" si="1315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6"/>
        <v>0</v>
      </c>
      <c r="G6438">
        <f t="shared" si="1317"/>
        <v>0</v>
      </c>
      <c r="H6438">
        <f t="shared" si="1318"/>
        <v>0</v>
      </c>
      <c r="I6438">
        <f t="shared" si="1319"/>
        <v>0</v>
      </c>
      <c r="J6438">
        <f t="shared" si="1320"/>
        <v>0</v>
      </c>
      <c r="K6438" s="4" t="e">
        <f t="shared" si="1308"/>
        <v>#N/A</v>
      </c>
      <c r="L6438" t="e">
        <f t="shared" si="1309"/>
        <v>#N/A</v>
      </c>
      <c r="M6438" s="4" t="e">
        <f t="shared" si="1310"/>
        <v>#N/A</v>
      </c>
      <c r="N6438" s="4" t="e">
        <f t="shared" si="1311"/>
        <v>#N/A</v>
      </c>
    </row>
    <row r="6439" spans="1:14">
      <c r="A6439">
        <f t="shared" si="1312"/>
        <v>0</v>
      </c>
      <c r="B6439">
        <f t="shared" si="1313"/>
        <v>0</v>
      </c>
      <c r="C6439">
        <f t="shared" si="1314"/>
        <v>0</v>
      </c>
      <c r="D6439">
        <f t="shared" si="1315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6"/>
        <v>0</v>
      </c>
      <c r="G6439">
        <f t="shared" si="1317"/>
        <v>0</v>
      </c>
      <c r="H6439">
        <f t="shared" si="1318"/>
        <v>0</v>
      </c>
      <c r="I6439">
        <f t="shared" si="1319"/>
        <v>0</v>
      </c>
      <c r="J6439">
        <f t="shared" si="1320"/>
        <v>0</v>
      </c>
      <c r="K6439" s="4" t="e">
        <f t="shared" si="1308"/>
        <v>#N/A</v>
      </c>
      <c r="L6439" t="e">
        <f t="shared" si="1309"/>
        <v>#N/A</v>
      </c>
      <c r="M6439" s="4" t="e">
        <f t="shared" si="1310"/>
        <v>#N/A</v>
      </c>
      <c r="N6439" s="4" t="e">
        <f t="shared" si="1311"/>
        <v>#N/A</v>
      </c>
    </row>
    <row r="6440" spans="1:14">
      <c r="A6440">
        <f t="shared" si="1312"/>
        <v>0</v>
      </c>
      <c r="B6440">
        <f t="shared" si="1313"/>
        <v>0</v>
      </c>
      <c r="C6440">
        <f t="shared" si="1314"/>
        <v>0</v>
      </c>
      <c r="D6440">
        <f t="shared" si="1315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6"/>
        <v>0</v>
      </c>
      <c r="G6440">
        <f t="shared" si="1317"/>
        <v>0</v>
      </c>
      <c r="H6440">
        <f t="shared" si="1318"/>
        <v>0</v>
      </c>
      <c r="I6440">
        <f t="shared" si="1319"/>
        <v>0</v>
      </c>
      <c r="J6440">
        <f t="shared" si="1320"/>
        <v>0</v>
      </c>
      <c r="K6440" s="4" t="e">
        <f t="shared" si="1308"/>
        <v>#N/A</v>
      </c>
      <c r="L6440" t="e">
        <f t="shared" si="1309"/>
        <v>#N/A</v>
      </c>
      <c r="M6440" s="4" t="e">
        <f t="shared" si="1310"/>
        <v>#N/A</v>
      </c>
      <c r="N6440" s="4" t="e">
        <f t="shared" si="1311"/>
        <v>#N/A</v>
      </c>
    </row>
    <row r="6441" spans="1:14">
      <c r="A6441">
        <f t="shared" si="1312"/>
        <v>0</v>
      </c>
      <c r="B6441">
        <f t="shared" si="1313"/>
        <v>0</v>
      </c>
      <c r="C6441">
        <f t="shared" si="1314"/>
        <v>0</v>
      </c>
      <c r="D6441">
        <f t="shared" si="1315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6"/>
        <v>0</v>
      </c>
      <c r="G6441">
        <f t="shared" si="1317"/>
        <v>0</v>
      </c>
      <c r="H6441">
        <f t="shared" si="1318"/>
        <v>0</v>
      </c>
      <c r="I6441">
        <f t="shared" si="1319"/>
        <v>0</v>
      </c>
      <c r="J6441">
        <f t="shared" si="1320"/>
        <v>0</v>
      </c>
      <c r="K6441" s="4" t="e">
        <f t="shared" si="1308"/>
        <v>#N/A</v>
      </c>
      <c r="L6441" t="e">
        <f t="shared" si="1309"/>
        <v>#N/A</v>
      </c>
      <c r="M6441" s="4" t="e">
        <f t="shared" si="1310"/>
        <v>#N/A</v>
      </c>
      <c r="N6441" s="4" t="e">
        <f t="shared" si="1311"/>
        <v>#N/A</v>
      </c>
    </row>
    <row r="6442" spans="1:14">
      <c r="A6442">
        <f t="shared" si="1312"/>
        <v>0</v>
      </c>
      <c r="B6442">
        <f t="shared" si="1313"/>
        <v>0</v>
      </c>
      <c r="C6442">
        <f t="shared" si="1314"/>
        <v>0</v>
      </c>
      <c r="D6442">
        <f t="shared" si="1315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6"/>
        <v>0</v>
      </c>
      <c r="G6442">
        <f t="shared" si="1317"/>
        <v>0</v>
      </c>
      <c r="H6442">
        <f t="shared" si="1318"/>
        <v>0</v>
      </c>
      <c r="I6442">
        <f t="shared" si="1319"/>
        <v>0</v>
      </c>
      <c r="J6442">
        <f t="shared" si="1320"/>
        <v>0</v>
      </c>
      <c r="K6442" s="4" t="e">
        <f t="shared" si="1308"/>
        <v>#N/A</v>
      </c>
      <c r="L6442" t="e">
        <f t="shared" si="1309"/>
        <v>#N/A</v>
      </c>
      <c r="M6442" s="4" t="e">
        <f t="shared" si="1310"/>
        <v>#N/A</v>
      </c>
      <c r="N6442" s="4" t="e">
        <f t="shared" si="1311"/>
        <v>#N/A</v>
      </c>
    </row>
    <row r="6443" spans="1:14">
      <c r="A6443">
        <f t="shared" si="1312"/>
        <v>0</v>
      </c>
      <c r="B6443">
        <f t="shared" si="1313"/>
        <v>0</v>
      </c>
      <c r="C6443">
        <f t="shared" si="1314"/>
        <v>0</v>
      </c>
      <c r="D6443">
        <f t="shared" si="1315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6"/>
        <v>0</v>
      </c>
      <c r="G6443">
        <f t="shared" si="1317"/>
        <v>0</v>
      </c>
      <c r="H6443">
        <f t="shared" si="1318"/>
        <v>0</v>
      </c>
      <c r="I6443">
        <f t="shared" si="1319"/>
        <v>0</v>
      </c>
      <c r="J6443">
        <f t="shared" si="1320"/>
        <v>0</v>
      </c>
      <c r="K6443" s="4" t="e">
        <f t="shared" si="1308"/>
        <v>#N/A</v>
      </c>
      <c r="L6443" t="e">
        <f t="shared" si="1309"/>
        <v>#N/A</v>
      </c>
      <c r="M6443" s="4" t="e">
        <f t="shared" si="1310"/>
        <v>#N/A</v>
      </c>
      <c r="N6443" s="4" t="e">
        <f t="shared" si="1311"/>
        <v>#N/A</v>
      </c>
    </row>
    <row r="6444" spans="1:14">
      <c r="A6444">
        <f t="shared" si="1312"/>
        <v>0</v>
      </c>
      <c r="B6444">
        <f t="shared" si="1313"/>
        <v>0</v>
      </c>
      <c r="C6444">
        <f t="shared" si="1314"/>
        <v>0</v>
      </c>
      <c r="D6444">
        <f t="shared" si="1315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6"/>
        <v>0</v>
      </c>
      <c r="G6444">
        <f t="shared" si="1317"/>
        <v>0</v>
      </c>
      <c r="H6444">
        <f t="shared" si="1318"/>
        <v>0</v>
      </c>
      <c r="I6444">
        <f t="shared" si="1319"/>
        <v>0</v>
      </c>
      <c r="J6444">
        <f t="shared" si="1320"/>
        <v>0</v>
      </c>
      <c r="K6444" s="4" t="e">
        <f t="shared" si="1308"/>
        <v>#N/A</v>
      </c>
      <c r="L6444" t="e">
        <f t="shared" si="1309"/>
        <v>#N/A</v>
      </c>
      <c r="M6444" s="4" t="e">
        <f t="shared" si="1310"/>
        <v>#N/A</v>
      </c>
      <c r="N6444" s="4" t="e">
        <f t="shared" si="1311"/>
        <v>#N/A</v>
      </c>
    </row>
    <row r="6445" spans="1:14">
      <c r="A6445">
        <f t="shared" si="1312"/>
        <v>0</v>
      </c>
      <c r="B6445">
        <f t="shared" si="1313"/>
        <v>0</v>
      </c>
      <c r="C6445">
        <f t="shared" si="1314"/>
        <v>0</v>
      </c>
      <c r="D6445">
        <f t="shared" si="1315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6"/>
        <v>0</v>
      </c>
      <c r="G6445">
        <f t="shared" si="1317"/>
        <v>0</v>
      </c>
      <c r="H6445">
        <f t="shared" si="1318"/>
        <v>0</v>
      </c>
      <c r="I6445">
        <f t="shared" si="1319"/>
        <v>0</v>
      </c>
      <c r="J6445">
        <f t="shared" si="1320"/>
        <v>0</v>
      </c>
      <c r="K6445" s="4" t="e">
        <f t="shared" si="1308"/>
        <v>#N/A</v>
      </c>
      <c r="L6445" t="e">
        <f t="shared" si="1309"/>
        <v>#N/A</v>
      </c>
      <c r="M6445" s="4" t="e">
        <f t="shared" si="1310"/>
        <v>#N/A</v>
      </c>
      <c r="N6445" s="4" t="e">
        <f t="shared" si="1311"/>
        <v>#N/A</v>
      </c>
    </row>
    <row r="6446" spans="1:14">
      <c r="A6446">
        <f t="shared" si="1312"/>
        <v>0</v>
      </c>
      <c r="B6446">
        <f t="shared" si="1313"/>
        <v>0</v>
      </c>
      <c r="C6446">
        <f t="shared" si="1314"/>
        <v>0</v>
      </c>
      <c r="D6446">
        <f t="shared" si="1315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6"/>
        <v>0</v>
      </c>
      <c r="G6446">
        <f t="shared" si="1317"/>
        <v>0</v>
      </c>
      <c r="H6446">
        <f t="shared" si="1318"/>
        <v>0</v>
      </c>
      <c r="I6446">
        <f t="shared" si="1319"/>
        <v>0</v>
      </c>
      <c r="J6446">
        <f t="shared" si="1320"/>
        <v>0</v>
      </c>
      <c r="K6446" s="4" t="e">
        <f t="shared" si="1308"/>
        <v>#N/A</v>
      </c>
      <c r="L6446" t="e">
        <f t="shared" si="1309"/>
        <v>#N/A</v>
      </c>
      <c r="M6446" s="4" t="e">
        <f t="shared" si="1310"/>
        <v>#N/A</v>
      </c>
      <c r="N6446" s="4" t="e">
        <f t="shared" si="1311"/>
        <v>#N/A</v>
      </c>
    </row>
    <row r="6447" spans="1:14">
      <c r="A6447">
        <f t="shared" si="1312"/>
        <v>0</v>
      </c>
      <c r="B6447">
        <f t="shared" si="1313"/>
        <v>0</v>
      </c>
      <c r="C6447">
        <f t="shared" si="1314"/>
        <v>0</v>
      </c>
      <c r="D6447">
        <f t="shared" si="1315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6"/>
        <v>0</v>
      </c>
      <c r="G6447">
        <f t="shared" si="1317"/>
        <v>0</v>
      </c>
      <c r="H6447">
        <f t="shared" si="1318"/>
        <v>0</v>
      </c>
      <c r="I6447">
        <f t="shared" si="1319"/>
        <v>0</v>
      </c>
      <c r="J6447">
        <f t="shared" si="1320"/>
        <v>0</v>
      </c>
      <c r="K6447" s="4" t="e">
        <f t="shared" si="1308"/>
        <v>#N/A</v>
      </c>
      <c r="L6447" t="e">
        <f t="shared" si="1309"/>
        <v>#N/A</v>
      </c>
      <c r="M6447" s="4" t="e">
        <f t="shared" si="1310"/>
        <v>#N/A</v>
      </c>
      <c r="N6447" s="4" t="e">
        <f t="shared" si="1311"/>
        <v>#N/A</v>
      </c>
    </row>
    <row r="6448" spans="1:14">
      <c r="A6448">
        <f t="shared" si="1312"/>
        <v>0</v>
      </c>
      <c r="B6448">
        <f t="shared" si="1313"/>
        <v>0</v>
      </c>
      <c r="C6448">
        <f t="shared" si="1314"/>
        <v>0</v>
      </c>
      <c r="D6448">
        <f t="shared" si="1315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6"/>
        <v>0</v>
      </c>
      <c r="G6448">
        <f t="shared" si="1317"/>
        <v>0</v>
      </c>
      <c r="H6448">
        <f t="shared" si="1318"/>
        <v>0</v>
      </c>
      <c r="I6448">
        <f t="shared" si="1319"/>
        <v>0</v>
      </c>
      <c r="J6448">
        <f t="shared" si="1320"/>
        <v>0</v>
      </c>
      <c r="K6448" s="4" t="e">
        <f t="shared" si="1308"/>
        <v>#N/A</v>
      </c>
      <c r="L6448" t="e">
        <f t="shared" si="1309"/>
        <v>#N/A</v>
      </c>
      <c r="M6448" s="4" t="e">
        <f t="shared" si="1310"/>
        <v>#N/A</v>
      </c>
      <c r="N6448" s="4" t="e">
        <f t="shared" si="1311"/>
        <v>#N/A</v>
      </c>
    </row>
    <row r="6449" spans="1:14">
      <c r="A6449">
        <f t="shared" si="1312"/>
        <v>0</v>
      </c>
      <c r="B6449">
        <f t="shared" si="1313"/>
        <v>0</v>
      </c>
      <c r="C6449">
        <f t="shared" si="1314"/>
        <v>0</v>
      </c>
      <c r="D6449">
        <f t="shared" si="1315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6"/>
        <v>0</v>
      </c>
      <c r="G6449">
        <f t="shared" si="1317"/>
        <v>0</v>
      </c>
      <c r="H6449">
        <f t="shared" si="1318"/>
        <v>0</v>
      </c>
      <c r="I6449">
        <f t="shared" si="1319"/>
        <v>0</v>
      </c>
      <c r="J6449">
        <f t="shared" si="1320"/>
        <v>0</v>
      </c>
      <c r="K6449" s="4" t="e">
        <f t="shared" si="1308"/>
        <v>#N/A</v>
      </c>
      <c r="L6449" t="e">
        <f t="shared" si="1309"/>
        <v>#N/A</v>
      </c>
      <c r="M6449" s="4" t="e">
        <f t="shared" si="1310"/>
        <v>#N/A</v>
      </c>
      <c r="N6449" s="4" t="e">
        <f t="shared" si="1311"/>
        <v>#N/A</v>
      </c>
    </row>
    <row r="6450" spans="1:14">
      <c r="A6450">
        <f t="shared" si="1312"/>
        <v>0</v>
      </c>
      <c r="B6450">
        <f t="shared" si="1313"/>
        <v>0</v>
      </c>
      <c r="C6450">
        <f t="shared" si="1314"/>
        <v>0</v>
      </c>
      <c r="D6450">
        <f t="shared" si="1315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6"/>
        <v>0</v>
      </c>
      <c r="G6450">
        <f t="shared" si="1317"/>
        <v>0</v>
      </c>
      <c r="H6450">
        <f t="shared" si="1318"/>
        <v>0</v>
      </c>
      <c r="I6450">
        <f t="shared" si="1319"/>
        <v>0</v>
      </c>
      <c r="J6450">
        <f t="shared" si="1320"/>
        <v>0</v>
      </c>
      <c r="K6450" s="4" t="e">
        <f t="shared" si="1308"/>
        <v>#N/A</v>
      </c>
      <c r="L6450" t="e">
        <f t="shared" si="1309"/>
        <v>#N/A</v>
      </c>
      <c r="M6450" s="4" t="e">
        <f t="shared" si="1310"/>
        <v>#N/A</v>
      </c>
      <c r="N6450" s="4" t="e">
        <f t="shared" si="1311"/>
        <v>#N/A</v>
      </c>
    </row>
    <row r="6451" spans="1:14">
      <c r="A6451">
        <f t="shared" si="1312"/>
        <v>0</v>
      </c>
      <c r="B6451">
        <f t="shared" si="1313"/>
        <v>0</v>
      </c>
      <c r="C6451">
        <f t="shared" si="1314"/>
        <v>0</v>
      </c>
      <c r="D6451">
        <f t="shared" si="1315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6"/>
        <v>0</v>
      </c>
      <c r="G6451">
        <f t="shared" si="1317"/>
        <v>0</v>
      </c>
      <c r="H6451">
        <f t="shared" si="1318"/>
        <v>0</v>
      </c>
      <c r="I6451">
        <f t="shared" si="1319"/>
        <v>0</v>
      </c>
      <c r="J6451">
        <f t="shared" si="1320"/>
        <v>0</v>
      </c>
      <c r="K6451" s="4" t="e">
        <f t="shared" si="1308"/>
        <v>#N/A</v>
      </c>
      <c r="L6451" t="e">
        <f t="shared" si="1309"/>
        <v>#N/A</v>
      </c>
      <c r="M6451" s="4" t="e">
        <f t="shared" si="1310"/>
        <v>#N/A</v>
      </c>
      <c r="N6451" s="4" t="e">
        <f t="shared" si="1311"/>
        <v>#N/A</v>
      </c>
    </row>
    <row r="6452" spans="1:14">
      <c r="A6452">
        <f t="shared" si="1312"/>
        <v>0</v>
      </c>
      <c r="B6452">
        <f t="shared" si="1313"/>
        <v>0</v>
      </c>
      <c r="C6452">
        <f t="shared" si="1314"/>
        <v>0</v>
      </c>
      <c r="D6452">
        <f t="shared" si="1315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6"/>
        <v>0</v>
      </c>
      <c r="G6452">
        <f t="shared" si="1317"/>
        <v>0</v>
      </c>
      <c r="H6452">
        <f t="shared" si="1318"/>
        <v>0</v>
      </c>
      <c r="I6452">
        <f t="shared" si="1319"/>
        <v>0</v>
      </c>
      <c r="J6452">
        <f t="shared" si="1320"/>
        <v>0</v>
      </c>
      <c r="K6452" s="4" t="e">
        <f t="shared" si="1308"/>
        <v>#N/A</v>
      </c>
      <c r="L6452" t="e">
        <f t="shared" si="1309"/>
        <v>#N/A</v>
      </c>
      <c r="M6452" s="4" t="e">
        <f t="shared" si="1310"/>
        <v>#N/A</v>
      </c>
      <c r="N6452" s="4" t="e">
        <f t="shared" si="1311"/>
        <v>#N/A</v>
      </c>
    </row>
    <row r="6453" spans="1:14">
      <c r="A6453">
        <f t="shared" si="1312"/>
        <v>0</v>
      </c>
      <c r="B6453">
        <f t="shared" si="1313"/>
        <v>0</v>
      </c>
      <c r="C6453">
        <f t="shared" si="1314"/>
        <v>0</v>
      </c>
      <c r="D6453">
        <f t="shared" si="1315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6"/>
        <v>0</v>
      </c>
      <c r="G6453">
        <f t="shared" si="1317"/>
        <v>0</v>
      </c>
      <c r="H6453">
        <f t="shared" si="1318"/>
        <v>0</v>
      </c>
      <c r="I6453">
        <f t="shared" si="1319"/>
        <v>0</v>
      </c>
      <c r="J6453">
        <f t="shared" si="1320"/>
        <v>0</v>
      </c>
      <c r="K6453" s="4" t="e">
        <f t="shared" si="1308"/>
        <v>#N/A</v>
      </c>
      <c r="L6453" t="e">
        <f t="shared" si="1309"/>
        <v>#N/A</v>
      </c>
      <c r="M6453" s="4" t="e">
        <f t="shared" si="1310"/>
        <v>#N/A</v>
      </c>
      <c r="N6453" s="4" t="e">
        <f t="shared" si="1311"/>
        <v>#N/A</v>
      </c>
    </row>
    <row r="6454" spans="1:14">
      <c r="A6454">
        <f t="shared" si="1312"/>
        <v>0</v>
      </c>
      <c r="B6454">
        <f t="shared" si="1313"/>
        <v>0</v>
      </c>
      <c r="C6454">
        <f t="shared" si="1314"/>
        <v>0</v>
      </c>
      <c r="D6454">
        <f t="shared" si="1315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6"/>
        <v>0</v>
      </c>
      <c r="G6454">
        <f t="shared" si="1317"/>
        <v>0</v>
      </c>
      <c r="H6454">
        <f t="shared" si="1318"/>
        <v>0</v>
      </c>
      <c r="I6454">
        <f t="shared" si="1319"/>
        <v>0</v>
      </c>
      <c r="J6454">
        <f t="shared" si="1320"/>
        <v>0</v>
      </c>
      <c r="K6454" s="4" t="e">
        <f t="shared" si="1308"/>
        <v>#N/A</v>
      </c>
      <c r="L6454" t="e">
        <f t="shared" si="1309"/>
        <v>#N/A</v>
      </c>
      <c r="M6454" s="4" t="e">
        <f t="shared" si="1310"/>
        <v>#N/A</v>
      </c>
      <c r="N6454" s="4" t="e">
        <f t="shared" si="1311"/>
        <v>#N/A</v>
      </c>
    </row>
    <row r="6455" spans="1:14">
      <c r="A6455">
        <f t="shared" si="1312"/>
        <v>0</v>
      </c>
      <c r="B6455">
        <f t="shared" si="1313"/>
        <v>0</v>
      </c>
      <c r="C6455">
        <f t="shared" si="1314"/>
        <v>0</v>
      </c>
      <c r="D6455">
        <f t="shared" si="1315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6"/>
        <v>0</v>
      </c>
      <c r="G6455">
        <f t="shared" si="1317"/>
        <v>0</v>
      </c>
      <c r="H6455">
        <f t="shared" si="1318"/>
        <v>0</v>
      </c>
      <c r="I6455">
        <f t="shared" si="1319"/>
        <v>0</v>
      </c>
      <c r="J6455">
        <f t="shared" si="1320"/>
        <v>0</v>
      </c>
      <c r="K6455" s="4" t="e">
        <f t="shared" si="1308"/>
        <v>#N/A</v>
      </c>
      <c r="L6455" t="e">
        <f t="shared" si="1309"/>
        <v>#N/A</v>
      </c>
      <c r="M6455" s="4" t="e">
        <f t="shared" si="1310"/>
        <v>#N/A</v>
      </c>
      <c r="N6455" s="4" t="e">
        <f t="shared" si="1311"/>
        <v>#N/A</v>
      </c>
    </row>
    <row r="6456" spans="1:14">
      <c r="A6456">
        <f t="shared" si="1312"/>
        <v>0</v>
      </c>
      <c r="B6456">
        <f t="shared" si="1313"/>
        <v>0</v>
      </c>
      <c r="C6456">
        <f t="shared" si="1314"/>
        <v>0</v>
      </c>
      <c r="D6456">
        <f t="shared" si="1315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6"/>
        <v>0</v>
      </c>
      <c r="G6456">
        <f t="shared" si="1317"/>
        <v>0</v>
      </c>
      <c r="H6456">
        <f t="shared" si="1318"/>
        <v>0</v>
      </c>
      <c r="I6456">
        <f t="shared" si="1319"/>
        <v>0</v>
      </c>
      <c r="J6456">
        <f t="shared" si="1320"/>
        <v>0</v>
      </c>
      <c r="K6456" s="4" t="e">
        <f t="shared" si="1308"/>
        <v>#N/A</v>
      </c>
      <c r="L6456" t="e">
        <f t="shared" si="1309"/>
        <v>#N/A</v>
      </c>
      <c r="M6456" s="4" t="e">
        <f t="shared" si="1310"/>
        <v>#N/A</v>
      </c>
      <c r="N6456" s="4" t="e">
        <f t="shared" si="1311"/>
        <v>#N/A</v>
      </c>
    </row>
    <row r="6457" spans="1:14">
      <c r="A6457">
        <f t="shared" si="1312"/>
        <v>0</v>
      </c>
      <c r="B6457">
        <f t="shared" si="1313"/>
        <v>0</v>
      </c>
      <c r="C6457">
        <f t="shared" si="1314"/>
        <v>0</v>
      </c>
      <c r="D6457">
        <f t="shared" si="1315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6"/>
        <v>0</v>
      </c>
      <c r="G6457">
        <f t="shared" si="1317"/>
        <v>0</v>
      </c>
      <c r="H6457">
        <f t="shared" si="1318"/>
        <v>0</v>
      </c>
      <c r="I6457">
        <f t="shared" si="1319"/>
        <v>0</v>
      </c>
      <c r="J6457">
        <f t="shared" si="1320"/>
        <v>0</v>
      </c>
      <c r="K6457" s="4" t="e">
        <f t="shared" si="1308"/>
        <v>#N/A</v>
      </c>
      <c r="L6457" t="e">
        <f t="shared" si="1309"/>
        <v>#N/A</v>
      </c>
      <c r="M6457" s="4" t="e">
        <f t="shared" si="1310"/>
        <v>#N/A</v>
      </c>
      <c r="N6457" s="4" t="e">
        <f t="shared" si="1311"/>
        <v>#N/A</v>
      </c>
    </row>
    <row r="6458" spans="1:14">
      <c r="A6458">
        <f t="shared" si="1312"/>
        <v>0</v>
      </c>
      <c r="B6458">
        <f t="shared" si="1313"/>
        <v>0</v>
      </c>
      <c r="C6458">
        <f t="shared" si="1314"/>
        <v>0</v>
      </c>
      <c r="D6458">
        <f t="shared" si="1315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6"/>
        <v>0</v>
      </c>
      <c r="G6458">
        <f t="shared" si="1317"/>
        <v>0</v>
      </c>
      <c r="H6458">
        <f t="shared" si="1318"/>
        <v>0</v>
      </c>
      <c r="I6458">
        <f t="shared" si="1319"/>
        <v>0</v>
      </c>
      <c r="J6458">
        <f t="shared" si="1320"/>
        <v>0</v>
      </c>
      <c r="K6458" s="4" t="e">
        <f t="shared" si="1308"/>
        <v>#N/A</v>
      </c>
      <c r="L6458" t="e">
        <f t="shared" si="1309"/>
        <v>#N/A</v>
      </c>
      <c r="M6458" s="4" t="e">
        <f t="shared" si="1310"/>
        <v>#N/A</v>
      </c>
      <c r="N6458" s="4" t="e">
        <f t="shared" si="1311"/>
        <v>#N/A</v>
      </c>
    </row>
    <row r="6459" spans="1:14">
      <c r="A6459">
        <f t="shared" si="1312"/>
        <v>0</v>
      </c>
      <c r="B6459">
        <f t="shared" si="1313"/>
        <v>0</v>
      </c>
      <c r="C6459">
        <f t="shared" si="1314"/>
        <v>0</v>
      </c>
      <c r="D6459">
        <f t="shared" si="1315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6"/>
        <v>0</v>
      </c>
      <c r="G6459">
        <f t="shared" si="1317"/>
        <v>0</v>
      </c>
      <c r="H6459">
        <f t="shared" si="1318"/>
        <v>0</v>
      </c>
      <c r="I6459">
        <f t="shared" si="1319"/>
        <v>0</v>
      </c>
      <c r="J6459">
        <f t="shared" si="1320"/>
        <v>0</v>
      </c>
      <c r="K6459" s="4" t="e">
        <f t="shared" si="1308"/>
        <v>#N/A</v>
      </c>
      <c r="L6459" t="e">
        <f t="shared" si="1309"/>
        <v>#N/A</v>
      </c>
      <c r="M6459" s="4" t="e">
        <f t="shared" si="1310"/>
        <v>#N/A</v>
      </c>
      <c r="N6459" s="4" t="e">
        <f t="shared" si="1311"/>
        <v>#N/A</v>
      </c>
    </row>
    <row r="6460" spans="1:14">
      <c r="A6460">
        <f t="shared" si="1312"/>
        <v>0</v>
      </c>
      <c r="B6460">
        <f t="shared" si="1313"/>
        <v>0</v>
      </c>
      <c r="C6460">
        <f t="shared" si="1314"/>
        <v>0</v>
      </c>
      <c r="D6460">
        <f t="shared" si="1315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6"/>
        <v>0</v>
      </c>
      <c r="G6460">
        <f t="shared" si="1317"/>
        <v>0</v>
      </c>
      <c r="H6460">
        <f t="shared" si="1318"/>
        <v>0</v>
      </c>
      <c r="I6460">
        <f t="shared" si="1319"/>
        <v>0</v>
      </c>
      <c r="J6460">
        <f t="shared" si="1320"/>
        <v>0</v>
      </c>
      <c r="K6460" s="4" t="e">
        <f t="shared" si="1308"/>
        <v>#N/A</v>
      </c>
      <c r="L6460" t="e">
        <f t="shared" si="1309"/>
        <v>#N/A</v>
      </c>
      <c r="M6460" s="4" t="e">
        <f t="shared" si="1310"/>
        <v>#N/A</v>
      </c>
      <c r="N6460" s="4" t="e">
        <f t="shared" si="1311"/>
        <v>#N/A</v>
      </c>
    </row>
    <row r="6461" spans="1:14">
      <c r="A6461">
        <f t="shared" si="1312"/>
        <v>0</v>
      </c>
      <c r="B6461">
        <f t="shared" si="1313"/>
        <v>0</v>
      </c>
      <c r="C6461">
        <f t="shared" si="1314"/>
        <v>0</v>
      </c>
      <c r="D6461">
        <f t="shared" si="1315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6"/>
        <v>0</v>
      </c>
      <c r="G6461">
        <f t="shared" si="1317"/>
        <v>0</v>
      </c>
      <c r="H6461">
        <f t="shared" si="1318"/>
        <v>0</v>
      </c>
      <c r="I6461">
        <f t="shared" si="1319"/>
        <v>0</v>
      </c>
      <c r="J6461">
        <f t="shared" si="1320"/>
        <v>0</v>
      </c>
      <c r="K6461" s="4" t="e">
        <f t="shared" ref="K6461:K6524" si="1321">IF(LEFT(B6461,3)="DBM",0,VLOOKUP(E6461,tabela,2,FALSE))</f>
        <v>#N/A</v>
      </c>
      <c r="L6461" t="e">
        <f t="shared" ref="L6461:L6524" si="1322">VLOOKUP(E6461,tabela,3,FALSE)</f>
        <v>#N/A</v>
      </c>
      <c r="M6461" s="4" t="e">
        <f t="shared" ref="M6461:M6524" si="1323">IF(E6461="Dynamic Click",J6461*K6461,K6461*$I6461/1000)</f>
        <v>#N/A</v>
      </c>
      <c r="N6461" s="4" t="e">
        <f t="shared" ref="N6461:N6524" si="1324">IF(E6461="Dynamic Click",J6461*L6461,L6461*$I6461/1000)</f>
        <v>#N/A</v>
      </c>
    </row>
    <row r="6462" spans="1:14">
      <c r="A6462">
        <f t="shared" si="1312"/>
        <v>0</v>
      </c>
      <c r="B6462">
        <f t="shared" si="1313"/>
        <v>0</v>
      </c>
      <c r="C6462">
        <f t="shared" si="1314"/>
        <v>0</v>
      </c>
      <c r="D6462">
        <f t="shared" si="1315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6"/>
        <v>0</v>
      </c>
      <c r="G6462">
        <f t="shared" si="1317"/>
        <v>0</v>
      </c>
      <c r="H6462">
        <f t="shared" si="1318"/>
        <v>0</v>
      </c>
      <c r="I6462">
        <f t="shared" si="1319"/>
        <v>0</v>
      </c>
      <c r="J6462">
        <f t="shared" si="1320"/>
        <v>0</v>
      </c>
      <c r="K6462" s="4" t="e">
        <f t="shared" si="1321"/>
        <v>#N/A</v>
      </c>
      <c r="L6462" t="e">
        <f t="shared" si="1322"/>
        <v>#N/A</v>
      </c>
      <c r="M6462" s="4" t="e">
        <f t="shared" si="1323"/>
        <v>#N/A</v>
      </c>
      <c r="N6462" s="4" t="e">
        <f t="shared" si="1324"/>
        <v>#N/A</v>
      </c>
    </row>
    <row r="6463" spans="1:14">
      <c r="A6463">
        <f t="shared" si="1312"/>
        <v>0</v>
      </c>
      <c r="B6463">
        <f t="shared" si="1313"/>
        <v>0</v>
      </c>
      <c r="C6463">
        <f t="shared" si="1314"/>
        <v>0</v>
      </c>
      <c r="D6463">
        <f t="shared" si="1315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6"/>
        <v>0</v>
      </c>
      <c r="G6463">
        <f t="shared" si="1317"/>
        <v>0</v>
      </c>
      <c r="H6463">
        <f t="shared" si="1318"/>
        <v>0</v>
      </c>
      <c r="I6463">
        <f t="shared" si="1319"/>
        <v>0</v>
      </c>
      <c r="J6463">
        <f t="shared" si="1320"/>
        <v>0</v>
      </c>
      <c r="K6463" s="4" t="e">
        <f t="shared" si="1321"/>
        <v>#N/A</v>
      </c>
      <c r="L6463" t="e">
        <f t="shared" si="1322"/>
        <v>#N/A</v>
      </c>
      <c r="M6463" s="4" t="e">
        <f t="shared" si="1323"/>
        <v>#N/A</v>
      </c>
      <c r="N6463" s="4" t="e">
        <f t="shared" si="1324"/>
        <v>#N/A</v>
      </c>
    </row>
    <row r="6464" spans="1:14">
      <c r="A6464">
        <f t="shared" si="1312"/>
        <v>0</v>
      </c>
      <c r="B6464">
        <f t="shared" si="1313"/>
        <v>0</v>
      </c>
      <c r="C6464">
        <f t="shared" si="1314"/>
        <v>0</v>
      </c>
      <c r="D6464">
        <f t="shared" si="1315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6"/>
        <v>0</v>
      </c>
      <c r="G6464">
        <f t="shared" si="1317"/>
        <v>0</v>
      </c>
      <c r="H6464">
        <f t="shared" si="1318"/>
        <v>0</v>
      </c>
      <c r="I6464">
        <f t="shared" si="1319"/>
        <v>0</v>
      </c>
      <c r="J6464">
        <f t="shared" si="1320"/>
        <v>0</v>
      </c>
      <c r="K6464" s="4" t="e">
        <f t="shared" si="1321"/>
        <v>#N/A</v>
      </c>
      <c r="L6464" t="e">
        <f t="shared" si="1322"/>
        <v>#N/A</v>
      </c>
      <c r="M6464" s="4" t="e">
        <f t="shared" si="1323"/>
        <v>#N/A</v>
      </c>
      <c r="N6464" s="4" t="e">
        <f t="shared" si="1324"/>
        <v>#N/A</v>
      </c>
    </row>
    <row r="6465" spans="1:14">
      <c r="A6465">
        <f t="shared" si="1312"/>
        <v>0</v>
      </c>
      <c r="B6465">
        <f t="shared" si="1313"/>
        <v>0</v>
      </c>
      <c r="C6465">
        <f t="shared" si="1314"/>
        <v>0</v>
      </c>
      <c r="D6465">
        <f t="shared" si="1315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6"/>
        <v>0</v>
      </c>
      <c r="G6465">
        <f t="shared" si="1317"/>
        <v>0</v>
      </c>
      <c r="H6465">
        <f t="shared" si="1318"/>
        <v>0</v>
      </c>
      <c r="I6465">
        <f t="shared" si="1319"/>
        <v>0</v>
      </c>
      <c r="J6465">
        <f t="shared" si="1320"/>
        <v>0</v>
      </c>
      <c r="K6465" s="4" t="e">
        <f t="shared" si="1321"/>
        <v>#N/A</v>
      </c>
      <c r="L6465" t="e">
        <f t="shared" si="1322"/>
        <v>#N/A</v>
      </c>
      <c r="M6465" s="4" t="e">
        <f t="shared" si="1323"/>
        <v>#N/A</v>
      </c>
      <c r="N6465" s="4" t="e">
        <f t="shared" si="1324"/>
        <v>#N/A</v>
      </c>
    </row>
    <row r="6466" spans="1:14">
      <c r="A6466">
        <f t="shared" ref="A6466:A6529" si="1325">bd_campaign</f>
        <v>0</v>
      </c>
      <c r="B6466">
        <f t="shared" ref="B6466:B6529" si="1326">bd_site</f>
        <v>0</v>
      </c>
      <c r="C6466">
        <f t="shared" ref="C6466:C6529" si="1327">bd_placement</f>
        <v>0</v>
      </c>
      <c r="D6466">
        <f t="shared" ref="D6466:D6529" si="1328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9">bd_ad</f>
        <v>0</v>
      </c>
      <c r="G6466">
        <f t="shared" ref="G6466:G6529" si="1330">bd_adid</f>
        <v>0</v>
      </c>
      <c r="H6466">
        <f t="shared" ref="H6466:H6529" si="1331">bd_creativetype</f>
        <v>0</v>
      </c>
      <c r="I6466">
        <f t="shared" ref="I6466:I6529" si="1332">bd_impression</f>
        <v>0</v>
      </c>
      <c r="J6466">
        <f t="shared" ref="J6466:J6529" si="1333">bd_clicks</f>
        <v>0</v>
      </c>
      <c r="K6466" s="4" t="e">
        <f t="shared" si="1321"/>
        <v>#N/A</v>
      </c>
      <c r="L6466" t="e">
        <f t="shared" si="1322"/>
        <v>#N/A</v>
      </c>
      <c r="M6466" s="4" t="e">
        <f t="shared" si="1323"/>
        <v>#N/A</v>
      </c>
      <c r="N6466" s="4" t="e">
        <f t="shared" si="1324"/>
        <v>#N/A</v>
      </c>
    </row>
    <row r="6467" spans="1:14">
      <c r="A6467">
        <f t="shared" si="1325"/>
        <v>0</v>
      </c>
      <c r="B6467">
        <f t="shared" si="1326"/>
        <v>0</v>
      </c>
      <c r="C6467">
        <f t="shared" si="1327"/>
        <v>0</v>
      </c>
      <c r="D6467">
        <f t="shared" si="1328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9"/>
        <v>0</v>
      </c>
      <c r="G6467">
        <f t="shared" si="1330"/>
        <v>0</v>
      </c>
      <c r="H6467">
        <f t="shared" si="1331"/>
        <v>0</v>
      </c>
      <c r="I6467">
        <f t="shared" si="1332"/>
        <v>0</v>
      </c>
      <c r="J6467">
        <f t="shared" si="1333"/>
        <v>0</v>
      </c>
      <c r="K6467" s="4" t="e">
        <f t="shared" si="1321"/>
        <v>#N/A</v>
      </c>
      <c r="L6467" t="e">
        <f t="shared" si="1322"/>
        <v>#N/A</v>
      </c>
      <c r="M6467" s="4" t="e">
        <f t="shared" si="1323"/>
        <v>#N/A</v>
      </c>
      <c r="N6467" s="4" t="e">
        <f t="shared" si="1324"/>
        <v>#N/A</v>
      </c>
    </row>
    <row r="6468" spans="1:14">
      <c r="A6468">
        <f t="shared" si="1325"/>
        <v>0</v>
      </c>
      <c r="B6468">
        <f t="shared" si="1326"/>
        <v>0</v>
      </c>
      <c r="C6468">
        <f t="shared" si="1327"/>
        <v>0</v>
      </c>
      <c r="D6468">
        <f t="shared" si="1328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9"/>
        <v>0</v>
      </c>
      <c r="G6468">
        <f t="shared" si="1330"/>
        <v>0</v>
      </c>
      <c r="H6468">
        <f t="shared" si="1331"/>
        <v>0</v>
      </c>
      <c r="I6468">
        <f t="shared" si="1332"/>
        <v>0</v>
      </c>
      <c r="J6468">
        <f t="shared" si="1333"/>
        <v>0</v>
      </c>
      <c r="K6468" s="4" t="e">
        <f t="shared" si="1321"/>
        <v>#N/A</v>
      </c>
      <c r="L6468" t="e">
        <f t="shared" si="1322"/>
        <v>#N/A</v>
      </c>
      <c r="M6468" s="4" t="e">
        <f t="shared" si="1323"/>
        <v>#N/A</v>
      </c>
      <c r="N6468" s="4" t="e">
        <f t="shared" si="1324"/>
        <v>#N/A</v>
      </c>
    </row>
    <row r="6469" spans="1:14">
      <c r="A6469">
        <f t="shared" si="1325"/>
        <v>0</v>
      </c>
      <c r="B6469">
        <f t="shared" si="1326"/>
        <v>0</v>
      </c>
      <c r="C6469">
        <f t="shared" si="1327"/>
        <v>0</v>
      </c>
      <c r="D6469">
        <f t="shared" si="1328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9"/>
        <v>0</v>
      </c>
      <c r="G6469">
        <f t="shared" si="1330"/>
        <v>0</v>
      </c>
      <c r="H6469">
        <f t="shared" si="1331"/>
        <v>0</v>
      </c>
      <c r="I6469">
        <f t="shared" si="1332"/>
        <v>0</v>
      </c>
      <c r="J6469">
        <f t="shared" si="1333"/>
        <v>0</v>
      </c>
      <c r="K6469" s="4" t="e">
        <f t="shared" si="1321"/>
        <v>#N/A</v>
      </c>
      <c r="L6469" t="e">
        <f t="shared" si="1322"/>
        <v>#N/A</v>
      </c>
      <c r="M6469" s="4" t="e">
        <f t="shared" si="1323"/>
        <v>#N/A</v>
      </c>
      <c r="N6469" s="4" t="e">
        <f t="shared" si="1324"/>
        <v>#N/A</v>
      </c>
    </row>
    <row r="6470" spans="1:14">
      <c r="A6470">
        <f t="shared" si="1325"/>
        <v>0</v>
      </c>
      <c r="B6470">
        <f t="shared" si="1326"/>
        <v>0</v>
      </c>
      <c r="C6470">
        <f t="shared" si="1327"/>
        <v>0</v>
      </c>
      <c r="D6470">
        <f t="shared" si="1328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9"/>
        <v>0</v>
      </c>
      <c r="G6470">
        <f t="shared" si="1330"/>
        <v>0</v>
      </c>
      <c r="H6470">
        <f t="shared" si="1331"/>
        <v>0</v>
      </c>
      <c r="I6470">
        <f t="shared" si="1332"/>
        <v>0</v>
      </c>
      <c r="J6470">
        <f t="shared" si="1333"/>
        <v>0</v>
      </c>
      <c r="K6470" s="4" t="e">
        <f t="shared" si="1321"/>
        <v>#N/A</v>
      </c>
      <c r="L6470" t="e">
        <f t="shared" si="1322"/>
        <v>#N/A</v>
      </c>
      <c r="M6470" s="4" t="e">
        <f t="shared" si="1323"/>
        <v>#N/A</v>
      </c>
      <c r="N6470" s="4" t="e">
        <f t="shared" si="1324"/>
        <v>#N/A</v>
      </c>
    </row>
    <row r="6471" spans="1:14">
      <c r="A6471">
        <f t="shared" si="1325"/>
        <v>0</v>
      </c>
      <c r="B6471">
        <f t="shared" si="1326"/>
        <v>0</v>
      </c>
      <c r="C6471">
        <f t="shared" si="1327"/>
        <v>0</v>
      </c>
      <c r="D6471">
        <f t="shared" si="1328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9"/>
        <v>0</v>
      </c>
      <c r="G6471">
        <f t="shared" si="1330"/>
        <v>0</v>
      </c>
      <c r="H6471">
        <f t="shared" si="1331"/>
        <v>0</v>
      </c>
      <c r="I6471">
        <f t="shared" si="1332"/>
        <v>0</v>
      </c>
      <c r="J6471">
        <f t="shared" si="1333"/>
        <v>0</v>
      </c>
      <c r="K6471" s="4" t="e">
        <f t="shared" si="1321"/>
        <v>#N/A</v>
      </c>
      <c r="L6471" t="e">
        <f t="shared" si="1322"/>
        <v>#N/A</v>
      </c>
      <c r="M6471" s="4" t="e">
        <f t="shared" si="1323"/>
        <v>#N/A</v>
      </c>
      <c r="N6471" s="4" t="e">
        <f t="shared" si="1324"/>
        <v>#N/A</v>
      </c>
    </row>
    <row r="6472" spans="1:14">
      <c r="A6472">
        <f t="shared" si="1325"/>
        <v>0</v>
      </c>
      <c r="B6472">
        <f t="shared" si="1326"/>
        <v>0</v>
      </c>
      <c r="C6472">
        <f t="shared" si="1327"/>
        <v>0</v>
      </c>
      <c r="D6472">
        <f t="shared" si="1328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9"/>
        <v>0</v>
      </c>
      <c r="G6472">
        <f t="shared" si="1330"/>
        <v>0</v>
      </c>
      <c r="H6472">
        <f t="shared" si="1331"/>
        <v>0</v>
      </c>
      <c r="I6472">
        <f t="shared" si="1332"/>
        <v>0</v>
      </c>
      <c r="J6472">
        <f t="shared" si="1333"/>
        <v>0</v>
      </c>
      <c r="K6472" s="4" t="e">
        <f t="shared" si="1321"/>
        <v>#N/A</v>
      </c>
      <c r="L6472" t="e">
        <f t="shared" si="1322"/>
        <v>#N/A</v>
      </c>
      <c r="M6472" s="4" t="e">
        <f t="shared" si="1323"/>
        <v>#N/A</v>
      </c>
      <c r="N6472" s="4" t="e">
        <f t="shared" si="1324"/>
        <v>#N/A</v>
      </c>
    </row>
    <row r="6473" spans="1:14">
      <c r="A6473">
        <f t="shared" si="1325"/>
        <v>0</v>
      </c>
      <c r="B6473">
        <f t="shared" si="1326"/>
        <v>0</v>
      </c>
      <c r="C6473">
        <f t="shared" si="1327"/>
        <v>0</v>
      </c>
      <c r="D6473">
        <f t="shared" si="1328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9"/>
        <v>0</v>
      </c>
      <c r="G6473">
        <f t="shared" si="1330"/>
        <v>0</v>
      </c>
      <c r="H6473">
        <f t="shared" si="1331"/>
        <v>0</v>
      </c>
      <c r="I6473">
        <f t="shared" si="1332"/>
        <v>0</v>
      </c>
      <c r="J6473">
        <f t="shared" si="1333"/>
        <v>0</v>
      </c>
      <c r="K6473" s="4" t="e">
        <f t="shared" si="1321"/>
        <v>#N/A</v>
      </c>
      <c r="L6473" t="e">
        <f t="shared" si="1322"/>
        <v>#N/A</v>
      </c>
      <c r="M6473" s="4" t="e">
        <f t="shared" si="1323"/>
        <v>#N/A</v>
      </c>
      <c r="N6473" s="4" t="e">
        <f t="shared" si="1324"/>
        <v>#N/A</v>
      </c>
    </row>
    <row r="6474" spans="1:14">
      <c r="A6474">
        <f t="shared" si="1325"/>
        <v>0</v>
      </c>
      <c r="B6474">
        <f t="shared" si="1326"/>
        <v>0</v>
      </c>
      <c r="C6474">
        <f t="shared" si="1327"/>
        <v>0</v>
      </c>
      <c r="D6474">
        <f t="shared" si="1328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9"/>
        <v>0</v>
      </c>
      <c r="G6474">
        <f t="shared" si="1330"/>
        <v>0</v>
      </c>
      <c r="H6474">
        <f t="shared" si="1331"/>
        <v>0</v>
      </c>
      <c r="I6474">
        <f t="shared" si="1332"/>
        <v>0</v>
      </c>
      <c r="J6474">
        <f t="shared" si="1333"/>
        <v>0</v>
      </c>
      <c r="K6474" s="4" t="e">
        <f t="shared" si="1321"/>
        <v>#N/A</v>
      </c>
      <c r="L6474" t="e">
        <f t="shared" si="1322"/>
        <v>#N/A</v>
      </c>
      <c r="M6474" s="4" t="e">
        <f t="shared" si="1323"/>
        <v>#N/A</v>
      </c>
      <c r="N6474" s="4" t="e">
        <f t="shared" si="1324"/>
        <v>#N/A</v>
      </c>
    </row>
    <row r="6475" spans="1:14">
      <c r="A6475">
        <f t="shared" si="1325"/>
        <v>0</v>
      </c>
      <c r="B6475">
        <f t="shared" si="1326"/>
        <v>0</v>
      </c>
      <c r="C6475">
        <f t="shared" si="1327"/>
        <v>0</v>
      </c>
      <c r="D6475">
        <f t="shared" si="1328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9"/>
        <v>0</v>
      </c>
      <c r="G6475">
        <f t="shared" si="1330"/>
        <v>0</v>
      </c>
      <c r="H6475">
        <f t="shared" si="1331"/>
        <v>0</v>
      </c>
      <c r="I6475">
        <f t="shared" si="1332"/>
        <v>0</v>
      </c>
      <c r="J6475">
        <f t="shared" si="1333"/>
        <v>0</v>
      </c>
      <c r="K6475" s="4" t="e">
        <f t="shared" si="1321"/>
        <v>#N/A</v>
      </c>
      <c r="L6475" t="e">
        <f t="shared" si="1322"/>
        <v>#N/A</v>
      </c>
      <c r="M6475" s="4" t="e">
        <f t="shared" si="1323"/>
        <v>#N/A</v>
      </c>
      <c r="N6475" s="4" t="e">
        <f t="shared" si="1324"/>
        <v>#N/A</v>
      </c>
    </row>
    <row r="6476" spans="1:14">
      <c r="A6476">
        <f t="shared" si="1325"/>
        <v>0</v>
      </c>
      <c r="B6476">
        <f t="shared" si="1326"/>
        <v>0</v>
      </c>
      <c r="C6476">
        <f t="shared" si="1327"/>
        <v>0</v>
      </c>
      <c r="D6476">
        <f t="shared" si="1328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9"/>
        <v>0</v>
      </c>
      <c r="G6476">
        <f t="shared" si="1330"/>
        <v>0</v>
      </c>
      <c r="H6476">
        <f t="shared" si="1331"/>
        <v>0</v>
      </c>
      <c r="I6476">
        <f t="shared" si="1332"/>
        <v>0</v>
      </c>
      <c r="J6476">
        <f t="shared" si="1333"/>
        <v>0</v>
      </c>
      <c r="K6476" s="4" t="e">
        <f t="shared" si="1321"/>
        <v>#N/A</v>
      </c>
      <c r="L6476" t="e">
        <f t="shared" si="1322"/>
        <v>#N/A</v>
      </c>
      <c r="M6476" s="4" t="e">
        <f t="shared" si="1323"/>
        <v>#N/A</v>
      </c>
      <c r="N6476" s="4" t="e">
        <f t="shared" si="1324"/>
        <v>#N/A</v>
      </c>
    </row>
    <row r="6477" spans="1:14">
      <c r="A6477">
        <f t="shared" si="1325"/>
        <v>0</v>
      </c>
      <c r="B6477">
        <f t="shared" si="1326"/>
        <v>0</v>
      </c>
      <c r="C6477">
        <f t="shared" si="1327"/>
        <v>0</v>
      </c>
      <c r="D6477">
        <f t="shared" si="1328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9"/>
        <v>0</v>
      </c>
      <c r="G6477">
        <f t="shared" si="1330"/>
        <v>0</v>
      </c>
      <c r="H6477">
        <f t="shared" si="1331"/>
        <v>0</v>
      </c>
      <c r="I6477">
        <f t="shared" si="1332"/>
        <v>0</v>
      </c>
      <c r="J6477">
        <f t="shared" si="1333"/>
        <v>0</v>
      </c>
      <c r="K6477" s="4" t="e">
        <f t="shared" si="1321"/>
        <v>#N/A</v>
      </c>
      <c r="L6477" t="e">
        <f t="shared" si="1322"/>
        <v>#N/A</v>
      </c>
      <c r="M6477" s="4" t="e">
        <f t="shared" si="1323"/>
        <v>#N/A</v>
      </c>
      <c r="N6477" s="4" t="e">
        <f t="shared" si="1324"/>
        <v>#N/A</v>
      </c>
    </row>
    <row r="6478" spans="1:14">
      <c r="A6478">
        <f t="shared" si="1325"/>
        <v>0</v>
      </c>
      <c r="B6478">
        <f t="shared" si="1326"/>
        <v>0</v>
      </c>
      <c r="C6478">
        <f t="shared" si="1327"/>
        <v>0</v>
      </c>
      <c r="D6478">
        <f t="shared" si="1328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9"/>
        <v>0</v>
      </c>
      <c r="G6478">
        <f t="shared" si="1330"/>
        <v>0</v>
      </c>
      <c r="H6478">
        <f t="shared" si="1331"/>
        <v>0</v>
      </c>
      <c r="I6478">
        <f t="shared" si="1332"/>
        <v>0</v>
      </c>
      <c r="J6478">
        <f t="shared" si="1333"/>
        <v>0</v>
      </c>
      <c r="K6478" s="4" t="e">
        <f t="shared" si="1321"/>
        <v>#N/A</v>
      </c>
      <c r="L6478" t="e">
        <f t="shared" si="1322"/>
        <v>#N/A</v>
      </c>
      <c r="M6478" s="4" t="e">
        <f t="shared" si="1323"/>
        <v>#N/A</v>
      </c>
      <c r="N6478" s="4" t="e">
        <f t="shared" si="1324"/>
        <v>#N/A</v>
      </c>
    </row>
    <row r="6479" spans="1:14">
      <c r="A6479">
        <f t="shared" si="1325"/>
        <v>0</v>
      </c>
      <c r="B6479">
        <f t="shared" si="1326"/>
        <v>0</v>
      </c>
      <c r="C6479">
        <f t="shared" si="1327"/>
        <v>0</v>
      </c>
      <c r="D6479">
        <f t="shared" si="1328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9"/>
        <v>0</v>
      </c>
      <c r="G6479">
        <f t="shared" si="1330"/>
        <v>0</v>
      </c>
      <c r="H6479">
        <f t="shared" si="1331"/>
        <v>0</v>
      </c>
      <c r="I6479">
        <f t="shared" si="1332"/>
        <v>0</v>
      </c>
      <c r="J6479">
        <f t="shared" si="1333"/>
        <v>0</v>
      </c>
      <c r="K6479" s="4" t="e">
        <f t="shared" si="1321"/>
        <v>#N/A</v>
      </c>
      <c r="L6479" t="e">
        <f t="shared" si="1322"/>
        <v>#N/A</v>
      </c>
      <c r="M6479" s="4" t="e">
        <f t="shared" si="1323"/>
        <v>#N/A</v>
      </c>
      <c r="N6479" s="4" t="e">
        <f t="shared" si="1324"/>
        <v>#N/A</v>
      </c>
    </row>
    <row r="6480" spans="1:14">
      <c r="A6480">
        <f t="shared" si="1325"/>
        <v>0</v>
      </c>
      <c r="B6480">
        <f t="shared" si="1326"/>
        <v>0</v>
      </c>
      <c r="C6480">
        <f t="shared" si="1327"/>
        <v>0</v>
      </c>
      <c r="D6480">
        <f t="shared" si="1328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9"/>
        <v>0</v>
      </c>
      <c r="G6480">
        <f t="shared" si="1330"/>
        <v>0</v>
      </c>
      <c r="H6480">
        <f t="shared" si="1331"/>
        <v>0</v>
      </c>
      <c r="I6480">
        <f t="shared" si="1332"/>
        <v>0</v>
      </c>
      <c r="J6480">
        <f t="shared" si="1333"/>
        <v>0</v>
      </c>
      <c r="K6480" s="4" t="e">
        <f t="shared" si="1321"/>
        <v>#N/A</v>
      </c>
      <c r="L6480" t="e">
        <f t="shared" si="1322"/>
        <v>#N/A</v>
      </c>
      <c r="M6480" s="4" t="e">
        <f t="shared" si="1323"/>
        <v>#N/A</v>
      </c>
      <c r="N6480" s="4" t="e">
        <f t="shared" si="1324"/>
        <v>#N/A</v>
      </c>
    </row>
    <row r="6481" spans="1:14">
      <c r="A6481">
        <f t="shared" si="1325"/>
        <v>0</v>
      </c>
      <c r="B6481">
        <f t="shared" si="1326"/>
        <v>0</v>
      </c>
      <c r="C6481">
        <f t="shared" si="1327"/>
        <v>0</v>
      </c>
      <c r="D6481">
        <f t="shared" si="1328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9"/>
        <v>0</v>
      </c>
      <c r="G6481">
        <f t="shared" si="1330"/>
        <v>0</v>
      </c>
      <c r="H6481">
        <f t="shared" si="1331"/>
        <v>0</v>
      </c>
      <c r="I6481">
        <f t="shared" si="1332"/>
        <v>0</v>
      </c>
      <c r="J6481">
        <f t="shared" si="1333"/>
        <v>0</v>
      </c>
      <c r="K6481" s="4" t="e">
        <f t="shared" si="1321"/>
        <v>#N/A</v>
      </c>
      <c r="L6481" t="e">
        <f t="shared" si="1322"/>
        <v>#N/A</v>
      </c>
      <c r="M6481" s="4" t="e">
        <f t="shared" si="1323"/>
        <v>#N/A</v>
      </c>
      <c r="N6481" s="4" t="e">
        <f t="shared" si="1324"/>
        <v>#N/A</v>
      </c>
    </row>
    <row r="6482" spans="1:14">
      <c r="A6482">
        <f t="shared" si="1325"/>
        <v>0</v>
      </c>
      <c r="B6482">
        <f t="shared" si="1326"/>
        <v>0</v>
      </c>
      <c r="C6482">
        <f t="shared" si="1327"/>
        <v>0</v>
      </c>
      <c r="D6482">
        <f t="shared" si="1328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9"/>
        <v>0</v>
      </c>
      <c r="G6482">
        <f t="shared" si="1330"/>
        <v>0</v>
      </c>
      <c r="H6482">
        <f t="shared" si="1331"/>
        <v>0</v>
      </c>
      <c r="I6482">
        <f t="shared" si="1332"/>
        <v>0</v>
      </c>
      <c r="J6482">
        <f t="shared" si="1333"/>
        <v>0</v>
      </c>
      <c r="K6482" s="4" t="e">
        <f t="shared" si="1321"/>
        <v>#N/A</v>
      </c>
      <c r="L6482" t="e">
        <f t="shared" si="1322"/>
        <v>#N/A</v>
      </c>
      <c r="M6482" s="4" t="e">
        <f t="shared" si="1323"/>
        <v>#N/A</v>
      </c>
      <c r="N6482" s="4" t="e">
        <f t="shared" si="1324"/>
        <v>#N/A</v>
      </c>
    </row>
    <row r="6483" spans="1:14">
      <c r="A6483">
        <f t="shared" si="1325"/>
        <v>0</v>
      </c>
      <c r="B6483">
        <f t="shared" si="1326"/>
        <v>0</v>
      </c>
      <c r="C6483">
        <f t="shared" si="1327"/>
        <v>0</v>
      </c>
      <c r="D6483">
        <f t="shared" si="1328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9"/>
        <v>0</v>
      </c>
      <c r="G6483">
        <f t="shared" si="1330"/>
        <v>0</v>
      </c>
      <c r="H6483">
        <f t="shared" si="1331"/>
        <v>0</v>
      </c>
      <c r="I6483">
        <f t="shared" si="1332"/>
        <v>0</v>
      </c>
      <c r="J6483">
        <f t="shared" si="1333"/>
        <v>0</v>
      </c>
      <c r="K6483" s="4" t="e">
        <f t="shared" si="1321"/>
        <v>#N/A</v>
      </c>
      <c r="L6483" t="e">
        <f t="shared" si="1322"/>
        <v>#N/A</v>
      </c>
      <c r="M6483" s="4" t="e">
        <f t="shared" si="1323"/>
        <v>#N/A</v>
      </c>
      <c r="N6483" s="4" t="e">
        <f t="shared" si="1324"/>
        <v>#N/A</v>
      </c>
    </row>
    <row r="6484" spans="1:14">
      <c r="A6484">
        <f t="shared" si="1325"/>
        <v>0</v>
      </c>
      <c r="B6484">
        <f t="shared" si="1326"/>
        <v>0</v>
      </c>
      <c r="C6484">
        <f t="shared" si="1327"/>
        <v>0</v>
      </c>
      <c r="D6484">
        <f t="shared" si="1328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9"/>
        <v>0</v>
      </c>
      <c r="G6484">
        <f t="shared" si="1330"/>
        <v>0</v>
      </c>
      <c r="H6484">
        <f t="shared" si="1331"/>
        <v>0</v>
      </c>
      <c r="I6484">
        <f t="shared" si="1332"/>
        <v>0</v>
      </c>
      <c r="J6484">
        <f t="shared" si="1333"/>
        <v>0</v>
      </c>
      <c r="K6484" s="4" t="e">
        <f t="shared" si="1321"/>
        <v>#N/A</v>
      </c>
      <c r="L6484" t="e">
        <f t="shared" si="1322"/>
        <v>#N/A</v>
      </c>
      <c r="M6484" s="4" t="e">
        <f t="shared" si="1323"/>
        <v>#N/A</v>
      </c>
      <c r="N6484" s="4" t="e">
        <f t="shared" si="1324"/>
        <v>#N/A</v>
      </c>
    </row>
    <row r="6485" spans="1:14">
      <c r="A6485">
        <f t="shared" si="1325"/>
        <v>0</v>
      </c>
      <c r="B6485">
        <f t="shared" si="1326"/>
        <v>0</v>
      </c>
      <c r="C6485">
        <f t="shared" si="1327"/>
        <v>0</v>
      </c>
      <c r="D6485">
        <f t="shared" si="1328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9"/>
        <v>0</v>
      </c>
      <c r="G6485">
        <f t="shared" si="1330"/>
        <v>0</v>
      </c>
      <c r="H6485">
        <f t="shared" si="1331"/>
        <v>0</v>
      </c>
      <c r="I6485">
        <f t="shared" si="1332"/>
        <v>0</v>
      </c>
      <c r="J6485">
        <f t="shared" si="1333"/>
        <v>0</v>
      </c>
      <c r="K6485" s="4" t="e">
        <f t="shared" si="1321"/>
        <v>#N/A</v>
      </c>
      <c r="L6485" t="e">
        <f t="shared" si="1322"/>
        <v>#N/A</v>
      </c>
      <c r="M6485" s="4" t="e">
        <f t="shared" si="1323"/>
        <v>#N/A</v>
      </c>
      <c r="N6485" s="4" t="e">
        <f t="shared" si="1324"/>
        <v>#N/A</v>
      </c>
    </row>
    <row r="6486" spans="1:14">
      <c r="A6486">
        <f t="shared" si="1325"/>
        <v>0</v>
      </c>
      <c r="B6486">
        <f t="shared" si="1326"/>
        <v>0</v>
      </c>
      <c r="C6486">
        <f t="shared" si="1327"/>
        <v>0</v>
      </c>
      <c r="D6486">
        <f t="shared" si="1328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9"/>
        <v>0</v>
      </c>
      <c r="G6486">
        <f t="shared" si="1330"/>
        <v>0</v>
      </c>
      <c r="H6486">
        <f t="shared" si="1331"/>
        <v>0</v>
      </c>
      <c r="I6486">
        <f t="shared" si="1332"/>
        <v>0</v>
      </c>
      <c r="J6486">
        <f t="shared" si="1333"/>
        <v>0</v>
      </c>
      <c r="K6486" s="4" t="e">
        <f t="shared" si="1321"/>
        <v>#N/A</v>
      </c>
      <c r="L6486" t="e">
        <f t="shared" si="1322"/>
        <v>#N/A</v>
      </c>
      <c r="M6486" s="4" t="e">
        <f t="shared" si="1323"/>
        <v>#N/A</v>
      </c>
      <c r="N6486" s="4" t="e">
        <f t="shared" si="1324"/>
        <v>#N/A</v>
      </c>
    </row>
    <row r="6487" spans="1:14">
      <c r="A6487">
        <f t="shared" si="1325"/>
        <v>0</v>
      </c>
      <c r="B6487">
        <f t="shared" si="1326"/>
        <v>0</v>
      </c>
      <c r="C6487">
        <f t="shared" si="1327"/>
        <v>0</v>
      </c>
      <c r="D6487">
        <f t="shared" si="1328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9"/>
        <v>0</v>
      </c>
      <c r="G6487">
        <f t="shared" si="1330"/>
        <v>0</v>
      </c>
      <c r="H6487">
        <f t="shared" si="1331"/>
        <v>0</v>
      </c>
      <c r="I6487">
        <f t="shared" si="1332"/>
        <v>0</v>
      </c>
      <c r="J6487">
        <f t="shared" si="1333"/>
        <v>0</v>
      </c>
      <c r="K6487" s="4" t="e">
        <f t="shared" si="1321"/>
        <v>#N/A</v>
      </c>
      <c r="L6487" t="e">
        <f t="shared" si="1322"/>
        <v>#N/A</v>
      </c>
      <c r="M6487" s="4" t="e">
        <f t="shared" si="1323"/>
        <v>#N/A</v>
      </c>
      <c r="N6487" s="4" t="e">
        <f t="shared" si="1324"/>
        <v>#N/A</v>
      </c>
    </row>
    <row r="6488" spans="1:14">
      <c r="A6488">
        <f t="shared" si="1325"/>
        <v>0</v>
      </c>
      <c r="B6488">
        <f t="shared" si="1326"/>
        <v>0</v>
      </c>
      <c r="C6488">
        <f t="shared" si="1327"/>
        <v>0</v>
      </c>
      <c r="D6488">
        <f t="shared" si="1328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9"/>
        <v>0</v>
      </c>
      <c r="G6488">
        <f t="shared" si="1330"/>
        <v>0</v>
      </c>
      <c r="H6488">
        <f t="shared" si="1331"/>
        <v>0</v>
      </c>
      <c r="I6488">
        <f t="shared" si="1332"/>
        <v>0</v>
      </c>
      <c r="J6488">
        <f t="shared" si="1333"/>
        <v>0</v>
      </c>
      <c r="K6488" s="4" t="e">
        <f t="shared" si="1321"/>
        <v>#N/A</v>
      </c>
      <c r="L6488" t="e">
        <f t="shared" si="1322"/>
        <v>#N/A</v>
      </c>
      <c r="M6488" s="4" t="e">
        <f t="shared" si="1323"/>
        <v>#N/A</v>
      </c>
      <c r="N6488" s="4" t="e">
        <f t="shared" si="1324"/>
        <v>#N/A</v>
      </c>
    </row>
    <row r="6489" spans="1:14">
      <c r="A6489">
        <f t="shared" si="1325"/>
        <v>0</v>
      </c>
      <c r="B6489">
        <f t="shared" si="1326"/>
        <v>0</v>
      </c>
      <c r="C6489">
        <f t="shared" si="1327"/>
        <v>0</v>
      </c>
      <c r="D6489">
        <f t="shared" si="1328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9"/>
        <v>0</v>
      </c>
      <c r="G6489">
        <f t="shared" si="1330"/>
        <v>0</v>
      </c>
      <c r="H6489">
        <f t="shared" si="1331"/>
        <v>0</v>
      </c>
      <c r="I6489">
        <f t="shared" si="1332"/>
        <v>0</v>
      </c>
      <c r="J6489">
        <f t="shared" si="1333"/>
        <v>0</v>
      </c>
      <c r="K6489" s="4" t="e">
        <f t="shared" si="1321"/>
        <v>#N/A</v>
      </c>
      <c r="L6489" t="e">
        <f t="shared" si="1322"/>
        <v>#N/A</v>
      </c>
      <c r="M6489" s="4" t="e">
        <f t="shared" si="1323"/>
        <v>#N/A</v>
      </c>
      <c r="N6489" s="4" t="e">
        <f t="shared" si="1324"/>
        <v>#N/A</v>
      </c>
    </row>
    <row r="6490" spans="1:14">
      <c r="A6490">
        <f t="shared" si="1325"/>
        <v>0</v>
      </c>
      <c r="B6490">
        <f t="shared" si="1326"/>
        <v>0</v>
      </c>
      <c r="C6490">
        <f t="shared" si="1327"/>
        <v>0</v>
      </c>
      <c r="D6490">
        <f t="shared" si="1328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9"/>
        <v>0</v>
      </c>
      <c r="G6490">
        <f t="shared" si="1330"/>
        <v>0</v>
      </c>
      <c r="H6490">
        <f t="shared" si="1331"/>
        <v>0</v>
      </c>
      <c r="I6490">
        <f t="shared" si="1332"/>
        <v>0</v>
      </c>
      <c r="J6490">
        <f t="shared" si="1333"/>
        <v>0</v>
      </c>
      <c r="K6490" s="4" t="e">
        <f t="shared" si="1321"/>
        <v>#N/A</v>
      </c>
      <c r="L6490" t="e">
        <f t="shared" si="1322"/>
        <v>#N/A</v>
      </c>
      <c r="M6490" s="4" t="e">
        <f t="shared" si="1323"/>
        <v>#N/A</v>
      </c>
      <c r="N6490" s="4" t="e">
        <f t="shared" si="1324"/>
        <v>#N/A</v>
      </c>
    </row>
    <row r="6491" spans="1:14">
      <c r="A6491">
        <f t="shared" si="1325"/>
        <v>0</v>
      </c>
      <c r="B6491">
        <f t="shared" si="1326"/>
        <v>0</v>
      </c>
      <c r="C6491">
        <f t="shared" si="1327"/>
        <v>0</v>
      </c>
      <c r="D6491">
        <f t="shared" si="1328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9"/>
        <v>0</v>
      </c>
      <c r="G6491">
        <f t="shared" si="1330"/>
        <v>0</v>
      </c>
      <c r="H6491">
        <f t="shared" si="1331"/>
        <v>0</v>
      </c>
      <c r="I6491">
        <f t="shared" si="1332"/>
        <v>0</v>
      </c>
      <c r="J6491">
        <f t="shared" si="1333"/>
        <v>0</v>
      </c>
      <c r="K6491" s="4" t="e">
        <f t="shared" si="1321"/>
        <v>#N/A</v>
      </c>
      <c r="L6491" t="e">
        <f t="shared" si="1322"/>
        <v>#N/A</v>
      </c>
      <c r="M6491" s="4" t="e">
        <f t="shared" si="1323"/>
        <v>#N/A</v>
      </c>
      <c r="N6491" s="4" t="e">
        <f t="shared" si="1324"/>
        <v>#N/A</v>
      </c>
    </row>
    <row r="6492" spans="1:14">
      <c r="A6492">
        <f t="shared" si="1325"/>
        <v>0</v>
      </c>
      <c r="B6492">
        <f t="shared" si="1326"/>
        <v>0</v>
      </c>
      <c r="C6492">
        <f t="shared" si="1327"/>
        <v>0</v>
      </c>
      <c r="D6492">
        <f t="shared" si="1328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9"/>
        <v>0</v>
      </c>
      <c r="G6492">
        <f t="shared" si="1330"/>
        <v>0</v>
      </c>
      <c r="H6492">
        <f t="shared" si="1331"/>
        <v>0</v>
      </c>
      <c r="I6492">
        <f t="shared" si="1332"/>
        <v>0</v>
      </c>
      <c r="J6492">
        <f t="shared" si="1333"/>
        <v>0</v>
      </c>
      <c r="K6492" s="4" t="e">
        <f t="shared" si="1321"/>
        <v>#N/A</v>
      </c>
      <c r="L6492" t="e">
        <f t="shared" si="1322"/>
        <v>#N/A</v>
      </c>
      <c r="M6492" s="4" t="e">
        <f t="shared" si="1323"/>
        <v>#N/A</v>
      </c>
      <c r="N6492" s="4" t="e">
        <f t="shared" si="1324"/>
        <v>#N/A</v>
      </c>
    </row>
    <row r="6493" spans="1:14">
      <c r="A6493">
        <f t="shared" si="1325"/>
        <v>0</v>
      </c>
      <c r="B6493">
        <f t="shared" si="1326"/>
        <v>0</v>
      </c>
      <c r="C6493">
        <f t="shared" si="1327"/>
        <v>0</v>
      </c>
      <c r="D6493">
        <f t="shared" si="1328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9"/>
        <v>0</v>
      </c>
      <c r="G6493">
        <f t="shared" si="1330"/>
        <v>0</v>
      </c>
      <c r="H6493">
        <f t="shared" si="1331"/>
        <v>0</v>
      </c>
      <c r="I6493">
        <f t="shared" si="1332"/>
        <v>0</v>
      </c>
      <c r="J6493">
        <f t="shared" si="1333"/>
        <v>0</v>
      </c>
      <c r="K6493" s="4" t="e">
        <f t="shared" si="1321"/>
        <v>#N/A</v>
      </c>
      <c r="L6493" t="e">
        <f t="shared" si="1322"/>
        <v>#N/A</v>
      </c>
      <c r="M6493" s="4" t="e">
        <f t="shared" si="1323"/>
        <v>#N/A</v>
      </c>
      <c r="N6493" s="4" t="e">
        <f t="shared" si="1324"/>
        <v>#N/A</v>
      </c>
    </row>
    <row r="6494" spans="1:14">
      <c r="A6494">
        <f t="shared" si="1325"/>
        <v>0</v>
      </c>
      <c r="B6494">
        <f t="shared" si="1326"/>
        <v>0</v>
      </c>
      <c r="C6494">
        <f t="shared" si="1327"/>
        <v>0</v>
      </c>
      <c r="D6494">
        <f t="shared" si="1328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9"/>
        <v>0</v>
      </c>
      <c r="G6494">
        <f t="shared" si="1330"/>
        <v>0</v>
      </c>
      <c r="H6494">
        <f t="shared" si="1331"/>
        <v>0</v>
      </c>
      <c r="I6494">
        <f t="shared" si="1332"/>
        <v>0</v>
      </c>
      <c r="J6494">
        <f t="shared" si="1333"/>
        <v>0</v>
      </c>
      <c r="K6494" s="4" t="e">
        <f t="shared" si="1321"/>
        <v>#N/A</v>
      </c>
      <c r="L6494" t="e">
        <f t="shared" si="1322"/>
        <v>#N/A</v>
      </c>
      <c r="M6494" s="4" t="e">
        <f t="shared" si="1323"/>
        <v>#N/A</v>
      </c>
      <c r="N6494" s="4" t="e">
        <f t="shared" si="1324"/>
        <v>#N/A</v>
      </c>
    </row>
    <row r="6495" spans="1:14">
      <c r="A6495">
        <f t="shared" si="1325"/>
        <v>0</v>
      </c>
      <c r="B6495">
        <f t="shared" si="1326"/>
        <v>0</v>
      </c>
      <c r="C6495">
        <f t="shared" si="1327"/>
        <v>0</v>
      </c>
      <c r="D6495">
        <f t="shared" si="1328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9"/>
        <v>0</v>
      </c>
      <c r="G6495">
        <f t="shared" si="1330"/>
        <v>0</v>
      </c>
      <c r="H6495">
        <f t="shared" si="1331"/>
        <v>0</v>
      </c>
      <c r="I6495">
        <f t="shared" si="1332"/>
        <v>0</v>
      </c>
      <c r="J6495">
        <f t="shared" si="1333"/>
        <v>0</v>
      </c>
      <c r="K6495" s="4" t="e">
        <f t="shared" si="1321"/>
        <v>#N/A</v>
      </c>
      <c r="L6495" t="e">
        <f t="shared" si="1322"/>
        <v>#N/A</v>
      </c>
      <c r="M6495" s="4" t="e">
        <f t="shared" si="1323"/>
        <v>#N/A</v>
      </c>
      <c r="N6495" s="4" t="e">
        <f t="shared" si="1324"/>
        <v>#N/A</v>
      </c>
    </row>
    <row r="6496" spans="1:14">
      <c r="A6496">
        <f t="shared" si="1325"/>
        <v>0</v>
      </c>
      <c r="B6496">
        <f t="shared" si="1326"/>
        <v>0</v>
      </c>
      <c r="C6496">
        <f t="shared" si="1327"/>
        <v>0</v>
      </c>
      <c r="D6496">
        <f t="shared" si="1328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9"/>
        <v>0</v>
      </c>
      <c r="G6496">
        <f t="shared" si="1330"/>
        <v>0</v>
      </c>
      <c r="H6496">
        <f t="shared" si="1331"/>
        <v>0</v>
      </c>
      <c r="I6496">
        <f t="shared" si="1332"/>
        <v>0</v>
      </c>
      <c r="J6496">
        <f t="shared" si="1333"/>
        <v>0</v>
      </c>
      <c r="K6496" s="4" t="e">
        <f t="shared" si="1321"/>
        <v>#N/A</v>
      </c>
      <c r="L6496" t="e">
        <f t="shared" si="1322"/>
        <v>#N/A</v>
      </c>
      <c r="M6496" s="4" t="e">
        <f t="shared" si="1323"/>
        <v>#N/A</v>
      </c>
      <c r="N6496" s="4" t="e">
        <f t="shared" si="1324"/>
        <v>#N/A</v>
      </c>
    </row>
    <row r="6497" spans="1:14">
      <c r="A6497">
        <f t="shared" si="1325"/>
        <v>0</v>
      </c>
      <c r="B6497">
        <f t="shared" si="1326"/>
        <v>0</v>
      </c>
      <c r="C6497">
        <f t="shared" si="1327"/>
        <v>0</v>
      </c>
      <c r="D6497">
        <f t="shared" si="1328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9"/>
        <v>0</v>
      </c>
      <c r="G6497">
        <f t="shared" si="1330"/>
        <v>0</v>
      </c>
      <c r="H6497">
        <f t="shared" si="1331"/>
        <v>0</v>
      </c>
      <c r="I6497">
        <f t="shared" si="1332"/>
        <v>0</v>
      </c>
      <c r="J6497">
        <f t="shared" si="1333"/>
        <v>0</v>
      </c>
      <c r="K6497" s="4" t="e">
        <f t="shared" si="1321"/>
        <v>#N/A</v>
      </c>
      <c r="L6497" t="e">
        <f t="shared" si="1322"/>
        <v>#N/A</v>
      </c>
      <c r="M6497" s="4" t="e">
        <f t="shared" si="1323"/>
        <v>#N/A</v>
      </c>
      <c r="N6497" s="4" t="e">
        <f t="shared" si="1324"/>
        <v>#N/A</v>
      </c>
    </row>
    <row r="6498" spans="1:14">
      <c r="A6498">
        <f t="shared" si="1325"/>
        <v>0</v>
      </c>
      <c r="B6498">
        <f t="shared" si="1326"/>
        <v>0</v>
      </c>
      <c r="C6498">
        <f t="shared" si="1327"/>
        <v>0</v>
      </c>
      <c r="D6498">
        <f t="shared" si="1328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9"/>
        <v>0</v>
      </c>
      <c r="G6498">
        <f t="shared" si="1330"/>
        <v>0</v>
      </c>
      <c r="H6498">
        <f t="shared" si="1331"/>
        <v>0</v>
      </c>
      <c r="I6498">
        <f t="shared" si="1332"/>
        <v>0</v>
      </c>
      <c r="J6498">
        <f t="shared" si="1333"/>
        <v>0</v>
      </c>
      <c r="K6498" s="4" t="e">
        <f t="shared" si="1321"/>
        <v>#N/A</v>
      </c>
      <c r="L6498" t="e">
        <f t="shared" si="1322"/>
        <v>#N/A</v>
      </c>
      <c r="M6498" s="4" t="e">
        <f t="shared" si="1323"/>
        <v>#N/A</v>
      </c>
      <c r="N6498" s="4" t="e">
        <f t="shared" si="1324"/>
        <v>#N/A</v>
      </c>
    </row>
    <row r="6499" spans="1:14">
      <c r="A6499">
        <f t="shared" si="1325"/>
        <v>0</v>
      </c>
      <c r="B6499">
        <f t="shared" si="1326"/>
        <v>0</v>
      </c>
      <c r="C6499">
        <f t="shared" si="1327"/>
        <v>0</v>
      </c>
      <c r="D6499">
        <f t="shared" si="1328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9"/>
        <v>0</v>
      </c>
      <c r="G6499">
        <f t="shared" si="1330"/>
        <v>0</v>
      </c>
      <c r="H6499">
        <f t="shared" si="1331"/>
        <v>0</v>
      </c>
      <c r="I6499">
        <f t="shared" si="1332"/>
        <v>0</v>
      </c>
      <c r="J6499">
        <f t="shared" si="1333"/>
        <v>0</v>
      </c>
      <c r="K6499" s="4" t="e">
        <f t="shared" si="1321"/>
        <v>#N/A</v>
      </c>
      <c r="L6499" t="e">
        <f t="shared" si="1322"/>
        <v>#N/A</v>
      </c>
      <c r="M6499" s="4" t="e">
        <f t="shared" si="1323"/>
        <v>#N/A</v>
      </c>
      <c r="N6499" s="4" t="e">
        <f t="shared" si="1324"/>
        <v>#N/A</v>
      </c>
    </row>
    <row r="6500" spans="1:14">
      <c r="A6500">
        <f t="shared" si="1325"/>
        <v>0</v>
      </c>
      <c r="B6500">
        <f t="shared" si="1326"/>
        <v>0</v>
      </c>
      <c r="C6500">
        <f t="shared" si="1327"/>
        <v>0</v>
      </c>
      <c r="D6500">
        <f t="shared" si="1328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9"/>
        <v>0</v>
      </c>
      <c r="G6500">
        <f t="shared" si="1330"/>
        <v>0</v>
      </c>
      <c r="H6500">
        <f t="shared" si="1331"/>
        <v>0</v>
      </c>
      <c r="I6500">
        <f t="shared" si="1332"/>
        <v>0</v>
      </c>
      <c r="J6500">
        <f t="shared" si="1333"/>
        <v>0</v>
      </c>
      <c r="K6500" s="4" t="e">
        <f t="shared" si="1321"/>
        <v>#N/A</v>
      </c>
      <c r="L6500" t="e">
        <f t="shared" si="1322"/>
        <v>#N/A</v>
      </c>
      <c r="M6500" s="4" t="e">
        <f t="shared" si="1323"/>
        <v>#N/A</v>
      </c>
      <c r="N6500" s="4" t="e">
        <f t="shared" si="1324"/>
        <v>#N/A</v>
      </c>
    </row>
    <row r="6501" spans="1:14">
      <c r="A6501">
        <f t="shared" si="1325"/>
        <v>0</v>
      </c>
      <c r="B6501">
        <f t="shared" si="1326"/>
        <v>0</v>
      </c>
      <c r="C6501">
        <f t="shared" si="1327"/>
        <v>0</v>
      </c>
      <c r="D6501">
        <f t="shared" si="1328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9"/>
        <v>0</v>
      </c>
      <c r="G6501">
        <f t="shared" si="1330"/>
        <v>0</v>
      </c>
      <c r="H6501">
        <f t="shared" si="1331"/>
        <v>0</v>
      </c>
      <c r="I6501">
        <f t="shared" si="1332"/>
        <v>0</v>
      </c>
      <c r="J6501">
        <f t="shared" si="1333"/>
        <v>0</v>
      </c>
      <c r="K6501" s="4" t="e">
        <f t="shared" si="1321"/>
        <v>#N/A</v>
      </c>
      <c r="L6501" t="e">
        <f t="shared" si="1322"/>
        <v>#N/A</v>
      </c>
      <c r="M6501" s="4" t="e">
        <f t="shared" si="1323"/>
        <v>#N/A</v>
      </c>
      <c r="N6501" s="4" t="e">
        <f t="shared" si="1324"/>
        <v>#N/A</v>
      </c>
    </row>
    <row r="6502" spans="1:14">
      <c r="A6502">
        <f t="shared" si="1325"/>
        <v>0</v>
      </c>
      <c r="B6502">
        <f t="shared" si="1326"/>
        <v>0</v>
      </c>
      <c r="C6502">
        <f t="shared" si="1327"/>
        <v>0</v>
      </c>
      <c r="D6502">
        <f t="shared" si="1328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9"/>
        <v>0</v>
      </c>
      <c r="G6502">
        <f t="shared" si="1330"/>
        <v>0</v>
      </c>
      <c r="H6502">
        <f t="shared" si="1331"/>
        <v>0</v>
      </c>
      <c r="I6502">
        <f t="shared" si="1332"/>
        <v>0</v>
      </c>
      <c r="J6502">
        <f t="shared" si="1333"/>
        <v>0</v>
      </c>
      <c r="K6502" s="4" t="e">
        <f t="shared" si="1321"/>
        <v>#N/A</v>
      </c>
      <c r="L6502" t="e">
        <f t="shared" si="1322"/>
        <v>#N/A</v>
      </c>
      <c r="M6502" s="4" t="e">
        <f t="shared" si="1323"/>
        <v>#N/A</v>
      </c>
      <c r="N6502" s="4" t="e">
        <f t="shared" si="1324"/>
        <v>#N/A</v>
      </c>
    </row>
    <row r="6503" spans="1:14">
      <c r="A6503">
        <f t="shared" si="1325"/>
        <v>0</v>
      </c>
      <c r="B6503">
        <f t="shared" si="1326"/>
        <v>0</v>
      </c>
      <c r="C6503">
        <f t="shared" si="1327"/>
        <v>0</v>
      </c>
      <c r="D6503">
        <f t="shared" si="1328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9"/>
        <v>0</v>
      </c>
      <c r="G6503">
        <f t="shared" si="1330"/>
        <v>0</v>
      </c>
      <c r="H6503">
        <f t="shared" si="1331"/>
        <v>0</v>
      </c>
      <c r="I6503">
        <f t="shared" si="1332"/>
        <v>0</v>
      </c>
      <c r="J6503">
        <f t="shared" si="1333"/>
        <v>0</v>
      </c>
      <c r="K6503" s="4" t="e">
        <f t="shared" si="1321"/>
        <v>#N/A</v>
      </c>
      <c r="L6503" t="e">
        <f t="shared" si="1322"/>
        <v>#N/A</v>
      </c>
      <c r="M6503" s="4" t="e">
        <f t="shared" si="1323"/>
        <v>#N/A</v>
      </c>
      <c r="N6503" s="4" t="e">
        <f t="shared" si="1324"/>
        <v>#N/A</v>
      </c>
    </row>
    <row r="6504" spans="1:14">
      <c r="A6504">
        <f t="shared" si="1325"/>
        <v>0</v>
      </c>
      <c r="B6504">
        <f t="shared" si="1326"/>
        <v>0</v>
      </c>
      <c r="C6504">
        <f t="shared" si="1327"/>
        <v>0</v>
      </c>
      <c r="D6504">
        <f t="shared" si="1328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9"/>
        <v>0</v>
      </c>
      <c r="G6504">
        <f t="shared" si="1330"/>
        <v>0</v>
      </c>
      <c r="H6504">
        <f t="shared" si="1331"/>
        <v>0</v>
      </c>
      <c r="I6504">
        <f t="shared" si="1332"/>
        <v>0</v>
      </c>
      <c r="J6504">
        <f t="shared" si="1333"/>
        <v>0</v>
      </c>
      <c r="K6504" s="4" t="e">
        <f t="shared" si="1321"/>
        <v>#N/A</v>
      </c>
      <c r="L6504" t="e">
        <f t="shared" si="1322"/>
        <v>#N/A</v>
      </c>
      <c r="M6504" s="4" t="e">
        <f t="shared" si="1323"/>
        <v>#N/A</v>
      </c>
      <c r="N6504" s="4" t="e">
        <f t="shared" si="1324"/>
        <v>#N/A</v>
      </c>
    </row>
    <row r="6505" spans="1:14">
      <c r="A6505">
        <f t="shared" si="1325"/>
        <v>0</v>
      </c>
      <c r="B6505">
        <f t="shared" si="1326"/>
        <v>0</v>
      </c>
      <c r="C6505">
        <f t="shared" si="1327"/>
        <v>0</v>
      </c>
      <c r="D6505">
        <f t="shared" si="1328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9"/>
        <v>0</v>
      </c>
      <c r="G6505">
        <f t="shared" si="1330"/>
        <v>0</v>
      </c>
      <c r="H6505">
        <f t="shared" si="1331"/>
        <v>0</v>
      </c>
      <c r="I6505">
        <f t="shared" si="1332"/>
        <v>0</v>
      </c>
      <c r="J6505">
        <f t="shared" si="1333"/>
        <v>0</v>
      </c>
      <c r="K6505" s="4" t="e">
        <f t="shared" si="1321"/>
        <v>#N/A</v>
      </c>
      <c r="L6505" t="e">
        <f t="shared" si="1322"/>
        <v>#N/A</v>
      </c>
      <c r="M6505" s="4" t="e">
        <f t="shared" si="1323"/>
        <v>#N/A</v>
      </c>
      <c r="N6505" s="4" t="e">
        <f t="shared" si="1324"/>
        <v>#N/A</v>
      </c>
    </row>
    <row r="6506" spans="1:14">
      <c r="A6506">
        <f t="shared" si="1325"/>
        <v>0</v>
      </c>
      <c r="B6506">
        <f t="shared" si="1326"/>
        <v>0</v>
      </c>
      <c r="C6506">
        <f t="shared" si="1327"/>
        <v>0</v>
      </c>
      <c r="D6506">
        <f t="shared" si="1328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9"/>
        <v>0</v>
      </c>
      <c r="G6506">
        <f t="shared" si="1330"/>
        <v>0</v>
      </c>
      <c r="H6506">
        <f t="shared" si="1331"/>
        <v>0</v>
      </c>
      <c r="I6506">
        <f t="shared" si="1332"/>
        <v>0</v>
      </c>
      <c r="J6506">
        <f t="shared" si="1333"/>
        <v>0</v>
      </c>
      <c r="K6506" s="4" t="e">
        <f t="shared" si="1321"/>
        <v>#N/A</v>
      </c>
      <c r="L6506" t="e">
        <f t="shared" si="1322"/>
        <v>#N/A</v>
      </c>
      <c r="M6506" s="4" t="e">
        <f t="shared" si="1323"/>
        <v>#N/A</v>
      </c>
      <c r="N6506" s="4" t="e">
        <f t="shared" si="1324"/>
        <v>#N/A</v>
      </c>
    </row>
    <row r="6507" spans="1:14">
      <c r="A6507">
        <f t="shared" si="1325"/>
        <v>0</v>
      </c>
      <c r="B6507">
        <f t="shared" si="1326"/>
        <v>0</v>
      </c>
      <c r="C6507">
        <f t="shared" si="1327"/>
        <v>0</v>
      </c>
      <c r="D6507">
        <f t="shared" si="1328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9"/>
        <v>0</v>
      </c>
      <c r="G6507">
        <f t="shared" si="1330"/>
        <v>0</v>
      </c>
      <c r="H6507">
        <f t="shared" si="1331"/>
        <v>0</v>
      </c>
      <c r="I6507">
        <f t="shared" si="1332"/>
        <v>0</v>
      </c>
      <c r="J6507">
        <f t="shared" si="1333"/>
        <v>0</v>
      </c>
      <c r="K6507" s="4" t="e">
        <f t="shared" si="1321"/>
        <v>#N/A</v>
      </c>
      <c r="L6507" t="e">
        <f t="shared" si="1322"/>
        <v>#N/A</v>
      </c>
      <c r="M6507" s="4" t="e">
        <f t="shared" si="1323"/>
        <v>#N/A</v>
      </c>
      <c r="N6507" s="4" t="e">
        <f t="shared" si="1324"/>
        <v>#N/A</v>
      </c>
    </row>
    <row r="6508" spans="1:14">
      <c r="A6508">
        <f t="shared" si="1325"/>
        <v>0</v>
      </c>
      <c r="B6508">
        <f t="shared" si="1326"/>
        <v>0</v>
      </c>
      <c r="C6508">
        <f t="shared" si="1327"/>
        <v>0</v>
      </c>
      <c r="D6508">
        <f t="shared" si="1328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9"/>
        <v>0</v>
      </c>
      <c r="G6508">
        <f t="shared" si="1330"/>
        <v>0</v>
      </c>
      <c r="H6508">
        <f t="shared" si="1331"/>
        <v>0</v>
      </c>
      <c r="I6508">
        <f t="shared" si="1332"/>
        <v>0</v>
      </c>
      <c r="J6508">
        <f t="shared" si="1333"/>
        <v>0</v>
      </c>
      <c r="K6508" s="4" t="e">
        <f t="shared" si="1321"/>
        <v>#N/A</v>
      </c>
      <c r="L6508" t="e">
        <f t="shared" si="1322"/>
        <v>#N/A</v>
      </c>
      <c r="M6508" s="4" t="e">
        <f t="shared" si="1323"/>
        <v>#N/A</v>
      </c>
      <c r="N6508" s="4" t="e">
        <f t="shared" si="1324"/>
        <v>#N/A</v>
      </c>
    </row>
    <row r="6509" spans="1:14">
      <c r="A6509">
        <f t="shared" si="1325"/>
        <v>0</v>
      </c>
      <c r="B6509">
        <f t="shared" si="1326"/>
        <v>0</v>
      </c>
      <c r="C6509">
        <f t="shared" si="1327"/>
        <v>0</v>
      </c>
      <c r="D6509">
        <f t="shared" si="1328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9"/>
        <v>0</v>
      </c>
      <c r="G6509">
        <f t="shared" si="1330"/>
        <v>0</v>
      </c>
      <c r="H6509">
        <f t="shared" si="1331"/>
        <v>0</v>
      </c>
      <c r="I6509">
        <f t="shared" si="1332"/>
        <v>0</v>
      </c>
      <c r="J6509">
        <f t="shared" si="1333"/>
        <v>0</v>
      </c>
      <c r="K6509" s="4" t="e">
        <f t="shared" si="1321"/>
        <v>#N/A</v>
      </c>
      <c r="L6509" t="e">
        <f t="shared" si="1322"/>
        <v>#N/A</v>
      </c>
      <c r="M6509" s="4" t="e">
        <f t="shared" si="1323"/>
        <v>#N/A</v>
      </c>
      <c r="N6509" s="4" t="e">
        <f t="shared" si="1324"/>
        <v>#N/A</v>
      </c>
    </row>
    <row r="6510" spans="1:14">
      <c r="A6510">
        <f t="shared" si="1325"/>
        <v>0</v>
      </c>
      <c r="B6510">
        <f t="shared" si="1326"/>
        <v>0</v>
      </c>
      <c r="C6510">
        <f t="shared" si="1327"/>
        <v>0</v>
      </c>
      <c r="D6510">
        <f t="shared" si="1328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9"/>
        <v>0</v>
      </c>
      <c r="G6510">
        <f t="shared" si="1330"/>
        <v>0</v>
      </c>
      <c r="H6510">
        <f t="shared" si="1331"/>
        <v>0</v>
      </c>
      <c r="I6510">
        <f t="shared" si="1332"/>
        <v>0</v>
      </c>
      <c r="J6510">
        <f t="shared" si="1333"/>
        <v>0</v>
      </c>
      <c r="K6510" s="4" t="e">
        <f t="shared" si="1321"/>
        <v>#N/A</v>
      </c>
      <c r="L6510" t="e">
        <f t="shared" si="1322"/>
        <v>#N/A</v>
      </c>
      <c r="M6510" s="4" t="e">
        <f t="shared" si="1323"/>
        <v>#N/A</v>
      </c>
      <c r="N6510" s="4" t="e">
        <f t="shared" si="1324"/>
        <v>#N/A</v>
      </c>
    </row>
    <row r="6511" spans="1:14">
      <c r="A6511">
        <f t="shared" si="1325"/>
        <v>0</v>
      </c>
      <c r="B6511">
        <f t="shared" si="1326"/>
        <v>0</v>
      </c>
      <c r="C6511">
        <f t="shared" si="1327"/>
        <v>0</v>
      </c>
      <c r="D6511">
        <f t="shared" si="1328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9"/>
        <v>0</v>
      </c>
      <c r="G6511">
        <f t="shared" si="1330"/>
        <v>0</v>
      </c>
      <c r="H6511">
        <f t="shared" si="1331"/>
        <v>0</v>
      </c>
      <c r="I6511">
        <f t="shared" si="1332"/>
        <v>0</v>
      </c>
      <c r="J6511">
        <f t="shared" si="1333"/>
        <v>0</v>
      </c>
      <c r="K6511" s="4" t="e">
        <f t="shared" si="1321"/>
        <v>#N/A</v>
      </c>
      <c r="L6511" t="e">
        <f t="shared" si="1322"/>
        <v>#N/A</v>
      </c>
      <c r="M6511" s="4" t="e">
        <f t="shared" si="1323"/>
        <v>#N/A</v>
      </c>
      <c r="N6511" s="4" t="e">
        <f t="shared" si="1324"/>
        <v>#N/A</v>
      </c>
    </row>
    <row r="6512" spans="1:14">
      <c r="A6512">
        <f t="shared" si="1325"/>
        <v>0</v>
      </c>
      <c r="B6512">
        <f t="shared" si="1326"/>
        <v>0</v>
      </c>
      <c r="C6512">
        <f t="shared" si="1327"/>
        <v>0</v>
      </c>
      <c r="D6512">
        <f t="shared" si="1328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9"/>
        <v>0</v>
      </c>
      <c r="G6512">
        <f t="shared" si="1330"/>
        <v>0</v>
      </c>
      <c r="H6512">
        <f t="shared" si="1331"/>
        <v>0</v>
      </c>
      <c r="I6512">
        <f t="shared" si="1332"/>
        <v>0</v>
      </c>
      <c r="J6512">
        <f t="shared" si="1333"/>
        <v>0</v>
      </c>
      <c r="K6512" s="4" t="e">
        <f t="shared" si="1321"/>
        <v>#N/A</v>
      </c>
      <c r="L6512" t="e">
        <f t="shared" si="1322"/>
        <v>#N/A</v>
      </c>
      <c r="M6512" s="4" t="e">
        <f t="shared" si="1323"/>
        <v>#N/A</v>
      </c>
      <c r="N6512" s="4" t="e">
        <f t="shared" si="1324"/>
        <v>#N/A</v>
      </c>
    </row>
    <row r="6513" spans="1:14">
      <c r="A6513">
        <f t="shared" si="1325"/>
        <v>0</v>
      </c>
      <c r="B6513">
        <f t="shared" si="1326"/>
        <v>0</v>
      </c>
      <c r="C6513">
        <f t="shared" si="1327"/>
        <v>0</v>
      </c>
      <c r="D6513">
        <f t="shared" si="1328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9"/>
        <v>0</v>
      </c>
      <c r="G6513">
        <f t="shared" si="1330"/>
        <v>0</v>
      </c>
      <c r="H6513">
        <f t="shared" si="1331"/>
        <v>0</v>
      </c>
      <c r="I6513">
        <f t="shared" si="1332"/>
        <v>0</v>
      </c>
      <c r="J6513">
        <f t="shared" si="1333"/>
        <v>0</v>
      </c>
      <c r="K6513" s="4" t="e">
        <f t="shared" si="1321"/>
        <v>#N/A</v>
      </c>
      <c r="L6513" t="e">
        <f t="shared" si="1322"/>
        <v>#N/A</v>
      </c>
      <c r="M6513" s="4" t="e">
        <f t="shared" si="1323"/>
        <v>#N/A</v>
      </c>
      <c r="N6513" s="4" t="e">
        <f t="shared" si="1324"/>
        <v>#N/A</v>
      </c>
    </row>
    <row r="6514" spans="1:14">
      <c r="A6514">
        <f t="shared" si="1325"/>
        <v>0</v>
      </c>
      <c r="B6514">
        <f t="shared" si="1326"/>
        <v>0</v>
      </c>
      <c r="C6514">
        <f t="shared" si="1327"/>
        <v>0</v>
      </c>
      <c r="D6514">
        <f t="shared" si="1328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9"/>
        <v>0</v>
      </c>
      <c r="G6514">
        <f t="shared" si="1330"/>
        <v>0</v>
      </c>
      <c r="H6514">
        <f t="shared" si="1331"/>
        <v>0</v>
      </c>
      <c r="I6514">
        <f t="shared" si="1332"/>
        <v>0</v>
      </c>
      <c r="J6514">
        <f t="shared" si="1333"/>
        <v>0</v>
      </c>
      <c r="K6514" s="4" t="e">
        <f t="shared" si="1321"/>
        <v>#N/A</v>
      </c>
      <c r="L6514" t="e">
        <f t="shared" si="1322"/>
        <v>#N/A</v>
      </c>
      <c r="M6514" s="4" t="e">
        <f t="shared" si="1323"/>
        <v>#N/A</v>
      </c>
      <c r="N6514" s="4" t="e">
        <f t="shared" si="1324"/>
        <v>#N/A</v>
      </c>
    </row>
    <row r="6515" spans="1:14">
      <c r="A6515">
        <f t="shared" si="1325"/>
        <v>0</v>
      </c>
      <c r="B6515">
        <f t="shared" si="1326"/>
        <v>0</v>
      </c>
      <c r="C6515">
        <f t="shared" si="1327"/>
        <v>0</v>
      </c>
      <c r="D6515">
        <f t="shared" si="1328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9"/>
        <v>0</v>
      </c>
      <c r="G6515">
        <f t="shared" si="1330"/>
        <v>0</v>
      </c>
      <c r="H6515">
        <f t="shared" si="1331"/>
        <v>0</v>
      </c>
      <c r="I6515">
        <f t="shared" si="1332"/>
        <v>0</v>
      </c>
      <c r="J6515">
        <f t="shared" si="1333"/>
        <v>0</v>
      </c>
      <c r="K6515" s="4" t="e">
        <f t="shared" si="1321"/>
        <v>#N/A</v>
      </c>
      <c r="L6515" t="e">
        <f t="shared" si="1322"/>
        <v>#N/A</v>
      </c>
      <c r="M6515" s="4" t="e">
        <f t="shared" si="1323"/>
        <v>#N/A</v>
      </c>
      <c r="N6515" s="4" t="e">
        <f t="shared" si="1324"/>
        <v>#N/A</v>
      </c>
    </row>
    <row r="6516" spans="1:14">
      <c r="A6516">
        <f t="shared" si="1325"/>
        <v>0</v>
      </c>
      <c r="B6516">
        <f t="shared" si="1326"/>
        <v>0</v>
      </c>
      <c r="C6516">
        <f t="shared" si="1327"/>
        <v>0</v>
      </c>
      <c r="D6516">
        <f t="shared" si="1328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9"/>
        <v>0</v>
      </c>
      <c r="G6516">
        <f t="shared" si="1330"/>
        <v>0</v>
      </c>
      <c r="H6516">
        <f t="shared" si="1331"/>
        <v>0</v>
      </c>
      <c r="I6516">
        <f t="shared" si="1332"/>
        <v>0</v>
      </c>
      <c r="J6516">
        <f t="shared" si="1333"/>
        <v>0</v>
      </c>
      <c r="K6516" s="4" t="e">
        <f t="shared" si="1321"/>
        <v>#N/A</v>
      </c>
      <c r="L6516" t="e">
        <f t="shared" si="1322"/>
        <v>#N/A</v>
      </c>
      <c r="M6516" s="4" t="e">
        <f t="shared" si="1323"/>
        <v>#N/A</v>
      </c>
      <c r="N6516" s="4" t="e">
        <f t="shared" si="1324"/>
        <v>#N/A</v>
      </c>
    </row>
    <row r="6517" spans="1:14">
      <c r="A6517">
        <f t="shared" si="1325"/>
        <v>0</v>
      </c>
      <c r="B6517">
        <f t="shared" si="1326"/>
        <v>0</v>
      </c>
      <c r="C6517">
        <f t="shared" si="1327"/>
        <v>0</v>
      </c>
      <c r="D6517">
        <f t="shared" si="1328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9"/>
        <v>0</v>
      </c>
      <c r="G6517">
        <f t="shared" si="1330"/>
        <v>0</v>
      </c>
      <c r="H6517">
        <f t="shared" si="1331"/>
        <v>0</v>
      </c>
      <c r="I6517">
        <f t="shared" si="1332"/>
        <v>0</v>
      </c>
      <c r="J6517">
        <f t="shared" si="1333"/>
        <v>0</v>
      </c>
      <c r="K6517" s="4" t="e">
        <f t="shared" si="1321"/>
        <v>#N/A</v>
      </c>
      <c r="L6517" t="e">
        <f t="shared" si="1322"/>
        <v>#N/A</v>
      </c>
      <c r="M6517" s="4" t="e">
        <f t="shared" si="1323"/>
        <v>#N/A</v>
      </c>
      <c r="N6517" s="4" t="e">
        <f t="shared" si="1324"/>
        <v>#N/A</v>
      </c>
    </row>
    <row r="6518" spans="1:14">
      <c r="A6518">
        <f t="shared" si="1325"/>
        <v>0</v>
      </c>
      <c r="B6518">
        <f t="shared" si="1326"/>
        <v>0</v>
      </c>
      <c r="C6518">
        <f t="shared" si="1327"/>
        <v>0</v>
      </c>
      <c r="D6518">
        <f t="shared" si="1328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9"/>
        <v>0</v>
      </c>
      <c r="G6518">
        <f t="shared" si="1330"/>
        <v>0</v>
      </c>
      <c r="H6518">
        <f t="shared" si="1331"/>
        <v>0</v>
      </c>
      <c r="I6518">
        <f t="shared" si="1332"/>
        <v>0</v>
      </c>
      <c r="J6518">
        <f t="shared" si="1333"/>
        <v>0</v>
      </c>
      <c r="K6518" s="4" t="e">
        <f t="shared" si="1321"/>
        <v>#N/A</v>
      </c>
      <c r="L6518" t="e">
        <f t="shared" si="1322"/>
        <v>#N/A</v>
      </c>
      <c r="M6518" s="4" t="e">
        <f t="shared" si="1323"/>
        <v>#N/A</v>
      </c>
      <c r="N6518" s="4" t="e">
        <f t="shared" si="1324"/>
        <v>#N/A</v>
      </c>
    </row>
    <row r="6519" spans="1:14">
      <c r="A6519">
        <f t="shared" si="1325"/>
        <v>0</v>
      </c>
      <c r="B6519">
        <f t="shared" si="1326"/>
        <v>0</v>
      </c>
      <c r="C6519">
        <f t="shared" si="1327"/>
        <v>0</v>
      </c>
      <c r="D6519">
        <f t="shared" si="1328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9"/>
        <v>0</v>
      </c>
      <c r="G6519">
        <f t="shared" si="1330"/>
        <v>0</v>
      </c>
      <c r="H6519">
        <f t="shared" si="1331"/>
        <v>0</v>
      </c>
      <c r="I6519">
        <f t="shared" si="1332"/>
        <v>0</v>
      </c>
      <c r="J6519">
        <f t="shared" si="1333"/>
        <v>0</v>
      </c>
      <c r="K6519" s="4" t="e">
        <f t="shared" si="1321"/>
        <v>#N/A</v>
      </c>
      <c r="L6519" t="e">
        <f t="shared" si="1322"/>
        <v>#N/A</v>
      </c>
      <c r="M6519" s="4" t="e">
        <f t="shared" si="1323"/>
        <v>#N/A</v>
      </c>
      <c r="N6519" s="4" t="e">
        <f t="shared" si="1324"/>
        <v>#N/A</v>
      </c>
    </row>
    <row r="6520" spans="1:14">
      <c r="A6520">
        <f t="shared" si="1325"/>
        <v>0</v>
      </c>
      <c r="B6520">
        <f t="shared" si="1326"/>
        <v>0</v>
      </c>
      <c r="C6520">
        <f t="shared" si="1327"/>
        <v>0</v>
      </c>
      <c r="D6520">
        <f t="shared" si="1328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9"/>
        <v>0</v>
      </c>
      <c r="G6520">
        <f t="shared" si="1330"/>
        <v>0</v>
      </c>
      <c r="H6520">
        <f t="shared" si="1331"/>
        <v>0</v>
      </c>
      <c r="I6520">
        <f t="shared" si="1332"/>
        <v>0</v>
      </c>
      <c r="J6520">
        <f t="shared" si="1333"/>
        <v>0</v>
      </c>
      <c r="K6520" s="4" t="e">
        <f t="shared" si="1321"/>
        <v>#N/A</v>
      </c>
      <c r="L6520" t="e">
        <f t="shared" si="1322"/>
        <v>#N/A</v>
      </c>
      <c r="M6520" s="4" t="e">
        <f t="shared" si="1323"/>
        <v>#N/A</v>
      </c>
      <c r="N6520" s="4" t="e">
        <f t="shared" si="1324"/>
        <v>#N/A</v>
      </c>
    </row>
    <row r="6521" spans="1:14">
      <c r="A6521">
        <f t="shared" si="1325"/>
        <v>0</v>
      </c>
      <c r="B6521">
        <f t="shared" si="1326"/>
        <v>0</v>
      </c>
      <c r="C6521">
        <f t="shared" si="1327"/>
        <v>0</v>
      </c>
      <c r="D6521">
        <f t="shared" si="1328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9"/>
        <v>0</v>
      </c>
      <c r="G6521">
        <f t="shared" si="1330"/>
        <v>0</v>
      </c>
      <c r="H6521">
        <f t="shared" si="1331"/>
        <v>0</v>
      </c>
      <c r="I6521">
        <f t="shared" si="1332"/>
        <v>0</v>
      </c>
      <c r="J6521">
        <f t="shared" si="1333"/>
        <v>0</v>
      </c>
      <c r="K6521" s="4" t="e">
        <f t="shared" si="1321"/>
        <v>#N/A</v>
      </c>
      <c r="L6521" t="e">
        <f t="shared" si="1322"/>
        <v>#N/A</v>
      </c>
      <c r="M6521" s="4" t="e">
        <f t="shared" si="1323"/>
        <v>#N/A</v>
      </c>
      <c r="N6521" s="4" t="e">
        <f t="shared" si="1324"/>
        <v>#N/A</v>
      </c>
    </row>
    <row r="6522" spans="1:14">
      <c r="A6522">
        <f t="shared" si="1325"/>
        <v>0</v>
      </c>
      <c r="B6522">
        <f t="shared" si="1326"/>
        <v>0</v>
      </c>
      <c r="C6522">
        <f t="shared" si="1327"/>
        <v>0</v>
      </c>
      <c r="D6522">
        <f t="shared" si="1328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9"/>
        <v>0</v>
      </c>
      <c r="G6522">
        <f t="shared" si="1330"/>
        <v>0</v>
      </c>
      <c r="H6522">
        <f t="shared" si="1331"/>
        <v>0</v>
      </c>
      <c r="I6522">
        <f t="shared" si="1332"/>
        <v>0</v>
      </c>
      <c r="J6522">
        <f t="shared" si="1333"/>
        <v>0</v>
      </c>
      <c r="K6522" s="4" t="e">
        <f t="shared" si="1321"/>
        <v>#N/A</v>
      </c>
      <c r="L6522" t="e">
        <f t="shared" si="1322"/>
        <v>#N/A</v>
      </c>
      <c r="M6522" s="4" t="e">
        <f t="shared" si="1323"/>
        <v>#N/A</v>
      </c>
      <c r="N6522" s="4" t="e">
        <f t="shared" si="1324"/>
        <v>#N/A</v>
      </c>
    </row>
    <row r="6523" spans="1:14">
      <c r="A6523">
        <f t="shared" si="1325"/>
        <v>0</v>
      </c>
      <c r="B6523">
        <f t="shared" si="1326"/>
        <v>0</v>
      </c>
      <c r="C6523">
        <f t="shared" si="1327"/>
        <v>0</v>
      </c>
      <c r="D6523">
        <f t="shared" si="1328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9"/>
        <v>0</v>
      </c>
      <c r="G6523">
        <f t="shared" si="1330"/>
        <v>0</v>
      </c>
      <c r="H6523">
        <f t="shared" si="1331"/>
        <v>0</v>
      </c>
      <c r="I6523">
        <f t="shared" si="1332"/>
        <v>0</v>
      </c>
      <c r="J6523">
        <f t="shared" si="1333"/>
        <v>0</v>
      </c>
      <c r="K6523" s="4" t="e">
        <f t="shared" si="1321"/>
        <v>#N/A</v>
      </c>
      <c r="L6523" t="e">
        <f t="shared" si="1322"/>
        <v>#N/A</v>
      </c>
      <c r="M6523" s="4" t="e">
        <f t="shared" si="1323"/>
        <v>#N/A</v>
      </c>
      <c r="N6523" s="4" t="e">
        <f t="shared" si="1324"/>
        <v>#N/A</v>
      </c>
    </row>
    <row r="6524" spans="1:14">
      <c r="A6524">
        <f t="shared" si="1325"/>
        <v>0</v>
      </c>
      <c r="B6524">
        <f t="shared" si="1326"/>
        <v>0</v>
      </c>
      <c r="C6524">
        <f t="shared" si="1327"/>
        <v>0</v>
      </c>
      <c r="D6524">
        <f t="shared" si="1328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9"/>
        <v>0</v>
      </c>
      <c r="G6524">
        <f t="shared" si="1330"/>
        <v>0</v>
      </c>
      <c r="H6524">
        <f t="shared" si="1331"/>
        <v>0</v>
      </c>
      <c r="I6524">
        <f t="shared" si="1332"/>
        <v>0</v>
      </c>
      <c r="J6524">
        <f t="shared" si="1333"/>
        <v>0</v>
      </c>
      <c r="K6524" s="4" t="e">
        <f t="shared" si="1321"/>
        <v>#N/A</v>
      </c>
      <c r="L6524" t="e">
        <f t="shared" si="1322"/>
        <v>#N/A</v>
      </c>
      <c r="M6524" s="4" t="e">
        <f t="shared" si="1323"/>
        <v>#N/A</v>
      </c>
      <c r="N6524" s="4" t="e">
        <f t="shared" si="1324"/>
        <v>#N/A</v>
      </c>
    </row>
    <row r="6525" spans="1:14">
      <c r="A6525">
        <f t="shared" si="1325"/>
        <v>0</v>
      </c>
      <c r="B6525">
        <f t="shared" si="1326"/>
        <v>0</v>
      </c>
      <c r="C6525">
        <f t="shared" si="1327"/>
        <v>0</v>
      </c>
      <c r="D6525">
        <f t="shared" si="1328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9"/>
        <v>0</v>
      </c>
      <c r="G6525">
        <f t="shared" si="1330"/>
        <v>0</v>
      </c>
      <c r="H6525">
        <f t="shared" si="1331"/>
        <v>0</v>
      </c>
      <c r="I6525">
        <f t="shared" si="1332"/>
        <v>0</v>
      </c>
      <c r="J6525">
        <f t="shared" si="1333"/>
        <v>0</v>
      </c>
      <c r="K6525" s="4" t="e">
        <f t="shared" ref="K6525:K6588" si="1334">IF(LEFT(B6525,3)="DBM",0,VLOOKUP(E6525,tabela,2,FALSE))</f>
        <v>#N/A</v>
      </c>
      <c r="L6525" t="e">
        <f t="shared" ref="L6525:L6588" si="1335">VLOOKUP(E6525,tabela,3,FALSE)</f>
        <v>#N/A</v>
      </c>
      <c r="M6525" s="4" t="e">
        <f t="shared" ref="M6525:M6588" si="1336">IF(E6525="Dynamic Click",J6525*K6525,K6525*$I6525/1000)</f>
        <v>#N/A</v>
      </c>
      <c r="N6525" s="4" t="e">
        <f t="shared" ref="N6525:N6588" si="1337">IF(E6525="Dynamic Click",J6525*L6525,L6525*$I6525/1000)</f>
        <v>#N/A</v>
      </c>
    </row>
    <row r="6526" spans="1:14">
      <c r="A6526">
        <f t="shared" si="1325"/>
        <v>0</v>
      </c>
      <c r="B6526">
        <f t="shared" si="1326"/>
        <v>0</v>
      </c>
      <c r="C6526">
        <f t="shared" si="1327"/>
        <v>0</v>
      </c>
      <c r="D6526">
        <f t="shared" si="1328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9"/>
        <v>0</v>
      </c>
      <c r="G6526">
        <f t="shared" si="1330"/>
        <v>0</v>
      </c>
      <c r="H6526">
        <f t="shared" si="1331"/>
        <v>0</v>
      </c>
      <c r="I6526">
        <f t="shared" si="1332"/>
        <v>0</v>
      </c>
      <c r="J6526">
        <f t="shared" si="1333"/>
        <v>0</v>
      </c>
      <c r="K6526" s="4" t="e">
        <f t="shared" si="1334"/>
        <v>#N/A</v>
      </c>
      <c r="L6526" t="e">
        <f t="shared" si="1335"/>
        <v>#N/A</v>
      </c>
      <c r="M6526" s="4" t="e">
        <f t="shared" si="1336"/>
        <v>#N/A</v>
      </c>
      <c r="N6526" s="4" t="e">
        <f t="shared" si="1337"/>
        <v>#N/A</v>
      </c>
    </row>
    <row r="6527" spans="1:14">
      <c r="A6527">
        <f t="shared" si="1325"/>
        <v>0</v>
      </c>
      <c r="B6527">
        <f t="shared" si="1326"/>
        <v>0</v>
      </c>
      <c r="C6527">
        <f t="shared" si="1327"/>
        <v>0</v>
      </c>
      <c r="D6527">
        <f t="shared" si="1328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9"/>
        <v>0</v>
      </c>
      <c r="G6527">
        <f t="shared" si="1330"/>
        <v>0</v>
      </c>
      <c r="H6527">
        <f t="shared" si="1331"/>
        <v>0</v>
      </c>
      <c r="I6527">
        <f t="shared" si="1332"/>
        <v>0</v>
      </c>
      <c r="J6527">
        <f t="shared" si="1333"/>
        <v>0</v>
      </c>
      <c r="K6527" s="4" t="e">
        <f t="shared" si="1334"/>
        <v>#N/A</v>
      </c>
      <c r="L6527" t="e">
        <f t="shared" si="1335"/>
        <v>#N/A</v>
      </c>
      <c r="M6527" s="4" t="e">
        <f t="shared" si="1336"/>
        <v>#N/A</v>
      </c>
      <c r="N6527" s="4" t="e">
        <f t="shared" si="1337"/>
        <v>#N/A</v>
      </c>
    </row>
    <row r="6528" spans="1:14">
      <c r="A6528">
        <f t="shared" si="1325"/>
        <v>0</v>
      </c>
      <c r="B6528">
        <f t="shared" si="1326"/>
        <v>0</v>
      </c>
      <c r="C6528">
        <f t="shared" si="1327"/>
        <v>0</v>
      </c>
      <c r="D6528">
        <f t="shared" si="1328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9"/>
        <v>0</v>
      </c>
      <c r="G6528">
        <f t="shared" si="1330"/>
        <v>0</v>
      </c>
      <c r="H6528">
        <f t="shared" si="1331"/>
        <v>0</v>
      </c>
      <c r="I6528">
        <f t="shared" si="1332"/>
        <v>0</v>
      </c>
      <c r="J6528">
        <f t="shared" si="1333"/>
        <v>0</v>
      </c>
      <c r="K6528" s="4" t="e">
        <f t="shared" si="1334"/>
        <v>#N/A</v>
      </c>
      <c r="L6528" t="e">
        <f t="shared" si="1335"/>
        <v>#N/A</v>
      </c>
      <c r="M6528" s="4" t="e">
        <f t="shared" si="1336"/>
        <v>#N/A</v>
      </c>
      <c r="N6528" s="4" t="e">
        <f t="shared" si="1337"/>
        <v>#N/A</v>
      </c>
    </row>
    <row r="6529" spans="1:14">
      <c r="A6529">
        <f t="shared" si="1325"/>
        <v>0</v>
      </c>
      <c r="B6529">
        <f t="shared" si="1326"/>
        <v>0</v>
      </c>
      <c r="C6529">
        <f t="shared" si="1327"/>
        <v>0</v>
      </c>
      <c r="D6529">
        <f t="shared" si="1328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9"/>
        <v>0</v>
      </c>
      <c r="G6529">
        <f t="shared" si="1330"/>
        <v>0</v>
      </c>
      <c r="H6529">
        <f t="shared" si="1331"/>
        <v>0</v>
      </c>
      <c r="I6529">
        <f t="shared" si="1332"/>
        <v>0</v>
      </c>
      <c r="J6529">
        <f t="shared" si="1333"/>
        <v>0</v>
      </c>
      <c r="K6529" s="4" t="e">
        <f t="shared" si="1334"/>
        <v>#N/A</v>
      </c>
      <c r="L6529" t="e">
        <f t="shared" si="1335"/>
        <v>#N/A</v>
      </c>
      <c r="M6529" s="4" t="e">
        <f t="shared" si="1336"/>
        <v>#N/A</v>
      </c>
      <c r="N6529" s="4" t="e">
        <f t="shared" si="1337"/>
        <v>#N/A</v>
      </c>
    </row>
    <row r="6530" spans="1:14">
      <c r="A6530">
        <f t="shared" ref="A6530:A6593" si="1338">bd_campaign</f>
        <v>0</v>
      </c>
      <c r="B6530">
        <f t="shared" ref="B6530:B6593" si="1339">bd_site</f>
        <v>0</v>
      </c>
      <c r="C6530">
        <f t="shared" ref="C6530:C6593" si="1340">bd_placement</f>
        <v>0</v>
      </c>
      <c r="D6530">
        <f t="shared" ref="D6530:D6593" si="1341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2">bd_ad</f>
        <v>0</v>
      </c>
      <c r="G6530">
        <f t="shared" ref="G6530:G6593" si="1343">bd_adid</f>
        <v>0</v>
      </c>
      <c r="H6530">
        <f t="shared" ref="H6530:H6593" si="1344">bd_creativetype</f>
        <v>0</v>
      </c>
      <c r="I6530">
        <f t="shared" ref="I6530:I6593" si="1345">bd_impression</f>
        <v>0</v>
      </c>
      <c r="J6530">
        <f t="shared" ref="J6530:J6593" si="1346">bd_clicks</f>
        <v>0</v>
      </c>
      <c r="K6530" s="4" t="e">
        <f t="shared" si="1334"/>
        <v>#N/A</v>
      </c>
      <c r="L6530" t="e">
        <f t="shared" si="1335"/>
        <v>#N/A</v>
      </c>
      <c r="M6530" s="4" t="e">
        <f t="shared" si="1336"/>
        <v>#N/A</v>
      </c>
      <c r="N6530" s="4" t="e">
        <f t="shared" si="1337"/>
        <v>#N/A</v>
      </c>
    </row>
    <row r="6531" spans="1:14">
      <c r="A6531">
        <f t="shared" si="1338"/>
        <v>0</v>
      </c>
      <c r="B6531">
        <f t="shared" si="1339"/>
        <v>0</v>
      </c>
      <c r="C6531">
        <f t="shared" si="1340"/>
        <v>0</v>
      </c>
      <c r="D6531">
        <f t="shared" si="1341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2"/>
        <v>0</v>
      </c>
      <c r="G6531">
        <f t="shared" si="1343"/>
        <v>0</v>
      </c>
      <c r="H6531">
        <f t="shared" si="1344"/>
        <v>0</v>
      </c>
      <c r="I6531">
        <f t="shared" si="1345"/>
        <v>0</v>
      </c>
      <c r="J6531">
        <f t="shared" si="1346"/>
        <v>0</v>
      </c>
      <c r="K6531" s="4" t="e">
        <f t="shared" si="1334"/>
        <v>#N/A</v>
      </c>
      <c r="L6531" t="e">
        <f t="shared" si="1335"/>
        <v>#N/A</v>
      </c>
      <c r="M6531" s="4" t="e">
        <f t="shared" si="1336"/>
        <v>#N/A</v>
      </c>
      <c r="N6531" s="4" t="e">
        <f t="shared" si="1337"/>
        <v>#N/A</v>
      </c>
    </row>
    <row r="6532" spans="1:14">
      <c r="A6532">
        <f t="shared" si="1338"/>
        <v>0</v>
      </c>
      <c r="B6532">
        <f t="shared" si="1339"/>
        <v>0</v>
      </c>
      <c r="C6532">
        <f t="shared" si="1340"/>
        <v>0</v>
      </c>
      <c r="D6532">
        <f t="shared" si="1341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2"/>
        <v>0</v>
      </c>
      <c r="G6532">
        <f t="shared" si="1343"/>
        <v>0</v>
      </c>
      <c r="H6532">
        <f t="shared" si="1344"/>
        <v>0</v>
      </c>
      <c r="I6532">
        <f t="shared" si="1345"/>
        <v>0</v>
      </c>
      <c r="J6532">
        <f t="shared" si="1346"/>
        <v>0</v>
      </c>
      <c r="K6532" s="4" t="e">
        <f t="shared" si="1334"/>
        <v>#N/A</v>
      </c>
      <c r="L6532" t="e">
        <f t="shared" si="1335"/>
        <v>#N/A</v>
      </c>
      <c r="M6532" s="4" t="e">
        <f t="shared" si="1336"/>
        <v>#N/A</v>
      </c>
      <c r="N6532" s="4" t="e">
        <f t="shared" si="1337"/>
        <v>#N/A</v>
      </c>
    </row>
    <row r="6533" spans="1:14">
      <c r="A6533">
        <f t="shared" si="1338"/>
        <v>0</v>
      </c>
      <c r="B6533">
        <f t="shared" si="1339"/>
        <v>0</v>
      </c>
      <c r="C6533">
        <f t="shared" si="1340"/>
        <v>0</v>
      </c>
      <c r="D6533">
        <f t="shared" si="1341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2"/>
        <v>0</v>
      </c>
      <c r="G6533">
        <f t="shared" si="1343"/>
        <v>0</v>
      </c>
      <c r="H6533">
        <f t="shared" si="1344"/>
        <v>0</v>
      </c>
      <c r="I6533">
        <f t="shared" si="1345"/>
        <v>0</v>
      </c>
      <c r="J6533">
        <f t="shared" si="1346"/>
        <v>0</v>
      </c>
      <c r="K6533" s="4" t="e">
        <f t="shared" si="1334"/>
        <v>#N/A</v>
      </c>
      <c r="L6533" t="e">
        <f t="shared" si="1335"/>
        <v>#N/A</v>
      </c>
      <c r="M6533" s="4" t="e">
        <f t="shared" si="1336"/>
        <v>#N/A</v>
      </c>
      <c r="N6533" s="4" t="e">
        <f t="shared" si="1337"/>
        <v>#N/A</v>
      </c>
    </row>
    <row r="6534" spans="1:14">
      <c r="A6534">
        <f t="shared" si="1338"/>
        <v>0</v>
      </c>
      <c r="B6534">
        <f t="shared" si="1339"/>
        <v>0</v>
      </c>
      <c r="C6534">
        <f t="shared" si="1340"/>
        <v>0</v>
      </c>
      <c r="D6534">
        <f t="shared" si="1341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2"/>
        <v>0</v>
      </c>
      <c r="G6534">
        <f t="shared" si="1343"/>
        <v>0</v>
      </c>
      <c r="H6534">
        <f t="shared" si="1344"/>
        <v>0</v>
      </c>
      <c r="I6534">
        <f t="shared" si="1345"/>
        <v>0</v>
      </c>
      <c r="J6534">
        <f t="shared" si="1346"/>
        <v>0</v>
      </c>
      <c r="K6534" s="4" t="e">
        <f t="shared" si="1334"/>
        <v>#N/A</v>
      </c>
      <c r="L6534" t="e">
        <f t="shared" si="1335"/>
        <v>#N/A</v>
      </c>
      <c r="M6534" s="4" t="e">
        <f t="shared" si="1336"/>
        <v>#N/A</v>
      </c>
      <c r="N6534" s="4" t="e">
        <f t="shared" si="1337"/>
        <v>#N/A</v>
      </c>
    </row>
    <row r="6535" spans="1:14">
      <c r="A6535">
        <f t="shared" si="1338"/>
        <v>0</v>
      </c>
      <c r="B6535">
        <f t="shared" si="1339"/>
        <v>0</v>
      </c>
      <c r="C6535">
        <f t="shared" si="1340"/>
        <v>0</v>
      </c>
      <c r="D6535">
        <f t="shared" si="1341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2"/>
        <v>0</v>
      </c>
      <c r="G6535">
        <f t="shared" si="1343"/>
        <v>0</v>
      </c>
      <c r="H6535">
        <f t="shared" si="1344"/>
        <v>0</v>
      </c>
      <c r="I6535">
        <f t="shared" si="1345"/>
        <v>0</v>
      </c>
      <c r="J6535">
        <f t="shared" si="1346"/>
        <v>0</v>
      </c>
      <c r="K6535" s="4" t="e">
        <f t="shared" si="1334"/>
        <v>#N/A</v>
      </c>
      <c r="L6535" t="e">
        <f t="shared" si="1335"/>
        <v>#N/A</v>
      </c>
      <c r="M6535" s="4" t="e">
        <f t="shared" si="1336"/>
        <v>#N/A</v>
      </c>
      <c r="N6535" s="4" t="e">
        <f t="shared" si="1337"/>
        <v>#N/A</v>
      </c>
    </row>
    <row r="6536" spans="1:14">
      <c r="A6536">
        <f t="shared" si="1338"/>
        <v>0</v>
      </c>
      <c r="B6536">
        <f t="shared" si="1339"/>
        <v>0</v>
      </c>
      <c r="C6536">
        <f t="shared" si="1340"/>
        <v>0</v>
      </c>
      <c r="D6536">
        <f t="shared" si="1341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2"/>
        <v>0</v>
      </c>
      <c r="G6536">
        <f t="shared" si="1343"/>
        <v>0</v>
      </c>
      <c r="H6536">
        <f t="shared" si="1344"/>
        <v>0</v>
      </c>
      <c r="I6536">
        <f t="shared" si="1345"/>
        <v>0</v>
      </c>
      <c r="J6536">
        <f t="shared" si="1346"/>
        <v>0</v>
      </c>
      <c r="K6536" s="4" t="e">
        <f t="shared" si="1334"/>
        <v>#N/A</v>
      </c>
      <c r="L6536" t="e">
        <f t="shared" si="1335"/>
        <v>#N/A</v>
      </c>
      <c r="M6536" s="4" t="e">
        <f t="shared" si="1336"/>
        <v>#N/A</v>
      </c>
      <c r="N6536" s="4" t="e">
        <f t="shared" si="1337"/>
        <v>#N/A</v>
      </c>
    </row>
    <row r="6537" spans="1:14">
      <c r="A6537">
        <f t="shared" si="1338"/>
        <v>0</v>
      </c>
      <c r="B6537">
        <f t="shared" si="1339"/>
        <v>0</v>
      </c>
      <c r="C6537">
        <f t="shared" si="1340"/>
        <v>0</v>
      </c>
      <c r="D6537">
        <f t="shared" si="1341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2"/>
        <v>0</v>
      </c>
      <c r="G6537">
        <f t="shared" si="1343"/>
        <v>0</v>
      </c>
      <c r="H6537">
        <f t="shared" si="1344"/>
        <v>0</v>
      </c>
      <c r="I6537">
        <f t="shared" si="1345"/>
        <v>0</v>
      </c>
      <c r="J6537">
        <f t="shared" si="1346"/>
        <v>0</v>
      </c>
      <c r="K6537" s="4" t="e">
        <f t="shared" si="1334"/>
        <v>#N/A</v>
      </c>
      <c r="L6537" t="e">
        <f t="shared" si="1335"/>
        <v>#N/A</v>
      </c>
      <c r="M6537" s="4" t="e">
        <f t="shared" si="1336"/>
        <v>#N/A</v>
      </c>
      <c r="N6537" s="4" t="e">
        <f t="shared" si="1337"/>
        <v>#N/A</v>
      </c>
    </row>
    <row r="6538" spans="1:14">
      <c r="A6538">
        <f t="shared" si="1338"/>
        <v>0</v>
      </c>
      <c r="B6538">
        <f t="shared" si="1339"/>
        <v>0</v>
      </c>
      <c r="C6538">
        <f t="shared" si="1340"/>
        <v>0</v>
      </c>
      <c r="D6538">
        <f t="shared" si="1341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2"/>
        <v>0</v>
      </c>
      <c r="G6538">
        <f t="shared" si="1343"/>
        <v>0</v>
      </c>
      <c r="H6538">
        <f t="shared" si="1344"/>
        <v>0</v>
      </c>
      <c r="I6538">
        <f t="shared" si="1345"/>
        <v>0</v>
      </c>
      <c r="J6538">
        <f t="shared" si="1346"/>
        <v>0</v>
      </c>
      <c r="K6538" s="4" t="e">
        <f t="shared" si="1334"/>
        <v>#N/A</v>
      </c>
      <c r="L6538" t="e">
        <f t="shared" si="1335"/>
        <v>#N/A</v>
      </c>
      <c r="M6538" s="4" t="e">
        <f t="shared" si="1336"/>
        <v>#N/A</v>
      </c>
      <c r="N6538" s="4" t="e">
        <f t="shared" si="1337"/>
        <v>#N/A</v>
      </c>
    </row>
    <row r="6539" spans="1:14">
      <c r="A6539">
        <f t="shared" si="1338"/>
        <v>0</v>
      </c>
      <c r="B6539">
        <f t="shared" si="1339"/>
        <v>0</v>
      </c>
      <c r="C6539">
        <f t="shared" si="1340"/>
        <v>0</v>
      </c>
      <c r="D6539">
        <f t="shared" si="1341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2"/>
        <v>0</v>
      </c>
      <c r="G6539">
        <f t="shared" si="1343"/>
        <v>0</v>
      </c>
      <c r="H6539">
        <f t="shared" si="1344"/>
        <v>0</v>
      </c>
      <c r="I6539">
        <f t="shared" si="1345"/>
        <v>0</v>
      </c>
      <c r="J6539">
        <f t="shared" si="1346"/>
        <v>0</v>
      </c>
      <c r="K6539" s="4" t="e">
        <f t="shared" si="1334"/>
        <v>#N/A</v>
      </c>
      <c r="L6539" t="e">
        <f t="shared" si="1335"/>
        <v>#N/A</v>
      </c>
      <c r="M6539" s="4" t="e">
        <f t="shared" si="1336"/>
        <v>#N/A</v>
      </c>
      <c r="N6539" s="4" t="e">
        <f t="shared" si="1337"/>
        <v>#N/A</v>
      </c>
    </row>
    <row r="6540" spans="1:14">
      <c r="A6540">
        <f t="shared" si="1338"/>
        <v>0</v>
      </c>
      <c r="B6540">
        <f t="shared" si="1339"/>
        <v>0</v>
      </c>
      <c r="C6540">
        <f t="shared" si="1340"/>
        <v>0</v>
      </c>
      <c r="D6540">
        <f t="shared" si="1341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2"/>
        <v>0</v>
      </c>
      <c r="G6540">
        <f t="shared" si="1343"/>
        <v>0</v>
      </c>
      <c r="H6540">
        <f t="shared" si="1344"/>
        <v>0</v>
      </c>
      <c r="I6540">
        <f t="shared" si="1345"/>
        <v>0</v>
      </c>
      <c r="J6540">
        <f t="shared" si="1346"/>
        <v>0</v>
      </c>
      <c r="K6540" s="4" t="e">
        <f t="shared" si="1334"/>
        <v>#N/A</v>
      </c>
      <c r="L6540" t="e">
        <f t="shared" si="1335"/>
        <v>#N/A</v>
      </c>
      <c r="M6540" s="4" t="e">
        <f t="shared" si="1336"/>
        <v>#N/A</v>
      </c>
      <c r="N6540" s="4" t="e">
        <f t="shared" si="1337"/>
        <v>#N/A</v>
      </c>
    </row>
    <row r="6541" spans="1:14">
      <c r="A6541">
        <f t="shared" si="1338"/>
        <v>0</v>
      </c>
      <c r="B6541">
        <f t="shared" si="1339"/>
        <v>0</v>
      </c>
      <c r="C6541">
        <f t="shared" si="1340"/>
        <v>0</v>
      </c>
      <c r="D6541">
        <f t="shared" si="1341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2"/>
        <v>0</v>
      </c>
      <c r="G6541">
        <f t="shared" si="1343"/>
        <v>0</v>
      </c>
      <c r="H6541">
        <f t="shared" si="1344"/>
        <v>0</v>
      </c>
      <c r="I6541">
        <f t="shared" si="1345"/>
        <v>0</v>
      </c>
      <c r="J6541">
        <f t="shared" si="1346"/>
        <v>0</v>
      </c>
      <c r="K6541" s="4" t="e">
        <f t="shared" si="1334"/>
        <v>#N/A</v>
      </c>
      <c r="L6541" t="e">
        <f t="shared" si="1335"/>
        <v>#N/A</v>
      </c>
      <c r="M6541" s="4" t="e">
        <f t="shared" si="1336"/>
        <v>#N/A</v>
      </c>
      <c r="N6541" s="4" t="e">
        <f t="shared" si="1337"/>
        <v>#N/A</v>
      </c>
    </row>
    <row r="6542" spans="1:14">
      <c r="A6542">
        <f t="shared" si="1338"/>
        <v>0</v>
      </c>
      <c r="B6542">
        <f t="shared" si="1339"/>
        <v>0</v>
      </c>
      <c r="C6542">
        <f t="shared" si="1340"/>
        <v>0</v>
      </c>
      <c r="D6542">
        <f t="shared" si="1341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2"/>
        <v>0</v>
      </c>
      <c r="G6542">
        <f t="shared" si="1343"/>
        <v>0</v>
      </c>
      <c r="H6542">
        <f t="shared" si="1344"/>
        <v>0</v>
      </c>
      <c r="I6542">
        <f t="shared" si="1345"/>
        <v>0</v>
      </c>
      <c r="J6542">
        <f t="shared" si="1346"/>
        <v>0</v>
      </c>
      <c r="K6542" s="4" t="e">
        <f t="shared" si="1334"/>
        <v>#N/A</v>
      </c>
      <c r="L6542" t="e">
        <f t="shared" si="1335"/>
        <v>#N/A</v>
      </c>
      <c r="M6542" s="4" t="e">
        <f t="shared" si="1336"/>
        <v>#N/A</v>
      </c>
      <c r="N6542" s="4" t="e">
        <f t="shared" si="1337"/>
        <v>#N/A</v>
      </c>
    </row>
    <row r="6543" spans="1:14">
      <c r="A6543">
        <f t="shared" si="1338"/>
        <v>0</v>
      </c>
      <c r="B6543">
        <f t="shared" si="1339"/>
        <v>0</v>
      </c>
      <c r="C6543">
        <f t="shared" si="1340"/>
        <v>0</v>
      </c>
      <c r="D6543">
        <f t="shared" si="1341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2"/>
        <v>0</v>
      </c>
      <c r="G6543">
        <f t="shared" si="1343"/>
        <v>0</v>
      </c>
      <c r="H6543">
        <f t="shared" si="1344"/>
        <v>0</v>
      </c>
      <c r="I6543">
        <f t="shared" si="1345"/>
        <v>0</v>
      </c>
      <c r="J6543">
        <f t="shared" si="1346"/>
        <v>0</v>
      </c>
      <c r="K6543" s="4" t="e">
        <f t="shared" si="1334"/>
        <v>#N/A</v>
      </c>
      <c r="L6543" t="e">
        <f t="shared" si="1335"/>
        <v>#N/A</v>
      </c>
      <c r="M6543" s="4" t="e">
        <f t="shared" si="1336"/>
        <v>#N/A</v>
      </c>
      <c r="N6543" s="4" t="e">
        <f t="shared" si="1337"/>
        <v>#N/A</v>
      </c>
    </row>
    <row r="6544" spans="1:14">
      <c r="A6544">
        <f t="shared" si="1338"/>
        <v>0</v>
      </c>
      <c r="B6544">
        <f t="shared" si="1339"/>
        <v>0</v>
      </c>
      <c r="C6544">
        <f t="shared" si="1340"/>
        <v>0</v>
      </c>
      <c r="D6544">
        <f t="shared" si="1341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2"/>
        <v>0</v>
      </c>
      <c r="G6544">
        <f t="shared" si="1343"/>
        <v>0</v>
      </c>
      <c r="H6544">
        <f t="shared" si="1344"/>
        <v>0</v>
      </c>
      <c r="I6544">
        <f t="shared" si="1345"/>
        <v>0</v>
      </c>
      <c r="J6544">
        <f t="shared" si="1346"/>
        <v>0</v>
      </c>
      <c r="K6544" s="4" t="e">
        <f t="shared" si="1334"/>
        <v>#N/A</v>
      </c>
      <c r="L6544" t="e">
        <f t="shared" si="1335"/>
        <v>#N/A</v>
      </c>
      <c r="M6544" s="4" t="e">
        <f t="shared" si="1336"/>
        <v>#N/A</v>
      </c>
      <c r="N6544" s="4" t="e">
        <f t="shared" si="1337"/>
        <v>#N/A</v>
      </c>
    </row>
    <row r="6545" spans="1:14">
      <c r="A6545">
        <f t="shared" si="1338"/>
        <v>0</v>
      </c>
      <c r="B6545">
        <f t="shared" si="1339"/>
        <v>0</v>
      </c>
      <c r="C6545">
        <f t="shared" si="1340"/>
        <v>0</v>
      </c>
      <c r="D6545">
        <f t="shared" si="1341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2"/>
        <v>0</v>
      </c>
      <c r="G6545">
        <f t="shared" si="1343"/>
        <v>0</v>
      </c>
      <c r="H6545">
        <f t="shared" si="1344"/>
        <v>0</v>
      </c>
      <c r="I6545">
        <f t="shared" si="1345"/>
        <v>0</v>
      </c>
      <c r="J6545">
        <f t="shared" si="1346"/>
        <v>0</v>
      </c>
      <c r="K6545" s="4" t="e">
        <f t="shared" si="1334"/>
        <v>#N/A</v>
      </c>
      <c r="L6545" t="e">
        <f t="shared" si="1335"/>
        <v>#N/A</v>
      </c>
      <c r="M6545" s="4" t="e">
        <f t="shared" si="1336"/>
        <v>#N/A</v>
      </c>
      <c r="N6545" s="4" t="e">
        <f t="shared" si="1337"/>
        <v>#N/A</v>
      </c>
    </row>
    <row r="6546" spans="1:14">
      <c r="A6546">
        <f t="shared" si="1338"/>
        <v>0</v>
      </c>
      <c r="B6546">
        <f t="shared" si="1339"/>
        <v>0</v>
      </c>
      <c r="C6546">
        <f t="shared" si="1340"/>
        <v>0</v>
      </c>
      <c r="D6546">
        <f t="shared" si="1341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2"/>
        <v>0</v>
      </c>
      <c r="G6546">
        <f t="shared" si="1343"/>
        <v>0</v>
      </c>
      <c r="H6546">
        <f t="shared" si="1344"/>
        <v>0</v>
      </c>
      <c r="I6546">
        <f t="shared" si="1345"/>
        <v>0</v>
      </c>
      <c r="J6546">
        <f t="shared" si="1346"/>
        <v>0</v>
      </c>
      <c r="K6546" s="4" t="e">
        <f t="shared" si="1334"/>
        <v>#N/A</v>
      </c>
      <c r="L6546" t="e">
        <f t="shared" si="1335"/>
        <v>#N/A</v>
      </c>
      <c r="M6546" s="4" t="e">
        <f t="shared" si="1336"/>
        <v>#N/A</v>
      </c>
      <c r="N6546" s="4" t="e">
        <f t="shared" si="1337"/>
        <v>#N/A</v>
      </c>
    </row>
    <row r="6547" spans="1:14">
      <c r="A6547">
        <f t="shared" si="1338"/>
        <v>0</v>
      </c>
      <c r="B6547">
        <f t="shared" si="1339"/>
        <v>0</v>
      </c>
      <c r="C6547">
        <f t="shared" si="1340"/>
        <v>0</v>
      </c>
      <c r="D6547">
        <f t="shared" si="1341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2"/>
        <v>0</v>
      </c>
      <c r="G6547">
        <f t="shared" si="1343"/>
        <v>0</v>
      </c>
      <c r="H6547">
        <f t="shared" si="1344"/>
        <v>0</v>
      </c>
      <c r="I6547">
        <f t="shared" si="1345"/>
        <v>0</v>
      </c>
      <c r="J6547">
        <f t="shared" si="1346"/>
        <v>0</v>
      </c>
      <c r="K6547" s="4" t="e">
        <f t="shared" si="1334"/>
        <v>#N/A</v>
      </c>
      <c r="L6547" t="e">
        <f t="shared" si="1335"/>
        <v>#N/A</v>
      </c>
      <c r="M6547" s="4" t="e">
        <f t="shared" si="1336"/>
        <v>#N/A</v>
      </c>
      <c r="N6547" s="4" t="e">
        <f t="shared" si="1337"/>
        <v>#N/A</v>
      </c>
    </row>
    <row r="6548" spans="1:14">
      <c r="A6548">
        <f t="shared" si="1338"/>
        <v>0</v>
      </c>
      <c r="B6548">
        <f t="shared" si="1339"/>
        <v>0</v>
      </c>
      <c r="C6548">
        <f t="shared" si="1340"/>
        <v>0</v>
      </c>
      <c r="D6548">
        <f t="shared" si="1341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2"/>
        <v>0</v>
      </c>
      <c r="G6548">
        <f t="shared" si="1343"/>
        <v>0</v>
      </c>
      <c r="H6548">
        <f t="shared" si="1344"/>
        <v>0</v>
      </c>
      <c r="I6548">
        <f t="shared" si="1345"/>
        <v>0</v>
      </c>
      <c r="J6548">
        <f t="shared" si="1346"/>
        <v>0</v>
      </c>
      <c r="K6548" s="4" t="e">
        <f t="shared" si="1334"/>
        <v>#N/A</v>
      </c>
      <c r="L6548" t="e">
        <f t="shared" si="1335"/>
        <v>#N/A</v>
      </c>
      <c r="M6548" s="4" t="e">
        <f t="shared" si="1336"/>
        <v>#N/A</v>
      </c>
      <c r="N6548" s="4" t="e">
        <f t="shared" si="1337"/>
        <v>#N/A</v>
      </c>
    </row>
    <row r="6549" spans="1:14">
      <c r="A6549">
        <f t="shared" si="1338"/>
        <v>0</v>
      </c>
      <c r="B6549">
        <f t="shared" si="1339"/>
        <v>0</v>
      </c>
      <c r="C6549">
        <f t="shared" si="1340"/>
        <v>0</v>
      </c>
      <c r="D6549">
        <f t="shared" si="1341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2"/>
        <v>0</v>
      </c>
      <c r="G6549">
        <f t="shared" si="1343"/>
        <v>0</v>
      </c>
      <c r="H6549">
        <f t="shared" si="1344"/>
        <v>0</v>
      </c>
      <c r="I6549">
        <f t="shared" si="1345"/>
        <v>0</v>
      </c>
      <c r="J6549">
        <f t="shared" si="1346"/>
        <v>0</v>
      </c>
      <c r="K6549" s="4" t="e">
        <f t="shared" si="1334"/>
        <v>#N/A</v>
      </c>
      <c r="L6549" t="e">
        <f t="shared" si="1335"/>
        <v>#N/A</v>
      </c>
      <c r="M6549" s="4" t="e">
        <f t="shared" si="1336"/>
        <v>#N/A</v>
      </c>
      <c r="N6549" s="4" t="e">
        <f t="shared" si="1337"/>
        <v>#N/A</v>
      </c>
    </row>
    <row r="6550" spans="1:14">
      <c r="A6550">
        <f t="shared" si="1338"/>
        <v>0</v>
      </c>
      <c r="B6550">
        <f t="shared" si="1339"/>
        <v>0</v>
      </c>
      <c r="C6550">
        <f t="shared" si="1340"/>
        <v>0</v>
      </c>
      <c r="D6550">
        <f t="shared" si="1341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2"/>
        <v>0</v>
      </c>
      <c r="G6550">
        <f t="shared" si="1343"/>
        <v>0</v>
      </c>
      <c r="H6550">
        <f t="shared" si="1344"/>
        <v>0</v>
      </c>
      <c r="I6550">
        <f t="shared" si="1345"/>
        <v>0</v>
      </c>
      <c r="J6550">
        <f t="shared" si="1346"/>
        <v>0</v>
      </c>
      <c r="K6550" s="4" t="e">
        <f t="shared" si="1334"/>
        <v>#N/A</v>
      </c>
      <c r="L6550" t="e">
        <f t="shared" si="1335"/>
        <v>#N/A</v>
      </c>
      <c r="M6550" s="4" t="e">
        <f t="shared" si="1336"/>
        <v>#N/A</v>
      </c>
      <c r="N6550" s="4" t="e">
        <f t="shared" si="1337"/>
        <v>#N/A</v>
      </c>
    </row>
    <row r="6551" spans="1:14">
      <c r="A6551">
        <f t="shared" si="1338"/>
        <v>0</v>
      </c>
      <c r="B6551">
        <f t="shared" si="1339"/>
        <v>0</v>
      </c>
      <c r="C6551">
        <f t="shared" si="1340"/>
        <v>0</v>
      </c>
      <c r="D6551">
        <f t="shared" si="1341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2"/>
        <v>0</v>
      </c>
      <c r="G6551">
        <f t="shared" si="1343"/>
        <v>0</v>
      </c>
      <c r="H6551">
        <f t="shared" si="1344"/>
        <v>0</v>
      </c>
      <c r="I6551">
        <f t="shared" si="1345"/>
        <v>0</v>
      </c>
      <c r="J6551">
        <f t="shared" si="1346"/>
        <v>0</v>
      </c>
      <c r="K6551" s="4" t="e">
        <f t="shared" si="1334"/>
        <v>#N/A</v>
      </c>
      <c r="L6551" t="e">
        <f t="shared" si="1335"/>
        <v>#N/A</v>
      </c>
      <c r="M6551" s="4" t="e">
        <f t="shared" si="1336"/>
        <v>#N/A</v>
      </c>
      <c r="N6551" s="4" t="e">
        <f t="shared" si="1337"/>
        <v>#N/A</v>
      </c>
    </row>
    <row r="6552" spans="1:14">
      <c r="A6552">
        <f t="shared" si="1338"/>
        <v>0</v>
      </c>
      <c r="B6552">
        <f t="shared" si="1339"/>
        <v>0</v>
      </c>
      <c r="C6552">
        <f t="shared" si="1340"/>
        <v>0</v>
      </c>
      <c r="D6552">
        <f t="shared" si="1341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2"/>
        <v>0</v>
      </c>
      <c r="G6552">
        <f t="shared" si="1343"/>
        <v>0</v>
      </c>
      <c r="H6552">
        <f t="shared" si="1344"/>
        <v>0</v>
      </c>
      <c r="I6552">
        <f t="shared" si="1345"/>
        <v>0</v>
      </c>
      <c r="J6552">
        <f t="shared" si="1346"/>
        <v>0</v>
      </c>
      <c r="K6552" s="4" t="e">
        <f t="shared" si="1334"/>
        <v>#N/A</v>
      </c>
      <c r="L6552" t="e">
        <f t="shared" si="1335"/>
        <v>#N/A</v>
      </c>
      <c r="M6552" s="4" t="e">
        <f t="shared" si="1336"/>
        <v>#N/A</v>
      </c>
      <c r="N6552" s="4" t="e">
        <f t="shared" si="1337"/>
        <v>#N/A</v>
      </c>
    </row>
    <row r="6553" spans="1:14">
      <c r="A6553">
        <f t="shared" si="1338"/>
        <v>0</v>
      </c>
      <c r="B6553">
        <f t="shared" si="1339"/>
        <v>0</v>
      </c>
      <c r="C6553">
        <f t="shared" si="1340"/>
        <v>0</v>
      </c>
      <c r="D6553">
        <f t="shared" si="1341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2"/>
        <v>0</v>
      </c>
      <c r="G6553">
        <f t="shared" si="1343"/>
        <v>0</v>
      </c>
      <c r="H6553">
        <f t="shared" si="1344"/>
        <v>0</v>
      </c>
      <c r="I6553">
        <f t="shared" si="1345"/>
        <v>0</v>
      </c>
      <c r="J6553">
        <f t="shared" si="1346"/>
        <v>0</v>
      </c>
      <c r="K6553" s="4" t="e">
        <f t="shared" si="1334"/>
        <v>#N/A</v>
      </c>
      <c r="L6553" t="e">
        <f t="shared" si="1335"/>
        <v>#N/A</v>
      </c>
      <c r="M6553" s="4" t="e">
        <f t="shared" si="1336"/>
        <v>#N/A</v>
      </c>
      <c r="N6553" s="4" t="e">
        <f t="shared" si="1337"/>
        <v>#N/A</v>
      </c>
    </row>
    <row r="6554" spans="1:14">
      <c r="A6554">
        <f t="shared" si="1338"/>
        <v>0</v>
      </c>
      <c r="B6554">
        <f t="shared" si="1339"/>
        <v>0</v>
      </c>
      <c r="C6554">
        <f t="shared" si="1340"/>
        <v>0</v>
      </c>
      <c r="D6554">
        <f t="shared" si="1341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2"/>
        <v>0</v>
      </c>
      <c r="G6554">
        <f t="shared" si="1343"/>
        <v>0</v>
      </c>
      <c r="H6554">
        <f t="shared" si="1344"/>
        <v>0</v>
      </c>
      <c r="I6554">
        <f t="shared" si="1345"/>
        <v>0</v>
      </c>
      <c r="J6554">
        <f t="shared" si="1346"/>
        <v>0</v>
      </c>
      <c r="K6554" s="4" t="e">
        <f t="shared" si="1334"/>
        <v>#N/A</v>
      </c>
      <c r="L6554" t="e">
        <f t="shared" si="1335"/>
        <v>#N/A</v>
      </c>
      <c r="M6554" s="4" t="e">
        <f t="shared" si="1336"/>
        <v>#N/A</v>
      </c>
      <c r="N6554" s="4" t="e">
        <f t="shared" si="1337"/>
        <v>#N/A</v>
      </c>
    </row>
    <row r="6555" spans="1:14">
      <c r="A6555">
        <f t="shared" si="1338"/>
        <v>0</v>
      </c>
      <c r="B6555">
        <f t="shared" si="1339"/>
        <v>0</v>
      </c>
      <c r="C6555">
        <f t="shared" si="1340"/>
        <v>0</v>
      </c>
      <c r="D6555">
        <f t="shared" si="1341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2"/>
        <v>0</v>
      </c>
      <c r="G6555">
        <f t="shared" si="1343"/>
        <v>0</v>
      </c>
      <c r="H6555">
        <f t="shared" si="1344"/>
        <v>0</v>
      </c>
      <c r="I6555">
        <f t="shared" si="1345"/>
        <v>0</v>
      </c>
      <c r="J6555">
        <f t="shared" si="1346"/>
        <v>0</v>
      </c>
      <c r="K6555" s="4" t="e">
        <f t="shared" si="1334"/>
        <v>#N/A</v>
      </c>
      <c r="L6555" t="e">
        <f t="shared" si="1335"/>
        <v>#N/A</v>
      </c>
      <c r="M6555" s="4" t="e">
        <f t="shared" si="1336"/>
        <v>#N/A</v>
      </c>
      <c r="N6555" s="4" t="e">
        <f t="shared" si="1337"/>
        <v>#N/A</v>
      </c>
    </row>
    <row r="6556" spans="1:14">
      <c r="A6556">
        <f t="shared" si="1338"/>
        <v>0</v>
      </c>
      <c r="B6556">
        <f t="shared" si="1339"/>
        <v>0</v>
      </c>
      <c r="C6556">
        <f t="shared" si="1340"/>
        <v>0</v>
      </c>
      <c r="D6556">
        <f t="shared" si="1341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2"/>
        <v>0</v>
      </c>
      <c r="G6556">
        <f t="shared" si="1343"/>
        <v>0</v>
      </c>
      <c r="H6556">
        <f t="shared" si="1344"/>
        <v>0</v>
      </c>
      <c r="I6556">
        <f t="shared" si="1345"/>
        <v>0</v>
      </c>
      <c r="J6556">
        <f t="shared" si="1346"/>
        <v>0</v>
      </c>
      <c r="K6556" s="4" t="e">
        <f t="shared" si="1334"/>
        <v>#N/A</v>
      </c>
      <c r="L6556" t="e">
        <f t="shared" si="1335"/>
        <v>#N/A</v>
      </c>
      <c r="M6556" s="4" t="e">
        <f t="shared" si="1336"/>
        <v>#N/A</v>
      </c>
      <c r="N6556" s="4" t="e">
        <f t="shared" si="1337"/>
        <v>#N/A</v>
      </c>
    </row>
    <row r="6557" spans="1:14">
      <c r="A6557">
        <f t="shared" si="1338"/>
        <v>0</v>
      </c>
      <c r="B6557">
        <f t="shared" si="1339"/>
        <v>0</v>
      </c>
      <c r="C6557">
        <f t="shared" si="1340"/>
        <v>0</v>
      </c>
      <c r="D6557">
        <f t="shared" si="1341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2"/>
        <v>0</v>
      </c>
      <c r="G6557">
        <f t="shared" si="1343"/>
        <v>0</v>
      </c>
      <c r="H6557">
        <f t="shared" si="1344"/>
        <v>0</v>
      </c>
      <c r="I6557">
        <f t="shared" si="1345"/>
        <v>0</v>
      </c>
      <c r="J6557">
        <f t="shared" si="1346"/>
        <v>0</v>
      </c>
      <c r="K6557" s="4" t="e">
        <f t="shared" si="1334"/>
        <v>#N/A</v>
      </c>
      <c r="L6557" t="e">
        <f t="shared" si="1335"/>
        <v>#N/A</v>
      </c>
      <c r="M6557" s="4" t="e">
        <f t="shared" si="1336"/>
        <v>#N/A</v>
      </c>
      <c r="N6557" s="4" t="e">
        <f t="shared" si="1337"/>
        <v>#N/A</v>
      </c>
    </row>
    <row r="6558" spans="1:14">
      <c r="A6558">
        <f t="shared" si="1338"/>
        <v>0</v>
      </c>
      <c r="B6558">
        <f t="shared" si="1339"/>
        <v>0</v>
      </c>
      <c r="C6558">
        <f t="shared" si="1340"/>
        <v>0</v>
      </c>
      <c r="D6558">
        <f t="shared" si="1341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2"/>
        <v>0</v>
      </c>
      <c r="G6558">
        <f t="shared" si="1343"/>
        <v>0</v>
      </c>
      <c r="H6558">
        <f t="shared" si="1344"/>
        <v>0</v>
      </c>
      <c r="I6558">
        <f t="shared" si="1345"/>
        <v>0</v>
      </c>
      <c r="J6558">
        <f t="shared" si="1346"/>
        <v>0</v>
      </c>
      <c r="K6558" s="4" t="e">
        <f t="shared" si="1334"/>
        <v>#N/A</v>
      </c>
      <c r="L6558" t="e">
        <f t="shared" si="1335"/>
        <v>#N/A</v>
      </c>
      <c r="M6558" s="4" t="e">
        <f t="shared" si="1336"/>
        <v>#N/A</v>
      </c>
      <c r="N6558" s="4" t="e">
        <f t="shared" si="1337"/>
        <v>#N/A</v>
      </c>
    </row>
    <row r="6559" spans="1:14">
      <c r="A6559">
        <f t="shared" si="1338"/>
        <v>0</v>
      </c>
      <c r="B6559">
        <f t="shared" si="1339"/>
        <v>0</v>
      </c>
      <c r="C6559">
        <f t="shared" si="1340"/>
        <v>0</v>
      </c>
      <c r="D6559">
        <f t="shared" si="1341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2"/>
        <v>0</v>
      </c>
      <c r="G6559">
        <f t="shared" si="1343"/>
        <v>0</v>
      </c>
      <c r="H6559">
        <f t="shared" si="1344"/>
        <v>0</v>
      </c>
      <c r="I6559">
        <f t="shared" si="1345"/>
        <v>0</v>
      </c>
      <c r="J6559">
        <f t="shared" si="1346"/>
        <v>0</v>
      </c>
      <c r="K6559" s="4" t="e">
        <f t="shared" si="1334"/>
        <v>#N/A</v>
      </c>
      <c r="L6559" t="e">
        <f t="shared" si="1335"/>
        <v>#N/A</v>
      </c>
      <c r="M6559" s="4" t="e">
        <f t="shared" si="1336"/>
        <v>#N/A</v>
      </c>
      <c r="N6559" s="4" t="e">
        <f t="shared" si="1337"/>
        <v>#N/A</v>
      </c>
    </row>
    <row r="6560" spans="1:14">
      <c r="A6560">
        <f t="shared" si="1338"/>
        <v>0</v>
      </c>
      <c r="B6560">
        <f t="shared" si="1339"/>
        <v>0</v>
      </c>
      <c r="C6560">
        <f t="shared" si="1340"/>
        <v>0</v>
      </c>
      <c r="D6560">
        <f t="shared" si="1341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2"/>
        <v>0</v>
      </c>
      <c r="G6560">
        <f t="shared" si="1343"/>
        <v>0</v>
      </c>
      <c r="H6560">
        <f t="shared" si="1344"/>
        <v>0</v>
      </c>
      <c r="I6560">
        <f t="shared" si="1345"/>
        <v>0</v>
      </c>
      <c r="J6560">
        <f t="shared" si="1346"/>
        <v>0</v>
      </c>
      <c r="K6560" s="4" t="e">
        <f t="shared" si="1334"/>
        <v>#N/A</v>
      </c>
      <c r="L6560" t="e">
        <f t="shared" si="1335"/>
        <v>#N/A</v>
      </c>
      <c r="M6560" s="4" t="e">
        <f t="shared" si="1336"/>
        <v>#N/A</v>
      </c>
      <c r="N6560" s="4" t="e">
        <f t="shared" si="1337"/>
        <v>#N/A</v>
      </c>
    </row>
    <row r="6561" spans="1:14">
      <c r="A6561">
        <f t="shared" si="1338"/>
        <v>0</v>
      </c>
      <c r="B6561">
        <f t="shared" si="1339"/>
        <v>0</v>
      </c>
      <c r="C6561">
        <f t="shared" si="1340"/>
        <v>0</v>
      </c>
      <c r="D6561">
        <f t="shared" si="1341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2"/>
        <v>0</v>
      </c>
      <c r="G6561">
        <f t="shared" si="1343"/>
        <v>0</v>
      </c>
      <c r="H6561">
        <f t="shared" si="1344"/>
        <v>0</v>
      </c>
      <c r="I6561">
        <f t="shared" si="1345"/>
        <v>0</v>
      </c>
      <c r="J6561">
        <f t="shared" si="1346"/>
        <v>0</v>
      </c>
      <c r="K6561" s="4" t="e">
        <f t="shared" si="1334"/>
        <v>#N/A</v>
      </c>
      <c r="L6561" t="e">
        <f t="shared" si="1335"/>
        <v>#N/A</v>
      </c>
      <c r="M6561" s="4" t="e">
        <f t="shared" si="1336"/>
        <v>#N/A</v>
      </c>
      <c r="N6561" s="4" t="e">
        <f t="shared" si="1337"/>
        <v>#N/A</v>
      </c>
    </row>
    <row r="6562" spans="1:14">
      <c r="A6562">
        <f t="shared" si="1338"/>
        <v>0</v>
      </c>
      <c r="B6562">
        <f t="shared" si="1339"/>
        <v>0</v>
      </c>
      <c r="C6562">
        <f t="shared" si="1340"/>
        <v>0</v>
      </c>
      <c r="D6562">
        <f t="shared" si="1341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2"/>
        <v>0</v>
      </c>
      <c r="G6562">
        <f t="shared" si="1343"/>
        <v>0</v>
      </c>
      <c r="H6562">
        <f t="shared" si="1344"/>
        <v>0</v>
      </c>
      <c r="I6562">
        <f t="shared" si="1345"/>
        <v>0</v>
      </c>
      <c r="J6562">
        <f t="shared" si="1346"/>
        <v>0</v>
      </c>
      <c r="K6562" s="4" t="e">
        <f t="shared" si="1334"/>
        <v>#N/A</v>
      </c>
      <c r="L6562" t="e">
        <f t="shared" si="1335"/>
        <v>#N/A</v>
      </c>
      <c r="M6562" s="4" t="e">
        <f t="shared" si="1336"/>
        <v>#N/A</v>
      </c>
      <c r="N6562" s="4" t="e">
        <f t="shared" si="1337"/>
        <v>#N/A</v>
      </c>
    </row>
    <row r="6563" spans="1:14">
      <c r="A6563">
        <f t="shared" si="1338"/>
        <v>0</v>
      </c>
      <c r="B6563">
        <f t="shared" si="1339"/>
        <v>0</v>
      </c>
      <c r="C6563">
        <f t="shared" si="1340"/>
        <v>0</v>
      </c>
      <c r="D6563">
        <f t="shared" si="1341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2"/>
        <v>0</v>
      </c>
      <c r="G6563">
        <f t="shared" si="1343"/>
        <v>0</v>
      </c>
      <c r="H6563">
        <f t="shared" si="1344"/>
        <v>0</v>
      </c>
      <c r="I6563">
        <f t="shared" si="1345"/>
        <v>0</v>
      </c>
      <c r="J6563">
        <f t="shared" si="1346"/>
        <v>0</v>
      </c>
      <c r="K6563" s="4" t="e">
        <f t="shared" si="1334"/>
        <v>#N/A</v>
      </c>
      <c r="L6563" t="e">
        <f t="shared" si="1335"/>
        <v>#N/A</v>
      </c>
      <c r="M6563" s="4" t="e">
        <f t="shared" si="1336"/>
        <v>#N/A</v>
      </c>
      <c r="N6563" s="4" t="e">
        <f t="shared" si="1337"/>
        <v>#N/A</v>
      </c>
    </row>
    <row r="6564" spans="1:14">
      <c r="A6564">
        <f t="shared" si="1338"/>
        <v>0</v>
      </c>
      <c r="B6564">
        <f t="shared" si="1339"/>
        <v>0</v>
      </c>
      <c r="C6564">
        <f t="shared" si="1340"/>
        <v>0</v>
      </c>
      <c r="D6564">
        <f t="shared" si="1341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2"/>
        <v>0</v>
      </c>
      <c r="G6564">
        <f t="shared" si="1343"/>
        <v>0</v>
      </c>
      <c r="H6564">
        <f t="shared" si="1344"/>
        <v>0</v>
      </c>
      <c r="I6564">
        <f t="shared" si="1345"/>
        <v>0</v>
      </c>
      <c r="J6564">
        <f t="shared" si="1346"/>
        <v>0</v>
      </c>
      <c r="K6564" s="4" t="e">
        <f t="shared" si="1334"/>
        <v>#N/A</v>
      </c>
      <c r="L6564" t="e">
        <f t="shared" si="1335"/>
        <v>#N/A</v>
      </c>
      <c r="M6564" s="4" t="e">
        <f t="shared" si="1336"/>
        <v>#N/A</v>
      </c>
      <c r="N6564" s="4" t="e">
        <f t="shared" si="1337"/>
        <v>#N/A</v>
      </c>
    </row>
    <row r="6565" spans="1:14">
      <c r="A6565">
        <f t="shared" si="1338"/>
        <v>0</v>
      </c>
      <c r="B6565">
        <f t="shared" si="1339"/>
        <v>0</v>
      </c>
      <c r="C6565">
        <f t="shared" si="1340"/>
        <v>0</v>
      </c>
      <c r="D6565">
        <f t="shared" si="1341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2"/>
        <v>0</v>
      </c>
      <c r="G6565">
        <f t="shared" si="1343"/>
        <v>0</v>
      </c>
      <c r="H6565">
        <f t="shared" si="1344"/>
        <v>0</v>
      </c>
      <c r="I6565">
        <f t="shared" si="1345"/>
        <v>0</v>
      </c>
      <c r="J6565">
        <f t="shared" si="1346"/>
        <v>0</v>
      </c>
      <c r="K6565" s="4" t="e">
        <f t="shared" si="1334"/>
        <v>#N/A</v>
      </c>
      <c r="L6565" t="e">
        <f t="shared" si="1335"/>
        <v>#N/A</v>
      </c>
      <c r="M6565" s="4" t="e">
        <f t="shared" si="1336"/>
        <v>#N/A</v>
      </c>
      <c r="N6565" s="4" t="e">
        <f t="shared" si="1337"/>
        <v>#N/A</v>
      </c>
    </row>
    <row r="6566" spans="1:14">
      <c r="A6566">
        <f t="shared" si="1338"/>
        <v>0</v>
      </c>
      <c r="B6566">
        <f t="shared" si="1339"/>
        <v>0</v>
      </c>
      <c r="C6566">
        <f t="shared" si="1340"/>
        <v>0</v>
      </c>
      <c r="D6566">
        <f t="shared" si="1341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2"/>
        <v>0</v>
      </c>
      <c r="G6566">
        <f t="shared" si="1343"/>
        <v>0</v>
      </c>
      <c r="H6566">
        <f t="shared" si="1344"/>
        <v>0</v>
      </c>
      <c r="I6566">
        <f t="shared" si="1345"/>
        <v>0</v>
      </c>
      <c r="J6566">
        <f t="shared" si="1346"/>
        <v>0</v>
      </c>
      <c r="K6566" s="4" t="e">
        <f t="shared" si="1334"/>
        <v>#N/A</v>
      </c>
      <c r="L6566" t="e">
        <f t="shared" si="1335"/>
        <v>#N/A</v>
      </c>
      <c r="M6566" s="4" t="e">
        <f t="shared" si="1336"/>
        <v>#N/A</v>
      </c>
      <c r="N6566" s="4" t="e">
        <f t="shared" si="1337"/>
        <v>#N/A</v>
      </c>
    </row>
    <row r="6567" spans="1:14">
      <c r="A6567">
        <f t="shared" si="1338"/>
        <v>0</v>
      </c>
      <c r="B6567">
        <f t="shared" si="1339"/>
        <v>0</v>
      </c>
      <c r="C6567">
        <f t="shared" si="1340"/>
        <v>0</v>
      </c>
      <c r="D6567">
        <f t="shared" si="1341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2"/>
        <v>0</v>
      </c>
      <c r="G6567">
        <f t="shared" si="1343"/>
        <v>0</v>
      </c>
      <c r="H6567">
        <f t="shared" si="1344"/>
        <v>0</v>
      </c>
      <c r="I6567">
        <f t="shared" si="1345"/>
        <v>0</v>
      </c>
      <c r="J6567">
        <f t="shared" si="1346"/>
        <v>0</v>
      </c>
      <c r="K6567" s="4" t="e">
        <f t="shared" si="1334"/>
        <v>#N/A</v>
      </c>
      <c r="L6567" t="e">
        <f t="shared" si="1335"/>
        <v>#N/A</v>
      </c>
      <c r="M6567" s="4" t="e">
        <f t="shared" si="1336"/>
        <v>#N/A</v>
      </c>
      <c r="N6567" s="4" t="e">
        <f t="shared" si="1337"/>
        <v>#N/A</v>
      </c>
    </row>
    <row r="6568" spans="1:14">
      <c r="A6568">
        <f t="shared" si="1338"/>
        <v>0</v>
      </c>
      <c r="B6568">
        <f t="shared" si="1339"/>
        <v>0</v>
      </c>
      <c r="C6568">
        <f t="shared" si="1340"/>
        <v>0</v>
      </c>
      <c r="D6568">
        <f t="shared" si="1341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2"/>
        <v>0</v>
      </c>
      <c r="G6568">
        <f t="shared" si="1343"/>
        <v>0</v>
      </c>
      <c r="H6568">
        <f t="shared" si="1344"/>
        <v>0</v>
      </c>
      <c r="I6568">
        <f t="shared" si="1345"/>
        <v>0</v>
      </c>
      <c r="J6568">
        <f t="shared" si="1346"/>
        <v>0</v>
      </c>
      <c r="K6568" s="4" t="e">
        <f t="shared" si="1334"/>
        <v>#N/A</v>
      </c>
      <c r="L6568" t="e">
        <f t="shared" si="1335"/>
        <v>#N/A</v>
      </c>
      <c r="M6568" s="4" t="e">
        <f t="shared" si="1336"/>
        <v>#N/A</v>
      </c>
      <c r="N6568" s="4" t="e">
        <f t="shared" si="1337"/>
        <v>#N/A</v>
      </c>
    </row>
    <row r="6569" spans="1:14">
      <c r="A6569">
        <f t="shared" si="1338"/>
        <v>0</v>
      </c>
      <c r="B6569">
        <f t="shared" si="1339"/>
        <v>0</v>
      </c>
      <c r="C6569">
        <f t="shared" si="1340"/>
        <v>0</v>
      </c>
      <c r="D6569">
        <f t="shared" si="1341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2"/>
        <v>0</v>
      </c>
      <c r="G6569">
        <f t="shared" si="1343"/>
        <v>0</v>
      </c>
      <c r="H6569">
        <f t="shared" si="1344"/>
        <v>0</v>
      </c>
      <c r="I6569">
        <f t="shared" si="1345"/>
        <v>0</v>
      </c>
      <c r="J6569">
        <f t="shared" si="1346"/>
        <v>0</v>
      </c>
      <c r="K6569" s="4" t="e">
        <f t="shared" si="1334"/>
        <v>#N/A</v>
      </c>
      <c r="L6569" t="e">
        <f t="shared" si="1335"/>
        <v>#N/A</v>
      </c>
      <c r="M6569" s="4" t="e">
        <f t="shared" si="1336"/>
        <v>#N/A</v>
      </c>
      <c r="N6569" s="4" t="e">
        <f t="shared" si="1337"/>
        <v>#N/A</v>
      </c>
    </row>
    <row r="6570" spans="1:14">
      <c r="A6570">
        <f t="shared" si="1338"/>
        <v>0</v>
      </c>
      <c r="B6570">
        <f t="shared" si="1339"/>
        <v>0</v>
      </c>
      <c r="C6570">
        <f t="shared" si="1340"/>
        <v>0</v>
      </c>
      <c r="D6570">
        <f t="shared" si="1341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2"/>
        <v>0</v>
      </c>
      <c r="G6570">
        <f t="shared" si="1343"/>
        <v>0</v>
      </c>
      <c r="H6570">
        <f t="shared" si="1344"/>
        <v>0</v>
      </c>
      <c r="I6570">
        <f t="shared" si="1345"/>
        <v>0</v>
      </c>
      <c r="J6570">
        <f t="shared" si="1346"/>
        <v>0</v>
      </c>
      <c r="K6570" s="4" t="e">
        <f t="shared" si="1334"/>
        <v>#N/A</v>
      </c>
      <c r="L6570" t="e">
        <f t="shared" si="1335"/>
        <v>#N/A</v>
      </c>
      <c r="M6570" s="4" t="e">
        <f t="shared" si="1336"/>
        <v>#N/A</v>
      </c>
      <c r="N6570" s="4" t="e">
        <f t="shared" si="1337"/>
        <v>#N/A</v>
      </c>
    </row>
    <row r="6571" spans="1:14">
      <c r="A6571">
        <f t="shared" si="1338"/>
        <v>0</v>
      </c>
      <c r="B6571">
        <f t="shared" si="1339"/>
        <v>0</v>
      </c>
      <c r="C6571">
        <f t="shared" si="1340"/>
        <v>0</v>
      </c>
      <c r="D6571">
        <f t="shared" si="1341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2"/>
        <v>0</v>
      </c>
      <c r="G6571">
        <f t="shared" si="1343"/>
        <v>0</v>
      </c>
      <c r="H6571">
        <f t="shared" si="1344"/>
        <v>0</v>
      </c>
      <c r="I6571">
        <f t="shared" si="1345"/>
        <v>0</v>
      </c>
      <c r="J6571">
        <f t="shared" si="1346"/>
        <v>0</v>
      </c>
      <c r="K6571" s="4" t="e">
        <f t="shared" si="1334"/>
        <v>#N/A</v>
      </c>
      <c r="L6571" t="e">
        <f t="shared" si="1335"/>
        <v>#N/A</v>
      </c>
      <c r="M6571" s="4" t="e">
        <f t="shared" si="1336"/>
        <v>#N/A</v>
      </c>
      <c r="N6571" s="4" t="e">
        <f t="shared" si="1337"/>
        <v>#N/A</v>
      </c>
    </row>
    <row r="6572" spans="1:14">
      <c r="A6572">
        <f t="shared" si="1338"/>
        <v>0</v>
      </c>
      <c r="B6572">
        <f t="shared" si="1339"/>
        <v>0</v>
      </c>
      <c r="C6572">
        <f t="shared" si="1340"/>
        <v>0</v>
      </c>
      <c r="D6572">
        <f t="shared" si="1341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2"/>
        <v>0</v>
      </c>
      <c r="G6572">
        <f t="shared" si="1343"/>
        <v>0</v>
      </c>
      <c r="H6572">
        <f t="shared" si="1344"/>
        <v>0</v>
      </c>
      <c r="I6572">
        <f t="shared" si="1345"/>
        <v>0</v>
      </c>
      <c r="J6572">
        <f t="shared" si="1346"/>
        <v>0</v>
      </c>
      <c r="K6572" s="4" t="e">
        <f t="shared" si="1334"/>
        <v>#N/A</v>
      </c>
      <c r="L6572" t="e">
        <f t="shared" si="1335"/>
        <v>#N/A</v>
      </c>
      <c r="M6572" s="4" t="e">
        <f t="shared" si="1336"/>
        <v>#N/A</v>
      </c>
      <c r="N6572" s="4" t="e">
        <f t="shared" si="1337"/>
        <v>#N/A</v>
      </c>
    </row>
    <row r="6573" spans="1:14">
      <c r="A6573">
        <f t="shared" si="1338"/>
        <v>0</v>
      </c>
      <c r="B6573">
        <f t="shared" si="1339"/>
        <v>0</v>
      </c>
      <c r="C6573">
        <f t="shared" si="1340"/>
        <v>0</v>
      </c>
      <c r="D6573">
        <f t="shared" si="1341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2"/>
        <v>0</v>
      </c>
      <c r="G6573">
        <f t="shared" si="1343"/>
        <v>0</v>
      </c>
      <c r="H6573">
        <f t="shared" si="1344"/>
        <v>0</v>
      </c>
      <c r="I6573">
        <f t="shared" si="1345"/>
        <v>0</v>
      </c>
      <c r="J6573">
        <f t="shared" si="1346"/>
        <v>0</v>
      </c>
      <c r="K6573" s="4" t="e">
        <f t="shared" si="1334"/>
        <v>#N/A</v>
      </c>
      <c r="L6573" t="e">
        <f t="shared" si="1335"/>
        <v>#N/A</v>
      </c>
      <c r="M6573" s="4" t="e">
        <f t="shared" si="1336"/>
        <v>#N/A</v>
      </c>
      <c r="N6573" s="4" t="e">
        <f t="shared" si="1337"/>
        <v>#N/A</v>
      </c>
    </row>
    <row r="6574" spans="1:14">
      <c r="A6574">
        <f t="shared" si="1338"/>
        <v>0</v>
      </c>
      <c r="B6574">
        <f t="shared" si="1339"/>
        <v>0</v>
      </c>
      <c r="C6574">
        <f t="shared" si="1340"/>
        <v>0</v>
      </c>
      <c r="D6574">
        <f t="shared" si="1341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2"/>
        <v>0</v>
      </c>
      <c r="G6574">
        <f t="shared" si="1343"/>
        <v>0</v>
      </c>
      <c r="H6574">
        <f t="shared" si="1344"/>
        <v>0</v>
      </c>
      <c r="I6574">
        <f t="shared" si="1345"/>
        <v>0</v>
      </c>
      <c r="J6574">
        <f t="shared" si="1346"/>
        <v>0</v>
      </c>
      <c r="K6574" s="4" t="e">
        <f t="shared" si="1334"/>
        <v>#N/A</v>
      </c>
      <c r="L6574" t="e">
        <f t="shared" si="1335"/>
        <v>#N/A</v>
      </c>
      <c r="M6574" s="4" t="e">
        <f t="shared" si="1336"/>
        <v>#N/A</v>
      </c>
      <c r="N6574" s="4" t="e">
        <f t="shared" si="1337"/>
        <v>#N/A</v>
      </c>
    </row>
    <row r="6575" spans="1:14">
      <c r="A6575">
        <f t="shared" si="1338"/>
        <v>0</v>
      </c>
      <c r="B6575">
        <f t="shared" si="1339"/>
        <v>0</v>
      </c>
      <c r="C6575">
        <f t="shared" si="1340"/>
        <v>0</v>
      </c>
      <c r="D6575">
        <f t="shared" si="1341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2"/>
        <v>0</v>
      </c>
      <c r="G6575">
        <f t="shared" si="1343"/>
        <v>0</v>
      </c>
      <c r="H6575">
        <f t="shared" si="1344"/>
        <v>0</v>
      </c>
      <c r="I6575">
        <f t="shared" si="1345"/>
        <v>0</v>
      </c>
      <c r="J6575">
        <f t="shared" si="1346"/>
        <v>0</v>
      </c>
      <c r="K6575" s="4" t="e">
        <f t="shared" si="1334"/>
        <v>#N/A</v>
      </c>
      <c r="L6575" t="e">
        <f t="shared" si="1335"/>
        <v>#N/A</v>
      </c>
      <c r="M6575" s="4" t="e">
        <f t="shared" si="1336"/>
        <v>#N/A</v>
      </c>
      <c r="N6575" s="4" t="e">
        <f t="shared" si="1337"/>
        <v>#N/A</v>
      </c>
    </row>
    <row r="6576" spans="1:14">
      <c r="A6576">
        <f t="shared" si="1338"/>
        <v>0</v>
      </c>
      <c r="B6576">
        <f t="shared" si="1339"/>
        <v>0</v>
      </c>
      <c r="C6576">
        <f t="shared" si="1340"/>
        <v>0</v>
      </c>
      <c r="D6576">
        <f t="shared" si="1341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2"/>
        <v>0</v>
      </c>
      <c r="G6576">
        <f t="shared" si="1343"/>
        <v>0</v>
      </c>
      <c r="H6576">
        <f t="shared" si="1344"/>
        <v>0</v>
      </c>
      <c r="I6576">
        <f t="shared" si="1345"/>
        <v>0</v>
      </c>
      <c r="J6576">
        <f t="shared" si="1346"/>
        <v>0</v>
      </c>
      <c r="K6576" s="4" t="e">
        <f t="shared" si="1334"/>
        <v>#N/A</v>
      </c>
      <c r="L6576" t="e">
        <f t="shared" si="1335"/>
        <v>#N/A</v>
      </c>
      <c r="M6576" s="4" t="e">
        <f t="shared" si="1336"/>
        <v>#N/A</v>
      </c>
      <c r="N6576" s="4" t="e">
        <f t="shared" si="1337"/>
        <v>#N/A</v>
      </c>
    </row>
    <row r="6577" spans="1:14">
      <c r="A6577">
        <f t="shared" si="1338"/>
        <v>0</v>
      </c>
      <c r="B6577">
        <f t="shared" si="1339"/>
        <v>0</v>
      </c>
      <c r="C6577">
        <f t="shared" si="1340"/>
        <v>0</v>
      </c>
      <c r="D6577">
        <f t="shared" si="1341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2"/>
        <v>0</v>
      </c>
      <c r="G6577">
        <f t="shared" si="1343"/>
        <v>0</v>
      </c>
      <c r="H6577">
        <f t="shared" si="1344"/>
        <v>0</v>
      </c>
      <c r="I6577">
        <f t="shared" si="1345"/>
        <v>0</v>
      </c>
      <c r="J6577">
        <f t="shared" si="1346"/>
        <v>0</v>
      </c>
      <c r="K6577" s="4" t="e">
        <f t="shared" si="1334"/>
        <v>#N/A</v>
      </c>
      <c r="L6577" t="e">
        <f t="shared" si="1335"/>
        <v>#N/A</v>
      </c>
      <c r="M6577" s="4" t="e">
        <f t="shared" si="1336"/>
        <v>#N/A</v>
      </c>
      <c r="N6577" s="4" t="e">
        <f t="shared" si="1337"/>
        <v>#N/A</v>
      </c>
    </row>
    <row r="6578" spans="1:14">
      <c r="A6578">
        <f t="shared" si="1338"/>
        <v>0</v>
      </c>
      <c r="B6578">
        <f t="shared" si="1339"/>
        <v>0</v>
      </c>
      <c r="C6578">
        <f t="shared" si="1340"/>
        <v>0</v>
      </c>
      <c r="D6578">
        <f t="shared" si="1341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2"/>
        <v>0</v>
      </c>
      <c r="G6578">
        <f t="shared" si="1343"/>
        <v>0</v>
      </c>
      <c r="H6578">
        <f t="shared" si="1344"/>
        <v>0</v>
      </c>
      <c r="I6578">
        <f t="shared" si="1345"/>
        <v>0</v>
      </c>
      <c r="J6578">
        <f t="shared" si="1346"/>
        <v>0</v>
      </c>
      <c r="K6578" s="4" t="e">
        <f t="shared" si="1334"/>
        <v>#N/A</v>
      </c>
      <c r="L6578" t="e">
        <f t="shared" si="1335"/>
        <v>#N/A</v>
      </c>
      <c r="M6578" s="4" t="e">
        <f t="shared" si="1336"/>
        <v>#N/A</v>
      </c>
      <c r="N6578" s="4" t="e">
        <f t="shared" si="1337"/>
        <v>#N/A</v>
      </c>
    </row>
    <row r="6579" spans="1:14">
      <c r="A6579">
        <f t="shared" si="1338"/>
        <v>0</v>
      </c>
      <c r="B6579">
        <f t="shared" si="1339"/>
        <v>0</v>
      </c>
      <c r="C6579">
        <f t="shared" si="1340"/>
        <v>0</v>
      </c>
      <c r="D6579">
        <f t="shared" si="1341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2"/>
        <v>0</v>
      </c>
      <c r="G6579">
        <f t="shared" si="1343"/>
        <v>0</v>
      </c>
      <c r="H6579">
        <f t="shared" si="1344"/>
        <v>0</v>
      </c>
      <c r="I6579">
        <f t="shared" si="1345"/>
        <v>0</v>
      </c>
      <c r="J6579">
        <f t="shared" si="1346"/>
        <v>0</v>
      </c>
      <c r="K6579" s="4" t="e">
        <f t="shared" si="1334"/>
        <v>#N/A</v>
      </c>
      <c r="L6579" t="e">
        <f t="shared" si="1335"/>
        <v>#N/A</v>
      </c>
      <c r="M6579" s="4" t="e">
        <f t="shared" si="1336"/>
        <v>#N/A</v>
      </c>
      <c r="N6579" s="4" t="e">
        <f t="shared" si="1337"/>
        <v>#N/A</v>
      </c>
    </row>
    <row r="6580" spans="1:14">
      <c r="A6580">
        <f t="shared" si="1338"/>
        <v>0</v>
      </c>
      <c r="B6580">
        <f t="shared" si="1339"/>
        <v>0</v>
      </c>
      <c r="C6580">
        <f t="shared" si="1340"/>
        <v>0</v>
      </c>
      <c r="D6580">
        <f t="shared" si="1341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2"/>
        <v>0</v>
      </c>
      <c r="G6580">
        <f t="shared" si="1343"/>
        <v>0</v>
      </c>
      <c r="H6580">
        <f t="shared" si="1344"/>
        <v>0</v>
      </c>
      <c r="I6580">
        <f t="shared" si="1345"/>
        <v>0</v>
      </c>
      <c r="J6580">
        <f t="shared" si="1346"/>
        <v>0</v>
      </c>
      <c r="K6580" s="4" t="e">
        <f t="shared" si="1334"/>
        <v>#N/A</v>
      </c>
      <c r="L6580" t="e">
        <f t="shared" si="1335"/>
        <v>#N/A</v>
      </c>
      <c r="M6580" s="4" t="e">
        <f t="shared" si="1336"/>
        <v>#N/A</v>
      </c>
      <c r="N6580" s="4" t="e">
        <f t="shared" si="1337"/>
        <v>#N/A</v>
      </c>
    </row>
    <row r="6581" spans="1:14">
      <c r="A6581">
        <f t="shared" si="1338"/>
        <v>0</v>
      </c>
      <c r="B6581">
        <f t="shared" si="1339"/>
        <v>0</v>
      </c>
      <c r="C6581">
        <f t="shared" si="1340"/>
        <v>0</v>
      </c>
      <c r="D6581">
        <f t="shared" si="1341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2"/>
        <v>0</v>
      </c>
      <c r="G6581">
        <f t="shared" si="1343"/>
        <v>0</v>
      </c>
      <c r="H6581">
        <f t="shared" si="1344"/>
        <v>0</v>
      </c>
      <c r="I6581">
        <f t="shared" si="1345"/>
        <v>0</v>
      </c>
      <c r="J6581">
        <f t="shared" si="1346"/>
        <v>0</v>
      </c>
      <c r="K6581" s="4" t="e">
        <f t="shared" si="1334"/>
        <v>#N/A</v>
      </c>
      <c r="L6581" t="e">
        <f t="shared" si="1335"/>
        <v>#N/A</v>
      </c>
      <c r="M6581" s="4" t="e">
        <f t="shared" si="1336"/>
        <v>#N/A</v>
      </c>
      <c r="N6581" s="4" t="e">
        <f t="shared" si="1337"/>
        <v>#N/A</v>
      </c>
    </row>
    <row r="6582" spans="1:14">
      <c r="A6582">
        <f t="shared" si="1338"/>
        <v>0</v>
      </c>
      <c r="B6582">
        <f t="shared" si="1339"/>
        <v>0</v>
      </c>
      <c r="C6582">
        <f t="shared" si="1340"/>
        <v>0</v>
      </c>
      <c r="D6582">
        <f t="shared" si="1341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2"/>
        <v>0</v>
      </c>
      <c r="G6582">
        <f t="shared" si="1343"/>
        <v>0</v>
      </c>
      <c r="H6582">
        <f t="shared" si="1344"/>
        <v>0</v>
      </c>
      <c r="I6582">
        <f t="shared" si="1345"/>
        <v>0</v>
      </c>
      <c r="J6582">
        <f t="shared" si="1346"/>
        <v>0</v>
      </c>
      <c r="K6582" s="4" t="e">
        <f t="shared" si="1334"/>
        <v>#N/A</v>
      </c>
      <c r="L6582" t="e">
        <f t="shared" si="1335"/>
        <v>#N/A</v>
      </c>
      <c r="M6582" s="4" t="e">
        <f t="shared" si="1336"/>
        <v>#N/A</v>
      </c>
      <c r="N6582" s="4" t="e">
        <f t="shared" si="1337"/>
        <v>#N/A</v>
      </c>
    </row>
    <row r="6583" spans="1:14">
      <c r="A6583">
        <f t="shared" si="1338"/>
        <v>0</v>
      </c>
      <c r="B6583">
        <f t="shared" si="1339"/>
        <v>0</v>
      </c>
      <c r="C6583">
        <f t="shared" si="1340"/>
        <v>0</v>
      </c>
      <c r="D6583">
        <f t="shared" si="1341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2"/>
        <v>0</v>
      </c>
      <c r="G6583">
        <f t="shared" si="1343"/>
        <v>0</v>
      </c>
      <c r="H6583">
        <f t="shared" si="1344"/>
        <v>0</v>
      </c>
      <c r="I6583">
        <f t="shared" si="1345"/>
        <v>0</v>
      </c>
      <c r="J6583">
        <f t="shared" si="1346"/>
        <v>0</v>
      </c>
      <c r="K6583" s="4" t="e">
        <f t="shared" si="1334"/>
        <v>#N/A</v>
      </c>
      <c r="L6583" t="e">
        <f t="shared" si="1335"/>
        <v>#N/A</v>
      </c>
      <c r="M6583" s="4" t="e">
        <f t="shared" si="1336"/>
        <v>#N/A</v>
      </c>
      <c r="N6583" s="4" t="e">
        <f t="shared" si="1337"/>
        <v>#N/A</v>
      </c>
    </row>
    <row r="6584" spans="1:14">
      <c r="A6584">
        <f t="shared" si="1338"/>
        <v>0</v>
      </c>
      <c r="B6584">
        <f t="shared" si="1339"/>
        <v>0</v>
      </c>
      <c r="C6584">
        <f t="shared" si="1340"/>
        <v>0</v>
      </c>
      <c r="D6584">
        <f t="shared" si="1341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2"/>
        <v>0</v>
      </c>
      <c r="G6584">
        <f t="shared" si="1343"/>
        <v>0</v>
      </c>
      <c r="H6584">
        <f t="shared" si="1344"/>
        <v>0</v>
      </c>
      <c r="I6584">
        <f t="shared" si="1345"/>
        <v>0</v>
      </c>
      <c r="J6584">
        <f t="shared" si="1346"/>
        <v>0</v>
      </c>
      <c r="K6584" s="4" t="e">
        <f t="shared" si="1334"/>
        <v>#N/A</v>
      </c>
      <c r="L6584" t="e">
        <f t="shared" si="1335"/>
        <v>#N/A</v>
      </c>
      <c r="M6584" s="4" t="e">
        <f t="shared" si="1336"/>
        <v>#N/A</v>
      </c>
      <c r="N6584" s="4" t="e">
        <f t="shared" si="1337"/>
        <v>#N/A</v>
      </c>
    </row>
    <row r="6585" spans="1:14">
      <c r="A6585">
        <f t="shared" si="1338"/>
        <v>0</v>
      </c>
      <c r="B6585">
        <f t="shared" si="1339"/>
        <v>0</v>
      </c>
      <c r="C6585">
        <f t="shared" si="1340"/>
        <v>0</v>
      </c>
      <c r="D6585">
        <f t="shared" si="1341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2"/>
        <v>0</v>
      </c>
      <c r="G6585">
        <f t="shared" si="1343"/>
        <v>0</v>
      </c>
      <c r="H6585">
        <f t="shared" si="1344"/>
        <v>0</v>
      </c>
      <c r="I6585">
        <f t="shared" si="1345"/>
        <v>0</v>
      </c>
      <c r="J6585">
        <f t="shared" si="1346"/>
        <v>0</v>
      </c>
      <c r="K6585" s="4" t="e">
        <f t="shared" si="1334"/>
        <v>#N/A</v>
      </c>
      <c r="L6585" t="e">
        <f t="shared" si="1335"/>
        <v>#N/A</v>
      </c>
      <c r="M6585" s="4" t="e">
        <f t="shared" si="1336"/>
        <v>#N/A</v>
      </c>
      <c r="N6585" s="4" t="e">
        <f t="shared" si="1337"/>
        <v>#N/A</v>
      </c>
    </row>
    <row r="6586" spans="1:14">
      <c r="A6586">
        <f t="shared" si="1338"/>
        <v>0</v>
      </c>
      <c r="B6586">
        <f t="shared" si="1339"/>
        <v>0</v>
      </c>
      <c r="C6586">
        <f t="shared" si="1340"/>
        <v>0</v>
      </c>
      <c r="D6586">
        <f t="shared" si="1341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2"/>
        <v>0</v>
      </c>
      <c r="G6586">
        <f t="shared" si="1343"/>
        <v>0</v>
      </c>
      <c r="H6586">
        <f t="shared" si="1344"/>
        <v>0</v>
      </c>
      <c r="I6586">
        <f t="shared" si="1345"/>
        <v>0</v>
      </c>
      <c r="J6586">
        <f t="shared" si="1346"/>
        <v>0</v>
      </c>
      <c r="K6586" s="4" t="e">
        <f t="shared" si="1334"/>
        <v>#N/A</v>
      </c>
      <c r="L6586" t="e">
        <f t="shared" si="1335"/>
        <v>#N/A</v>
      </c>
      <c r="M6586" s="4" t="e">
        <f t="shared" si="1336"/>
        <v>#N/A</v>
      </c>
      <c r="N6586" s="4" t="e">
        <f t="shared" si="1337"/>
        <v>#N/A</v>
      </c>
    </row>
    <row r="6587" spans="1:14">
      <c r="A6587">
        <f t="shared" si="1338"/>
        <v>0</v>
      </c>
      <c r="B6587">
        <f t="shared" si="1339"/>
        <v>0</v>
      </c>
      <c r="C6587">
        <f t="shared" si="1340"/>
        <v>0</v>
      </c>
      <c r="D6587">
        <f t="shared" si="1341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2"/>
        <v>0</v>
      </c>
      <c r="G6587">
        <f t="shared" si="1343"/>
        <v>0</v>
      </c>
      <c r="H6587">
        <f t="shared" si="1344"/>
        <v>0</v>
      </c>
      <c r="I6587">
        <f t="shared" si="1345"/>
        <v>0</v>
      </c>
      <c r="J6587">
        <f t="shared" si="1346"/>
        <v>0</v>
      </c>
      <c r="K6587" s="4" t="e">
        <f t="shared" si="1334"/>
        <v>#N/A</v>
      </c>
      <c r="L6587" t="e">
        <f t="shared" si="1335"/>
        <v>#N/A</v>
      </c>
      <c r="M6587" s="4" t="e">
        <f t="shared" si="1336"/>
        <v>#N/A</v>
      </c>
      <c r="N6587" s="4" t="e">
        <f t="shared" si="1337"/>
        <v>#N/A</v>
      </c>
    </row>
    <row r="6588" spans="1:14">
      <c r="A6588">
        <f t="shared" si="1338"/>
        <v>0</v>
      </c>
      <c r="B6588">
        <f t="shared" si="1339"/>
        <v>0</v>
      </c>
      <c r="C6588">
        <f t="shared" si="1340"/>
        <v>0</v>
      </c>
      <c r="D6588">
        <f t="shared" si="1341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2"/>
        <v>0</v>
      </c>
      <c r="G6588">
        <f t="shared" si="1343"/>
        <v>0</v>
      </c>
      <c r="H6588">
        <f t="shared" si="1344"/>
        <v>0</v>
      </c>
      <c r="I6588">
        <f t="shared" si="1345"/>
        <v>0</v>
      </c>
      <c r="J6588">
        <f t="shared" si="1346"/>
        <v>0</v>
      </c>
      <c r="K6588" s="4" t="e">
        <f t="shared" si="1334"/>
        <v>#N/A</v>
      </c>
      <c r="L6588" t="e">
        <f t="shared" si="1335"/>
        <v>#N/A</v>
      </c>
      <c r="M6588" s="4" t="e">
        <f t="shared" si="1336"/>
        <v>#N/A</v>
      </c>
      <c r="N6588" s="4" t="e">
        <f t="shared" si="1337"/>
        <v>#N/A</v>
      </c>
    </row>
    <row r="6589" spans="1:14">
      <c r="A6589">
        <f t="shared" si="1338"/>
        <v>0</v>
      </c>
      <c r="B6589">
        <f t="shared" si="1339"/>
        <v>0</v>
      </c>
      <c r="C6589">
        <f t="shared" si="1340"/>
        <v>0</v>
      </c>
      <c r="D6589">
        <f t="shared" si="1341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2"/>
        <v>0</v>
      </c>
      <c r="G6589">
        <f t="shared" si="1343"/>
        <v>0</v>
      </c>
      <c r="H6589">
        <f t="shared" si="1344"/>
        <v>0</v>
      </c>
      <c r="I6589">
        <f t="shared" si="1345"/>
        <v>0</v>
      </c>
      <c r="J6589">
        <f t="shared" si="1346"/>
        <v>0</v>
      </c>
      <c r="K6589" s="4" t="e">
        <f t="shared" ref="K6589:K6652" si="1347">IF(LEFT(B6589,3)="DBM",0,VLOOKUP(E6589,tabela,2,FALSE))</f>
        <v>#N/A</v>
      </c>
      <c r="L6589" t="e">
        <f t="shared" ref="L6589:L6652" si="1348">VLOOKUP(E6589,tabela,3,FALSE)</f>
        <v>#N/A</v>
      </c>
      <c r="M6589" s="4" t="e">
        <f t="shared" ref="M6589:M6652" si="1349">IF(E6589="Dynamic Click",J6589*K6589,K6589*$I6589/1000)</f>
        <v>#N/A</v>
      </c>
      <c r="N6589" s="4" t="e">
        <f t="shared" ref="N6589:N6652" si="1350">IF(E6589="Dynamic Click",J6589*L6589,L6589*$I6589/1000)</f>
        <v>#N/A</v>
      </c>
    </row>
    <row r="6590" spans="1:14">
      <c r="A6590">
        <f t="shared" si="1338"/>
        <v>0</v>
      </c>
      <c r="B6590">
        <f t="shared" si="1339"/>
        <v>0</v>
      </c>
      <c r="C6590">
        <f t="shared" si="1340"/>
        <v>0</v>
      </c>
      <c r="D6590">
        <f t="shared" si="1341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2"/>
        <v>0</v>
      </c>
      <c r="G6590">
        <f t="shared" si="1343"/>
        <v>0</v>
      </c>
      <c r="H6590">
        <f t="shared" si="1344"/>
        <v>0</v>
      </c>
      <c r="I6590">
        <f t="shared" si="1345"/>
        <v>0</v>
      </c>
      <c r="J6590">
        <f t="shared" si="1346"/>
        <v>0</v>
      </c>
      <c r="K6590" s="4" t="e">
        <f t="shared" si="1347"/>
        <v>#N/A</v>
      </c>
      <c r="L6590" t="e">
        <f t="shared" si="1348"/>
        <v>#N/A</v>
      </c>
      <c r="M6590" s="4" t="e">
        <f t="shared" si="1349"/>
        <v>#N/A</v>
      </c>
      <c r="N6590" s="4" t="e">
        <f t="shared" si="1350"/>
        <v>#N/A</v>
      </c>
    </row>
    <row r="6591" spans="1:14">
      <c r="A6591">
        <f t="shared" si="1338"/>
        <v>0</v>
      </c>
      <c r="B6591">
        <f t="shared" si="1339"/>
        <v>0</v>
      </c>
      <c r="C6591">
        <f t="shared" si="1340"/>
        <v>0</v>
      </c>
      <c r="D6591">
        <f t="shared" si="1341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2"/>
        <v>0</v>
      </c>
      <c r="G6591">
        <f t="shared" si="1343"/>
        <v>0</v>
      </c>
      <c r="H6591">
        <f t="shared" si="1344"/>
        <v>0</v>
      </c>
      <c r="I6591">
        <f t="shared" si="1345"/>
        <v>0</v>
      </c>
      <c r="J6591">
        <f t="shared" si="1346"/>
        <v>0</v>
      </c>
      <c r="K6591" s="4" t="e">
        <f t="shared" si="1347"/>
        <v>#N/A</v>
      </c>
      <c r="L6591" t="e">
        <f t="shared" si="1348"/>
        <v>#N/A</v>
      </c>
      <c r="M6591" s="4" t="e">
        <f t="shared" si="1349"/>
        <v>#N/A</v>
      </c>
      <c r="N6591" s="4" t="e">
        <f t="shared" si="1350"/>
        <v>#N/A</v>
      </c>
    </row>
    <row r="6592" spans="1:14">
      <c r="A6592">
        <f t="shared" si="1338"/>
        <v>0</v>
      </c>
      <c r="B6592">
        <f t="shared" si="1339"/>
        <v>0</v>
      </c>
      <c r="C6592">
        <f t="shared" si="1340"/>
        <v>0</v>
      </c>
      <c r="D6592">
        <f t="shared" si="1341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2"/>
        <v>0</v>
      </c>
      <c r="G6592">
        <f t="shared" si="1343"/>
        <v>0</v>
      </c>
      <c r="H6592">
        <f t="shared" si="1344"/>
        <v>0</v>
      </c>
      <c r="I6592">
        <f t="shared" si="1345"/>
        <v>0</v>
      </c>
      <c r="J6592">
        <f t="shared" si="1346"/>
        <v>0</v>
      </c>
      <c r="K6592" s="4" t="e">
        <f t="shared" si="1347"/>
        <v>#N/A</v>
      </c>
      <c r="L6592" t="e">
        <f t="shared" si="1348"/>
        <v>#N/A</v>
      </c>
      <c r="M6592" s="4" t="e">
        <f t="shared" si="1349"/>
        <v>#N/A</v>
      </c>
      <c r="N6592" s="4" t="e">
        <f t="shared" si="1350"/>
        <v>#N/A</v>
      </c>
    </row>
    <row r="6593" spans="1:14">
      <c r="A6593">
        <f t="shared" si="1338"/>
        <v>0</v>
      </c>
      <c r="B6593">
        <f t="shared" si="1339"/>
        <v>0</v>
      </c>
      <c r="C6593">
        <f t="shared" si="1340"/>
        <v>0</v>
      </c>
      <c r="D6593">
        <f t="shared" si="1341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2"/>
        <v>0</v>
      </c>
      <c r="G6593">
        <f t="shared" si="1343"/>
        <v>0</v>
      </c>
      <c r="H6593">
        <f t="shared" si="1344"/>
        <v>0</v>
      </c>
      <c r="I6593">
        <f t="shared" si="1345"/>
        <v>0</v>
      </c>
      <c r="J6593">
        <f t="shared" si="1346"/>
        <v>0</v>
      </c>
      <c r="K6593" s="4" t="e">
        <f t="shared" si="1347"/>
        <v>#N/A</v>
      </c>
      <c r="L6593" t="e">
        <f t="shared" si="1348"/>
        <v>#N/A</v>
      </c>
      <c r="M6593" s="4" t="e">
        <f t="shared" si="1349"/>
        <v>#N/A</v>
      </c>
      <c r="N6593" s="4" t="e">
        <f t="shared" si="1350"/>
        <v>#N/A</v>
      </c>
    </row>
    <row r="6594" spans="1:14">
      <c r="A6594">
        <f t="shared" ref="A6594:A6657" si="1351">bd_campaign</f>
        <v>0</v>
      </c>
      <c r="B6594">
        <f t="shared" ref="B6594:B6657" si="1352">bd_site</f>
        <v>0</v>
      </c>
      <c r="C6594">
        <f t="shared" ref="C6594:C6657" si="1353">bd_placement</f>
        <v>0</v>
      </c>
      <c r="D6594">
        <f t="shared" ref="D6594:D6657" si="1354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5">bd_ad</f>
        <v>0</v>
      </c>
      <c r="G6594">
        <f t="shared" ref="G6594:G6657" si="1356">bd_adid</f>
        <v>0</v>
      </c>
      <c r="H6594">
        <f t="shared" ref="H6594:H6657" si="1357">bd_creativetype</f>
        <v>0</v>
      </c>
      <c r="I6594">
        <f t="shared" ref="I6594:I6657" si="1358">bd_impression</f>
        <v>0</v>
      </c>
      <c r="J6594">
        <f t="shared" ref="J6594:J6657" si="1359">bd_clicks</f>
        <v>0</v>
      </c>
      <c r="K6594" s="4" t="e">
        <f t="shared" si="1347"/>
        <v>#N/A</v>
      </c>
      <c r="L6594" t="e">
        <f t="shared" si="1348"/>
        <v>#N/A</v>
      </c>
      <c r="M6594" s="4" t="e">
        <f t="shared" si="1349"/>
        <v>#N/A</v>
      </c>
      <c r="N6594" s="4" t="e">
        <f t="shared" si="1350"/>
        <v>#N/A</v>
      </c>
    </row>
    <row r="6595" spans="1:14">
      <c r="A6595">
        <f t="shared" si="1351"/>
        <v>0</v>
      </c>
      <c r="B6595">
        <f t="shared" si="1352"/>
        <v>0</v>
      </c>
      <c r="C6595">
        <f t="shared" si="1353"/>
        <v>0</v>
      </c>
      <c r="D6595">
        <f t="shared" si="1354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5"/>
        <v>0</v>
      </c>
      <c r="G6595">
        <f t="shared" si="1356"/>
        <v>0</v>
      </c>
      <c r="H6595">
        <f t="shared" si="1357"/>
        <v>0</v>
      </c>
      <c r="I6595">
        <f t="shared" si="1358"/>
        <v>0</v>
      </c>
      <c r="J6595">
        <f t="shared" si="1359"/>
        <v>0</v>
      </c>
      <c r="K6595" s="4" t="e">
        <f t="shared" si="1347"/>
        <v>#N/A</v>
      </c>
      <c r="L6595" t="e">
        <f t="shared" si="1348"/>
        <v>#N/A</v>
      </c>
      <c r="M6595" s="4" t="e">
        <f t="shared" si="1349"/>
        <v>#N/A</v>
      </c>
      <c r="N6595" s="4" t="e">
        <f t="shared" si="1350"/>
        <v>#N/A</v>
      </c>
    </row>
    <row r="6596" spans="1:14">
      <c r="A6596">
        <f t="shared" si="1351"/>
        <v>0</v>
      </c>
      <c r="B6596">
        <f t="shared" si="1352"/>
        <v>0</v>
      </c>
      <c r="C6596">
        <f t="shared" si="1353"/>
        <v>0</v>
      </c>
      <c r="D6596">
        <f t="shared" si="1354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5"/>
        <v>0</v>
      </c>
      <c r="G6596">
        <f t="shared" si="1356"/>
        <v>0</v>
      </c>
      <c r="H6596">
        <f t="shared" si="1357"/>
        <v>0</v>
      </c>
      <c r="I6596">
        <f t="shared" si="1358"/>
        <v>0</v>
      </c>
      <c r="J6596">
        <f t="shared" si="1359"/>
        <v>0</v>
      </c>
      <c r="K6596" s="4" t="e">
        <f t="shared" si="1347"/>
        <v>#N/A</v>
      </c>
      <c r="L6596" t="e">
        <f t="shared" si="1348"/>
        <v>#N/A</v>
      </c>
      <c r="M6596" s="4" t="e">
        <f t="shared" si="1349"/>
        <v>#N/A</v>
      </c>
      <c r="N6596" s="4" t="e">
        <f t="shared" si="1350"/>
        <v>#N/A</v>
      </c>
    </row>
    <row r="6597" spans="1:14">
      <c r="A6597">
        <f t="shared" si="1351"/>
        <v>0</v>
      </c>
      <c r="B6597">
        <f t="shared" si="1352"/>
        <v>0</v>
      </c>
      <c r="C6597">
        <f t="shared" si="1353"/>
        <v>0</v>
      </c>
      <c r="D6597">
        <f t="shared" si="1354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5"/>
        <v>0</v>
      </c>
      <c r="G6597">
        <f t="shared" si="1356"/>
        <v>0</v>
      </c>
      <c r="H6597">
        <f t="shared" si="1357"/>
        <v>0</v>
      </c>
      <c r="I6597">
        <f t="shared" si="1358"/>
        <v>0</v>
      </c>
      <c r="J6597">
        <f t="shared" si="1359"/>
        <v>0</v>
      </c>
      <c r="K6597" s="4" t="e">
        <f t="shared" si="1347"/>
        <v>#N/A</v>
      </c>
      <c r="L6597" t="e">
        <f t="shared" si="1348"/>
        <v>#N/A</v>
      </c>
      <c r="M6597" s="4" t="e">
        <f t="shared" si="1349"/>
        <v>#N/A</v>
      </c>
      <c r="N6597" s="4" t="e">
        <f t="shared" si="1350"/>
        <v>#N/A</v>
      </c>
    </row>
    <row r="6598" spans="1:14">
      <c r="A6598">
        <f t="shared" si="1351"/>
        <v>0</v>
      </c>
      <c r="B6598">
        <f t="shared" si="1352"/>
        <v>0</v>
      </c>
      <c r="C6598">
        <f t="shared" si="1353"/>
        <v>0</v>
      </c>
      <c r="D6598">
        <f t="shared" si="1354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5"/>
        <v>0</v>
      </c>
      <c r="G6598">
        <f t="shared" si="1356"/>
        <v>0</v>
      </c>
      <c r="H6598">
        <f t="shared" si="1357"/>
        <v>0</v>
      </c>
      <c r="I6598">
        <f t="shared" si="1358"/>
        <v>0</v>
      </c>
      <c r="J6598">
        <f t="shared" si="1359"/>
        <v>0</v>
      </c>
      <c r="K6598" s="4" t="e">
        <f t="shared" si="1347"/>
        <v>#N/A</v>
      </c>
      <c r="L6598" t="e">
        <f t="shared" si="1348"/>
        <v>#N/A</v>
      </c>
      <c r="M6598" s="4" t="e">
        <f t="shared" si="1349"/>
        <v>#N/A</v>
      </c>
      <c r="N6598" s="4" t="e">
        <f t="shared" si="1350"/>
        <v>#N/A</v>
      </c>
    </row>
    <row r="6599" spans="1:14">
      <c r="A6599">
        <f t="shared" si="1351"/>
        <v>0</v>
      </c>
      <c r="B6599">
        <f t="shared" si="1352"/>
        <v>0</v>
      </c>
      <c r="C6599">
        <f t="shared" si="1353"/>
        <v>0</v>
      </c>
      <c r="D6599">
        <f t="shared" si="1354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5"/>
        <v>0</v>
      </c>
      <c r="G6599">
        <f t="shared" si="1356"/>
        <v>0</v>
      </c>
      <c r="H6599">
        <f t="shared" si="1357"/>
        <v>0</v>
      </c>
      <c r="I6599">
        <f t="shared" si="1358"/>
        <v>0</v>
      </c>
      <c r="J6599">
        <f t="shared" si="1359"/>
        <v>0</v>
      </c>
      <c r="K6599" s="4" t="e">
        <f t="shared" si="1347"/>
        <v>#N/A</v>
      </c>
      <c r="L6599" t="e">
        <f t="shared" si="1348"/>
        <v>#N/A</v>
      </c>
      <c r="M6599" s="4" t="e">
        <f t="shared" si="1349"/>
        <v>#N/A</v>
      </c>
      <c r="N6599" s="4" t="e">
        <f t="shared" si="1350"/>
        <v>#N/A</v>
      </c>
    </row>
    <row r="6600" spans="1:14">
      <c r="A6600">
        <f t="shared" si="1351"/>
        <v>0</v>
      </c>
      <c r="B6600">
        <f t="shared" si="1352"/>
        <v>0</v>
      </c>
      <c r="C6600">
        <f t="shared" si="1353"/>
        <v>0</v>
      </c>
      <c r="D6600">
        <f t="shared" si="1354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5"/>
        <v>0</v>
      </c>
      <c r="G6600">
        <f t="shared" si="1356"/>
        <v>0</v>
      </c>
      <c r="H6600">
        <f t="shared" si="1357"/>
        <v>0</v>
      </c>
      <c r="I6600">
        <f t="shared" si="1358"/>
        <v>0</v>
      </c>
      <c r="J6600">
        <f t="shared" si="1359"/>
        <v>0</v>
      </c>
      <c r="K6600" s="4" t="e">
        <f t="shared" si="1347"/>
        <v>#N/A</v>
      </c>
      <c r="L6600" t="e">
        <f t="shared" si="1348"/>
        <v>#N/A</v>
      </c>
      <c r="M6600" s="4" t="e">
        <f t="shared" si="1349"/>
        <v>#N/A</v>
      </c>
      <c r="N6600" s="4" t="e">
        <f t="shared" si="1350"/>
        <v>#N/A</v>
      </c>
    </row>
    <row r="6601" spans="1:14">
      <c r="A6601">
        <f t="shared" si="1351"/>
        <v>0</v>
      </c>
      <c r="B6601">
        <f t="shared" si="1352"/>
        <v>0</v>
      </c>
      <c r="C6601">
        <f t="shared" si="1353"/>
        <v>0</v>
      </c>
      <c r="D6601">
        <f t="shared" si="1354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5"/>
        <v>0</v>
      </c>
      <c r="G6601">
        <f t="shared" si="1356"/>
        <v>0</v>
      </c>
      <c r="H6601">
        <f t="shared" si="1357"/>
        <v>0</v>
      </c>
      <c r="I6601">
        <f t="shared" si="1358"/>
        <v>0</v>
      </c>
      <c r="J6601">
        <f t="shared" si="1359"/>
        <v>0</v>
      </c>
      <c r="K6601" s="4" t="e">
        <f t="shared" si="1347"/>
        <v>#N/A</v>
      </c>
      <c r="L6601" t="e">
        <f t="shared" si="1348"/>
        <v>#N/A</v>
      </c>
      <c r="M6601" s="4" t="e">
        <f t="shared" si="1349"/>
        <v>#N/A</v>
      </c>
      <c r="N6601" s="4" t="e">
        <f t="shared" si="1350"/>
        <v>#N/A</v>
      </c>
    </row>
    <row r="6602" spans="1:14">
      <c r="A6602">
        <f t="shared" si="1351"/>
        <v>0</v>
      </c>
      <c r="B6602">
        <f t="shared" si="1352"/>
        <v>0</v>
      </c>
      <c r="C6602">
        <f t="shared" si="1353"/>
        <v>0</v>
      </c>
      <c r="D6602">
        <f t="shared" si="1354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5"/>
        <v>0</v>
      </c>
      <c r="G6602">
        <f t="shared" si="1356"/>
        <v>0</v>
      </c>
      <c r="H6602">
        <f t="shared" si="1357"/>
        <v>0</v>
      </c>
      <c r="I6602">
        <f t="shared" si="1358"/>
        <v>0</v>
      </c>
      <c r="J6602">
        <f t="shared" si="1359"/>
        <v>0</v>
      </c>
      <c r="K6602" s="4" t="e">
        <f t="shared" si="1347"/>
        <v>#N/A</v>
      </c>
      <c r="L6602" t="e">
        <f t="shared" si="1348"/>
        <v>#N/A</v>
      </c>
      <c r="M6602" s="4" t="e">
        <f t="shared" si="1349"/>
        <v>#N/A</v>
      </c>
      <c r="N6602" s="4" t="e">
        <f t="shared" si="1350"/>
        <v>#N/A</v>
      </c>
    </row>
    <row r="6603" spans="1:14">
      <c r="A6603">
        <f t="shared" si="1351"/>
        <v>0</v>
      </c>
      <c r="B6603">
        <f t="shared" si="1352"/>
        <v>0</v>
      </c>
      <c r="C6603">
        <f t="shared" si="1353"/>
        <v>0</v>
      </c>
      <c r="D6603">
        <f t="shared" si="1354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5"/>
        <v>0</v>
      </c>
      <c r="G6603">
        <f t="shared" si="1356"/>
        <v>0</v>
      </c>
      <c r="H6603">
        <f t="shared" si="1357"/>
        <v>0</v>
      </c>
      <c r="I6603">
        <f t="shared" si="1358"/>
        <v>0</v>
      </c>
      <c r="J6603">
        <f t="shared" si="1359"/>
        <v>0</v>
      </c>
      <c r="K6603" s="4" t="e">
        <f t="shared" si="1347"/>
        <v>#N/A</v>
      </c>
      <c r="L6603" t="e">
        <f t="shared" si="1348"/>
        <v>#N/A</v>
      </c>
      <c r="M6603" s="4" t="e">
        <f t="shared" si="1349"/>
        <v>#N/A</v>
      </c>
      <c r="N6603" s="4" t="e">
        <f t="shared" si="1350"/>
        <v>#N/A</v>
      </c>
    </row>
    <row r="6604" spans="1:14">
      <c r="A6604">
        <f t="shared" si="1351"/>
        <v>0</v>
      </c>
      <c r="B6604">
        <f t="shared" si="1352"/>
        <v>0</v>
      </c>
      <c r="C6604">
        <f t="shared" si="1353"/>
        <v>0</v>
      </c>
      <c r="D6604">
        <f t="shared" si="1354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5"/>
        <v>0</v>
      </c>
      <c r="G6604">
        <f t="shared" si="1356"/>
        <v>0</v>
      </c>
      <c r="H6604">
        <f t="shared" si="1357"/>
        <v>0</v>
      </c>
      <c r="I6604">
        <f t="shared" si="1358"/>
        <v>0</v>
      </c>
      <c r="J6604">
        <f t="shared" si="1359"/>
        <v>0</v>
      </c>
      <c r="K6604" s="4" t="e">
        <f t="shared" si="1347"/>
        <v>#N/A</v>
      </c>
      <c r="L6604" t="e">
        <f t="shared" si="1348"/>
        <v>#N/A</v>
      </c>
      <c r="M6604" s="4" t="e">
        <f t="shared" si="1349"/>
        <v>#N/A</v>
      </c>
      <c r="N6604" s="4" t="e">
        <f t="shared" si="1350"/>
        <v>#N/A</v>
      </c>
    </row>
    <row r="6605" spans="1:14">
      <c r="A6605">
        <f t="shared" si="1351"/>
        <v>0</v>
      </c>
      <c r="B6605">
        <f t="shared" si="1352"/>
        <v>0</v>
      </c>
      <c r="C6605">
        <f t="shared" si="1353"/>
        <v>0</v>
      </c>
      <c r="D6605">
        <f t="shared" si="1354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5"/>
        <v>0</v>
      </c>
      <c r="G6605">
        <f t="shared" si="1356"/>
        <v>0</v>
      </c>
      <c r="H6605">
        <f t="shared" si="1357"/>
        <v>0</v>
      </c>
      <c r="I6605">
        <f t="shared" si="1358"/>
        <v>0</v>
      </c>
      <c r="J6605">
        <f t="shared" si="1359"/>
        <v>0</v>
      </c>
      <c r="K6605" s="4" t="e">
        <f t="shared" si="1347"/>
        <v>#N/A</v>
      </c>
      <c r="L6605" t="e">
        <f t="shared" si="1348"/>
        <v>#N/A</v>
      </c>
      <c r="M6605" s="4" t="e">
        <f t="shared" si="1349"/>
        <v>#N/A</v>
      </c>
      <c r="N6605" s="4" t="e">
        <f t="shared" si="1350"/>
        <v>#N/A</v>
      </c>
    </row>
    <row r="6606" spans="1:14">
      <c r="A6606">
        <f t="shared" si="1351"/>
        <v>0</v>
      </c>
      <c r="B6606">
        <f t="shared" si="1352"/>
        <v>0</v>
      </c>
      <c r="C6606">
        <f t="shared" si="1353"/>
        <v>0</v>
      </c>
      <c r="D6606">
        <f t="shared" si="1354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5"/>
        <v>0</v>
      </c>
      <c r="G6606">
        <f t="shared" si="1356"/>
        <v>0</v>
      </c>
      <c r="H6606">
        <f t="shared" si="1357"/>
        <v>0</v>
      </c>
      <c r="I6606">
        <f t="shared" si="1358"/>
        <v>0</v>
      </c>
      <c r="J6606">
        <f t="shared" si="1359"/>
        <v>0</v>
      </c>
      <c r="K6606" s="4" t="e">
        <f t="shared" si="1347"/>
        <v>#N/A</v>
      </c>
      <c r="L6606" t="e">
        <f t="shared" si="1348"/>
        <v>#N/A</v>
      </c>
      <c r="M6606" s="4" t="e">
        <f t="shared" si="1349"/>
        <v>#N/A</v>
      </c>
      <c r="N6606" s="4" t="e">
        <f t="shared" si="1350"/>
        <v>#N/A</v>
      </c>
    </row>
    <row r="6607" spans="1:14">
      <c r="A6607">
        <f t="shared" si="1351"/>
        <v>0</v>
      </c>
      <c r="B6607">
        <f t="shared" si="1352"/>
        <v>0</v>
      </c>
      <c r="C6607">
        <f t="shared" si="1353"/>
        <v>0</v>
      </c>
      <c r="D6607">
        <f t="shared" si="1354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5"/>
        <v>0</v>
      </c>
      <c r="G6607">
        <f t="shared" si="1356"/>
        <v>0</v>
      </c>
      <c r="H6607">
        <f t="shared" si="1357"/>
        <v>0</v>
      </c>
      <c r="I6607">
        <f t="shared" si="1358"/>
        <v>0</v>
      </c>
      <c r="J6607">
        <f t="shared" si="1359"/>
        <v>0</v>
      </c>
      <c r="K6607" s="4" t="e">
        <f t="shared" si="1347"/>
        <v>#N/A</v>
      </c>
      <c r="L6607" t="e">
        <f t="shared" si="1348"/>
        <v>#N/A</v>
      </c>
      <c r="M6607" s="4" t="e">
        <f t="shared" si="1349"/>
        <v>#N/A</v>
      </c>
      <c r="N6607" s="4" t="e">
        <f t="shared" si="1350"/>
        <v>#N/A</v>
      </c>
    </row>
    <row r="6608" spans="1:14">
      <c r="A6608">
        <f t="shared" si="1351"/>
        <v>0</v>
      </c>
      <c r="B6608">
        <f t="shared" si="1352"/>
        <v>0</v>
      </c>
      <c r="C6608">
        <f t="shared" si="1353"/>
        <v>0</v>
      </c>
      <c r="D6608">
        <f t="shared" si="1354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5"/>
        <v>0</v>
      </c>
      <c r="G6608">
        <f t="shared" si="1356"/>
        <v>0</v>
      </c>
      <c r="H6608">
        <f t="shared" si="1357"/>
        <v>0</v>
      </c>
      <c r="I6608">
        <f t="shared" si="1358"/>
        <v>0</v>
      </c>
      <c r="J6608">
        <f t="shared" si="1359"/>
        <v>0</v>
      </c>
      <c r="K6608" s="4" t="e">
        <f t="shared" si="1347"/>
        <v>#N/A</v>
      </c>
      <c r="L6608" t="e">
        <f t="shared" si="1348"/>
        <v>#N/A</v>
      </c>
      <c r="M6608" s="4" t="e">
        <f t="shared" si="1349"/>
        <v>#N/A</v>
      </c>
      <c r="N6608" s="4" t="e">
        <f t="shared" si="1350"/>
        <v>#N/A</v>
      </c>
    </row>
    <row r="6609" spans="1:14">
      <c r="A6609">
        <f t="shared" si="1351"/>
        <v>0</v>
      </c>
      <c r="B6609">
        <f t="shared" si="1352"/>
        <v>0</v>
      </c>
      <c r="C6609">
        <f t="shared" si="1353"/>
        <v>0</v>
      </c>
      <c r="D6609">
        <f t="shared" si="1354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5"/>
        <v>0</v>
      </c>
      <c r="G6609">
        <f t="shared" si="1356"/>
        <v>0</v>
      </c>
      <c r="H6609">
        <f t="shared" si="1357"/>
        <v>0</v>
      </c>
      <c r="I6609">
        <f t="shared" si="1358"/>
        <v>0</v>
      </c>
      <c r="J6609">
        <f t="shared" si="1359"/>
        <v>0</v>
      </c>
      <c r="K6609" s="4" t="e">
        <f t="shared" si="1347"/>
        <v>#N/A</v>
      </c>
      <c r="L6609" t="e">
        <f t="shared" si="1348"/>
        <v>#N/A</v>
      </c>
      <c r="M6609" s="4" t="e">
        <f t="shared" si="1349"/>
        <v>#N/A</v>
      </c>
      <c r="N6609" s="4" t="e">
        <f t="shared" si="1350"/>
        <v>#N/A</v>
      </c>
    </row>
    <row r="6610" spans="1:14">
      <c r="A6610">
        <f t="shared" si="1351"/>
        <v>0</v>
      </c>
      <c r="B6610">
        <f t="shared" si="1352"/>
        <v>0</v>
      </c>
      <c r="C6610">
        <f t="shared" si="1353"/>
        <v>0</v>
      </c>
      <c r="D6610">
        <f t="shared" si="1354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5"/>
        <v>0</v>
      </c>
      <c r="G6610">
        <f t="shared" si="1356"/>
        <v>0</v>
      </c>
      <c r="H6610">
        <f t="shared" si="1357"/>
        <v>0</v>
      </c>
      <c r="I6610">
        <f t="shared" si="1358"/>
        <v>0</v>
      </c>
      <c r="J6610">
        <f t="shared" si="1359"/>
        <v>0</v>
      </c>
      <c r="K6610" s="4" t="e">
        <f t="shared" si="1347"/>
        <v>#N/A</v>
      </c>
      <c r="L6610" t="e">
        <f t="shared" si="1348"/>
        <v>#N/A</v>
      </c>
      <c r="M6610" s="4" t="e">
        <f t="shared" si="1349"/>
        <v>#N/A</v>
      </c>
      <c r="N6610" s="4" t="e">
        <f t="shared" si="1350"/>
        <v>#N/A</v>
      </c>
    </row>
    <row r="6611" spans="1:14">
      <c r="A6611">
        <f t="shared" si="1351"/>
        <v>0</v>
      </c>
      <c r="B6611">
        <f t="shared" si="1352"/>
        <v>0</v>
      </c>
      <c r="C6611">
        <f t="shared" si="1353"/>
        <v>0</v>
      </c>
      <c r="D6611">
        <f t="shared" si="1354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5"/>
        <v>0</v>
      </c>
      <c r="G6611">
        <f t="shared" si="1356"/>
        <v>0</v>
      </c>
      <c r="H6611">
        <f t="shared" si="1357"/>
        <v>0</v>
      </c>
      <c r="I6611">
        <f t="shared" si="1358"/>
        <v>0</v>
      </c>
      <c r="J6611">
        <f t="shared" si="1359"/>
        <v>0</v>
      </c>
      <c r="K6611" s="4" t="e">
        <f t="shared" si="1347"/>
        <v>#N/A</v>
      </c>
      <c r="L6611" t="e">
        <f t="shared" si="1348"/>
        <v>#N/A</v>
      </c>
      <c r="M6611" s="4" t="e">
        <f t="shared" si="1349"/>
        <v>#N/A</v>
      </c>
      <c r="N6611" s="4" t="e">
        <f t="shared" si="1350"/>
        <v>#N/A</v>
      </c>
    </row>
    <row r="6612" spans="1:14">
      <c r="A6612">
        <f t="shared" si="1351"/>
        <v>0</v>
      </c>
      <c r="B6612">
        <f t="shared" si="1352"/>
        <v>0</v>
      </c>
      <c r="C6612">
        <f t="shared" si="1353"/>
        <v>0</v>
      </c>
      <c r="D6612">
        <f t="shared" si="1354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5"/>
        <v>0</v>
      </c>
      <c r="G6612">
        <f t="shared" si="1356"/>
        <v>0</v>
      </c>
      <c r="H6612">
        <f t="shared" si="1357"/>
        <v>0</v>
      </c>
      <c r="I6612">
        <f t="shared" si="1358"/>
        <v>0</v>
      </c>
      <c r="J6612">
        <f t="shared" si="1359"/>
        <v>0</v>
      </c>
      <c r="K6612" s="4" t="e">
        <f t="shared" si="1347"/>
        <v>#N/A</v>
      </c>
      <c r="L6612" t="e">
        <f t="shared" si="1348"/>
        <v>#N/A</v>
      </c>
      <c r="M6612" s="4" t="e">
        <f t="shared" si="1349"/>
        <v>#N/A</v>
      </c>
      <c r="N6612" s="4" t="e">
        <f t="shared" si="1350"/>
        <v>#N/A</v>
      </c>
    </row>
    <row r="6613" spans="1:14">
      <c r="A6613">
        <f t="shared" si="1351"/>
        <v>0</v>
      </c>
      <c r="B6613">
        <f t="shared" si="1352"/>
        <v>0</v>
      </c>
      <c r="C6613">
        <f t="shared" si="1353"/>
        <v>0</v>
      </c>
      <c r="D6613">
        <f t="shared" si="1354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5"/>
        <v>0</v>
      </c>
      <c r="G6613">
        <f t="shared" si="1356"/>
        <v>0</v>
      </c>
      <c r="H6613">
        <f t="shared" si="1357"/>
        <v>0</v>
      </c>
      <c r="I6613">
        <f t="shared" si="1358"/>
        <v>0</v>
      </c>
      <c r="J6613">
        <f t="shared" si="1359"/>
        <v>0</v>
      </c>
      <c r="K6613" s="4" t="e">
        <f t="shared" si="1347"/>
        <v>#N/A</v>
      </c>
      <c r="L6613" t="e">
        <f t="shared" si="1348"/>
        <v>#N/A</v>
      </c>
      <c r="M6613" s="4" t="e">
        <f t="shared" si="1349"/>
        <v>#N/A</v>
      </c>
      <c r="N6613" s="4" t="e">
        <f t="shared" si="1350"/>
        <v>#N/A</v>
      </c>
    </row>
    <row r="6614" spans="1:14">
      <c r="A6614">
        <f t="shared" si="1351"/>
        <v>0</v>
      </c>
      <c r="B6614">
        <f t="shared" si="1352"/>
        <v>0</v>
      </c>
      <c r="C6614">
        <f t="shared" si="1353"/>
        <v>0</v>
      </c>
      <c r="D6614">
        <f t="shared" si="1354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5"/>
        <v>0</v>
      </c>
      <c r="G6614">
        <f t="shared" si="1356"/>
        <v>0</v>
      </c>
      <c r="H6614">
        <f t="shared" si="1357"/>
        <v>0</v>
      </c>
      <c r="I6614">
        <f t="shared" si="1358"/>
        <v>0</v>
      </c>
      <c r="J6614">
        <f t="shared" si="1359"/>
        <v>0</v>
      </c>
      <c r="K6614" s="4" t="e">
        <f t="shared" si="1347"/>
        <v>#N/A</v>
      </c>
      <c r="L6614" t="e">
        <f t="shared" si="1348"/>
        <v>#N/A</v>
      </c>
      <c r="M6614" s="4" t="e">
        <f t="shared" si="1349"/>
        <v>#N/A</v>
      </c>
      <c r="N6614" s="4" t="e">
        <f t="shared" si="1350"/>
        <v>#N/A</v>
      </c>
    </row>
    <row r="6615" spans="1:14">
      <c r="A6615">
        <f t="shared" si="1351"/>
        <v>0</v>
      </c>
      <c r="B6615">
        <f t="shared" si="1352"/>
        <v>0</v>
      </c>
      <c r="C6615">
        <f t="shared" si="1353"/>
        <v>0</v>
      </c>
      <c r="D6615">
        <f t="shared" si="1354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5"/>
        <v>0</v>
      </c>
      <c r="G6615">
        <f t="shared" si="1356"/>
        <v>0</v>
      </c>
      <c r="H6615">
        <f t="shared" si="1357"/>
        <v>0</v>
      </c>
      <c r="I6615">
        <f t="shared" si="1358"/>
        <v>0</v>
      </c>
      <c r="J6615">
        <f t="shared" si="1359"/>
        <v>0</v>
      </c>
      <c r="K6615" s="4" t="e">
        <f t="shared" si="1347"/>
        <v>#N/A</v>
      </c>
      <c r="L6615" t="e">
        <f t="shared" si="1348"/>
        <v>#N/A</v>
      </c>
      <c r="M6615" s="4" t="e">
        <f t="shared" si="1349"/>
        <v>#N/A</v>
      </c>
      <c r="N6615" s="4" t="e">
        <f t="shared" si="1350"/>
        <v>#N/A</v>
      </c>
    </row>
    <row r="6616" spans="1:14">
      <c r="A6616">
        <f t="shared" si="1351"/>
        <v>0</v>
      </c>
      <c r="B6616">
        <f t="shared" si="1352"/>
        <v>0</v>
      </c>
      <c r="C6616">
        <f t="shared" si="1353"/>
        <v>0</v>
      </c>
      <c r="D6616">
        <f t="shared" si="1354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5"/>
        <v>0</v>
      </c>
      <c r="G6616">
        <f t="shared" si="1356"/>
        <v>0</v>
      </c>
      <c r="H6616">
        <f t="shared" si="1357"/>
        <v>0</v>
      </c>
      <c r="I6616">
        <f t="shared" si="1358"/>
        <v>0</v>
      </c>
      <c r="J6616">
        <f t="shared" si="1359"/>
        <v>0</v>
      </c>
      <c r="K6616" s="4" t="e">
        <f t="shared" si="1347"/>
        <v>#N/A</v>
      </c>
      <c r="L6616" t="e">
        <f t="shared" si="1348"/>
        <v>#N/A</v>
      </c>
      <c r="M6616" s="4" t="e">
        <f t="shared" si="1349"/>
        <v>#N/A</v>
      </c>
      <c r="N6616" s="4" t="e">
        <f t="shared" si="1350"/>
        <v>#N/A</v>
      </c>
    </row>
    <row r="6617" spans="1:14">
      <c r="A6617">
        <f t="shared" si="1351"/>
        <v>0</v>
      </c>
      <c r="B6617">
        <f t="shared" si="1352"/>
        <v>0</v>
      </c>
      <c r="C6617">
        <f t="shared" si="1353"/>
        <v>0</v>
      </c>
      <c r="D6617">
        <f t="shared" si="1354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5"/>
        <v>0</v>
      </c>
      <c r="G6617">
        <f t="shared" si="1356"/>
        <v>0</v>
      </c>
      <c r="H6617">
        <f t="shared" si="1357"/>
        <v>0</v>
      </c>
      <c r="I6617">
        <f t="shared" si="1358"/>
        <v>0</v>
      </c>
      <c r="J6617">
        <f t="shared" si="1359"/>
        <v>0</v>
      </c>
      <c r="K6617" s="4" t="e">
        <f t="shared" si="1347"/>
        <v>#N/A</v>
      </c>
      <c r="L6617" t="e">
        <f t="shared" si="1348"/>
        <v>#N/A</v>
      </c>
      <c r="M6617" s="4" t="e">
        <f t="shared" si="1349"/>
        <v>#N/A</v>
      </c>
      <c r="N6617" s="4" t="e">
        <f t="shared" si="1350"/>
        <v>#N/A</v>
      </c>
    </row>
    <row r="6618" spans="1:14">
      <c r="A6618">
        <f t="shared" si="1351"/>
        <v>0</v>
      </c>
      <c r="B6618">
        <f t="shared" si="1352"/>
        <v>0</v>
      </c>
      <c r="C6618">
        <f t="shared" si="1353"/>
        <v>0</v>
      </c>
      <c r="D6618">
        <f t="shared" si="1354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5"/>
        <v>0</v>
      </c>
      <c r="G6618">
        <f t="shared" si="1356"/>
        <v>0</v>
      </c>
      <c r="H6618">
        <f t="shared" si="1357"/>
        <v>0</v>
      </c>
      <c r="I6618">
        <f t="shared" si="1358"/>
        <v>0</v>
      </c>
      <c r="J6618">
        <f t="shared" si="1359"/>
        <v>0</v>
      </c>
      <c r="K6618" s="4" t="e">
        <f t="shared" si="1347"/>
        <v>#N/A</v>
      </c>
      <c r="L6618" t="e">
        <f t="shared" si="1348"/>
        <v>#N/A</v>
      </c>
      <c r="M6618" s="4" t="e">
        <f t="shared" si="1349"/>
        <v>#N/A</v>
      </c>
      <c r="N6618" s="4" t="e">
        <f t="shared" si="1350"/>
        <v>#N/A</v>
      </c>
    </row>
    <row r="6619" spans="1:14">
      <c r="A6619">
        <f t="shared" si="1351"/>
        <v>0</v>
      </c>
      <c r="B6619">
        <f t="shared" si="1352"/>
        <v>0</v>
      </c>
      <c r="C6619">
        <f t="shared" si="1353"/>
        <v>0</v>
      </c>
      <c r="D6619">
        <f t="shared" si="1354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5"/>
        <v>0</v>
      </c>
      <c r="G6619">
        <f t="shared" si="1356"/>
        <v>0</v>
      </c>
      <c r="H6619">
        <f t="shared" si="1357"/>
        <v>0</v>
      </c>
      <c r="I6619">
        <f t="shared" si="1358"/>
        <v>0</v>
      </c>
      <c r="J6619">
        <f t="shared" si="1359"/>
        <v>0</v>
      </c>
      <c r="K6619" s="4" t="e">
        <f t="shared" si="1347"/>
        <v>#N/A</v>
      </c>
      <c r="L6619" t="e">
        <f t="shared" si="1348"/>
        <v>#N/A</v>
      </c>
      <c r="M6619" s="4" t="e">
        <f t="shared" si="1349"/>
        <v>#N/A</v>
      </c>
      <c r="N6619" s="4" t="e">
        <f t="shared" si="1350"/>
        <v>#N/A</v>
      </c>
    </row>
    <row r="6620" spans="1:14">
      <c r="A6620">
        <f t="shared" si="1351"/>
        <v>0</v>
      </c>
      <c r="B6620">
        <f t="shared" si="1352"/>
        <v>0</v>
      </c>
      <c r="C6620">
        <f t="shared" si="1353"/>
        <v>0</v>
      </c>
      <c r="D6620">
        <f t="shared" si="1354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5"/>
        <v>0</v>
      </c>
      <c r="G6620">
        <f t="shared" si="1356"/>
        <v>0</v>
      </c>
      <c r="H6620">
        <f t="shared" si="1357"/>
        <v>0</v>
      </c>
      <c r="I6620">
        <f t="shared" si="1358"/>
        <v>0</v>
      </c>
      <c r="J6620">
        <f t="shared" si="1359"/>
        <v>0</v>
      </c>
      <c r="K6620" s="4" t="e">
        <f t="shared" si="1347"/>
        <v>#N/A</v>
      </c>
      <c r="L6620" t="e">
        <f t="shared" si="1348"/>
        <v>#N/A</v>
      </c>
      <c r="M6620" s="4" t="e">
        <f t="shared" si="1349"/>
        <v>#N/A</v>
      </c>
      <c r="N6620" s="4" t="e">
        <f t="shared" si="1350"/>
        <v>#N/A</v>
      </c>
    </row>
    <row r="6621" spans="1:14">
      <c r="A6621">
        <f t="shared" si="1351"/>
        <v>0</v>
      </c>
      <c r="B6621">
        <f t="shared" si="1352"/>
        <v>0</v>
      </c>
      <c r="C6621">
        <f t="shared" si="1353"/>
        <v>0</v>
      </c>
      <c r="D6621">
        <f t="shared" si="1354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5"/>
        <v>0</v>
      </c>
      <c r="G6621">
        <f t="shared" si="1356"/>
        <v>0</v>
      </c>
      <c r="H6621">
        <f t="shared" si="1357"/>
        <v>0</v>
      </c>
      <c r="I6621">
        <f t="shared" si="1358"/>
        <v>0</v>
      </c>
      <c r="J6621">
        <f t="shared" si="1359"/>
        <v>0</v>
      </c>
      <c r="K6621" s="4" t="e">
        <f t="shared" si="1347"/>
        <v>#N/A</v>
      </c>
      <c r="L6621" t="e">
        <f t="shared" si="1348"/>
        <v>#N/A</v>
      </c>
      <c r="M6621" s="4" t="e">
        <f t="shared" si="1349"/>
        <v>#N/A</v>
      </c>
      <c r="N6621" s="4" t="e">
        <f t="shared" si="1350"/>
        <v>#N/A</v>
      </c>
    </row>
    <row r="6622" spans="1:14">
      <c r="A6622">
        <f t="shared" si="1351"/>
        <v>0</v>
      </c>
      <c r="B6622">
        <f t="shared" si="1352"/>
        <v>0</v>
      </c>
      <c r="C6622">
        <f t="shared" si="1353"/>
        <v>0</v>
      </c>
      <c r="D6622">
        <f t="shared" si="1354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5"/>
        <v>0</v>
      </c>
      <c r="G6622">
        <f t="shared" si="1356"/>
        <v>0</v>
      </c>
      <c r="H6622">
        <f t="shared" si="1357"/>
        <v>0</v>
      </c>
      <c r="I6622">
        <f t="shared" si="1358"/>
        <v>0</v>
      </c>
      <c r="J6622">
        <f t="shared" si="1359"/>
        <v>0</v>
      </c>
      <c r="K6622" s="4" t="e">
        <f t="shared" si="1347"/>
        <v>#N/A</v>
      </c>
      <c r="L6622" t="e">
        <f t="shared" si="1348"/>
        <v>#N/A</v>
      </c>
      <c r="M6622" s="4" t="e">
        <f t="shared" si="1349"/>
        <v>#N/A</v>
      </c>
      <c r="N6622" s="4" t="e">
        <f t="shared" si="1350"/>
        <v>#N/A</v>
      </c>
    </row>
    <row r="6623" spans="1:14">
      <c r="A6623">
        <f t="shared" si="1351"/>
        <v>0</v>
      </c>
      <c r="B6623">
        <f t="shared" si="1352"/>
        <v>0</v>
      </c>
      <c r="C6623">
        <f t="shared" si="1353"/>
        <v>0</v>
      </c>
      <c r="D6623">
        <f t="shared" si="1354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5"/>
        <v>0</v>
      </c>
      <c r="G6623">
        <f t="shared" si="1356"/>
        <v>0</v>
      </c>
      <c r="H6623">
        <f t="shared" si="1357"/>
        <v>0</v>
      </c>
      <c r="I6623">
        <f t="shared" si="1358"/>
        <v>0</v>
      </c>
      <c r="J6623">
        <f t="shared" si="1359"/>
        <v>0</v>
      </c>
      <c r="K6623" s="4" t="e">
        <f t="shared" si="1347"/>
        <v>#N/A</v>
      </c>
      <c r="L6623" t="e">
        <f t="shared" si="1348"/>
        <v>#N/A</v>
      </c>
      <c r="M6623" s="4" t="e">
        <f t="shared" si="1349"/>
        <v>#N/A</v>
      </c>
      <c r="N6623" s="4" t="e">
        <f t="shared" si="1350"/>
        <v>#N/A</v>
      </c>
    </row>
    <row r="6624" spans="1:14">
      <c r="A6624">
        <f t="shared" si="1351"/>
        <v>0</v>
      </c>
      <c r="B6624">
        <f t="shared" si="1352"/>
        <v>0</v>
      </c>
      <c r="C6624">
        <f t="shared" si="1353"/>
        <v>0</v>
      </c>
      <c r="D6624">
        <f t="shared" si="1354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5"/>
        <v>0</v>
      </c>
      <c r="G6624">
        <f t="shared" si="1356"/>
        <v>0</v>
      </c>
      <c r="H6624">
        <f t="shared" si="1357"/>
        <v>0</v>
      </c>
      <c r="I6624">
        <f t="shared" si="1358"/>
        <v>0</v>
      </c>
      <c r="J6624">
        <f t="shared" si="1359"/>
        <v>0</v>
      </c>
      <c r="K6624" s="4" t="e">
        <f t="shared" si="1347"/>
        <v>#N/A</v>
      </c>
      <c r="L6624" t="e">
        <f t="shared" si="1348"/>
        <v>#N/A</v>
      </c>
      <c r="M6624" s="4" t="e">
        <f t="shared" si="1349"/>
        <v>#N/A</v>
      </c>
      <c r="N6624" s="4" t="e">
        <f t="shared" si="1350"/>
        <v>#N/A</v>
      </c>
    </row>
    <row r="6625" spans="1:14">
      <c r="A6625">
        <f t="shared" si="1351"/>
        <v>0</v>
      </c>
      <c r="B6625">
        <f t="shared" si="1352"/>
        <v>0</v>
      </c>
      <c r="C6625">
        <f t="shared" si="1353"/>
        <v>0</v>
      </c>
      <c r="D6625">
        <f t="shared" si="1354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5"/>
        <v>0</v>
      </c>
      <c r="G6625">
        <f t="shared" si="1356"/>
        <v>0</v>
      </c>
      <c r="H6625">
        <f t="shared" si="1357"/>
        <v>0</v>
      </c>
      <c r="I6625">
        <f t="shared" si="1358"/>
        <v>0</v>
      </c>
      <c r="J6625">
        <f t="shared" si="1359"/>
        <v>0</v>
      </c>
      <c r="K6625" s="4" t="e">
        <f t="shared" si="1347"/>
        <v>#N/A</v>
      </c>
      <c r="L6625" t="e">
        <f t="shared" si="1348"/>
        <v>#N/A</v>
      </c>
      <c r="M6625" s="4" t="e">
        <f t="shared" si="1349"/>
        <v>#N/A</v>
      </c>
      <c r="N6625" s="4" t="e">
        <f t="shared" si="1350"/>
        <v>#N/A</v>
      </c>
    </row>
    <row r="6626" spans="1:14">
      <c r="A6626">
        <f t="shared" si="1351"/>
        <v>0</v>
      </c>
      <c r="B6626">
        <f t="shared" si="1352"/>
        <v>0</v>
      </c>
      <c r="C6626">
        <f t="shared" si="1353"/>
        <v>0</v>
      </c>
      <c r="D6626">
        <f t="shared" si="1354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5"/>
        <v>0</v>
      </c>
      <c r="G6626">
        <f t="shared" si="1356"/>
        <v>0</v>
      </c>
      <c r="H6626">
        <f t="shared" si="1357"/>
        <v>0</v>
      </c>
      <c r="I6626">
        <f t="shared" si="1358"/>
        <v>0</v>
      </c>
      <c r="J6626">
        <f t="shared" si="1359"/>
        <v>0</v>
      </c>
      <c r="K6626" s="4" t="e">
        <f t="shared" si="1347"/>
        <v>#N/A</v>
      </c>
      <c r="L6626" t="e">
        <f t="shared" si="1348"/>
        <v>#N/A</v>
      </c>
      <c r="M6626" s="4" t="e">
        <f t="shared" si="1349"/>
        <v>#N/A</v>
      </c>
      <c r="N6626" s="4" t="e">
        <f t="shared" si="1350"/>
        <v>#N/A</v>
      </c>
    </row>
    <row r="6627" spans="1:14">
      <c r="A6627">
        <f t="shared" si="1351"/>
        <v>0</v>
      </c>
      <c r="B6627">
        <f t="shared" si="1352"/>
        <v>0</v>
      </c>
      <c r="C6627">
        <f t="shared" si="1353"/>
        <v>0</v>
      </c>
      <c r="D6627">
        <f t="shared" si="1354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5"/>
        <v>0</v>
      </c>
      <c r="G6627">
        <f t="shared" si="1356"/>
        <v>0</v>
      </c>
      <c r="H6627">
        <f t="shared" si="1357"/>
        <v>0</v>
      </c>
      <c r="I6627">
        <f t="shared" si="1358"/>
        <v>0</v>
      </c>
      <c r="J6627">
        <f t="shared" si="1359"/>
        <v>0</v>
      </c>
      <c r="K6627" s="4" t="e">
        <f t="shared" si="1347"/>
        <v>#N/A</v>
      </c>
      <c r="L6627" t="e">
        <f t="shared" si="1348"/>
        <v>#N/A</v>
      </c>
      <c r="M6627" s="4" t="e">
        <f t="shared" si="1349"/>
        <v>#N/A</v>
      </c>
      <c r="N6627" s="4" t="e">
        <f t="shared" si="1350"/>
        <v>#N/A</v>
      </c>
    </row>
    <row r="6628" spans="1:14">
      <c r="A6628">
        <f t="shared" si="1351"/>
        <v>0</v>
      </c>
      <c r="B6628">
        <f t="shared" si="1352"/>
        <v>0</v>
      </c>
      <c r="C6628">
        <f t="shared" si="1353"/>
        <v>0</v>
      </c>
      <c r="D6628">
        <f t="shared" si="1354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5"/>
        <v>0</v>
      </c>
      <c r="G6628">
        <f t="shared" si="1356"/>
        <v>0</v>
      </c>
      <c r="H6628">
        <f t="shared" si="1357"/>
        <v>0</v>
      </c>
      <c r="I6628">
        <f t="shared" si="1358"/>
        <v>0</v>
      </c>
      <c r="J6628">
        <f t="shared" si="1359"/>
        <v>0</v>
      </c>
      <c r="K6628" s="4" t="e">
        <f t="shared" si="1347"/>
        <v>#N/A</v>
      </c>
      <c r="L6628" t="e">
        <f t="shared" si="1348"/>
        <v>#N/A</v>
      </c>
      <c r="M6628" s="4" t="e">
        <f t="shared" si="1349"/>
        <v>#N/A</v>
      </c>
      <c r="N6628" s="4" t="e">
        <f t="shared" si="1350"/>
        <v>#N/A</v>
      </c>
    </row>
    <row r="6629" spans="1:14">
      <c r="A6629">
        <f t="shared" si="1351"/>
        <v>0</v>
      </c>
      <c r="B6629">
        <f t="shared" si="1352"/>
        <v>0</v>
      </c>
      <c r="C6629">
        <f t="shared" si="1353"/>
        <v>0</v>
      </c>
      <c r="D6629">
        <f t="shared" si="1354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5"/>
        <v>0</v>
      </c>
      <c r="G6629">
        <f t="shared" si="1356"/>
        <v>0</v>
      </c>
      <c r="H6629">
        <f t="shared" si="1357"/>
        <v>0</v>
      </c>
      <c r="I6629">
        <f t="shared" si="1358"/>
        <v>0</v>
      </c>
      <c r="J6629">
        <f t="shared" si="1359"/>
        <v>0</v>
      </c>
      <c r="K6629" s="4" t="e">
        <f t="shared" si="1347"/>
        <v>#N/A</v>
      </c>
      <c r="L6629" t="e">
        <f t="shared" si="1348"/>
        <v>#N/A</v>
      </c>
      <c r="M6629" s="4" t="e">
        <f t="shared" si="1349"/>
        <v>#N/A</v>
      </c>
      <c r="N6629" s="4" t="e">
        <f t="shared" si="1350"/>
        <v>#N/A</v>
      </c>
    </row>
    <row r="6630" spans="1:14">
      <c r="A6630">
        <f t="shared" si="1351"/>
        <v>0</v>
      </c>
      <c r="B6630">
        <f t="shared" si="1352"/>
        <v>0</v>
      </c>
      <c r="C6630">
        <f t="shared" si="1353"/>
        <v>0</v>
      </c>
      <c r="D6630">
        <f t="shared" si="1354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5"/>
        <v>0</v>
      </c>
      <c r="G6630">
        <f t="shared" si="1356"/>
        <v>0</v>
      </c>
      <c r="H6630">
        <f t="shared" si="1357"/>
        <v>0</v>
      </c>
      <c r="I6630">
        <f t="shared" si="1358"/>
        <v>0</v>
      </c>
      <c r="J6630">
        <f t="shared" si="1359"/>
        <v>0</v>
      </c>
      <c r="K6630" s="4" t="e">
        <f t="shared" si="1347"/>
        <v>#N/A</v>
      </c>
      <c r="L6630" t="e">
        <f t="shared" si="1348"/>
        <v>#N/A</v>
      </c>
      <c r="M6630" s="4" t="e">
        <f t="shared" si="1349"/>
        <v>#N/A</v>
      </c>
      <c r="N6630" s="4" t="e">
        <f t="shared" si="1350"/>
        <v>#N/A</v>
      </c>
    </row>
    <row r="6631" spans="1:14">
      <c r="A6631">
        <f t="shared" si="1351"/>
        <v>0</v>
      </c>
      <c r="B6631">
        <f t="shared" si="1352"/>
        <v>0</v>
      </c>
      <c r="C6631">
        <f t="shared" si="1353"/>
        <v>0</v>
      </c>
      <c r="D6631">
        <f t="shared" si="1354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5"/>
        <v>0</v>
      </c>
      <c r="G6631">
        <f t="shared" si="1356"/>
        <v>0</v>
      </c>
      <c r="H6631">
        <f t="shared" si="1357"/>
        <v>0</v>
      </c>
      <c r="I6631">
        <f t="shared" si="1358"/>
        <v>0</v>
      </c>
      <c r="J6631">
        <f t="shared" si="1359"/>
        <v>0</v>
      </c>
      <c r="K6631" s="4" t="e">
        <f t="shared" si="1347"/>
        <v>#N/A</v>
      </c>
      <c r="L6631" t="e">
        <f t="shared" si="1348"/>
        <v>#N/A</v>
      </c>
      <c r="M6631" s="4" t="e">
        <f t="shared" si="1349"/>
        <v>#N/A</v>
      </c>
      <c r="N6631" s="4" t="e">
        <f t="shared" si="1350"/>
        <v>#N/A</v>
      </c>
    </row>
    <row r="6632" spans="1:14">
      <c r="A6632">
        <f t="shared" si="1351"/>
        <v>0</v>
      </c>
      <c r="B6632">
        <f t="shared" si="1352"/>
        <v>0</v>
      </c>
      <c r="C6632">
        <f t="shared" si="1353"/>
        <v>0</v>
      </c>
      <c r="D6632">
        <f t="shared" si="1354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5"/>
        <v>0</v>
      </c>
      <c r="G6632">
        <f t="shared" si="1356"/>
        <v>0</v>
      </c>
      <c r="H6632">
        <f t="shared" si="1357"/>
        <v>0</v>
      </c>
      <c r="I6632">
        <f t="shared" si="1358"/>
        <v>0</v>
      </c>
      <c r="J6632">
        <f t="shared" si="1359"/>
        <v>0</v>
      </c>
      <c r="K6632" s="4" t="e">
        <f t="shared" si="1347"/>
        <v>#N/A</v>
      </c>
      <c r="L6632" t="e">
        <f t="shared" si="1348"/>
        <v>#N/A</v>
      </c>
      <c r="M6632" s="4" t="e">
        <f t="shared" si="1349"/>
        <v>#N/A</v>
      </c>
      <c r="N6632" s="4" t="e">
        <f t="shared" si="1350"/>
        <v>#N/A</v>
      </c>
    </row>
    <row r="6633" spans="1:14">
      <c r="A6633">
        <f t="shared" si="1351"/>
        <v>0</v>
      </c>
      <c r="B6633">
        <f t="shared" si="1352"/>
        <v>0</v>
      </c>
      <c r="C6633">
        <f t="shared" si="1353"/>
        <v>0</v>
      </c>
      <c r="D6633">
        <f t="shared" si="1354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5"/>
        <v>0</v>
      </c>
      <c r="G6633">
        <f t="shared" si="1356"/>
        <v>0</v>
      </c>
      <c r="H6633">
        <f t="shared" si="1357"/>
        <v>0</v>
      </c>
      <c r="I6633">
        <f t="shared" si="1358"/>
        <v>0</v>
      </c>
      <c r="J6633">
        <f t="shared" si="1359"/>
        <v>0</v>
      </c>
      <c r="K6633" s="4" t="e">
        <f t="shared" si="1347"/>
        <v>#N/A</v>
      </c>
      <c r="L6633" t="e">
        <f t="shared" si="1348"/>
        <v>#N/A</v>
      </c>
      <c r="M6633" s="4" t="e">
        <f t="shared" si="1349"/>
        <v>#N/A</v>
      </c>
      <c r="N6633" s="4" t="e">
        <f t="shared" si="1350"/>
        <v>#N/A</v>
      </c>
    </row>
    <row r="6634" spans="1:14">
      <c r="A6634">
        <f t="shared" si="1351"/>
        <v>0</v>
      </c>
      <c r="B6634">
        <f t="shared" si="1352"/>
        <v>0</v>
      </c>
      <c r="C6634">
        <f t="shared" si="1353"/>
        <v>0</v>
      </c>
      <c r="D6634">
        <f t="shared" si="1354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5"/>
        <v>0</v>
      </c>
      <c r="G6634">
        <f t="shared" si="1356"/>
        <v>0</v>
      </c>
      <c r="H6634">
        <f t="shared" si="1357"/>
        <v>0</v>
      </c>
      <c r="I6634">
        <f t="shared" si="1358"/>
        <v>0</v>
      </c>
      <c r="J6634">
        <f t="shared" si="1359"/>
        <v>0</v>
      </c>
      <c r="K6634" s="4" t="e">
        <f t="shared" si="1347"/>
        <v>#N/A</v>
      </c>
      <c r="L6634" t="e">
        <f t="shared" si="1348"/>
        <v>#N/A</v>
      </c>
      <c r="M6634" s="4" t="e">
        <f t="shared" si="1349"/>
        <v>#N/A</v>
      </c>
      <c r="N6634" s="4" t="e">
        <f t="shared" si="1350"/>
        <v>#N/A</v>
      </c>
    </row>
    <row r="6635" spans="1:14">
      <c r="A6635">
        <f t="shared" si="1351"/>
        <v>0</v>
      </c>
      <c r="B6635">
        <f t="shared" si="1352"/>
        <v>0</v>
      </c>
      <c r="C6635">
        <f t="shared" si="1353"/>
        <v>0</v>
      </c>
      <c r="D6635">
        <f t="shared" si="1354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5"/>
        <v>0</v>
      </c>
      <c r="G6635">
        <f t="shared" si="1356"/>
        <v>0</v>
      </c>
      <c r="H6635">
        <f t="shared" si="1357"/>
        <v>0</v>
      </c>
      <c r="I6635">
        <f t="shared" si="1358"/>
        <v>0</v>
      </c>
      <c r="J6635">
        <f t="shared" si="1359"/>
        <v>0</v>
      </c>
      <c r="K6635" s="4" t="e">
        <f t="shared" si="1347"/>
        <v>#N/A</v>
      </c>
      <c r="L6635" t="e">
        <f t="shared" si="1348"/>
        <v>#N/A</v>
      </c>
      <c r="M6635" s="4" t="e">
        <f t="shared" si="1349"/>
        <v>#N/A</v>
      </c>
      <c r="N6635" s="4" t="e">
        <f t="shared" si="1350"/>
        <v>#N/A</v>
      </c>
    </row>
    <row r="6636" spans="1:14">
      <c r="A6636">
        <f t="shared" si="1351"/>
        <v>0</v>
      </c>
      <c r="B6636">
        <f t="shared" si="1352"/>
        <v>0</v>
      </c>
      <c r="C6636">
        <f t="shared" si="1353"/>
        <v>0</v>
      </c>
      <c r="D6636">
        <f t="shared" si="1354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5"/>
        <v>0</v>
      </c>
      <c r="G6636">
        <f t="shared" si="1356"/>
        <v>0</v>
      </c>
      <c r="H6636">
        <f t="shared" si="1357"/>
        <v>0</v>
      </c>
      <c r="I6636">
        <f t="shared" si="1358"/>
        <v>0</v>
      </c>
      <c r="J6636">
        <f t="shared" si="1359"/>
        <v>0</v>
      </c>
      <c r="K6636" s="4" t="e">
        <f t="shared" si="1347"/>
        <v>#N/A</v>
      </c>
      <c r="L6636" t="e">
        <f t="shared" si="1348"/>
        <v>#N/A</v>
      </c>
      <c r="M6636" s="4" t="e">
        <f t="shared" si="1349"/>
        <v>#N/A</v>
      </c>
      <c r="N6636" s="4" t="e">
        <f t="shared" si="1350"/>
        <v>#N/A</v>
      </c>
    </row>
    <row r="6637" spans="1:14">
      <c r="A6637">
        <f t="shared" si="1351"/>
        <v>0</v>
      </c>
      <c r="B6637">
        <f t="shared" si="1352"/>
        <v>0</v>
      </c>
      <c r="C6637">
        <f t="shared" si="1353"/>
        <v>0</v>
      </c>
      <c r="D6637">
        <f t="shared" si="1354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5"/>
        <v>0</v>
      </c>
      <c r="G6637">
        <f t="shared" si="1356"/>
        <v>0</v>
      </c>
      <c r="H6637">
        <f t="shared" si="1357"/>
        <v>0</v>
      </c>
      <c r="I6637">
        <f t="shared" si="1358"/>
        <v>0</v>
      </c>
      <c r="J6637">
        <f t="shared" si="1359"/>
        <v>0</v>
      </c>
      <c r="K6637" s="4" t="e">
        <f t="shared" si="1347"/>
        <v>#N/A</v>
      </c>
      <c r="L6637" t="e">
        <f t="shared" si="1348"/>
        <v>#N/A</v>
      </c>
      <c r="M6637" s="4" t="e">
        <f t="shared" si="1349"/>
        <v>#N/A</v>
      </c>
      <c r="N6637" s="4" t="e">
        <f t="shared" si="1350"/>
        <v>#N/A</v>
      </c>
    </row>
    <row r="6638" spans="1:14">
      <c r="A6638">
        <f t="shared" si="1351"/>
        <v>0</v>
      </c>
      <c r="B6638">
        <f t="shared" si="1352"/>
        <v>0</v>
      </c>
      <c r="C6638">
        <f t="shared" si="1353"/>
        <v>0</v>
      </c>
      <c r="D6638">
        <f t="shared" si="1354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5"/>
        <v>0</v>
      </c>
      <c r="G6638">
        <f t="shared" si="1356"/>
        <v>0</v>
      </c>
      <c r="H6638">
        <f t="shared" si="1357"/>
        <v>0</v>
      </c>
      <c r="I6638">
        <f t="shared" si="1358"/>
        <v>0</v>
      </c>
      <c r="J6638">
        <f t="shared" si="1359"/>
        <v>0</v>
      </c>
      <c r="K6638" s="4" t="e">
        <f t="shared" si="1347"/>
        <v>#N/A</v>
      </c>
      <c r="L6638" t="e">
        <f t="shared" si="1348"/>
        <v>#N/A</v>
      </c>
      <c r="M6638" s="4" t="e">
        <f t="shared" si="1349"/>
        <v>#N/A</v>
      </c>
      <c r="N6638" s="4" t="e">
        <f t="shared" si="1350"/>
        <v>#N/A</v>
      </c>
    </row>
    <row r="6639" spans="1:14">
      <c r="A6639">
        <f t="shared" si="1351"/>
        <v>0</v>
      </c>
      <c r="B6639">
        <f t="shared" si="1352"/>
        <v>0</v>
      </c>
      <c r="C6639">
        <f t="shared" si="1353"/>
        <v>0</v>
      </c>
      <c r="D6639">
        <f t="shared" si="1354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5"/>
        <v>0</v>
      </c>
      <c r="G6639">
        <f t="shared" si="1356"/>
        <v>0</v>
      </c>
      <c r="H6639">
        <f t="shared" si="1357"/>
        <v>0</v>
      </c>
      <c r="I6639">
        <f t="shared" si="1358"/>
        <v>0</v>
      </c>
      <c r="J6639">
        <f t="shared" si="1359"/>
        <v>0</v>
      </c>
      <c r="K6639" s="4" t="e">
        <f t="shared" si="1347"/>
        <v>#N/A</v>
      </c>
      <c r="L6639" t="e">
        <f t="shared" si="1348"/>
        <v>#N/A</v>
      </c>
      <c r="M6639" s="4" t="e">
        <f t="shared" si="1349"/>
        <v>#N/A</v>
      </c>
      <c r="N6639" s="4" t="e">
        <f t="shared" si="1350"/>
        <v>#N/A</v>
      </c>
    </row>
    <row r="6640" spans="1:14">
      <c r="A6640">
        <f t="shared" si="1351"/>
        <v>0</v>
      </c>
      <c r="B6640">
        <f t="shared" si="1352"/>
        <v>0</v>
      </c>
      <c r="C6640">
        <f t="shared" si="1353"/>
        <v>0</v>
      </c>
      <c r="D6640">
        <f t="shared" si="1354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5"/>
        <v>0</v>
      </c>
      <c r="G6640">
        <f t="shared" si="1356"/>
        <v>0</v>
      </c>
      <c r="H6640">
        <f t="shared" si="1357"/>
        <v>0</v>
      </c>
      <c r="I6640">
        <f t="shared" si="1358"/>
        <v>0</v>
      </c>
      <c r="J6640">
        <f t="shared" si="1359"/>
        <v>0</v>
      </c>
      <c r="K6640" s="4" t="e">
        <f t="shared" si="1347"/>
        <v>#N/A</v>
      </c>
      <c r="L6640" t="e">
        <f t="shared" si="1348"/>
        <v>#N/A</v>
      </c>
      <c r="M6640" s="4" t="e">
        <f t="shared" si="1349"/>
        <v>#N/A</v>
      </c>
      <c r="N6640" s="4" t="e">
        <f t="shared" si="1350"/>
        <v>#N/A</v>
      </c>
    </row>
    <row r="6641" spans="1:14">
      <c r="A6641">
        <f t="shared" si="1351"/>
        <v>0</v>
      </c>
      <c r="B6641">
        <f t="shared" si="1352"/>
        <v>0</v>
      </c>
      <c r="C6641">
        <f t="shared" si="1353"/>
        <v>0</v>
      </c>
      <c r="D6641">
        <f t="shared" si="1354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5"/>
        <v>0</v>
      </c>
      <c r="G6641">
        <f t="shared" si="1356"/>
        <v>0</v>
      </c>
      <c r="H6641">
        <f t="shared" si="1357"/>
        <v>0</v>
      </c>
      <c r="I6641">
        <f t="shared" si="1358"/>
        <v>0</v>
      </c>
      <c r="J6641">
        <f t="shared" si="1359"/>
        <v>0</v>
      </c>
      <c r="K6641" s="4" t="e">
        <f t="shared" si="1347"/>
        <v>#N/A</v>
      </c>
      <c r="L6641" t="e">
        <f t="shared" si="1348"/>
        <v>#N/A</v>
      </c>
      <c r="M6641" s="4" t="e">
        <f t="shared" si="1349"/>
        <v>#N/A</v>
      </c>
      <c r="N6641" s="4" t="e">
        <f t="shared" si="1350"/>
        <v>#N/A</v>
      </c>
    </row>
    <row r="6642" spans="1:14">
      <c r="A6642">
        <f t="shared" si="1351"/>
        <v>0</v>
      </c>
      <c r="B6642">
        <f t="shared" si="1352"/>
        <v>0</v>
      </c>
      <c r="C6642">
        <f t="shared" si="1353"/>
        <v>0</v>
      </c>
      <c r="D6642">
        <f t="shared" si="1354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5"/>
        <v>0</v>
      </c>
      <c r="G6642">
        <f t="shared" si="1356"/>
        <v>0</v>
      </c>
      <c r="H6642">
        <f t="shared" si="1357"/>
        <v>0</v>
      </c>
      <c r="I6642">
        <f t="shared" si="1358"/>
        <v>0</v>
      </c>
      <c r="J6642">
        <f t="shared" si="1359"/>
        <v>0</v>
      </c>
      <c r="K6642" s="4" t="e">
        <f t="shared" si="1347"/>
        <v>#N/A</v>
      </c>
      <c r="L6642" t="e">
        <f t="shared" si="1348"/>
        <v>#N/A</v>
      </c>
      <c r="M6642" s="4" t="e">
        <f t="shared" si="1349"/>
        <v>#N/A</v>
      </c>
      <c r="N6642" s="4" t="e">
        <f t="shared" si="1350"/>
        <v>#N/A</v>
      </c>
    </row>
    <row r="6643" spans="1:14">
      <c r="A6643">
        <f t="shared" si="1351"/>
        <v>0</v>
      </c>
      <c r="B6643">
        <f t="shared" si="1352"/>
        <v>0</v>
      </c>
      <c r="C6643">
        <f t="shared" si="1353"/>
        <v>0</v>
      </c>
      <c r="D6643">
        <f t="shared" si="1354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5"/>
        <v>0</v>
      </c>
      <c r="G6643">
        <f t="shared" si="1356"/>
        <v>0</v>
      </c>
      <c r="H6643">
        <f t="shared" si="1357"/>
        <v>0</v>
      </c>
      <c r="I6643">
        <f t="shared" si="1358"/>
        <v>0</v>
      </c>
      <c r="J6643">
        <f t="shared" si="1359"/>
        <v>0</v>
      </c>
      <c r="K6643" s="4" t="e">
        <f t="shared" si="1347"/>
        <v>#N/A</v>
      </c>
      <c r="L6643" t="e">
        <f t="shared" si="1348"/>
        <v>#N/A</v>
      </c>
      <c r="M6643" s="4" t="e">
        <f t="shared" si="1349"/>
        <v>#N/A</v>
      </c>
      <c r="N6643" s="4" t="e">
        <f t="shared" si="1350"/>
        <v>#N/A</v>
      </c>
    </row>
    <row r="6644" spans="1:14">
      <c r="A6644">
        <f t="shared" si="1351"/>
        <v>0</v>
      </c>
      <c r="B6644">
        <f t="shared" si="1352"/>
        <v>0</v>
      </c>
      <c r="C6644">
        <f t="shared" si="1353"/>
        <v>0</v>
      </c>
      <c r="D6644">
        <f t="shared" si="1354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5"/>
        <v>0</v>
      </c>
      <c r="G6644">
        <f t="shared" si="1356"/>
        <v>0</v>
      </c>
      <c r="H6644">
        <f t="shared" si="1357"/>
        <v>0</v>
      </c>
      <c r="I6644">
        <f t="shared" si="1358"/>
        <v>0</v>
      </c>
      <c r="J6644">
        <f t="shared" si="1359"/>
        <v>0</v>
      </c>
      <c r="K6644" s="4" t="e">
        <f t="shared" si="1347"/>
        <v>#N/A</v>
      </c>
      <c r="L6644" t="e">
        <f t="shared" si="1348"/>
        <v>#N/A</v>
      </c>
      <c r="M6644" s="4" t="e">
        <f t="shared" si="1349"/>
        <v>#N/A</v>
      </c>
      <c r="N6644" s="4" t="e">
        <f t="shared" si="1350"/>
        <v>#N/A</v>
      </c>
    </row>
    <row r="6645" spans="1:14">
      <c r="A6645">
        <f t="shared" si="1351"/>
        <v>0</v>
      </c>
      <c r="B6645">
        <f t="shared" si="1352"/>
        <v>0</v>
      </c>
      <c r="C6645">
        <f t="shared" si="1353"/>
        <v>0</v>
      </c>
      <c r="D6645">
        <f t="shared" si="1354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5"/>
        <v>0</v>
      </c>
      <c r="G6645">
        <f t="shared" si="1356"/>
        <v>0</v>
      </c>
      <c r="H6645">
        <f t="shared" si="1357"/>
        <v>0</v>
      </c>
      <c r="I6645">
        <f t="shared" si="1358"/>
        <v>0</v>
      </c>
      <c r="J6645">
        <f t="shared" si="1359"/>
        <v>0</v>
      </c>
      <c r="K6645" s="4" t="e">
        <f t="shared" si="1347"/>
        <v>#N/A</v>
      </c>
      <c r="L6645" t="e">
        <f t="shared" si="1348"/>
        <v>#N/A</v>
      </c>
      <c r="M6645" s="4" t="e">
        <f t="shared" si="1349"/>
        <v>#N/A</v>
      </c>
      <c r="N6645" s="4" t="e">
        <f t="shared" si="1350"/>
        <v>#N/A</v>
      </c>
    </row>
    <row r="6646" spans="1:14">
      <c r="A6646">
        <f t="shared" si="1351"/>
        <v>0</v>
      </c>
      <c r="B6646">
        <f t="shared" si="1352"/>
        <v>0</v>
      </c>
      <c r="C6646">
        <f t="shared" si="1353"/>
        <v>0</v>
      </c>
      <c r="D6646">
        <f t="shared" si="1354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5"/>
        <v>0</v>
      </c>
      <c r="G6646">
        <f t="shared" si="1356"/>
        <v>0</v>
      </c>
      <c r="H6646">
        <f t="shared" si="1357"/>
        <v>0</v>
      </c>
      <c r="I6646">
        <f t="shared" si="1358"/>
        <v>0</v>
      </c>
      <c r="J6646">
        <f t="shared" si="1359"/>
        <v>0</v>
      </c>
      <c r="K6646" s="4" t="e">
        <f t="shared" si="1347"/>
        <v>#N/A</v>
      </c>
      <c r="L6646" t="e">
        <f t="shared" si="1348"/>
        <v>#N/A</v>
      </c>
      <c r="M6646" s="4" t="e">
        <f t="shared" si="1349"/>
        <v>#N/A</v>
      </c>
      <c r="N6646" s="4" t="e">
        <f t="shared" si="1350"/>
        <v>#N/A</v>
      </c>
    </row>
    <row r="6647" spans="1:14">
      <c r="A6647">
        <f t="shared" si="1351"/>
        <v>0</v>
      </c>
      <c r="B6647">
        <f t="shared" si="1352"/>
        <v>0</v>
      </c>
      <c r="C6647">
        <f t="shared" si="1353"/>
        <v>0</v>
      </c>
      <c r="D6647">
        <f t="shared" si="1354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5"/>
        <v>0</v>
      </c>
      <c r="G6647">
        <f t="shared" si="1356"/>
        <v>0</v>
      </c>
      <c r="H6647">
        <f t="shared" si="1357"/>
        <v>0</v>
      </c>
      <c r="I6647">
        <f t="shared" si="1358"/>
        <v>0</v>
      </c>
      <c r="J6647">
        <f t="shared" si="1359"/>
        <v>0</v>
      </c>
      <c r="K6647" s="4" t="e">
        <f t="shared" si="1347"/>
        <v>#N/A</v>
      </c>
      <c r="L6647" t="e">
        <f t="shared" si="1348"/>
        <v>#N/A</v>
      </c>
      <c r="M6647" s="4" t="e">
        <f t="shared" si="1349"/>
        <v>#N/A</v>
      </c>
      <c r="N6647" s="4" t="e">
        <f t="shared" si="1350"/>
        <v>#N/A</v>
      </c>
    </row>
    <row r="6648" spans="1:14">
      <c r="A6648">
        <f t="shared" si="1351"/>
        <v>0</v>
      </c>
      <c r="B6648">
        <f t="shared" si="1352"/>
        <v>0</v>
      </c>
      <c r="C6648">
        <f t="shared" si="1353"/>
        <v>0</v>
      </c>
      <c r="D6648">
        <f t="shared" si="1354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5"/>
        <v>0</v>
      </c>
      <c r="G6648">
        <f t="shared" si="1356"/>
        <v>0</v>
      </c>
      <c r="H6648">
        <f t="shared" si="1357"/>
        <v>0</v>
      </c>
      <c r="I6648">
        <f t="shared" si="1358"/>
        <v>0</v>
      </c>
      <c r="J6648">
        <f t="shared" si="1359"/>
        <v>0</v>
      </c>
      <c r="K6648" s="4" t="e">
        <f t="shared" si="1347"/>
        <v>#N/A</v>
      </c>
      <c r="L6648" t="e">
        <f t="shared" si="1348"/>
        <v>#N/A</v>
      </c>
      <c r="M6648" s="4" t="e">
        <f t="shared" si="1349"/>
        <v>#N/A</v>
      </c>
      <c r="N6648" s="4" t="e">
        <f t="shared" si="1350"/>
        <v>#N/A</v>
      </c>
    </row>
    <row r="6649" spans="1:14">
      <c r="A6649">
        <f t="shared" si="1351"/>
        <v>0</v>
      </c>
      <c r="B6649">
        <f t="shared" si="1352"/>
        <v>0</v>
      </c>
      <c r="C6649">
        <f t="shared" si="1353"/>
        <v>0</v>
      </c>
      <c r="D6649">
        <f t="shared" si="1354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5"/>
        <v>0</v>
      </c>
      <c r="G6649">
        <f t="shared" si="1356"/>
        <v>0</v>
      </c>
      <c r="H6649">
        <f t="shared" si="1357"/>
        <v>0</v>
      </c>
      <c r="I6649">
        <f t="shared" si="1358"/>
        <v>0</v>
      </c>
      <c r="J6649">
        <f t="shared" si="1359"/>
        <v>0</v>
      </c>
      <c r="K6649" s="4" t="e">
        <f t="shared" si="1347"/>
        <v>#N/A</v>
      </c>
      <c r="L6649" t="e">
        <f t="shared" si="1348"/>
        <v>#N/A</v>
      </c>
      <c r="M6649" s="4" t="e">
        <f t="shared" si="1349"/>
        <v>#N/A</v>
      </c>
      <c r="N6649" s="4" t="e">
        <f t="shared" si="1350"/>
        <v>#N/A</v>
      </c>
    </row>
    <row r="6650" spans="1:14">
      <c r="A6650">
        <f t="shared" si="1351"/>
        <v>0</v>
      </c>
      <c r="B6650">
        <f t="shared" si="1352"/>
        <v>0</v>
      </c>
      <c r="C6650">
        <f t="shared" si="1353"/>
        <v>0</v>
      </c>
      <c r="D6650">
        <f t="shared" si="1354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5"/>
        <v>0</v>
      </c>
      <c r="G6650">
        <f t="shared" si="1356"/>
        <v>0</v>
      </c>
      <c r="H6650">
        <f t="shared" si="1357"/>
        <v>0</v>
      </c>
      <c r="I6650">
        <f t="shared" si="1358"/>
        <v>0</v>
      </c>
      <c r="J6650">
        <f t="shared" si="1359"/>
        <v>0</v>
      </c>
      <c r="K6650" s="4" t="e">
        <f t="shared" si="1347"/>
        <v>#N/A</v>
      </c>
      <c r="L6650" t="e">
        <f t="shared" si="1348"/>
        <v>#N/A</v>
      </c>
      <c r="M6650" s="4" t="e">
        <f t="shared" si="1349"/>
        <v>#N/A</v>
      </c>
      <c r="N6650" s="4" t="e">
        <f t="shared" si="1350"/>
        <v>#N/A</v>
      </c>
    </row>
    <row r="6651" spans="1:14">
      <c r="A6651">
        <f t="shared" si="1351"/>
        <v>0</v>
      </c>
      <c r="B6651">
        <f t="shared" si="1352"/>
        <v>0</v>
      </c>
      <c r="C6651">
        <f t="shared" si="1353"/>
        <v>0</v>
      </c>
      <c r="D6651">
        <f t="shared" si="1354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5"/>
        <v>0</v>
      </c>
      <c r="G6651">
        <f t="shared" si="1356"/>
        <v>0</v>
      </c>
      <c r="H6651">
        <f t="shared" si="1357"/>
        <v>0</v>
      </c>
      <c r="I6651">
        <f t="shared" si="1358"/>
        <v>0</v>
      </c>
      <c r="J6651">
        <f t="shared" si="1359"/>
        <v>0</v>
      </c>
      <c r="K6651" s="4" t="e">
        <f t="shared" si="1347"/>
        <v>#N/A</v>
      </c>
      <c r="L6651" t="e">
        <f t="shared" si="1348"/>
        <v>#N/A</v>
      </c>
      <c r="M6651" s="4" t="e">
        <f t="shared" si="1349"/>
        <v>#N/A</v>
      </c>
      <c r="N6651" s="4" t="e">
        <f t="shared" si="1350"/>
        <v>#N/A</v>
      </c>
    </row>
    <row r="6652" spans="1:14">
      <c r="A6652">
        <f t="shared" si="1351"/>
        <v>0</v>
      </c>
      <c r="B6652">
        <f t="shared" si="1352"/>
        <v>0</v>
      </c>
      <c r="C6652">
        <f t="shared" si="1353"/>
        <v>0</v>
      </c>
      <c r="D6652">
        <f t="shared" si="1354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5"/>
        <v>0</v>
      </c>
      <c r="G6652">
        <f t="shared" si="1356"/>
        <v>0</v>
      </c>
      <c r="H6652">
        <f t="shared" si="1357"/>
        <v>0</v>
      </c>
      <c r="I6652">
        <f t="shared" si="1358"/>
        <v>0</v>
      </c>
      <c r="J6652">
        <f t="shared" si="1359"/>
        <v>0</v>
      </c>
      <c r="K6652" s="4" t="e">
        <f t="shared" si="1347"/>
        <v>#N/A</v>
      </c>
      <c r="L6652" t="e">
        <f t="shared" si="1348"/>
        <v>#N/A</v>
      </c>
      <c r="M6652" s="4" t="e">
        <f t="shared" si="1349"/>
        <v>#N/A</v>
      </c>
      <c r="N6652" s="4" t="e">
        <f t="shared" si="1350"/>
        <v>#N/A</v>
      </c>
    </row>
    <row r="6653" spans="1:14">
      <c r="A6653">
        <f t="shared" si="1351"/>
        <v>0</v>
      </c>
      <c r="B6653">
        <f t="shared" si="1352"/>
        <v>0</v>
      </c>
      <c r="C6653">
        <f t="shared" si="1353"/>
        <v>0</v>
      </c>
      <c r="D6653">
        <f t="shared" si="1354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5"/>
        <v>0</v>
      </c>
      <c r="G6653">
        <f t="shared" si="1356"/>
        <v>0</v>
      </c>
      <c r="H6653">
        <f t="shared" si="1357"/>
        <v>0</v>
      </c>
      <c r="I6653">
        <f t="shared" si="1358"/>
        <v>0</v>
      </c>
      <c r="J6653">
        <f t="shared" si="1359"/>
        <v>0</v>
      </c>
      <c r="K6653" s="4" t="e">
        <f t="shared" ref="K6653:K6716" si="1360">IF(LEFT(B6653,3)="DBM",0,VLOOKUP(E6653,tabela,2,FALSE))</f>
        <v>#N/A</v>
      </c>
      <c r="L6653" t="e">
        <f t="shared" ref="L6653:L6716" si="1361">VLOOKUP(E6653,tabela,3,FALSE)</f>
        <v>#N/A</v>
      </c>
      <c r="M6653" s="4" t="e">
        <f t="shared" ref="M6653:M6716" si="1362">IF(E6653="Dynamic Click",J6653*K6653,K6653*$I6653/1000)</f>
        <v>#N/A</v>
      </c>
      <c r="N6653" s="4" t="e">
        <f t="shared" ref="N6653:N6716" si="1363">IF(E6653="Dynamic Click",J6653*L6653,L6653*$I6653/1000)</f>
        <v>#N/A</v>
      </c>
    </row>
    <row r="6654" spans="1:14">
      <c r="A6654">
        <f t="shared" si="1351"/>
        <v>0</v>
      </c>
      <c r="B6654">
        <f t="shared" si="1352"/>
        <v>0</v>
      </c>
      <c r="C6654">
        <f t="shared" si="1353"/>
        <v>0</v>
      </c>
      <c r="D6654">
        <f t="shared" si="1354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5"/>
        <v>0</v>
      </c>
      <c r="G6654">
        <f t="shared" si="1356"/>
        <v>0</v>
      </c>
      <c r="H6654">
        <f t="shared" si="1357"/>
        <v>0</v>
      </c>
      <c r="I6654">
        <f t="shared" si="1358"/>
        <v>0</v>
      </c>
      <c r="J6654">
        <f t="shared" si="1359"/>
        <v>0</v>
      </c>
      <c r="K6654" s="4" t="e">
        <f t="shared" si="1360"/>
        <v>#N/A</v>
      </c>
      <c r="L6654" t="e">
        <f t="shared" si="1361"/>
        <v>#N/A</v>
      </c>
      <c r="M6654" s="4" t="e">
        <f t="shared" si="1362"/>
        <v>#N/A</v>
      </c>
      <c r="N6654" s="4" t="e">
        <f t="shared" si="1363"/>
        <v>#N/A</v>
      </c>
    </row>
    <row r="6655" spans="1:14">
      <c r="A6655">
        <f t="shared" si="1351"/>
        <v>0</v>
      </c>
      <c r="B6655">
        <f t="shared" si="1352"/>
        <v>0</v>
      </c>
      <c r="C6655">
        <f t="shared" si="1353"/>
        <v>0</v>
      </c>
      <c r="D6655">
        <f t="shared" si="1354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5"/>
        <v>0</v>
      </c>
      <c r="G6655">
        <f t="shared" si="1356"/>
        <v>0</v>
      </c>
      <c r="H6655">
        <f t="shared" si="1357"/>
        <v>0</v>
      </c>
      <c r="I6655">
        <f t="shared" si="1358"/>
        <v>0</v>
      </c>
      <c r="J6655">
        <f t="shared" si="1359"/>
        <v>0</v>
      </c>
      <c r="K6655" s="4" t="e">
        <f t="shared" si="1360"/>
        <v>#N/A</v>
      </c>
      <c r="L6655" t="e">
        <f t="shared" si="1361"/>
        <v>#N/A</v>
      </c>
      <c r="M6655" s="4" t="e">
        <f t="shared" si="1362"/>
        <v>#N/A</v>
      </c>
      <c r="N6655" s="4" t="e">
        <f t="shared" si="1363"/>
        <v>#N/A</v>
      </c>
    </row>
    <row r="6656" spans="1:14">
      <c r="A6656">
        <f t="shared" si="1351"/>
        <v>0</v>
      </c>
      <c r="B6656">
        <f t="shared" si="1352"/>
        <v>0</v>
      </c>
      <c r="C6656">
        <f t="shared" si="1353"/>
        <v>0</v>
      </c>
      <c r="D6656">
        <f t="shared" si="1354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5"/>
        <v>0</v>
      </c>
      <c r="G6656">
        <f t="shared" si="1356"/>
        <v>0</v>
      </c>
      <c r="H6656">
        <f t="shared" si="1357"/>
        <v>0</v>
      </c>
      <c r="I6656">
        <f t="shared" si="1358"/>
        <v>0</v>
      </c>
      <c r="J6656">
        <f t="shared" si="1359"/>
        <v>0</v>
      </c>
      <c r="K6656" s="4" t="e">
        <f t="shared" si="1360"/>
        <v>#N/A</v>
      </c>
      <c r="L6656" t="e">
        <f t="shared" si="1361"/>
        <v>#N/A</v>
      </c>
      <c r="M6656" s="4" t="e">
        <f t="shared" si="1362"/>
        <v>#N/A</v>
      </c>
      <c r="N6656" s="4" t="e">
        <f t="shared" si="1363"/>
        <v>#N/A</v>
      </c>
    </row>
    <row r="6657" spans="1:14">
      <c r="A6657">
        <f t="shared" si="1351"/>
        <v>0</v>
      </c>
      <c r="B6657">
        <f t="shared" si="1352"/>
        <v>0</v>
      </c>
      <c r="C6657">
        <f t="shared" si="1353"/>
        <v>0</v>
      </c>
      <c r="D6657">
        <f t="shared" si="1354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5"/>
        <v>0</v>
      </c>
      <c r="G6657">
        <f t="shared" si="1356"/>
        <v>0</v>
      </c>
      <c r="H6657">
        <f t="shared" si="1357"/>
        <v>0</v>
      </c>
      <c r="I6657">
        <f t="shared" si="1358"/>
        <v>0</v>
      </c>
      <c r="J6657">
        <f t="shared" si="1359"/>
        <v>0</v>
      </c>
      <c r="K6657" s="4" t="e">
        <f t="shared" si="1360"/>
        <v>#N/A</v>
      </c>
      <c r="L6657" t="e">
        <f t="shared" si="1361"/>
        <v>#N/A</v>
      </c>
      <c r="M6657" s="4" t="e">
        <f t="shared" si="1362"/>
        <v>#N/A</v>
      </c>
      <c r="N6657" s="4" t="e">
        <f t="shared" si="1363"/>
        <v>#N/A</v>
      </c>
    </row>
    <row r="6658" spans="1:14">
      <c r="A6658">
        <f t="shared" ref="A6658:A6721" si="1364">bd_campaign</f>
        <v>0</v>
      </c>
      <c r="B6658">
        <f t="shared" ref="B6658:B6721" si="1365">bd_site</f>
        <v>0</v>
      </c>
      <c r="C6658">
        <f t="shared" ref="C6658:C6721" si="1366">bd_placement</f>
        <v>0</v>
      </c>
      <c r="D6658">
        <f t="shared" ref="D6658:D6721" si="1367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8">bd_ad</f>
        <v>0</v>
      </c>
      <c r="G6658">
        <f t="shared" ref="G6658:G6721" si="1369">bd_adid</f>
        <v>0</v>
      </c>
      <c r="H6658">
        <f t="shared" ref="H6658:H6721" si="1370">bd_creativetype</f>
        <v>0</v>
      </c>
      <c r="I6658">
        <f t="shared" ref="I6658:I6721" si="1371">bd_impression</f>
        <v>0</v>
      </c>
      <c r="J6658">
        <f t="shared" ref="J6658:J6721" si="1372">bd_clicks</f>
        <v>0</v>
      </c>
      <c r="K6658" s="4" t="e">
        <f t="shared" si="1360"/>
        <v>#N/A</v>
      </c>
      <c r="L6658" t="e">
        <f t="shared" si="1361"/>
        <v>#N/A</v>
      </c>
      <c r="M6658" s="4" t="e">
        <f t="shared" si="1362"/>
        <v>#N/A</v>
      </c>
      <c r="N6658" s="4" t="e">
        <f t="shared" si="1363"/>
        <v>#N/A</v>
      </c>
    </row>
    <row r="6659" spans="1:14">
      <c r="A6659">
        <f t="shared" si="1364"/>
        <v>0</v>
      </c>
      <c r="B6659">
        <f t="shared" si="1365"/>
        <v>0</v>
      </c>
      <c r="C6659">
        <f t="shared" si="1366"/>
        <v>0</v>
      </c>
      <c r="D6659">
        <f t="shared" si="1367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8"/>
        <v>0</v>
      </c>
      <c r="G6659">
        <f t="shared" si="1369"/>
        <v>0</v>
      </c>
      <c r="H6659">
        <f t="shared" si="1370"/>
        <v>0</v>
      </c>
      <c r="I6659">
        <f t="shared" si="1371"/>
        <v>0</v>
      </c>
      <c r="J6659">
        <f t="shared" si="1372"/>
        <v>0</v>
      </c>
      <c r="K6659" s="4" t="e">
        <f t="shared" si="1360"/>
        <v>#N/A</v>
      </c>
      <c r="L6659" t="e">
        <f t="shared" si="1361"/>
        <v>#N/A</v>
      </c>
      <c r="M6659" s="4" t="e">
        <f t="shared" si="1362"/>
        <v>#N/A</v>
      </c>
      <c r="N6659" s="4" t="e">
        <f t="shared" si="1363"/>
        <v>#N/A</v>
      </c>
    </row>
    <row r="6660" spans="1:14">
      <c r="A6660">
        <f t="shared" si="1364"/>
        <v>0</v>
      </c>
      <c r="B6660">
        <f t="shared" si="1365"/>
        <v>0</v>
      </c>
      <c r="C6660">
        <f t="shared" si="1366"/>
        <v>0</v>
      </c>
      <c r="D6660">
        <f t="shared" si="1367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8"/>
        <v>0</v>
      </c>
      <c r="G6660">
        <f t="shared" si="1369"/>
        <v>0</v>
      </c>
      <c r="H6660">
        <f t="shared" si="1370"/>
        <v>0</v>
      </c>
      <c r="I6660">
        <f t="shared" si="1371"/>
        <v>0</v>
      </c>
      <c r="J6660">
        <f t="shared" si="1372"/>
        <v>0</v>
      </c>
      <c r="K6660" s="4" t="e">
        <f t="shared" si="1360"/>
        <v>#N/A</v>
      </c>
      <c r="L6660" t="e">
        <f t="shared" si="1361"/>
        <v>#N/A</v>
      </c>
      <c r="M6660" s="4" t="e">
        <f t="shared" si="1362"/>
        <v>#N/A</v>
      </c>
      <c r="N6660" s="4" t="e">
        <f t="shared" si="1363"/>
        <v>#N/A</v>
      </c>
    </row>
    <row r="6661" spans="1:14">
      <c r="A6661">
        <f t="shared" si="1364"/>
        <v>0</v>
      </c>
      <c r="B6661">
        <f t="shared" si="1365"/>
        <v>0</v>
      </c>
      <c r="C6661">
        <f t="shared" si="1366"/>
        <v>0</v>
      </c>
      <c r="D6661">
        <f t="shared" si="1367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8"/>
        <v>0</v>
      </c>
      <c r="G6661">
        <f t="shared" si="1369"/>
        <v>0</v>
      </c>
      <c r="H6661">
        <f t="shared" si="1370"/>
        <v>0</v>
      </c>
      <c r="I6661">
        <f t="shared" si="1371"/>
        <v>0</v>
      </c>
      <c r="J6661">
        <f t="shared" si="1372"/>
        <v>0</v>
      </c>
      <c r="K6661" s="4" t="e">
        <f t="shared" si="1360"/>
        <v>#N/A</v>
      </c>
      <c r="L6661" t="e">
        <f t="shared" si="1361"/>
        <v>#N/A</v>
      </c>
      <c r="M6661" s="4" t="e">
        <f t="shared" si="1362"/>
        <v>#N/A</v>
      </c>
      <c r="N6661" s="4" t="e">
        <f t="shared" si="1363"/>
        <v>#N/A</v>
      </c>
    </row>
    <row r="6662" spans="1:14">
      <c r="A6662">
        <f t="shared" si="1364"/>
        <v>0</v>
      </c>
      <c r="B6662">
        <f t="shared" si="1365"/>
        <v>0</v>
      </c>
      <c r="C6662">
        <f t="shared" si="1366"/>
        <v>0</v>
      </c>
      <c r="D6662">
        <f t="shared" si="1367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8"/>
        <v>0</v>
      </c>
      <c r="G6662">
        <f t="shared" si="1369"/>
        <v>0</v>
      </c>
      <c r="H6662">
        <f t="shared" si="1370"/>
        <v>0</v>
      </c>
      <c r="I6662">
        <f t="shared" si="1371"/>
        <v>0</v>
      </c>
      <c r="J6662">
        <f t="shared" si="1372"/>
        <v>0</v>
      </c>
      <c r="K6662" s="4" t="e">
        <f t="shared" si="1360"/>
        <v>#N/A</v>
      </c>
      <c r="L6662" t="e">
        <f t="shared" si="1361"/>
        <v>#N/A</v>
      </c>
      <c r="M6662" s="4" t="e">
        <f t="shared" si="1362"/>
        <v>#N/A</v>
      </c>
      <c r="N6662" s="4" t="e">
        <f t="shared" si="1363"/>
        <v>#N/A</v>
      </c>
    </row>
    <row r="6663" spans="1:14">
      <c r="A6663">
        <f t="shared" si="1364"/>
        <v>0</v>
      </c>
      <c r="B6663">
        <f t="shared" si="1365"/>
        <v>0</v>
      </c>
      <c r="C6663">
        <f t="shared" si="1366"/>
        <v>0</v>
      </c>
      <c r="D6663">
        <f t="shared" si="1367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8"/>
        <v>0</v>
      </c>
      <c r="G6663">
        <f t="shared" si="1369"/>
        <v>0</v>
      </c>
      <c r="H6663">
        <f t="shared" si="1370"/>
        <v>0</v>
      </c>
      <c r="I6663">
        <f t="shared" si="1371"/>
        <v>0</v>
      </c>
      <c r="J6663">
        <f t="shared" si="1372"/>
        <v>0</v>
      </c>
      <c r="K6663" s="4" t="e">
        <f t="shared" si="1360"/>
        <v>#N/A</v>
      </c>
      <c r="L6663" t="e">
        <f t="shared" si="1361"/>
        <v>#N/A</v>
      </c>
      <c r="M6663" s="4" t="e">
        <f t="shared" si="1362"/>
        <v>#N/A</v>
      </c>
      <c r="N6663" s="4" t="e">
        <f t="shared" si="1363"/>
        <v>#N/A</v>
      </c>
    </row>
    <row r="6664" spans="1:14">
      <c r="A6664">
        <f t="shared" si="1364"/>
        <v>0</v>
      </c>
      <c r="B6664">
        <f t="shared" si="1365"/>
        <v>0</v>
      </c>
      <c r="C6664">
        <f t="shared" si="1366"/>
        <v>0</v>
      </c>
      <c r="D6664">
        <f t="shared" si="1367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8"/>
        <v>0</v>
      </c>
      <c r="G6664">
        <f t="shared" si="1369"/>
        <v>0</v>
      </c>
      <c r="H6664">
        <f t="shared" si="1370"/>
        <v>0</v>
      </c>
      <c r="I6664">
        <f t="shared" si="1371"/>
        <v>0</v>
      </c>
      <c r="J6664">
        <f t="shared" si="1372"/>
        <v>0</v>
      </c>
      <c r="K6664" s="4" t="e">
        <f t="shared" si="1360"/>
        <v>#N/A</v>
      </c>
      <c r="L6664" t="e">
        <f t="shared" si="1361"/>
        <v>#N/A</v>
      </c>
      <c r="M6664" s="4" t="e">
        <f t="shared" si="1362"/>
        <v>#N/A</v>
      </c>
      <c r="N6664" s="4" t="e">
        <f t="shared" si="1363"/>
        <v>#N/A</v>
      </c>
    </row>
    <row r="6665" spans="1:14">
      <c r="A6665">
        <f t="shared" si="1364"/>
        <v>0</v>
      </c>
      <c r="B6665">
        <f t="shared" si="1365"/>
        <v>0</v>
      </c>
      <c r="C6665">
        <f t="shared" si="1366"/>
        <v>0</v>
      </c>
      <c r="D6665">
        <f t="shared" si="1367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8"/>
        <v>0</v>
      </c>
      <c r="G6665">
        <f t="shared" si="1369"/>
        <v>0</v>
      </c>
      <c r="H6665">
        <f t="shared" si="1370"/>
        <v>0</v>
      </c>
      <c r="I6665">
        <f t="shared" si="1371"/>
        <v>0</v>
      </c>
      <c r="J6665">
        <f t="shared" si="1372"/>
        <v>0</v>
      </c>
      <c r="K6665" s="4" t="e">
        <f t="shared" si="1360"/>
        <v>#N/A</v>
      </c>
      <c r="L6665" t="e">
        <f t="shared" si="1361"/>
        <v>#N/A</v>
      </c>
      <c r="M6665" s="4" t="e">
        <f t="shared" si="1362"/>
        <v>#N/A</v>
      </c>
      <c r="N6665" s="4" t="e">
        <f t="shared" si="1363"/>
        <v>#N/A</v>
      </c>
    </row>
    <row r="6666" spans="1:14">
      <c r="A6666">
        <f t="shared" si="1364"/>
        <v>0</v>
      </c>
      <c r="B6666">
        <f t="shared" si="1365"/>
        <v>0</v>
      </c>
      <c r="C6666">
        <f t="shared" si="1366"/>
        <v>0</v>
      </c>
      <c r="D6666">
        <f t="shared" si="1367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8"/>
        <v>0</v>
      </c>
      <c r="G6666">
        <f t="shared" si="1369"/>
        <v>0</v>
      </c>
      <c r="H6666">
        <f t="shared" si="1370"/>
        <v>0</v>
      </c>
      <c r="I6666">
        <f t="shared" si="1371"/>
        <v>0</v>
      </c>
      <c r="J6666">
        <f t="shared" si="1372"/>
        <v>0</v>
      </c>
      <c r="K6666" s="4" t="e">
        <f t="shared" si="1360"/>
        <v>#N/A</v>
      </c>
      <c r="L6666" t="e">
        <f t="shared" si="1361"/>
        <v>#N/A</v>
      </c>
      <c r="M6666" s="4" t="e">
        <f t="shared" si="1362"/>
        <v>#N/A</v>
      </c>
      <c r="N6666" s="4" t="e">
        <f t="shared" si="1363"/>
        <v>#N/A</v>
      </c>
    </row>
    <row r="6667" spans="1:14">
      <c r="A6667">
        <f t="shared" si="1364"/>
        <v>0</v>
      </c>
      <c r="B6667">
        <f t="shared" si="1365"/>
        <v>0</v>
      </c>
      <c r="C6667">
        <f t="shared" si="1366"/>
        <v>0</v>
      </c>
      <c r="D6667">
        <f t="shared" si="1367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8"/>
        <v>0</v>
      </c>
      <c r="G6667">
        <f t="shared" si="1369"/>
        <v>0</v>
      </c>
      <c r="H6667">
        <f t="shared" si="1370"/>
        <v>0</v>
      </c>
      <c r="I6667">
        <f t="shared" si="1371"/>
        <v>0</v>
      </c>
      <c r="J6667">
        <f t="shared" si="1372"/>
        <v>0</v>
      </c>
      <c r="K6667" s="4" t="e">
        <f t="shared" si="1360"/>
        <v>#N/A</v>
      </c>
      <c r="L6667" t="e">
        <f t="shared" si="1361"/>
        <v>#N/A</v>
      </c>
      <c r="M6667" s="4" t="e">
        <f t="shared" si="1362"/>
        <v>#N/A</v>
      </c>
      <c r="N6667" s="4" t="e">
        <f t="shared" si="1363"/>
        <v>#N/A</v>
      </c>
    </row>
    <row r="6668" spans="1:14">
      <c r="A6668">
        <f t="shared" si="1364"/>
        <v>0</v>
      </c>
      <c r="B6668">
        <f t="shared" si="1365"/>
        <v>0</v>
      </c>
      <c r="C6668">
        <f t="shared" si="1366"/>
        <v>0</v>
      </c>
      <c r="D6668">
        <f t="shared" si="1367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8"/>
        <v>0</v>
      </c>
      <c r="G6668">
        <f t="shared" si="1369"/>
        <v>0</v>
      </c>
      <c r="H6668">
        <f t="shared" si="1370"/>
        <v>0</v>
      </c>
      <c r="I6668">
        <f t="shared" si="1371"/>
        <v>0</v>
      </c>
      <c r="J6668">
        <f t="shared" si="1372"/>
        <v>0</v>
      </c>
      <c r="K6668" s="4" t="e">
        <f t="shared" si="1360"/>
        <v>#N/A</v>
      </c>
      <c r="L6668" t="e">
        <f t="shared" si="1361"/>
        <v>#N/A</v>
      </c>
      <c r="M6668" s="4" t="e">
        <f t="shared" si="1362"/>
        <v>#N/A</v>
      </c>
      <c r="N6668" s="4" t="e">
        <f t="shared" si="1363"/>
        <v>#N/A</v>
      </c>
    </row>
    <row r="6669" spans="1:14">
      <c r="A6669">
        <f t="shared" si="1364"/>
        <v>0</v>
      </c>
      <c r="B6669">
        <f t="shared" si="1365"/>
        <v>0</v>
      </c>
      <c r="C6669">
        <f t="shared" si="1366"/>
        <v>0</v>
      </c>
      <c r="D6669">
        <f t="shared" si="1367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8"/>
        <v>0</v>
      </c>
      <c r="G6669">
        <f t="shared" si="1369"/>
        <v>0</v>
      </c>
      <c r="H6669">
        <f t="shared" si="1370"/>
        <v>0</v>
      </c>
      <c r="I6669">
        <f t="shared" si="1371"/>
        <v>0</v>
      </c>
      <c r="J6669">
        <f t="shared" si="1372"/>
        <v>0</v>
      </c>
      <c r="K6669" s="4" t="e">
        <f t="shared" si="1360"/>
        <v>#N/A</v>
      </c>
      <c r="L6669" t="e">
        <f t="shared" si="1361"/>
        <v>#N/A</v>
      </c>
      <c r="M6669" s="4" t="e">
        <f t="shared" si="1362"/>
        <v>#N/A</v>
      </c>
      <c r="N6669" s="4" t="e">
        <f t="shared" si="1363"/>
        <v>#N/A</v>
      </c>
    </row>
    <row r="6670" spans="1:14">
      <c r="A6670">
        <f t="shared" si="1364"/>
        <v>0</v>
      </c>
      <c r="B6670">
        <f t="shared" si="1365"/>
        <v>0</v>
      </c>
      <c r="C6670">
        <f t="shared" si="1366"/>
        <v>0</v>
      </c>
      <c r="D6670">
        <f t="shared" si="1367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8"/>
        <v>0</v>
      </c>
      <c r="G6670">
        <f t="shared" si="1369"/>
        <v>0</v>
      </c>
      <c r="H6670">
        <f t="shared" si="1370"/>
        <v>0</v>
      </c>
      <c r="I6670">
        <f t="shared" si="1371"/>
        <v>0</v>
      </c>
      <c r="J6670">
        <f t="shared" si="1372"/>
        <v>0</v>
      </c>
      <c r="K6670" s="4" t="e">
        <f t="shared" si="1360"/>
        <v>#N/A</v>
      </c>
      <c r="L6670" t="e">
        <f t="shared" si="1361"/>
        <v>#N/A</v>
      </c>
      <c r="M6670" s="4" t="e">
        <f t="shared" si="1362"/>
        <v>#N/A</v>
      </c>
      <c r="N6670" s="4" t="e">
        <f t="shared" si="1363"/>
        <v>#N/A</v>
      </c>
    </row>
    <row r="6671" spans="1:14">
      <c r="A6671">
        <f t="shared" si="1364"/>
        <v>0</v>
      </c>
      <c r="B6671">
        <f t="shared" si="1365"/>
        <v>0</v>
      </c>
      <c r="C6671">
        <f t="shared" si="1366"/>
        <v>0</v>
      </c>
      <c r="D6671">
        <f t="shared" si="1367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8"/>
        <v>0</v>
      </c>
      <c r="G6671">
        <f t="shared" si="1369"/>
        <v>0</v>
      </c>
      <c r="H6671">
        <f t="shared" si="1370"/>
        <v>0</v>
      </c>
      <c r="I6671">
        <f t="shared" si="1371"/>
        <v>0</v>
      </c>
      <c r="J6671">
        <f t="shared" si="1372"/>
        <v>0</v>
      </c>
      <c r="K6671" s="4" t="e">
        <f t="shared" si="1360"/>
        <v>#N/A</v>
      </c>
      <c r="L6671" t="e">
        <f t="shared" si="1361"/>
        <v>#N/A</v>
      </c>
      <c r="M6671" s="4" t="e">
        <f t="shared" si="1362"/>
        <v>#N/A</v>
      </c>
      <c r="N6671" s="4" t="e">
        <f t="shared" si="1363"/>
        <v>#N/A</v>
      </c>
    </row>
    <row r="6672" spans="1:14">
      <c r="A6672">
        <f t="shared" si="1364"/>
        <v>0</v>
      </c>
      <c r="B6672">
        <f t="shared" si="1365"/>
        <v>0</v>
      </c>
      <c r="C6672">
        <f t="shared" si="1366"/>
        <v>0</v>
      </c>
      <c r="D6672">
        <f t="shared" si="1367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8"/>
        <v>0</v>
      </c>
      <c r="G6672">
        <f t="shared" si="1369"/>
        <v>0</v>
      </c>
      <c r="H6672">
        <f t="shared" si="1370"/>
        <v>0</v>
      </c>
      <c r="I6672">
        <f t="shared" si="1371"/>
        <v>0</v>
      </c>
      <c r="J6672">
        <f t="shared" si="1372"/>
        <v>0</v>
      </c>
      <c r="K6672" s="4" t="e">
        <f t="shared" si="1360"/>
        <v>#N/A</v>
      </c>
      <c r="L6672" t="e">
        <f t="shared" si="1361"/>
        <v>#N/A</v>
      </c>
      <c r="M6672" s="4" t="e">
        <f t="shared" si="1362"/>
        <v>#N/A</v>
      </c>
      <c r="N6672" s="4" t="e">
        <f t="shared" si="1363"/>
        <v>#N/A</v>
      </c>
    </row>
    <row r="6673" spans="1:14">
      <c r="A6673">
        <f t="shared" si="1364"/>
        <v>0</v>
      </c>
      <c r="B6673">
        <f t="shared" si="1365"/>
        <v>0</v>
      </c>
      <c r="C6673">
        <f t="shared" si="1366"/>
        <v>0</v>
      </c>
      <c r="D6673">
        <f t="shared" si="1367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8"/>
        <v>0</v>
      </c>
      <c r="G6673">
        <f t="shared" si="1369"/>
        <v>0</v>
      </c>
      <c r="H6673">
        <f t="shared" si="1370"/>
        <v>0</v>
      </c>
      <c r="I6673">
        <f t="shared" si="1371"/>
        <v>0</v>
      </c>
      <c r="J6673">
        <f t="shared" si="1372"/>
        <v>0</v>
      </c>
      <c r="K6673" s="4" t="e">
        <f t="shared" si="1360"/>
        <v>#N/A</v>
      </c>
      <c r="L6673" t="e">
        <f t="shared" si="1361"/>
        <v>#N/A</v>
      </c>
      <c r="M6673" s="4" t="e">
        <f t="shared" si="1362"/>
        <v>#N/A</v>
      </c>
      <c r="N6673" s="4" t="e">
        <f t="shared" si="1363"/>
        <v>#N/A</v>
      </c>
    </row>
    <row r="6674" spans="1:14">
      <c r="A6674">
        <f t="shared" si="1364"/>
        <v>0</v>
      </c>
      <c r="B6674">
        <f t="shared" si="1365"/>
        <v>0</v>
      </c>
      <c r="C6674">
        <f t="shared" si="1366"/>
        <v>0</v>
      </c>
      <c r="D6674">
        <f t="shared" si="1367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8"/>
        <v>0</v>
      </c>
      <c r="G6674">
        <f t="shared" si="1369"/>
        <v>0</v>
      </c>
      <c r="H6674">
        <f t="shared" si="1370"/>
        <v>0</v>
      </c>
      <c r="I6674">
        <f t="shared" si="1371"/>
        <v>0</v>
      </c>
      <c r="J6674">
        <f t="shared" si="1372"/>
        <v>0</v>
      </c>
      <c r="K6674" s="4" t="e">
        <f t="shared" si="1360"/>
        <v>#N/A</v>
      </c>
      <c r="L6674" t="e">
        <f t="shared" si="1361"/>
        <v>#N/A</v>
      </c>
      <c r="M6674" s="4" t="e">
        <f t="shared" si="1362"/>
        <v>#N/A</v>
      </c>
      <c r="N6674" s="4" t="e">
        <f t="shared" si="1363"/>
        <v>#N/A</v>
      </c>
    </row>
    <row r="6675" spans="1:14">
      <c r="A6675">
        <f t="shared" si="1364"/>
        <v>0</v>
      </c>
      <c r="B6675">
        <f t="shared" si="1365"/>
        <v>0</v>
      </c>
      <c r="C6675">
        <f t="shared" si="1366"/>
        <v>0</v>
      </c>
      <c r="D6675">
        <f t="shared" si="1367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8"/>
        <v>0</v>
      </c>
      <c r="G6675">
        <f t="shared" si="1369"/>
        <v>0</v>
      </c>
      <c r="H6675">
        <f t="shared" si="1370"/>
        <v>0</v>
      </c>
      <c r="I6675">
        <f t="shared" si="1371"/>
        <v>0</v>
      </c>
      <c r="J6675">
        <f t="shared" si="1372"/>
        <v>0</v>
      </c>
      <c r="K6675" s="4" t="e">
        <f t="shared" si="1360"/>
        <v>#N/A</v>
      </c>
      <c r="L6675" t="e">
        <f t="shared" si="1361"/>
        <v>#N/A</v>
      </c>
      <c r="M6675" s="4" t="e">
        <f t="shared" si="1362"/>
        <v>#N/A</v>
      </c>
      <c r="N6675" s="4" t="e">
        <f t="shared" si="1363"/>
        <v>#N/A</v>
      </c>
    </row>
    <row r="6676" spans="1:14">
      <c r="A6676">
        <f t="shared" si="1364"/>
        <v>0</v>
      </c>
      <c r="B6676">
        <f t="shared" si="1365"/>
        <v>0</v>
      </c>
      <c r="C6676">
        <f t="shared" si="1366"/>
        <v>0</v>
      </c>
      <c r="D6676">
        <f t="shared" si="1367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8"/>
        <v>0</v>
      </c>
      <c r="G6676">
        <f t="shared" si="1369"/>
        <v>0</v>
      </c>
      <c r="H6676">
        <f t="shared" si="1370"/>
        <v>0</v>
      </c>
      <c r="I6676">
        <f t="shared" si="1371"/>
        <v>0</v>
      </c>
      <c r="J6676">
        <f t="shared" si="1372"/>
        <v>0</v>
      </c>
      <c r="K6676" s="4" t="e">
        <f t="shared" si="1360"/>
        <v>#N/A</v>
      </c>
      <c r="L6676" t="e">
        <f t="shared" si="1361"/>
        <v>#N/A</v>
      </c>
      <c r="M6676" s="4" t="e">
        <f t="shared" si="1362"/>
        <v>#N/A</v>
      </c>
      <c r="N6676" s="4" t="e">
        <f t="shared" si="1363"/>
        <v>#N/A</v>
      </c>
    </row>
    <row r="6677" spans="1:14">
      <c r="A6677">
        <f t="shared" si="1364"/>
        <v>0</v>
      </c>
      <c r="B6677">
        <f t="shared" si="1365"/>
        <v>0</v>
      </c>
      <c r="C6677">
        <f t="shared" si="1366"/>
        <v>0</v>
      </c>
      <c r="D6677">
        <f t="shared" si="1367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8"/>
        <v>0</v>
      </c>
      <c r="G6677">
        <f t="shared" si="1369"/>
        <v>0</v>
      </c>
      <c r="H6677">
        <f t="shared" si="1370"/>
        <v>0</v>
      </c>
      <c r="I6677">
        <f t="shared" si="1371"/>
        <v>0</v>
      </c>
      <c r="J6677">
        <f t="shared" si="1372"/>
        <v>0</v>
      </c>
      <c r="K6677" s="4" t="e">
        <f t="shared" si="1360"/>
        <v>#N/A</v>
      </c>
      <c r="L6677" t="e">
        <f t="shared" si="1361"/>
        <v>#N/A</v>
      </c>
      <c r="M6677" s="4" t="e">
        <f t="shared" si="1362"/>
        <v>#N/A</v>
      </c>
      <c r="N6677" s="4" t="e">
        <f t="shared" si="1363"/>
        <v>#N/A</v>
      </c>
    </row>
    <row r="6678" spans="1:14">
      <c r="A6678">
        <f t="shared" si="1364"/>
        <v>0</v>
      </c>
      <c r="B6678">
        <f t="shared" si="1365"/>
        <v>0</v>
      </c>
      <c r="C6678">
        <f t="shared" si="1366"/>
        <v>0</v>
      </c>
      <c r="D6678">
        <f t="shared" si="1367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8"/>
        <v>0</v>
      </c>
      <c r="G6678">
        <f t="shared" si="1369"/>
        <v>0</v>
      </c>
      <c r="H6678">
        <f t="shared" si="1370"/>
        <v>0</v>
      </c>
      <c r="I6678">
        <f t="shared" si="1371"/>
        <v>0</v>
      </c>
      <c r="J6678">
        <f t="shared" si="1372"/>
        <v>0</v>
      </c>
      <c r="K6678" s="4" t="e">
        <f t="shared" si="1360"/>
        <v>#N/A</v>
      </c>
      <c r="L6678" t="e">
        <f t="shared" si="1361"/>
        <v>#N/A</v>
      </c>
      <c r="M6678" s="4" t="e">
        <f t="shared" si="1362"/>
        <v>#N/A</v>
      </c>
      <c r="N6678" s="4" t="e">
        <f t="shared" si="1363"/>
        <v>#N/A</v>
      </c>
    </row>
    <row r="6679" spans="1:14">
      <c r="A6679">
        <f t="shared" si="1364"/>
        <v>0</v>
      </c>
      <c r="B6679">
        <f t="shared" si="1365"/>
        <v>0</v>
      </c>
      <c r="C6679">
        <f t="shared" si="1366"/>
        <v>0</v>
      </c>
      <c r="D6679">
        <f t="shared" si="1367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8"/>
        <v>0</v>
      </c>
      <c r="G6679">
        <f t="shared" si="1369"/>
        <v>0</v>
      </c>
      <c r="H6679">
        <f t="shared" si="1370"/>
        <v>0</v>
      </c>
      <c r="I6679">
        <f t="shared" si="1371"/>
        <v>0</v>
      </c>
      <c r="J6679">
        <f t="shared" si="1372"/>
        <v>0</v>
      </c>
      <c r="K6679" s="4" t="e">
        <f t="shared" si="1360"/>
        <v>#N/A</v>
      </c>
      <c r="L6679" t="e">
        <f t="shared" si="1361"/>
        <v>#N/A</v>
      </c>
      <c r="M6679" s="4" t="e">
        <f t="shared" si="1362"/>
        <v>#N/A</v>
      </c>
      <c r="N6679" s="4" t="e">
        <f t="shared" si="1363"/>
        <v>#N/A</v>
      </c>
    </row>
    <row r="6680" spans="1:14">
      <c r="A6680">
        <f t="shared" si="1364"/>
        <v>0</v>
      </c>
      <c r="B6680">
        <f t="shared" si="1365"/>
        <v>0</v>
      </c>
      <c r="C6680">
        <f t="shared" si="1366"/>
        <v>0</v>
      </c>
      <c r="D6680">
        <f t="shared" si="1367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8"/>
        <v>0</v>
      </c>
      <c r="G6680">
        <f t="shared" si="1369"/>
        <v>0</v>
      </c>
      <c r="H6680">
        <f t="shared" si="1370"/>
        <v>0</v>
      </c>
      <c r="I6680">
        <f t="shared" si="1371"/>
        <v>0</v>
      </c>
      <c r="J6680">
        <f t="shared" si="1372"/>
        <v>0</v>
      </c>
      <c r="K6680" s="4" t="e">
        <f t="shared" si="1360"/>
        <v>#N/A</v>
      </c>
      <c r="L6680" t="e">
        <f t="shared" si="1361"/>
        <v>#N/A</v>
      </c>
      <c r="M6680" s="4" t="e">
        <f t="shared" si="1362"/>
        <v>#N/A</v>
      </c>
      <c r="N6680" s="4" t="e">
        <f t="shared" si="1363"/>
        <v>#N/A</v>
      </c>
    </row>
    <row r="6681" spans="1:14">
      <c r="A6681">
        <f t="shared" si="1364"/>
        <v>0</v>
      </c>
      <c r="B6681">
        <f t="shared" si="1365"/>
        <v>0</v>
      </c>
      <c r="C6681">
        <f t="shared" si="1366"/>
        <v>0</v>
      </c>
      <c r="D6681">
        <f t="shared" si="1367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8"/>
        <v>0</v>
      </c>
      <c r="G6681">
        <f t="shared" si="1369"/>
        <v>0</v>
      </c>
      <c r="H6681">
        <f t="shared" si="1370"/>
        <v>0</v>
      </c>
      <c r="I6681">
        <f t="shared" si="1371"/>
        <v>0</v>
      </c>
      <c r="J6681">
        <f t="shared" si="1372"/>
        <v>0</v>
      </c>
      <c r="K6681" s="4" t="e">
        <f t="shared" si="1360"/>
        <v>#N/A</v>
      </c>
      <c r="L6681" t="e">
        <f t="shared" si="1361"/>
        <v>#N/A</v>
      </c>
      <c r="M6681" s="4" t="e">
        <f t="shared" si="1362"/>
        <v>#N/A</v>
      </c>
      <c r="N6681" s="4" t="e">
        <f t="shared" si="1363"/>
        <v>#N/A</v>
      </c>
    </row>
    <row r="6682" spans="1:14">
      <c r="A6682">
        <f t="shared" si="1364"/>
        <v>0</v>
      </c>
      <c r="B6682">
        <f t="shared" si="1365"/>
        <v>0</v>
      </c>
      <c r="C6682">
        <f t="shared" si="1366"/>
        <v>0</v>
      </c>
      <c r="D6682">
        <f t="shared" si="1367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8"/>
        <v>0</v>
      </c>
      <c r="G6682">
        <f t="shared" si="1369"/>
        <v>0</v>
      </c>
      <c r="H6682">
        <f t="shared" si="1370"/>
        <v>0</v>
      </c>
      <c r="I6682">
        <f t="shared" si="1371"/>
        <v>0</v>
      </c>
      <c r="J6682">
        <f t="shared" si="1372"/>
        <v>0</v>
      </c>
      <c r="K6682" s="4" t="e">
        <f t="shared" si="1360"/>
        <v>#N/A</v>
      </c>
      <c r="L6682" t="e">
        <f t="shared" si="1361"/>
        <v>#N/A</v>
      </c>
      <c r="M6682" s="4" t="e">
        <f t="shared" si="1362"/>
        <v>#N/A</v>
      </c>
      <c r="N6682" s="4" t="e">
        <f t="shared" si="1363"/>
        <v>#N/A</v>
      </c>
    </row>
    <row r="6683" spans="1:14">
      <c r="A6683">
        <f t="shared" si="1364"/>
        <v>0</v>
      </c>
      <c r="B6683">
        <f t="shared" si="1365"/>
        <v>0</v>
      </c>
      <c r="C6683">
        <f t="shared" si="1366"/>
        <v>0</v>
      </c>
      <c r="D6683">
        <f t="shared" si="1367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8"/>
        <v>0</v>
      </c>
      <c r="G6683">
        <f t="shared" si="1369"/>
        <v>0</v>
      </c>
      <c r="H6683">
        <f t="shared" si="1370"/>
        <v>0</v>
      </c>
      <c r="I6683">
        <f t="shared" si="1371"/>
        <v>0</v>
      </c>
      <c r="J6683">
        <f t="shared" si="1372"/>
        <v>0</v>
      </c>
      <c r="K6683" s="4" t="e">
        <f t="shared" si="1360"/>
        <v>#N/A</v>
      </c>
      <c r="L6683" t="e">
        <f t="shared" si="1361"/>
        <v>#N/A</v>
      </c>
      <c r="M6683" s="4" t="e">
        <f t="shared" si="1362"/>
        <v>#N/A</v>
      </c>
      <c r="N6683" s="4" t="e">
        <f t="shared" si="1363"/>
        <v>#N/A</v>
      </c>
    </row>
    <row r="6684" spans="1:14">
      <c r="A6684">
        <f t="shared" si="1364"/>
        <v>0</v>
      </c>
      <c r="B6684">
        <f t="shared" si="1365"/>
        <v>0</v>
      </c>
      <c r="C6684">
        <f t="shared" si="1366"/>
        <v>0</v>
      </c>
      <c r="D6684">
        <f t="shared" si="1367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8"/>
        <v>0</v>
      </c>
      <c r="G6684">
        <f t="shared" si="1369"/>
        <v>0</v>
      </c>
      <c r="H6684">
        <f t="shared" si="1370"/>
        <v>0</v>
      </c>
      <c r="I6684">
        <f t="shared" si="1371"/>
        <v>0</v>
      </c>
      <c r="J6684">
        <f t="shared" si="1372"/>
        <v>0</v>
      </c>
      <c r="K6684" s="4" t="e">
        <f t="shared" si="1360"/>
        <v>#N/A</v>
      </c>
      <c r="L6684" t="e">
        <f t="shared" si="1361"/>
        <v>#N/A</v>
      </c>
      <c r="M6684" s="4" t="e">
        <f t="shared" si="1362"/>
        <v>#N/A</v>
      </c>
      <c r="N6684" s="4" t="e">
        <f t="shared" si="1363"/>
        <v>#N/A</v>
      </c>
    </row>
    <row r="6685" spans="1:14">
      <c r="A6685">
        <f t="shared" si="1364"/>
        <v>0</v>
      </c>
      <c r="B6685">
        <f t="shared" si="1365"/>
        <v>0</v>
      </c>
      <c r="C6685">
        <f t="shared" si="1366"/>
        <v>0</v>
      </c>
      <c r="D6685">
        <f t="shared" si="1367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8"/>
        <v>0</v>
      </c>
      <c r="G6685">
        <f t="shared" si="1369"/>
        <v>0</v>
      </c>
      <c r="H6685">
        <f t="shared" si="1370"/>
        <v>0</v>
      </c>
      <c r="I6685">
        <f t="shared" si="1371"/>
        <v>0</v>
      </c>
      <c r="J6685">
        <f t="shared" si="1372"/>
        <v>0</v>
      </c>
      <c r="K6685" s="4" t="e">
        <f t="shared" si="1360"/>
        <v>#N/A</v>
      </c>
      <c r="L6685" t="e">
        <f t="shared" si="1361"/>
        <v>#N/A</v>
      </c>
      <c r="M6685" s="4" t="e">
        <f t="shared" si="1362"/>
        <v>#N/A</v>
      </c>
      <c r="N6685" s="4" t="e">
        <f t="shared" si="1363"/>
        <v>#N/A</v>
      </c>
    </row>
    <row r="6686" spans="1:14">
      <c r="A6686">
        <f t="shared" si="1364"/>
        <v>0</v>
      </c>
      <c r="B6686">
        <f t="shared" si="1365"/>
        <v>0</v>
      </c>
      <c r="C6686">
        <f t="shared" si="1366"/>
        <v>0</v>
      </c>
      <c r="D6686">
        <f t="shared" si="1367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8"/>
        <v>0</v>
      </c>
      <c r="G6686">
        <f t="shared" si="1369"/>
        <v>0</v>
      </c>
      <c r="H6686">
        <f t="shared" si="1370"/>
        <v>0</v>
      </c>
      <c r="I6686">
        <f t="shared" si="1371"/>
        <v>0</v>
      </c>
      <c r="J6686">
        <f t="shared" si="1372"/>
        <v>0</v>
      </c>
      <c r="K6686" s="4" t="e">
        <f t="shared" si="1360"/>
        <v>#N/A</v>
      </c>
      <c r="L6686" t="e">
        <f t="shared" si="1361"/>
        <v>#N/A</v>
      </c>
      <c r="M6686" s="4" t="e">
        <f t="shared" si="1362"/>
        <v>#N/A</v>
      </c>
      <c r="N6686" s="4" t="e">
        <f t="shared" si="1363"/>
        <v>#N/A</v>
      </c>
    </row>
    <row r="6687" spans="1:14">
      <c r="A6687">
        <f t="shared" si="1364"/>
        <v>0</v>
      </c>
      <c r="B6687">
        <f t="shared" si="1365"/>
        <v>0</v>
      </c>
      <c r="C6687">
        <f t="shared" si="1366"/>
        <v>0</v>
      </c>
      <c r="D6687">
        <f t="shared" si="1367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8"/>
        <v>0</v>
      </c>
      <c r="G6687">
        <f t="shared" si="1369"/>
        <v>0</v>
      </c>
      <c r="H6687">
        <f t="shared" si="1370"/>
        <v>0</v>
      </c>
      <c r="I6687">
        <f t="shared" si="1371"/>
        <v>0</v>
      </c>
      <c r="J6687">
        <f t="shared" si="1372"/>
        <v>0</v>
      </c>
      <c r="K6687" s="4" t="e">
        <f t="shared" si="1360"/>
        <v>#N/A</v>
      </c>
      <c r="L6687" t="e">
        <f t="shared" si="1361"/>
        <v>#N/A</v>
      </c>
      <c r="M6687" s="4" t="e">
        <f t="shared" si="1362"/>
        <v>#N/A</v>
      </c>
      <c r="N6687" s="4" t="e">
        <f t="shared" si="1363"/>
        <v>#N/A</v>
      </c>
    </row>
    <row r="6688" spans="1:14">
      <c r="A6688">
        <f t="shared" si="1364"/>
        <v>0</v>
      </c>
      <c r="B6688">
        <f t="shared" si="1365"/>
        <v>0</v>
      </c>
      <c r="C6688">
        <f t="shared" si="1366"/>
        <v>0</v>
      </c>
      <c r="D6688">
        <f t="shared" si="1367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8"/>
        <v>0</v>
      </c>
      <c r="G6688">
        <f t="shared" si="1369"/>
        <v>0</v>
      </c>
      <c r="H6688">
        <f t="shared" si="1370"/>
        <v>0</v>
      </c>
      <c r="I6688">
        <f t="shared" si="1371"/>
        <v>0</v>
      </c>
      <c r="J6688">
        <f t="shared" si="1372"/>
        <v>0</v>
      </c>
      <c r="K6688" s="4" t="e">
        <f t="shared" si="1360"/>
        <v>#N/A</v>
      </c>
      <c r="L6688" t="e">
        <f t="shared" si="1361"/>
        <v>#N/A</v>
      </c>
      <c r="M6688" s="4" t="e">
        <f t="shared" si="1362"/>
        <v>#N/A</v>
      </c>
      <c r="N6688" s="4" t="e">
        <f t="shared" si="1363"/>
        <v>#N/A</v>
      </c>
    </row>
    <row r="6689" spans="1:14">
      <c r="A6689">
        <f t="shared" si="1364"/>
        <v>0</v>
      </c>
      <c r="B6689">
        <f t="shared" si="1365"/>
        <v>0</v>
      </c>
      <c r="C6689">
        <f t="shared" si="1366"/>
        <v>0</v>
      </c>
      <c r="D6689">
        <f t="shared" si="1367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8"/>
        <v>0</v>
      </c>
      <c r="G6689">
        <f t="shared" si="1369"/>
        <v>0</v>
      </c>
      <c r="H6689">
        <f t="shared" si="1370"/>
        <v>0</v>
      </c>
      <c r="I6689">
        <f t="shared" si="1371"/>
        <v>0</v>
      </c>
      <c r="J6689">
        <f t="shared" si="1372"/>
        <v>0</v>
      </c>
      <c r="K6689" s="4" t="e">
        <f t="shared" si="1360"/>
        <v>#N/A</v>
      </c>
      <c r="L6689" t="e">
        <f t="shared" si="1361"/>
        <v>#N/A</v>
      </c>
      <c r="M6689" s="4" t="e">
        <f t="shared" si="1362"/>
        <v>#N/A</v>
      </c>
      <c r="N6689" s="4" t="e">
        <f t="shared" si="1363"/>
        <v>#N/A</v>
      </c>
    </row>
    <row r="6690" spans="1:14">
      <c r="A6690">
        <f t="shared" si="1364"/>
        <v>0</v>
      </c>
      <c r="B6690">
        <f t="shared" si="1365"/>
        <v>0</v>
      </c>
      <c r="C6690">
        <f t="shared" si="1366"/>
        <v>0</v>
      </c>
      <c r="D6690">
        <f t="shared" si="1367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8"/>
        <v>0</v>
      </c>
      <c r="G6690">
        <f t="shared" si="1369"/>
        <v>0</v>
      </c>
      <c r="H6690">
        <f t="shared" si="1370"/>
        <v>0</v>
      </c>
      <c r="I6690">
        <f t="shared" si="1371"/>
        <v>0</v>
      </c>
      <c r="J6690">
        <f t="shared" si="1372"/>
        <v>0</v>
      </c>
      <c r="K6690" s="4" t="e">
        <f t="shared" si="1360"/>
        <v>#N/A</v>
      </c>
      <c r="L6690" t="e">
        <f t="shared" si="1361"/>
        <v>#N/A</v>
      </c>
      <c r="M6690" s="4" t="e">
        <f t="shared" si="1362"/>
        <v>#N/A</v>
      </c>
      <c r="N6690" s="4" t="e">
        <f t="shared" si="1363"/>
        <v>#N/A</v>
      </c>
    </row>
    <row r="6691" spans="1:14">
      <c r="A6691">
        <f t="shared" si="1364"/>
        <v>0</v>
      </c>
      <c r="B6691">
        <f t="shared" si="1365"/>
        <v>0</v>
      </c>
      <c r="C6691">
        <f t="shared" si="1366"/>
        <v>0</v>
      </c>
      <c r="D6691">
        <f t="shared" si="1367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8"/>
        <v>0</v>
      </c>
      <c r="G6691">
        <f t="shared" si="1369"/>
        <v>0</v>
      </c>
      <c r="H6691">
        <f t="shared" si="1370"/>
        <v>0</v>
      </c>
      <c r="I6691">
        <f t="shared" si="1371"/>
        <v>0</v>
      </c>
      <c r="J6691">
        <f t="shared" si="1372"/>
        <v>0</v>
      </c>
      <c r="K6691" s="4" t="e">
        <f t="shared" si="1360"/>
        <v>#N/A</v>
      </c>
      <c r="L6691" t="e">
        <f t="shared" si="1361"/>
        <v>#N/A</v>
      </c>
      <c r="M6691" s="4" t="e">
        <f t="shared" si="1362"/>
        <v>#N/A</v>
      </c>
      <c r="N6691" s="4" t="e">
        <f t="shared" si="1363"/>
        <v>#N/A</v>
      </c>
    </row>
    <row r="6692" spans="1:14">
      <c r="A6692">
        <f t="shared" si="1364"/>
        <v>0</v>
      </c>
      <c r="B6692">
        <f t="shared" si="1365"/>
        <v>0</v>
      </c>
      <c r="C6692">
        <f t="shared" si="1366"/>
        <v>0</v>
      </c>
      <c r="D6692">
        <f t="shared" si="1367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8"/>
        <v>0</v>
      </c>
      <c r="G6692">
        <f t="shared" si="1369"/>
        <v>0</v>
      </c>
      <c r="H6692">
        <f t="shared" si="1370"/>
        <v>0</v>
      </c>
      <c r="I6692">
        <f t="shared" si="1371"/>
        <v>0</v>
      </c>
      <c r="J6692">
        <f t="shared" si="1372"/>
        <v>0</v>
      </c>
      <c r="K6692" s="4" t="e">
        <f t="shared" si="1360"/>
        <v>#N/A</v>
      </c>
      <c r="L6692" t="e">
        <f t="shared" si="1361"/>
        <v>#N/A</v>
      </c>
      <c r="M6692" s="4" t="e">
        <f t="shared" si="1362"/>
        <v>#N/A</v>
      </c>
      <c r="N6692" s="4" t="e">
        <f t="shared" si="1363"/>
        <v>#N/A</v>
      </c>
    </row>
    <row r="6693" spans="1:14">
      <c r="A6693">
        <f t="shared" si="1364"/>
        <v>0</v>
      </c>
      <c r="B6693">
        <f t="shared" si="1365"/>
        <v>0</v>
      </c>
      <c r="C6693">
        <f t="shared" si="1366"/>
        <v>0</v>
      </c>
      <c r="D6693">
        <f t="shared" si="1367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8"/>
        <v>0</v>
      </c>
      <c r="G6693">
        <f t="shared" si="1369"/>
        <v>0</v>
      </c>
      <c r="H6693">
        <f t="shared" si="1370"/>
        <v>0</v>
      </c>
      <c r="I6693">
        <f t="shared" si="1371"/>
        <v>0</v>
      </c>
      <c r="J6693">
        <f t="shared" si="1372"/>
        <v>0</v>
      </c>
      <c r="K6693" s="4" t="e">
        <f t="shared" si="1360"/>
        <v>#N/A</v>
      </c>
      <c r="L6693" t="e">
        <f t="shared" si="1361"/>
        <v>#N/A</v>
      </c>
      <c r="M6693" s="4" t="e">
        <f t="shared" si="1362"/>
        <v>#N/A</v>
      </c>
      <c r="N6693" s="4" t="e">
        <f t="shared" si="1363"/>
        <v>#N/A</v>
      </c>
    </row>
    <row r="6694" spans="1:14">
      <c r="A6694">
        <f t="shared" si="1364"/>
        <v>0</v>
      </c>
      <c r="B6694">
        <f t="shared" si="1365"/>
        <v>0</v>
      </c>
      <c r="C6694">
        <f t="shared" si="1366"/>
        <v>0</v>
      </c>
      <c r="D6694">
        <f t="shared" si="1367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8"/>
        <v>0</v>
      </c>
      <c r="G6694">
        <f t="shared" si="1369"/>
        <v>0</v>
      </c>
      <c r="H6694">
        <f t="shared" si="1370"/>
        <v>0</v>
      </c>
      <c r="I6694">
        <f t="shared" si="1371"/>
        <v>0</v>
      </c>
      <c r="J6694">
        <f t="shared" si="1372"/>
        <v>0</v>
      </c>
      <c r="K6694" s="4" t="e">
        <f t="shared" si="1360"/>
        <v>#N/A</v>
      </c>
      <c r="L6694" t="e">
        <f t="shared" si="1361"/>
        <v>#N/A</v>
      </c>
      <c r="M6694" s="4" t="e">
        <f t="shared" si="1362"/>
        <v>#N/A</v>
      </c>
      <c r="N6694" s="4" t="e">
        <f t="shared" si="1363"/>
        <v>#N/A</v>
      </c>
    </row>
    <row r="6695" spans="1:14">
      <c r="A6695">
        <f t="shared" si="1364"/>
        <v>0</v>
      </c>
      <c r="B6695">
        <f t="shared" si="1365"/>
        <v>0</v>
      </c>
      <c r="C6695">
        <f t="shared" si="1366"/>
        <v>0</v>
      </c>
      <c r="D6695">
        <f t="shared" si="1367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8"/>
        <v>0</v>
      </c>
      <c r="G6695">
        <f t="shared" si="1369"/>
        <v>0</v>
      </c>
      <c r="H6695">
        <f t="shared" si="1370"/>
        <v>0</v>
      </c>
      <c r="I6695">
        <f t="shared" si="1371"/>
        <v>0</v>
      </c>
      <c r="J6695">
        <f t="shared" si="1372"/>
        <v>0</v>
      </c>
      <c r="K6695" s="4" t="e">
        <f t="shared" si="1360"/>
        <v>#N/A</v>
      </c>
      <c r="L6695" t="e">
        <f t="shared" si="1361"/>
        <v>#N/A</v>
      </c>
      <c r="M6695" s="4" t="e">
        <f t="shared" si="1362"/>
        <v>#N/A</v>
      </c>
      <c r="N6695" s="4" t="e">
        <f t="shared" si="1363"/>
        <v>#N/A</v>
      </c>
    </row>
    <row r="6696" spans="1:14">
      <c r="A6696">
        <f t="shared" si="1364"/>
        <v>0</v>
      </c>
      <c r="B6696">
        <f t="shared" si="1365"/>
        <v>0</v>
      </c>
      <c r="C6696">
        <f t="shared" si="1366"/>
        <v>0</v>
      </c>
      <c r="D6696">
        <f t="shared" si="1367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8"/>
        <v>0</v>
      </c>
      <c r="G6696">
        <f t="shared" si="1369"/>
        <v>0</v>
      </c>
      <c r="H6696">
        <f t="shared" si="1370"/>
        <v>0</v>
      </c>
      <c r="I6696">
        <f t="shared" si="1371"/>
        <v>0</v>
      </c>
      <c r="J6696">
        <f t="shared" si="1372"/>
        <v>0</v>
      </c>
      <c r="K6696" s="4" t="e">
        <f t="shared" si="1360"/>
        <v>#N/A</v>
      </c>
      <c r="L6696" t="e">
        <f t="shared" si="1361"/>
        <v>#N/A</v>
      </c>
      <c r="M6696" s="4" t="e">
        <f t="shared" si="1362"/>
        <v>#N/A</v>
      </c>
      <c r="N6696" s="4" t="e">
        <f t="shared" si="1363"/>
        <v>#N/A</v>
      </c>
    </row>
    <row r="6697" spans="1:14">
      <c r="A6697">
        <f t="shared" si="1364"/>
        <v>0</v>
      </c>
      <c r="B6697">
        <f t="shared" si="1365"/>
        <v>0</v>
      </c>
      <c r="C6697">
        <f t="shared" si="1366"/>
        <v>0</v>
      </c>
      <c r="D6697">
        <f t="shared" si="1367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8"/>
        <v>0</v>
      </c>
      <c r="G6697">
        <f t="shared" si="1369"/>
        <v>0</v>
      </c>
      <c r="H6697">
        <f t="shared" si="1370"/>
        <v>0</v>
      </c>
      <c r="I6697">
        <f t="shared" si="1371"/>
        <v>0</v>
      </c>
      <c r="J6697">
        <f t="shared" si="1372"/>
        <v>0</v>
      </c>
      <c r="K6697" s="4" t="e">
        <f t="shared" si="1360"/>
        <v>#N/A</v>
      </c>
      <c r="L6697" t="e">
        <f t="shared" si="1361"/>
        <v>#N/A</v>
      </c>
      <c r="M6697" s="4" t="e">
        <f t="shared" si="1362"/>
        <v>#N/A</v>
      </c>
      <c r="N6697" s="4" t="e">
        <f t="shared" si="1363"/>
        <v>#N/A</v>
      </c>
    </row>
    <row r="6698" spans="1:14">
      <c r="A6698">
        <f t="shared" si="1364"/>
        <v>0</v>
      </c>
      <c r="B6698">
        <f t="shared" si="1365"/>
        <v>0</v>
      </c>
      <c r="C6698">
        <f t="shared" si="1366"/>
        <v>0</v>
      </c>
      <c r="D6698">
        <f t="shared" si="1367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8"/>
        <v>0</v>
      </c>
      <c r="G6698">
        <f t="shared" si="1369"/>
        <v>0</v>
      </c>
      <c r="H6698">
        <f t="shared" si="1370"/>
        <v>0</v>
      </c>
      <c r="I6698">
        <f t="shared" si="1371"/>
        <v>0</v>
      </c>
      <c r="J6698">
        <f t="shared" si="1372"/>
        <v>0</v>
      </c>
      <c r="K6698" s="4" t="e">
        <f t="shared" si="1360"/>
        <v>#N/A</v>
      </c>
      <c r="L6698" t="e">
        <f t="shared" si="1361"/>
        <v>#N/A</v>
      </c>
      <c r="M6698" s="4" t="e">
        <f t="shared" si="1362"/>
        <v>#N/A</v>
      </c>
      <c r="N6698" s="4" t="e">
        <f t="shared" si="1363"/>
        <v>#N/A</v>
      </c>
    </row>
    <row r="6699" spans="1:14">
      <c r="A6699">
        <f t="shared" si="1364"/>
        <v>0</v>
      </c>
      <c r="B6699">
        <f t="shared" si="1365"/>
        <v>0</v>
      </c>
      <c r="C6699">
        <f t="shared" si="1366"/>
        <v>0</v>
      </c>
      <c r="D6699">
        <f t="shared" si="1367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8"/>
        <v>0</v>
      </c>
      <c r="G6699">
        <f t="shared" si="1369"/>
        <v>0</v>
      </c>
      <c r="H6699">
        <f t="shared" si="1370"/>
        <v>0</v>
      </c>
      <c r="I6699">
        <f t="shared" si="1371"/>
        <v>0</v>
      </c>
      <c r="J6699">
        <f t="shared" si="1372"/>
        <v>0</v>
      </c>
      <c r="K6699" s="4" t="e">
        <f t="shared" si="1360"/>
        <v>#N/A</v>
      </c>
      <c r="L6699" t="e">
        <f t="shared" si="1361"/>
        <v>#N/A</v>
      </c>
      <c r="M6699" s="4" t="e">
        <f t="shared" si="1362"/>
        <v>#N/A</v>
      </c>
      <c r="N6699" s="4" t="e">
        <f t="shared" si="1363"/>
        <v>#N/A</v>
      </c>
    </row>
    <row r="6700" spans="1:14">
      <c r="A6700">
        <f t="shared" si="1364"/>
        <v>0</v>
      </c>
      <c r="B6700">
        <f t="shared" si="1365"/>
        <v>0</v>
      </c>
      <c r="C6700">
        <f t="shared" si="1366"/>
        <v>0</v>
      </c>
      <c r="D6700">
        <f t="shared" si="1367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8"/>
        <v>0</v>
      </c>
      <c r="G6700">
        <f t="shared" si="1369"/>
        <v>0</v>
      </c>
      <c r="H6700">
        <f t="shared" si="1370"/>
        <v>0</v>
      </c>
      <c r="I6700">
        <f t="shared" si="1371"/>
        <v>0</v>
      </c>
      <c r="J6700">
        <f t="shared" si="1372"/>
        <v>0</v>
      </c>
      <c r="K6700" s="4" t="e">
        <f t="shared" si="1360"/>
        <v>#N/A</v>
      </c>
      <c r="L6700" t="e">
        <f t="shared" si="1361"/>
        <v>#N/A</v>
      </c>
      <c r="M6700" s="4" t="e">
        <f t="shared" si="1362"/>
        <v>#N/A</v>
      </c>
      <c r="N6700" s="4" t="e">
        <f t="shared" si="1363"/>
        <v>#N/A</v>
      </c>
    </row>
    <row r="6701" spans="1:14">
      <c r="A6701">
        <f t="shared" si="1364"/>
        <v>0</v>
      </c>
      <c r="B6701">
        <f t="shared" si="1365"/>
        <v>0</v>
      </c>
      <c r="C6701">
        <f t="shared" si="1366"/>
        <v>0</v>
      </c>
      <c r="D6701">
        <f t="shared" si="1367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8"/>
        <v>0</v>
      </c>
      <c r="G6701">
        <f t="shared" si="1369"/>
        <v>0</v>
      </c>
      <c r="H6701">
        <f t="shared" si="1370"/>
        <v>0</v>
      </c>
      <c r="I6701">
        <f t="shared" si="1371"/>
        <v>0</v>
      </c>
      <c r="J6701">
        <f t="shared" si="1372"/>
        <v>0</v>
      </c>
      <c r="K6701" s="4" t="e">
        <f t="shared" si="1360"/>
        <v>#N/A</v>
      </c>
      <c r="L6701" t="e">
        <f t="shared" si="1361"/>
        <v>#N/A</v>
      </c>
      <c r="M6701" s="4" t="e">
        <f t="shared" si="1362"/>
        <v>#N/A</v>
      </c>
      <c r="N6701" s="4" t="e">
        <f t="shared" si="1363"/>
        <v>#N/A</v>
      </c>
    </row>
    <row r="6702" spans="1:14">
      <c r="A6702">
        <f t="shared" si="1364"/>
        <v>0</v>
      </c>
      <c r="B6702">
        <f t="shared" si="1365"/>
        <v>0</v>
      </c>
      <c r="C6702">
        <f t="shared" si="1366"/>
        <v>0</v>
      </c>
      <c r="D6702">
        <f t="shared" si="1367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8"/>
        <v>0</v>
      </c>
      <c r="G6702">
        <f t="shared" si="1369"/>
        <v>0</v>
      </c>
      <c r="H6702">
        <f t="shared" si="1370"/>
        <v>0</v>
      </c>
      <c r="I6702">
        <f t="shared" si="1371"/>
        <v>0</v>
      </c>
      <c r="J6702">
        <f t="shared" si="1372"/>
        <v>0</v>
      </c>
      <c r="K6702" s="4" t="e">
        <f t="shared" si="1360"/>
        <v>#N/A</v>
      </c>
      <c r="L6702" t="e">
        <f t="shared" si="1361"/>
        <v>#N/A</v>
      </c>
      <c r="M6702" s="4" t="e">
        <f t="shared" si="1362"/>
        <v>#N/A</v>
      </c>
      <c r="N6702" s="4" t="e">
        <f t="shared" si="1363"/>
        <v>#N/A</v>
      </c>
    </row>
    <row r="6703" spans="1:14">
      <c r="A6703">
        <f t="shared" si="1364"/>
        <v>0</v>
      </c>
      <c r="B6703">
        <f t="shared" si="1365"/>
        <v>0</v>
      </c>
      <c r="C6703">
        <f t="shared" si="1366"/>
        <v>0</v>
      </c>
      <c r="D6703">
        <f t="shared" si="1367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8"/>
        <v>0</v>
      </c>
      <c r="G6703">
        <f t="shared" si="1369"/>
        <v>0</v>
      </c>
      <c r="H6703">
        <f t="shared" si="1370"/>
        <v>0</v>
      </c>
      <c r="I6703">
        <f t="shared" si="1371"/>
        <v>0</v>
      </c>
      <c r="J6703">
        <f t="shared" si="1372"/>
        <v>0</v>
      </c>
      <c r="K6703" s="4" t="e">
        <f t="shared" si="1360"/>
        <v>#N/A</v>
      </c>
      <c r="L6703" t="e">
        <f t="shared" si="1361"/>
        <v>#N/A</v>
      </c>
      <c r="M6703" s="4" t="e">
        <f t="shared" si="1362"/>
        <v>#N/A</v>
      </c>
      <c r="N6703" s="4" t="e">
        <f t="shared" si="1363"/>
        <v>#N/A</v>
      </c>
    </row>
    <row r="6704" spans="1:14">
      <c r="A6704">
        <f t="shared" si="1364"/>
        <v>0</v>
      </c>
      <c r="B6704">
        <f t="shared" si="1365"/>
        <v>0</v>
      </c>
      <c r="C6704">
        <f t="shared" si="1366"/>
        <v>0</v>
      </c>
      <c r="D6704">
        <f t="shared" si="1367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8"/>
        <v>0</v>
      </c>
      <c r="G6704">
        <f t="shared" si="1369"/>
        <v>0</v>
      </c>
      <c r="H6704">
        <f t="shared" si="1370"/>
        <v>0</v>
      </c>
      <c r="I6704">
        <f t="shared" si="1371"/>
        <v>0</v>
      </c>
      <c r="J6704">
        <f t="shared" si="1372"/>
        <v>0</v>
      </c>
      <c r="K6704" s="4" t="e">
        <f t="shared" si="1360"/>
        <v>#N/A</v>
      </c>
      <c r="L6704" t="e">
        <f t="shared" si="1361"/>
        <v>#N/A</v>
      </c>
      <c r="M6704" s="4" t="e">
        <f t="shared" si="1362"/>
        <v>#N/A</v>
      </c>
      <c r="N6704" s="4" t="e">
        <f t="shared" si="1363"/>
        <v>#N/A</v>
      </c>
    </row>
    <row r="6705" spans="1:14">
      <c r="A6705">
        <f t="shared" si="1364"/>
        <v>0</v>
      </c>
      <c r="B6705">
        <f t="shared" si="1365"/>
        <v>0</v>
      </c>
      <c r="C6705">
        <f t="shared" si="1366"/>
        <v>0</v>
      </c>
      <c r="D6705">
        <f t="shared" si="1367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8"/>
        <v>0</v>
      </c>
      <c r="G6705">
        <f t="shared" si="1369"/>
        <v>0</v>
      </c>
      <c r="H6705">
        <f t="shared" si="1370"/>
        <v>0</v>
      </c>
      <c r="I6705">
        <f t="shared" si="1371"/>
        <v>0</v>
      </c>
      <c r="J6705">
        <f t="shared" si="1372"/>
        <v>0</v>
      </c>
      <c r="K6705" s="4" t="e">
        <f t="shared" si="1360"/>
        <v>#N/A</v>
      </c>
      <c r="L6705" t="e">
        <f t="shared" si="1361"/>
        <v>#N/A</v>
      </c>
      <c r="M6705" s="4" t="e">
        <f t="shared" si="1362"/>
        <v>#N/A</v>
      </c>
      <c r="N6705" s="4" t="e">
        <f t="shared" si="1363"/>
        <v>#N/A</v>
      </c>
    </row>
    <row r="6706" spans="1:14">
      <c r="A6706">
        <f t="shared" si="1364"/>
        <v>0</v>
      </c>
      <c r="B6706">
        <f t="shared" si="1365"/>
        <v>0</v>
      </c>
      <c r="C6706">
        <f t="shared" si="1366"/>
        <v>0</v>
      </c>
      <c r="D6706">
        <f t="shared" si="1367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8"/>
        <v>0</v>
      </c>
      <c r="G6706">
        <f t="shared" si="1369"/>
        <v>0</v>
      </c>
      <c r="H6706">
        <f t="shared" si="1370"/>
        <v>0</v>
      </c>
      <c r="I6706">
        <f t="shared" si="1371"/>
        <v>0</v>
      </c>
      <c r="J6706">
        <f t="shared" si="1372"/>
        <v>0</v>
      </c>
      <c r="K6706" s="4" t="e">
        <f t="shared" si="1360"/>
        <v>#N/A</v>
      </c>
      <c r="L6706" t="e">
        <f t="shared" si="1361"/>
        <v>#N/A</v>
      </c>
      <c r="M6706" s="4" t="e">
        <f t="shared" si="1362"/>
        <v>#N/A</v>
      </c>
      <c r="N6706" s="4" t="e">
        <f t="shared" si="1363"/>
        <v>#N/A</v>
      </c>
    </row>
    <row r="6707" spans="1:14">
      <c r="A6707">
        <f t="shared" si="1364"/>
        <v>0</v>
      </c>
      <c r="B6707">
        <f t="shared" si="1365"/>
        <v>0</v>
      </c>
      <c r="C6707">
        <f t="shared" si="1366"/>
        <v>0</v>
      </c>
      <c r="D6707">
        <f t="shared" si="1367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8"/>
        <v>0</v>
      </c>
      <c r="G6707">
        <f t="shared" si="1369"/>
        <v>0</v>
      </c>
      <c r="H6707">
        <f t="shared" si="1370"/>
        <v>0</v>
      </c>
      <c r="I6707">
        <f t="shared" si="1371"/>
        <v>0</v>
      </c>
      <c r="J6707">
        <f t="shared" si="1372"/>
        <v>0</v>
      </c>
      <c r="K6707" s="4" t="e">
        <f t="shared" si="1360"/>
        <v>#N/A</v>
      </c>
      <c r="L6707" t="e">
        <f t="shared" si="1361"/>
        <v>#N/A</v>
      </c>
      <c r="M6707" s="4" t="e">
        <f t="shared" si="1362"/>
        <v>#N/A</v>
      </c>
      <c r="N6707" s="4" t="e">
        <f t="shared" si="1363"/>
        <v>#N/A</v>
      </c>
    </row>
    <row r="6708" spans="1:14">
      <c r="A6708">
        <f t="shared" si="1364"/>
        <v>0</v>
      </c>
      <c r="B6708">
        <f t="shared" si="1365"/>
        <v>0</v>
      </c>
      <c r="C6708">
        <f t="shared" si="1366"/>
        <v>0</v>
      </c>
      <c r="D6708">
        <f t="shared" si="1367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8"/>
        <v>0</v>
      </c>
      <c r="G6708">
        <f t="shared" si="1369"/>
        <v>0</v>
      </c>
      <c r="H6708">
        <f t="shared" si="1370"/>
        <v>0</v>
      </c>
      <c r="I6708">
        <f t="shared" si="1371"/>
        <v>0</v>
      </c>
      <c r="J6708">
        <f t="shared" si="1372"/>
        <v>0</v>
      </c>
      <c r="K6708" s="4" t="e">
        <f t="shared" si="1360"/>
        <v>#N/A</v>
      </c>
      <c r="L6708" t="e">
        <f t="shared" si="1361"/>
        <v>#N/A</v>
      </c>
      <c r="M6708" s="4" t="e">
        <f t="shared" si="1362"/>
        <v>#N/A</v>
      </c>
      <c r="N6708" s="4" t="e">
        <f t="shared" si="1363"/>
        <v>#N/A</v>
      </c>
    </row>
    <row r="6709" spans="1:14">
      <c r="A6709">
        <f t="shared" si="1364"/>
        <v>0</v>
      </c>
      <c r="B6709">
        <f t="shared" si="1365"/>
        <v>0</v>
      </c>
      <c r="C6709">
        <f t="shared" si="1366"/>
        <v>0</v>
      </c>
      <c r="D6709">
        <f t="shared" si="1367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8"/>
        <v>0</v>
      </c>
      <c r="G6709">
        <f t="shared" si="1369"/>
        <v>0</v>
      </c>
      <c r="H6709">
        <f t="shared" si="1370"/>
        <v>0</v>
      </c>
      <c r="I6709">
        <f t="shared" si="1371"/>
        <v>0</v>
      </c>
      <c r="J6709">
        <f t="shared" si="1372"/>
        <v>0</v>
      </c>
      <c r="K6709" s="4" t="e">
        <f t="shared" si="1360"/>
        <v>#N/A</v>
      </c>
      <c r="L6709" t="e">
        <f t="shared" si="1361"/>
        <v>#N/A</v>
      </c>
      <c r="M6709" s="4" t="e">
        <f t="shared" si="1362"/>
        <v>#N/A</v>
      </c>
      <c r="N6709" s="4" t="e">
        <f t="shared" si="1363"/>
        <v>#N/A</v>
      </c>
    </row>
    <row r="6710" spans="1:14">
      <c r="A6710">
        <f t="shared" si="1364"/>
        <v>0</v>
      </c>
      <c r="B6710">
        <f t="shared" si="1365"/>
        <v>0</v>
      </c>
      <c r="C6710">
        <f t="shared" si="1366"/>
        <v>0</v>
      </c>
      <c r="D6710">
        <f t="shared" si="1367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8"/>
        <v>0</v>
      </c>
      <c r="G6710">
        <f t="shared" si="1369"/>
        <v>0</v>
      </c>
      <c r="H6710">
        <f t="shared" si="1370"/>
        <v>0</v>
      </c>
      <c r="I6710">
        <f t="shared" si="1371"/>
        <v>0</v>
      </c>
      <c r="J6710">
        <f t="shared" si="1372"/>
        <v>0</v>
      </c>
      <c r="K6710" s="4" t="e">
        <f t="shared" si="1360"/>
        <v>#N/A</v>
      </c>
      <c r="L6710" t="e">
        <f t="shared" si="1361"/>
        <v>#N/A</v>
      </c>
      <c r="M6710" s="4" t="e">
        <f t="shared" si="1362"/>
        <v>#N/A</v>
      </c>
      <c r="N6710" s="4" t="e">
        <f t="shared" si="1363"/>
        <v>#N/A</v>
      </c>
    </row>
    <row r="6711" spans="1:14">
      <c r="A6711">
        <f t="shared" si="1364"/>
        <v>0</v>
      </c>
      <c r="B6711">
        <f t="shared" si="1365"/>
        <v>0</v>
      </c>
      <c r="C6711">
        <f t="shared" si="1366"/>
        <v>0</v>
      </c>
      <c r="D6711">
        <f t="shared" si="1367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8"/>
        <v>0</v>
      </c>
      <c r="G6711">
        <f t="shared" si="1369"/>
        <v>0</v>
      </c>
      <c r="H6711">
        <f t="shared" si="1370"/>
        <v>0</v>
      </c>
      <c r="I6711">
        <f t="shared" si="1371"/>
        <v>0</v>
      </c>
      <c r="J6711">
        <f t="shared" si="1372"/>
        <v>0</v>
      </c>
      <c r="K6711" s="4" t="e">
        <f t="shared" si="1360"/>
        <v>#N/A</v>
      </c>
      <c r="L6711" t="e">
        <f t="shared" si="1361"/>
        <v>#N/A</v>
      </c>
      <c r="M6711" s="4" t="e">
        <f t="shared" si="1362"/>
        <v>#N/A</v>
      </c>
      <c r="N6711" s="4" t="e">
        <f t="shared" si="1363"/>
        <v>#N/A</v>
      </c>
    </row>
    <row r="6712" spans="1:14">
      <c r="A6712">
        <f t="shared" si="1364"/>
        <v>0</v>
      </c>
      <c r="B6712">
        <f t="shared" si="1365"/>
        <v>0</v>
      </c>
      <c r="C6712">
        <f t="shared" si="1366"/>
        <v>0</v>
      </c>
      <c r="D6712">
        <f t="shared" si="1367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8"/>
        <v>0</v>
      </c>
      <c r="G6712">
        <f t="shared" si="1369"/>
        <v>0</v>
      </c>
      <c r="H6712">
        <f t="shared" si="1370"/>
        <v>0</v>
      </c>
      <c r="I6712">
        <f t="shared" si="1371"/>
        <v>0</v>
      </c>
      <c r="J6712">
        <f t="shared" si="1372"/>
        <v>0</v>
      </c>
      <c r="K6712" s="4" t="e">
        <f t="shared" si="1360"/>
        <v>#N/A</v>
      </c>
      <c r="L6712" t="e">
        <f t="shared" si="1361"/>
        <v>#N/A</v>
      </c>
      <c r="M6712" s="4" t="e">
        <f t="shared" si="1362"/>
        <v>#N/A</v>
      </c>
      <c r="N6712" s="4" t="e">
        <f t="shared" si="1363"/>
        <v>#N/A</v>
      </c>
    </row>
    <row r="6713" spans="1:14">
      <c r="A6713">
        <f t="shared" si="1364"/>
        <v>0</v>
      </c>
      <c r="B6713">
        <f t="shared" si="1365"/>
        <v>0</v>
      </c>
      <c r="C6713">
        <f t="shared" si="1366"/>
        <v>0</v>
      </c>
      <c r="D6713">
        <f t="shared" si="1367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8"/>
        <v>0</v>
      </c>
      <c r="G6713">
        <f t="shared" si="1369"/>
        <v>0</v>
      </c>
      <c r="H6713">
        <f t="shared" si="1370"/>
        <v>0</v>
      </c>
      <c r="I6713">
        <f t="shared" si="1371"/>
        <v>0</v>
      </c>
      <c r="J6713">
        <f t="shared" si="1372"/>
        <v>0</v>
      </c>
      <c r="K6713" s="4" t="e">
        <f t="shared" si="1360"/>
        <v>#N/A</v>
      </c>
      <c r="L6713" t="e">
        <f t="shared" si="1361"/>
        <v>#N/A</v>
      </c>
      <c r="M6713" s="4" t="e">
        <f t="shared" si="1362"/>
        <v>#N/A</v>
      </c>
      <c r="N6713" s="4" t="e">
        <f t="shared" si="1363"/>
        <v>#N/A</v>
      </c>
    </row>
    <row r="6714" spans="1:14">
      <c r="A6714">
        <f t="shared" si="1364"/>
        <v>0</v>
      </c>
      <c r="B6714">
        <f t="shared" si="1365"/>
        <v>0</v>
      </c>
      <c r="C6714">
        <f t="shared" si="1366"/>
        <v>0</v>
      </c>
      <c r="D6714">
        <f t="shared" si="1367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8"/>
        <v>0</v>
      </c>
      <c r="G6714">
        <f t="shared" si="1369"/>
        <v>0</v>
      </c>
      <c r="H6714">
        <f t="shared" si="1370"/>
        <v>0</v>
      </c>
      <c r="I6714">
        <f t="shared" si="1371"/>
        <v>0</v>
      </c>
      <c r="J6714">
        <f t="shared" si="1372"/>
        <v>0</v>
      </c>
      <c r="K6714" s="4" t="e">
        <f t="shared" si="1360"/>
        <v>#N/A</v>
      </c>
      <c r="L6714" t="e">
        <f t="shared" si="1361"/>
        <v>#N/A</v>
      </c>
      <c r="M6714" s="4" t="e">
        <f t="shared" si="1362"/>
        <v>#N/A</v>
      </c>
      <c r="N6714" s="4" t="e">
        <f t="shared" si="1363"/>
        <v>#N/A</v>
      </c>
    </row>
    <row r="6715" spans="1:14">
      <c r="A6715">
        <f t="shared" si="1364"/>
        <v>0</v>
      </c>
      <c r="B6715">
        <f t="shared" si="1365"/>
        <v>0</v>
      </c>
      <c r="C6715">
        <f t="shared" si="1366"/>
        <v>0</v>
      </c>
      <c r="D6715">
        <f t="shared" si="1367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8"/>
        <v>0</v>
      </c>
      <c r="G6715">
        <f t="shared" si="1369"/>
        <v>0</v>
      </c>
      <c r="H6715">
        <f t="shared" si="1370"/>
        <v>0</v>
      </c>
      <c r="I6715">
        <f t="shared" si="1371"/>
        <v>0</v>
      </c>
      <c r="J6715">
        <f t="shared" si="1372"/>
        <v>0</v>
      </c>
      <c r="K6715" s="4" t="e">
        <f t="shared" si="1360"/>
        <v>#N/A</v>
      </c>
      <c r="L6715" t="e">
        <f t="shared" si="1361"/>
        <v>#N/A</v>
      </c>
      <c r="M6715" s="4" t="e">
        <f t="shared" si="1362"/>
        <v>#N/A</v>
      </c>
      <c r="N6715" s="4" t="e">
        <f t="shared" si="1363"/>
        <v>#N/A</v>
      </c>
    </row>
    <row r="6716" spans="1:14">
      <c r="A6716">
        <f t="shared" si="1364"/>
        <v>0</v>
      </c>
      <c r="B6716">
        <f t="shared" si="1365"/>
        <v>0</v>
      </c>
      <c r="C6716">
        <f t="shared" si="1366"/>
        <v>0</v>
      </c>
      <c r="D6716">
        <f t="shared" si="1367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8"/>
        <v>0</v>
      </c>
      <c r="G6716">
        <f t="shared" si="1369"/>
        <v>0</v>
      </c>
      <c r="H6716">
        <f t="shared" si="1370"/>
        <v>0</v>
      </c>
      <c r="I6716">
        <f t="shared" si="1371"/>
        <v>0</v>
      </c>
      <c r="J6716">
        <f t="shared" si="1372"/>
        <v>0</v>
      </c>
      <c r="K6716" s="4" t="e">
        <f t="shared" si="1360"/>
        <v>#N/A</v>
      </c>
      <c r="L6716" t="e">
        <f t="shared" si="1361"/>
        <v>#N/A</v>
      </c>
      <c r="M6716" s="4" t="e">
        <f t="shared" si="1362"/>
        <v>#N/A</v>
      </c>
      <c r="N6716" s="4" t="e">
        <f t="shared" si="1363"/>
        <v>#N/A</v>
      </c>
    </row>
    <row r="6717" spans="1:14">
      <c r="A6717">
        <f t="shared" si="1364"/>
        <v>0</v>
      </c>
      <c r="B6717">
        <f t="shared" si="1365"/>
        <v>0</v>
      </c>
      <c r="C6717">
        <f t="shared" si="1366"/>
        <v>0</v>
      </c>
      <c r="D6717">
        <f t="shared" si="1367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8"/>
        <v>0</v>
      </c>
      <c r="G6717">
        <f t="shared" si="1369"/>
        <v>0</v>
      </c>
      <c r="H6717">
        <f t="shared" si="1370"/>
        <v>0</v>
      </c>
      <c r="I6717">
        <f t="shared" si="1371"/>
        <v>0</v>
      </c>
      <c r="J6717">
        <f t="shared" si="1372"/>
        <v>0</v>
      </c>
      <c r="K6717" s="4" t="e">
        <f t="shared" ref="K6717:K6780" si="1373">IF(LEFT(B6717,3)="DBM",0,VLOOKUP(E6717,tabela,2,FALSE))</f>
        <v>#N/A</v>
      </c>
      <c r="L6717" t="e">
        <f t="shared" ref="L6717:L6780" si="1374">VLOOKUP(E6717,tabela,3,FALSE)</f>
        <v>#N/A</v>
      </c>
      <c r="M6717" s="4" t="e">
        <f t="shared" ref="M6717:M6780" si="1375">IF(E6717="Dynamic Click",J6717*K6717,K6717*$I6717/1000)</f>
        <v>#N/A</v>
      </c>
      <c r="N6717" s="4" t="e">
        <f t="shared" ref="N6717:N6780" si="1376">IF(E6717="Dynamic Click",J6717*L6717,L6717*$I6717/1000)</f>
        <v>#N/A</v>
      </c>
    </row>
    <row r="6718" spans="1:14">
      <c r="A6718">
        <f t="shared" si="1364"/>
        <v>0</v>
      </c>
      <c r="B6718">
        <f t="shared" si="1365"/>
        <v>0</v>
      </c>
      <c r="C6718">
        <f t="shared" si="1366"/>
        <v>0</v>
      </c>
      <c r="D6718">
        <f t="shared" si="1367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8"/>
        <v>0</v>
      </c>
      <c r="G6718">
        <f t="shared" si="1369"/>
        <v>0</v>
      </c>
      <c r="H6718">
        <f t="shared" si="1370"/>
        <v>0</v>
      </c>
      <c r="I6718">
        <f t="shared" si="1371"/>
        <v>0</v>
      </c>
      <c r="J6718">
        <f t="shared" si="1372"/>
        <v>0</v>
      </c>
      <c r="K6718" s="4" t="e">
        <f t="shared" si="1373"/>
        <v>#N/A</v>
      </c>
      <c r="L6718" t="e">
        <f t="shared" si="1374"/>
        <v>#N/A</v>
      </c>
      <c r="M6718" s="4" t="e">
        <f t="shared" si="1375"/>
        <v>#N/A</v>
      </c>
      <c r="N6718" s="4" t="e">
        <f t="shared" si="1376"/>
        <v>#N/A</v>
      </c>
    </row>
    <row r="6719" spans="1:14">
      <c r="A6719">
        <f t="shared" si="1364"/>
        <v>0</v>
      </c>
      <c r="B6719">
        <f t="shared" si="1365"/>
        <v>0</v>
      </c>
      <c r="C6719">
        <f t="shared" si="1366"/>
        <v>0</v>
      </c>
      <c r="D6719">
        <f t="shared" si="1367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8"/>
        <v>0</v>
      </c>
      <c r="G6719">
        <f t="shared" si="1369"/>
        <v>0</v>
      </c>
      <c r="H6719">
        <f t="shared" si="1370"/>
        <v>0</v>
      </c>
      <c r="I6719">
        <f t="shared" si="1371"/>
        <v>0</v>
      </c>
      <c r="J6719">
        <f t="shared" si="1372"/>
        <v>0</v>
      </c>
      <c r="K6719" s="4" t="e">
        <f t="shared" si="1373"/>
        <v>#N/A</v>
      </c>
      <c r="L6719" t="e">
        <f t="shared" si="1374"/>
        <v>#N/A</v>
      </c>
      <c r="M6719" s="4" t="e">
        <f t="shared" si="1375"/>
        <v>#N/A</v>
      </c>
      <c r="N6719" s="4" t="e">
        <f t="shared" si="1376"/>
        <v>#N/A</v>
      </c>
    </row>
    <row r="6720" spans="1:14">
      <c r="A6720">
        <f t="shared" si="1364"/>
        <v>0</v>
      </c>
      <c r="B6720">
        <f t="shared" si="1365"/>
        <v>0</v>
      </c>
      <c r="C6720">
        <f t="shared" si="1366"/>
        <v>0</v>
      </c>
      <c r="D6720">
        <f t="shared" si="1367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8"/>
        <v>0</v>
      </c>
      <c r="G6720">
        <f t="shared" si="1369"/>
        <v>0</v>
      </c>
      <c r="H6720">
        <f t="shared" si="1370"/>
        <v>0</v>
      </c>
      <c r="I6720">
        <f t="shared" si="1371"/>
        <v>0</v>
      </c>
      <c r="J6720">
        <f t="shared" si="1372"/>
        <v>0</v>
      </c>
      <c r="K6720" s="4" t="e">
        <f t="shared" si="1373"/>
        <v>#N/A</v>
      </c>
      <c r="L6720" t="e">
        <f t="shared" si="1374"/>
        <v>#N/A</v>
      </c>
      <c r="M6720" s="4" t="e">
        <f t="shared" si="1375"/>
        <v>#N/A</v>
      </c>
      <c r="N6720" s="4" t="e">
        <f t="shared" si="1376"/>
        <v>#N/A</v>
      </c>
    </row>
    <row r="6721" spans="1:14">
      <c r="A6721">
        <f t="shared" si="1364"/>
        <v>0</v>
      </c>
      <c r="B6721">
        <f t="shared" si="1365"/>
        <v>0</v>
      </c>
      <c r="C6721">
        <f t="shared" si="1366"/>
        <v>0</v>
      </c>
      <c r="D6721">
        <f t="shared" si="1367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8"/>
        <v>0</v>
      </c>
      <c r="G6721">
        <f t="shared" si="1369"/>
        <v>0</v>
      </c>
      <c r="H6721">
        <f t="shared" si="1370"/>
        <v>0</v>
      </c>
      <c r="I6721">
        <f t="shared" si="1371"/>
        <v>0</v>
      </c>
      <c r="J6721">
        <f t="shared" si="1372"/>
        <v>0</v>
      </c>
      <c r="K6721" s="4" t="e">
        <f t="shared" si="1373"/>
        <v>#N/A</v>
      </c>
      <c r="L6721" t="e">
        <f t="shared" si="1374"/>
        <v>#N/A</v>
      </c>
      <c r="M6721" s="4" t="e">
        <f t="shared" si="1375"/>
        <v>#N/A</v>
      </c>
      <c r="N6721" s="4" t="e">
        <f t="shared" si="1376"/>
        <v>#N/A</v>
      </c>
    </row>
    <row r="6722" spans="1:14">
      <c r="A6722">
        <f t="shared" ref="A6722:A6785" si="1377">bd_campaign</f>
        <v>0</v>
      </c>
      <c r="B6722">
        <f t="shared" ref="B6722:B6785" si="1378">bd_site</f>
        <v>0</v>
      </c>
      <c r="C6722">
        <f t="shared" ref="C6722:C6785" si="1379">bd_placement</f>
        <v>0</v>
      </c>
      <c r="D6722">
        <f t="shared" ref="D6722:D6785" si="1380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81">bd_ad</f>
        <v>0</v>
      </c>
      <c r="G6722">
        <f t="shared" ref="G6722:G6785" si="1382">bd_adid</f>
        <v>0</v>
      </c>
      <c r="H6722">
        <f t="shared" ref="H6722:H6785" si="1383">bd_creativetype</f>
        <v>0</v>
      </c>
      <c r="I6722">
        <f t="shared" ref="I6722:I6785" si="1384">bd_impression</f>
        <v>0</v>
      </c>
      <c r="J6722">
        <f t="shared" ref="J6722:J6785" si="1385">bd_clicks</f>
        <v>0</v>
      </c>
      <c r="K6722" s="4" t="e">
        <f t="shared" si="1373"/>
        <v>#N/A</v>
      </c>
      <c r="L6722" t="e">
        <f t="shared" si="1374"/>
        <v>#N/A</v>
      </c>
      <c r="M6722" s="4" t="e">
        <f t="shared" si="1375"/>
        <v>#N/A</v>
      </c>
      <c r="N6722" s="4" t="e">
        <f t="shared" si="1376"/>
        <v>#N/A</v>
      </c>
    </row>
    <row r="6723" spans="1:14">
      <c r="A6723">
        <f t="shared" si="1377"/>
        <v>0</v>
      </c>
      <c r="B6723">
        <f t="shared" si="1378"/>
        <v>0</v>
      </c>
      <c r="C6723">
        <f t="shared" si="1379"/>
        <v>0</v>
      </c>
      <c r="D6723">
        <f t="shared" si="1380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81"/>
        <v>0</v>
      </c>
      <c r="G6723">
        <f t="shared" si="1382"/>
        <v>0</v>
      </c>
      <c r="H6723">
        <f t="shared" si="1383"/>
        <v>0</v>
      </c>
      <c r="I6723">
        <f t="shared" si="1384"/>
        <v>0</v>
      </c>
      <c r="J6723">
        <f t="shared" si="1385"/>
        <v>0</v>
      </c>
      <c r="K6723" s="4" t="e">
        <f t="shared" si="1373"/>
        <v>#N/A</v>
      </c>
      <c r="L6723" t="e">
        <f t="shared" si="1374"/>
        <v>#N/A</v>
      </c>
      <c r="M6723" s="4" t="e">
        <f t="shared" si="1375"/>
        <v>#N/A</v>
      </c>
      <c r="N6723" s="4" t="e">
        <f t="shared" si="1376"/>
        <v>#N/A</v>
      </c>
    </row>
    <row r="6724" spans="1:14">
      <c r="A6724">
        <f t="shared" si="1377"/>
        <v>0</v>
      </c>
      <c r="B6724">
        <f t="shared" si="1378"/>
        <v>0</v>
      </c>
      <c r="C6724">
        <f t="shared" si="1379"/>
        <v>0</v>
      </c>
      <c r="D6724">
        <f t="shared" si="1380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81"/>
        <v>0</v>
      </c>
      <c r="G6724">
        <f t="shared" si="1382"/>
        <v>0</v>
      </c>
      <c r="H6724">
        <f t="shared" si="1383"/>
        <v>0</v>
      </c>
      <c r="I6724">
        <f t="shared" si="1384"/>
        <v>0</v>
      </c>
      <c r="J6724">
        <f t="shared" si="1385"/>
        <v>0</v>
      </c>
      <c r="K6724" s="4" t="e">
        <f t="shared" si="1373"/>
        <v>#N/A</v>
      </c>
      <c r="L6724" t="e">
        <f t="shared" si="1374"/>
        <v>#N/A</v>
      </c>
      <c r="M6724" s="4" t="e">
        <f t="shared" si="1375"/>
        <v>#N/A</v>
      </c>
      <c r="N6724" s="4" t="e">
        <f t="shared" si="1376"/>
        <v>#N/A</v>
      </c>
    </row>
    <row r="6725" spans="1:14">
      <c r="A6725">
        <f t="shared" si="1377"/>
        <v>0</v>
      </c>
      <c r="B6725">
        <f t="shared" si="1378"/>
        <v>0</v>
      </c>
      <c r="C6725">
        <f t="shared" si="1379"/>
        <v>0</v>
      </c>
      <c r="D6725">
        <f t="shared" si="1380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81"/>
        <v>0</v>
      </c>
      <c r="G6725">
        <f t="shared" si="1382"/>
        <v>0</v>
      </c>
      <c r="H6725">
        <f t="shared" si="1383"/>
        <v>0</v>
      </c>
      <c r="I6725">
        <f t="shared" si="1384"/>
        <v>0</v>
      </c>
      <c r="J6725">
        <f t="shared" si="1385"/>
        <v>0</v>
      </c>
      <c r="K6725" s="4" t="e">
        <f t="shared" si="1373"/>
        <v>#N/A</v>
      </c>
      <c r="L6725" t="e">
        <f t="shared" si="1374"/>
        <v>#N/A</v>
      </c>
      <c r="M6725" s="4" t="e">
        <f t="shared" si="1375"/>
        <v>#N/A</v>
      </c>
      <c r="N6725" s="4" t="e">
        <f t="shared" si="1376"/>
        <v>#N/A</v>
      </c>
    </row>
    <row r="6726" spans="1:14">
      <c r="A6726">
        <f t="shared" si="1377"/>
        <v>0</v>
      </c>
      <c r="B6726">
        <f t="shared" si="1378"/>
        <v>0</v>
      </c>
      <c r="C6726">
        <f t="shared" si="1379"/>
        <v>0</v>
      </c>
      <c r="D6726">
        <f t="shared" si="1380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81"/>
        <v>0</v>
      </c>
      <c r="G6726">
        <f t="shared" si="1382"/>
        <v>0</v>
      </c>
      <c r="H6726">
        <f t="shared" si="1383"/>
        <v>0</v>
      </c>
      <c r="I6726">
        <f t="shared" si="1384"/>
        <v>0</v>
      </c>
      <c r="J6726">
        <f t="shared" si="1385"/>
        <v>0</v>
      </c>
      <c r="K6726" s="4" t="e">
        <f t="shared" si="1373"/>
        <v>#N/A</v>
      </c>
      <c r="L6726" t="e">
        <f t="shared" si="1374"/>
        <v>#N/A</v>
      </c>
      <c r="M6726" s="4" t="e">
        <f t="shared" si="1375"/>
        <v>#N/A</v>
      </c>
      <c r="N6726" s="4" t="e">
        <f t="shared" si="1376"/>
        <v>#N/A</v>
      </c>
    </row>
    <row r="6727" spans="1:14">
      <c r="A6727">
        <f t="shared" si="1377"/>
        <v>0</v>
      </c>
      <c r="B6727">
        <f t="shared" si="1378"/>
        <v>0</v>
      </c>
      <c r="C6727">
        <f t="shared" si="1379"/>
        <v>0</v>
      </c>
      <c r="D6727">
        <f t="shared" si="1380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81"/>
        <v>0</v>
      </c>
      <c r="G6727">
        <f t="shared" si="1382"/>
        <v>0</v>
      </c>
      <c r="H6727">
        <f t="shared" si="1383"/>
        <v>0</v>
      </c>
      <c r="I6727">
        <f t="shared" si="1384"/>
        <v>0</v>
      </c>
      <c r="J6727">
        <f t="shared" si="1385"/>
        <v>0</v>
      </c>
      <c r="K6727" s="4" t="e">
        <f t="shared" si="1373"/>
        <v>#N/A</v>
      </c>
      <c r="L6727" t="e">
        <f t="shared" si="1374"/>
        <v>#N/A</v>
      </c>
      <c r="M6727" s="4" t="e">
        <f t="shared" si="1375"/>
        <v>#N/A</v>
      </c>
      <c r="N6727" s="4" t="e">
        <f t="shared" si="1376"/>
        <v>#N/A</v>
      </c>
    </row>
    <row r="6728" spans="1:14">
      <c r="A6728">
        <f t="shared" si="1377"/>
        <v>0</v>
      </c>
      <c r="B6728">
        <f t="shared" si="1378"/>
        <v>0</v>
      </c>
      <c r="C6728">
        <f t="shared" si="1379"/>
        <v>0</v>
      </c>
      <c r="D6728">
        <f t="shared" si="1380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81"/>
        <v>0</v>
      </c>
      <c r="G6728">
        <f t="shared" si="1382"/>
        <v>0</v>
      </c>
      <c r="H6728">
        <f t="shared" si="1383"/>
        <v>0</v>
      </c>
      <c r="I6728">
        <f t="shared" si="1384"/>
        <v>0</v>
      </c>
      <c r="J6728">
        <f t="shared" si="1385"/>
        <v>0</v>
      </c>
      <c r="K6728" s="4" t="e">
        <f t="shared" si="1373"/>
        <v>#N/A</v>
      </c>
      <c r="L6728" t="e">
        <f t="shared" si="1374"/>
        <v>#N/A</v>
      </c>
      <c r="M6728" s="4" t="e">
        <f t="shared" si="1375"/>
        <v>#N/A</v>
      </c>
      <c r="N6728" s="4" t="e">
        <f t="shared" si="1376"/>
        <v>#N/A</v>
      </c>
    </row>
    <row r="6729" spans="1:14">
      <c r="A6729">
        <f t="shared" si="1377"/>
        <v>0</v>
      </c>
      <c r="B6729">
        <f t="shared" si="1378"/>
        <v>0</v>
      </c>
      <c r="C6729">
        <f t="shared" si="1379"/>
        <v>0</v>
      </c>
      <c r="D6729">
        <f t="shared" si="1380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81"/>
        <v>0</v>
      </c>
      <c r="G6729">
        <f t="shared" si="1382"/>
        <v>0</v>
      </c>
      <c r="H6729">
        <f t="shared" si="1383"/>
        <v>0</v>
      </c>
      <c r="I6729">
        <f t="shared" si="1384"/>
        <v>0</v>
      </c>
      <c r="J6729">
        <f t="shared" si="1385"/>
        <v>0</v>
      </c>
      <c r="K6729" s="4" t="e">
        <f t="shared" si="1373"/>
        <v>#N/A</v>
      </c>
      <c r="L6729" t="e">
        <f t="shared" si="1374"/>
        <v>#N/A</v>
      </c>
      <c r="M6729" s="4" t="e">
        <f t="shared" si="1375"/>
        <v>#N/A</v>
      </c>
      <c r="N6729" s="4" t="e">
        <f t="shared" si="1376"/>
        <v>#N/A</v>
      </c>
    </row>
    <row r="6730" spans="1:14">
      <c r="A6730">
        <f t="shared" si="1377"/>
        <v>0</v>
      </c>
      <c r="B6730">
        <f t="shared" si="1378"/>
        <v>0</v>
      </c>
      <c r="C6730">
        <f t="shared" si="1379"/>
        <v>0</v>
      </c>
      <c r="D6730">
        <f t="shared" si="1380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81"/>
        <v>0</v>
      </c>
      <c r="G6730">
        <f t="shared" si="1382"/>
        <v>0</v>
      </c>
      <c r="H6730">
        <f t="shared" si="1383"/>
        <v>0</v>
      </c>
      <c r="I6730">
        <f t="shared" si="1384"/>
        <v>0</v>
      </c>
      <c r="J6730">
        <f t="shared" si="1385"/>
        <v>0</v>
      </c>
      <c r="K6730" s="4" t="e">
        <f t="shared" si="1373"/>
        <v>#N/A</v>
      </c>
      <c r="L6730" t="e">
        <f t="shared" si="1374"/>
        <v>#N/A</v>
      </c>
      <c r="M6730" s="4" t="e">
        <f t="shared" si="1375"/>
        <v>#N/A</v>
      </c>
      <c r="N6730" s="4" t="e">
        <f t="shared" si="1376"/>
        <v>#N/A</v>
      </c>
    </row>
    <row r="6731" spans="1:14">
      <c r="A6731">
        <f t="shared" si="1377"/>
        <v>0</v>
      </c>
      <c r="B6731">
        <f t="shared" si="1378"/>
        <v>0</v>
      </c>
      <c r="C6731">
        <f t="shared" si="1379"/>
        <v>0</v>
      </c>
      <c r="D6731">
        <f t="shared" si="1380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81"/>
        <v>0</v>
      </c>
      <c r="G6731">
        <f t="shared" si="1382"/>
        <v>0</v>
      </c>
      <c r="H6731">
        <f t="shared" si="1383"/>
        <v>0</v>
      </c>
      <c r="I6731">
        <f t="shared" si="1384"/>
        <v>0</v>
      </c>
      <c r="J6731">
        <f t="shared" si="1385"/>
        <v>0</v>
      </c>
      <c r="K6731" s="4" t="e">
        <f t="shared" si="1373"/>
        <v>#N/A</v>
      </c>
      <c r="L6731" t="e">
        <f t="shared" si="1374"/>
        <v>#N/A</v>
      </c>
      <c r="M6731" s="4" t="e">
        <f t="shared" si="1375"/>
        <v>#N/A</v>
      </c>
      <c r="N6731" s="4" t="e">
        <f t="shared" si="1376"/>
        <v>#N/A</v>
      </c>
    </row>
    <row r="6732" spans="1:14">
      <c r="A6732">
        <f t="shared" si="1377"/>
        <v>0</v>
      </c>
      <c r="B6732">
        <f t="shared" si="1378"/>
        <v>0</v>
      </c>
      <c r="C6732">
        <f t="shared" si="1379"/>
        <v>0</v>
      </c>
      <c r="D6732">
        <f t="shared" si="1380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81"/>
        <v>0</v>
      </c>
      <c r="G6732">
        <f t="shared" si="1382"/>
        <v>0</v>
      </c>
      <c r="H6732">
        <f t="shared" si="1383"/>
        <v>0</v>
      </c>
      <c r="I6732">
        <f t="shared" si="1384"/>
        <v>0</v>
      </c>
      <c r="J6732">
        <f t="shared" si="1385"/>
        <v>0</v>
      </c>
      <c r="K6732" s="4" t="e">
        <f t="shared" si="1373"/>
        <v>#N/A</v>
      </c>
      <c r="L6732" t="e">
        <f t="shared" si="1374"/>
        <v>#N/A</v>
      </c>
      <c r="M6732" s="4" t="e">
        <f t="shared" si="1375"/>
        <v>#N/A</v>
      </c>
      <c r="N6732" s="4" t="e">
        <f t="shared" si="1376"/>
        <v>#N/A</v>
      </c>
    </row>
    <row r="6733" spans="1:14">
      <c r="A6733">
        <f t="shared" si="1377"/>
        <v>0</v>
      </c>
      <c r="B6733">
        <f t="shared" si="1378"/>
        <v>0</v>
      </c>
      <c r="C6733">
        <f t="shared" si="1379"/>
        <v>0</v>
      </c>
      <c r="D6733">
        <f t="shared" si="1380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81"/>
        <v>0</v>
      </c>
      <c r="G6733">
        <f t="shared" si="1382"/>
        <v>0</v>
      </c>
      <c r="H6733">
        <f t="shared" si="1383"/>
        <v>0</v>
      </c>
      <c r="I6733">
        <f t="shared" si="1384"/>
        <v>0</v>
      </c>
      <c r="J6733">
        <f t="shared" si="1385"/>
        <v>0</v>
      </c>
      <c r="K6733" s="4" t="e">
        <f t="shared" si="1373"/>
        <v>#N/A</v>
      </c>
      <c r="L6733" t="e">
        <f t="shared" si="1374"/>
        <v>#N/A</v>
      </c>
      <c r="M6733" s="4" t="e">
        <f t="shared" si="1375"/>
        <v>#N/A</v>
      </c>
      <c r="N6733" s="4" t="e">
        <f t="shared" si="1376"/>
        <v>#N/A</v>
      </c>
    </row>
    <row r="6734" spans="1:14">
      <c r="A6734">
        <f t="shared" si="1377"/>
        <v>0</v>
      </c>
      <c r="B6734">
        <f t="shared" si="1378"/>
        <v>0</v>
      </c>
      <c r="C6734">
        <f t="shared" si="1379"/>
        <v>0</v>
      </c>
      <c r="D6734">
        <f t="shared" si="1380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81"/>
        <v>0</v>
      </c>
      <c r="G6734">
        <f t="shared" si="1382"/>
        <v>0</v>
      </c>
      <c r="H6734">
        <f t="shared" si="1383"/>
        <v>0</v>
      </c>
      <c r="I6734">
        <f t="shared" si="1384"/>
        <v>0</v>
      </c>
      <c r="J6734">
        <f t="shared" si="1385"/>
        <v>0</v>
      </c>
      <c r="K6734" s="4" t="e">
        <f t="shared" si="1373"/>
        <v>#N/A</v>
      </c>
      <c r="L6734" t="e">
        <f t="shared" si="1374"/>
        <v>#N/A</v>
      </c>
      <c r="M6734" s="4" t="e">
        <f t="shared" si="1375"/>
        <v>#N/A</v>
      </c>
      <c r="N6734" s="4" t="e">
        <f t="shared" si="1376"/>
        <v>#N/A</v>
      </c>
    </row>
    <row r="6735" spans="1:14">
      <c r="A6735">
        <f t="shared" si="1377"/>
        <v>0</v>
      </c>
      <c r="B6735">
        <f t="shared" si="1378"/>
        <v>0</v>
      </c>
      <c r="C6735">
        <f t="shared" si="1379"/>
        <v>0</v>
      </c>
      <c r="D6735">
        <f t="shared" si="1380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81"/>
        <v>0</v>
      </c>
      <c r="G6735">
        <f t="shared" si="1382"/>
        <v>0</v>
      </c>
      <c r="H6735">
        <f t="shared" si="1383"/>
        <v>0</v>
      </c>
      <c r="I6735">
        <f t="shared" si="1384"/>
        <v>0</v>
      </c>
      <c r="J6735">
        <f t="shared" si="1385"/>
        <v>0</v>
      </c>
      <c r="K6735" s="4" t="e">
        <f t="shared" si="1373"/>
        <v>#N/A</v>
      </c>
      <c r="L6735" t="e">
        <f t="shared" si="1374"/>
        <v>#N/A</v>
      </c>
      <c r="M6735" s="4" t="e">
        <f t="shared" si="1375"/>
        <v>#N/A</v>
      </c>
      <c r="N6735" s="4" t="e">
        <f t="shared" si="1376"/>
        <v>#N/A</v>
      </c>
    </row>
    <row r="6736" spans="1:14">
      <c r="A6736">
        <f t="shared" si="1377"/>
        <v>0</v>
      </c>
      <c r="B6736">
        <f t="shared" si="1378"/>
        <v>0</v>
      </c>
      <c r="C6736">
        <f t="shared" si="1379"/>
        <v>0</v>
      </c>
      <c r="D6736">
        <f t="shared" si="1380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81"/>
        <v>0</v>
      </c>
      <c r="G6736">
        <f t="shared" si="1382"/>
        <v>0</v>
      </c>
      <c r="H6736">
        <f t="shared" si="1383"/>
        <v>0</v>
      </c>
      <c r="I6736">
        <f t="shared" si="1384"/>
        <v>0</v>
      </c>
      <c r="J6736">
        <f t="shared" si="1385"/>
        <v>0</v>
      </c>
      <c r="K6736" s="4" t="e">
        <f t="shared" si="1373"/>
        <v>#N/A</v>
      </c>
      <c r="L6736" t="e">
        <f t="shared" si="1374"/>
        <v>#N/A</v>
      </c>
      <c r="M6736" s="4" t="e">
        <f t="shared" si="1375"/>
        <v>#N/A</v>
      </c>
      <c r="N6736" s="4" t="e">
        <f t="shared" si="1376"/>
        <v>#N/A</v>
      </c>
    </row>
    <row r="6737" spans="1:14">
      <c r="A6737">
        <f t="shared" si="1377"/>
        <v>0</v>
      </c>
      <c r="B6737">
        <f t="shared" si="1378"/>
        <v>0</v>
      </c>
      <c r="C6737">
        <f t="shared" si="1379"/>
        <v>0</v>
      </c>
      <c r="D6737">
        <f t="shared" si="1380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81"/>
        <v>0</v>
      </c>
      <c r="G6737">
        <f t="shared" si="1382"/>
        <v>0</v>
      </c>
      <c r="H6737">
        <f t="shared" si="1383"/>
        <v>0</v>
      </c>
      <c r="I6737">
        <f t="shared" si="1384"/>
        <v>0</v>
      </c>
      <c r="J6737">
        <f t="shared" si="1385"/>
        <v>0</v>
      </c>
      <c r="K6737" s="4" t="e">
        <f t="shared" si="1373"/>
        <v>#N/A</v>
      </c>
      <c r="L6737" t="e">
        <f t="shared" si="1374"/>
        <v>#N/A</v>
      </c>
      <c r="M6737" s="4" t="e">
        <f t="shared" si="1375"/>
        <v>#N/A</v>
      </c>
      <c r="N6737" s="4" t="e">
        <f t="shared" si="1376"/>
        <v>#N/A</v>
      </c>
    </row>
    <row r="6738" spans="1:14">
      <c r="A6738">
        <f t="shared" si="1377"/>
        <v>0</v>
      </c>
      <c r="B6738">
        <f t="shared" si="1378"/>
        <v>0</v>
      </c>
      <c r="C6738">
        <f t="shared" si="1379"/>
        <v>0</v>
      </c>
      <c r="D6738">
        <f t="shared" si="1380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81"/>
        <v>0</v>
      </c>
      <c r="G6738">
        <f t="shared" si="1382"/>
        <v>0</v>
      </c>
      <c r="H6738">
        <f t="shared" si="1383"/>
        <v>0</v>
      </c>
      <c r="I6738">
        <f t="shared" si="1384"/>
        <v>0</v>
      </c>
      <c r="J6738">
        <f t="shared" si="1385"/>
        <v>0</v>
      </c>
      <c r="K6738" s="4" t="e">
        <f t="shared" si="1373"/>
        <v>#N/A</v>
      </c>
      <c r="L6738" t="e">
        <f t="shared" si="1374"/>
        <v>#N/A</v>
      </c>
      <c r="M6738" s="4" t="e">
        <f t="shared" si="1375"/>
        <v>#N/A</v>
      </c>
      <c r="N6738" s="4" t="e">
        <f t="shared" si="1376"/>
        <v>#N/A</v>
      </c>
    </row>
    <row r="6739" spans="1:14">
      <c r="A6739">
        <f t="shared" si="1377"/>
        <v>0</v>
      </c>
      <c r="B6739">
        <f t="shared" si="1378"/>
        <v>0</v>
      </c>
      <c r="C6739">
        <f t="shared" si="1379"/>
        <v>0</v>
      </c>
      <c r="D6739">
        <f t="shared" si="1380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81"/>
        <v>0</v>
      </c>
      <c r="G6739">
        <f t="shared" si="1382"/>
        <v>0</v>
      </c>
      <c r="H6739">
        <f t="shared" si="1383"/>
        <v>0</v>
      </c>
      <c r="I6739">
        <f t="shared" si="1384"/>
        <v>0</v>
      </c>
      <c r="J6739">
        <f t="shared" si="1385"/>
        <v>0</v>
      </c>
      <c r="K6739" s="4" t="e">
        <f t="shared" si="1373"/>
        <v>#N/A</v>
      </c>
      <c r="L6739" t="e">
        <f t="shared" si="1374"/>
        <v>#N/A</v>
      </c>
      <c r="M6739" s="4" t="e">
        <f t="shared" si="1375"/>
        <v>#N/A</v>
      </c>
      <c r="N6739" s="4" t="e">
        <f t="shared" si="1376"/>
        <v>#N/A</v>
      </c>
    </row>
    <row r="6740" spans="1:14">
      <c r="A6740">
        <f t="shared" si="1377"/>
        <v>0</v>
      </c>
      <c r="B6740">
        <f t="shared" si="1378"/>
        <v>0</v>
      </c>
      <c r="C6740">
        <f t="shared" si="1379"/>
        <v>0</v>
      </c>
      <c r="D6740">
        <f t="shared" si="1380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81"/>
        <v>0</v>
      </c>
      <c r="G6740">
        <f t="shared" si="1382"/>
        <v>0</v>
      </c>
      <c r="H6740">
        <f t="shared" si="1383"/>
        <v>0</v>
      </c>
      <c r="I6740">
        <f t="shared" si="1384"/>
        <v>0</v>
      </c>
      <c r="J6740">
        <f t="shared" si="1385"/>
        <v>0</v>
      </c>
      <c r="K6740" s="4" t="e">
        <f t="shared" si="1373"/>
        <v>#N/A</v>
      </c>
      <c r="L6740" t="e">
        <f t="shared" si="1374"/>
        <v>#N/A</v>
      </c>
      <c r="M6740" s="4" t="e">
        <f t="shared" si="1375"/>
        <v>#N/A</v>
      </c>
      <c r="N6740" s="4" t="e">
        <f t="shared" si="1376"/>
        <v>#N/A</v>
      </c>
    </row>
    <row r="6741" spans="1:14">
      <c r="A6741">
        <f t="shared" si="1377"/>
        <v>0</v>
      </c>
      <c r="B6741">
        <f t="shared" si="1378"/>
        <v>0</v>
      </c>
      <c r="C6741">
        <f t="shared" si="1379"/>
        <v>0</v>
      </c>
      <c r="D6741">
        <f t="shared" si="1380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81"/>
        <v>0</v>
      </c>
      <c r="G6741">
        <f t="shared" si="1382"/>
        <v>0</v>
      </c>
      <c r="H6741">
        <f t="shared" si="1383"/>
        <v>0</v>
      </c>
      <c r="I6741">
        <f t="shared" si="1384"/>
        <v>0</v>
      </c>
      <c r="J6741">
        <f t="shared" si="1385"/>
        <v>0</v>
      </c>
      <c r="K6741" s="4" t="e">
        <f t="shared" si="1373"/>
        <v>#N/A</v>
      </c>
      <c r="L6741" t="e">
        <f t="shared" si="1374"/>
        <v>#N/A</v>
      </c>
      <c r="M6741" s="4" t="e">
        <f t="shared" si="1375"/>
        <v>#N/A</v>
      </c>
      <c r="N6741" s="4" t="e">
        <f t="shared" si="1376"/>
        <v>#N/A</v>
      </c>
    </row>
    <row r="6742" spans="1:14">
      <c r="A6742">
        <f t="shared" si="1377"/>
        <v>0</v>
      </c>
      <c r="B6742">
        <f t="shared" si="1378"/>
        <v>0</v>
      </c>
      <c r="C6742">
        <f t="shared" si="1379"/>
        <v>0</v>
      </c>
      <c r="D6742">
        <f t="shared" si="1380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81"/>
        <v>0</v>
      </c>
      <c r="G6742">
        <f t="shared" si="1382"/>
        <v>0</v>
      </c>
      <c r="H6742">
        <f t="shared" si="1383"/>
        <v>0</v>
      </c>
      <c r="I6742">
        <f t="shared" si="1384"/>
        <v>0</v>
      </c>
      <c r="J6742">
        <f t="shared" si="1385"/>
        <v>0</v>
      </c>
      <c r="K6742" s="4" t="e">
        <f t="shared" si="1373"/>
        <v>#N/A</v>
      </c>
      <c r="L6742" t="e">
        <f t="shared" si="1374"/>
        <v>#N/A</v>
      </c>
      <c r="M6742" s="4" t="e">
        <f t="shared" si="1375"/>
        <v>#N/A</v>
      </c>
      <c r="N6742" s="4" t="e">
        <f t="shared" si="1376"/>
        <v>#N/A</v>
      </c>
    </row>
    <row r="6743" spans="1:14">
      <c r="A6743">
        <f t="shared" si="1377"/>
        <v>0</v>
      </c>
      <c r="B6743">
        <f t="shared" si="1378"/>
        <v>0</v>
      </c>
      <c r="C6743">
        <f t="shared" si="1379"/>
        <v>0</v>
      </c>
      <c r="D6743">
        <f t="shared" si="1380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81"/>
        <v>0</v>
      </c>
      <c r="G6743">
        <f t="shared" si="1382"/>
        <v>0</v>
      </c>
      <c r="H6743">
        <f t="shared" si="1383"/>
        <v>0</v>
      </c>
      <c r="I6743">
        <f t="shared" si="1384"/>
        <v>0</v>
      </c>
      <c r="J6743">
        <f t="shared" si="1385"/>
        <v>0</v>
      </c>
      <c r="K6743" s="4" t="e">
        <f t="shared" si="1373"/>
        <v>#N/A</v>
      </c>
      <c r="L6743" t="e">
        <f t="shared" si="1374"/>
        <v>#N/A</v>
      </c>
      <c r="M6743" s="4" t="e">
        <f t="shared" si="1375"/>
        <v>#N/A</v>
      </c>
      <c r="N6743" s="4" t="e">
        <f t="shared" si="1376"/>
        <v>#N/A</v>
      </c>
    </row>
    <row r="6744" spans="1:14">
      <c r="A6744">
        <f t="shared" si="1377"/>
        <v>0</v>
      </c>
      <c r="B6744">
        <f t="shared" si="1378"/>
        <v>0</v>
      </c>
      <c r="C6744">
        <f t="shared" si="1379"/>
        <v>0</v>
      </c>
      <c r="D6744">
        <f t="shared" si="1380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81"/>
        <v>0</v>
      </c>
      <c r="G6744">
        <f t="shared" si="1382"/>
        <v>0</v>
      </c>
      <c r="H6744">
        <f t="shared" si="1383"/>
        <v>0</v>
      </c>
      <c r="I6744">
        <f t="shared" si="1384"/>
        <v>0</v>
      </c>
      <c r="J6744">
        <f t="shared" si="1385"/>
        <v>0</v>
      </c>
      <c r="K6744" s="4" t="e">
        <f t="shared" si="1373"/>
        <v>#N/A</v>
      </c>
      <c r="L6744" t="e">
        <f t="shared" si="1374"/>
        <v>#N/A</v>
      </c>
      <c r="M6744" s="4" t="e">
        <f t="shared" si="1375"/>
        <v>#N/A</v>
      </c>
      <c r="N6744" s="4" t="e">
        <f t="shared" si="1376"/>
        <v>#N/A</v>
      </c>
    </row>
    <row r="6745" spans="1:14">
      <c r="A6745">
        <f t="shared" si="1377"/>
        <v>0</v>
      </c>
      <c r="B6745">
        <f t="shared" si="1378"/>
        <v>0</v>
      </c>
      <c r="C6745">
        <f t="shared" si="1379"/>
        <v>0</v>
      </c>
      <c r="D6745">
        <f t="shared" si="1380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81"/>
        <v>0</v>
      </c>
      <c r="G6745">
        <f t="shared" si="1382"/>
        <v>0</v>
      </c>
      <c r="H6745">
        <f t="shared" si="1383"/>
        <v>0</v>
      </c>
      <c r="I6745">
        <f t="shared" si="1384"/>
        <v>0</v>
      </c>
      <c r="J6745">
        <f t="shared" si="1385"/>
        <v>0</v>
      </c>
      <c r="K6745" s="4" t="e">
        <f t="shared" si="1373"/>
        <v>#N/A</v>
      </c>
      <c r="L6745" t="e">
        <f t="shared" si="1374"/>
        <v>#N/A</v>
      </c>
      <c r="M6745" s="4" t="e">
        <f t="shared" si="1375"/>
        <v>#N/A</v>
      </c>
      <c r="N6745" s="4" t="e">
        <f t="shared" si="1376"/>
        <v>#N/A</v>
      </c>
    </row>
    <row r="6746" spans="1:14">
      <c r="A6746">
        <f t="shared" si="1377"/>
        <v>0</v>
      </c>
      <c r="B6746">
        <f t="shared" si="1378"/>
        <v>0</v>
      </c>
      <c r="C6746">
        <f t="shared" si="1379"/>
        <v>0</v>
      </c>
      <c r="D6746">
        <f t="shared" si="1380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81"/>
        <v>0</v>
      </c>
      <c r="G6746">
        <f t="shared" si="1382"/>
        <v>0</v>
      </c>
      <c r="H6746">
        <f t="shared" si="1383"/>
        <v>0</v>
      </c>
      <c r="I6746">
        <f t="shared" si="1384"/>
        <v>0</v>
      </c>
      <c r="J6746">
        <f t="shared" si="1385"/>
        <v>0</v>
      </c>
      <c r="K6746" s="4" t="e">
        <f t="shared" si="1373"/>
        <v>#N/A</v>
      </c>
      <c r="L6746" t="e">
        <f t="shared" si="1374"/>
        <v>#N/A</v>
      </c>
      <c r="M6746" s="4" t="e">
        <f t="shared" si="1375"/>
        <v>#N/A</v>
      </c>
      <c r="N6746" s="4" t="e">
        <f t="shared" si="1376"/>
        <v>#N/A</v>
      </c>
    </row>
    <row r="6747" spans="1:14">
      <c r="A6747">
        <f t="shared" si="1377"/>
        <v>0</v>
      </c>
      <c r="B6747">
        <f t="shared" si="1378"/>
        <v>0</v>
      </c>
      <c r="C6747">
        <f t="shared" si="1379"/>
        <v>0</v>
      </c>
      <c r="D6747">
        <f t="shared" si="1380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81"/>
        <v>0</v>
      </c>
      <c r="G6747">
        <f t="shared" si="1382"/>
        <v>0</v>
      </c>
      <c r="H6747">
        <f t="shared" si="1383"/>
        <v>0</v>
      </c>
      <c r="I6747">
        <f t="shared" si="1384"/>
        <v>0</v>
      </c>
      <c r="J6747">
        <f t="shared" si="1385"/>
        <v>0</v>
      </c>
      <c r="K6747" s="4" t="e">
        <f t="shared" si="1373"/>
        <v>#N/A</v>
      </c>
      <c r="L6747" t="e">
        <f t="shared" si="1374"/>
        <v>#N/A</v>
      </c>
      <c r="M6747" s="4" t="e">
        <f t="shared" si="1375"/>
        <v>#N/A</v>
      </c>
      <c r="N6747" s="4" t="e">
        <f t="shared" si="1376"/>
        <v>#N/A</v>
      </c>
    </row>
    <row r="6748" spans="1:14">
      <c r="A6748">
        <f t="shared" si="1377"/>
        <v>0</v>
      </c>
      <c r="B6748">
        <f t="shared" si="1378"/>
        <v>0</v>
      </c>
      <c r="C6748">
        <f t="shared" si="1379"/>
        <v>0</v>
      </c>
      <c r="D6748">
        <f t="shared" si="1380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81"/>
        <v>0</v>
      </c>
      <c r="G6748">
        <f t="shared" si="1382"/>
        <v>0</v>
      </c>
      <c r="H6748">
        <f t="shared" si="1383"/>
        <v>0</v>
      </c>
      <c r="I6748">
        <f t="shared" si="1384"/>
        <v>0</v>
      </c>
      <c r="J6748">
        <f t="shared" si="1385"/>
        <v>0</v>
      </c>
      <c r="K6748" s="4" t="e">
        <f t="shared" si="1373"/>
        <v>#N/A</v>
      </c>
      <c r="L6748" t="e">
        <f t="shared" si="1374"/>
        <v>#N/A</v>
      </c>
      <c r="M6748" s="4" t="e">
        <f t="shared" si="1375"/>
        <v>#N/A</v>
      </c>
      <c r="N6748" s="4" t="e">
        <f t="shared" si="1376"/>
        <v>#N/A</v>
      </c>
    </row>
    <row r="6749" spans="1:14">
      <c r="A6749">
        <f t="shared" si="1377"/>
        <v>0</v>
      </c>
      <c r="B6749">
        <f t="shared" si="1378"/>
        <v>0</v>
      </c>
      <c r="C6749">
        <f t="shared" si="1379"/>
        <v>0</v>
      </c>
      <c r="D6749">
        <f t="shared" si="1380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81"/>
        <v>0</v>
      </c>
      <c r="G6749">
        <f t="shared" si="1382"/>
        <v>0</v>
      </c>
      <c r="H6749">
        <f t="shared" si="1383"/>
        <v>0</v>
      </c>
      <c r="I6749">
        <f t="shared" si="1384"/>
        <v>0</v>
      </c>
      <c r="J6749">
        <f t="shared" si="1385"/>
        <v>0</v>
      </c>
      <c r="K6749" s="4" t="e">
        <f t="shared" si="1373"/>
        <v>#N/A</v>
      </c>
      <c r="L6749" t="e">
        <f t="shared" si="1374"/>
        <v>#N/A</v>
      </c>
      <c r="M6749" s="4" t="e">
        <f t="shared" si="1375"/>
        <v>#N/A</v>
      </c>
      <c r="N6749" s="4" t="e">
        <f t="shared" si="1376"/>
        <v>#N/A</v>
      </c>
    </row>
    <row r="6750" spans="1:14">
      <c r="A6750">
        <f t="shared" si="1377"/>
        <v>0</v>
      </c>
      <c r="B6750">
        <f t="shared" si="1378"/>
        <v>0</v>
      </c>
      <c r="C6750">
        <f t="shared" si="1379"/>
        <v>0</v>
      </c>
      <c r="D6750">
        <f t="shared" si="1380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81"/>
        <v>0</v>
      </c>
      <c r="G6750">
        <f t="shared" si="1382"/>
        <v>0</v>
      </c>
      <c r="H6750">
        <f t="shared" si="1383"/>
        <v>0</v>
      </c>
      <c r="I6750">
        <f t="shared" si="1384"/>
        <v>0</v>
      </c>
      <c r="J6750">
        <f t="shared" si="1385"/>
        <v>0</v>
      </c>
      <c r="K6750" s="4" t="e">
        <f t="shared" si="1373"/>
        <v>#N/A</v>
      </c>
      <c r="L6750" t="e">
        <f t="shared" si="1374"/>
        <v>#N/A</v>
      </c>
      <c r="M6750" s="4" t="e">
        <f t="shared" si="1375"/>
        <v>#N/A</v>
      </c>
      <c r="N6750" s="4" t="e">
        <f t="shared" si="1376"/>
        <v>#N/A</v>
      </c>
    </row>
    <row r="6751" spans="1:14">
      <c r="A6751">
        <f t="shared" si="1377"/>
        <v>0</v>
      </c>
      <c r="B6751">
        <f t="shared" si="1378"/>
        <v>0</v>
      </c>
      <c r="C6751">
        <f t="shared" si="1379"/>
        <v>0</v>
      </c>
      <c r="D6751">
        <f t="shared" si="1380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81"/>
        <v>0</v>
      </c>
      <c r="G6751">
        <f t="shared" si="1382"/>
        <v>0</v>
      </c>
      <c r="H6751">
        <f t="shared" si="1383"/>
        <v>0</v>
      </c>
      <c r="I6751">
        <f t="shared" si="1384"/>
        <v>0</v>
      </c>
      <c r="J6751">
        <f t="shared" si="1385"/>
        <v>0</v>
      </c>
      <c r="K6751" s="4" t="e">
        <f t="shared" si="1373"/>
        <v>#N/A</v>
      </c>
      <c r="L6751" t="e">
        <f t="shared" si="1374"/>
        <v>#N/A</v>
      </c>
      <c r="M6751" s="4" t="e">
        <f t="shared" si="1375"/>
        <v>#N/A</v>
      </c>
      <c r="N6751" s="4" t="e">
        <f t="shared" si="1376"/>
        <v>#N/A</v>
      </c>
    </row>
    <row r="6752" spans="1:14">
      <c r="A6752">
        <f t="shared" si="1377"/>
        <v>0</v>
      </c>
      <c r="B6752">
        <f t="shared" si="1378"/>
        <v>0</v>
      </c>
      <c r="C6752">
        <f t="shared" si="1379"/>
        <v>0</v>
      </c>
      <c r="D6752">
        <f t="shared" si="1380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81"/>
        <v>0</v>
      </c>
      <c r="G6752">
        <f t="shared" si="1382"/>
        <v>0</v>
      </c>
      <c r="H6752">
        <f t="shared" si="1383"/>
        <v>0</v>
      </c>
      <c r="I6752">
        <f t="shared" si="1384"/>
        <v>0</v>
      </c>
      <c r="J6752">
        <f t="shared" si="1385"/>
        <v>0</v>
      </c>
      <c r="K6752" s="4" t="e">
        <f t="shared" si="1373"/>
        <v>#N/A</v>
      </c>
      <c r="L6752" t="e">
        <f t="shared" si="1374"/>
        <v>#N/A</v>
      </c>
      <c r="M6752" s="4" t="e">
        <f t="shared" si="1375"/>
        <v>#N/A</v>
      </c>
      <c r="N6752" s="4" t="e">
        <f t="shared" si="1376"/>
        <v>#N/A</v>
      </c>
    </row>
    <row r="6753" spans="1:14">
      <c r="A6753">
        <f t="shared" si="1377"/>
        <v>0</v>
      </c>
      <c r="B6753">
        <f t="shared" si="1378"/>
        <v>0</v>
      </c>
      <c r="C6753">
        <f t="shared" si="1379"/>
        <v>0</v>
      </c>
      <c r="D6753">
        <f t="shared" si="1380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81"/>
        <v>0</v>
      </c>
      <c r="G6753">
        <f t="shared" si="1382"/>
        <v>0</v>
      </c>
      <c r="H6753">
        <f t="shared" si="1383"/>
        <v>0</v>
      </c>
      <c r="I6753">
        <f t="shared" si="1384"/>
        <v>0</v>
      </c>
      <c r="J6753">
        <f t="shared" si="1385"/>
        <v>0</v>
      </c>
      <c r="K6753" s="4" t="e">
        <f t="shared" si="1373"/>
        <v>#N/A</v>
      </c>
      <c r="L6753" t="e">
        <f t="shared" si="1374"/>
        <v>#N/A</v>
      </c>
      <c r="M6753" s="4" t="e">
        <f t="shared" si="1375"/>
        <v>#N/A</v>
      </c>
      <c r="N6753" s="4" t="e">
        <f t="shared" si="1376"/>
        <v>#N/A</v>
      </c>
    </row>
    <row r="6754" spans="1:14">
      <c r="A6754">
        <f t="shared" si="1377"/>
        <v>0</v>
      </c>
      <c r="B6754">
        <f t="shared" si="1378"/>
        <v>0</v>
      </c>
      <c r="C6754">
        <f t="shared" si="1379"/>
        <v>0</v>
      </c>
      <c r="D6754">
        <f t="shared" si="1380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81"/>
        <v>0</v>
      </c>
      <c r="G6754">
        <f t="shared" si="1382"/>
        <v>0</v>
      </c>
      <c r="H6754">
        <f t="shared" si="1383"/>
        <v>0</v>
      </c>
      <c r="I6754">
        <f t="shared" si="1384"/>
        <v>0</v>
      </c>
      <c r="J6754">
        <f t="shared" si="1385"/>
        <v>0</v>
      </c>
      <c r="K6754" s="4" t="e">
        <f t="shared" si="1373"/>
        <v>#N/A</v>
      </c>
      <c r="L6754" t="e">
        <f t="shared" si="1374"/>
        <v>#N/A</v>
      </c>
      <c r="M6754" s="4" t="e">
        <f t="shared" si="1375"/>
        <v>#N/A</v>
      </c>
      <c r="N6754" s="4" t="e">
        <f t="shared" si="1376"/>
        <v>#N/A</v>
      </c>
    </row>
    <row r="6755" spans="1:14">
      <c r="A6755">
        <f t="shared" si="1377"/>
        <v>0</v>
      </c>
      <c r="B6755">
        <f t="shared" si="1378"/>
        <v>0</v>
      </c>
      <c r="C6755">
        <f t="shared" si="1379"/>
        <v>0</v>
      </c>
      <c r="D6755">
        <f t="shared" si="1380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81"/>
        <v>0</v>
      </c>
      <c r="G6755">
        <f t="shared" si="1382"/>
        <v>0</v>
      </c>
      <c r="H6755">
        <f t="shared" si="1383"/>
        <v>0</v>
      </c>
      <c r="I6755">
        <f t="shared" si="1384"/>
        <v>0</v>
      </c>
      <c r="J6755">
        <f t="shared" si="1385"/>
        <v>0</v>
      </c>
      <c r="K6755" s="4" t="e">
        <f t="shared" si="1373"/>
        <v>#N/A</v>
      </c>
      <c r="L6755" t="e">
        <f t="shared" si="1374"/>
        <v>#N/A</v>
      </c>
      <c r="M6755" s="4" t="e">
        <f t="shared" si="1375"/>
        <v>#N/A</v>
      </c>
      <c r="N6755" s="4" t="e">
        <f t="shared" si="1376"/>
        <v>#N/A</v>
      </c>
    </row>
    <row r="6756" spans="1:14">
      <c r="A6756">
        <f t="shared" si="1377"/>
        <v>0</v>
      </c>
      <c r="B6756">
        <f t="shared" si="1378"/>
        <v>0</v>
      </c>
      <c r="C6756">
        <f t="shared" si="1379"/>
        <v>0</v>
      </c>
      <c r="D6756">
        <f t="shared" si="1380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81"/>
        <v>0</v>
      </c>
      <c r="G6756">
        <f t="shared" si="1382"/>
        <v>0</v>
      </c>
      <c r="H6756">
        <f t="shared" si="1383"/>
        <v>0</v>
      </c>
      <c r="I6756">
        <f t="shared" si="1384"/>
        <v>0</v>
      </c>
      <c r="J6756">
        <f t="shared" si="1385"/>
        <v>0</v>
      </c>
      <c r="K6756" s="4" t="e">
        <f t="shared" si="1373"/>
        <v>#N/A</v>
      </c>
      <c r="L6756" t="e">
        <f t="shared" si="1374"/>
        <v>#N/A</v>
      </c>
      <c r="M6756" s="4" t="e">
        <f t="shared" si="1375"/>
        <v>#N/A</v>
      </c>
      <c r="N6756" s="4" t="e">
        <f t="shared" si="1376"/>
        <v>#N/A</v>
      </c>
    </row>
    <row r="6757" spans="1:14">
      <c r="A6757">
        <f t="shared" si="1377"/>
        <v>0</v>
      </c>
      <c r="B6757">
        <f t="shared" si="1378"/>
        <v>0</v>
      </c>
      <c r="C6757">
        <f t="shared" si="1379"/>
        <v>0</v>
      </c>
      <c r="D6757">
        <f t="shared" si="1380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81"/>
        <v>0</v>
      </c>
      <c r="G6757">
        <f t="shared" si="1382"/>
        <v>0</v>
      </c>
      <c r="H6757">
        <f t="shared" si="1383"/>
        <v>0</v>
      </c>
      <c r="I6757">
        <f t="shared" si="1384"/>
        <v>0</v>
      </c>
      <c r="J6757">
        <f t="shared" si="1385"/>
        <v>0</v>
      </c>
      <c r="K6757" s="4" t="e">
        <f t="shared" si="1373"/>
        <v>#N/A</v>
      </c>
      <c r="L6757" t="e">
        <f t="shared" si="1374"/>
        <v>#N/A</v>
      </c>
      <c r="M6757" s="4" t="e">
        <f t="shared" si="1375"/>
        <v>#N/A</v>
      </c>
      <c r="N6757" s="4" t="e">
        <f t="shared" si="1376"/>
        <v>#N/A</v>
      </c>
    </row>
    <row r="6758" spans="1:14">
      <c r="A6758">
        <f t="shared" si="1377"/>
        <v>0</v>
      </c>
      <c r="B6758">
        <f t="shared" si="1378"/>
        <v>0</v>
      </c>
      <c r="C6758">
        <f t="shared" si="1379"/>
        <v>0</v>
      </c>
      <c r="D6758">
        <f t="shared" si="1380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81"/>
        <v>0</v>
      </c>
      <c r="G6758">
        <f t="shared" si="1382"/>
        <v>0</v>
      </c>
      <c r="H6758">
        <f t="shared" si="1383"/>
        <v>0</v>
      </c>
      <c r="I6758">
        <f t="shared" si="1384"/>
        <v>0</v>
      </c>
      <c r="J6758">
        <f t="shared" si="1385"/>
        <v>0</v>
      </c>
      <c r="K6758" s="4" t="e">
        <f t="shared" si="1373"/>
        <v>#N/A</v>
      </c>
      <c r="L6758" t="e">
        <f t="shared" si="1374"/>
        <v>#N/A</v>
      </c>
      <c r="M6758" s="4" t="e">
        <f t="shared" si="1375"/>
        <v>#N/A</v>
      </c>
      <c r="N6758" s="4" t="e">
        <f t="shared" si="1376"/>
        <v>#N/A</v>
      </c>
    </row>
    <row r="6759" spans="1:14">
      <c r="A6759">
        <f t="shared" si="1377"/>
        <v>0</v>
      </c>
      <c r="B6759">
        <f t="shared" si="1378"/>
        <v>0</v>
      </c>
      <c r="C6759">
        <f t="shared" si="1379"/>
        <v>0</v>
      </c>
      <c r="D6759">
        <f t="shared" si="1380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81"/>
        <v>0</v>
      </c>
      <c r="G6759">
        <f t="shared" si="1382"/>
        <v>0</v>
      </c>
      <c r="H6759">
        <f t="shared" si="1383"/>
        <v>0</v>
      </c>
      <c r="I6759">
        <f t="shared" si="1384"/>
        <v>0</v>
      </c>
      <c r="J6759">
        <f t="shared" si="1385"/>
        <v>0</v>
      </c>
      <c r="K6759" s="4" t="e">
        <f t="shared" si="1373"/>
        <v>#N/A</v>
      </c>
      <c r="L6759" t="e">
        <f t="shared" si="1374"/>
        <v>#N/A</v>
      </c>
      <c r="M6759" s="4" t="e">
        <f t="shared" si="1375"/>
        <v>#N/A</v>
      </c>
      <c r="N6759" s="4" t="e">
        <f t="shared" si="1376"/>
        <v>#N/A</v>
      </c>
    </row>
    <row r="6760" spans="1:14">
      <c r="A6760">
        <f t="shared" si="1377"/>
        <v>0</v>
      </c>
      <c r="B6760">
        <f t="shared" si="1378"/>
        <v>0</v>
      </c>
      <c r="C6760">
        <f t="shared" si="1379"/>
        <v>0</v>
      </c>
      <c r="D6760">
        <f t="shared" si="1380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81"/>
        <v>0</v>
      </c>
      <c r="G6760">
        <f t="shared" si="1382"/>
        <v>0</v>
      </c>
      <c r="H6760">
        <f t="shared" si="1383"/>
        <v>0</v>
      </c>
      <c r="I6760">
        <f t="shared" si="1384"/>
        <v>0</v>
      </c>
      <c r="J6760">
        <f t="shared" si="1385"/>
        <v>0</v>
      </c>
      <c r="K6760" s="4" t="e">
        <f t="shared" si="1373"/>
        <v>#N/A</v>
      </c>
      <c r="L6760" t="e">
        <f t="shared" si="1374"/>
        <v>#N/A</v>
      </c>
      <c r="M6760" s="4" t="e">
        <f t="shared" si="1375"/>
        <v>#N/A</v>
      </c>
      <c r="N6760" s="4" t="e">
        <f t="shared" si="1376"/>
        <v>#N/A</v>
      </c>
    </row>
    <row r="6761" spans="1:14">
      <c r="A6761">
        <f t="shared" si="1377"/>
        <v>0</v>
      </c>
      <c r="B6761">
        <f t="shared" si="1378"/>
        <v>0</v>
      </c>
      <c r="C6761">
        <f t="shared" si="1379"/>
        <v>0</v>
      </c>
      <c r="D6761">
        <f t="shared" si="1380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81"/>
        <v>0</v>
      </c>
      <c r="G6761">
        <f t="shared" si="1382"/>
        <v>0</v>
      </c>
      <c r="H6761">
        <f t="shared" si="1383"/>
        <v>0</v>
      </c>
      <c r="I6761">
        <f t="shared" si="1384"/>
        <v>0</v>
      </c>
      <c r="J6761">
        <f t="shared" si="1385"/>
        <v>0</v>
      </c>
      <c r="K6761" s="4" t="e">
        <f t="shared" si="1373"/>
        <v>#N/A</v>
      </c>
      <c r="L6761" t="e">
        <f t="shared" si="1374"/>
        <v>#N/A</v>
      </c>
      <c r="M6761" s="4" t="e">
        <f t="shared" si="1375"/>
        <v>#N/A</v>
      </c>
      <c r="N6761" s="4" t="e">
        <f t="shared" si="1376"/>
        <v>#N/A</v>
      </c>
    </row>
    <row r="6762" spans="1:14">
      <c r="A6762">
        <f t="shared" si="1377"/>
        <v>0</v>
      </c>
      <c r="B6762">
        <f t="shared" si="1378"/>
        <v>0</v>
      </c>
      <c r="C6762">
        <f t="shared" si="1379"/>
        <v>0</v>
      </c>
      <c r="D6762">
        <f t="shared" si="1380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81"/>
        <v>0</v>
      </c>
      <c r="G6762">
        <f t="shared" si="1382"/>
        <v>0</v>
      </c>
      <c r="H6762">
        <f t="shared" si="1383"/>
        <v>0</v>
      </c>
      <c r="I6762">
        <f t="shared" si="1384"/>
        <v>0</v>
      </c>
      <c r="J6762">
        <f t="shared" si="1385"/>
        <v>0</v>
      </c>
      <c r="K6762" s="4" t="e">
        <f t="shared" si="1373"/>
        <v>#N/A</v>
      </c>
      <c r="L6762" t="e">
        <f t="shared" si="1374"/>
        <v>#N/A</v>
      </c>
      <c r="M6762" s="4" t="e">
        <f t="shared" si="1375"/>
        <v>#N/A</v>
      </c>
      <c r="N6762" s="4" t="e">
        <f t="shared" si="1376"/>
        <v>#N/A</v>
      </c>
    </row>
    <row r="6763" spans="1:14">
      <c r="A6763">
        <f t="shared" si="1377"/>
        <v>0</v>
      </c>
      <c r="B6763">
        <f t="shared" si="1378"/>
        <v>0</v>
      </c>
      <c r="C6763">
        <f t="shared" si="1379"/>
        <v>0</v>
      </c>
      <c r="D6763">
        <f t="shared" si="1380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81"/>
        <v>0</v>
      </c>
      <c r="G6763">
        <f t="shared" si="1382"/>
        <v>0</v>
      </c>
      <c r="H6763">
        <f t="shared" si="1383"/>
        <v>0</v>
      </c>
      <c r="I6763">
        <f t="shared" si="1384"/>
        <v>0</v>
      </c>
      <c r="J6763">
        <f t="shared" si="1385"/>
        <v>0</v>
      </c>
      <c r="K6763" s="4" t="e">
        <f t="shared" si="1373"/>
        <v>#N/A</v>
      </c>
      <c r="L6763" t="e">
        <f t="shared" si="1374"/>
        <v>#N/A</v>
      </c>
      <c r="M6763" s="4" t="e">
        <f t="shared" si="1375"/>
        <v>#N/A</v>
      </c>
      <c r="N6763" s="4" t="e">
        <f t="shared" si="1376"/>
        <v>#N/A</v>
      </c>
    </row>
    <row r="6764" spans="1:14">
      <c r="A6764">
        <f t="shared" si="1377"/>
        <v>0</v>
      </c>
      <c r="B6764">
        <f t="shared" si="1378"/>
        <v>0</v>
      </c>
      <c r="C6764">
        <f t="shared" si="1379"/>
        <v>0</v>
      </c>
      <c r="D6764">
        <f t="shared" si="1380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81"/>
        <v>0</v>
      </c>
      <c r="G6764">
        <f t="shared" si="1382"/>
        <v>0</v>
      </c>
      <c r="H6764">
        <f t="shared" si="1383"/>
        <v>0</v>
      </c>
      <c r="I6764">
        <f t="shared" si="1384"/>
        <v>0</v>
      </c>
      <c r="J6764">
        <f t="shared" si="1385"/>
        <v>0</v>
      </c>
      <c r="K6764" s="4" t="e">
        <f t="shared" si="1373"/>
        <v>#N/A</v>
      </c>
      <c r="L6764" t="e">
        <f t="shared" si="1374"/>
        <v>#N/A</v>
      </c>
      <c r="M6764" s="4" t="e">
        <f t="shared" si="1375"/>
        <v>#N/A</v>
      </c>
      <c r="N6764" s="4" t="e">
        <f t="shared" si="1376"/>
        <v>#N/A</v>
      </c>
    </row>
    <row r="6765" spans="1:14">
      <c r="A6765">
        <f t="shared" si="1377"/>
        <v>0</v>
      </c>
      <c r="B6765">
        <f t="shared" si="1378"/>
        <v>0</v>
      </c>
      <c r="C6765">
        <f t="shared" si="1379"/>
        <v>0</v>
      </c>
      <c r="D6765">
        <f t="shared" si="1380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81"/>
        <v>0</v>
      </c>
      <c r="G6765">
        <f t="shared" si="1382"/>
        <v>0</v>
      </c>
      <c r="H6765">
        <f t="shared" si="1383"/>
        <v>0</v>
      </c>
      <c r="I6765">
        <f t="shared" si="1384"/>
        <v>0</v>
      </c>
      <c r="J6765">
        <f t="shared" si="1385"/>
        <v>0</v>
      </c>
      <c r="K6765" s="4" t="e">
        <f t="shared" si="1373"/>
        <v>#N/A</v>
      </c>
      <c r="L6765" t="e">
        <f t="shared" si="1374"/>
        <v>#N/A</v>
      </c>
      <c r="M6765" s="4" t="e">
        <f t="shared" si="1375"/>
        <v>#N/A</v>
      </c>
      <c r="N6765" s="4" t="e">
        <f t="shared" si="1376"/>
        <v>#N/A</v>
      </c>
    </row>
    <row r="6766" spans="1:14">
      <c r="A6766">
        <f t="shared" si="1377"/>
        <v>0</v>
      </c>
      <c r="B6766">
        <f t="shared" si="1378"/>
        <v>0</v>
      </c>
      <c r="C6766">
        <f t="shared" si="1379"/>
        <v>0</v>
      </c>
      <c r="D6766">
        <f t="shared" si="1380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81"/>
        <v>0</v>
      </c>
      <c r="G6766">
        <f t="shared" si="1382"/>
        <v>0</v>
      </c>
      <c r="H6766">
        <f t="shared" si="1383"/>
        <v>0</v>
      </c>
      <c r="I6766">
        <f t="shared" si="1384"/>
        <v>0</v>
      </c>
      <c r="J6766">
        <f t="shared" si="1385"/>
        <v>0</v>
      </c>
      <c r="K6766" s="4" t="e">
        <f t="shared" si="1373"/>
        <v>#N/A</v>
      </c>
      <c r="L6766" t="e">
        <f t="shared" si="1374"/>
        <v>#N/A</v>
      </c>
      <c r="M6766" s="4" t="e">
        <f t="shared" si="1375"/>
        <v>#N/A</v>
      </c>
      <c r="N6766" s="4" t="e">
        <f t="shared" si="1376"/>
        <v>#N/A</v>
      </c>
    </row>
    <row r="6767" spans="1:14">
      <c r="A6767">
        <f t="shared" si="1377"/>
        <v>0</v>
      </c>
      <c r="B6767">
        <f t="shared" si="1378"/>
        <v>0</v>
      </c>
      <c r="C6767">
        <f t="shared" si="1379"/>
        <v>0</v>
      </c>
      <c r="D6767">
        <f t="shared" si="1380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81"/>
        <v>0</v>
      </c>
      <c r="G6767">
        <f t="shared" si="1382"/>
        <v>0</v>
      </c>
      <c r="H6767">
        <f t="shared" si="1383"/>
        <v>0</v>
      </c>
      <c r="I6767">
        <f t="shared" si="1384"/>
        <v>0</v>
      </c>
      <c r="J6767">
        <f t="shared" si="1385"/>
        <v>0</v>
      </c>
      <c r="K6767" s="4" t="e">
        <f t="shared" si="1373"/>
        <v>#N/A</v>
      </c>
      <c r="L6767" t="e">
        <f t="shared" si="1374"/>
        <v>#N/A</v>
      </c>
      <c r="M6767" s="4" t="e">
        <f t="shared" si="1375"/>
        <v>#N/A</v>
      </c>
      <c r="N6767" s="4" t="e">
        <f t="shared" si="1376"/>
        <v>#N/A</v>
      </c>
    </row>
    <row r="6768" spans="1:14">
      <c r="A6768">
        <f t="shared" si="1377"/>
        <v>0</v>
      </c>
      <c r="B6768">
        <f t="shared" si="1378"/>
        <v>0</v>
      </c>
      <c r="C6768">
        <f t="shared" si="1379"/>
        <v>0</v>
      </c>
      <c r="D6768">
        <f t="shared" si="1380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81"/>
        <v>0</v>
      </c>
      <c r="G6768">
        <f t="shared" si="1382"/>
        <v>0</v>
      </c>
      <c r="H6768">
        <f t="shared" si="1383"/>
        <v>0</v>
      </c>
      <c r="I6768">
        <f t="shared" si="1384"/>
        <v>0</v>
      </c>
      <c r="J6768">
        <f t="shared" si="1385"/>
        <v>0</v>
      </c>
      <c r="K6768" s="4" t="e">
        <f t="shared" si="1373"/>
        <v>#N/A</v>
      </c>
      <c r="L6768" t="e">
        <f t="shared" si="1374"/>
        <v>#N/A</v>
      </c>
      <c r="M6768" s="4" t="e">
        <f t="shared" si="1375"/>
        <v>#N/A</v>
      </c>
      <c r="N6768" s="4" t="e">
        <f t="shared" si="1376"/>
        <v>#N/A</v>
      </c>
    </row>
    <row r="6769" spans="1:14">
      <c r="A6769">
        <f t="shared" si="1377"/>
        <v>0</v>
      </c>
      <c r="B6769">
        <f t="shared" si="1378"/>
        <v>0</v>
      </c>
      <c r="C6769">
        <f t="shared" si="1379"/>
        <v>0</v>
      </c>
      <c r="D6769">
        <f t="shared" si="1380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81"/>
        <v>0</v>
      </c>
      <c r="G6769">
        <f t="shared" si="1382"/>
        <v>0</v>
      </c>
      <c r="H6769">
        <f t="shared" si="1383"/>
        <v>0</v>
      </c>
      <c r="I6769">
        <f t="shared" si="1384"/>
        <v>0</v>
      </c>
      <c r="J6769">
        <f t="shared" si="1385"/>
        <v>0</v>
      </c>
      <c r="K6769" s="4" t="e">
        <f t="shared" si="1373"/>
        <v>#N/A</v>
      </c>
      <c r="L6769" t="e">
        <f t="shared" si="1374"/>
        <v>#N/A</v>
      </c>
      <c r="M6769" s="4" t="e">
        <f t="shared" si="1375"/>
        <v>#N/A</v>
      </c>
      <c r="N6769" s="4" t="e">
        <f t="shared" si="1376"/>
        <v>#N/A</v>
      </c>
    </row>
    <row r="6770" spans="1:14">
      <c r="A6770">
        <f t="shared" si="1377"/>
        <v>0</v>
      </c>
      <c r="B6770">
        <f t="shared" si="1378"/>
        <v>0</v>
      </c>
      <c r="C6770">
        <f t="shared" si="1379"/>
        <v>0</v>
      </c>
      <c r="D6770">
        <f t="shared" si="1380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81"/>
        <v>0</v>
      </c>
      <c r="G6770">
        <f t="shared" si="1382"/>
        <v>0</v>
      </c>
      <c r="H6770">
        <f t="shared" si="1383"/>
        <v>0</v>
      </c>
      <c r="I6770">
        <f t="shared" si="1384"/>
        <v>0</v>
      </c>
      <c r="J6770">
        <f t="shared" si="1385"/>
        <v>0</v>
      </c>
      <c r="K6770" s="4" t="e">
        <f t="shared" si="1373"/>
        <v>#N/A</v>
      </c>
      <c r="L6770" t="e">
        <f t="shared" si="1374"/>
        <v>#N/A</v>
      </c>
      <c r="M6770" s="4" t="e">
        <f t="shared" si="1375"/>
        <v>#N/A</v>
      </c>
      <c r="N6770" s="4" t="e">
        <f t="shared" si="1376"/>
        <v>#N/A</v>
      </c>
    </row>
    <row r="6771" spans="1:14">
      <c r="A6771">
        <f t="shared" si="1377"/>
        <v>0</v>
      </c>
      <c r="B6771">
        <f t="shared" si="1378"/>
        <v>0</v>
      </c>
      <c r="C6771">
        <f t="shared" si="1379"/>
        <v>0</v>
      </c>
      <c r="D6771">
        <f t="shared" si="1380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81"/>
        <v>0</v>
      </c>
      <c r="G6771">
        <f t="shared" si="1382"/>
        <v>0</v>
      </c>
      <c r="H6771">
        <f t="shared" si="1383"/>
        <v>0</v>
      </c>
      <c r="I6771">
        <f t="shared" si="1384"/>
        <v>0</v>
      </c>
      <c r="J6771">
        <f t="shared" si="1385"/>
        <v>0</v>
      </c>
      <c r="K6771" s="4" t="e">
        <f t="shared" si="1373"/>
        <v>#N/A</v>
      </c>
      <c r="L6771" t="e">
        <f t="shared" si="1374"/>
        <v>#N/A</v>
      </c>
      <c r="M6771" s="4" t="e">
        <f t="shared" si="1375"/>
        <v>#N/A</v>
      </c>
      <c r="N6771" s="4" t="e">
        <f t="shared" si="1376"/>
        <v>#N/A</v>
      </c>
    </row>
    <row r="6772" spans="1:14">
      <c r="A6772">
        <f t="shared" si="1377"/>
        <v>0</v>
      </c>
      <c r="B6772">
        <f t="shared" si="1378"/>
        <v>0</v>
      </c>
      <c r="C6772">
        <f t="shared" si="1379"/>
        <v>0</v>
      </c>
      <c r="D6772">
        <f t="shared" si="1380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81"/>
        <v>0</v>
      </c>
      <c r="G6772">
        <f t="shared" si="1382"/>
        <v>0</v>
      </c>
      <c r="H6772">
        <f t="shared" si="1383"/>
        <v>0</v>
      </c>
      <c r="I6772">
        <f t="shared" si="1384"/>
        <v>0</v>
      </c>
      <c r="J6772">
        <f t="shared" si="1385"/>
        <v>0</v>
      </c>
      <c r="K6772" s="4" t="e">
        <f t="shared" si="1373"/>
        <v>#N/A</v>
      </c>
      <c r="L6772" t="e">
        <f t="shared" si="1374"/>
        <v>#N/A</v>
      </c>
      <c r="M6772" s="4" t="e">
        <f t="shared" si="1375"/>
        <v>#N/A</v>
      </c>
      <c r="N6772" s="4" t="e">
        <f t="shared" si="1376"/>
        <v>#N/A</v>
      </c>
    </row>
    <row r="6773" spans="1:14">
      <c r="A6773">
        <f t="shared" si="1377"/>
        <v>0</v>
      </c>
      <c r="B6773">
        <f t="shared" si="1378"/>
        <v>0</v>
      </c>
      <c r="C6773">
        <f t="shared" si="1379"/>
        <v>0</v>
      </c>
      <c r="D6773">
        <f t="shared" si="1380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81"/>
        <v>0</v>
      </c>
      <c r="G6773">
        <f t="shared" si="1382"/>
        <v>0</v>
      </c>
      <c r="H6773">
        <f t="shared" si="1383"/>
        <v>0</v>
      </c>
      <c r="I6773">
        <f t="shared" si="1384"/>
        <v>0</v>
      </c>
      <c r="J6773">
        <f t="shared" si="1385"/>
        <v>0</v>
      </c>
      <c r="K6773" s="4" t="e">
        <f t="shared" si="1373"/>
        <v>#N/A</v>
      </c>
      <c r="L6773" t="e">
        <f t="shared" si="1374"/>
        <v>#N/A</v>
      </c>
      <c r="M6773" s="4" t="e">
        <f t="shared" si="1375"/>
        <v>#N/A</v>
      </c>
      <c r="N6773" s="4" t="e">
        <f t="shared" si="1376"/>
        <v>#N/A</v>
      </c>
    </row>
    <row r="6774" spans="1:14">
      <c r="A6774">
        <f t="shared" si="1377"/>
        <v>0</v>
      </c>
      <c r="B6774">
        <f t="shared" si="1378"/>
        <v>0</v>
      </c>
      <c r="C6774">
        <f t="shared" si="1379"/>
        <v>0</v>
      </c>
      <c r="D6774">
        <f t="shared" si="1380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81"/>
        <v>0</v>
      </c>
      <c r="G6774">
        <f t="shared" si="1382"/>
        <v>0</v>
      </c>
      <c r="H6774">
        <f t="shared" si="1383"/>
        <v>0</v>
      </c>
      <c r="I6774">
        <f t="shared" si="1384"/>
        <v>0</v>
      </c>
      <c r="J6774">
        <f t="shared" si="1385"/>
        <v>0</v>
      </c>
      <c r="K6774" s="4" t="e">
        <f t="shared" si="1373"/>
        <v>#N/A</v>
      </c>
      <c r="L6774" t="e">
        <f t="shared" si="1374"/>
        <v>#N/A</v>
      </c>
      <c r="M6774" s="4" t="e">
        <f t="shared" si="1375"/>
        <v>#N/A</v>
      </c>
      <c r="N6774" s="4" t="e">
        <f t="shared" si="1376"/>
        <v>#N/A</v>
      </c>
    </row>
    <row r="6775" spans="1:14">
      <c r="A6775">
        <f t="shared" si="1377"/>
        <v>0</v>
      </c>
      <c r="B6775">
        <f t="shared" si="1378"/>
        <v>0</v>
      </c>
      <c r="C6775">
        <f t="shared" si="1379"/>
        <v>0</v>
      </c>
      <c r="D6775">
        <f t="shared" si="1380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81"/>
        <v>0</v>
      </c>
      <c r="G6775">
        <f t="shared" si="1382"/>
        <v>0</v>
      </c>
      <c r="H6775">
        <f t="shared" si="1383"/>
        <v>0</v>
      </c>
      <c r="I6775">
        <f t="shared" si="1384"/>
        <v>0</v>
      </c>
      <c r="J6775">
        <f t="shared" si="1385"/>
        <v>0</v>
      </c>
      <c r="K6775" s="4" t="e">
        <f t="shared" si="1373"/>
        <v>#N/A</v>
      </c>
      <c r="L6775" t="e">
        <f t="shared" si="1374"/>
        <v>#N/A</v>
      </c>
      <c r="M6775" s="4" t="e">
        <f t="shared" si="1375"/>
        <v>#N/A</v>
      </c>
      <c r="N6775" s="4" t="e">
        <f t="shared" si="1376"/>
        <v>#N/A</v>
      </c>
    </row>
    <row r="6776" spans="1:14">
      <c r="A6776">
        <f t="shared" si="1377"/>
        <v>0</v>
      </c>
      <c r="B6776">
        <f t="shared" si="1378"/>
        <v>0</v>
      </c>
      <c r="C6776">
        <f t="shared" si="1379"/>
        <v>0</v>
      </c>
      <c r="D6776">
        <f t="shared" si="1380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81"/>
        <v>0</v>
      </c>
      <c r="G6776">
        <f t="shared" si="1382"/>
        <v>0</v>
      </c>
      <c r="H6776">
        <f t="shared" si="1383"/>
        <v>0</v>
      </c>
      <c r="I6776">
        <f t="shared" si="1384"/>
        <v>0</v>
      </c>
      <c r="J6776">
        <f t="shared" si="1385"/>
        <v>0</v>
      </c>
      <c r="K6776" s="4" t="e">
        <f t="shared" si="1373"/>
        <v>#N/A</v>
      </c>
      <c r="L6776" t="e">
        <f t="shared" si="1374"/>
        <v>#N/A</v>
      </c>
      <c r="M6776" s="4" t="e">
        <f t="shared" si="1375"/>
        <v>#N/A</v>
      </c>
      <c r="N6776" s="4" t="e">
        <f t="shared" si="1376"/>
        <v>#N/A</v>
      </c>
    </row>
    <row r="6777" spans="1:14">
      <c r="A6777">
        <f t="shared" si="1377"/>
        <v>0</v>
      </c>
      <c r="B6777">
        <f t="shared" si="1378"/>
        <v>0</v>
      </c>
      <c r="C6777">
        <f t="shared" si="1379"/>
        <v>0</v>
      </c>
      <c r="D6777">
        <f t="shared" si="1380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81"/>
        <v>0</v>
      </c>
      <c r="G6777">
        <f t="shared" si="1382"/>
        <v>0</v>
      </c>
      <c r="H6777">
        <f t="shared" si="1383"/>
        <v>0</v>
      </c>
      <c r="I6777">
        <f t="shared" si="1384"/>
        <v>0</v>
      </c>
      <c r="J6777">
        <f t="shared" si="1385"/>
        <v>0</v>
      </c>
      <c r="K6777" s="4" t="e">
        <f t="shared" si="1373"/>
        <v>#N/A</v>
      </c>
      <c r="L6777" t="e">
        <f t="shared" si="1374"/>
        <v>#N/A</v>
      </c>
      <c r="M6777" s="4" t="e">
        <f t="shared" si="1375"/>
        <v>#N/A</v>
      </c>
      <c r="N6777" s="4" t="e">
        <f t="shared" si="1376"/>
        <v>#N/A</v>
      </c>
    </row>
    <row r="6778" spans="1:14">
      <c r="A6778">
        <f t="shared" si="1377"/>
        <v>0</v>
      </c>
      <c r="B6778">
        <f t="shared" si="1378"/>
        <v>0</v>
      </c>
      <c r="C6778">
        <f t="shared" si="1379"/>
        <v>0</v>
      </c>
      <c r="D6778">
        <f t="shared" si="1380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81"/>
        <v>0</v>
      </c>
      <c r="G6778">
        <f t="shared" si="1382"/>
        <v>0</v>
      </c>
      <c r="H6778">
        <f t="shared" si="1383"/>
        <v>0</v>
      </c>
      <c r="I6778">
        <f t="shared" si="1384"/>
        <v>0</v>
      </c>
      <c r="J6778">
        <f t="shared" si="1385"/>
        <v>0</v>
      </c>
      <c r="K6778" s="4" t="e">
        <f t="shared" si="1373"/>
        <v>#N/A</v>
      </c>
      <c r="L6778" t="e">
        <f t="shared" si="1374"/>
        <v>#N/A</v>
      </c>
      <c r="M6778" s="4" t="e">
        <f t="shared" si="1375"/>
        <v>#N/A</v>
      </c>
      <c r="N6778" s="4" t="e">
        <f t="shared" si="1376"/>
        <v>#N/A</v>
      </c>
    </row>
    <row r="6779" spans="1:14">
      <c r="A6779">
        <f t="shared" si="1377"/>
        <v>0</v>
      </c>
      <c r="B6779">
        <f t="shared" si="1378"/>
        <v>0</v>
      </c>
      <c r="C6779">
        <f t="shared" si="1379"/>
        <v>0</v>
      </c>
      <c r="D6779">
        <f t="shared" si="1380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81"/>
        <v>0</v>
      </c>
      <c r="G6779">
        <f t="shared" si="1382"/>
        <v>0</v>
      </c>
      <c r="H6779">
        <f t="shared" si="1383"/>
        <v>0</v>
      </c>
      <c r="I6779">
        <f t="shared" si="1384"/>
        <v>0</v>
      </c>
      <c r="J6779">
        <f t="shared" si="1385"/>
        <v>0</v>
      </c>
      <c r="K6779" s="4" t="e">
        <f t="shared" si="1373"/>
        <v>#N/A</v>
      </c>
      <c r="L6779" t="e">
        <f t="shared" si="1374"/>
        <v>#N/A</v>
      </c>
      <c r="M6779" s="4" t="e">
        <f t="shared" si="1375"/>
        <v>#N/A</v>
      </c>
      <c r="N6779" s="4" t="e">
        <f t="shared" si="1376"/>
        <v>#N/A</v>
      </c>
    </row>
    <row r="6780" spans="1:14">
      <c r="A6780">
        <f t="shared" si="1377"/>
        <v>0</v>
      </c>
      <c r="B6780">
        <f t="shared" si="1378"/>
        <v>0</v>
      </c>
      <c r="C6780">
        <f t="shared" si="1379"/>
        <v>0</v>
      </c>
      <c r="D6780">
        <f t="shared" si="1380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81"/>
        <v>0</v>
      </c>
      <c r="G6780">
        <f t="shared" si="1382"/>
        <v>0</v>
      </c>
      <c r="H6780">
        <f t="shared" si="1383"/>
        <v>0</v>
      </c>
      <c r="I6780">
        <f t="shared" si="1384"/>
        <v>0</v>
      </c>
      <c r="J6780">
        <f t="shared" si="1385"/>
        <v>0</v>
      </c>
      <c r="K6780" s="4" t="e">
        <f t="shared" si="1373"/>
        <v>#N/A</v>
      </c>
      <c r="L6780" t="e">
        <f t="shared" si="1374"/>
        <v>#N/A</v>
      </c>
      <c r="M6780" s="4" t="e">
        <f t="shared" si="1375"/>
        <v>#N/A</v>
      </c>
      <c r="N6780" s="4" t="e">
        <f t="shared" si="1376"/>
        <v>#N/A</v>
      </c>
    </row>
    <row r="6781" spans="1:14">
      <c r="A6781">
        <f t="shared" si="1377"/>
        <v>0</v>
      </c>
      <c r="B6781">
        <f t="shared" si="1378"/>
        <v>0</v>
      </c>
      <c r="C6781">
        <f t="shared" si="1379"/>
        <v>0</v>
      </c>
      <c r="D6781">
        <f t="shared" si="1380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81"/>
        <v>0</v>
      </c>
      <c r="G6781">
        <f t="shared" si="1382"/>
        <v>0</v>
      </c>
      <c r="H6781">
        <f t="shared" si="1383"/>
        <v>0</v>
      </c>
      <c r="I6781">
        <f t="shared" si="1384"/>
        <v>0</v>
      </c>
      <c r="J6781">
        <f t="shared" si="1385"/>
        <v>0</v>
      </c>
      <c r="K6781" s="4" t="e">
        <f t="shared" ref="K6781:K6844" si="1386">IF(LEFT(B6781,3)="DBM",0,VLOOKUP(E6781,tabela,2,FALSE))</f>
        <v>#N/A</v>
      </c>
      <c r="L6781" t="e">
        <f t="shared" ref="L6781:L6844" si="1387">VLOOKUP(E6781,tabela,3,FALSE)</f>
        <v>#N/A</v>
      </c>
      <c r="M6781" s="4" t="e">
        <f t="shared" ref="M6781:M6844" si="1388">IF(E6781="Dynamic Click",J6781*K6781,K6781*$I6781/1000)</f>
        <v>#N/A</v>
      </c>
      <c r="N6781" s="4" t="e">
        <f t="shared" ref="N6781:N6844" si="1389">IF(E6781="Dynamic Click",J6781*L6781,L6781*$I6781/1000)</f>
        <v>#N/A</v>
      </c>
    </row>
    <row r="6782" spans="1:14">
      <c r="A6782">
        <f t="shared" si="1377"/>
        <v>0</v>
      </c>
      <c r="B6782">
        <f t="shared" si="1378"/>
        <v>0</v>
      </c>
      <c r="C6782">
        <f t="shared" si="1379"/>
        <v>0</v>
      </c>
      <c r="D6782">
        <f t="shared" si="1380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81"/>
        <v>0</v>
      </c>
      <c r="G6782">
        <f t="shared" si="1382"/>
        <v>0</v>
      </c>
      <c r="H6782">
        <f t="shared" si="1383"/>
        <v>0</v>
      </c>
      <c r="I6782">
        <f t="shared" si="1384"/>
        <v>0</v>
      </c>
      <c r="J6782">
        <f t="shared" si="1385"/>
        <v>0</v>
      </c>
      <c r="K6782" s="4" t="e">
        <f t="shared" si="1386"/>
        <v>#N/A</v>
      </c>
      <c r="L6782" t="e">
        <f t="shared" si="1387"/>
        <v>#N/A</v>
      </c>
      <c r="M6782" s="4" t="e">
        <f t="shared" si="1388"/>
        <v>#N/A</v>
      </c>
      <c r="N6782" s="4" t="e">
        <f t="shared" si="1389"/>
        <v>#N/A</v>
      </c>
    </row>
    <row r="6783" spans="1:14">
      <c r="A6783">
        <f t="shared" si="1377"/>
        <v>0</v>
      </c>
      <c r="B6783">
        <f t="shared" si="1378"/>
        <v>0</v>
      </c>
      <c r="C6783">
        <f t="shared" si="1379"/>
        <v>0</v>
      </c>
      <c r="D6783">
        <f t="shared" si="1380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81"/>
        <v>0</v>
      </c>
      <c r="G6783">
        <f t="shared" si="1382"/>
        <v>0</v>
      </c>
      <c r="H6783">
        <f t="shared" si="1383"/>
        <v>0</v>
      </c>
      <c r="I6783">
        <f t="shared" si="1384"/>
        <v>0</v>
      </c>
      <c r="J6783">
        <f t="shared" si="1385"/>
        <v>0</v>
      </c>
      <c r="K6783" s="4" t="e">
        <f t="shared" si="1386"/>
        <v>#N/A</v>
      </c>
      <c r="L6783" t="e">
        <f t="shared" si="1387"/>
        <v>#N/A</v>
      </c>
      <c r="M6783" s="4" t="e">
        <f t="shared" si="1388"/>
        <v>#N/A</v>
      </c>
      <c r="N6783" s="4" t="e">
        <f t="shared" si="1389"/>
        <v>#N/A</v>
      </c>
    </row>
    <row r="6784" spans="1:14">
      <c r="A6784">
        <f t="shared" si="1377"/>
        <v>0</v>
      </c>
      <c r="B6784">
        <f t="shared" si="1378"/>
        <v>0</v>
      </c>
      <c r="C6784">
        <f t="shared" si="1379"/>
        <v>0</v>
      </c>
      <c r="D6784">
        <f t="shared" si="1380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81"/>
        <v>0</v>
      </c>
      <c r="G6784">
        <f t="shared" si="1382"/>
        <v>0</v>
      </c>
      <c r="H6784">
        <f t="shared" si="1383"/>
        <v>0</v>
      </c>
      <c r="I6784">
        <f t="shared" si="1384"/>
        <v>0</v>
      </c>
      <c r="J6784">
        <f t="shared" si="1385"/>
        <v>0</v>
      </c>
      <c r="K6784" s="4" t="e">
        <f t="shared" si="1386"/>
        <v>#N/A</v>
      </c>
      <c r="L6784" t="e">
        <f t="shared" si="1387"/>
        <v>#N/A</v>
      </c>
      <c r="M6784" s="4" t="e">
        <f t="shared" si="1388"/>
        <v>#N/A</v>
      </c>
      <c r="N6784" s="4" t="e">
        <f t="shared" si="1389"/>
        <v>#N/A</v>
      </c>
    </row>
    <row r="6785" spans="1:14">
      <c r="A6785">
        <f t="shared" si="1377"/>
        <v>0</v>
      </c>
      <c r="B6785">
        <f t="shared" si="1378"/>
        <v>0</v>
      </c>
      <c r="C6785">
        <f t="shared" si="1379"/>
        <v>0</v>
      </c>
      <c r="D6785">
        <f t="shared" si="1380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81"/>
        <v>0</v>
      </c>
      <c r="G6785">
        <f t="shared" si="1382"/>
        <v>0</v>
      </c>
      <c r="H6785">
        <f t="shared" si="1383"/>
        <v>0</v>
      </c>
      <c r="I6785">
        <f t="shared" si="1384"/>
        <v>0</v>
      </c>
      <c r="J6785">
        <f t="shared" si="1385"/>
        <v>0</v>
      </c>
      <c r="K6785" s="4" t="e">
        <f t="shared" si="1386"/>
        <v>#N/A</v>
      </c>
      <c r="L6785" t="e">
        <f t="shared" si="1387"/>
        <v>#N/A</v>
      </c>
      <c r="M6785" s="4" t="e">
        <f t="shared" si="1388"/>
        <v>#N/A</v>
      </c>
      <c r="N6785" s="4" t="e">
        <f t="shared" si="1389"/>
        <v>#N/A</v>
      </c>
    </row>
    <row r="6786" spans="1:14">
      <c r="A6786">
        <f t="shared" ref="A6786:A6849" si="1390">bd_campaign</f>
        <v>0</v>
      </c>
      <c r="B6786">
        <f t="shared" ref="B6786:B6849" si="1391">bd_site</f>
        <v>0</v>
      </c>
      <c r="C6786">
        <f t="shared" ref="C6786:C6849" si="1392">bd_placement</f>
        <v>0</v>
      </c>
      <c r="D6786">
        <f t="shared" ref="D6786:D6849" si="1393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4">bd_ad</f>
        <v>0</v>
      </c>
      <c r="G6786">
        <f t="shared" ref="G6786:G6849" si="1395">bd_adid</f>
        <v>0</v>
      </c>
      <c r="H6786">
        <f t="shared" ref="H6786:H6849" si="1396">bd_creativetype</f>
        <v>0</v>
      </c>
      <c r="I6786">
        <f t="shared" ref="I6786:I6849" si="1397">bd_impression</f>
        <v>0</v>
      </c>
      <c r="J6786">
        <f t="shared" ref="J6786:J6849" si="1398">bd_clicks</f>
        <v>0</v>
      </c>
      <c r="K6786" s="4" t="e">
        <f t="shared" si="1386"/>
        <v>#N/A</v>
      </c>
      <c r="L6786" t="e">
        <f t="shared" si="1387"/>
        <v>#N/A</v>
      </c>
      <c r="M6786" s="4" t="e">
        <f t="shared" si="1388"/>
        <v>#N/A</v>
      </c>
      <c r="N6786" s="4" t="e">
        <f t="shared" si="1389"/>
        <v>#N/A</v>
      </c>
    </row>
    <row r="6787" spans="1:14">
      <c r="A6787">
        <f t="shared" si="1390"/>
        <v>0</v>
      </c>
      <c r="B6787">
        <f t="shared" si="1391"/>
        <v>0</v>
      </c>
      <c r="C6787">
        <f t="shared" si="1392"/>
        <v>0</v>
      </c>
      <c r="D6787">
        <f t="shared" si="1393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4"/>
        <v>0</v>
      </c>
      <c r="G6787">
        <f t="shared" si="1395"/>
        <v>0</v>
      </c>
      <c r="H6787">
        <f t="shared" si="1396"/>
        <v>0</v>
      </c>
      <c r="I6787">
        <f t="shared" si="1397"/>
        <v>0</v>
      </c>
      <c r="J6787">
        <f t="shared" si="1398"/>
        <v>0</v>
      </c>
      <c r="K6787" s="4" t="e">
        <f t="shared" si="1386"/>
        <v>#N/A</v>
      </c>
      <c r="L6787" t="e">
        <f t="shared" si="1387"/>
        <v>#N/A</v>
      </c>
      <c r="M6787" s="4" t="e">
        <f t="shared" si="1388"/>
        <v>#N/A</v>
      </c>
      <c r="N6787" s="4" t="e">
        <f t="shared" si="1389"/>
        <v>#N/A</v>
      </c>
    </row>
    <row r="6788" spans="1:14">
      <c r="A6788">
        <f t="shared" si="1390"/>
        <v>0</v>
      </c>
      <c r="B6788">
        <f t="shared" si="1391"/>
        <v>0</v>
      </c>
      <c r="C6788">
        <f t="shared" si="1392"/>
        <v>0</v>
      </c>
      <c r="D6788">
        <f t="shared" si="1393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4"/>
        <v>0</v>
      </c>
      <c r="G6788">
        <f t="shared" si="1395"/>
        <v>0</v>
      </c>
      <c r="H6788">
        <f t="shared" si="1396"/>
        <v>0</v>
      </c>
      <c r="I6788">
        <f t="shared" si="1397"/>
        <v>0</v>
      </c>
      <c r="J6788">
        <f t="shared" si="1398"/>
        <v>0</v>
      </c>
      <c r="K6788" s="4" t="e">
        <f t="shared" si="1386"/>
        <v>#N/A</v>
      </c>
      <c r="L6788" t="e">
        <f t="shared" si="1387"/>
        <v>#N/A</v>
      </c>
      <c r="M6788" s="4" t="e">
        <f t="shared" si="1388"/>
        <v>#N/A</v>
      </c>
      <c r="N6788" s="4" t="e">
        <f t="shared" si="1389"/>
        <v>#N/A</v>
      </c>
    </row>
    <row r="6789" spans="1:14">
      <c r="A6789">
        <f t="shared" si="1390"/>
        <v>0</v>
      </c>
      <c r="B6789">
        <f t="shared" si="1391"/>
        <v>0</v>
      </c>
      <c r="C6789">
        <f t="shared" si="1392"/>
        <v>0</v>
      </c>
      <c r="D6789">
        <f t="shared" si="1393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4"/>
        <v>0</v>
      </c>
      <c r="G6789">
        <f t="shared" si="1395"/>
        <v>0</v>
      </c>
      <c r="H6789">
        <f t="shared" si="1396"/>
        <v>0</v>
      </c>
      <c r="I6789">
        <f t="shared" si="1397"/>
        <v>0</v>
      </c>
      <c r="J6789">
        <f t="shared" si="1398"/>
        <v>0</v>
      </c>
      <c r="K6789" s="4" t="e">
        <f t="shared" si="1386"/>
        <v>#N/A</v>
      </c>
      <c r="L6789" t="e">
        <f t="shared" si="1387"/>
        <v>#N/A</v>
      </c>
      <c r="M6789" s="4" t="e">
        <f t="shared" si="1388"/>
        <v>#N/A</v>
      </c>
      <c r="N6789" s="4" t="e">
        <f t="shared" si="1389"/>
        <v>#N/A</v>
      </c>
    </row>
    <row r="6790" spans="1:14">
      <c r="A6790">
        <f t="shared" si="1390"/>
        <v>0</v>
      </c>
      <c r="B6790">
        <f t="shared" si="1391"/>
        <v>0</v>
      </c>
      <c r="C6790">
        <f t="shared" si="1392"/>
        <v>0</v>
      </c>
      <c r="D6790">
        <f t="shared" si="1393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4"/>
        <v>0</v>
      </c>
      <c r="G6790">
        <f t="shared" si="1395"/>
        <v>0</v>
      </c>
      <c r="H6790">
        <f t="shared" si="1396"/>
        <v>0</v>
      </c>
      <c r="I6790">
        <f t="shared" si="1397"/>
        <v>0</v>
      </c>
      <c r="J6790">
        <f t="shared" si="1398"/>
        <v>0</v>
      </c>
      <c r="K6790" s="4" t="e">
        <f t="shared" si="1386"/>
        <v>#N/A</v>
      </c>
      <c r="L6790" t="e">
        <f t="shared" si="1387"/>
        <v>#N/A</v>
      </c>
      <c r="M6790" s="4" t="e">
        <f t="shared" si="1388"/>
        <v>#N/A</v>
      </c>
      <c r="N6790" s="4" t="e">
        <f t="shared" si="1389"/>
        <v>#N/A</v>
      </c>
    </row>
    <row r="6791" spans="1:14">
      <c r="A6791">
        <f t="shared" si="1390"/>
        <v>0</v>
      </c>
      <c r="B6791">
        <f t="shared" si="1391"/>
        <v>0</v>
      </c>
      <c r="C6791">
        <f t="shared" si="1392"/>
        <v>0</v>
      </c>
      <c r="D6791">
        <f t="shared" si="1393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4"/>
        <v>0</v>
      </c>
      <c r="G6791">
        <f t="shared" si="1395"/>
        <v>0</v>
      </c>
      <c r="H6791">
        <f t="shared" si="1396"/>
        <v>0</v>
      </c>
      <c r="I6791">
        <f t="shared" si="1397"/>
        <v>0</v>
      </c>
      <c r="J6791">
        <f t="shared" si="1398"/>
        <v>0</v>
      </c>
      <c r="K6791" s="4" t="e">
        <f t="shared" si="1386"/>
        <v>#N/A</v>
      </c>
      <c r="L6791" t="e">
        <f t="shared" si="1387"/>
        <v>#N/A</v>
      </c>
      <c r="M6791" s="4" t="e">
        <f t="shared" si="1388"/>
        <v>#N/A</v>
      </c>
      <c r="N6791" s="4" t="e">
        <f t="shared" si="1389"/>
        <v>#N/A</v>
      </c>
    </row>
    <row r="6792" spans="1:14">
      <c r="A6792">
        <f t="shared" si="1390"/>
        <v>0</v>
      </c>
      <c r="B6792">
        <f t="shared" si="1391"/>
        <v>0</v>
      </c>
      <c r="C6792">
        <f t="shared" si="1392"/>
        <v>0</v>
      </c>
      <c r="D6792">
        <f t="shared" si="1393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4"/>
        <v>0</v>
      </c>
      <c r="G6792">
        <f t="shared" si="1395"/>
        <v>0</v>
      </c>
      <c r="H6792">
        <f t="shared" si="1396"/>
        <v>0</v>
      </c>
      <c r="I6792">
        <f t="shared" si="1397"/>
        <v>0</v>
      </c>
      <c r="J6792">
        <f t="shared" si="1398"/>
        <v>0</v>
      </c>
      <c r="K6792" s="4" t="e">
        <f t="shared" si="1386"/>
        <v>#N/A</v>
      </c>
      <c r="L6792" t="e">
        <f t="shared" si="1387"/>
        <v>#N/A</v>
      </c>
      <c r="M6792" s="4" t="e">
        <f t="shared" si="1388"/>
        <v>#N/A</v>
      </c>
      <c r="N6792" s="4" t="e">
        <f t="shared" si="1389"/>
        <v>#N/A</v>
      </c>
    </row>
    <row r="6793" spans="1:14">
      <c r="A6793">
        <f t="shared" si="1390"/>
        <v>0</v>
      </c>
      <c r="B6793">
        <f t="shared" si="1391"/>
        <v>0</v>
      </c>
      <c r="C6793">
        <f t="shared" si="1392"/>
        <v>0</v>
      </c>
      <c r="D6793">
        <f t="shared" si="1393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4"/>
        <v>0</v>
      </c>
      <c r="G6793">
        <f t="shared" si="1395"/>
        <v>0</v>
      </c>
      <c r="H6793">
        <f t="shared" si="1396"/>
        <v>0</v>
      </c>
      <c r="I6793">
        <f t="shared" si="1397"/>
        <v>0</v>
      </c>
      <c r="J6793">
        <f t="shared" si="1398"/>
        <v>0</v>
      </c>
      <c r="K6793" s="4" t="e">
        <f t="shared" si="1386"/>
        <v>#N/A</v>
      </c>
      <c r="L6793" t="e">
        <f t="shared" si="1387"/>
        <v>#N/A</v>
      </c>
      <c r="M6793" s="4" t="e">
        <f t="shared" si="1388"/>
        <v>#N/A</v>
      </c>
      <c r="N6793" s="4" t="e">
        <f t="shared" si="1389"/>
        <v>#N/A</v>
      </c>
    </row>
    <row r="6794" spans="1:14">
      <c r="A6794">
        <f t="shared" si="1390"/>
        <v>0</v>
      </c>
      <c r="B6794">
        <f t="shared" si="1391"/>
        <v>0</v>
      </c>
      <c r="C6794">
        <f t="shared" si="1392"/>
        <v>0</v>
      </c>
      <c r="D6794">
        <f t="shared" si="1393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4"/>
        <v>0</v>
      </c>
      <c r="G6794">
        <f t="shared" si="1395"/>
        <v>0</v>
      </c>
      <c r="H6794">
        <f t="shared" si="1396"/>
        <v>0</v>
      </c>
      <c r="I6794">
        <f t="shared" si="1397"/>
        <v>0</v>
      </c>
      <c r="J6794">
        <f t="shared" si="1398"/>
        <v>0</v>
      </c>
      <c r="K6794" s="4" t="e">
        <f t="shared" si="1386"/>
        <v>#N/A</v>
      </c>
      <c r="L6794" t="e">
        <f t="shared" si="1387"/>
        <v>#N/A</v>
      </c>
      <c r="M6794" s="4" t="e">
        <f t="shared" si="1388"/>
        <v>#N/A</v>
      </c>
      <c r="N6794" s="4" t="e">
        <f t="shared" si="1389"/>
        <v>#N/A</v>
      </c>
    </row>
    <row r="6795" spans="1:14">
      <c r="A6795">
        <f t="shared" si="1390"/>
        <v>0</v>
      </c>
      <c r="B6795">
        <f t="shared" si="1391"/>
        <v>0</v>
      </c>
      <c r="C6795">
        <f t="shared" si="1392"/>
        <v>0</v>
      </c>
      <c r="D6795">
        <f t="shared" si="1393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4"/>
        <v>0</v>
      </c>
      <c r="G6795">
        <f t="shared" si="1395"/>
        <v>0</v>
      </c>
      <c r="H6795">
        <f t="shared" si="1396"/>
        <v>0</v>
      </c>
      <c r="I6795">
        <f t="shared" si="1397"/>
        <v>0</v>
      </c>
      <c r="J6795">
        <f t="shared" si="1398"/>
        <v>0</v>
      </c>
      <c r="K6795" s="4" t="e">
        <f t="shared" si="1386"/>
        <v>#N/A</v>
      </c>
      <c r="L6795" t="e">
        <f t="shared" si="1387"/>
        <v>#N/A</v>
      </c>
      <c r="M6795" s="4" t="e">
        <f t="shared" si="1388"/>
        <v>#N/A</v>
      </c>
      <c r="N6795" s="4" t="e">
        <f t="shared" si="1389"/>
        <v>#N/A</v>
      </c>
    </row>
    <row r="6796" spans="1:14">
      <c r="A6796">
        <f t="shared" si="1390"/>
        <v>0</v>
      </c>
      <c r="B6796">
        <f t="shared" si="1391"/>
        <v>0</v>
      </c>
      <c r="C6796">
        <f t="shared" si="1392"/>
        <v>0</v>
      </c>
      <c r="D6796">
        <f t="shared" si="1393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4"/>
        <v>0</v>
      </c>
      <c r="G6796">
        <f t="shared" si="1395"/>
        <v>0</v>
      </c>
      <c r="H6796">
        <f t="shared" si="1396"/>
        <v>0</v>
      </c>
      <c r="I6796">
        <f t="shared" si="1397"/>
        <v>0</v>
      </c>
      <c r="J6796">
        <f t="shared" si="1398"/>
        <v>0</v>
      </c>
      <c r="K6796" s="4" t="e">
        <f t="shared" si="1386"/>
        <v>#N/A</v>
      </c>
      <c r="L6796" t="e">
        <f t="shared" si="1387"/>
        <v>#N/A</v>
      </c>
      <c r="M6796" s="4" t="e">
        <f t="shared" si="1388"/>
        <v>#N/A</v>
      </c>
      <c r="N6796" s="4" t="e">
        <f t="shared" si="1389"/>
        <v>#N/A</v>
      </c>
    </row>
    <row r="6797" spans="1:14">
      <c r="A6797">
        <f t="shared" si="1390"/>
        <v>0</v>
      </c>
      <c r="B6797">
        <f t="shared" si="1391"/>
        <v>0</v>
      </c>
      <c r="C6797">
        <f t="shared" si="1392"/>
        <v>0</v>
      </c>
      <c r="D6797">
        <f t="shared" si="1393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4"/>
        <v>0</v>
      </c>
      <c r="G6797">
        <f t="shared" si="1395"/>
        <v>0</v>
      </c>
      <c r="H6797">
        <f t="shared" si="1396"/>
        <v>0</v>
      </c>
      <c r="I6797">
        <f t="shared" si="1397"/>
        <v>0</v>
      </c>
      <c r="J6797">
        <f t="shared" si="1398"/>
        <v>0</v>
      </c>
      <c r="K6797" s="4" t="e">
        <f t="shared" si="1386"/>
        <v>#N/A</v>
      </c>
      <c r="L6797" t="e">
        <f t="shared" si="1387"/>
        <v>#N/A</v>
      </c>
      <c r="M6797" s="4" t="e">
        <f t="shared" si="1388"/>
        <v>#N/A</v>
      </c>
      <c r="N6797" s="4" t="e">
        <f t="shared" si="1389"/>
        <v>#N/A</v>
      </c>
    </row>
    <row r="6798" spans="1:14">
      <c r="A6798">
        <f t="shared" si="1390"/>
        <v>0</v>
      </c>
      <c r="B6798">
        <f t="shared" si="1391"/>
        <v>0</v>
      </c>
      <c r="C6798">
        <f t="shared" si="1392"/>
        <v>0</v>
      </c>
      <c r="D6798">
        <f t="shared" si="1393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4"/>
        <v>0</v>
      </c>
      <c r="G6798">
        <f t="shared" si="1395"/>
        <v>0</v>
      </c>
      <c r="H6798">
        <f t="shared" si="1396"/>
        <v>0</v>
      </c>
      <c r="I6798">
        <f t="shared" si="1397"/>
        <v>0</v>
      </c>
      <c r="J6798">
        <f t="shared" si="1398"/>
        <v>0</v>
      </c>
      <c r="K6798" s="4" t="e">
        <f t="shared" si="1386"/>
        <v>#N/A</v>
      </c>
      <c r="L6798" t="e">
        <f t="shared" si="1387"/>
        <v>#N/A</v>
      </c>
      <c r="M6798" s="4" t="e">
        <f t="shared" si="1388"/>
        <v>#N/A</v>
      </c>
      <c r="N6798" s="4" t="e">
        <f t="shared" si="1389"/>
        <v>#N/A</v>
      </c>
    </row>
    <row r="6799" spans="1:14">
      <c r="A6799">
        <f t="shared" si="1390"/>
        <v>0</v>
      </c>
      <c r="B6799">
        <f t="shared" si="1391"/>
        <v>0</v>
      </c>
      <c r="C6799">
        <f t="shared" si="1392"/>
        <v>0</v>
      </c>
      <c r="D6799">
        <f t="shared" si="1393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4"/>
        <v>0</v>
      </c>
      <c r="G6799">
        <f t="shared" si="1395"/>
        <v>0</v>
      </c>
      <c r="H6799">
        <f t="shared" si="1396"/>
        <v>0</v>
      </c>
      <c r="I6799">
        <f t="shared" si="1397"/>
        <v>0</v>
      </c>
      <c r="J6799">
        <f t="shared" si="1398"/>
        <v>0</v>
      </c>
      <c r="K6799" s="4" t="e">
        <f t="shared" si="1386"/>
        <v>#N/A</v>
      </c>
      <c r="L6799" t="e">
        <f t="shared" si="1387"/>
        <v>#N/A</v>
      </c>
      <c r="M6799" s="4" t="e">
        <f t="shared" si="1388"/>
        <v>#N/A</v>
      </c>
      <c r="N6799" s="4" t="e">
        <f t="shared" si="1389"/>
        <v>#N/A</v>
      </c>
    </row>
    <row r="6800" spans="1:14">
      <c r="A6800">
        <f t="shared" si="1390"/>
        <v>0</v>
      </c>
      <c r="B6800">
        <f t="shared" si="1391"/>
        <v>0</v>
      </c>
      <c r="C6800">
        <f t="shared" si="1392"/>
        <v>0</v>
      </c>
      <c r="D6800">
        <f t="shared" si="1393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4"/>
        <v>0</v>
      </c>
      <c r="G6800">
        <f t="shared" si="1395"/>
        <v>0</v>
      </c>
      <c r="H6800">
        <f t="shared" si="1396"/>
        <v>0</v>
      </c>
      <c r="I6800">
        <f t="shared" si="1397"/>
        <v>0</v>
      </c>
      <c r="J6800">
        <f t="shared" si="1398"/>
        <v>0</v>
      </c>
      <c r="K6800" s="4" t="e">
        <f t="shared" si="1386"/>
        <v>#N/A</v>
      </c>
      <c r="L6800" t="e">
        <f t="shared" si="1387"/>
        <v>#N/A</v>
      </c>
      <c r="M6800" s="4" t="e">
        <f t="shared" si="1388"/>
        <v>#N/A</v>
      </c>
      <c r="N6800" s="4" t="e">
        <f t="shared" si="1389"/>
        <v>#N/A</v>
      </c>
    </row>
    <row r="6801" spans="1:14">
      <c r="A6801">
        <f t="shared" si="1390"/>
        <v>0</v>
      </c>
      <c r="B6801">
        <f t="shared" si="1391"/>
        <v>0</v>
      </c>
      <c r="C6801">
        <f t="shared" si="1392"/>
        <v>0</v>
      </c>
      <c r="D6801">
        <f t="shared" si="1393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4"/>
        <v>0</v>
      </c>
      <c r="G6801">
        <f t="shared" si="1395"/>
        <v>0</v>
      </c>
      <c r="H6801">
        <f t="shared" si="1396"/>
        <v>0</v>
      </c>
      <c r="I6801">
        <f t="shared" si="1397"/>
        <v>0</v>
      </c>
      <c r="J6801">
        <f t="shared" si="1398"/>
        <v>0</v>
      </c>
      <c r="K6801" s="4" t="e">
        <f t="shared" si="1386"/>
        <v>#N/A</v>
      </c>
      <c r="L6801" t="e">
        <f t="shared" si="1387"/>
        <v>#N/A</v>
      </c>
      <c r="M6801" s="4" t="e">
        <f t="shared" si="1388"/>
        <v>#N/A</v>
      </c>
      <c r="N6801" s="4" t="e">
        <f t="shared" si="1389"/>
        <v>#N/A</v>
      </c>
    </row>
    <row r="6802" spans="1:14">
      <c r="A6802">
        <f t="shared" si="1390"/>
        <v>0</v>
      </c>
      <c r="B6802">
        <f t="shared" si="1391"/>
        <v>0</v>
      </c>
      <c r="C6802">
        <f t="shared" si="1392"/>
        <v>0</v>
      </c>
      <c r="D6802">
        <f t="shared" si="1393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4"/>
        <v>0</v>
      </c>
      <c r="G6802">
        <f t="shared" si="1395"/>
        <v>0</v>
      </c>
      <c r="H6802">
        <f t="shared" si="1396"/>
        <v>0</v>
      </c>
      <c r="I6802">
        <f t="shared" si="1397"/>
        <v>0</v>
      </c>
      <c r="J6802">
        <f t="shared" si="1398"/>
        <v>0</v>
      </c>
      <c r="K6802" s="4" t="e">
        <f t="shared" si="1386"/>
        <v>#N/A</v>
      </c>
      <c r="L6802" t="e">
        <f t="shared" si="1387"/>
        <v>#N/A</v>
      </c>
      <c r="M6802" s="4" t="e">
        <f t="shared" si="1388"/>
        <v>#N/A</v>
      </c>
      <c r="N6802" s="4" t="e">
        <f t="shared" si="1389"/>
        <v>#N/A</v>
      </c>
    </row>
    <row r="6803" spans="1:14">
      <c r="A6803">
        <f t="shared" si="1390"/>
        <v>0</v>
      </c>
      <c r="B6803">
        <f t="shared" si="1391"/>
        <v>0</v>
      </c>
      <c r="C6803">
        <f t="shared" si="1392"/>
        <v>0</v>
      </c>
      <c r="D6803">
        <f t="shared" si="1393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4"/>
        <v>0</v>
      </c>
      <c r="G6803">
        <f t="shared" si="1395"/>
        <v>0</v>
      </c>
      <c r="H6803">
        <f t="shared" si="1396"/>
        <v>0</v>
      </c>
      <c r="I6803">
        <f t="shared" si="1397"/>
        <v>0</v>
      </c>
      <c r="J6803">
        <f t="shared" si="1398"/>
        <v>0</v>
      </c>
      <c r="K6803" s="4" t="e">
        <f t="shared" si="1386"/>
        <v>#N/A</v>
      </c>
      <c r="L6803" t="e">
        <f t="shared" si="1387"/>
        <v>#N/A</v>
      </c>
      <c r="M6803" s="4" t="e">
        <f t="shared" si="1388"/>
        <v>#N/A</v>
      </c>
      <c r="N6803" s="4" t="e">
        <f t="shared" si="1389"/>
        <v>#N/A</v>
      </c>
    </row>
    <row r="6804" spans="1:14">
      <c r="A6804">
        <f t="shared" si="1390"/>
        <v>0</v>
      </c>
      <c r="B6804">
        <f t="shared" si="1391"/>
        <v>0</v>
      </c>
      <c r="C6804">
        <f t="shared" si="1392"/>
        <v>0</v>
      </c>
      <c r="D6804">
        <f t="shared" si="1393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4"/>
        <v>0</v>
      </c>
      <c r="G6804">
        <f t="shared" si="1395"/>
        <v>0</v>
      </c>
      <c r="H6804">
        <f t="shared" si="1396"/>
        <v>0</v>
      </c>
      <c r="I6804">
        <f t="shared" si="1397"/>
        <v>0</v>
      </c>
      <c r="J6804">
        <f t="shared" si="1398"/>
        <v>0</v>
      </c>
      <c r="K6804" s="4" t="e">
        <f t="shared" si="1386"/>
        <v>#N/A</v>
      </c>
      <c r="L6804" t="e">
        <f t="shared" si="1387"/>
        <v>#N/A</v>
      </c>
      <c r="M6804" s="4" t="e">
        <f t="shared" si="1388"/>
        <v>#N/A</v>
      </c>
      <c r="N6804" s="4" t="e">
        <f t="shared" si="1389"/>
        <v>#N/A</v>
      </c>
    </row>
    <row r="6805" spans="1:14">
      <c r="A6805">
        <f t="shared" si="1390"/>
        <v>0</v>
      </c>
      <c r="B6805">
        <f t="shared" si="1391"/>
        <v>0</v>
      </c>
      <c r="C6805">
        <f t="shared" si="1392"/>
        <v>0</v>
      </c>
      <c r="D6805">
        <f t="shared" si="1393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4"/>
        <v>0</v>
      </c>
      <c r="G6805">
        <f t="shared" si="1395"/>
        <v>0</v>
      </c>
      <c r="H6805">
        <f t="shared" si="1396"/>
        <v>0</v>
      </c>
      <c r="I6805">
        <f t="shared" si="1397"/>
        <v>0</v>
      </c>
      <c r="J6805">
        <f t="shared" si="1398"/>
        <v>0</v>
      </c>
      <c r="K6805" s="4" t="e">
        <f t="shared" si="1386"/>
        <v>#N/A</v>
      </c>
      <c r="L6805" t="e">
        <f t="shared" si="1387"/>
        <v>#N/A</v>
      </c>
      <c r="M6805" s="4" t="e">
        <f t="shared" si="1388"/>
        <v>#N/A</v>
      </c>
      <c r="N6805" s="4" t="e">
        <f t="shared" si="1389"/>
        <v>#N/A</v>
      </c>
    </row>
    <row r="6806" spans="1:14">
      <c r="A6806">
        <f t="shared" si="1390"/>
        <v>0</v>
      </c>
      <c r="B6806">
        <f t="shared" si="1391"/>
        <v>0</v>
      </c>
      <c r="C6806">
        <f t="shared" si="1392"/>
        <v>0</v>
      </c>
      <c r="D6806">
        <f t="shared" si="1393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4"/>
        <v>0</v>
      </c>
      <c r="G6806">
        <f t="shared" si="1395"/>
        <v>0</v>
      </c>
      <c r="H6806">
        <f t="shared" si="1396"/>
        <v>0</v>
      </c>
      <c r="I6806">
        <f t="shared" si="1397"/>
        <v>0</v>
      </c>
      <c r="J6806">
        <f t="shared" si="1398"/>
        <v>0</v>
      </c>
      <c r="K6806" s="4" t="e">
        <f t="shared" si="1386"/>
        <v>#N/A</v>
      </c>
      <c r="L6806" t="e">
        <f t="shared" si="1387"/>
        <v>#N/A</v>
      </c>
      <c r="M6806" s="4" t="e">
        <f t="shared" si="1388"/>
        <v>#N/A</v>
      </c>
      <c r="N6806" s="4" t="e">
        <f t="shared" si="1389"/>
        <v>#N/A</v>
      </c>
    </row>
    <row r="6807" spans="1:14">
      <c r="A6807">
        <f t="shared" si="1390"/>
        <v>0</v>
      </c>
      <c r="B6807">
        <f t="shared" si="1391"/>
        <v>0</v>
      </c>
      <c r="C6807">
        <f t="shared" si="1392"/>
        <v>0</v>
      </c>
      <c r="D6807">
        <f t="shared" si="1393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4"/>
        <v>0</v>
      </c>
      <c r="G6807">
        <f t="shared" si="1395"/>
        <v>0</v>
      </c>
      <c r="H6807">
        <f t="shared" si="1396"/>
        <v>0</v>
      </c>
      <c r="I6807">
        <f t="shared" si="1397"/>
        <v>0</v>
      </c>
      <c r="J6807">
        <f t="shared" si="1398"/>
        <v>0</v>
      </c>
      <c r="K6807" s="4" t="e">
        <f t="shared" si="1386"/>
        <v>#N/A</v>
      </c>
      <c r="L6807" t="e">
        <f t="shared" si="1387"/>
        <v>#N/A</v>
      </c>
      <c r="M6807" s="4" t="e">
        <f t="shared" si="1388"/>
        <v>#N/A</v>
      </c>
      <c r="N6807" s="4" t="e">
        <f t="shared" si="1389"/>
        <v>#N/A</v>
      </c>
    </row>
    <row r="6808" spans="1:14">
      <c r="A6808">
        <f t="shared" si="1390"/>
        <v>0</v>
      </c>
      <c r="B6808">
        <f t="shared" si="1391"/>
        <v>0</v>
      </c>
      <c r="C6808">
        <f t="shared" si="1392"/>
        <v>0</v>
      </c>
      <c r="D6808">
        <f t="shared" si="1393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4"/>
        <v>0</v>
      </c>
      <c r="G6808">
        <f t="shared" si="1395"/>
        <v>0</v>
      </c>
      <c r="H6808">
        <f t="shared" si="1396"/>
        <v>0</v>
      </c>
      <c r="I6808">
        <f t="shared" si="1397"/>
        <v>0</v>
      </c>
      <c r="J6808">
        <f t="shared" si="1398"/>
        <v>0</v>
      </c>
      <c r="K6808" s="4" t="e">
        <f t="shared" si="1386"/>
        <v>#N/A</v>
      </c>
      <c r="L6808" t="e">
        <f t="shared" si="1387"/>
        <v>#N/A</v>
      </c>
      <c r="M6808" s="4" t="e">
        <f t="shared" si="1388"/>
        <v>#N/A</v>
      </c>
      <c r="N6808" s="4" t="e">
        <f t="shared" si="1389"/>
        <v>#N/A</v>
      </c>
    </row>
    <row r="6809" spans="1:14">
      <c r="A6809">
        <f t="shared" si="1390"/>
        <v>0</v>
      </c>
      <c r="B6809">
        <f t="shared" si="1391"/>
        <v>0</v>
      </c>
      <c r="C6809">
        <f t="shared" si="1392"/>
        <v>0</v>
      </c>
      <c r="D6809">
        <f t="shared" si="1393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4"/>
        <v>0</v>
      </c>
      <c r="G6809">
        <f t="shared" si="1395"/>
        <v>0</v>
      </c>
      <c r="H6809">
        <f t="shared" si="1396"/>
        <v>0</v>
      </c>
      <c r="I6809">
        <f t="shared" si="1397"/>
        <v>0</v>
      </c>
      <c r="J6809">
        <f t="shared" si="1398"/>
        <v>0</v>
      </c>
      <c r="K6809" s="4" t="e">
        <f t="shared" si="1386"/>
        <v>#N/A</v>
      </c>
      <c r="L6809" t="e">
        <f t="shared" si="1387"/>
        <v>#N/A</v>
      </c>
      <c r="M6809" s="4" t="e">
        <f t="shared" si="1388"/>
        <v>#N/A</v>
      </c>
      <c r="N6809" s="4" t="e">
        <f t="shared" si="1389"/>
        <v>#N/A</v>
      </c>
    </row>
    <row r="6810" spans="1:14">
      <c r="A6810">
        <f t="shared" si="1390"/>
        <v>0</v>
      </c>
      <c r="B6810">
        <f t="shared" si="1391"/>
        <v>0</v>
      </c>
      <c r="C6810">
        <f t="shared" si="1392"/>
        <v>0</v>
      </c>
      <c r="D6810">
        <f t="shared" si="1393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4"/>
        <v>0</v>
      </c>
      <c r="G6810">
        <f t="shared" si="1395"/>
        <v>0</v>
      </c>
      <c r="H6810">
        <f t="shared" si="1396"/>
        <v>0</v>
      </c>
      <c r="I6810">
        <f t="shared" si="1397"/>
        <v>0</v>
      </c>
      <c r="J6810">
        <f t="shared" si="1398"/>
        <v>0</v>
      </c>
      <c r="K6810" s="4" t="e">
        <f t="shared" si="1386"/>
        <v>#N/A</v>
      </c>
      <c r="L6810" t="e">
        <f t="shared" si="1387"/>
        <v>#N/A</v>
      </c>
      <c r="M6810" s="4" t="e">
        <f t="shared" si="1388"/>
        <v>#N/A</v>
      </c>
      <c r="N6810" s="4" t="e">
        <f t="shared" si="1389"/>
        <v>#N/A</v>
      </c>
    </row>
    <row r="6811" spans="1:14">
      <c r="A6811">
        <f t="shared" si="1390"/>
        <v>0</v>
      </c>
      <c r="B6811">
        <f t="shared" si="1391"/>
        <v>0</v>
      </c>
      <c r="C6811">
        <f t="shared" si="1392"/>
        <v>0</v>
      </c>
      <c r="D6811">
        <f t="shared" si="1393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4"/>
        <v>0</v>
      </c>
      <c r="G6811">
        <f t="shared" si="1395"/>
        <v>0</v>
      </c>
      <c r="H6811">
        <f t="shared" si="1396"/>
        <v>0</v>
      </c>
      <c r="I6811">
        <f t="shared" si="1397"/>
        <v>0</v>
      </c>
      <c r="J6811">
        <f t="shared" si="1398"/>
        <v>0</v>
      </c>
      <c r="K6811" s="4" t="e">
        <f t="shared" si="1386"/>
        <v>#N/A</v>
      </c>
      <c r="L6811" t="e">
        <f t="shared" si="1387"/>
        <v>#N/A</v>
      </c>
      <c r="M6811" s="4" t="e">
        <f t="shared" si="1388"/>
        <v>#N/A</v>
      </c>
      <c r="N6811" s="4" t="e">
        <f t="shared" si="1389"/>
        <v>#N/A</v>
      </c>
    </row>
    <row r="6812" spans="1:14">
      <c r="A6812">
        <f t="shared" si="1390"/>
        <v>0</v>
      </c>
      <c r="B6812">
        <f t="shared" si="1391"/>
        <v>0</v>
      </c>
      <c r="C6812">
        <f t="shared" si="1392"/>
        <v>0</v>
      </c>
      <c r="D6812">
        <f t="shared" si="1393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4"/>
        <v>0</v>
      </c>
      <c r="G6812">
        <f t="shared" si="1395"/>
        <v>0</v>
      </c>
      <c r="H6812">
        <f t="shared" si="1396"/>
        <v>0</v>
      </c>
      <c r="I6812">
        <f t="shared" si="1397"/>
        <v>0</v>
      </c>
      <c r="J6812">
        <f t="shared" si="1398"/>
        <v>0</v>
      </c>
      <c r="K6812" s="4" t="e">
        <f t="shared" si="1386"/>
        <v>#N/A</v>
      </c>
      <c r="L6812" t="e">
        <f t="shared" si="1387"/>
        <v>#N/A</v>
      </c>
      <c r="M6812" s="4" t="e">
        <f t="shared" si="1388"/>
        <v>#N/A</v>
      </c>
      <c r="N6812" s="4" t="e">
        <f t="shared" si="1389"/>
        <v>#N/A</v>
      </c>
    </row>
    <row r="6813" spans="1:14">
      <c r="A6813">
        <f t="shared" si="1390"/>
        <v>0</v>
      </c>
      <c r="B6813">
        <f t="shared" si="1391"/>
        <v>0</v>
      </c>
      <c r="C6813">
        <f t="shared" si="1392"/>
        <v>0</v>
      </c>
      <c r="D6813">
        <f t="shared" si="1393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4"/>
        <v>0</v>
      </c>
      <c r="G6813">
        <f t="shared" si="1395"/>
        <v>0</v>
      </c>
      <c r="H6813">
        <f t="shared" si="1396"/>
        <v>0</v>
      </c>
      <c r="I6813">
        <f t="shared" si="1397"/>
        <v>0</v>
      </c>
      <c r="J6813">
        <f t="shared" si="1398"/>
        <v>0</v>
      </c>
      <c r="K6813" s="4" t="e">
        <f t="shared" si="1386"/>
        <v>#N/A</v>
      </c>
      <c r="L6813" t="e">
        <f t="shared" si="1387"/>
        <v>#N/A</v>
      </c>
      <c r="M6813" s="4" t="e">
        <f t="shared" si="1388"/>
        <v>#N/A</v>
      </c>
      <c r="N6813" s="4" t="e">
        <f t="shared" si="1389"/>
        <v>#N/A</v>
      </c>
    </row>
    <row r="6814" spans="1:14">
      <c r="A6814">
        <f t="shared" si="1390"/>
        <v>0</v>
      </c>
      <c r="B6814">
        <f t="shared" si="1391"/>
        <v>0</v>
      </c>
      <c r="C6814">
        <f t="shared" si="1392"/>
        <v>0</v>
      </c>
      <c r="D6814">
        <f t="shared" si="1393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4"/>
        <v>0</v>
      </c>
      <c r="G6814">
        <f t="shared" si="1395"/>
        <v>0</v>
      </c>
      <c r="H6814">
        <f t="shared" si="1396"/>
        <v>0</v>
      </c>
      <c r="I6814">
        <f t="shared" si="1397"/>
        <v>0</v>
      </c>
      <c r="J6814">
        <f t="shared" si="1398"/>
        <v>0</v>
      </c>
      <c r="K6814" s="4" t="e">
        <f t="shared" si="1386"/>
        <v>#N/A</v>
      </c>
      <c r="L6814" t="e">
        <f t="shared" si="1387"/>
        <v>#N/A</v>
      </c>
      <c r="M6814" s="4" t="e">
        <f t="shared" si="1388"/>
        <v>#N/A</v>
      </c>
      <c r="N6814" s="4" t="e">
        <f t="shared" si="1389"/>
        <v>#N/A</v>
      </c>
    </row>
    <row r="6815" spans="1:14">
      <c r="A6815">
        <f t="shared" si="1390"/>
        <v>0</v>
      </c>
      <c r="B6815">
        <f t="shared" si="1391"/>
        <v>0</v>
      </c>
      <c r="C6815">
        <f t="shared" si="1392"/>
        <v>0</v>
      </c>
      <c r="D6815">
        <f t="shared" si="1393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4"/>
        <v>0</v>
      </c>
      <c r="G6815">
        <f t="shared" si="1395"/>
        <v>0</v>
      </c>
      <c r="H6815">
        <f t="shared" si="1396"/>
        <v>0</v>
      </c>
      <c r="I6815">
        <f t="shared" si="1397"/>
        <v>0</v>
      </c>
      <c r="J6815">
        <f t="shared" si="1398"/>
        <v>0</v>
      </c>
      <c r="K6815" s="4" t="e">
        <f t="shared" si="1386"/>
        <v>#N/A</v>
      </c>
      <c r="L6815" t="e">
        <f t="shared" si="1387"/>
        <v>#N/A</v>
      </c>
      <c r="M6815" s="4" t="e">
        <f t="shared" si="1388"/>
        <v>#N/A</v>
      </c>
      <c r="N6815" s="4" t="e">
        <f t="shared" si="1389"/>
        <v>#N/A</v>
      </c>
    </row>
    <row r="6816" spans="1:14">
      <c r="A6816">
        <f t="shared" si="1390"/>
        <v>0</v>
      </c>
      <c r="B6816">
        <f t="shared" si="1391"/>
        <v>0</v>
      </c>
      <c r="C6816">
        <f t="shared" si="1392"/>
        <v>0</v>
      </c>
      <c r="D6816">
        <f t="shared" si="1393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4"/>
        <v>0</v>
      </c>
      <c r="G6816">
        <f t="shared" si="1395"/>
        <v>0</v>
      </c>
      <c r="H6816">
        <f t="shared" si="1396"/>
        <v>0</v>
      </c>
      <c r="I6816">
        <f t="shared" si="1397"/>
        <v>0</v>
      </c>
      <c r="J6816">
        <f t="shared" si="1398"/>
        <v>0</v>
      </c>
      <c r="K6816" s="4" t="e">
        <f t="shared" si="1386"/>
        <v>#N/A</v>
      </c>
      <c r="L6816" t="e">
        <f t="shared" si="1387"/>
        <v>#N/A</v>
      </c>
      <c r="M6816" s="4" t="e">
        <f t="shared" si="1388"/>
        <v>#N/A</v>
      </c>
      <c r="N6816" s="4" t="e">
        <f t="shared" si="1389"/>
        <v>#N/A</v>
      </c>
    </row>
    <row r="6817" spans="1:14">
      <c r="A6817">
        <f t="shared" si="1390"/>
        <v>0</v>
      </c>
      <c r="B6817">
        <f t="shared" si="1391"/>
        <v>0</v>
      </c>
      <c r="C6817">
        <f t="shared" si="1392"/>
        <v>0</v>
      </c>
      <c r="D6817">
        <f t="shared" si="1393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4"/>
        <v>0</v>
      </c>
      <c r="G6817">
        <f t="shared" si="1395"/>
        <v>0</v>
      </c>
      <c r="H6817">
        <f t="shared" si="1396"/>
        <v>0</v>
      </c>
      <c r="I6817">
        <f t="shared" si="1397"/>
        <v>0</v>
      </c>
      <c r="J6817">
        <f t="shared" si="1398"/>
        <v>0</v>
      </c>
      <c r="K6817" s="4" t="e">
        <f t="shared" si="1386"/>
        <v>#N/A</v>
      </c>
      <c r="L6817" t="e">
        <f t="shared" si="1387"/>
        <v>#N/A</v>
      </c>
      <c r="M6817" s="4" t="e">
        <f t="shared" si="1388"/>
        <v>#N/A</v>
      </c>
      <c r="N6817" s="4" t="e">
        <f t="shared" si="1389"/>
        <v>#N/A</v>
      </c>
    </row>
    <row r="6818" spans="1:14">
      <c r="A6818">
        <f t="shared" si="1390"/>
        <v>0</v>
      </c>
      <c r="B6818">
        <f t="shared" si="1391"/>
        <v>0</v>
      </c>
      <c r="C6818">
        <f t="shared" si="1392"/>
        <v>0</v>
      </c>
      <c r="D6818">
        <f t="shared" si="1393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4"/>
        <v>0</v>
      </c>
      <c r="G6818">
        <f t="shared" si="1395"/>
        <v>0</v>
      </c>
      <c r="H6818">
        <f t="shared" si="1396"/>
        <v>0</v>
      </c>
      <c r="I6818">
        <f t="shared" si="1397"/>
        <v>0</v>
      </c>
      <c r="J6818">
        <f t="shared" si="1398"/>
        <v>0</v>
      </c>
      <c r="K6818" s="4" t="e">
        <f t="shared" si="1386"/>
        <v>#N/A</v>
      </c>
      <c r="L6818" t="e">
        <f t="shared" si="1387"/>
        <v>#N/A</v>
      </c>
      <c r="M6818" s="4" t="e">
        <f t="shared" si="1388"/>
        <v>#N/A</v>
      </c>
      <c r="N6818" s="4" t="e">
        <f t="shared" si="1389"/>
        <v>#N/A</v>
      </c>
    </row>
    <row r="6819" spans="1:14">
      <c r="A6819">
        <f t="shared" si="1390"/>
        <v>0</v>
      </c>
      <c r="B6819">
        <f t="shared" si="1391"/>
        <v>0</v>
      </c>
      <c r="C6819">
        <f t="shared" si="1392"/>
        <v>0</v>
      </c>
      <c r="D6819">
        <f t="shared" si="1393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4"/>
        <v>0</v>
      </c>
      <c r="G6819">
        <f t="shared" si="1395"/>
        <v>0</v>
      </c>
      <c r="H6819">
        <f t="shared" si="1396"/>
        <v>0</v>
      </c>
      <c r="I6819">
        <f t="shared" si="1397"/>
        <v>0</v>
      </c>
      <c r="J6819">
        <f t="shared" si="1398"/>
        <v>0</v>
      </c>
      <c r="K6819" s="4" t="e">
        <f t="shared" si="1386"/>
        <v>#N/A</v>
      </c>
      <c r="L6819" t="e">
        <f t="shared" si="1387"/>
        <v>#N/A</v>
      </c>
      <c r="M6819" s="4" t="e">
        <f t="shared" si="1388"/>
        <v>#N/A</v>
      </c>
      <c r="N6819" s="4" t="e">
        <f t="shared" si="1389"/>
        <v>#N/A</v>
      </c>
    </row>
    <row r="6820" spans="1:14">
      <c r="A6820">
        <f t="shared" si="1390"/>
        <v>0</v>
      </c>
      <c r="B6820">
        <f t="shared" si="1391"/>
        <v>0</v>
      </c>
      <c r="C6820">
        <f t="shared" si="1392"/>
        <v>0</v>
      </c>
      <c r="D6820">
        <f t="shared" si="1393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4"/>
        <v>0</v>
      </c>
      <c r="G6820">
        <f t="shared" si="1395"/>
        <v>0</v>
      </c>
      <c r="H6820">
        <f t="shared" si="1396"/>
        <v>0</v>
      </c>
      <c r="I6820">
        <f t="shared" si="1397"/>
        <v>0</v>
      </c>
      <c r="J6820">
        <f t="shared" si="1398"/>
        <v>0</v>
      </c>
      <c r="K6820" s="4" t="e">
        <f t="shared" si="1386"/>
        <v>#N/A</v>
      </c>
      <c r="L6820" t="e">
        <f t="shared" si="1387"/>
        <v>#N/A</v>
      </c>
      <c r="M6820" s="4" t="e">
        <f t="shared" si="1388"/>
        <v>#N/A</v>
      </c>
      <c r="N6820" s="4" t="e">
        <f t="shared" si="1389"/>
        <v>#N/A</v>
      </c>
    </row>
    <row r="6821" spans="1:14">
      <c r="A6821">
        <f t="shared" si="1390"/>
        <v>0</v>
      </c>
      <c r="B6821">
        <f t="shared" si="1391"/>
        <v>0</v>
      </c>
      <c r="C6821">
        <f t="shared" si="1392"/>
        <v>0</v>
      </c>
      <c r="D6821">
        <f t="shared" si="1393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4"/>
        <v>0</v>
      </c>
      <c r="G6821">
        <f t="shared" si="1395"/>
        <v>0</v>
      </c>
      <c r="H6821">
        <f t="shared" si="1396"/>
        <v>0</v>
      </c>
      <c r="I6821">
        <f t="shared" si="1397"/>
        <v>0</v>
      </c>
      <c r="J6821">
        <f t="shared" si="1398"/>
        <v>0</v>
      </c>
      <c r="K6821" s="4" t="e">
        <f t="shared" si="1386"/>
        <v>#N/A</v>
      </c>
      <c r="L6821" t="e">
        <f t="shared" si="1387"/>
        <v>#N/A</v>
      </c>
      <c r="M6821" s="4" t="e">
        <f t="shared" si="1388"/>
        <v>#N/A</v>
      </c>
      <c r="N6821" s="4" t="e">
        <f t="shared" si="1389"/>
        <v>#N/A</v>
      </c>
    </row>
    <row r="6822" spans="1:14">
      <c r="A6822">
        <f t="shared" si="1390"/>
        <v>0</v>
      </c>
      <c r="B6822">
        <f t="shared" si="1391"/>
        <v>0</v>
      </c>
      <c r="C6822">
        <f t="shared" si="1392"/>
        <v>0</v>
      </c>
      <c r="D6822">
        <f t="shared" si="1393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4"/>
        <v>0</v>
      </c>
      <c r="G6822">
        <f t="shared" si="1395"/>
        <v>0</v>
      </c>
      <c r="H6822">
        <f t="shared" si="1396"/>
        <v>0</v>
      </c>
      <c r="I6822">
        <f t="shared" si="1397"/>
        <v>0</v>
      </c>
      <c r="J6822">
        <f t="shared" si="1398"/>
        <v>0</v>
      </c>
      <c r="K6822" s="4" t="e">
        <f t="shared" si="1386"/>
        <v>#N/A</v>
      </c>
      <c r="L6822" t="e">
        <f t="shared" si="1387"/>
        <v>#N/A</v>
      </c>
      <c r="M6822" s="4" t="e">
        <f t="shared" si="1388"/>
        <v>#N/A</v>
      </c>
      <c r="N6822" s="4" t="e">
        <f t="shared" si="1389"/>
        <v>#N/A</v>
      </c>
    </row>
    <row r="6823" spans="1:14">
      <c r="A6823">
        <f t="shared" si="1390"/>
        <v>0</v>
      </c>
      <c r="B6823">
        <f t="shared" si="1391"/>
        <v>0</v>
      </c>
      <c r="C6823">
        <f t="shared" si="1392"/>
        <v>0</v>
      </c>
      <c r="D6823">
        <f t="shared" si="1393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4"/>
        <v>0</v>
      </c>
      <c r="G6823">
        <f t="shared" si="1395"/>
        <v>0</v>
      </c>
      <c r="H6823">
        <f t="shared" si="1396"/>
        <v>0</v>
      </c>
      <c r="I6823">
        <f t="shared" si="1397"/>
        <v>0</v>
      </c>
      <c r="J6823">
        <f t="shared" si="1398"/>
        <v>0</v>
      </c>
      <c r="K6823" s="4" t="e">
        <f t="shared" si="1386"/>
        <v>#N/A</v>
      </c>
      <c r="L6823" t="e">
        <f t="shared" si="1387"/>
        <v>#N/A</v>
      </c>
      <c r="M6823" s="4" t="e">
        <f t="shared" si="1388"/>
        <v>#N/A</v>
      </c>
      <c r="N6823" s="4" t="e">
        <f t="shared" si="1389"/>
        <v>#N/A</v>
      </c>
    </row>
    <row r="6824" spans="1:14">
      <c r="A6824">
        <f t="shared" si="1390"/>
        <v>0</v>
      </c>
      <c r="B6824">
        <f t="shared" si="1391"/>
        <v>0</v>
      </c>
      <c r="C6824">
        <f t="shared" si="1392"/>
        <v>0</v>
      </c>
      <c r="D6824">
        <f t="shared" si="1393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4"/>
        <v>0</v>
      </c>
      <c r="G6824">
        <f t="shared" si="1395"/>
        <v>0</v>
      </c>
      <c r="H6824">
        <f t="shared" si="1396"/>
        <v>0</v>
      </c>
      <c r="I6824">
        <f t="shared" si="1397"/>
        <v>0</v>
      </c>
      <c r="J6824">
        <f t="shared" si="1398"/>
        <v>0</v>
      </c>
      <c r="K6824" s="4" t="e">
        <f t="shared" si="1386"/>
        <v>#N/A</v>
      </c>
      <c r="L6824" t="e">
        <f t="shared" si="1387"/>
        <v>#N/A</v>
      </c>
      <c r="M6824" s="4" t="e">
        <f t="shared" si="1388"/>
        <v>#N/A</v>
      </c>
      <c r="N6824" s="4" t="e">
        <f t="shared" si="1389"/>
        <v>#N/A</v>
      </c>
    </row>
    <row r="6825" spans="1:14">
      <c r="A6825">
        <f t="shared" si="1390"/>
        <v>0</v>
      </c>
      <c r="B6825">
        <f t="shared" si="1391"/>
        <v>0</v>
      </c>
      <c r="C6825">
        <f t="shared" si="1392"/>
        <v>0</v>
      </c>
      <c r="D6825">
        <f t="shared" si="1393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4"/>
        <v>0</v>
      </c>
      <c r="G6825">
        <f t="shared" si="1395"/>
        <v>0</v>
      </c>
      <c r="H6825">
        <f t="shared" si="1396"/>
        <v>0</v>
      </c>
      <c r="I6825">
        <f t="shared" si="1397"/>
        <v>0</v>
      </c>
      <c r="J6825">
        <f t="shared" si="1398"/>
        <v>0</v>
      </c>
      <c r="K6825" s="4" t="e">
        <f t="shared" si="1386"/>
        <v>#N/A</v>
      </c>
      <c r="L6825" t="e">
        <f t="shared" si="1387"/>
        <v>#N/A</v>
      </c>
      <c r="M6825" s="4" t="e">
        <f t="shared" si="1388"/>
        <v>#N/A</v>
      </c>
      <c r="N6825" s="4" t="e">
        <f t="shared" si="1389"/>
        <v>#N/A</v>
      </c>
    </row>
    <row r="6826" spans="1:14">
      <c r="A6826">
        <f t="shared" si="1390"/>
        <v>0</v>
      </c>
      <c r="B6826">
        <f t="shared" si="1391"/>
        <v>0</v>
      </c>
      <c r="C6826">
        <f t="shared" si="1392"/>
        <v>0</v>
      </c>
      <c r="D6826">
        <f t="shared" si="1393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4"/>
        <v>0</v>
      </c>
      <c r="G6826">
        <f t="shared" si="1395"/>
        <v>0</v>
      </c>
      <c r="H6826">
        <f t="shared" si="1396"/>
        <v>0</v>
      </c>
      <c r="I6826">
        <f t="shared" si="1397"/>
        <v>0</v>
      </c>
      <c r="J6826">
        <f t="shared" si="1398"/>
        <v>0</v>
      </c>
      <c r="K6826" s="4" t="e">
        <f t="shared" si="1386"/>
        <v>#N/A</v>
      </c>
      <c r="L6826" t="e">
        <f t="shared" si="1387"/>
        <v>#N/A</v>
      </c>
      <c r="M6826" s="4" t="e">
        <f t="shared" si="1388"/>
        <v>#N/A</v>
      </c>
      <c r="N6826" s="4" t="e">
        <f t="shared" si="1389"/>
        <v>#N/A</v>
      </c>
    </row>
    <row r="6827" spans="1:14">
      <c r="A6827">
        <f t="shared" si="1390"/>
        <v>0</v>
      </c>
      <c r="B6827">
        <f t="shared" si="1391"/>
        <v>0</v>
      </c>
      <c r="C6827">
        <f t="shared" si="1392"/>
        <v>0</v>
      </c>
      <c r="D6827">
        <f t="shared" si="1393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4"/>
        <v>0</v>
      </c>
      <c r="G6827">
        <f t="shared" si="1395"/>
        <v>0</v>
      </c>
      <c r="H6827">
        <f t="shared" si="1396"/>
        <v>0</v>
      </c>
      <c r="I6827">
        <f t="shared" si="1397"/>
        <v>0</v>
      </c>
      <c r="J6827">
        <f t="shared" si="1398"/>
        <v>0</v>
      </c>
      <c r="K6827" s="4" t="e">
        <f t="shared" si="1386"/>
        <v>#N/A</v>
      </c>
      <c r="L6827" t="e">
        <f t="shared" si="1387"/>
        <v>#N/A</v>
      </c>
      <c r="M6827" s="4" t="e">
        <f t="shared" si="1388"/>
        <v>#N/A</v>
      </c>
      <c r="N6827" s="4" t="e">
        <f t="shared" si="1389"/>
        <v>#N/A</v>
      </c>
    </row>
    <row r="6828" spans="1:14">
      <c r="A6828">
        <f t="shared" si="1390"/>
        <v>0</v>
      </c>
      <c r="B6828">
        <f t="shared" si="1391"/>
        <v>0</v>
      </c>
      <c r="C6828">
        <f t="shared" si="1392"/>
        <v>0</v>
      </c>
      <c r="D6828">
        <f t="shared" si="1393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4"/>
        <v>0</v>
      </c>
      <c r="G6828">
        <f t="shared" si="1395"/>
        <v>0</v>
      </c>
      <c r="H6828">
        <f t="shared" si="1396"/>
        <v>0</v>
      </c>
      <c r="I6828">
        <f t="shared" si="1397"/>
        <v>0</v>
      </c>
      <c r="J6828">
        <f t="shared" si="1398"/>
        <v>0</v>
      </c>
      <c r="K6828" s="4" t="e">
        <f t="shared" si="1386"/>
        <v>#N/A</v>
      </c>
      <c r="L6828" t="e">
        <f t="shared" si="1387"/>
        <v>#N/A</v>
      </c>
      <c r="M6828" s="4" t="e">
        <f t="shared" si="1388"/>
        <v>#N/A</v>
      </c>
      <c r="N6828" s="4" t="e">
        <f t="shared" si="1389"/>
        <v>#N/A</v>
      </c>
    </row>
    <row r="6829" spans="1:14">
      <c r="A6829">
        <f t="shared" si="1390"/>
        <v>0</v>
      </c>
      <c r="B6829">
        <f t="shared" si="1391"/>
        <v>0</v>
      </c>
      <c r="C6829">
        <f t="shared" si="1392"/>
        <v>0</v>
      </c>
      <c r="D6829">
        <f t="shared" si="1393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4"/>
        <v>0</v>
      </c>
      <c r="G6829">
        <f t="shared" si="1395"/>
        <v>0</v>
      </c>
      <c r="H6829">
        <f t="shared" si="1396"/>
        <v>0</v>
      </c>
      <c r="I6829">
        <f t="shared" si="1397"/>
        <v>0</v>
      </c>
      <c r="J6829">
        <f t="shared" si="1398"/>
        <v>0</v>
      </c>
      <c r="K6829" s="4" t="e">
        <f t="shared" si="1386"/>
        <v>#N/A</v>
      </c>
      <c r="L6829" t="e">
        <f t="shared" si="1387"/>
        <v>#N/A</v>
      </c>
      <c r="M6829" s="4" t="e">
        <f t="shared" si="1388"/>
        <v>#N/A</v>
      </c>
      <c r="N6829" s="4" t="e">
        <f t="shared" si="1389"/>
        <v>#N/A</v>
      </c>
    </row>
    <row r="6830" spans="1:14">
      <c r="A6830">
        <f t="shared" si="1390"/>
        <v>0</v>
      </c>
      <c r="B6830">
        <f t="shared" si="1391"/>
        <v>0</v>
      </c>
      <c r="C6830">
        <f t="shared" si="1392"/>
        <v>0</v>
      </c>
      <c r="D6830">
        <f t="shared" si="1393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4"/>
        <v>0</v>
      </c>
      <c r="G6830">
        <f t="shared" si="1395"/>
        <v>0</v>
      </c>
      <c r="H6830">
        <f t="shared" si="1396"/>
        <v>0</v>
      </c>
      <c r="I6830">
        <f t="shared" si="1397"/>
        <v>0</v>
      </c>
      <c r="J6830">
        <f t="shared" si="1398"/>
        <v>0</v>
      </c>
      <c r="K6830" s="4" t="e">
        <f t="shared" si="1386"/>
        <v>#N/A</v>
      </c>
      <c r="L6830" t="e">
        <f t="shared" si="1387"/>
        <v>#N/A</v>
      </c>
      <c r="M6830" s="4" t="e">
        <f t="shared" si="1388"/>
        <v>#N/A</v>
      </c>
      <c r="N6830" s="4" t="e">
        <f t="shared" si="1389"/>
        <v>#N/A</v>
      </c>
    </row>
    <row r="6831" spans="1:14">
      <c r="A6831">
        <f t="shared" si="1390"/>
        <v>0</v>
      </c>
      <c r="B6831">
        <f t="shared" si="1391"/>
        <v>0</v>
      </c>
      <c r="C6831">
        <f t="shared" si="1392"/>
        <v>0</v>
      </c>
      <c r="D6831">
        <f t="shared" si="1393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4"/>
        <v>0</v>
      </c>
      <c r="G6831">
        <f t="shared" si="1395"/>
        <v>0</v>
      </c>
      <c r="H6831">
        <f t="shared" si="1396"/>
        <v>0</v>
      </c>
      <c r="I6831">
        <f t="shared" si="1397"/>
        <v>0</v>
      </c>
      <c r="J6831">
        <f t="shared" si="1398"/>
        <v>0</v>
      </c>
      <c r="K6831" s="4" t="e">
        <f t="shared" si="1386"/>
        <v>#N/A</v>
      </c>
      <c r="L6831" t="e">
        <f t="shared" si="1387"/>
        <v>#N/A</v>
      </c>
      <c r="M6831" s="4" t="e">
        <f t="shared" si="1388"/>
        <v>#N/A</v>
      </c>
      <c r="N6831" s="4" t="e">
        <f t="shared" si="1389"/>
        <v>#N/A</v>
      </c>
    </row>
    <row r="6832" spans="1:14">
      <c r="A6832">
        <f t="shared" si="1390"/>
        <v>0</v>
      </c>
      <c r="B6832">
        <f t="shared" si="1391"/>
        <v>0</v>
      </c>
      <c r="C6832">
        <f t="shared" si="1392"/>
        <v>0</v>
      </c>
      <c r="D6832">
        <f t="shared" si="1393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4"/>
        <v>0</v>
      </c>
      <c r="G6832">
        <f t="shared" si="1395"/>
        <v>0</v>
      </c>
      <c r="H6832">
        <f t="shared" si="1396"/>
        <v>0</v>
      </c>
      <c r="I6832">
        <f t="shared" si="1397"/>
        <v>0</v>
      </c>
      <c r="J6832">
        <f t="shared" si="1398"/>
        <v>0</v>
      </c>
      <c r="K6832" s="4" t="e">
        <f t="shared" si="1386"/>
        <v>#N/A</v>
      </c>
      <c r="L6832" t="e">
        <f t="shared" si="1387"/>
        <v>#N/A</v>
      </c>
      <c r="M6832" s="4" t="e">
        <f t="shared" si="1388"/>
        <v>#N/A</v>
      </c>
      <c r="N6832" s="4" t="e">
        <f t="shared" si="1389"/>
        <v>#N/A</v>
      </c>
    </row>
    <row r="6833" spans="1:14">
      <c r="A6833">
        <f t="shared" si="1390"/>
        <v>0</v>
      </c>
      <c r="B6833">
        <f t="shared" si="1391"/>
        <v>0</v>
      </c>
      <c r="C6833">
        <f t="shared" si="1392"/>
        <v>0</v>
      </c>
      <c r="D6833">
        <f t="shared" si="1393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4"/>
        <v>0</v>
      </c>
      <c r="G6833">
        <f t="shared" si="1395"/>
        <v>0</v>
      </c>
      <c r="H6833">
        <f t="shared" si="1396"/>
        <v>0</v>
      </c>
      <c r="I6833">
        <f t="shared" si="1397"/>
        <v>0</v>
      </c>
      <c r="J6833">
        <f t="shared" si="1398"/>
        <v>0</v>
      </c>
      <c r="K6833" s="4" t="e">
        <f t="shared" si="1386"/>
        <v>#N/A</v>
      </c>
      <c r="L6833" t="e">
        <f t="shared" si="1387"/>
        <v>#N/A</v>
      </c>
      <c r="M6833" s="4" t="e">
        <f t="shared" si="1388"/>
        <v>#N/A</v>
      </c>
      <c r="N6833" s="4" t="e">
        <f t="shared" si="1389"/>
        <v>#N/A</v>
      </c>
    </row>
    <row r="6834" spans="1:14">
      <c r="A6834">
        <f t="shared" si="1390"/>
        <v>0</v>
      </c>
      <c r="B6834">
        <f t="shared" si="1391"/>
        <v>0</v>
      </c>
      <c r="C6834">
        <f t="shared" si="1392"/>
        <v>0</v>
      </c>
      <c r="D6834">
        <f t="shared" si="1393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4"/>
        <v>0</v>
      </c>
      <c r="G6834">
        <f t="shared" si="1395"/>
        <v>0</v>
      </c>
      <c r="H6834">
        <f t="shared" si="1396"/>
        <v>0</v>
      </c>
      <c r="I6834">
        <f t="shared" si="1397"/>
        <v>0</v>
      </c>
      <c r="J6834">
        <f t="shared" si="1398"/>
        <v>0</v>
      </c>
      <c r="K6834" s="4" t="e">
        <f t="shared" si="1386"/>
        <v>#N/A</v>
      </c>
      <c r="L6834" t="e">
        <f t="shared" si="1387"/>
        <v>#N/A</v>
      </c>
      <c r="M6834" s="4" t="e">
        <f t="shared" si="1388"/>
        <v>#N/A</v>
      </c>
      <c r="N6834" s="4" t="e">
        <f t="shared" si="1389"/>
        <v>#N/A</v>
      </c>
    </row>
    <row r="6835" spans="1:14">
      <c r="A6835">
        <f t="shared" si="1390"/>
        <v>0</v>
      </c>
      <c r="B6835">
        <f t="shared" si="1391"/>
        <v>0</v>
      </c>
      <c r="C6835">
        <f t="shared" si="1392"/>
        <v>0</v>
      </c>
      <c r="D6835">
        <f t="shared" si="1393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4"/>
        <v>0</v>
      </c>
      <c r="G6835">
        <f t="shared" si="1395"/>
        <v>0</v>
      </c>
      <c r="H6835">
        <f t="shared" si="1396"/>
        <v>0</v>
      </c>
      <c r="I6835">
        <f t="shared" si="1397"/>
        <v>0</v>
      </c>
      <c r="J6835">
        <f t="shared" si="1398"/>
        <v>0</v>
      </c>
      <c r="K6835" s="4" t="e">
        <f t="shared" si="1386"/>
        <v>#N/A</v>
      </c>
      <c r="L6835" t="e">
        <f t="shared" si="1387"/>
        <v>#N/A</v>
      </c>
      <c r="M6835" s="4" t="e">
        <f t="shared" si="1388"/>
        <v>#N/A</v>
      </c>
      <c r="N6835" s="4" t="e">
        <f t="shared" si="1389"/>
        <v>#N/A</v>
      </c>
    </row>
    <row r="6836" spans="1:14">
      <c r="A6836">
        <f t="shared" si="1390"/>
        <v>0</v>
      </c>
      <c r="B6836">
        <f t="shared" si="1391"/>
        <v>0</v>
      </c>
      <c r="C6836">
        <f t="shared" si="1392"/>
        <v>0</v>
      </c>
      <c r="D6836">
        <f t="shared" si="1393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4"/>
        <v>0</v>
      </c>
      <c r="G6836">
        <f t="shared" si="1395"/>
        <v>0</v>
      </c>
      <c r="H6836">
        <f t="shared" si="1396"/>
        <v>0</v>
      </c>
      <c r="I6836">
        <f t="shared" si="1397"/>
        <v>0</v>
      </c>
      <c r="J6836">
        <f t="shared" si="1398"/>
        <v>0</v>
      </c>
      <c r="K6836" s="4" t="e">
        <f t="shared" si="1386"/>
        <v>#N/A</v>
      </c>
      <c r="L6836" t="e">
        <f t="shared" si="1387"/>
        <v>#N/A</v>
      </c>
      <c r="M6836" s="4" t="e">
        <f t="shared" si="1388"/>
        <v>#N/A</v>
      </c>
      <c r="N6836" s="4" t="e">
        <f t="shared" si="1389"/>
        <v>#N/A</v>
      </c>
    </row>
    <row r="6837" spans="1:14">
      <c r="A6837">
        <f t="shared" si="1390"/>
        <v>0</v>
      </c>
      <c r="B6837">
        <f t="shared" si="1391"/>
        <v>0</v>
      </c>
      <c r="C6837">
        <f t="shared" si="1392"/>
        <v>0</v>
      </c>
      <c r="D6837">
        <f t="shared" si="1393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4"/>
        <v>0</v>
      </c>
      <c r="G6837">
        <f t="shared" si="1395"/>
        <v>0</v>
      </c>
      <c r="H6837">
        <f t="shared" si="1396"/>
        <v>0</v>
      </c>
      <c r="I6837">
        <f t="shared" si="1397"/>
        <v>0</v>
      </c>
      <c r="J6837">
        <f t="shared" si="1398"/>
        <v>0</v>
      </c>
      <c r="K6837" s="4" t="e">
        <f t="shared" si="1386"/>
        <v>#N/A</v>
      </c>
      <c r="L6837" t="e">
        <f t="shared" si="1387"/>
        <v>#N/A</v>
      </c>
      <c r="M6837" s="4" t="e">
        <f t="shared" si="1388"/>
        <v>#N/A</v>
      </c>
      <c r="N6837" s="4" t="e">
        <f t="shared" si="1389"/>
        <v>#N/A</v>
      </c>
    </row>
    <row r="6838" spans="1:14">
      <c r="A6838">
        <f t="shared" si="1390"/>
        <v>0</v>
      </c>
      <c r="B6838">
        <f t="shared" si="1391"/>
        <v>0</v>
      </c>
      <c r="C6838">
        <f t="shared" si="1392"/>
        <v>0</v>
      </c>
      <c r="D6838">
        <f t="shared" si="1393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4"/>
        <v>0</v>
      </c>
      <c r="G6838">
        <f t="shared" si="1395"/>
        <v>0</v>
      </c>
      <c r="H6838">
        <f t="shared" si="1396"/>
        <v>0</v>
      </c>
      <c r="I6838">
        <f t="shared" si="1397"/>
        <v>0</v>
      </c>
      <c r="J6838">
        <f t="shared" si="1398"/>
        <v>0</v>
      </c>
      <c r="K6838" s="4" t="e">
        <f t="shared" si="1386"/>
        <v>#N/A</v>
      </c>
      <c r="L6838" t="e">
        <f t="shared" si="1387"/>
        <v>#N/A</v>
      </c>
      <c r="M6838" s="4" t="e">
        <f t="shared" si="1388"/>
        <v>#N/A</v>
      </c>
      <c r="N6838" s="4" t="e">
        <f t="shared" si="1389"/>
        <v>#N/A</v>
      </c>
    </row>
    <row r="6839" spans="1:14">
      <c r="A6839">
        <f t="shared" si="1390"/>
        <v>0</v>
      </c>
      <c r="B6839">
        <f t="shared" si="1391"/>
        <v>0</v>
      </c>
      <c r="C6839">
        <f t="shared" si="1392"/>
        <v>0</v>
      </c>
      <c r="D6839">
        <f t="shared" si="1393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4"/>
        <v>0</v>
      </c>
      <c r="G6839">
        <f t="shared" si="1395"/>
        <v>0</v>
      </c>
      <c r="H6839">
        <f t="shared" si="1396"/>
        <v>0</v>
      </c>
      <c r="I6839">
        <f t="shared" si="1397"/>
        <v>0</v>
      </c>
      <c r="J6839">
        <f t="shared" si="1398"/>
        <v>0</v>
      </c>
      <c r="K6839" s="4" t="e">
        <f t="shared" si="1386"/>
        <v>#N/A</v>
      </c>
      <c r="L6839" t="e">
        <f t="shared" si="1387"/>
        <v>#N/A</v>
      </c>
      <c r="M6839" s="4" t="e">
        <f t="shared" si="1388"/>
        <v>#N/A</v>
      </c>
      <c r="N6839" s="4" t="e">
        <f t="shared" si="1389"/>
        <v>#N/A</v>
      </c>
    </row>
    <row r="6840" spans="1:14">
      <c r="A6840">
        <f t="shared" si="1390"/>
        <v>0</v>
      </c>
      <c r="B6840">
        <f t="shared" si="1391"/>
        <v>0</v>
      </c>
      <c r="C6840">
        <f t="shared" si="1392"/>
        <v>0</v>
      </c>
      <c r="D6840">
        <f t="shared" si="1393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4"/>
        <v>0</v>
      </c>
      <c r="G6840">
        <f t="shared" si="1395"/>
        <v>0</v>
      </c>
      <c r="H6840">
        <f t="shared" si="1396"/>
        <v>0</v>
      </c>
      <c r="I6840">
        <f t="shared" si="1397"/>
        <v>0</v>
      </c>
      <c r="J6840">
        <f t="shared" si="1398"/>
        <v>0</v>
      </c>
      <c r="K6840" s="4" t="e">
        <f t="shared" si="1386"/>
        <v>#N/A</v>
      </c>
      <c r="L6840" t="e">
        <f t="shared" si="1387"/>
        <v>#N/A</v>
      </c>
      <c r="M6840" s="4" t="e">
        <f t="shared" si="1388"/>
        <v>#N/A</v>
      </c>
      <c r="N6840" s="4" t="e">
        <f t="shared" si="1389"/>
        <v>#N/A</v>
      </c>
    </row>
    <row r="6841" spans="1:14">
      <c r="A6841">
        <f t="shared" si="1390"/>
        <v>0</v>
      </c>
      <c r="B6841">
        <f t="shared" si="1391"/>
        <v>0</v>
      </c>
      <c r="C6841">
        <f t="shared" si="1392"/>
        <v>0</v>
      </c>
      <c r="D6841">
        <f t="shared" si="1393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4"/>
        <v>0</v>
      </c>
      <c r="G6841">
        <f t="shared" si="1395"/>
        <v>0</v>
      </c>
      <c r="H6841">
        <f t="shared" si="1396"/>
        <v>0</v>
      </c>
      <c r="I6841">
        <f t="shared" si="1397"/>
        <v>0</v>
      </c>
      <c r="J6841">
        <f t="shared" si="1398"/>
        <v>0</v>
      </c>
      <c r="K6841" s="4" t="e">
        <f t="shared" si="1386"/>
        <v>#N/A</v>
      </c>
      <c r="L6841" t="e">
        <f t="shared" si="1387"/>
        <v>#N/A</v>
      </c>
      <c r="M6841" s="4" t="e">
        <f t="shared" si="1388"/>
        <v>#N/A</v>
      </c>
      <c r="N6841" s="4" t="e">
        <f t="shared" si="1389"/>
        <v>#N/A</v>
      </c>
    </row>
    <row r="6842" spans="1:14">
      <c r="A6842">
        <f t="shared" si="1390"/>
        <v>0</v>
      </c>
      <c r="B6842">
        <f t="shared" si="1391"/>
        <v>0</v>
      </c>
      <c r="C6842">
        <f t="shared" si="1392"/>
        <v>0</v>
      </c>
      <c r="D6842">
        <f t="shared" si="1393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4"/>
        <v>0</v>
      </c>
      <c r="G6842">
        <f t="shared" si="1395"/>
        <v>0</v>
      </c>
      <c r="H6842">
        <f t="shared" si="1396"/>
        <v>0</v>
      </c>
      <c r="I6842">
        <f t="shared" si="1397"/>
        <v>0</v>
      </c>
      <c r="J6842">
        <f t="shared" si="1398"/>
        <v>0</v>
      </c>
      <c r="K6842" s="4" t="e">
        <f t="shared" si="1386"/>
        <v>#N/A</v>
      </c>
      <c r="L6842" t="e">
        <f t="shared" si="1387"/>
        <v>#N/A</v>
      </c>
      <c r="M6842" s="4" t="e">
        <f t="shared" si="1388"/>
        <v>#N/A</v>
      </c>
      <c r="N6842" s="4" t="e">
        <f t="shared" si="1389"/>
        <v>#N/A</v>
      </c>
    </row>
    <row r="6843" spans="1:14">
      <c r="A6843">
        <f t="shared" si="1390"/>
        <v>0</v>
      </c>
      <c r="B6843">
        <f t="shared" si="1391"/>
        <v>0</v>
      </c>
      <c r="C6843">
        <f t="shared" si="1392"/>
        <v>0</v>
      </c>
      <c r="D6843">
        <f t="shared" si="1393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4"/>
        <v>0</v>
      </c>
      <c r="G6843">
        <f t="shared" si="1395"/>
        <v>0</v>
      </c>
      <c r="H6843">
        <f t="shared" si="1396"/>
        <v>0</v>
      </c>
      <c r="I6843">
        <f t="shared" si="1397"/>
        <v>0</v>
      </c>
      <c r="J6843">
        <f t="shared" si="1398"/>
        <v>0</v>
      </c>
      <c r="K6843" s="4" t="e">
        <f t="shared" si="1386"/>
        <v>#N/A</v>
      </c>
      <c r="L6843" t="e">
        <f t="shared" si="1387"/>
        <v>#N/A</v>
      </c>
      <c r="M6843" s="4" t="e">
        <f t="shared" si="1388"/>
        <v>#N/A</v>
      </c>
      <c r="N6843" s="4" t="e">
        <f t="shared" si="1389"/>
        <v>#N/A</v>
      </c>
    </row>
    <row r="6844" spans="1:14">
      <c r="A6844">
        <f t="shared" si="1390"/>
        <v>0</v>
      </c>
      <c r="B6844">
        <f t="shared" si="1391"/>
        <v>0</v>
      </c>
      <c r="C6844">
        <f t="shared" si="1392"/>
        <v>0</v>
      </c>
      <c r="D6844">
        <f t="shared" si="1393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4"/>
        <v>0</v>
      </c>
      <c r="G6844">
        <f t="shared" si="1395"/>
        <v>0</v>
      </c>
      <c r="H6844">
        <f t="shared" si="1396"/>
        <v>0</v>
      </c>
      <c r="I6844">
        <f t="shared" si="1397"/>
        <v>0</v>
      </c>
      <c r="J6844">
        <f t="shared" si="1398"/>
        <v>0</v>
      </c>
      <c r="K6844" s="4" t="e">
        <f t="shared" si="1386"/>
        <v>#N/A</v>
      </c>
      <c r="L6844" t="e">
        <f t="shared" si="1387"/>
        <v>#N/A</v>
      </c>
      <c r="M6844" s="4" t="e">
        <f t="shared" si="1388"/>
        <v>#N/A</v>
      </c>
      <c r="N6844" s="4" t="e">
        <f t="shared" si="1389"/>
        <v>#N/A</v>
      </c>
    </row>
    <row r="6845" spans="1:14">
      <c r="A6845">
        <f t="shared" si="1390"/>
        <v>0</v>
      </c>
      <c r="B6845">
        <f t="shared" si="1391"/>
        <v>0</v>
      </c>
      <c r="C6845">
        <f t="shared" si="1392"/>
        <v>0</v>
      </c>
      <c r="D6845">
        <f t="shared" si="1393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4"/>
        <v>0</v>
      </c>
      <c r="G6845">
        <f t="shared" si="1395"/>
        <v>0</v>
      </c>
      <c r="H6845">
        <f t="shared" si="1396"/>
        <v>0</v>
      </c>
      <c r="I6845">
        <f t="shared" si="1397"/>
        <v>0</v>
      </c>
      <c r="J6845">
        <f t="shared" si="1398"/>
        <v>0</v>
      </c>
      <c r="K6845" s="4" t="e">
        <f t="shared" ref="K6845:K6905" si="1399">IF(LEFT(B6845,3)="DBM",0,VLOOKUP(E6845,tabela,2,FALSE))</f>
        <v>#N/A</v>
      </c>
      <c r="L6845" t="e">
        <f t="shared" ref="L6845:L6905" si="1400">VLOOKUP(E6845,tabela,3,FALSE)</f>
        <v>#N/A</v>
      </c>
      <c r="M6845" s="4" t="e">
        <f t="shared" ref="M6845:M6905" si="1401">IF(E6845="Dynamic Click",J6845*K6845,K6845*$I6845/1000)</f>
        <v>#N/A</v>
      </c>
      <c r="N6845" s="4" t="e">
        <f t="shared" ref="N6845:N6905" si="1402">IF(E6845="Dynamic Click",J6845*L6845,L6845*$I6845/1000)</f>
        <v>#N/A</v>
      </c>
    </row>
    <row r="6846" spans="1:14">
      <c r="A6846">
        <f t="shared" si="1390"/>
        <v>0</v>
      </c>
      <c r="B6846">
        <f t="shared" si="1391"/>
        <v>0</v>
      </c>
      <c r="C6846">
        <f t="shared" si="1392"/>
        <v>0</v>
      </c>
      <c r="D6846">
        <f t="shared" si="1393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4"/>
        <v>0</v>
      </c>
      <c r="G6846">
        <f t="shared" si="1395"/>
        <v>0</v>
      </c>
      <c r="H6846">
        <f t="shared" si="1396"/>
        <v>0</v>
      </c>
      <c r="I6846">
        <f t="shared" si="1397"/>
        <v>0</v>
      </c>
      <c r="J6846">
        <f t="shared" si="1398"/>
        <v>0</v>
      </c>
      <c r="K6846" s="4" t="e">
        <f t="shared" si="1399"/>
        <v>#N/A</v>
      </c>
      <c r="L6846" t="e">
        <f t="shared" si="1400"/>
        <v>#N/A</v>
      </c>
      <c r="M6846" s="4" t="e">
        <f t="shared" si="1401"/>
        <v>#N/A</v>
      </c>
      <c r="N6846" s="4" t="e">
        <f t="shared" si="1402"/>
        <v>#N/A</v>
      </c>
    </row>
    <row r="6847" spans="1:14">
      <c r="A6847">
        <f t="shared" si="1390"/>
        <v>0</v>
      </c>
      <c r="B6847">
        <f t="shared" si="1391"/>
        <v>0</v>
      </c>
      <c r="C6847">
        <f t="shared" si="1392"/>
        <v>0</v>
      </c>
      <c r="D6847">
        <f t="shared" si="1393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4"/>
        <v>0</v>
      </c>
      <c r="G6847">
        <f t="shared" si="1395"/>
        <v>0</v>
      </c>
      <c r="H6847">
        <f t="shared" si="1396"/>
        <v>0</v>
      </c>
      <c r="I6847">
        <f t="shared" si="1397"/>
        <v>0</v>
      </c>
      <c r="J6847">
        <f t="shared" si="1398"/>
        <v>0</v>
      </c>
      <c r="K6847" s="4" t="e">
        <f t="shared" si="1399"/>
        <v>#N/A</v>
      </c>
      <c r="L6847" t="e">
        <f t="shared" si="1400"/>
        <v>#N/A</v>
      </c>
      <c r="M6847" s="4" t="e">
        <f t="shared" si="1401"/>
        <v>#N/A</v>
      </c>
      <c r="N6847" s="4" t="e">
        <f t="shared" si="1402"/>
        <v>#N/A</v>
      </c>
    </row>
    <row r="6848" spans="1:14">
      <c r="A6848">
        <f t="shared" si="1390"/>
        <v>0</v>
      </c>
      <c r="B6848">
        <f t="shared" si="1391"/>
        <v>0</v>
      </c>
      <c r="C6848">
        <f t="shared" si="1392"/>
        <v>0</v>
      </c>
      <c r="D6848">
        <f t="shared" si="1393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4"/>
        <v>0</v>
      </c>
      <c r="G6848">
        <f t="shared" si="1395"/>
        <v>0</v>
      </c>
      <c r="H6848">
        <f t="shared" si="1396"/>
        <v>0</v>
      </c>
      <c r="I6848">
        <f t="shared" si="1397"/>
        <v>0</v>
      </c>
      <c r="J6848">
        <f t="shared" si="1398"/>
        <v>0</v>
      </c>
      <c r="K6848" s="4" t="e">
        <f t="shared" si="1399"/>
        <v>#N/A</v>
      </c>
      <c r="L6848" t="e">
        <f t="shared" si="1400"/>
        <v>#N/A</v>
      </c>
      <c r="M6848" s="4" t="e">
        <f t="shared" si="1401"/>
        <v>#N/A</v>
      </c>
      <c r="N6848" s="4" t="e">
        <f t="shared" si="1402"/>
        <v>#N/A</v>
      </c>
    </row>
    <row r="6849" spans="1:14">
      <c r="A6849">
        <f t="shared" si="1390"/>
        <v>0</v>
      </c>
      <c r="B6849">
        <f t="shared" si="1391"/>
        <v>0</v>
      </c>
      <c r="C6849">
        <f t="shared" si="1392"/>
        <v>0</v>
      </c>
      <c r="D6849">
        <f t="shared" si="1393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4"/>
        <v>0</v>
      </c>
      <c r="G6849">
        <f t="shared" si="1395"/>
        <v>0</v>
      </c>
      <c r="H6849">
        <f t="shared" si="1396"/>
        <v>0</v>
      </c>
      <c r="I6849">
        <f t="shared" si="1397"/>
        <v>0</v>
      </c>
      <c r="J6849">
        <f t="shared" si="1398"/>
        <v>0</v>
      </c>
      <c r="K6849" s="4" t="e">
        <f t="shared" si="1399"/>
        <v>#N/A</v>
      </c>
      <c r="L6849" t="e">
        <f t="shared" si="1400"/>
        <v>#N/A</v>
      </c>
      <c r="M6849" s="4" t="e">
        <f t="shared" si="1401"/>
        <v>#N/A</v>
      </c>
      <c r="N6849" s="4" t="e">
        <f t="shared" si="1402"/>
        <v>#N/A</v>
      </c>
    </row>
    <row r="6850" spans="1:14">
      <c r="A6850">
        <f t="shared" ref="A6850:A6905" si="1403">bd_campaign</f>
        <v>0</v>
      </c>
      <c r="B6850">
        <f t="shared" ref="B6850:B6905" si="1404">bd_site</f>
        <v>0</v>
      </c>
      <c r="C6850">
        <f t="shared" ref="C6850:C6905" si="1405">bd_placement</f>
        <v>0</v>
      </c>
      <c r="D6850">
        <f t="shared" ref="D6850:D6905" si="1406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05" si="1407">bd_ad</f>
        <v>0</v>
      </c>
      <c r="G6850">
        <f t="shared" ref="G6850:G6905" si="1408">bd_adid</f>
        <v>0</v>
      </c>
      <c r="H6850">
        <f t="shared" ref="H6850:H6905" si="1409">bd_creativetype</f>
        <v>0</v>
      </c>
      <c r="I6850">
        <f t="shared" ref="I6850:I6905" si="1410">bd_impression</f>
        <v>0</v>
      </c>
      <c r="J6850">
        <f t="shared" ref="J6850:J6905" si="1411">bd_clicks</f>
        <v>0</v>
      </c>
      <c r="K6850" s="4" t="e">
        <f t="shared" si="1399"/>
        <v>#N/A</v>
      </c>
      <c r="L6850" t="e">
        <f t="shared" si="1400"/>
        <v>#N/A</v>
      </c>
      <c r="M6850" s="4" t="e">
        <f t="shared" si="1401"/>
        <v>#N/A</v>
      </c>
      <c r="N6850" s="4" t="e">
        <f t="shared" si="1402"/>
        <v>#N/A</v>
      </c>
    </row>
    <row r="6851" spans="1:14">
      <c r="A6851">
        <f t="shared" si="1403"/>
        <v>0</v>
      </c>
      <c r="B6851">
        <f t="shared" si="1404"/>
        <v>0</v>
      </c>
      <c r="C6851">
        <f t="shared" si="1405"/>
        <v>0</v>
      </c>
      <c r="D6851">
        <f t="shared" si="1406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7"/>
        <v>0</v>
      </c>
      <c r="G6851">
        <f t="shared" si="1408"/>
        <v>0</v>
      </c>
      <c r="H6851">
        <f t="shared" si="1409"/>
        <v>0</v>
      </c>
      <c r="I6851">
        <f t="shared" si="1410"/>
        <v>0</v>
      </c>
      <c r="J6851">
        <f t="shared" si="1411"/>
        <v>0</v>
      </c>
      <c r="K6851" s="4" t="e">
        <f t="shared" si="1399"/>
        <v>#N/A</v>
      </c>
      <c r="L6851" t="e">
        <f t="shared" si="1400"/>
        <v>#N/A</v>
      </c>
      <c r="M6851" s="4" t="e">
        <f t="shared" si="1401"/>
        <v>#N/A</v>
      </c>
      <c r="N6851" s="4" t="e">
        <f t="shared" si="1402"/>
        <v>#N/A</v>
      </c>
    </row>
    <row r="6852" spans="1:14">
      <c r="A6852">
        <f t="shared" si="1403"/>
        <v>0</v>
      </c>
      <c r="B6852">
        <f t="shared" si="1404"/>
        <v>0</v>
      </c>
      <c r="C6852">
        <f t="shared" si="1405"/>
        <v>0</v>
      </c>
      <c r="D6852">
        <f t="shared" si="1406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7"/>
        <v>0</v>
      </c>
      <c r="G6852">
        <f t="shared" si="1408"/>
        <v>0</v>
      </c>
      <c r="H6852">
        <f t="shared" si="1409"/>
        <v>0</v>
      </c>
      <c r="I6852">
        <f t="shared" si="1410"/>
        <v>0</v>
      </c>
      <c r="J6852">
        <f t="shared" si="1411"/>
        <v>0</v>
      </c>
      <c r="K6852" s="4" t="e">
        <f t="shared" si="1399"/>
        <v>#N/A</v>
      </c>
      <c r="L6852" t="e">
        <f t="shared" si="1400"/>
        <v>#N/A</v>
      </c>
      <c r="M6852" s="4" t="e">
        <f t="shared" si="1401"/>
        <v>#N/A</v>
      </c>
      <c r="N6852" s="4" t="e">
        <f t="shared" si="1402"/>
        <v>#N/A</v>
      </c>
    </row>
    <row r="6853" spans="1:14">
      <c r="A6853">
        <f t="shared" si="1403"/>
        <v>0</v>
      </c>
      <c r="B6853">
        <f t="shared" si="1404"/>
        <v>0</v>
      </c>
      <c r="C6853">
        <f t="shared" si="1405"/>
        <v>0</v>
      </c>
      <c r="D6853">
        <f t="shared" si="1406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7"/>
        <v>0</v>
      </c>
      <c r="G6853">
        <f t="shared" si="1408"/>
        <v>0</v>
      </c>
      <c r="H6853">
        <f t="shared" si="1409"/>
        <v>0</v>
      </c>
      <c r="I6853">
        <f t="shared" si="1410"/>
        <v>0</v>
      </c>
      <c r="J6853">
        <f t="shared" si="1411"/>
        <v>0</v>
      </c>
      <c r="K6853" s="4" t="e">
        <f t="shared" si="1399"/>
        <v>#N/A</v>
      </c>
      <c r="L6853" t="e">
        <f t="shared" si="1400"/>
        <v>#N/A</v>
      </c>
      <c r="M6853" s="4" t="e">
        <f t="shared" si="1401"/>
        <v>#N/A</v>
      </c>
      <c r="N6853" s="4" t="e">
        <f t="shared" si="1402"/>
        <v>#N/A</v>
      </c>
    </row>
    <row r="6854" spans="1:14">
      <c r="A6854">
        <f t="shared" si="1403"/>
        <v>0</v>
      </c>
      <c r="B6854">
        <f t="shared" si="1404"/>
        <v>0</v>
      </c>
      <c r="C6854">
        <f t="shared" si="1405"/>
        <v>0</v>
      </c>
      <c r="D6854">
        <f t="shared" si="1406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7"/>
        <v>0</v>
      </c>
      <c r="G6854">
        <f t="shared" si="1408"/>
        <v>0</v>
      </c>
      <c r="H6854">
        <f t="shared" si="1409"/>
        <v>0</v>
      </c>
      <c r="I6854">
        <f t="shared" si="1410"/>
        <v>0</v>
      </c>
      <c r="J6854">
        <f t="shared" si="1411"/>
        <v>0</v>
      </c>
      <c r="K6854" s="4" t="e">
        <f t="shared" si="1399"/>
        <v>#N/A</v>
      </c>
      <c r="L6854" t="e">
        <f t="shared" si="1400"/>
        <v>#N/A</v>
      </c>
      <c r="M6854" s="4" t="e">
        <f t="shared" si="1401"/>
        <v>#N/A</v>
      </c>
      <c r="N6854" s="4" t="e">
        <f t="shared" si="1402"/>
        <v>#N/A</v>
      </c>
    </row>
    <row r="6855" spans="1:14">
      <c r="A6855">
        <f t="shared" si="1403"/>
        <v>0</v>
      </c>
      <c r="B6855">
        <f t="shared" si="1404"/>
        <v>0</v>
      </c>
      <c r="C6855">
        <f t="shared" si="1405"/>
        <v>0</v>
      </c>
      <c r="D6855">
        <f t="shared" si="1406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7"/>
        <v>0</v>
      </c>
      <c r="G6855">
        <f t="shared" si="1408"/>
        <v>0</v>
      </c>
      <c r="H6855">
        <f t="shared" si="1409"/>
        <v>0</v>
      </c>
      <c r="I6855">
        <f t="shared" si="1410"/>
        <v>0</v>
      </c>
      <c r="J6855">
        <f t="shared" si="1411"/>
        <v>0</v>
      </c>
      <c r="K6855" s="4" t="e">
        <f t="shared" si="1399"/>
        <v>#N/A</v>
      </c>
      <c r="L6855" t="e">
        <f t="shared" si="1400"/>
        <v>#N/A</v>
      </c>
      <c r="M6855" s="4" t="e">
        <f t="shared" si="1401"/>
        <v>#N/A</v>
      </c>
      <c r="N6855" s="4" t="e">
        <f t="shared" si="1402"/>
        <v>#N/A</v>
      </c>
    </row>
    <row r="6856" spans="1:14">
      <c r="A6856">
        <f t="shared" si="1403"/>
        <v>0</v>
      </c>
      <c r="B6856">
        <f t="shared" si="1404"/>
        <v>0</v>
      </c>
      <c r="C6856">
        <f t="shared" si="1405"/>
        <v>0</v>
      </c>
      <c r="D6856">
        <f t="shared" si="1406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7"/>
        <v>0</v>
      </c>
      <c r="G6856">
        <f t="shared" si="1408"/>
        <v>0</v>
      </c>
      <c r="H6856">
        <f t="shared" si="1409"/>
        <v>0</v>
      </c>
      <c r="I6856">
        <f t="shared" si="1410"/>
        <v>0</v>
      </c>
      <c r="J6856">
        <f t="shared" si="1411"/>
        <v>0</v>
      </c>
      <c r="K6856" s="4" t="e">
        <f t="shared" si="1399"/>
        <v>#N/A</v>
      </c>
      <c r="L6856" t="e">
        <f t="shared" si="1400"/>
        <v>#N/A</v>
      </c>
      <c r="M6856" s="4" t="e">
        <f t="shared" si="1401"/>
        <v>#N/A</v>
      </c>
      <c r="N6856" s="4" t="e">
        <f t="shared" si="1402"/>
        <v>#N/A</v>
      </c>
    </row>
    <row r="6857" spans="1:14">
      <c r="A6857">
        <f t="shared" si="1403"/>
        <v>0</v>
      </c>
      <c r="B6857">
        <f t="shared" si="1404"/>
        <v>0</v>
      </c>
      <c r="C6857">
        <f t="shared" si="1405"/>
        <v>0</v>
      </c>
      <c r="D6857">
        <f t="shared" si="1406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7"/>
        <v>0</v>
      </c>
      <c r="G6857">
        <f t="shared" si="1408"/>
        <v>0</v>
      </c>
      <c r="H6857">
        <f t="shared" si="1409"/>
        <v>0</v>
      </c>
      <c r="I6857">
        <f t="shared" si="1410"/>
        <v>0</v>
      </c>
      <c r="J6857">
        <f t="shared" si="1411"/>
        <v>0</v>
      </c>
      <c r="K6857" s="4" t="e">
        <f t="shared" si="1399"/>
        <v>#N/A</v>
      </c>
      <c r="L6857" t="e">
        <f t="shared" si="1400"/>
        <v>#N/A</v>
      </c>
      <c r="M6857" s="4" t="e">
        <f t="shared" si="1401"/>
        <v>#N/A</v>
      </c>
      <c r="N6857" s="4" t="e">
        <f t="shared" si="1402"/>
        <v>#N/A</v>
      </c>
    </row>
    <row r="6858" spans="1:14">
      <c r="A6858">
        <f t="shared" si="1403"/>
        <v>0</v>
      </c>
      <c r="B6858">
        <f t="shared" si="1404"/>
        <v>0</v>
      </c>
      <c r="C6858">
        <f t="shared" si="1405"/>
        <v>0</v>
      </c>
      <c r="D6858">
        <f t="shared" si="1406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7"/>
        <v>0</v>
      </c>
      <c r="G6858">
        <f t="shared" si="1408"/>
        <v>0</v>
      </c>
      <c r="H6858">
        <f t="shared" si="1409"/>
        <v>0</v>
      </c>
      <c r="I6858">
        <f t="shared" si="1410"/>
        <v>0</v>
      </c>
      <c r="J6858">
        <f t="shared" si="1411"/>
        <v>0</v>
      </c>
      <c r="K6858" s="4" t="e">
        <f t="shared" si="1399"/>
        <v>#N/A</v>
      </c>
      <c r="L6858" t="e">
        <f t="shared" si="1400"/>
        <v>#N/A</v>
      </c>
      <c r="M6858" s="4" t="e">
        <f t="shared" si="1401"/>
        <v>#N/A</v>
      </c>
      <c r="N6858" s="4" t="e">
        <f t="shared" si="1402"/>
        <v>#N/A</v>
      </c>
    </row>
    <row r="6859" spans="1:14">
      <c r="A6859">
        <f t="shared" si="1403"/>
        <v>0</v>
      </c>
      <c r="B6859">
        <f t="shared" si="1404"/>
        <v>0</v>
      </c>
      <c r="C6859">
        <f t="shared" si="1405"/>
        <v>0</v>
      </c>
      <c r="D6859">
        <f t="shared" si="1406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7"/>
        <v>0</v>
      </c>
      <c r="G6859">
        <f t="shared" si="1408"/>
        <v>0</v>
      </c>
      <c r="H6859">
        <f t="shared" si="1409"/>
        <v>0</v>
      </c>
      <c r="I6859">
        <f t="shared" si="1410"/>
        <v>0</v>
      </c>
      <c r="J6859">
        <f t="shared" si="1411"/>
        <v>0</v>
      </c>
      <c r="K6859" s="4" t="e">
        <f t="shared" si="1399"/>
        <v>#N/A</v>
      </c>
      <c r="L6859" t="e">
        <f t="shared" si="1400"/>
        <v>#N/A</v>
      </c>
      <c r="M6859" s="4" t="e">
        <f t="shared" si="1401"/>
        <v>#N/A</v>
      </c>
      <c r="N6859" s="4" t="e">
        <f t="shared" si="1402"/>
        <v>#N/A</v>
      </c>
    </row>
    <row r="6860" spans="1:14">
      <c r="A6860">
        <f t="shared" si="1403"/>
        <v>0</v>
      </c>
      <c r="B6860">
        <f t="shared" si="1404"/>
        <v>0</v>
      </c>
      <c r="C6860">
        <f t="shared" si="1405"/>
        <v>0</v>
      </c>
      <c r="D6860">
        <f t="shared" si="1406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7"/>
        <v>0</v>
      </c>
      <c r="G6860">
        <f t="shared" si="1408"/>
        <v>0</v>
      </c>
      <c r="H6860">
        <f t="shared" si="1409"/>
        <v>0</v>
      </c>
      <c r="I6860">
        <f t="shared" si="1410"/>
        <v>0</v>
      </c>
      <c r="J6860">
        <f t="shared" si="1411"/>
        <v>0</v>
      </c>
      <c r="K6860" s="4" t="e">
        <f t="shared" si="1399"/>
        <v>#N/A</v>
      </c>
      <c r="L6860" t="e">
        <f t="shared" si="1400"/>
        <v>#N/A</v>
      </c>
      <c r="M6860" s="4" t="e">
        <f t="shared" si="1401"/>
        <v>#N/A</v>
      </c>
      <c r="N6860" s="4" t="e">
        <f t="shared" si="1402"/>
        <v>#N/A</v>
      </c>
    </row>
    <row r="6861" spans="1:14">
      <c r="A6861">
        <f t="shared" si="1403"/>
        <v>0</v>
      </c>
      <c r="B6861">
        <f t="shared" si="1404"/>
        <v>0</v>
      </c>
      <c r="C6861">
        <f t="shared" si="1405"/>
        <v>0</v>
      </c>
      <c r="D6861">
        <f t="shared" si="1406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7"/>
        <v>0</v>
      </c>
      <c r="G6861">
        <f t="shared" si="1408"/>
        <v>0</v>
      </c>
      <c r="H6861">
        <f t="shared" si="1409"/>
        <v>0</v>
      </c>
      <c r="I6861">
        <f t="shared" si="1410"/>
        <v>0</v>
      </c>
      <c r="J6861">
        <f t="shared" si="1411"/>
        <v>0</v>
      </c>
      <c r="K6861" s="4" t="e">
        <f t="shared" si="1399"/>
        <v>#N/A</v>
      </c>
      <c r="L6861" t="e">
        <f t="shared" si="1400"/>
        <v>#N/A</v>
      </c>
      <c r="M6861" s="4" t="e">
        <f t="shared" si="1401"/>
        <v>#N/A</v>
      </c>
      <c r="N6861" s="4" t="e">
        <f t="shared" si="1402"/>
        <v>#N/A</v>
      </c>
    </row>
    <row r="6862" spans="1:14">
      <c r="A6862">
        <f t="shared" si="1403"/>
        <v>0</v>
      </c>
      <c r="B6862">
        <f t="shared" si="1404"/>
        <v>0</v>
      </c>
      <c r="C6862">
        <f t="shared" si="1405"/>
        <v>0</v>
      </c>
      <c r="D6862">
        <f t="shared" si="1406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7"/>
        <v>0</v>
      </c>
      <c r="G6862">
        <f t="shared" si="1408"/>
        <v>0</v>
      </c>
      <c r="H6862">
        <f t="shared" si="1409"/>
        <v>0</v>
      </c>
      <c r="I6862">
        <f t="shared" si="1410"/>
        <v>0</v>
      </c>
      <c r="J6862">
        <f t="shared" si="1411"/>
        <v>0</v>
      </c>
      <c r="K6862" s="4" t="e">
        <f t="shared" si="1399"/>
        <v>#N/A</v>
      </c>
      <c r="L6862" t="e">
        <f t="shared" si="1400"/>
        <v>#N/A</v>
      </c>
      <c r="M6862" s="4" t="e">
        <f t="shared" si="1401"/>
        <v>#N/A</v>
      </c>
      <c r="N6862" s="4" t="e">
        <f t="shared" si="1402"/>
        <v>#N/A</v>
      </c>
    </row>
    <row r="6863" spans="1:14">
      <c r="A6863">
        <f t="shared" si="1403"/>
        <v>0</v>
      </c>
      <c r="B6863">
        <f t="shared" si="1404"/>
        <v>0</v>
      </c>
      <c r="C6863">
        <f t="shared" si="1405"/>
        <v>0</v>
      </c>
      <c r="D6863">
        <f t="shared" si="1406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7"/>
        <v>0</v>
      </c>
      <c r="G6863">
        <f t="shared" si="1408"/>
        <v>0</v>
      </c>
      <c r="H6863">
        <f t="shared" si="1409"/>
        <v>0</v>
      </c>
      <c r="I6863">
        <f t="shared" si="1410"/>
        <v>0</v>
      </c>
      <c r="J6863">
        <f t="shared" si="1411"/>
        <v>0</v>
      </c>
      <c r="K6863" s="4" t="e">
        <f t="shared" si="1399"/>
        <v>#N/A</v>
      </c>
      <c r="L6863" t="e">
        <f t="shared" si="1400"/>
        <v>#N/A</v>
      </c>
      <c r="M6863" s="4" t="e">
        <f t="shared" si="1401"/>
        <v>#N/A</v>
      </c>
      <c r="N6863" s="4" t="e">
        <f t="shared" si="1402"/>
        <v>#N/A</v>
      </c>
    </row>
    <row r="6864" spans="1:14">
      <c r="A6864">
        <f t="shared" si="1403"/>
        <v>0</v>
      </c>
      <c r="B6864">
        <f t="shared" si="1404"/>
        <v>0</v>
      </c>
      <c r="C6864">
        <f t="shared" si="1405"/>
        <v>0</v>
      </c>
      <c r="D6864">
        <f t="shared" si="1406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7"/>
        <v>0</v>
      </c>
      <c r="G6864">
        <f t="shared" si="1408"/>
        <v>0</v>
      </c>
      <c r="H6864">
        <f t="shared" si="1409"/>
        <v>0</v>
      </c>
      <c r="I6864">
        <f t="shared" si="1410"/>
        <v>0</v>
      </c>
      <c r="J6864">
        <f t="shared" si="1411"/>
        <v>0</v>
      </c>
      <c r="K6864" s="4" t="e">
        <f t="shared" si="1399"/>
        <v>#N/A</v>
      </c>
      <c r="L6864" t="e">
        <f t="shared" si="1400"/>
        <v>#N/A</v>
      </c>
      <c r="M6864" s="4" t="e">
        <f t="shared" si="1401"/>
        <v>#N/A</v>
      </c>
      <c r="N6864" s="4" t="e">
        <f t="shared" si="1402"/>
        <v>#N/A</v>
      </c>
    </row>
    <row r="6865" spans="1:14">
      <c r="A6865">
        <f t="shared" si="1403"/>
        <v>0</v>
      </c>
      <c r="B6865">
        <f t="shared" si="1404"/>
        <v>0</v>
      </c>
      <c r="C6865">
        <f t="shared" si="1405"/>
        <v>0</v>
      </c>
      <c r="D6865">
        <f t="shared" si="1406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7"/>
        <v>0</v>
      </c>
      <c r="G6865">
        <f t="shared" si="1408"/>
        <v>0</v>
      </c>
      <c r="H6865">
        <f t="shared" si="1409"/>
        <v>0</v>
      </c>
      <c r="I6865">
        <f t="shared" si="1410"/>
        <v>0</v>
      </c>
      <c r="J6865">
        <f t="shared" si="1411"/>
        <v>0</v>
      </c>
      <c r="K6865" s="4" t="e">
        <f t="shared" si="1399"/>
        <v>#N/A</v>
      </c>
      <c r="L6865" t="e">
        <f t="shared" si="1400"/>
        <v>#N/A</v>
      </c>
      <c r="M6865" s="4" t="e">
        <f t="shared" si="1401"/>
        <v>#N/A</v>
      </c>
      <c r="N6865" s="4" t="e">
        <f t="shared" si="1402"/>
        <v>#N/A</v>
      </c>
    </row>
    <row r="6866" spans="1:14">
      <c r="A6866">
        <f t="shared" si="1403"/>
        <v>0</v>
      </c>
      <c r="B6866">
        <f t="shared" si="1404"/>
        <v>0</v>
      </c>
      <c r="C6866">
        <f t="shared" si="1405"/>
        <v>0</v>
      </c>
      <c r="D6866">
        <f t="shared" si="1406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7"/>
        <v>0</v>
      </c>
      <c r="G6866">
        <f t="shared" si="1408"/>
        <v>0</v>
      </c>
      <c r="H6866">
        <f t="shared" si="1409"/>
        <v>0</v>
      </c>
      <c r="I6866">
        <f t="shared" si="1410"/>
        <v>0</v>
      </c>
      <c r="J6866">
        <f t="shared" si="1411"/>
        <v>0</v>
      </c>
      <c r="K6866" s="4" t="e">
        <f t="shared" si="1399"/>
        <v>#N/A</v>
      </c>
      <c r="L6866" t="e">
        <f t="shared" si="1400"/>
        <v>#N/A</v>
      </c>
      <c r="M6866" s="4" t="e">
        <f t="shared" si="1401"/>
        <v>#N/A</v>
      </c>
      <c r="N6866" s="4" t="e">
        <f t="shared" si="1402"/>
        <v>#N/A</v>
      </c>
    </row>
    <row r="6867" spans="1:14">
      <c r="A6867">
        <f t="shared" si="1403"/>
        <v>0</v>
      </c>
      <c r="B6867">
        <f t="shared" si="1404"/>
        <v>0</v>
      </c>
      <c r="C6867">
        <f t="shared" si="1405"/>
        <v>0</v>
      </c>
      <c r="D6867">
        <f t="shared" si="1406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7"/>
        <v>0</v>
      </c>
      <c r="G6867">
        <f t="shared" si="1408"/>
        <v>0</v>
      </c>
      <c r="H6867">
        <f t="shared" si="1409"/>
        <v>0</v>
      </c>
      <c r="I6867">
        <f t="shared" si="1410"/>
        <v>0</v>
      </c>
      <c r="J6867">
        <f t="shared" si="1411"/>
        <v>0</v>
      </c>
      <c r="K6867" s="4" t="e">
        <f t="shared" si="1399"/>
        <v>#N/A</v>
      </c>
      <c r="L6867" t="e">
        <f t="shared" si="1400"/>
        <v>#N/A</v>
      </c>
      <c r="M6867" s="4" t="e">
        <f t="shared" si="1401"/>
        <v>#N/A</v>
      </c>
      <c r="N6867" s="4" t="e">
        <f t="shared" si="1402"/>
        <v>#N/A</v>
      </c>
    </row>
    <row r="6868" spans="1:14">
      <c r="A6868">
        <f t="shared" si="1403"/>
        <v>0</v>
      </c>
      <c r="B6868">
        <f t="shared" si="1404"/>
        <v>0</v>
      </c>
      <c r="C6868">
        <f t="shared" si="1405"/>
        <v>0</v>
      </c>
      <c r="D6868">
        <f t="shared" si="1406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7"/>
        <v>0</v>
      </c>
      <c r="G6868">
        <f t="shared" si="1408"/>
        <v>0</v>
      </c>
      <c r="H6868">
        <f t="shared" si="1409"/>
        <v>0</v>
      </c>
      <c r="I6868">
        <f t="shared" si="1410"/>
        <v>0</v>
      </c>
      <c r="J6868">
        <f t="shared" si="1411"/>
        <v>0</v>
      </c>
      <c r="K6868" s="4" t="e">
        <f t="shared" si="1399"/>
        <v>#N/A</v>
      </c>
      <c r="L6868" t="e">
        <f t="shared" si="1400"/>
        <v>#N/A</v>
      </c>
      <c r="M6868" s="4" t="e">
        <f t="shared" si="1401"/>
        <v>#N/A</v>
      </c>
      <c r="N6868" s="4" t="e">
        <f t="shared" si="1402"/>
        <v>#N/A</v>
      </c>
    </row>
    <row r="6869" spans="1:14">
      <c r="A6869">
        <f t="shared" si="1403"/>
        <v>0</v>
      </c>
      <c r="B6869">
        <f t="shared" si="1404"/>
        <v>0</v>
      </c>
      <c r="C6869">
        <f t="shared" si="1405"/>
        <v>0</v>
      </c>
      <c r="D6869">
        <f t="shared" si="1406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7"/>
        <v>0</v>
      </c>
      <c r="G6869">
        <f t="shared" si="1408"/>
        <v>0</v>
      </c>
      <c r="H6869">
        <f t="shared" si="1409"/>
        <v>0</v>
      </c>
      <c r="I6869">
        <f t="shared" si="1410"/>
        <v>0</v>
      </c>
      <c r="J6869">
        <f t="shared" si="1411"/>
        <v>0</v>
      </c>
      <c r="K6869" s="4" t="e">
        <f t="shared" si="1399"/>
        <v>#N/A</v>
      </c>
      <c r="L6869" t="e">
        <f t="shared" si="1400"/>
        <v>#N/A</v>
      </c>
      <c r="M6869" s="4" t="e">
        <f t="shared" si="1401"/>
        <v>#N/A</v>
      </c>
      <c r="N6869" s="4" t="e">
        <f t="shared" si="1402"/>
        <v>#N/A</v>
      </c>
    </row>
    <row r="6870" spans="1:14">
      <c r="A6870">
        <f t="shared" si="1403"/>
        <v>0</v>
      </c>
      <c r="B6870">
        <f t="shared" si="1404"/>
        <v>0</v>
      </c>
      <c r="C6870">
        <f t="shared" si="1405"/>
        <v>0</v>
      </c>
      <c r="D6870">
        <f t="shared" si="1406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7"/>
        <v>0</v>
      </c>
      <c r="G6870">
        <f t="shared" si="1408"/>
        <v>0</v>
      </c>
      <c r="H6870">
        <f t="shared" si="1409"/>
        <v>0</v>
      </c>
      <c r="I6870">
        <f t="shared" si="1410"/>
        <v>0</v>
      </c>
      <c r="J6870">
        <f t="shared" si="1411"/>
        <v>0</v>
      </c>
      <c r="K6870" s="4" t="e">
        <f t="shared" si="1399"/>
        <v>#N/A</v>
      </c>
      <c r="L6870" t="e">
        <f t="shared" si="1400"/>
        <v>#N/A</v>
      </c>
      <c r="M6870" s="4" t="e">
        <f t="shared" si="1401"/>
        <v>#N/A</v>
      </c>
      <c r="N6870" s="4" t="e">
        <f t="shared" si="1402"/>
        <v>#N/A</v>
      </c>
    </row>
    <row r="6871" spans="1:14">
      <c r="A6871">
        <f t="shared" si="1403"/>
        <v>0</v>
      </c>
      <c r="B6871">
        <f t="shared" si="1404"/>
        <v>0</v>
      </c>
      <c r="C6871">
        <f t="shared" si="1405"/>
        <v>0</v>
      </c>
      <c r="D6871">
        <f t="shared" si="1406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7"/>
        <v>0</v>
      </c>
      <c r="G6871">
        <f t="shared" si="1408"/>
        <v>0</v>
      </c>
      <c r="H6871">
        <f t="shared" si="1409"/>
        <v>0</v>
      </c>
      <c r="I6871">
        <f t="shared" si="1410"/>
        <v>0</v>
      </c>
      <c r="J6871">
        <f t="shared" si="1411"/>
        <v>0</v>
      </c>
      <c r="K6871" s="4" t="e">
        <f t="shared" si="1399"/>
        <v>#N/A</v>
      </c>
      <c r="L6871" t="e">
        <f t="shared" si="1400"/>
        <v>#N/A</v>
      </c>
      <c r="M6871" s="4" t="e">
        <f t="shared" si="1401"/>
        <v>#N/A</v>
      </c>
      <c r="N6871" s="4" t="e">
        <f t="shared" si="1402"/>
        <v>#N/A</v>
      </c>
    </row>
    <row r="6872" spans="1:14">
      <c r="A6872">
        <f t="shared" si="1403"/>
        <v>0</v>
      </c>
      <c r="B6872">
        <f t="shared" si="1404"/>
        <v>0</v>
      </c>
      <c r="C6872">
        <f t="shared" si="1405"/>
        <v>0</v>
      </c>
      <c r="D6872">
        <f t="shared" si="1406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7"/>
        <v>0</v>
      </c>
      <c r="G6872">
        <f t="shared" si="1408"/>
        <v>0</v>
      </c>
      <c r="H6872">
        <f t="shared" si="1409"/>
        <v>0</v>
      </c>
      <c r="I6872">
        <f t="shared" si="1410"/>
        <v>0</v>
      </c>
      <c r="J6872">
        <f t="shared" si="1411"/>
        <v>0</v>
      </c>
      <c r="K6872" s="4" t="e">
        <f t="shared" si="1399"/>
        <v>#N/A</v>
      </c>
      <c r="L6872" t="e">
        <f t="shared" si="1400"/>
        <v>#N/A</v>
      </c>
      <c r="M6872" s="4" t="e">
        <f t="shared" si="1401"/>
        <v>#N/A</v>
      </c>
      <c r="N6872" s="4" t="e">
        <f t="shared" si="1402"/>
        <v>#N/A</v>
      </c>
    </row>
    <row r="6873" spans="1:14">
      <c r="A6873">
        <f t="shared" si="1403"/>
        <v>0</v>
      </c>
      <c r="B6873">
        <f t="shared" si="1404"/>
        <v>0</v>
      </c>
      <c r="C6873">
        <f t="shared" si="1405"/>
        <v>0</v>
      </c>
      <c r="D6873">
        <f t="shared" si="1406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7"/>
        <v>0</v>
      </c>
      <c r="G6873">
        <f t="shared" si="1408"/>
        <v>0</v>
      </c>
      <c r="H6873">
        <f t="shared" si="1409"/>
        <v>0</v>
      </c>
      <c r="I6873">
        <f t="shared" si="1410"/>
        <v>0</v>
      </c>
      <c r="J6873">
        <f t="shared" si="1411"/>
        <v>0</v>
      </c>
      <c r="K6873" s="4" t="e">
        <f t="shared" si="1399"/>
        <v>#N/A</v>
      </c>
      <c r="L6873" t="e">
        <f t="shared" si="1400"/>
        <v>#N/A</v>
      </c>
      <c r="M6873" s="4" t="e">
        <f t="shared" si="1401"/>
        <v>#N/A</v>
      </c>
      <c r="N6873" s="4" t="e">
        <f t="shared" si="1402"/>
        <v>#N/A</v>
      </c>
    </row>
    <row r="6874" spans="1:14">
      <c r="A6874">
        <f t="shared" si="1403"/>
        <v>0</v>
      </c>
      <c r="B6874">
        <f t="shared" si="1404"/>
        <v>0</v>
      </c>
      <c r="C6874">
        <f t="shared" si="1405"/>
        <v>0</v>
      </c>
      <c r="D6874">
        <f t="shared" si="1406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7"/>
        <v>0</v>
      </c>
      <c r="G6874">
        <f t="shared" si="1408"/>
        <v>0</v>
      </c>
      <c r="H6874">
        <f t="shared" si="1409"/>
        <v>0</v>
      </c>
      <c r="I6874">
        <f t="shared" si="1410"/>
        <v>0</v>
      </c>
      <c r="J6874">
        <f t="shared" si="1411"/>
        <v>0</v>
      </c>
      <c r="K6874" s="4" t="e">
        <f t="shared" si="1399"/>
        <v>#N/A</v>
      </c>
      <c r="L6874" t="e">
        <f t="shared" si="1400"/>
        <v>#N/A</v>
      </c>
      <c r="M6874" s="4" t="e">
        <f t="shared" si="1401"/>
        <v>#N/A</v>
      </c>
      <c r="N6874" s="4" t="e">
        <f t="shared" si="1402"/>
        <v>#N/A</v>
      </c>
    </row>
    <row r="6875" spans="1:14">
      <c r="A6875">
        <f t="shared" si="1403"/>
        <v>0</v>
      </c>
      <c r="B6875">
        <f t="shared" si="1404"/>
        <v>0</v>
      </c>
      <c r="C6875">
        <f t="shared" si="1405"/>
        <v>0</v>
      </c>
      <c r="D6875">
        <f t="shared" si="1406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7"/>
        <v>0</v>
      </c>
      <c r="G6875">
        <f t="shared" si="1408"/>
        <v>0</v>
      </c>
      <c r="H6875">
        <f t="shared" si="1409"/>
        <v>0</v>
      </c>
      <c r="I6875">
        <f t="shared" si="1410"/>
        <v>0</v>
      </c>
      <c r="J6875">
        <f t="shared" si="1411"/>
        <v>0</v>
      </c>
      <c r="K6875" s="4" t="e">
        <f t="shared" si="1399"/>
        <v>#N/A</v>
      </c>
      <c r="L6875" t="e">
        <f t="shared" si="1400"/>
        <v>#N/A</v>
      </c>
      <c r="M6875" s="4" t="e">
        <f t="shared" si="1401"/>
        <v>#N/A</v>
      </c>
      <c r="N6875" s="4" t="e">
        <f t="shared" si="1402"/>
        <v>#N/A</v>
      </c>
    </row>
    <row r="6876" spans="1:14">
      <c r="A6876">
        <f t="shared" si="1403"/>
        <v>0</v>
      </c>
      <c r="B6876">
        <f t="shared" si="1404"/>
        <v>0</v>
      </c>
      <c r="C6876">
        <f t="shared" si="1405"/>
        <v>0</v>
      </c>
      <c r="D6876">
        <f t="shared" si="1406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7"/>
        <v>0</v>
      </c>
      <c r="G6876">
        <f t="shared" si="1408"/>
        <v>0</v>
      </c>
      <c r="H6876">
        <f t="shared" si="1409"/>
        <v>0</v>
      </c>
      <c r="I6876">
        <f t="shared" si="1410"/>
        <v>0</v>
      </c>
      <c r="J6876">
        <f t="shared" si="1411"/>
        <v>0</v>
      </c>
      <c r="K6876" s="4" t="e">
        <f t="shared" si="1399"/>
        <v>#N/A</v>
      </c>
      <c r="L6876" t="e">
        <f t="shared" si="1400"/>
        <v>#N/A</v>
      </c>
      <c r="M6876" s="4" t="e">
        <f t="shared" si="1401"/>
        <v>#N/A</v>
      </c>
      <c r="N6876" s="4" t="e">
        <f t="shared" si="1402"/>
        <v>#N/A</v>
      </c>
    </row>
    <row r="6877" spans="1:14">
      <c r="A6877">
        <f t="shared" si="1403"/>
        <v>0</v>
      </c>
      <c r="B6877">
        <f t="shared" si="1404"/>
        <v>0</v>
      </c>
      <c r="C6877">
        <f t="shared" si="1405"/>
        <v>0</v>
      </c>
      <c r="D6877">
        <f t="shared" si="1406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7"/>
        <v>0</v>
      </c>
      <c r="G6877">
        <f t="shared" si="1408"/>
        <v>0</v>
      </c>
      <c r="H6877">
        <f t="shared" si="1409"/>
        <v>0</v>
      </c>
      <c r="I6877">
        <f t="shared" si="1410"/>
        <v>0</v>
      </c>
      <c r="J6877">
        <f t="shared" si="1411"/>
        <v>0</v>
      </c>
      <c r="K6877" s="4" t="e">
        <f t="shared" si="1399"/>
        <v>#N/A</v>
      </c>
      <c r="L6877" t="e">
        <f t="shared" si="1400"/>
        <v>#N/A</v>
      </c>
      <c r="M6877" s="4" t="e">
        <f t="shared" si="1401"/>
        <v>#N/A</v>
      </c>
      <c r="N6877" s="4" t="e">
        <f t="shared" si="1402"/>
        <v>#N/A</v>
      </c>
    </row>
    <row r="6878" spans="1:14">
      <c r="A6878">
        <f t="shared" si="1403"/>
        <v>0</v>
      </c>
      <c r="B6878">
        <f t="shared" si="1404"/>
        <v>0</v>
      </c>
      <c r="C6878">
        <f t="shared" si="1405"/>
        <v>0</v>
      </c>
      <c r="D6878">
        <f t="shared" si="1406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7"/>
        <v>0</v>
      </c>
      <c r="G6878">
        <f t="shared" si="1408"/>
        <v>0</v>
      </c>
      <c r="H6878">
        <f t="shared" si="1409"/>
        <v>0</v>
      </c>
      <c r="I6878">
        <f t="shared" si="1410"/>
        <v>0</v>
      </c>
      <c r="J6878">
        <f t="shared" si="1411"/>
        <v>0</v>
      </c>
      <c r="K6878" s="4" t="e">
        <f t="shared" si="1399"/>
        <v>#N/A</v>
      </c>
      <c r="L6878" t="e">
        <f t="shared" si="1400"/>
        <v>#N/A</v>
      </c>
      <c r="M6878" s="4" t="e">
        <f t="shared" si="1401"/>
        <v>#N/A</v>
      </c>
      <c r="N6878" s="4" t="e">
        <f t="shared" si="1402"/>
        <v>#N/A</v>
      </c>
    </row>
    <row r="6879" spans="1:14">
      <c r="A6879">
        <f t="shared" si="1403"/>
        <v>0</v>
      </c>
      <c r="B6879">
        <f t="shared" si="1404"/>
        <v>0</v>
      </c>
      <c r="C6879">
        <f t="shared" si="1405"/>
        <v>0</v>
      </c>
      <c r="D6879">
        <f t="shared" si="1406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7"/>
        <v>0</v>
      </c>
      <c r="G6879">
        <f t="shared" si="1408"/>
        <v>0</v>
      </c>
      <c r="H6879">
        <f t="shared" si="1409"/>
        <v>0</v>
      </c>
      <c r="I6879">
        <f t="shared" si="1410"/>
        <v>0</v>
      </c>
      <c r="J6879">
        <f t="shared" si="1411"/>
        <v>0</v>
      </c>
      <c r="K6879" s="4" t="e">
        <f t="shared" si="1399"/>
        <v>#N/A</v>
      </c>
      <c r="L6879" t="e">
        <f t="shared" si="1400"/>
        <v>#N/A</v>
      </c>
      <c r="M6879" s="4" t="e">
        <f t="shared" si="1401"/>
        <v>#N/A</v>
      </c>
      <c r="N6879" s="4" t="e">
        <f t="shared" si="1402"/>
        <v>#N/A</v>
      </c>
    </row>
    <row r="6880" spans="1:14">
      <c r="A6880">
        <f t="shared" si="1403"/>
        <v>0</v>
      </c>
      <c r="B6880">
        <f t="shared" si="1404"/>
        <v>0</v>
      </c>
      <c r="C6880">
        <f t="shared" si="1405"/>
        <v>0</v>
      </c>
      <c r="D6880">
        <f t="shared" si="1406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7"/>
        <v>0</v>
      </c>
      <c r="G6880">
        <f t="shared" si="1408"/>
        <v>0</v>
      </c>
      <c r="H6880">
        <f t="shared" si="1409"/>
        <v>0</v>
      </c>
      <c r="I6880">
        <f t="shared" si="1410"/>
        <v>0</v>
      </c>
      <c r="J6880">
        <f t="shared" si="1411"/>
        <v>0</v>
      </c>
      <c r="K6880" s="4" t="e">
        <f t="shared" si="1399"/>
        <v>#N/A</v>
      </c>
      <c r="L6880" t="e">
        <f t="shared" si="1400"/>
        <v>#N/A</v>
      </c>
      <c r="M6880" s="4" t="e">
        <f t="shared" si="1401"/>
        <v>#N/A</v>
      </c>
      <c r="N6880" s="4" t="e">
        <f t="shared" si="1402"/>
        <v>#N/A</v>
      </c>
    </row>
    <row r="6881" spans="1:14">
      <c r="A6881">
        <f t="shared" si="1403"/>
        <v>0</v>
      </c>
      <c r="B6881">
        <f t="shared" si="1404"/>
        <v>0</v>
      </c>
      <c r="C6881">
        <f t="shared" si="1405"/>
        <v>0</v>
      </c>
      <c r="D6881">
        <f t="shared" si="1406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7"/>
        <v>0</v>
      </c>
      <c r="G6881">
        <f t="shared" si="1408"/>
        <v>0</v>
      </c>
      <c r="H6881">
        <f t="shared" si="1409"/>
        <v>0</v>
      </c>
      <c r="I6881">
        <f t="shared" si="1410"/>
        <v>0</v>
      </c>
      <c r="J6881">
        <f t="shared" si="1411"/>
        <v>0</v>
      </c>
      <c r="K6881" s="4" t="e">
        <f t="shared" si="1399"/>
        <v>#N/A</v>
      </c>
      <c r="L6881" t="e">
        <f t="shared" si="1400"/>
        <v>#N/A</v>
      </c>
      <c r="M6881" s="4" t="e">
        <f t="shared" si="1401"/>
        <v>#N/A</v>
      </c>
      <c r="N6881" s="4" t="e">
        <f t="shared" si="1402"/>
        <v>#N/A</v>
      </c>
    </row>
    <row r="6882" spans="1:14">
      <c r="A6882">
        <f t="shared" si="1403"/>
        <v>0</v>
      </c>
      <c r="B6882">
        <f t="shared" si="1404"/>
        <v>0</v>
      </c>
      <c r="C6882">
        <f t="shared" si="1405"/>
        <v>0</v>
      </c>
      <c r="D6882">
        <f t="shared" si="1406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7"/>
        <v>0</v>
      </c>
      <c r="G6882">
        <f t="shared" si="1408"/>
        <v>0</v>
      </c>
      <c r="H6882">
        <f t="shared" si="1409"/>
        <v>0</v>
      </c>
      <c r="I6882">
        <f t="shared" si="1410"/>
        <v>0</v>
      </c>
      <c r="J6882">
        <f t="shared" si="1411"/>
        <v>0</v>
      </c>
      <c r="K6882" s="4" t="e">
        <f t="shared" si="1399"/>
        <v>#N/A</v>
      </c>
      <c r="L6882" t="e">
        <f t="shared" si="1400"/>
        <v>#N/A</v>
      </c>
      <c r="M6882" s="4" t="e">
        <f t="shared" si="1401"/>
        <v>#N/A</v>
      </c>
      <c r="N6882" s="4" t="e">
        <f t="shared" si="1402"/>
        <v>#N/A</v>
      </c>
    </row>
    <row r="6883" spans="1:14">
      <c r="A6883">
        <f t="shared" si="1403"/>
        <v>0</v>
      </c>
      <c r="B6883">
        <f t="shared" si="1404"/>
        <v>0</v>
      </c>
      <c r="C6883">
        <f t="shared" si="1405"/>
        <v>0</v>
      </c>
      <c r="D6883">
        <f t="shared" si="1406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7"/>
        <v>0</v>
      </c>
      <c r="G6883">
        <f t="shared" si="1408"/>
        <v>0</v>
      </c>
      <c r="H6883">
        <f t="shared" si="1409"/>
        <v>0</v>
      </c>
      <c r="I6883">
        <f t="shared" si="1410"/>
        <v>0</v>
      </c>
      <c r="J6883">
        <f t="shared" si="1411"/>
        <v>0</v>
      </c>
      <c r="K6883" s="4" t="e">
        <f t="shared" si="1399"/>
        <v>#N/A</v>
      </c>
      <c r="L6883" t="e">
        <f t="shared" si="1400"/>
        <v>#N/A</v>
      </c>
      <c r="M6883" s="4" t="e">
        <f t="shared" si="1401"/>
        <v>#N/A</v>
      </c>
      <c r="N6883" s="4" t="e">
        <f t="shared" si="1402"/>
        <v>#N/A</v>
      </c>
    </row>
    <row r="6884" spans="1:14">
      <c r="A6884">
        <f t="shared" si="1403"/>
        <v>0</v>
      </c>
      <c r="B6884">
        <f t="shared" si="1404"/>
        <v>0</v>
      </c>
      <c r="C6884">
        <f t="shared" si="1405"/>
        <v>0</v>
      </c>
      <c r="D6884">
        <f t="shared" si="1406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7"/>
        <v>0</v>
      </c>
      <c r="G6884">
        <f t="shared" si="1408"/>
        <v>0</v>
      </c>
      <c r="H6884">
        <f t="shared" si="1409"/>
        <v>0</v>
      </c>
      <c r="I6884">
        <f t="shared" si="1410"/>
        <v>0</v>
      </c>
      <c r="J6884">
        <f t="shared" si="1411"/>
        <v>0</v>
      </c>
      <c r="K6884" s="4" t="e">
        <f t="shared" si="1399"/>
        <v>#N/A</v>
      </c>
      <c r="L6884" t="e">
        <f t="shared" si="1400"/>
        <v>#N/A</v>
      </c>
      <c r="M6884" s="4" t="e">
        <f t="shared" si="1401"/>
        <v>#N/A</v>
      </c>
      <c r="N6884" s="4" t="e">
        <f t="shared" si="1402"/>
        <v>#N/A</v>
      </c>
    </row>
    <row r="6885" spans="1:14">
      <c r="A6885">
        <f t="shared" si="1403"/>
        <v>0</v>
      </c>
      <c r="B6885">
        <f t="shared" si="1404"/>
        <v>0</v>
      </c>
      <c r="C6885">
        <f t="shared" si="1405"/>
        <v>0</v>
      </c>
      <c r="D6885">
        <f t="shared" si="1406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7"/>
        <v>0</v>
      </c>
      <c r="G6885">
        <f t="shared" si="1408"/>
        <v>0</v>
      </c>
      <c r="H6885">
        <f t="shared" si="1409"/>
        <v>0</v>
      </c>
      <c r="I6885">
        <f t="shared" si="1410"/>
        <v>0</v>
      </c>
      <c r="J6885">
        <f t="shared" si="1411"/>
        <v>0</v>
      </c>
      <c r="K6885" s="4" t="e">
        <f t="shared" si="1399"/>
        <v>#N/A</v>
      </c>
      <c r="L6885" t="e">
        <f t="shared" si="1400"/>
        <v>#N/A</v>
      </c>
      <c r="M6885" s="4" t="e">
        <f t="shared" si="1401"/>
        <v>#N/A</v>
      </c>
      <c r="N6885" s="4" t="e">
        <f t="shared" si="1402"/>
        <v>#N/A</v>
      </c>
    </row>
    <row r="6886" spans="1:14">
      <c r="A6886">
        <f t="shared" si="1403"/>
        <v>0</v>
      </c>
      <c r="B6886">
        <f t="shared" si="1404"/>
        <v>0</v>
      </c>
      <c r="C6886">
        <f t="shared" si="1405"/>
        <v>0</v>
      </c>
      <c r="D6886">
        <f t="shared" si="1406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7"/>
        <v>0</v>
      </c>
      <c r="G6886">
        <f t="shared" si="1408"/>
        <v>0</v>
      </c>
      <c r="H6886">
        <f t="shared" si="1409"/>
        <v>0</v>
      </c>
      <c r="I6886">
        <f t="shared" si="1410"/>
        <v>0</v>
      </c>
      <c r="J6886">
        <f t="shared" si="1411"/>
        <v>0</v>
      </c>
      <c r="K6886" s="4" t="e">
        <f t="shared" si="1399"/>
        <v>#N/A</v>
      </c>
      <c r="L6886" t="e">
        <f t="shared" si="1400"/>
        <v>#N/A</v>
      </c>
      <c r="M6886" s="4" t="e">
        <f t="shared" si="1401"/>
        <v>#N/A</v>
      </c>
      <c r="N6886" s="4" t="e">
        <f t="shared" si="1402"/>
        <v>#N/A</v>
      </c>
    </row>
    <row r="6887" spans="1:14">
      <c r="A6887">
        <f t="shared" si="1403"/>
        <v>0</v>
      </c>
      <c r="B6887">
        <f t="shared" si="1404"/>
        <v>0</v>
      </c>
      <c r="C6887">
        <f t="shared" si="1405"/>
        <v>0</v>
      </c>
      <c r="D6887">
        <f t="shared" si="1406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7"/>
        <v>0</v>
      </c>
      <c r="G6887">
        <f t="shared" si="1408"/>
        <v>0</v>
      </c>
      <c r="H6887">
        <f t="shared" si="1409"/>
        <v>0</v>
      </c>
      <c r="I6887">
        <f t="shared" si="1410"/>
        <v>0</v>
      </c>
      <c r="J6887">
        <f t="shared" si="1411"/>
        <v>0</v>
      </c>
      <c r="K6887" s="4" t="e">
        <f t="shared" si="1399"/>
        <v>#N/A</v>
      </c>
      <c r="L6887" t="e">
        <f t="shared" si="1400"/>
        <v>#N/A</v>
      </c>
      <c r="M6887" s="4" t="e">
        <f t="shared" si="1401"/>
        <v>#N/A</v>
      </c>
      <c r="N6887" s="4" t="e">
        <f t="shared" si="1402"/>
        <v>#N/A</v>
      </c>
    </row>
    <row r="6888" spans="1:14">
      <c r="A6888">
        <f t="shared" si="1403"/>
        <v>0</v>
      </c>
      <c r="B6888">
        <f t="shared" si="1404"/>
        <v>0</v>
      </c>
      <c r="C6888">
        <f t="shared" si="1405"/>
        <v>0</v>
      </c>
      <c r="D6888">
        <f t="shared" si="1406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7"/>
        <v>0</v>
      </c>
      <c r="G6888">
        <f t="shared" si="1408"/>
        <v>0</v>
      </c>
      <c r="H6888">
        <f t="shared" si="1409"/>
        <v>0</v>
      </c>
      <c r="I6888">
        <f t="shared" si="1410"/>
        <v>0</v>
      </c>
      <c r="J6888">
        <f t="shared" si="1411"/>
        <v>0</v>
      </c>
      <c r="K6888" s="4" t="e">
        <f t="shared" si="1399"/>
        <v>#N/A</v>
      </c>
      <c r="L6888" t="e">
        <f t="shared" si="1400"/>
        <v>#N/A</v>
      </c>
      <c r="M6888" s="4" t="e">
        <f t="shared" si="1401"/>
        <v>#N/A</v>
      </c>
      <c r="N6888" s="4" t="e">
        <f t="shared" si="1402"/>
        <v>#N/A</v>
      </c>
    </row>
    <row r="6889" spans="1:14">
      <c r="A6889">
        <f t="shared" si="1403"/>
        <v>0</v>
      </c>
      <c r="B6889">
        <f t="shared" si="1404"/>
        <v>0</v>
      </c>
      <c r="C6889">
        <f t="shared" si="1405"/>
        <v>0</v>
      </c>
      <c r="D6889">
        <f t="shared" si="1406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7"/>
        <v>0</v>
      </c>
      <c r="G6889">
        <f t="shared" si="1408"/>
        <v>0</v>
      </c>
      <c r="H6889">
        <f t="shared" si="1409"/>
        <v>0</v>
      </c>
      <c r="I6889">
        <f t="shared" si="1410"/>
        <v>0</v>
      </c>
      <c r="J6889">
        <f t="shared" si="1411"/>
        <v>0</v>
      </c>
      <c r="K6889" s="4" t="e">
        <f t="shared" si="1399"/>
        <v>#N/A</v>
      </c>
      <c r="L6889" t="e">
        <f t="shared" si="1400"/>
        <v>#N/A</v>
      </c>
      <c r="M6889" s="4" t="e">
        <f t="shared" si="1401"/>
        <v>#N/A</v>
      </c>
      <c r="N6889" s="4" t="e">
        <f t="shared" si="1402"/>
        <v>#N/A</v>
      </c>
    </row>
    <row r="6890" spans="1:14">
      <c r="A6890">
        <f t="shared" si="1403"/>
        <v>0</v>
      </c>
      <c r="B6890">
        <f t="shared" si="1404"/>
        <v>0</v>
      </c>
      <c r="C6890">
        <f t="shared" si="1405"/>
        <v>0</v>
      </c>
      <c r="D6890">
        <f t="shared" si="1406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7"/>
        <v>0</v>
      </c>
      <c r="G6890">
        <f t="shared" si="1408"/>
        <v>0</v>
      </c>
      <c r="H6890">
        <f t="shared" si="1409"/>
        <v>0</v>
      </c>
      <c r="I6890">
        <f t="shared" si="1410"/>
        <v>0</v>
      </c>
      <c r="J6890">
        <f t="shared" si="1411"/>
        <v>0</v>
      </c>
      <c r="K6890" s="4" t="e">
        <f t="shared" si="1399"/>
        <v>#N/A</v>
      </c>
      <c r="L6890" t="e">
        <f t="shared" si="1400"/>
        <v>#N/A</v>
      </c>
      <c r="M6890" s="4" t="e">
        <f t="shared" si="1401"/>
        <v>#N/A</v>
      </c>
      <c r="N6890" s="4" t="e">
        <f t="shared" si="1402"/>
        <v>#N/A</v>
      </c>
    </row>
    <row r="6891" spans="1:14">
      <c r="A6891">
        <f t="shared" si="1403"/>
        <v>0</v>
      </c>
      <c r="B6891">
        <f t="shared" si="1404"/>
        <v>0</v>
      </c>
      <c r="C6891">
        <f t="shared" si="1405"/>
        <v>0</v>
      </c>
      <c r="D6891">
        <f t="shared" si="1406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7"/>
        <v>0</v>
      </c>
      <c r="G6891">
        <f t="shared" si="1408"/>
        <v>0</v>
      </c>
      <c r="H6891">
        <f t="shared" si="1409"/>
        <v>0</v>
      </c>
      <c r="I6891">
        <f t="shared" si="1410"/>
        <v>0</v>
      </c>
      <c r="J6891">
        <f t="shared" si="1411"/>
        <v>0</v>
      </c>
      <c r="K6891" s="4" t="e">
        <f t="shared" si="1399"/>
        <v>#N/A</v>
      </c>
      <c r="L6891" t="e">
        <f t="shared" si="1400"/>
        <v>#N/A</v>
      </c>
      <c r="M6891" s="4" t="e">
        <f t="shared" si="1401"/>
        <v>#N/A</v>
      </c>
      <c r="N6891" s="4" t="e">
        <f t="shared" si="1402"/>
        <v>#N/A</v>
      </c>
    </row>
    <row r="6892" spans="1:14">
      <c r="A6892">
        <f t="shared" si="1403"/>
        <v>0</v>
      </c>
      <c r="B6892">
        <f t="shared" si="1404"/>
        <v>0</v>
      </c>
      <c r="C6892">
        <f t="shared" si="1405"/>
        <v>0</v>
      </c>
      <c r="D6892">
        <f t="shared" si="1406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7"/>
        <v>0</v>
      </c>
      <c r="G6892">
        <f t="shared" si="1408"/>
        <v>0</v>
      </c>
      <c r="H6892">
        <f t="shared" si="1409"/>
        <v>0</v>
      </c>
      <c r="I6892">
        <f t="shared" si="1410"/>
        <v>0</v>
      </c>
      <c r="J6892">
        <f t="shared" si="1411"/>
        <v>0</v>
      </c>
      <c r="K6892" s="4" t="e">
        <f t="shared" si="1399"/>
        <v>#N/A</v>
      </c>
      <c r="L6892" t="e">
        <f t="shared" si="1400"/>
        <v>#N/A</v>
      </c>
      <c r="M6892" s="4" t="e">
        <f t="shared" si="1401"/>
        <v>#N/A</v>
      </c>
      <c r="N6892" s="4" t="e">
        <f t="shared" si="1402"/>
        <v>#N/A</v>
      </c>
    </row>
    <row r="6893" spans="1:14">
      <c r="A6893">
        <f t="shared" si="1403"/>
        <v>0</v>
      </c>
      <c r="B6893">
        <f t="shared" si="1404"/>
        <v>0</v>
      </c>
      <c r="C6893">
        <f t="shared" si="1405"/>
        <v>0</v>
      </c>
      <c r="D6893">
        <f t="shared" si="1406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7"/>
        <v>0</v>
      </c>
      <c r="G6893">
        <f t="shared" si="1408"/>
        <v>0</v>
      </c>
      <c r="H6893">
        <f t="shared" si="1409"/>
        <v>0</v>
      </c>
      <c r="I6893">
        <f t="shared" si="1410"/>
        <v>0</v>
      </c>
      <c r="J6893">
        <f t="shared" si="1411"/>
        <v>0</v>
      </c>
      <c r="K6893" s="4" t="e">
        <f t="shared" si="1399"/>
        <v>#N/A</v>
      </c>
      <c r="L6893" t="e">
        <f t="shared" si="1400"/>
        <v>#N/A</v>
      </c>
      <c r="M6893" s="4" t="e">
        <f t="shared" si="1401"/>
        <v>#N/A</v>
      </c>
      <c r="N6893" s="4" t="e">
        <f t="shared" si="1402"/>
        <v>#N/A</v>
      </c>
    </row>
    <row r="6894" spans="1:14">
      <c r="A6894">
        <f t="shared" si="1403"/>
        <v>0</v>
      </c>
      <c r="B6894">
        <f t="shared" si="1404"/>
        <v>0</v>
      </c>
      <c r="C6894">
        <f t="shared" si="1405"/>
        <v>0</v>
      </c>
      <c r="D6894">
        <f t="shared" si="1406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7"/>
        <v>0</v>
      </c>
      <c r="G6894">
        <f t="shared" si="1408"/>
        <v>0</v>
      </c>
      <c r="H6894">
        <f t="shared" si="1409"/>
        <v>0</v>
      </c>
      <c r="I6894">
        <f t="shared" si="1410"/>
        <v>0</v>
      </c>
      <c r="J6894">
        <f t="shared" si="1411"/>
        <v>0</v>
      </c>
      <c r="K6894" s="4" t="e">
        <f t="shared" si="1399"/>
        <v>#N/A</v>
      </c>
      <c r="L6894" t="e">
        <f t="shared" si="1400"/>
        <v>#N/A</v>
      </c>
      <c r="M6894" s="4" t="e">
        <f t="shared" si="1401"/>
        <v>#N/A</v>
      </c>
      <c r="N6894" s="4" t="e">
        <f t="shared" si="1402"/>
        <v>#N/A</v>
      </c>
    </row>
    <row r="6895" spans="1:14">
      <c r="A6895">
        <f t="shared" si="1403"/>
        <v>0</v>
      </c>
      <c r="B6895">
        <f t="shared" si="1404"/>
        <v>0</v>
      </c>
      <c r="C6895">
        <f t="shared" si="1405"/>
        <v>0</v>
      </c>
      <c r="D6895">
        <f t="shared" si="1406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7"/>
        <v>0</v>
      </c>
      <c r="G6895">
        <f t="shared" si="1408"/>
        <v>0</v>
      </c>
      <c r="H6895">
        <f t="shared" si="1409"/>
        <v>0</v>
      </c>
      <c r="I6895">
        <f t="shared" si="1410"/>
        <v>0</v>
      </c>
      <c r="J6895">
        <f t="shared" si="1411"/>
        <v>0</v>
      </c>
      <c r="K6895" s="4" t="e">
        <f t="shared" si="1399"/>
        <v>#N/A</v>
      </c>
      <c r="L6895" t="e">
        <f t="shared" si="1400"/>
        <v>#N/A</v>
      </c>
      <c r="M6895" s="4" t="e">
        <f t="shared" si="1401"/>
        <v>#N/A</v>
      </c>
      <c r="N6895" s="4" t="e">
        <f t="shared" si="1402"/>
        <v>#N/A</v>
      </c>
    </row>
    <row r="6896" spans="1:14">
      <c r="A6896">
        <f t="shared" si="1403"/>
        <v>0</v>
      </c>
      <c r="B6896">
        <f t="shared" si="1404"/>
        <v>0</v>
      </c>
      <c r="C6896">
        <f t="shared" si="1405"/>
        <v>0</v>
      </c>
      <c r="D6896">
        <f t="shared" si="1406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7"/>
        <v>0</v>
      </c>
      <c r="G6896">
        <f t="shared" si="1408"/>
        <v>0</v>
      </c>
      <c r="H6896">
        <f t="shared" si="1409"/>
        <v>0</v>
      </c>
      <c r="I6896">
        <f t="shared" si="1410"/>
        <v>0</v>
      </c>
      <c r="J6896">
        <f t="shared" si="1411"/>
        <v>0</v>
      </c>
      <c r="K6896" s="4" t="e">
        <f t="shared" si="1399"/>
        <v>#N/A</v>
      </c>
      <c r="L6896" t="e">
        <f t="shared" si="1400"/>
        <v>#N/A</v>
      </c>
      <c r="M6896" s="4" t="e">
        <f t="shared" si="1401"/>
        <v>#N/A</v>
      </c>
      <c r="N6896" s="4" t="e">
        <f t="shared" si="1402"/>
        <v>#N/A</v>
      </c>
    </row>
    <row r="6897" spans="1:14">
      <c r="A6897">
        <f t="shared" si="1403"/>
        <v>0</v>
      </c>
      <c r="B6897">
        <f t="shared" si="1404"/>
        <v>0</v>
      </c>
      <c r="C6897">
        <f t="shared" si="1405"/>
        <v>0</v>
      </c>
      <c r="D6897">
        <f t="shared" si="1406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7"/>
        <v>0</v>
      </c>
      <c r="G6897">
        <f t="shared" si="1408"/>
        <v>0</v>
      </c>
      <c r="H6897">
        <f t="shared" si="1409"/>
        <v>0</v>
      </c>
      <c r="I6897">
        <f t="shared" si="1410"/>
        <v>0</v>
      </c>
      <c r="J6897">
        <f t="shared" si="1411"/>
        <v>0</v>
      </c>
      <c r="K6897" s="4" t="e">
        <f t="shared" si="1399"/>
        <v>#N/A</v>
      </c>
      <c r="L6897" t="e">
        <f t="shared" si="1400"/>
        <v>#N/A</v>
      </c>
      <c r="M6897" s="4" t="e">
        <f t="shared" si="1401"/>
        <v>#N/A</v>
      </c>
      <c r="N6897" s="4" t="e">
        <f t="shared" si="1402"/>
        <v>#N/A</v>
      </c>
    </row>
    <row r="6898" spans="1:14">
      <c r="A6898">
        <f t="shared" si="1403"/>
        <v>0</v>
      </c>
      <c r="B6898">
        <f t="shared" si="1404"/>
        <v>0</v>
      </c>
      <c r="C6898">
        <f t="shared" si="1405"/>
        <v>0</v>
      </c>
      <c r="D6898">
        <f t="shared" si="1406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7"/>
        <v>0</v>
      </c>
      <c r="G6898">
        <f t="shared" si="1408"/>
        <v>0</v>
      </c>
      <c r="H6898">
        <f t="shared" si="1409"/>
        <v>0</v>
      </c>
      <c r="I6898">
        <f t="shared" si="1410"/>
        <v>0</v>
      </c>
      <c r="J6898">
        <f t="shared" si="1411"/>
        <v>0</v>
      </c>
      <c r="K6898" s="4" t="e">
        <f t="shared" si="1399"/>
        <v>#N/A</v>
      </c>
      <c r="L6898" t="e">
        <f t="shared" si="1400"/>
        <v>#N/A</v>
      </c>
      <c r="M6898" s="4" t="e">
        <f t="shared" si="1401"/>
        <v>#N/A</v>
      </c>
      <c r="N6898" s="4" t="e">
        <f t="shared" si="1402"/>
        <v>#N/A</v>
      </c>
    </row>
    <row r="6899" spans="1:14">
      <c r="A6899">
        <f t="shared" si="1403"/>
        <v>0</v>
      </c>
      <c r="B6899">
        <f t="shared" si="1404"/>
        <v>0</v>
      </c>
      <c r="C6899">
        <f t="shared" si="1405"/>
        <v>0</v>
      </c>
      <c r="D6899">
        <f t="shared" si="1406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7"/>
        <v>0</v>
      </c>
      <c r="G6899">
        <f t="shared" si="1408"/>
        <v>0</v>
      </c>
      <c r="H6899">
        <f t="shared" si="1409"/>
        <v>0</v>
      </c>
      <c r="I6899">
        <f t="shared" si="1410"/>
        <v>0</v>
      </c>
      <c r="J6899">
        <f t="shared" si="1411"/>
        <v>0</v>
      </c>
      <c r="K6899" s="4" t="e">
        <f t="shared" si="1399"/>
        <v>#N/A</v>
      </c>
      <c r="L6899" t="e">
        <f t="shared" si="1400"/>
        <v>#N/A</v>
      </c>
      <c r="M6899" s="4" t="e">
        <f t="shared" si="1401"/>
        <v>#N/A</v>
      </c>
      <c r="N6899" s="4" t="e">
        <f t="shared" si="1402"/>
        <v>#N/A</v>
      </c>
    </row>
    <row r="6900" spans="1:14">
      <c r="A6900">
        <f t="shared" si="1403"/>
        <v>0</v>
      </c>
      <c r="B6900">
        <f t="shared" si="1404"/>
        <v>0</v>
      </c>
      <c r="C6900">
        <f t="shared" si="1405"/>
        <v>0</v>
      </c>
      <c r="D6900">
        <f t="shared" si="1406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7"/>
        <v>0</v>
      </c>
      <c r="G6900">
        <f t="shared" si="1408"/>
        <v>0</v>
      </c>
      <c r="H6900">
        <f t="shared" si="1409"/>
        <v>0</v>
      </c>
      <c r="I6900">
        <f t="shared" si="1410"/>
        <v>0</v>
      </c>
      <c r="J6900">
        <f t="shared" si="1411"/>
        <v>0</v>
      </c>
      <c r="K6900" s="4" t="e">
        <f t="shared" si="1399"/>
        <v>#N/A</v>
      </c>
      <c r="L6900" t="e">
        <f t="shared" si="1400"/>
        <v>#N/A</v>
      </c>
      <c r="M6900" s="4" t="e">
        <f t="shared" si="1401"/>
        <v>#N/A</v>
      </c>
      <c r="N6900" s="4" t="e">
        <f t="shared" si="1402"/>
        <v>#N/A</v>
      </c>
    </row>
    <row r="6901" spans="1:14">
      <c r="A6901">
        <f t="shared" si="1403"/>
        <v>0</v>
      </c>
      <c r="B6901">
        <f t="shared" si="1404"/>
        <v>0</v>
      </c>
      <c r="C6901">
        <f t="shared" si="1405"/>
        <v>0</v>
      </c>
      <c r="D6901">
        <f t="shared" si="1406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7"/>
        <v>0</v>
      </c>
      <c r="G6901">
        <f t="shared" si="1408"/>
        <v>0</v>
      </c>
      <c r="H6901">
        <f t="shared" si="1409"/>
        <v>0</v>
      </c>
      <c r="I6901">
        <f t="shared" si="1410"/>
        <v>0</v>
      </c>
      <c r="J6901">
        <f t="shared" si="1411"/>
        <v>0</v>
      </c>
      <c r="K6901" s="4" t="e">
        <f t="shared" si="1399"/>
        <v>#N/A</v>
      </c>
      <c r="L6901" t="e">
        <f t="shared" si="1400"/>
        <v>#N/A</v>
      </c>
      <c r="M6901" s="4" t="e">
        <f t="shared" si="1401"/>
        <v>#N/A</v>
      </c>
      <c r="N6901" s="4" t="e">
        <f t="shared" si="1402"/>
        <v>#N/A</v>
      </c>
    </row>
    <row r="6902" spans="1:14">
      <c r="A6902">
        <f t="shared" si="1403"/>
        <v>0</v>
      </c>
      <c r="B6902">
        <f t="shared" si="1404"/>
        <v>0</v>
      </c>
      <c r="C6902">
        <f t="shared" si="1405"/>
        <v>0</v>
      </c>
      <c r="D6902">
        <f t="shared" si="1406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7"/>
        <v>0</v>
      </c>
      <c r="G6902">
        <f t="shared" si="1408"/>
        <v>0</v>
      </c>
      <c r="H6902">
        <f t="shared" si="1409"/>
        <v>0</v>
      </c>
      <c r="I6902">
        <f t="shared" si="1410"/>
        <v>0</v>
      </c>
      <c r="J6902">
        <f t="shared" si="1411"/>
        <v>0</v>
      </c>
      <c r="K6902" s="4" t="e">
        <f t="shared" si="1399"/>
        <v>#N/A</v>
      </c>
      <c r="L6902" t="e">
        <f t="shared" si="1400"/>
        <v>#N/A</v>
      </c>
      <c r="M6902" s="4" t="e">
        <f t="shared" si="1401"/>
        <v>#N/A</v>
      </c>
      <c r="N6902" s="4" t="e">
        <f t="shared" si="1402"/>
        <v>#N/A</v>
      </c>
    </row>
    <row r="6903" spans="1:14">
      <c r="A6903">
        <f t="shared" si="1403"/>
        <v>0</v>
      </c>
      <c r="B6903">
        <f t="shared" si="1404"/>
        <v>0</v>
      </c>
      <c r="C6903">
        <f t="shared" si="1405"/>
        <v>0</v>
      </c>
      <c r="D6903">
        <f t="shared" si="1406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7"/>
        <v>0</v>
      </c>
      <c r="G6903">
        <f t="shared" si="1408"/>
        <v>0</v>
      </c>
      <c r="H6903">
        <f t="shared" si="1409"/>
        <v>0</v>
      </c>
      <c r="I6903">
        <f t="shared" si="1410"/>
        <v>0</v>
      </c>
      <c r="J6903">
        <f t="shared" si="1411"/>
        <v>0</v>
      </c>
      <c r="K6903" s="4" t="e">
        <f t="shared" si="1399"/>
        <v>#N/A</v>
      </c>
      <c r="L6903" t="e">
        <f t="shared" si="1400"/>
        <v>#N/A</v>
      </c>
      <c r="M6903" s="4" t="e">
        <f t="shared" si="1401"/>
        <v>#N/A</v>
      </c>
      <c r="N6903" s="4" t="e">
        <f t="shared" si="1402"/>
        <v>#N/A</v>
      </c>
    </row>
    <row r="6904" spans="1:14">
      <c r="A6904">
        <f t="shared" si="1403"/>
        <v>0</v>
      </c>
      <c r="B6904">
        <f t="shared" si="1404"/>
        <v>0</v>
      </c>
      <c r="C6904">
        <f t="shared" si="1405"/>
        <v>0</v>
      </c>
      <c r="D6904">
        <f t="shared" si="1406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7"/>
        <v>0</v>
      </c>
      <c r="G6904">
        <f t="shared" si="1408"/>
        <v>0</v>
      </c>
      <c r="H6904">
        <f t="shared" si="1409"/>
        <v>0</v>
      </c>
      <c r="I6904">
        <f t="shared" si="1410"/>
        <v>0</v>
      </c>
      <c r="J6904">
        <f t="shared" si="1411"/>
        <v>0</v>
      </c>
      <c r="K6904" s="4" t="e">
        <f t="shared" si="1399"/>
        <v>#N/A</v>
      </c>
      <c r="L6904" t="e">
        <f t="shared" si="1400"/>
        <v>#N/A</v>
      </c>
      <c r="M6904" s="4" t="e">
        <f t="shared" si="1401"/>
        <v>#N/A</v>
      </c>
      <c r="N6904" s="4" t="e">
        <f t="shared" si="1402"/>
        <v>#N/A</v>
      </c>
    </row>
    <row r="6905" spans="1:14">
      <c r="A6905">
        <f t="shared" si="1403"/>
        <v>0</v>
      </c>
      <c r="B6905">
        <f t="shared" si="1404"/>
        <v>0</v>
      </c>
      <c r="C6905">
        <f t="shared" si="1405"/>
        <v>0</v>
      </c>
      <c r="D6905">
        <f t="shared" si="1406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7"/>
        <v>0</v>
      </c>
      <c r="G6905">
        <f t="shared" si="1408"/>
        <v>0</v>
      </c>
      <c r="H6905">
        <f t="shared" si="1409"/>
        <v>0</v>
      </c>
      <c r="I6905">
        <f t="shared" si="1410"/>
        <v>0</v>
      </c>
      <c r="J6905">
        <f t="shared" si="1411"/>
        <v>0</v>
      </c>
      <c r="K6905" s="4" t="e">
        <f t="shared" si="1399"/>
        <v>#N/A</v>
      </c>
      <c r="L6905" t="e">
        <f t="shared" si="1400"/>
        <v>#N/A</v>
      </c>
      <c r="M6905" s="4" t="e">
        <f t="shared" si="1401"/>
        <v>#N/A</v>
      </c>
      <c r="N6905" s="4" t="e">
        <f t="shared" si="1402"/>
        <v>#N/A</v>
      </c>
    </row>
    <row r="6906" spans="1:14">
      <c r="M6906" s="5"/>
      <c r="N6906" s="5"/>
    </row>
    <row r="6907" spans="1:14">
      <c r="E6907" t="s">
        <v>12</v>
      </c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59"/>
  <sheetViews>
    <sheetView showGridLines="0" tabSelected="1" workbookViewId="0">
      <selection activeCell="A279" sqref="A279:XFD279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21784647</v>
      </c>
      <c r="E4" s="14">
        <f>C4*D4/1000</f>
        <v>1960.61823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E10</f>
        <v>4399.7982300000003</v>
      </c>
      <c r="H5" s="14">
        <f>SUM(total_ferramenta_filtrada)</f>
        <v>1259.0300153999985</v>
      </c>
    </row>
    <row r="6" spans="1:8">
      <c r="B6" s="13" t="s">
        <v>10</v>
      </c>
      <c r="C6" s="2">
        <v>0.02</v>
      </c>
      <c r="D6" s="2">
        <f>SUMIF(adtype_filtrada,$B6,clicks_filtrada)</f>
        <v>121959</v>
      </c>
      <c r="E6" s="14">
        <f>C6*D6</f>
        <v>2439.1799999999998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4399.7982300000003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424</v>
      </c>
      <c r="D20" t="s">
        <v>425</v>
      </c>
      <c r="E20" t="s">
        <v>426</v>
      </c>
      <c r="F20" t="s">
        <v>10</v>
      </c>
      <c r="G20" t="s">
        <v>425</v>
      </c>
      <c r="H20" t="s">
        <v>427</v>
      </c>
      <c r="I20" t="s">
        <v>32</v>
      </c>
      <c r="J20">
        <v>0</v>
      </c>
      <c r="K20">
        <v>1</v>
      </c>
      <c r="L20" s="4">
        <v>3.5000000000000001E-3</v>
      </c>
      <c r="M20">
        <v>0.02</v>
      </c>
      <c r="N20" s="4">
        <v>3.5000000000000001E-3</v>
      </c>
      <c r="O20" s="4">
        <v>0.02</v>
      </c>
    </row>
    <row r="21" spans="1:15">
      <c r="B21" t="s">
        <v>52</v>
      </c>
      <c r="C21" t="s">
        <v>219</v>
      </c>
      <c r="D21" t="s">
        <v>428</v>
      </c>
      <c r="E21" t="s">
        <v>429</v>
      </c>
      <c r="F21" t="s">
        <v>10</v>
      </c>
      <c r="G21" t="s">
        <v>428</v>
      </c>
      <c r="H21" t="s">
        <v>430</v>
      </c>
      <c r="I21" t="s">
        <v>32</v>
      </c>
      <c r="J21">
        <v>0</v>
      </c>
      <c r="K21">
        <v>3</v>
      </c>
      <c r="L21" s="4">
        <v>3.5000000000000001E-3</v>
      </c>
      <c r="M21">
        <v>0.02</v>
      </c>
      <c r="N21" s="4">
        <v>1.0500000000000001E-2</v>
      </c>
      <c r="O21" s="4">
        <v>0.06</v>
      </c>
    </row>
    <row r="22" spans="1:15">
      <c r="B22" t="s">
        <v>52</v>
      </c>
      <c r="C22" t="s">
        <v>219</v>
      </c>
      <c r="D22" t="s">
        <v>431</v>
      </c>
      <c r="E22" t="s">
        <v>432</v>
      </c>
      <c r="F22" t="s">
        <v>10</v>
      </c>
      <c r="G22" t="s">
        <v>431</v>
      </c>
      <c r="H22" t="s">
        <v>433</v>
      </c>
      <c r="I22" t="s">
        <v>32</v>
      </c>
      <c r="J22">
        <v>0</v>
      </c>
      <c r="K22">
        <v>3</v>
      </c>
      <c r="L22" s="4">
        <v>3.5000000000000001E-3</v>
      </c>
      <c r="M22">
        <v>0.02</v>
      </c>
      <c r="N22" s="4">
        <v>1.0500000000000001E-2</v>
      </c>
      <c r="O22" s="4">
        <v>0.06</v>
      </c>
    </row>
    <row r="23" spans="1:15">
      <c r="B23" t="s">
        <v>52</v>
      </c>
      <c r="C23" t="s">
        <v>219</v>
      </c>
      <c r="D23" t="s">
        <v>434</v>
      </c>
      <c r="E23" t="s">
        <v>435</v>
      </c>
      <c r="F23" t="s">
        <v>10</v>
      </c>
      <c r="G23" t="s">
        <v>434</v>
      </c>
      <c r="H23" t="s">
        <v>436</v>
      </c>
      <c r="I23" t="s">
        <v>32</v>
      </c>
      <c r="J23">
        <v>0</v>
      </c>
      <c r="K23">
        <v>5</v>
      </c>
      <c r="L23" s="4">
        <v>3.5000000000000001E-3</v>
      </c>
      <c r="M23">
        <v>0.02</v>
      </c>
      <c r="N23" s="4">
        <v>1.7500000000000002E-2</v>
      </c>
      <c r="O23" s="4">
        <v>0.1</v>
      </c>
    </row>
    <row r="24" spans="1:15">
      <c r="B24" t="s">
        <v>52</v>
      </c>
      <c r="C24" t="s">
        <v>219</v>
      </c>
      <c r="D24" t="s">
        <v>437</v>
      </c>
      <c r="E24" t="s">
        <v>438</v>
      </c>
      <c r="F24" t="s">
        <v>10</v>
      </c>
      <c r="G24" t="s">
        <v>437</v>
      </c>
      <c r="H24" t="s">
        <v>439</v>
      </c>
      <c r="I24" t="s">
        <v>32</v>
      </c>
      <c r="J24">
        <v>0</v>
      </c>
      <c r="K24">
        <v>3</v>
      </c>
      <c r="L24" s="4">
        <v>3.5000000000000001E-3</v>
      </c>
      <c r="M24">
        <v>0.02</v>
      </c>
      <c r="N24" s="4">
        <v>1.0500000000000001E-2</v>
      </c>
      <c r="O24" s="4">
        <v>0.06</v>
      </c>
    </row>
    <row r="25" spans="1:15">
      <c r="B25" t="s">
        <v>52</v>
      </c>
      <c r="C25" t="s">
        <v>63</v>
      </c>
      <c r="D25" t="s">
        <v>440</v>
      </c>
      <c r="E25" t="s">
        <v>441</v>
      </c>
      <c r="F25" t="s">
        <v>12</v>
      </c>
      <c r="G25" t="s">
        <v>440</v>
      </c>
      <c r="H25" t="s">
        <v>442</v>
      </c>
      <c r="I25" t="s">
        <v>32</v>
      </c>
      <c r="J25">
        <v>18</v>
      </c>
      <c r="K25">
        <v>2</v>
      </c>
      <c r="L25" s="4">
        <v>3.8199999999999998E-2</v>
      </c>
      <c r="M25">
        <v>0.09</v>
      </c>
      <c r="N25" s="4">
        <v>6.8760000000000002E-4</v>
      </c>
      <c r="O25" s="4">
        <v>1.6199999999999999E-3</v>
      </c>
    </row>
    <row r="26" spans="1:15">
      <c r="B26" t="s">
        <v>52</v>
      </c>
      <c r="C26" t="s">
        <v>443</v>
      </c>
      <c r="D26" t="s">
        <v>444</v>
      </c>
      <c r="E26" t="s">
        <v>445</v>
      </c>
      <c r="F26" t="s">
        <v>10</v>
      </c>
      <c r="G26" t="s">
        <v>444</v>
      </c>
      <c r="H26" t="s">
        <v>446</v>
      </c>
      <c r="I26" t="s">
        <v>32</v>
      </c>
      <c r="J26">
        <v>0</v>
      </c>
      <c r="K26">
        <v>3</v>
      </c>
      <c r="L26" s="4">
        <v>3.5000000000000001E-3</v>
      </c>
      <c r="M26">
        <v>0.02</v>
      </c>
      <c r="N26" s="4">
        <v>1.0500000000000001E-2</v>
      </c>
      <c r="O26" s="4">
        <v>0.06</v>
      </c>
    </row>
    <row r="27" spans="1:15">
      <c r="B27" t="s">
        <v>52</v>
      </c>
      <c r="C27" t="s">
        <v>64</v>
      </c>
      <c r="D27" t="s">
        <v>69</v>
      </c>
      <c r="E27" t="s">
        <v>70</v>
      </c>
      <c r="F27" t="s">
        <v>12</v>
      </c>
      <c r="G27" t="s">
        <v>69</v>
      </c>
      <c r="H27" t="s">
        <v>71</v>
      </c>
      <c r="I27" t="s">
        <v>32</v>
      </c>
      <c r="J27">
        <v>8</v>
      </c>
      <c r="K27">
        <v>0</v>
      </c>
      <c r="L27" s="4">
        <v>3.8199999999999998E-2</v>
      </c>
      <c r="M27">
        <v>0.09</v>
      </c>
      <c r="N27" s="4">
        <v>3.056E-4</v>
      </c>
      <c r="O27" s="4">
        <v>7.1999999999999994E-4</v>
      </c>
    </row>
    <row r="28" spans="1:15">
      <c r="B28" t="s">
        <v>52</v>
      </c>
      <c r="C28" t="s">
        <v>64</v>
      </c>
      <c r="D28" t="s">
        <v>72</v>
      </c>
      <c r="E28" t="s">
        <v>73</v>
      </c>
      <c r="F28" t="s">
        <v>12</v>
      </c>
      <c r="G28" t="s">
        <v>72</v>
      </c>
      <c r="H28" t="s">
        <v>74</v>
      </c>
      <c r="I28" t="s">
        <v>32</v>
      </c>
      <c r="J28">
        <v>8</v>
      </c>
      <c r="K28">
        <v>0</v>
      </c>
      <c r="L28" s="4">
        <v>3.8199999999999998E-2</v>
      </c>
      <c r="M28">
        <v>0.09</v>
      </c>
      <c r="N28" s="4">
        <v>3.056E-4</v>
      </c>
      <c r="O28" s="4">
        <v>7.1999999999999994E-4</v>
      </c>
    </row>
    <row r="29" spans="1:15">
      <c r="B29" t="s">
        <v>52</v>
      </c>
      <c r="C29" t="s">
        <v>64</v>
      </c>
      <c r="D29" t="s">
        <v>75</v>
      </c>
      <c r="E29" t="s">
        <v>76</v>
      </c>
      <c r="F29" t="s">
        <v>12</v>
      </c>
      <c r="G29" t="s">
        <v>75</v>
      </c>
      <c r="H29" t="s">
        <v>77</v>
      </c>
      <c r="I29" t="s">
        <v>32</v>
      </c>
      <c r="J29">
        <v>8</v>
      </c>
      <c r="K29">
        <v>0</v>
      </c>
      <c r="L29" s="4">
        <v>3.8199999999999998E-2</v>
      </c>
      <c r="M29">
        <v>0.09</v>
      </c>
      <c r="N29" s="4">
        <v>3.056E-4</v>
      </c>
      <c r="O29" s="4">
        <v>7.1999999999999994E-4</v>
      </c>
    </row>
    <row r="30" spans="1:15">
      <c r="B30" t="s">
        <v>52</v>
      </c>
      <c r="C30" t="s">
        <v>64</v>
      </c>
      <c r="D30" t="s">
        <v>78</v>
      </c>
      <c r="E30" t="s">
        <v>79</v>
      </c>
      <c r="F30" t="s">
        <v>12</v>
      </c>
      <c r="G30" t="s">
        <v>78</v>
      </c>
      <c r="H30" t="s">
        <v>80</v>
      </c>
      <c r="I30" t="s">
        <v>32</v>
      </c>
      <c r="J30">
        <v>8</v>
      </c>
      <c r="K30">
        <v>0</v>
      </c>
      <c r="L30" s="4">
        <v>3.8199999999999998E-2</v>
      </c>
      <c r="M30">
        <v>0.09</v>
      </c>
      <c r="N30" s="4">
        <v>3.056E-4</v>
      </c>
      <c r="O30" s="4">
        <v>7.1999999999999994E-4</v>
      </c>
    </row>
    <row r="31" spans="1:15">
      <c r="B31" t="s">
        <v>52</v>
      </c>
      <c r="C31" t="s">
        <v>64</v>
      </c>
      <c r="D31" t="s">
        <v>81</v>
      </c>
      <c r="E31" t="s">
        <v>82</v>
      </c>
      <c r="F31" t="s">
        <v>12</v>
      </c>
      <c r="G31" t="s">
        <v>81</v>
      </c>
      <c r="H31" t="s">
        <v>83</v>
      </c>
      <c r="I31" t="s">
        <v>32</v>
      </c>
      <c r="J31">
        <v>8</v>
      </c>
      <c r="K31">
        <v>0</v>
      </c>
      <c r="L31" s="4">
        <v>3.8199999999999998E-2</v>
      </c>
      <c r="M31">
        <v>0.09</v>
      </c>
      <c r="N31" s="4">
        <v>3.056E-4</v>
      </c>
      <c r="O31" s="4">
        <v>7.1999999999999994E-4</v>
      </c>
    </row>
    <row r="32" spans="1:15">
      <c r="B32" t="s">
        <v>52</v>
      </c>
      <c r="C32" t="s">
        <v>64</v>
      </c>
      <c r="D32" t="s">
        <v>84</v>
      </c>
      <c r="E32" t="s">
        <v>85</v>
      </c>
      <c r="F32" t="s">
        <v>12</v>
      </c>
      <c r="G32" t="s">
        <v>84</v>
      </c>
      <c r="H32" t="s">
        <v>86</v>
      </c>
      <c r="I32" t="s">
        <v>32</v>
      </c>
      <c r="J32">
        <v>8</v>
      </c>
      <c r="K32">
        <v>0</v>
      </c>
      <c r="L32" s="4">
        <v>3.8199999999999998E-2</v>
      </c>
      <c r="M32">
        <v>0.09</v>
      </c>
      <c r="N32" s="4">
        <v>3.056E-4</v>
      </c>
      <c r="O32" s="4">
        <v>7.1999999999999994E-4</v>
      </c>
    </row>
    <row r="33" spans="2:15">
      <c r="B33" t="s">
        <v>52</v>
      </c>
      <c r="C33" t="s">
        <v>64</v>
      </c>
      <c r="D33" t="s">
        <v>87</v>
      </c>
      <c r="E33" t="s">
        <v>88</v>
      </c>
      <c r="F33" t="s">
        <v>12</v>
      </c>
      <c r="G33" t="s">
        <v>87</v>
      </c>
      <c r="H33" t="s">
        <v>89</v>
      </c>
      <c r="I33" t="s">
        <v>32</v>
      </c>
      <c r="J33">
        <v>8</v>
      </c>
      <c r="K33">
        <v>0</v>
      </c>
      <c r="L33" s="4">
        <v>3.8199999999999998E-2</v>
      </c>
      <c r="M33">
        <v>0.09</v>
      </c>
      <c r="N33" s="4">
        <v>3.056E-4</v>
      </c>
      <c r="O33" s="4">
        <v>7.1999999999999994E-4</v>
      </c>
    </row>
    <row r="34" spans="2:15">
      <c r="B34" t="s">
        <v>52</v>
      </c>
      <c r="C34" t="s">
        <v>64</v>
      </c>
      <c r="D34" t="s">
        <v>90</v>
      </c>
      <c r="E34" t="s">
        <v>91</v>
      </c>
      <c r="F34" t="s">
        <v>12</v>
      </c>
      <c r="G34" t="s">
        <v>90</v>
      </c>
      <c r="H34" t="s">
        <v>92</v>
      </c>
      <c r="I34" t="s">
        <v>32</v>
      </c>
      <c r="J34">
        <v>8</v>
      </c>
      <c r="K34">
        <v>0</v>
      </c>
      <c r="L34" s="4">
        <v>3.8199999999999998E-2</v>
      </c>
      <c r="M34">
        <v>0.09</v>
      </c>
      <c r="N34" s="4">
        <v>3.056E-4</v>
      </c>
      <c r="O34" s="4">
        <v>7.1999999999999994E-4</v>
      </c>
    </row>
    <row r="35" spans="2:15">
      <c r="B35" t="s">
        <v>52</v>
      </c>
      <c r="C35" t="s">
        <v>64</v>
      </c>
      <c r="D35" t="s">
        <v>93</v>
      </c>
      <c r="E35" t="s">
        <v>94</v>
      </c>
      <c r="F35" t="s">
        <v>12</v>
      </c>
      <c r="G35" t="s">
        <v>93</v>
      </c>
      <c r="H35" t="s">
        <v>95</v>
      </c>
      <c r="I35" t="s">
        <v>32</v>
      </c>
      <c r="J35">
        <v>8</v>
      </c>
      <c r="K35">
        <v>1</v>
      </c>
      <c r="L35" s="4">
        <v>3.8199999999999998E-2</v>
      </c>
      <c r="M35">
        <v>0.09</v>
      </c>
      <c r="N35" s="4">
        <v>3.056E-4</v>
      </c>
      <c r="O35" s="4">
        <v>7.1999999999999994E-4</v>
      </c>
    </row>
    <row r="36" spans="2:15">
      <c r="B36" t="s">
        <v>52</v>
      </c>
      <c r="C36" t="s">
        <v>64</v>
      </c>
      <c r="D36" t="s">
        <v>96</v>
      </c>
      <c r="E36" t="s">
        <v>97</v>
      </c>
      <c r="F36" t="s">
        <v>12</v>
      </c>
      <c r="G36" t="s">
        <v>96</v>
      </c>
      <c r="H36" t="s">
        <v>98</v>
      </c>
      <c r="I36" t="s">
        <v>32</v>
      </c>
      <c r="J36">
        <v>8</v>
      </c>
      <c r="K36">
        <v>0</v>
      </c>
      <c r="L36" s="4">
        <v>3.8199999999999998E-2</v>
      </c>
      <c r="M36">
        <v>0.09</v>
      </c>
      <c r="N36" s="4">
        <v>3.056E-4</v>
      </c>
      <c r="O36" s="4">
        <v>7.1999999999999994E-4</v>
      </c>
    </row>
    <row r="37" spans="2:15">
      <c r="B37" t="s">
        <v>52</v>
      </c>
      <c r="C37" t="s">
        <v>64</v>
      </c>
      <c r="D37" t="s">
        <v>99</v>
      </c>
      <c r="E37" t="s">
        <v>100</v>
      </c>
      <c r="F37" t="s">
        <v>12</v>
      </c>
      <c r="G37" t="s">
        <v>99</v>
      </c>
      <c r="H37" t="s">
        <v>101</v>
      </c>
      <c r="I37" t="s">
        <v>32</v>
      </c>
      <c r="J37">
        <v>8</v>
      </c>
      <c r="K37">
        <v>0</v>
      </c>
      <c r="L37" s="4">
        <v>3.8199999999999998E-2</v>
      </c>
      <c r="M37">
        <v>0.09</v>
      </c>
      <c r="N37" s="4">
        <v>3.056E-4</v>
      </c>
      <c r="O37" s="4">
        <v>7.1999999999999994E-4</v>
      </c>
    </row>
    <row r="38" spans="2:15">
      <c r="B38" t="s">
        <v>52</v>
      </c>
      <c r="C38" t="s">
        <v>64</v>
      </c>
      <c r="D38" t="s">
        <v>102</v>
      </c>
      <c r="E38" t="s">
        <v>103</v>
      </c>
      <c r="F38" t="s">
        <v>12</v>
      </c>
      <c r="G38" t="s">
        <v>102</v>
      </c>
      <c r="H38" t="s">
        <v>104</v>
      </c>
      <c r="I38" t="s">
        <v>32</v>
      </c>
      <c r="J38">
        <v>8</v>
      </c>
      <c r="K38">
        <v>0</v>
      </c>
      <c r="L38" s="4">
        <v>3.8199999999999998E-2</v>
      </c>
      <c r="M38">
        <v>0.09</v>
      </c>
      <c r="N38" s="4">
        <v>3.056E-4</v>
      </c>
      <c r="O38" s="4">
        <v>7.1999999999999994E-4</v>
      </c>
    </row>
    <row r="39" spans="2:15">
      <c r="B39" t="s">
        <v>52</v>
      </c>
      <c r="C39" t="s">
        <v>64</v>
      </c>
      <c r="D39" t="s">
        <v>105</v>
      </c>
      <c r="E39" t="s">
        <v>106</v>
      </c>
      <c r="F39" t="s">
        <v>12</v>
      </c>
      <c r="G39" t="s">
        <v>105</v>
      </c>
      <c r="H39" t="s">
        <v>107</v>
      </c>
      <c r="I39" t="s">
        <v>32</v>
      </c>
      <c r="J39">
        <v>8</v>
      </c>
      <c r="K39">
        <v>0</v>
      </c>
      <c r="L39" s="4">
        <v>3.8199999999999998E-2</v>
      </c>
      <c r="M39">
        <v>0.09</v>
      </c>
      <c r="N39" s="4">
        <v>3.056E-4</v>
      </c>
      <c r="O39" s="4">
        <v>7.1999999999999994E-4</v>
      </c>
    </row>
    <row r="40" spans="2:15">
      <c r="B40" t="s">
        <v>52</v>
      </c>
      <c r="C40" t="s">
        <v>53</v>
      </c>
      <c r="D40" t="s">
        <v>140</v>
      </c>
      <c r="E40" t="s">
        <v>141</v>
      </c>
      <c r="F40" t="s">
        <v>10</v>
      </c>
      <c r="G40" t="s">
        <v>140</v>
      </c>
      <c r="H40" t="s">
        <v>142</v>
      </c>
      <c r="I40" t="s">
        <v>32</v>
      </c>
      <c r="J40">
        <v>0</v>
      </c>
      <c r="K40">
        <v>1</v>
      </c>
      <c r="L40" s="4">
        <v>3.5000000000000001E-3</v>
      </c>
      <c r="M40">
        <v>0.02</v>
      </c>
      <c r="N40" s="4">
        <v>3.5000000000000001E-3</v>
      </c>
      <c r="O40" s="4">
        <v>0.02</v>
      </c>
    </row>
    <row r="41" spans="2:15">
      <c r="B41" t="s">
        <v>52</v>
      </c>
      <c r="C41" t="s">
        <v>53</v>
      </c>
      <c r="D41" t="s">
        <v>143</v>
      </c>
      <c r="E41" t="s">
        <v>144</v>
      </c>
      <c r="F41" t="s">
        <v>10</v>
      </c>
      <c r="G41" t="s">
        <v>143</v>
      </c>
      <c r="H41" t="s">
        <v>145</v>
      </c>
      <c r="I41" t="s">
        <v>32</v>
      </c>
      <c r="J41">
        <v>0</v>
      </c>
      <c r="K41">
        <v>326</v>
      </c>
      <c r="L41" s="4">
        <v>3.5000000000000001E-3</v>
      </c>
      <c r="M41">
        <v>0.02</v>
      </c>
      <c r="N41" s="4">
        <v>1.141</v>
      </c>
      <c r="O41" s="4">
        <v>6.5200000000000005</v>
      </c>
    </row>
    <row r="42" spans="2:15">
      <c r="B42" t="s">
        <v>52</v>
      </c>
      <c r="C42" t="s">
        <v>53</v>
      </c>
      <c r="D42" t="s">
        <v>146</v>
      </c>
      <c r="E42" t="s">
        <v>147</v>
      </c>
      <c r="F42" t="s">
        <v>10</v>
      </c>
      <c r="G42" t="s">
        <v>146</v>
      </c>
      <c r="H42" t="s">
        <v>148</v>
      </c>
      <c r="I42" t="s">
        <v>32</v>
      </c>
      <c r="J42">
        <v>0</v>
      </c>
      <c r="K42">
        <v>1312</v>
      </c>
      <c r="L42" s="4">
        <v>3.5000000000000001E-3</v>
      </c>
      <c r="M42">
        <v>0.02</v>
      </c>
      <c r="N42" s="4">
        <v>4.5920000000000005</v>
      </c>
      <c r="O42" s="4">
        <v>26.240000000000002</v>
      </c>
    </row>
    <row r="43" spans="2:15">
      <c r="B43" t="s">
        <v>52</v>
      </c>
      <c r="C43" t="s">
        <v>53</v>
      </c>
      <c r="D43" t="s">
        <v>320</v>
      </c>
      <c r="E43" t="s">
        <v>321</v>
      </c>
      <c r="F43" t="s">
        <v>10</v>
      </c>
      <c r="G43" t="s">
        <v>320</v>
      </c>
      <c r="H43" t="s">
        <v>322</v>
      </c>
      <c r="I43" t="s">
        <v>32</v>
      </c>
      <c r="J43">
        <v>0</v>
      </c>
      <c r="K43">
        <v>1735</v>
      </c>
      <c r="L43" s="4">
        <v>3.5000000000000001E-3</v>
      </c>
      <c r="M43">
        <v>0.02</v>
      </c>
      <c r="N43" s="4">
        <v>6.0724999999999998</v>
      </c>
      <c r="O43" s="4">
        <v>34.700000000000003</v>
      </c>
    </row>
    <row r="44" spans="2:15">
      <c r="B44" t="s">
        <v>52</v>
      </c>
      <c r="C44" t="s">
        <v>53</v>
      </c>
      <c r="D44" t="s">
        <v>323</v>
      </c>
      <c r="E44" t="s">
        <v>324</v>
      </c>
      <c r="F44" t="s">
        <v>10</v>
      </c>
      <c r="G44" t="s">
        <v>323</v>
      </c>
      <c r="H44" t="s">
        <v>325</v>
      </c>
      <c r="I44" t="s">
        <v>32</v>
      </c>
      <c r="J44">
        <v>0</v>
      </c>
      <c r="K44">
        <v>286</v>
      </c>
      <c r="L44" s="4">
        <v>3.5000000000000001E-3</v>
      </c>
      <c r="M44">
        <v>0.02</v>
      </c>
      <c r="N44" s="4">
        <v>1.0010000000000001</v>
      </c>
      <c r="O44" s="4">
        <v>5.72</v>
      </c>
    </row>
    <row r="45" spans="2:15">
      <c r="B45" t="s">
        <v>52</v>
      </c>
      <c r="C45" t="s">
        <v>53</v>
      </c>
      <c r="D45" t="s">
        <v>326</v>
      </c>
      <c r="E45" t="s">
        <v>327</v>
      </c>
      <c r="F45" t="s">
        <v>10</v>
      </c>
      <c r="G45" t="s">
        <v>326</v>
      </c>
      <c r="H45" t="s">
        <v>328</v>
      </c>
      <c r="I45" t="s">
        <v>32</v>
      </c>
      <c r="J45">
        <v>0</v>
      </c>
      <c r="K45">
        <v>24</v>
      </c>
      <c r="L45" s="4">
        <v>3.5000000000000001E-3</v>
      </c>
      <c r="M45">
        <v>0.02</v>
      </c>
      <c r="N45" s="4">
        <v>8.4000000000000005E-2</v>
      </c>
      <c r="O45" s="4">
        <v>0.48</v>
      </c>
    </row>
    <row r="46" spans="2:15">
      <c r="B46" t="s">
        <v>52</v>
      </c>
      <c r="C46" t="s">
        <v>53</v>
      </c>
      <c r="D46" t="s">
        <v>329</v>
      </c>
      <c r="E46" t="s">
        <v>330</v>
      </c>
      <c r="F46" t="s">
        <v>10</v>
      </c>
      <c r="G46" t="s">
        <v>329</v>
      </c>
      <c r="H46" t="s">
        <v>331</v>
      </c>
      <c r="I46" t="s">
        <v>32</v>
      </c>
      <c r="J46">
        <v>0</v>
      </c>
      <c r="K46">
        <v>40</v>
      </c>
      <c r="L46" s="4">
        <v>3.5000000000000001E-3</v>
      </c>
      <c r="M46">
        <v>0.02</v>
      </c>
      <c r="N46" s="4">
        <v>0.14000000000000001</v>
      </c>
      <c r="O46" s="4">
        <v>0.8</v>
      </c>
    </row>
    <row r="47" spans="2:15">
      <c r="B47" t="s">
        <v>52</v>
      </c>
      <c r="C47" t="s">
        <v>53</v>
      </c>
      <c r="D47" t="s">
        <v>332</v>
      </c>
      <c r="E47" t="s">
        <v>333</v>
      </c>
      <c r="F47" t="s">
        <v>10</v>
      </c>
      <c r="G47" t="s">
        <v>332</v>
      </c>
      <c r="H47" t="s">
        <v>334</v>
      </c>
      <c r="I47" t="s">
        <v>32</v>
      </c>
      <c r="J47">
        <v>0</v>
      </c>
      <c r="K47">
        <v>72</v>
      </c>
      <c r="L47" s="4">
        <v>3.5000000000000001E-3</v>
      </c>
      <c r="M47">
        <v>0.02</v>
      </c>
      <c r="N47" s="4">
        <v>0.252</v>
      </c>
      <c r="O47" s="4">
        <v>1.44</v>
      </c>
    </row>
    <row r="48" spans="2:15">
      <c r="B48" t="s">
        <v>52</v>
      </c>
      <c r="C48" t="s">
        <v>53</v>
      </c>
      <c r="D48" t="s">
        <v>790</v>
      </c>
      <c r="E48" t="s">
        <v>791</v>
      </c>
      <c r="F48" t="s">
        <v>10</v>
      </c>
      <c r="G48" t="s">
        <v>790</v>
      </c>
      <c r="H48" t="s">
        <v>792</v>
      </c>
      <c r="I48" t="s">
        <v>32</v>
      </c>
      <c r="J48">
        <v>0</v>
      </c>
      <c r="K48">
        <v>2</v>
      </c>
      <c r="L48" s="4">
        <v>3.5000000000000001E-3</v>
      </c>
      <c r="M48">
        <v>0.02</v>
      </c>
      <c r="N48" s="4">
        <v>7.0000000000000001E-3</v>
      </c>
      <c r="O48" s="4">
        <v>0.04</v>
      </c>
    </row>
    <row r="49" spans="2:15">
      <c r="B49" t="s">
        <v>52</v>
      </c>
      <c r="C49" t="s">
        <v>53</v>
      </c>
      <c r="D49" t="s">
        <v>220</v>
      </c>
      <c r="E49" t="s">
        <v>221</v>
      </c>
      <c r="F49" t="s">
        <v>10</v>
      </c>
      <c r="G49" t="s">
        <v>220</v>
      </c>
      <c r="H49" t="s">
        <v>222</v>
      </c>
      <c r="I49" t="s">
        <v>32</v>
      </c>
      <c r="J49">
        <v>0</v>
      </c>
      <c r="K49">
        <v>4409</v>
      </c>
      <c r="L49" s="4">
        <v>3.5000000000000001E-3</v>
      </c>
      <c r="M49">
        <v>0.02</v>
      </c>
      <c r="N49" s="4">
        <v>15.4315</v>
      </c>
      <c r="O49" s="4">
        <v>88.18</v>
      </c>
    </row>
    <row r="50" spans="2:15">
      <c r="B50" t="s">
        <v>52</v>
      </c>
      <c r="C50" t="s">
        <v>53</v>
      </c>
      <c r="D50" t="s">
        <v>223</v>
      </c>
      <c r="E50" t="s">
        <v>224</v>
      </c>
      <c r="F50" t="s">
        <v>10</v>
      </c>
      <c r="G50" t="s">
        <v>223</v>
      </c>
      <c r="H50" t="s">
        <v>225</v>
      </c>
      <c r="I50" t="s">
        <v>32</v>
      </c>
      <c r="J50">
        <v>0</v>
      </c>
      <c r="K50">
        <v>7863</v>
      </c>
      <c r="L50" s="4">
        <v>3.5000000000000001E-3</v>
      </c>
      <c r="M50">
        <v>0.02</v>
      </c>
      <c r="N50" s="4">
        <v>27.520500000000002</v>
      </c>
      <c r="O50" s="4">
        <v>157.26</v>
      </c>
    </row>
    <row r="51" spans="2:15">
      <c r="B51" t="s">
        <v>52</v>
      </c>
      <c r="C51" t="s">
        <v>53</v>
      </c>
      <c r="D51" t="s">
        <v>335</v>
      </c>
      <c r="E51" t="s">
        <v>336</v>
      </c>
      <c r="F51" t="s">
        <v>10</v>
      </c>
      <c r="G51" t="s">
        <v>335</v>
      </c>
      <c r="H51" t="s">
        <v>337</v>
      </c>
      <c r="I51" t="s">
        <v>32</v>
      </c>
      <c r="J51">
        <v>0</v>
      </c>
      <c r="K51">
        <v>1019</v>
      </c>
      <c r="L51" s="4">
        <v>3.5000000000000001E-3</v>
      </c>
      <c r="M51">
        <v>0.02</v>
      </c>
      <c r="N51" s="4">
        <v>3.5665</v>
      </c>
      <c r="O51" s="4">
        <v>20.38</v>
      </c>
    </row>
    <row r="52" spans="2:15">
      <c r="B52" t="s">
        <v>52</v>
      </c>
      <c r="C52" t="s">
        <v>53</v>
      </c>
      <c r="D52" t="s">
        <v>226</v>
      </c>
      <c r="E52" t="s">
        <v>227</v>
      </c>
      <c r="F52" t="s">
        <v>10</v>
      </c>
      <c r="G52" t="s">
        <v>226</v>
      </c>
      <c r="H52" t="s">
        <v>228</v>
      </c>
      <c r="I52" t="s">
        <v>32</v>
      </c>
      <c r="J52">
        <v>0</v>
      </c>
      <c r="K52">
        <v>456</v>
      </c>
      <c r="L52" s="4">
        <v>3.5000000000000001E-3</v>
      </c>
      <c r="M52">
        <v>0.02</v>
      </c>
      <c r="N52" s="4">
        <v>1.5960000000000001</v>
      </c>
      <c r="O52" s="4">
        <v>9.120000000000001</v>
      </c>
    </row>
    <row r="53" spans="2:15">
      <c r="B53" t="s">
        <v>52</v>
      </c>
      <c r="C53" t="s">
        <v>53</v>
      </c>
      <c r="D53" t="s">
        <v>338</v>
      </c>
      <c r="E53" t="s">
        <v>339</v>
      </c>
      <c r="F53" t="s">
        <v>10</v>
      </c>
      <c r="G53" t="s">
        <v>338</v>
      </c>
      <c r="H53" t="s">
        <v>340</v>
      </c>
      <c r="I53" t="s">
        <v>32</v>
      </c>
      <c r="J53">
        <v>0</v>
      </c>
      <c r="K53">
        <v>45</v>
      </c>
      <c r="L53" s="4">
        <v>3.5000000000000001E-3</v>
      </c>
      <c r="M53">
        <v>0.02</v>
      </c>
      <c r="N53" s="4">
        <v>0.1575</v>
      </c>
      <c r="O53" s="4">
        <v>0.9</v>
      </c>
    </row>
    <row r="54" spans="2:15">
      <c r="B54" t="s">
        <v>52</v>
      </c>
      <c r="C54" t="s">
        <v>53</v>
      </c>
      <c r="D54" t="s">
        <v>447</v>
      </c>
      <c r="E54" t="s">
        <v>448</v>
      </c>
      <c r="F54" t="s">
        <v>10</v>
      </c>
      <c r="G54" t="s">
        <v>447</v>
      </c>
      <c r="H54" t="s">
        <v>449</v>
      </c>
      <c r="I54" t="s">
        <v>32</v>
      </c>
      <c r="J54">
        <v>0</v>
      </c>
      <c r="K54">
        <v>1</v>
      </c>
      <c r="L54" s="4">
        <v>3.5000000000000001E-3</v>
      </c>
      <c r="M54">
        <v>0.02</v>
      </c>
      <c r="N54" s="4">
        <v>3.5000000000000001E-3</v>
      </c>
      <c r="O54" s="4">
        <v>0.02</v>
      </c>
    </row>
    <row r="55" spans="2:15">
      <c r="B55" t="s">
        <v>52</v>
      </c>
      <c r="C55" t="s">
        <v>53</v>
      </c>
      <c r="D55" t="s">
        <v>229</v>
      </c>
      <c r="E55" t="s">
        <v>230</v>
      </c>
      <c r="F55" t="s">
        <v>10</v>
      </c>
      <c r="G55" t="s">
        <v>229</v>
      </c>
      <c r="H55" t="s">
        <v>231</v>
      </c>
      <c r="I55" t="s">
        <v>32</v>
      </c>
      <c r="J55">
        <v>0</v>
      </c>
      <c r="K55">
        <v>1</v>
      </c>
      <c r="L55" s="4">
        <v>3.5000000000000001E-3</v>
      </c>
      <c r="M55">
        <v>0.02</v>
      </c>
      <c r="N55" s="4">
        <v>3.5000000000000001E-3</v>
      </c>
      <c r="O55" s="4">
        <v>0.02</v>
      </c>
    </row>
    <row r="56" spans="2:15">
      <c r="B56" t="s">
        <v>52</v>
      </c>
      <c r="C56" t="s">
        <v>53</v>
      </c>
      <c r="D56" t="s">
        <v>793</v>
      </c>
      <c r="E56" t="s">
        <v>794</v>
      </c>
      <c r="F56" t="s">
        <v>10</v>
      </c>
      <c r="G56" t="s">
        <v>793</v>
      </c>
      <c r="H56" t="s">
        <v>795</v>
      </c>
      <c r="I56" t="s">
        <v>32</v>
      </c>
      <c r="J56">
        <v>0</v>
      </c>
      <c r="K56">
        <v>1</v>
      </c>
      <c r="L56" s="4">
        <v>3.5000000000000001E-3</v>
      </c>
      <c r="M56">
        <v>0.02</v>
      </c>
      <c r="N56" s="4">
        <v>3.5000000000000001E-3</v>
      </c>
      <c r="O56" s="4">
        <v>0.02</v>
      </c>
    </row>
    <row r="57" spans="2:15">
      <c r="B57" t="s">
        <v>52</v>
      </c>
      <c r="C57" t="s">
        <v>53</v>
      </c>
      <c r="D57" t="s">
        <v>232</v>
      </c>
      <c r="E57" t="s">
        <v>233</v>
      </c>
      <c r="F57" t="s">
        <v>10</v>
      </c>
      <c r="G57" t="s">
        <v>232</v>
      </c>
      <c r="H57" t="s">
        <v>234</v>
      </c>
      <c r="I57" t="s">
        <v>32</v>
      </c>
      <c r="J57">
        <v>0</v>
      </c>
      <c r="K57">
        <v>7</v>
      </c>
      <c r="L57" s="4">
        <v>3.5000000000000001E-3</v>
      </c>
      <c r="M57">
        <v>0.02</v>
      </c>
      <c r="N57" s="4">
        <v>2.4500000000000001E-2</v>
      </c>
      <c r="O57" s="4">
        <v>0.14000000000000001</v>
      </c>
    </row>
    <row r="58" spans="2:15">
      <c r="B58" t="s">
        <v>52</v>
      </c>
      <c r="C58" t="s">
        <v>53</v>
      </c>
      <c r="D58" t="s">
        <v>450</v>
      </c>
      <c r="E58" t="s">
        <v>451</v>
      </c>
      <c r="F58" t="s">
        <v>10</v>
      </c>
      <c r="G58" t="s">
        <v>450</v>
      </c>
      <c r="H58" t="s">
        <v>452</v>
      </c>
      <c r="I58" t="s">
        <v>32</v>
      </c>
      <c r="J58">
        <v>0</v>
      </c>
      <c r="K58">
        <v>1</v>
      </c>
      <c r="L58" s="4">
        <v>3.5000000000000001E-3</v>
      </c>
      <c r="M58">
        <v>0.02</v>
      </c>
      <c r="N58" s="4">
        <v>3.5000000000000001E-3</v>
      </c>
      <c r="O58" s="4">
        <v>0.02</v>
      </c>
    </row>
    <row r="59" spans="2:15">
      <c r="B59" t="s">
        <v>52</v>
      </c>
      <c r="C59" t="s">
        <v>53</v>
      </c>
      <c r="D59" t="s">
        <v>453</v>
      </c>
      <c r="E59" t="s">
        <v>454</v>
      </c>
      <c r="F59" t="s">
        <v>10</v>
      </c>
      <c r="G59" t="s">
        <v>453</v>
      </c>
      <c r="H59" t="s">
        <v>455</v>
      </c>
      <c r="I59" t="s">
        <v>32</v>
      </c>
      <c r="J59">
        <v>0</v>
      </c>
      <c r="K59">
        <v>9273</v>
      </c>
      <c r="L59" s="4">
        <v>3.5000000000000001E-3</v>
      </c>
      <c r="M59">
        <v>0.02</v>
      </c>
      <c r="N59" s="4">
        <v>32.455500000000001</v>
      </c>
      <c r="O59" s="4">
        <v>185.46</v>
      </c>
    </row>
    <row r="60" spans="2:15">
      <c r="B60" t="s">
        <v>52</v>
      </c>
      <c r="C60" t="s">
        <v>53</v>
      </c>
      <c r="D60" t="s">
        <v>456</v>
      </c>
      <c r="E60" t="s">
        <v>457</v>
      </c>
      <c r="F60" t="s">
        <v>10</v>
      </c>
      <c r="G60" t="s">
        <v>456</v>
      </c>
      <c r="H60" t="s">
        <v>458</v>
      </c>
      <c r="I60" t="s">
        <v>32</v>
      </c>
      <c r="J60">
        <v>0</v>
      </c>
      <c r="K60">
        <v>34</v>
      </c>
      <c r="L60" s="4">
        <v>3.5000000000000001E-3</v>
      </c>
      <c r="M60">
        <v>0.02</v>
      </c>
      <c r="N60" s="4">
        <v>0.11900000000000001</v>
      </c>
      <c r="O60" s="4">
        <v>0.68</v>
      </c>
    </row>
    <row r="61" spans="2:15">
      <c r="B61" t="s">
        <v>52</v>
      </c>
      <c r="C61" t="s">
        <v>53</v>
      </c>
      <c r="D61" t="s">
        <v>459</v>
      </c>
      <c r="E61" t="s">
        <v>460</v>
      </c>
      <c r="F61" t="s">
        <v>10</v>
      </c>
      <c r="G61" t="s">
        <v>459</v>
      </c>
      <c r="H61" t="s">
        <v>461</v>
      </c>
      <c r="I61" t="s">
        <v>32</v>
      </c>
      <c r="J61">
        <v>0</v>
      </c>
      <c r="K61">
        <v>740</v>
      </c>
      <c r="L61" s="4">
        <v>3.5000000000000001E-3</v>
      </c>
      <c r="M61">
        <v>0.02</v>
      </c>
      <c r="N61" s="4">
        <v>2.59</v>
      </c>
      <c r="O61" s="4">
        <v>14.8</v>
      </c>
    </row>
    <row r="62" spans="2:15">
      <c r="B62" t="s">
        <v>52</v>
      </c>
      <c r="C62" t="s">
        <v>53</v>
      </c>
      <c r="D62" t="s">
        <v>462</v>
      </c>
      <c r="E62" t="s">
        <v>463</v>
      </c>
      <c r="F62" t="s">
        <v>10</v>
      </c>
      <c r="G62" t="s">
        <v>462</v>
      </c>
      <c r="H62" t="s">
        <v>464</v>
      </c>
      <c r="I62" t="s">
        <v>32</v>
      </c>
      <c r="J62">
        <v>0</v>
      </c>
      <c r="K62">
        <v>49</v>
      </c>
      <c r="L62" s="4">
        <v>3.5000000000000001E-3</v>
      </c>
      <c r="M62">
        <v>0.02</v>
      </c>
      <c r="N62" s="4">
        <v>0.17150000000000001</v>
      </c>
      <c r="O62" s="4">
        <v>0.98</v>
      </c>
    </row>
    <row r="63" spans="2:15">
      <c r="B63" t="s">
        <v>52</v>
      </c>
      <c r="C63" t="s">
        <v>53</v>
      </c>
      <c r="D63" t="s">
        <v>465</v>
      </c>
      <c r="E63" t="s">
        <v>466</v>
      </c>
      <c r="F63" t="s">
        <v>10</v>
      </c>
      <c r="G63" t="s">
        <v>465</v>
      </c>
      <c r="H63" t="s">
        <v>467</v>
      </c>
      <c r="I63" t="s">
        <v>32</v>
      </c>
      <c r="J63">
        <v>0</v>
      </c>
      <c r="K63">
        <v>527</v>
      </c>
      <c r="L63" s="4">
        <v>3.5000000000000001E-3</v>
      </c>
      <c r="M63">
        <v>0.02</v>
      </c>
      <c r="N63" s="4">
        <v>1.8445</v>
      </c>
      <c r="O63" s="4">
        <v>10.540000000000001</v>
      </c>
    </row>
    <row r="64" spans="2:15">
      <c r="B64" t="s">
        <v>52</v>
      </c>
      <c r="C64" t="s">
        <v>53</v>
      </c>
      <c r="D64" t="s">
        <v>468</v>
      </c>
      <c r="E64" t="s">
        <v>469</v>
      </c>
      <c r="F64" t="s">
        <v>10</v>
      </c>
      <c r="G64" t="s">
        <v>468</v>
      </c>
      <c r="H64" t="s">
        <v>470</v>
      </c>
      <c r="I64" t="s">
        <v>32</v>
      </c>
      <c r="J64">
        <v>0</v>
      </c>
      <c r="K64">
        <v>102</v>
      </c>
      <c r="L64" s="4">
        <v>3.5000000000000001E-3</v>
      </c>
      <c r="M64">
        <v>0.02</v>
      </c>
      <c r="N64" s="4">
        <v>0.35699999999999998</v>
      </c>
      <c r="O64" s="4">
        <v>2.04</v>
      </c>
    </row>
    <row r="65" spans="2:15">
      <c r="B65" t="s">
        <v>52</v>
      </c>
      <c r="C65" t="s">
        <v>53</v>
      </c>
      <c r="D65" t="s">
        <v>108</v>
      </c>
      <c r="E65" t="s">
        <v>109</v>
      </c>
      <c r="F65" t="s">
        <v>10</v>
      </c>
      <c r="G65" t="s">
        <v>108</v>
      </c>
      <c r="H65" t="s">
        <v>110</v>
      </c>
      <c r="I65" t="s">
        <v>32</v>
      </c>
      <c r="J65">
        <v>0</v>
      </c>
      <c r="K65">
        <v>1</v>
      </c>
      <c r="L65" s="4">
        <v>3.5000000000000001E-3</v>
      </c>
      <c r="M65">
        <v>0.02</v>
      </c>
      <c r="N65" s="4">
        <v>3.5000000000000001E-3</v>
      </c>
      <c r="O65" s="4">
        <v>0.02</v>
      </c>
    </row>
    <row r="66" spans="2:15">
      <c r="B66" t="s">
        <v>52</v>
      </c>
      <c r="C66" t="s">
        <v>53</v>
      </c>
      <c r="D66" t="s">
        <v>341</v>
      </c>
      <c r="E66" t="s">
        <v>342</v>
      </c>
      <c r="F66" t="s">
        <v>10</v>
      </c>
      <c r="G66" t="s">
        <v>341</v>
      </c>
      <c r="H66" t="s">
        <v>343</v>
      </c>
      <c r="I66" t="s">
        <v>32</v>
      </c>
      <c r="J66">
        <v>0</v>
      </c>
      <c r="K66">
        <v>744</v>
      </c>
      <c r="L66" s="4">
        <v>3.5000000000000001E-3</v>
      </c>
      <c r="M66">
        <v>0.02</v>
      </c>
      <c r="N66" s="4">
        <v>2.6040000000000001</v>
      </c>
      <c r="O66" s="4">
        <v>14.88</v>
      </c>
    </row>
    <row r="67" spans="2:15">
      <c r="B67" t="s">
        <v>52</v>
      </c>
      <c r="C67" t="s">
        <v>53</v>
      </c>
      <c r="D67" t="s">
        <v>344</v>
      </c>
      <c r="E67" t="s">
        <v>345</v>
      </c>
      <c r="F67" t="s">
        <v>10</v>
      </c>
      <c r="G67" t="s">
        <v>344</v>
      </c>
      <c r="H67" t="s">
        <v>346</v>
      </c>
      <c r="I67" t="s">
        <v>32</v>
      </c>
      <c r="J67">
        <v>0</v>
      </c>
      <c r="K67">
        <v>873</v>
      </c>
      <c r="L67" s="4">
        <v>3.5000000000000001E-3</v>
      </c>
      <c r="M67">
        <v>0.02</v>
      </c>
      <c r="N67" s="4">
        <v>3.0554999999999999</v>
      </c>
      <c r="O67" s="4">
        <v>17.46</v>
      </c>
    </row>
    <row r="68" spans="2:15">
      <c r="B68" t="s">
        <v>52</v>
      </c>
      <c r="C68" t="s">
        <v>53</v>
      </c>
      <c r="D68" t="s">
        <v>347</v>
      </c>
      <c r="E68" t="s">
        <v>348</v>
      </c>
      <c r="F68" t="s">
        <v>10</v>
      </c>
      <c r="G68" t="s">
        <v>347</v>
      </c>
      <c r="H68" t="s">
        <v>349</v>
      </c>
      <c r="I68" t="s">
        <v>32</v>
      </c>
      <c r="J68">
        <v>0</v>
      </c>
      <c r="K68">
        <v>748</v>
      </c>
      <c r="L68" s="4">
        <v>3.5000000000000001E-3</v>
      </c>
      <c r="M68">
        <v>0.02</v>
      </c>
      <c r="N68" s="4">
        <v>2.6179999999999999</v>
      </c>
      <c r="O68" s="4">
        <v>14.96</v>
      </c>
    </row>
    <row r="69" spans="2:15">
      <c r="B69" t="s">
        <v>52</v>
      </c>
      <c r="C69" t="s">
        <v>53</v>
      </c>
      <c r="D69" t="s">
        <v>350</v>
      </c>
      <c r="E69" t="s">
        <v>351</v>
      </c>
      <c r="F69" t="s">
        <v>10</v>
      </c>
      <c r="G69" t="s">
        <v>350</v>
      </c>
      <c r="H69" t="s">
        <v>352</v>
      </c>
      <c r="I69" t="s">
        <v>32</v>
      </c>
      <c r="J69">
        <v>0</v>
      </c>
      <c r="K69">
        <v>578</v>
      </c>
      <c r="L69" s="4">
        <v>3.5000000000000001E-3</v>
      </c>
      <c r="M69">
        <v>0.02</v>
      </c>
      <c r="N69" s="4">
        <v>2.0230000000000001</v>
      </c>
      <c r="O69" s="4">
        <v>11.56</v>
      </c>
    </row>
    <row r="70" spans="2:15">
      <c r="B70" t="s">
        <v>52</v>
      </c>
      <c r="C70" t="s">
        <v>53</v>
      </c>
      <c r="D70" t="s">
        <v>353</v>
      </c>
      <c r="E70" t="s">
        <v>354</v>
      </c>
      <c r="F70" t="s">
        <v>10</v>
      </c>
      <c r="G70" t="s">
        <v>353</v>
      </c>
      <c r="H70" t="s">
        <v>355</v>
      </c>
      <c r="I70" t="s">
        <v>32</v>
      </c>
      <c r="J70">
        <v>0</v>
      </c>
      <c r="K70">
        <v>46</v>
      </c>
      <c r="L70" s="4">
        <v>3.5000000000000001E-3</v>
      </c>
      <c r="M70">
        <v>0.02</v>
      </c>
      <c r="N70" s="4">
        <v>0.161</v>
      </c>
      <c r="O70" s="4">
        <v>0.92</v>
      </c>
    </row>
    <row r="71" spans="2:15">
      <c r="B71" t="s">
        <v>52</v>
      </c>
      <c r="C71" t="s">
        <v>53</v>
      </c>
      <c r="D71" t="s">
        <v>471</v>
      </c>
      <c r="E71" t="s">
        <v>472</v>
      </c>
      <c r="F71" t="s">
        <v>10</v>
      </c>
      <c r="G71" t="s">
        <v>471</v>
      </c>
      <c r="H71" t="s">
        <v>473</v>
      </c>
      <c r="I71" t="s">
        <v>32</v>
      </c>
      <c r="J71">
        <v>0</v>
      </c>
      <c r="K71">
        <v>7</v>
      </c>
      <c r="L71" s="4">
        <v>3.5000000000000001E-3</v>
      </c>
      <c r="M71">
        <v>0.02</v>
      </c>
      <c r="N71" s="4">
        <v>2.4500000000000001E-2</v>
      </c>
      <c r="O71" s="4">
        <v>0.14000000000000001</v>
      </c>
    </row>
    <row r="72" spans="2:15">
      <c r="B72" t="s">
        <v>52</v>
      </c>
      <c r="C72" t="s">
        <v>53</v>
      </c>
      <c r="D72" t="s">
        <v>474</v>
      </c>
      <c r="E72" t="s">
        <v>475</v>
      </c>
      <c r="F72" t="s">
        <v>10</v>
      </c>
      <c r="G72" t="s">
        <v>474</v>
      </c>
      <c r="H72" t="s">
        <v>476</v>
      </c>
      <c r="I72" t="s">
        <v>32</v>
      </c>
      <c r="J72">
        <v>0</v>
      </c>
      <c r="K72">
        <v>26</v>
      </c>
      <c r="L72" s="4">
        <v>3.5000000000000001E-3</v>
      </c>
      <c r="M72">
        <v>0.02</v>
      </c>
      <c r="N72" s="4">
        <v>9.0999999999999998E-2</v>
      </c>
      <c r="O72" s="4">
        <v>0.52</v>
      </c>
    </row>
    <row r="73" spans="2:15">
      <c r="B73" t="s">
        <v>52</v>
      </c>
      <c r="C73" t="s">
        <v>53</v>
      </c>
      <c r="D73" t="s">
        <v>356</v>
      </c>
      <c r="E73" t="s">
        <v>357</v>
      </c>
      <c r="F73" t="s">
        <v>10</v>
      </c>
      <c r="G73" t="s">
        <v>356</v>
      </c>
      <c r="H73" t="s">
        <v>358</v>
      </c>
      <c r="I73" t="s">
        <v>32</v>
      </c>
      <c r="J73">
        <v>0</v>
      </c>
      <c r="K73">
        <v>397</v>
      </c>
      <c r="L73" s="4">
        <v>3.5000000000000001E-3</v>
      </c>
      <c r="M73">
        <v>0.02</v>
      </c>
      <c r="N73" s="4">
        <v>1.3895</v>
      </c>
      <c r="O73" s="4">
        <v>7.94</v>
      </c>
    </row>
    <row r="74" spans="2:15">
      <c r="B74" t="s">
        <v>52</v>
      </c>
      <c r="C74" t="s">
        <v>53</v>
      </c>
      <c r="D74" t="s">
        <v>359</v>
      </c>
      <c r="E74" t="s">
        <v>360</v>
      </c>
      <c r="F74" t="s">
        <v>10</v>
      </c>
      <c r="G74" t="s">
        <v>359</v>
      </c>
      <c r="H74" t="s">
        <v>361</v>
      </c>
      <c r="I74" t="s">
        <v>32</v>
      </c>
      <c r="J74">
        <v>0</v>
      </c>
      <c r="K74">
        <v>21</v>
      </c>
      <c r="L74" s="4">
        <v>3.5000000000000001E-3</v>
      </c>
      <c r="M74">
        <v>0.02</v>
      </c>
      <c r="N74" s="4">
        <v>7.3499999999999996E-2</v>
      </c>
      <c r="O74" s="4">
        <v>0.42</v>
      </c>
    </row>
    <row r="75" spans="2:15">
      <c r="B75" t="s">
        <v>52</v>
      </c>
      <c r="C75" t="s">
        <v>53</v>
      </c>
      <c r="D75" t="s">
        <v>362</v>
      </c>
      <c r="E75" t="s">
        <v>363</v>
      </c>
      <c r="F75" t="s">
        <v>10</v>
      </c>
      <c r="G75" t="s">
        <v>362</v>
      </c>
      <c r="H75" t="s">
        <v>364</v>
      </c>
      <c r="I75" t="s">
        <v>32</v>
      </c>
      <c r="J75">
        <v>0</v>
      </c>
      <c r="K75">
        <v>6</v>
      </c>
      <c r="L75" s="4">
        <v>3.5000000000000001E-3</v>
      </c>
      <c r="M75">
        <v>0.02</v>
      </c>
      <c r="N75" s="4">
        <v>2.1000000000000001E-2</v>
      </c>
      <c r="O75" s="4">
        <v>0.12</v>
      </c>
    </row>
    <row r="76" spans="2:15">
      <c r="B76" t="s">
        <v>52</v>
      </c>
      <c r="C76" t="s">
        <v>53</v>
      </c>
      <c r="D76" t="s">
        <v>796</v>
      </c>
      <c r="E76" t="s">
        <v>797</v>
      </c>
      <c r="F76" t="s">
        <v>10</v>
      </c>
      <c r="G76" t="s">
        <v>796</v>
      </c>
      <c r="H76" t="s">
        <v>798</v>
      </c>
      <c r="I76" t="s">
        <v>32</v>
      </c>
      <c r="J76">
        <v>0</v>
      </c>
      <c r="K76">
        <v>1</v>
      </c>
      <c r="L76" s="4">
        <v>3.5000000000000001E-3</v>
      </c>
      <c r="M76">
        <v>0.02</v>
      </c>
      <c r="N76" s="4">
        <v>3.5000000000000001E-3</v>
      </c>
      <c r="O76" s="4">
        <v>0.02</v>
      </c>
    </row>
    <row r="77" spans="2:15">
      <c r="B77" t="s">
        <v>52</v>
      </c>
      <c r="C77" t="s">
        <v>53</v>
      </c>
      <c r="D77" t="s">
        <v>365</v>
      </c>
      <c r="E77" t="s">
        <v>366</v>
      </c>
      <c r="F77" t="s">
        <v>10</v>
      </c>
      <c r="G77" t="s">
        <v>365</v>
      </c>
      <c r="H77" t="s">
        <v>367</v>
      </c>
      <c r="I77" t="s">
        <v>32</v>
      </c>
      <c r="J77">
        <v>0</v>
      </c>
      <c r="K77">
        <v>472</v>
      </c>
      <c r="L77" s="4">
        <v>3.5000000000000001E-3</v>
      </c>
      <c r="M77">
        <v>0.02</v>
      </c>
      <c r="N77" s="4">
        <v>1.6520000000000001</v>
      </c>
      <c r="O77" s="4">
        <v>9.44</v>
      </c>
    </row>
    <row r="78" spans="2:15">
      <c r="B78" t="s">
        <v>52</v>
      </c>
      <c r="C78" t="s">
        <v>53</v>
      </c>
      <c r="D78" t="s">
        <v>368</v>
      </c>
      <c r="E78" t="s">
        <v>369</v>
      </c>
      <c r="F78" t="s">
        <v>10</v>
      </c>
      <c r="G78" t="s">
        <v>368</v>
      </c>
      <c r="H78" t="s">
        <v>370</v>
      </c>
      <c r="I78" t="s">
        <v>32</v>
      </c>
      <c r="J78">
        <v>0</v>
      </c>
      <c r="K78">
        <v>3760</v>
      </c>
      <c r="L78" s="4">
        <v>3.5000000000000001E-3</v>
      </c>
      <c r="M78">
        <v>0.02</v>
      </c>
      <c r="N78" s="4">
        <v>13.16</v>
      </c>
      <c r="O78" s="4">
        <v>75.2</v>
      </c>
    </row>
    <row r="79" spans="2:15">
      <c r="B79" t="s">
        <v>52</v>
      </c>
      <c r="C79" t="s">
        <v>53</v>
      </c>
      <c r="D79" t="s">
        <v>799</v>
      </c>
      <c r="E79" t="s">
        <v>800</v>
      </c>
      <c r="F79" t="s">
        <v>10</v>
      </c>
      <c r="G79" t="s">
        <v>799</v>
      </c>
      <c r="H79" t="s">
        <v>801</v>
      </c>
      <c r="I79" t="s">
        <v>32</v>
      </c>
      <c r="J79">
        <v>0</v>
      </c>
      <c r="K79">
        <v>7</v>
      </c>
      <c r="L79" s="4">
        <v>3.5000000000000001E-3</v>
      </c>
      <c r="M79">
        <v>0.02</v>
      </c>
      <c r="N79" s="4">
        <v>2.4500000000000001E-2</v>
      </c>
      <c r="O79" s="4">
        <v>0.14000000000000001</v>
      </c>
    </row>
    <row r="80" spans="2:15">
      <c r="B80" t="s">
        <v>52</v>
      </c>
      <c r="C80" t="s">
        <v>53</v>
      </c>
      <c r="D80" t="s">
        <v>371</v>
      </c>
      <c r="E80" t="s">
        <v>372</v>
      </c>
      <c r="F80" t="s">
        <v>10</v>
      </c>
      <c r="G80" t="s">
        <v>371</v>
      </c>
      <c r="H80" t="s">
        <v>373</v>
      </c>
      <c r="I80" t="s">
        <v>32</v>
      </c>
      <c r="J80">
        <v>0</v>
      </c>
      <c r="K80">
        <v>30</v>
      </c>
      <c r="L80" s="4">
        <v>3.5000000000000001E-3</v>
      </c>
      <c r="M80">
        <v>0.02</v>
      </c>
      <c r="N80" s="4">
        <v>0.105</v>
      </c>
      <c r="O80" s="4">
        <v>0.6</v>
      </c>
    </row>
    <row r="81" spans="2:15">
      <c r="B81" t="s">
        <v>52</v>
      </c>
      <c r="C81" t="s">
        <v>53</v>
      </c>
      <c r="D81" t="s">
        <v>374</v>
      </c>
      <c r="E81" t="s">
        <v>375</v>
      </c>
      <c r="F81" t="s">
        <v>10</v>
      </c>
      <c r="G81" t="s">
        <v>374</v>
      </c>
      <c r="H81" t="s">
        <v>376</v>
      </c>
      <c r="I81" t="s">
        <v>32</v>
      </c>
      <c r="J81">
        <v>0</v>
      </c>
      <c r="K81">
        <v>4467</v>
      </c>
      <c r="L81" s="4">
        <v>3.5000000000000001E-3</v>
      </c>
      <c r="M81">
        <v>0.02</v>
      </c>
      <c r="N81" s="4">
        <v>15.634500000000001</v>
      </c>
      <c r="O81" s="4">
        <v>89.34</v>
      </c>
    </row>
    <row r="82" spans="2:15">
      <c r="B82" t="s">
        <v>52</v>
      </c>
      <c r="C82" t="s">
        <v>53</v>
      </c>
      <c r="D82" t="s">
        <v>235</v>
      </c>
      <c r="E82" t="s">
        <v>236</v>
      </c>
      <c r="F82" t="s">
        <v>10</v>
      </c>
      <c r="G82" t="s">
        <v>235</v>
      </c>
      <c r="H82" t="s">
        <v>237</v>
      </c>
      <c r="I82" t="s">
        <v>32</v>
      </c>
      <c r="J82">
        <v>0</v>
      </c>
      <c r="K82">
        <v>4132</v>
      </c>
      <c r="L82" s="4">
        <v>3.5000000000000001E-3</v>
      </c>
      <c r="M82">
        <v>0.02</v>
      </c>
      <c r="N82" s="4">
        <v>14.462</v>
      </c>
      <c r="O82" s="4">
        <v>82.64</v>
      </c>
    </row>
    <row r="83" spans="2:15">
      <c r="B83" t="s">
        <v>52</v>
      </c>
      <c r="C83" t="s">
        <v>53</v>
      </c>
      <c r="D83" t="s">
        <v>377</v>
      </c>
      <c r="E83" t="s">
        <v>378</v>
      </c>
      <c r="F83" t="s">
        <v>10</v>
      </c>
      <c r="G83" t="s">
        <v>377</v>
      </c>
      <c r="H83" t="s">
        <v>379</v>
      </c>
      <c r="I83" t="s">
        <v>32</v>
      </c>
      <c r="J83">
        <v>0</v>
      </c>
      <c r="K83">
        <v>372</v>
      </c>
      <c r="L83" s="4">
        <v>3.5000000000000001E-3</v>
      </c>
      <c r="M83">
        <v>0.02</v>
      </c>
      <c r="N83" s="4">
        <v>1.302</v>
      </c>
      <c r="O83" s="4">
        <v>7.44</v>
      </c>
    </row>
    <row r="84" spans="2:15">
      <c r="B84" t="s">
        <v>52</v>
      </c>
      <c r="C84" t="s">
        <v>53</v>
      </c>
      <c r="D84" t="s">
        <v>238</v>
      </c>
      <c r="E84" t="s">
        <v>239</v>
      </c>
      <c r="F84" t="s">
        <v>10</v>
      </c>
      <c r="G84" t="s">
        <v>238</v>
      </c>
      <c r="H84" t="s">
        <v>240</v>
      </c>
      <c r="I84" t="s">
        <v>32</v>
      </c>
      <c r="J84">
        <v>0</v>
      </c>
      <c r="K84">
        <v>1356</v>
      </c>
      <c r="L84" s="4">
        <v>3.5000000000000001E-3</v>
      </c>
      <c r="M84">
        <v>0.02</v>
      </c>
      <c r="N84" s="4">
        <v>4.7460000000000004</v>
      </c>
      <c r="O84" s="4">
        <v>27.12</v>
      </c>
    </row>
    <row r="85" spans="2:15">
      <c r="B85" t="s">
        <v>52</v>
      </c>
      <c r="C85" t="s">
        <v>53</v>
      </c>
      <c r="D85" t="s">
        <v>380</v>
      </c>
      <c r="E85" t="s">
        <v>381</v>
      </c>
      <c r="F85" t="s">
        <v>10</v>
      </c>
      <c r="G85" t="s">
        <v>380</v>
      </c>
      <c r="H85" t="s">
        <v>382</v>
      </c>
      <c r="I85" t="s">
        <v>32</v>
      </c>
      <c r="J85">
        <v>0</v>
      </c>
      <c r="K85">
        <v>56</v>
      </c>
      <c r="L85" s="4">
        <v>3.5000000000000001E-3</v>
      </c>
      <c r="M85">
        <v>0.02</v>
      </c>
      <c r="N85" s="4">
        <v>0.19600000000000001</v>
      </c>
      <c r="O85" s="4">
        <v>1.1200000000000001</v>
      </c>
    </row>
    <row r="86" spans="2:15">
      <c r="B86" t="s">
        <v>52</v>
      </c>
      <c r="C86" t="s">
        <v>53</v>
      </c>
      <c r="D86" t="s">
        <v>477</v>
      </c>
      <c r="E86" t="s">
        <v>478</v>
      </c>
      <c r="F86" t="s">
        <v>10</v>
      </c>
      <c r="G86" t="s">
        <v>477</v>
      </c>
      <c r="H86" t="s">
        <v>479</v>
      </c>
      <c r="I86" t="s">
        <v>32</v>
      </c>
      <c r="J86">
        <v>0</v>
      </c>
      <c r="K86">
        <v>7376</v>
      </c>
      <c r="L86" s="4">
        <v>3.5000000000000001E-3</v>
      </c>
      <c r="M86">
        <v>0.02</v>
      </c>
      <c r="N86" s="4">
        <v>25.815999999999999</v>
      </c>
      <c r="O86" s="4">
        <v>147.52000000000001</v>
      </c>
    </row>
    <row r="87" spans="2:15">
      <c r="B87" t="s">
        <v>52</v>
      </c>
      <c r="C87" t="s">
        <v>53</v>
      </c>
      <c r="D87" t="s">
        <v>480</v>
      </c>
      <c r="E87" t="s">
        <v>481</v>
      </c>
      <c r="F87" t="s">
        <v>10</v>
      </c>
      <c r="G87" t="s">
        <v>480</v>
      </c>
      <c r="H87" t="s">
        <v>482</v>
      </c>
      <c r="I87" t="s">
        <v>32</v>
      </c>
      <c r="J87">
        <v>0</v>
      </c>
      <c r="K87">
        <v>4</v>
      </c>
      <c r="L87" s="4">
        <v>3.5000000000000001E-3</v>
      </c>
      <c r="M87">
        <v>0.02</v>
      </c>
      <c r="N87" s="4">
        <v>1.4E-2</v>
      </c>
      <c r="O87" s="4">
        <v>0.08</v>
      </c>
    </row>
    <row r="88" spans="2:15">
      <c r="B88" t="s">
        <v>52</v>
      </c>
      <c r="C88" t="s">
        <v>53</v>
      </c>
      <c r="D88" t="s">
        <v>483</v>
      </c>
      <c r="E88" t="s">
        <v>484</v>
      </c>
      <c r="F88" t="s">
        <v>10</v>
      </c>
      <c r="G88" t="s">
        <v>483</v>
      </c>
      <c r="H88" t="s">
        <v>485</v>
      </c>
      <c r="I88" t="s">
        <v>32</v>
      </c>
      <c r="J88">
        <v>0</v>
      </c>
      <c r="K88">
        <v>39</v>
      </c>
      <c r="L88" s="4">
        <v>3.5000000000000001E-3</v>
      </c>
      <c r="M88">
        <v>0.02</v>
      </c>
      <c r="N88" s="4">
        <v>0.13650000000000001</v>
      </c>
      <c r="O88" s="4">
        <v>0.78</v>
      </c>
    </row>
    <row r="89" spans="2:15">
      <c r="B89" t="s">
        <v>52</v>
      </c>
      <c r="C89" t="s">
        <v>53</v>
      </c>
      <c r="D89" t="s">
        <v>486</v>
      </c>
      <c r="E89" t="s">
        <v>487</v>
      </c>
      <c r="F89" t="s">
        <v>10</v>
      </c>
      <c r="G89" t="s">
        <v>486</v>
      </c>
      <c r="H89" t="s">
        <v>488</v>
      </c>
      <c r="I89" t="s">
        <v>32</v>
      </c>
      <c r="J89">
        <v>0</v>
      </c>
      <c r="K89">
        <v>54</v>
      </c>
      <c r="L89" s="4">
        <v>3.5000000000000001E-3</v>
      </c>
      <c r="M89">
        <v>0.02</v>
      </c>
      <c r="N89" s="4">
        <v>0.189</v>
      </c>
      <c r="O89" s="4">
        <v>1.08</v>
      </c>
    </row>
    <row r="90" spans="2:15">
      <c r="B90" t="s">
        <v>52</v>
      </c>
      <c r="C90" t="s">
        <v>53</v>
      </c>
      <c r="D90" t="s">
        <v>489</v>
      </c>
      <c r="E90" t="s">
        <v>490</v>
      </c>
      <c r="F90" t="s">
        <v>10</v>
      </c>
      <c r="G90" t="s">
        <v>489</v>
      </c>
      <c r="H90" t="s">
        <v>491</v>
      </c>
      <c r="I90" t="s">
        <v>32</v>
      </c>
      <c r="J90">
        <v>0</v>
      </c>
      <c r="K90">
        <v>300</v>
      </c>
      <c r="L90" s="4">
        <v>3.5000000000000001E-3</v>
      </c>
      <c r="M90">
        <v>0.02</v>
      </c>
      <c r="N90" s="4">
        <v>1.05</v>
      </c>
      <c r="O90" s="4">
        <v>6</v>
      </c>
    </row>
    <row r="91" spans="2:15">
      <c r="B91" t="s">
        <v>52</v>
      </c>
      <c r="C91" t="s">
        <v>53</v>
      </c>
      <c r="D91" t="s">
        <v>492</v>
      </c>
      <c r="E91" t="s">
        <v>493</v>
      </c>
      <c r="F91" t="s">
        <v>10</v>
      </c>
      <c r="G91" t="s">
        <v>492</v>
      </c>
      <c r="H91" t="s">
        <v>494</v>
      </c>
      <c r="I91" t="s">
        <v>32</v>
      </c>
      <c r="J91">
        <v>0</v>
      </c>
      <c r="K91">
        <v>8</v>
      </c>
      <c r="L91" s="4">
        <v>3.5000000000000001E-3</v>
      </c>
      <c r="M91">
        <v>0.02</v>
      </c>
      <c r="N91" s="4">
        <v>2.8000000000000001E-2</v>
      </c>
      <c r="O91" s="4">
        <v>0.16</v>
      </c>
    </row>
    <row r="92" spans="2:15">
      <c r="B92" t="s">
        <v>52</v>
      </c>
      <c r="C92" t="s">
        <v>53</v>
      </c>
      <c r="D92" t="s">
        <v>495</v>
      </c>
      <c r="E92" t="s">
        <v>496</v>
      </c>
      <c r="F92" t="s">
        <v>10</v>
      </c>
      <c r="G92" t="s">
        <v>495</v>
      </c>
      <c r="H92" t="s">
        <v>497</v>
      </c>
      <c r="I92" t="s">
        <v>32</v>
      </c>
      <c r="J92">
        <v>0</v>
      </c>
      <c r="K92">
        <v>7611</v>
      </c>
      <c r="L92" s="4">
        <v>3.5000000000000001E-3</v>
      </c>
      <c r="M92">
        <v>0.02</v>
      </c>
      <c r="N92" s="4">
        <v>26.638500000000001</v>
      </c>
      <c r="O92" s="4">
        <v>152.22</v>
      </c>
    </row>
    <row r="93" spans="2:15">
      <c r="B93" t="s">
        <v>52</v>
      </c>
      <c r="C93" t="s">
        <v>53</v>
      </c>
      <c r="D93" t="s">
        <v>498</v>
      </c>
      <c r="E93" t="s">
        <v>499</v>
      </c>
      <c r="F93" t="s">
        <v>10</v>
      </c>
      <c r="G93" t="s">
        <v>498</v>
      </c>
      <c r="H93" t="s">
        <v>500</v>
      </c>
      <c r="I93" t="s">
        <v>32</v>
      </c>
      <c r="J93">
        <v>0</v>
      </c>
      <c r="K93">
        <v>2631</v>
      </c>
      <c r="L93" s="4">
        <v>3.5000000000000001E-3</v>
      </c>
      <c r="M93">
        <v>0.02</v>
      </c>
      <c r="N93" s="4">
        <v>9.2085000000000008</v>
      </c>
      <c r="O93" s="4">
        <v>52.620000000000005</v>
      </c>
    </row>
    <row r="94" spans="2:15">
      <c r="B94" t="s">
        <v>52</v>
      </c>
      <c r="C94" t="s">
        <v>53</v>
      </c>
      <c r="D94" t="s">
        <v>802</v>
      </c>
      <c r="E94" t="s">
        <v>803</v>
      </c>
      <c r="F94" t="s">
        <v>10</v>
      </c>
      <c r="G94" t="s">
        <v>802</v>
      </c>
      <c r="H94" t="s">
        <v>804</v>
      </c>
      <c r="I94" t="s">
        <v>32</v>
      </c>
      <c r="J94">
        <v>0</v>
      </c>
      <c r="K94">
        <v>17</v>
      </c>
      <c r="L94" s="4">
        <v>3.5000000000000001E-3</v>
      </c>
      <c r="M94">
        <v>0.02</v>
      </c>
      <c r="N94" s="4">
        <v>5.9500000000000004E-2</v>
      </c>
      <c r="O94" s="4">
        <v>0.34</v>
      </c>
    </row>
    <row r="95" spans="2:15">
      <c r="B95" t="s">
        <v>52</v>
      </c>
      <c r="C95" t="s">
        <v>53</v>
      </c>
      <c r="D95" t="s">
        <v>501</v>
      </c>
      <c r="E95" t="s">
        <v>502</v>
      </c>
      <c r="F95" t="s">
        <v>10</v>
      </c>
      <c r="G95" t="s">
        <v>501</v>
      </c>
      <c r="H95" t="s">
        <v>503</v>
      </c>
      <c r="I95" t="s">
        <v>32</v>
      </c>
      <c r="J95">
        <v>0</v>
      </c>
      <c r="K95">
        <v>47</v>
      </c>
      <c r="L95" s="4">
        <v>3.5000000000000001E-3</v>
      </c>
      <c r="M95">
        <v>0.02</v>
      </c>
      <c r="N95" s="4">
        <v>0.16450000000000001</v>
      </c>
      <c r="O95" s="4">
        <v>0.94000000000000006</v>
      </c>
    </row>
    <row r="96" spans="2:15">
      <c r="B96" t="s">
        <v>52</v>
      </c>
      <c r="C96" t="s">
        <v>53</v>
      </c>
      <c r="D96" t="s">
        <v>504</v>
      </c>
      <c r="E96" t="s">
        <v>505</v>
      </c>
      <c r="F96" t="s">
        <v>10</v>
      </c>
      <c r="G96" t="s">
        <v>504</v>
      </c>
      <c r="H96" t="s">
        <v>506</v>
      </c>
      <c r="I96" t="s">
        <v>32</v>
      </c>
      <c r="J96">
        <v>0</v>
      </c>
      <c r="K96">
        <v>72</v>
      </c>
      <c r="L96" s="4">
        <v>3.5000000000000001E-3</v>
      </c>
      <c r="M96">
        <v>0.02</v>
      </c>
      <c r="N96" s="4">
        <v>0.252</v>
      </c>
      <c r="O96" s="4">
        <v>1.44</v>
      </c>
    </row>
    <row r="97" spans="2:15">
      <c r="B97" t="s">
        <v>52</v>
      </c>
      <c r="C97" t="s">
        <v>53</v>
      </c>
      <c r="D97" t="s">
        <v>507</v>
      </c>
      <c r="E97" t="s">
        <v>508</v>
      </c>
      <c r="F97" t="s">
        <v>10</v>
      </c>
      <c r="G97" t="s">
        <v>507</v>
      </c>
      <c r="H97" t="s">
        <v>509</v>
      </c>
      <c r="I97" t="s">
        <v>32</v>
      </c>
      <c r="J97">
        <v>0</v>
      </c>
      <c r="K97">
        <v>62</v>
      </c>
      <c r="L97" s="4">
        <v>3.5000000000000001E-3</v>
      </c>
      <c r="M97">
        <v>0.02</v>
      </c>
      <c r="N97" s="4">
        <v>0.217</v>
      </c>
      <c r="O97" s="4">
        <v>1.24</v>
      </c>
    </row>
    <row r="98" spans="2:15">
      <c r="B98" t="s">
        <v>52</v>
      </c>
      <c r="C98" t="s">
        <v>53</v>
      </c>
      <c r="D98" t="s">
        <v>510</v>
      </c>
      <c r="E98" t="s">
        <v>511</v>
      </c>
      <c r="F98" t="s">
        <v>10</v>
      </c>
      <c r="G98" t="s">
        <v>510</v>
      </c>
      <c r="H98" t="s">
        <v>512</v>
      </c>
      <c r="I98" t="s">
        <v>32</v>
      </c>
      <c r="J98">
        <v>0</v>
      </c>
      <c r="K98">
        <v>15</v>
      </c>
      <c r="L98" s="4">
        <v>3.5000000000000001E-3</v>
      </c>
      <c r="M98">
        <v>0.02</v>
      </c>
      <c r="N98" s="4">
        <v>5.2499999999999998E-2</v>
      </c>
      <c r="O98" s="4">
        <v>0.3</v>
      </c>
    </row>
    <row r="99" spans="2:15">
      <c r="B99" t="s">
        <v>52</v>
      </c>
      <c r="C99" t="s">
        <v>53</v>
      </c>
      <c r="D99" t="s">
        <v>805</v>
      </c>
      <c r="E99" t="s">
        <v>806</v>
      </c>
      <c r="F99" t="s">
        <v>10</v>
      </c>
      <c r="G99" t="s">
        <v>805</v>
      </c>
      <c r="H99" t="s">
        <v>807</v>
      </c>
      <c r="I99" t="s">
        <v>32</v>
      </c>
      <c r="J99">
        <v>0</v>
      </c>
      <c r="K99">
        <v>14</v>
      </c>
      <c r="L99" s="4">
        <v>3.5000000000000001E-3</v>
      </c>
      <c r="M99">
        <v>0.02</v>
      </c>
      <c r="N99" s="4">
        <v>4.9000000000000002E-2</v>
      </c>
      <c r="O99" s="4">
        <v>0.28000000000000003</v>
      </c>
    </row>
    <row r="100" spans="2:15">
      <c r="B100" t="s">
        <v>52</v>
      </c>
      <c r="C100" t="s">
        <v>53</v>
      </c>
      <c r="D100" t="s">
        <v>54</v>
      </c>
      <c r="E100" t="s">
        <v>55</v>
      </c>
      <c r="F100" t="s">
        <v>10</v>
      </c>
      <c r="G100" t="s">
        <v>54</v>
      </c>
      <c r="H100" t="s">
        <v>56</v>
      </c>
      <c r="I100" t="s">
        <v>32</v>
      </c>
      <c r="J100">
        <v>0</v>
      </c>
      <c r="K100">
        <v>6</v>
      </c>
      <c r="L100" s="4">
        <v>3.5000000000000001E-3</v>
      </c>
      <c r="M100">
        <v>0.02</v>
      </c>
      <c r="N100" s="4">
        <v>2.1000000000000001E-2</v>
      </c>
      <c r="O100" s="4">
        <v>0.12</v>
      </c>
    </row>
    <row r="101" spans="2:15">
      <c r="B101" t="s">
        <v>52</v>
      </c>
      <c r="C101" t="s">
        <v>53</v>
      </c>
      <c r="D101" t="s">
        <v>808</v>
      </c>
      <c r="E101" t="s">
        <v>809</v>
      </c>
      <c r="F101" t="s">
        <v>10</v>
      </c>
      <c r="G101" t="s">
        <v>808</v>
      </c>
      <c r="H101" t="s">
        <v>810</v>
      </c>
      <c r="I101" t="s">
        <v>32</v>
      </c>
      <c r="J101">
        <v>0</v>
      </c>
      <c r="K101">
        <v>4</v>
      </c>
      <c r="L101" s="4">
        <v>3.5000000000000001E-3</v>
      </c>
      <c r="M101">
        <v>0.02</v>
      </c>
      <c r="N101" s="4">
        <v>1.4E-2</v>
      </c>
      <c r="O101" s="4">
        <v>0.08</v>
      </c>
    </row>
    <row r="102" spans="2:15">
      <c r="B102" t="s">
        <v>52</v>
      </c>
      <c r="C102" t="s">
        <v>53</v>
      </c>
      <c r="D102" t="s">
        <v>241</v>
      </c>
      <c r="E102" t="s">
        <v>242</v>
      </c>
      <c r="F102" t="s">
        <v>10</v>
      </c>
      <c r="G102" t="s">
        <v>241</v>
      </c>
      <c r="H102" t="s">
        <v>243</v>
      </c>
      <c r="I102" t="s">
        <v>32</v>
      </c>
      <c r="J102">
        <v>0</v>
      </c>
      <c r="K102">
        <v>349</v>
      </c>
      <c r="L102" s="4">
        <v>3.5000000000000001E-3</v>
      </c>
      <c r="M102">
        <v>0.02</v>
      </c>
      <c r="N102" s="4">
        <v>1.2215</v>
      </c>
      <c r="O102" s="4">
        <v>6.98</v>
      </c>
    </row>
    <row r="103" spans="2:15">
      <c r="B103" t="s">
        <v>52</v>
      </c>
      <c r="C103" t="s">
        <v>53</v>
      </c>
      <c r="D103" t="s">
        <v>244</v>
      </c>
      <c r="E103" t="s">
        <v>245</v>
      </c>
      <c r="F103" t="s">
        <v>10</v>
      </c>
      <c r="G103" t="s">
        <v>244</v>
      </c>
      <c r="H103" t="s">
        <v>246</v>
      </c>
      <c r="I103" t="s">
        <v>32</v>
      </c>
      <c r="J103">
        <v>0</v>
      </c>
      <c r="K103">
        <v>940</v>
      </c>
      <c r="L103" s="4">
        <v>3.5000000000000001E-3</v>
      </c>
      <c r="M103">
        <v>0.02</v>
      </c>
      <c r="N103" s="4">
        <v>3.29</v>
      </c>
      <c r="O103" s="4">
        <v>18.8</v>
      </c>
    </row>
    <row r="104" spans="2:15">
      <c r="B104" t="s">
        <v>52</v>
      </c>
      <c r="C104" t="s">
        <v>53</v>
      </c>
      <c r="D104" t="s">
        <v>247</v>
      </c>
      <c r="E104" t="s">
        <v>248</v>
      </c>
      <c r="F104" t="s">
        <v>10</v>
      </c>
      <c r="G104" t="s">
        <v>247</v>
      </c>
      <c r="H104" t="s">
        <v>249</v>
      </c>
      <c r="I104" t="s">
        <v>32</v>
      </c>
      <c r="J104">
        <v>0</v>
      </c>
      <c r="K104">
        <v>55</v>
      </c>
      <c r="L104" s="4">
        <v>3.5000000000000001E-3</v>
      </c>
      <c r="M104">
        <v>0.02</v>
      </c>
      <c r="N104" s="4">
        <v>0.1925</v>
      </c>
      <c r="O104" s="4">
        <v>1.1000000000000001</v>
      </c>
    </row>
    <row r="105" spans="2:15">
      <c r="B105" t="s">
        <v>52</v>
      </c>
      <c r="C105" t="s">
        <v>53</v>
      </c>
      <c r="D105" t="s">
        <v>383</v>
      </c>
      <c r="E105" t="s">
        <v>384</v>
      </c>
      <c r="F105" t="s">
        <v>10</v>
      </c>
      <c r="G105" t="s">
        <v>383</v>
      </c>
      <c r="H105" t="s">
        <v>385</v>
      </c>
      <c r="I105" t="s">
        <v>32</v>
      </c>
      <c r="J105">
        <v>0</v>
      </c>
      <c r="K105">
        <v>4</v>
      </c>
      <c r="L105" s="4">
        <v>3.5000000000000001E-3</v>
      </c>
      <c r="M105">
        <v>0.02</v>
      </c>
      <c r="N105" s="4">
        <v>1.4E-2</v>
      </c>
      <c r="O105" s="4">
        <v>0.08</v>
      </c>
    </row>
    <row r="106" spans="2:15">
      <c r="B106" t="s">
        <v>52</v>
      </c>
      <c r="C106" t="s">
        <v>53</v>
      </c>
      <c r="D106" t="s">
        <v>111</v>
      </c>
      <c r="E106" t="s">
        <v>112</v>
      </c>
      <c r="F106" t="s">
        <v>10</v>
      </c>
      <c r="G106" t="s">
        <v>111</v>
      </c>
      <c r="H106" t="s">
        <v>113</v>
      </c>
      <c r="I106" t="s">
        <v>32</v>
      </c>
      <c r="J106">
        <v>0</v>
      </c>
      <c r="K106">
        <v>12</v>
      </c>
      <c r="L106" s="4">
        <v>3.5000000000000001E-3</v>
      </c>
      <c r="M106">
        <v>0.02</v>
      </c>
      <c r="N106" s="4">
        <v>4.2000000000000003E-2</v>
      </c>
      <c r="O106" s="4">
        <v>0.24</v>
      </c>
    </row>
    <row r="107" spans="2:15">
      <c r="B107" t="s">
        <v>52</v>
      </c>
      <c r="C107" t="s">
        <v>53</v>
      </c>
      <c r="D107" t="s">
        <v>811</v>
      </c>
      <c r="E107" t="s">
        <v>812</v>
      </c>
      <c r="F107" t="s">
        <v>10</v>
      </c>
      <c r="G107" t="s">
        <v>811</v>
      </c>
      <c r="H107" t="s">
        <v>813</v>
      </c>
      <c r="I107" t="s">
        <v>32</v>
      </c>
      <c r="J107">
        <v>0</v>
      </c>
      <c r="K107">
        <v>1</v>
      </c>
      <c r="L107" s="4">
        <v>3.5000000000000001E-3</v>
      </c>
      <c r="M107">
        <v>0.02</v>
      </c>
      <c r="N107" s="4">
        <v>3.5000000000000001E-3</v>
      </c>
      <c r="O107" s="4">
        <v>0.02</v>
      </c>
    </row>
    <row r="108" spans="2:15">
      <c r="B108" t="s">
        <v>52</v>
      </c>
      <c r="C108" t="s">
        <v>53</v>
      </c>
      <c r="D108" t="s">
        <v>149</v>
      </c>
      <c r="E108" t="s">
        <v>150</v>
      </c>
      <c r="F108" t="s">
        <v>10</v>
      </c>
      <c r="G108" t="s">
        <v>149</v>
      </c>
      <c r="H108" t="s">
        <v>151</v>
      </c>
      <c r="I108" t="s">
        <v>32</v>
      </c>
      <c r="J108">
        <v>0</v>
      </c>
      <c r="K108">
        <v>1300</v>
      </c>
      <c r="L108" s="4">
        <v>3.5000000000000001E-3</v>
      </c>
      <c r="M108">
        <v>0.02</v>
      </c>
      <c r="N108" s="4">
        <v>4.55</v>
      </c>
      <c r="O108" s="4">
        <v>26</v>
      </c>
    </row>
    <row r="109" spans="2:15">
      <c r="B109" t="s">
        <v>52</v>
      </c>
      <c r="C109" t="s">
        <v>53</v>
      </c>
      <c r="D109" t="s">
        <v>513</v>
      </c>
      <c r="E109" t="s">
        <v>514</v>
      </c>
      <c r="F109" t="s">
        <v>10</v>
      </c>
      <c r="G109" t="s">
        <v>513</v>
      </c>
      <c r="H109" t="s">
        <v>515</v>
      </c>
      <c r="I109" t="s">
        <v>32</v>
      </c>
      <c r="J109">
        <v>0</v>
      </c>
      <c r="K109">
        <v>50</v>
      </c>
      <c r="L109" s="4">
        <v>3.5000000000000001E-3</v>
      </c>
      <c r="M109">
        <v>0.02</v>
      </c>
      <c r="N109" s="4">
        <v>0.17500000000000002</v>
      </c>
      <c r="O109" s="4">
        <v>1</v>
      </c>
    </row>
    <row r="110" spans="2:15">
      <c r="B110" t="s">
        <v>52</v>
      </c>
      <c r="C110" t="s">
        <v>53</v>
      </c>
      <c r="D110" t="s">
        <v>250</v>
      </c>
      <c r="E110" t="s">
        <v>251</v>
      </c>
      <c r="F110" t="s">
        <v>10</v>
      </c>
      <c r="G110" t="s">
        <v>250</v>
      </c>
      <c r="H110" t="s">
        <v>252</v>
      </c>
      <c r="I110" t="s">
        <v>32</v>
      </c>
      <c r="J110">
        <v>0</v>
      </c>
      <c r="K110">
        <v>56</v>
      </c>
      <c r="L110" s="4">
        <v>3.5000000000000001E-3</v>
      </c>
      <c r="M110">
        <v>0.02</v>
      </c>
      <c r="N110" s="4">
        <v>0.19600000000000001</v>
      </c>
      <c r="O110" s="4">
        <v>1.1200000000000001</v>
      </c>
    </row>
    <row r="111" spans="2:15">
      <c r="B111" t="s">
        <v>52</v>
      </c>
      <c r="C111" t="s">
        <v>53</v>
      </c>
      <c r="D111" t="s">
        <v>253</v>
      </c>
      <c r="E111" t="s">
        <v>254</v>
      </c>
      <c r="F111" t="s">
        <v>10</v>
      </c>
      <c r="G111" t="s">
        <v>253</v>
      </c>
      <c r="H111" t="s">
        <v>255</v>
      </c>
      <c r="I111" t="s">
        <v>32</v>
      </c>
      <c r="J111">
        <v>0</v>
      </c>
      <c r="K111">
        <v>6</v>
      </c>
      <c r="L111" s="4">
        <v>3.5000000000000001E-3</v>
      </c>
      <c r="M111">
        <v>0.02</v>
      </c>
      <c r="N111" s="4">
        <v>2.1000000000000001E-2</v>
      </c>
      <c r="O111" s="4">
        <v>0.12</v>
      </c>
    </row>
    <row r="112" spans="2:15">
      <c r="B112" t="s">
        <v>52</v>
      </c>
      <c r="C112" t="s">
        <v>53</v>
      </c>
      <c r="D112" t="s">
        <v>814</v>
      </c>
      <c r="E112" t="s">
        <v>815</v>
      </c>
      <c r="F112" t="s">
        <v>10</v>
      </c>
      <c r="G112" t="s">
        <v>814</v>
      </c>
      <c r="H112" t="s">
        <v>816</v>
      </c>
      <c r="I112" t="s">
        <v>32</v>
      </c>
      <c r="J112">
        <v>0</v>
      </c>
      <c r="K112">
        <v>2</v>
      </c>
      <c r="L112" s="4">
        <v>3.5000000000000001E-3</v>
      </c>
      <c r="M112">
        <v>0.02</v>
      </c>
      <c r="N112" s="4">
        <v>7.0000000000000001E-3</v>
      </c>
      <c r="O112" s="4">
        <v>0.04</v>
      </c>
    </row>
    <row r="113" spans="2:15">
      <c r="B113" t="s">
        <v>52</v>
      </c>
      <c r="C113" t="s">
        <v>53</v>
      </c>
      <c r="D113" t="s">
        <v>386</v>
      </c>
      <c r="E113" t="s">
        <v>387</v>
      </c>
      <c r="F113" t="s">
        <v>10</v>
      </c>
      <c r="G113" t="s">
        <v>386</v>
      </c>
      <c r="H113" t="s">
        <v>388</v>
      </c>
      <c r="I113" t="s">
        <v>32</v>
      </c>
      <c r="J113">
        <v>0</v>
      </c>
      <c r="K113">
        <v>100</v>
      </c>
      <c r="L113" s="4">
        <v>3.5000000000000001E-3</v>
      </c>
      <c r="M113">
        <v>0.02</v>
      </c>
      <c r="N113" s="4">
        <v>0.35000000000000003</v>
      </c>
      <c r="O113" s="4">
        <v>2</v>
      </c>
    </row>
    <row r="114" spans="2:15">
      <c r="B114" t="s">
        <v>52</v>
      </c>
      <c r="C114" t="s">
        <v>53</v>
      </c>
      <c r="D114" t="s">
        <v>516</v>
      </c>
      <c r="E114" t="s">
        <v>517</v>
      </c>
      <c r="F114" t="s">
        <v>10</v>
      </c>
      <c r="G114" t="s">
        <v>516</v>
      </c>
      <c r="H114" t="s">
        <v>518</v>
      </c>
      <c r="I114" t="s">
        <v>32</v>
      </c>
      <c r="J114">
        <v>0</v>
      </c>
      <c r="K114">
        <v>30653</v>
      </c>
      <c r="L114" s="4">
        <v>3.5000000000000001E-3</v>
      </c>
      <c r="M114">
        <v>0.02</v>
      </c>
      <c r="N114" s="4">
        <v>107.2855</v>
      </c>
      <c r="O114" s="4">
        <v>613.06000000000006</v>
      </c>
    </row>
    <row r="115" spans="2:15">
      <c r="B115" t="s">
        <v>52</v>
      </c>
      <c r="C115" t="s">
        <v>53</v>
      </c>
      <c r="D115" t="s">
        <v>519</v>
      </c>
      <c r="E115" t="s">
        <v>520</v>
      </c>
      <c r="F115" t="s">
        <v>10</v>
      </c>
      <c r="G115" t="s">
        <v>519</v>
      </c>
      <c r="H115" t="s">
        <v>521</v>
      </c>
      <c r="I115" t="s">
        <v>32</v>
      </c>
      <c r="J115">
        <v>0</v>
      </c>
      <c r="K115">
        <v>3925</v>
      </c>
      <c r="L115" s="4">
        <v>3.5000000000000001E-3</v>
      </c>
      <c r="M115">
        <v>0.02</v>
      </c>
      <c r="N115" s="4">
        <v>13.737500000000001</v>
      </c>
      <c r="O115" s="4">
        <v>78.5</v>
      </c>
    </row>
    <row r="116" spans="2:15">
      <c r="B116" t="s">
        <v>52</v>
      </c>
      <c r="C116" t="s">
        <v>53</v>
      </c>
      <c r="D116" t="s">
        <v>522</v>
      </c>
      <c r="E116" t="s">
        <v>523</v>
      </c>
      <c r="F116" t="s">
        <v>10</v>
      </c>
      <c r="G116" t="s">
        <v>522</v>
      </c>
      <c r="H116" t="s">
        <v>524</v>
      </c>
      <c r="I116" t="s">
        <v>32</v>
      </c>
      <c r="J116">
        <v>0</v>
      </c>
      <c r="K116">
        <v>2269</v>
      </c>
      <c r="L116" s="4">
        <v>3.5000000000000001E-3</v>
      </c>
      <c r="M116">
        <v>0.02</v>
      </c>
      <c r="N116" s="4">
        <v>7.9415000000000004</v>
      </c>
      <c r="O116" s="4">
        <v>45.38</v>
      </c>
    </row>
    <row r="117" spans="2:15">
      <c r="B117" t="s">
        <v>52</v>
      </c>
      <c r="C117" t="s">
        <v>53</v>
      </c>
      <c r="D117" t="s">
        <v>152</v>
      </c>
      <c r="E117" t="s">
        <v>153</v>
      </c>
      <c r="F117" t="s">
        <v>10</v>
      </c>
      <c r="G117" t="s">
        <v>152</v>
      </c>
      <c r="H117" t="s">
        <v>154</v>
      </c>
      <c r="I117" t="s">
        <v>32</v>
      </c>
      <c r="J117">
        <v>0</v>
      </c>
      <c r="K117">
        <v>112</v>
      </c>
      <c r="L117" s="4">
        <v>3.5000000000000001E-3</v>
      </c>
      <c r="M117">
        <v>0.02</v>
      </c>
      <c r="N117" s="4">
        <v>0.39200000000000002</v>
      </c>
      <c r="O117" s="4">
        <v>2.2400000000000002</v>
      </c>
    </row>
    <row r="118" spans="2:15">
      <c r="B118" t="s">
        <v>52</v>
      </c>
      <c r="C118" t="s">
        <v>53</v>
      </c>
      <c r="D118" t="s">
        <v>155</v>
      </c>
      <c r="E118" t="s">
        <v>156</v>
      </c>
      <c r="F118" t="s">
        <v>10</v>
      </c>
      <c r="G118" t="s">
        <v>155</v>
      </c>
      <c r="H118" t="s">
        <v>157</v>
      </c>
      <c r="I118" t="s">
        <v>32</v>
      </c>
      <c r="J118">
        <v>0</v>
      </c>
      <c r="K118">
        <v>221</v>
      </c>
      <c r="L118" s="4">
        <v>3.5000000000000001E-3</v>
      </c>
      <c r="M118">
        <v>0.02</v>
      </c>
      <c r="N118" s="4">
        <v>0.77349999999999997</v>
      </c>
      <c r="O118" s="4">
        <v>4.42</v>
      </c>
    </row>
    <row r="119" spans="2:15">
      <c r="B119" t="s">
        <v>52</v>
      </c>
      <c r="C119" t="s">
        <v>53</v>
      </c>
      <c r="D119" t="s">
        <v>525</v>
      </c>
      <c r="E119" t="s">
        <v>526</v>
      </c>
      <c r="F119" t="s">
        <v>10</v>
      </c>
      <c r="G119" t="s">
        <v>525</v>
      </c>
      <c r="H119" t="s">
        <v>527</v>
      </c>
      <c r="I119" t="s">
        <v>32</v>
      </c>
      <c r="J119">
        <v>0</v>
      </c>
      <c r="K119">
        <v>145</v>
      </c>
      <c r="L119" s="4">
        <v>3.5000000000000001E-3</v>
      </c>
      <c r="M119">
        <v>0.02</v>
      </c>
      <c r="N119" s="4">
        <v>0.50750000000000006</v>
      </c>
      <c r="O119" s="4">
        <v>2.9</v>
      </c>
    </row>
    <row r="120" spans="2:15">
      <c r="B120" t="s">
        <v>52</v>
      </c>
      <c r="C120" t="s">
        <v>53</v>
      </c>
      <c r="D120" t="s">
        <v>528</v>
      </c>
      <c r="E120" t="s">
        <v>529</v>
      </c>
      <c r="F120" t="s">
        <v>10</v>
      </c>
      <c r="G120" t="s">
        <v>528</v>
      </c>
      <c r="H120" t="s">
        <v>530</v>
      </c>
      <c r="I120" t="s">
        <v>32</v>
      </c>
      <c r="J120">
        <v>0</v>
      </c>
      <c r="K120">
        <v>9</v>
      </c>
      <c r="L120" s="4">
        <v>3.5000000000000001E-3</v>
      </c>
      <c r="M120">
        <v>0.02</v>
      </c>
      <c r="N120" s="4">
        <v>3.15E-2</v>
      </c>
      <c r="O120" s="4">
        <v>0.18</v>
      </c>
    </row>
    <row r="121" spans="2:15">
      <c r="B121" t="s">
        <v>52</v>
      </c>
      <c r="C121" t="s">
        <v>53</v>
      </c>
      <c r="D121" t="s">
        <v>158</v>
      </c>
      <c r="E121" t="s">
        <v>159</v>
      </c>
      <c r="F121" t="s">
        <v>10</v>
      </c>
      <c r="G121" t="s">
        <v>158</v>
      </c>
      <c r="H121" t="s">
        <v>160</v>
      </c>
      <c r="I121" t="s">
        <v>32</v>
      </c>
      <c r="J121">
        <v>0</v>
      </c>
      <c r="K121">
        <v>13</v>
      </c>
      <c r="L121" s="4">
        <v>3.5000000000000001E-3</v>
      </c>
      <c r="M121">
        <v>0.02</v>
      </c>
      <c r="N121" s="4">
        <v>4.5499999999999999E-2</v>
      </c>
      <c r="O121" s="4">
        <v>0.26</v>
      </c>
    </row>
    <row r="122" spans="2:15">
      <c r="B122" t="s">
        <v>52</v>
      </c>
      <c r="C122" t="s">
        <v>53</v>
      </c>
      <c r="D122" t="s">
        <v>161</v>
      </c>
      <c r="E122" t="s">
        <v>162</v>
      </c>
      <c r="F122" t="s">
        <v>10</v>
      </c>
      <c r="G122" t="s">
        <v>161</v>
      </c>
      <c r="H122" t="s">
        <v>163</v>
      </c>
      <c r="I122" t="s">
        <v>32</v>
      </c>
      <c r="J122">
        <v>0</v>
      </c>
      <c r="K122">
        <v>35</v>
      </c>
      <c r="L122" s="4">
        <v>3.5000000000000001E-3</v>
      </c>
      <c r="M122">
        <v>0.02</v>
      </c>
      <c r="N122" s="4">
        <v>0.1225</v>
      </c>
      <c r="O122" s="4">
        <v>0.70000000000000007</v>
      </c>
    </row>
    <row r="123" spans="2:15">
      <c r="B123" t="s">
        <v>57</v>
      </c>
      <c r="C123" t="s">
        <v>389</v>
      </c>
      <c r="D123" t="s">
        <v>531</v>
      </c>
      <c r="E123" t="s">
        <v>532</v>
      </c>
      <c r="F123" t="s">
        <v>12</v>
      </c>
      <c r="G123" t="s">
        <v>531</v>
      </c>
      <c r="H123" t="s">
        <v>533</v>
      </c>
      <c r="I123" t="s">
        <v>31</v>
      </c>
      <c r="J123">
        <v>15889</v>
      </c>
      <c r="K123">
        <v>10</v>
      </c>
      <c r="L123" s="4">
        <v>3.8199999999999998E-2</v>
      </c>
      <c r="M123">
        <v>0.09</v>
      </c>
      <c r="N123" s="4">
        <v>0.60695979999999994</v>
      </c>
      <c r="O123" s="4">
        <v>1.43001</v>
      </c>
    </row>
    <row r="124" spans="2:15">
      <c r="B124" t="s">
        <v>57</v>
      </c>
      <c r="C124" t="s">
        <v>389</v>
      </c>
      <c r="D124" t="s">
        <v>534</v>
      </c>
      <c r="E124" t="s">
        <v>535</v>
      </c>
      <c r="F124" t="s">
        <v>12</v>
      </c>
      <c r="G124" t="s">
        <v>534</v>
      </c>
      <c r="H124" t="s">
        <v>536</v>
      </c>
      <c r="I124" t="s">
        <v>31</v>
      </c>
      <c r="J124">
        <v>13598</v>
      </c>
      <c r="K124">
        <v>24</v>
      </c>
      <c r="L124" s="4">
        <v>3.8199999999999998E-2</v>
      </c>
      <c r="M124">
        <v>0.09</v>
      </c>
      <c r="N124" s="4">
        <v>0.51944359999999989</v>
      </c>
      <c r="O124" s="4">
        <v>1.2238199999999999</v>
      </c>
    </row>
    <row r="125" spans="2:15">
      <c r="B125" t="s">
        <v>57</v>
      </c>
      <c r="C125" t="s">
        <v>389</v>
      </c>
      <c r="D125" t="s">
        <v>537</v>
      </c>
      <c r="E125" t="s">
        <v>538</v>
      </c>
      <c r="F125" t="s">
        <v>12</v>
      </c>
      <c r="G125" t="s">
        <v>537</v>
      </c>
      <c r="H125" t="s">
        <v>539</v>
      </c>
      <c r="I125" t="s">
        <v>31</v>
      </c>
      <c r="J125">
        <v>15632</v>
      </c>
      <c r="K125">
        <v>14</v>
      </c>
      <c r="L125" s="4">
        <v>3.8199999999999998E-2</v>
      </c>
      <c r="M125">
        <v>0.09</v>
      </c>
      <c r="N125" s="4">
        <v>0.59714239999999996</v>
      </c>
      <c r="O125" s="4">
        <v>1.4068799999999999</v>
      </c>
    </row>
    <row r="126" spans="2:15">
      <c r="B126" t="s">
        <v>57</v>
      </c>
      <c r="C126" t="s">
        <v>389</v>
      </c>
      <c r="D126" t="s">
        <v>540</v>
      </c>
      <c r="E126" t="s">
        <v>541</v>
      </c>
      <c r="F126" t="s">
        <v>12</v>
      </c>
      <c r="G126" t="s">
        <v>540</v>
      </c>
      <c r="H126" t="s">
        <v>542</v>
      </c>
      <c r="I126" t="s">
        <v>31</v>
      </c>
      <c r="J126">
        <v>88511</v>
      </c>
      <c r="K126">
        <v>53</v>
      </c>
      <c r="L126" s="4">
        <v>3.8199999999999998E-2</v>
      </c>
      <c r="M126">
        <v>0.09</v>
      </c>
      <c r="N126" s="4">
        <v>3.3811201999999998</v>
      </c>
      <c r="O126" s="4">
        <v>7.9659899999999997</v>
      </c>
    </row>
    <row r="127" spans="2:15">
      <c r="B127" t="s">
        <v>57</v>
      </c>
      <c r="C127" t="s">
        <v>389</v>
      </c>
      <c r="D127" t="s">
        <v>543</v>
      </c>
      <c r="E127" t="s">
        <v>544</v>
      </c>
      <c r="F127" t="s">
        <v>12</v>
      </c>
      <c r="G127" t="s">
        <v>543</v>
      </c>
      <c r="H127" t="s">
        <v>545</v>
      </c>
      <c r="I127" t="s">
        <v>31</v>
      </c>
      <c r="J127">
        <v>96403</v>
      </c>
      <c r="K127">
        <v>321</v>
      </c>
      <c r="L127" s="4">
        <v>3.8199999999999998E-2</v>
      </c>
      <c r="M127">
        <v>0.09</v>
      </c>
      <c r="N127" s="4">
        <v>3.6825945999999998</v>
      </c>
      <c r="O127" s="4">
        <v>8.6762700000000006</v>
      </c>
    </row>
    <row r="128" spans="2:15">
      <c r="B128" t="s">
        <v>57</v>
      </c>
      <c r="C128" t="s">
        <v>389</v>
      </c>
      <c r="D128" t="s">
        <v>546</v>
      </c>
      <c r="E128" t="s">
        <v>547</v>
      </c>
      <c r="F128" t="s">
        <v>12</v>
      </c>
      <c r="G128" t="s">
        <v>546</v>
      </c>
      <c r="H128" t="s">
        <v>548</v>
      </c>
      <c r="I128" t="s">
        <v>31</v>
      </c>
      <c r="J128">
        <v>126325</v>
      </c>
      <c r="K128">
        <v>115</v>
      </c>
      <c r="L128" s="4">
        <v>3.8199999999999998E-2</v>
      </c>
      <c r="M128">
        <v>0.09</v>
      </c>
      <c r="N128" s="4">
        <v>4.825615</v>
      </c>
      <c r="O128" s="4">
        <v>11.369249999999999</v>
      </c>
    </row>
    <row r="129" spans="2:15">
      <c r="B129" t="s">
        <v>57</v>
      </c>
      <c r="C129" t="s">
        <v>389</v>
      </c>
      <c r="D129" t="s">
        <v>549</v>
      </c>
      <c r="E129" t="s">
        <v>550</v>
      </c>
      <c r="F129" t="s">
        <v>12</v>
      </c>
      <c r="G129" t="s">
        <v>549</v>
      </c>
      <c r="H129" t="s">
        <v>551</v>
      </c>
      <c r="I129" t="s">
        <v>31</v>
      </c>
      <c r="J129">
        <v>358611</v>
      </c>
      <c r="K129">
        <v>483</v>
      </c>
      <c r="L129" s="4">
        <v>3.8199999999999998E-2</v>
      </c>
      <c r="M129">
        <v>0.09</v>
      </c>
      <c r="N129" s="4">
        <v>13.698940199999999</v>
      </c>
      <c r="O129" s="4">
        <v>32.274989999999995</v>
      </c>
    </row>
    <row r="130" spans="2:15">
      <c r="B130" t="s">
        <v>57</v>
      </c>
      <c r="C130" t="s">
        <v>389</v>
      </c>
      <c r="D130" t="s">
        <v>552</v>
      </c>
      <c r="E130" t="s">
        <v>553</v>
      </c>
      <c r="F130" t="s">
        <v>12</v>
      </c>
      <c r="G130" t="s">
        <v>552</v>
      </c>
      <c r="H130" t="s">
        <v>554</v>
      </c>
      <c r="I130" t="s">
        <v>31</v>
      </c>
      <c r="J130">
        <v>247896</v>
      </c>
      <c r="K130">
        <v>479</v>
      </c>
      <c r="L130" s="4">
        <v>3.8199999999999998E-2</v>
      </c>
      <c r="M130">
        <v>0.09</v>
      </c>
      <c r="N130" s="4">
        <v>9.4696271999999997</v>
      </c>
      <c r="O130" s="4">
        <v>22.310639999999999</v>
      </c>
    </row>
    <row r="131" spans="2:15">
      <c r="B131" t="s">
        <v>57</v>
      </c>
      <c r="C131" t="s">
        <v>389</v>
      </c>
      <c r="D131" t="s">
        <v>555</v>
      </c>
      <c r="E131" t="s">
        <v>556</v>
      </c>
      <c r="F131" t="s">
        <v>12</v>
      </c>
      <c r="G131" t="s">
        <v>555</v>
      </c>
      <c r="H131" t="s">
        <v>557</v>
      </c>
      <c r="I131" t="s">
        <v>31</v>
      </c>
      <c r="J131">
        <v>306707</v>
      </c>
      <c r="K131">
        <v>503</v>
      </c>
      <c r="L131" s="4">
        <v>3.8199999999999998E-2</v>
      </c>
      <c r="M131">
        <v>0.09</v>
      </c>
      <c r="N131" s="4">
        <v>11.7162074</v>
      </c>
      <c r="O131" s="4">
        <v>27.603629999999999</v>
      </c>
    </row>
    <row r="132" spans="2:15">
      <c r="B132" t="s">
        <v>57</v>
      </c>
      <c r="C132" t="s">
        <v>389</v>
      </c>
      <c r="D132" t="s">
        <v>558</v>
      </c>
      <c r="E132" t="s">
        <v>559</v>
      </c>
      <c r="F132" t="s">
        <v>12</v>
      </c>
      <c r="G132" t="s">
        <v>558</v>
      </c>
      <c r="H132" t="s">
        <v>560</v>
      </c>
      <c r="I132" t="s">
        <v>31</v>
      </c>
      <c r="J132">
        <v>40133</v>
      </c>
      <c r="K132">
        <v>11</v>
      </c>
      <c r="L132" s="4">
        <v>3.8199999999999998E-2</v>
      </c>
      <c r="M132">
        <v>0.09</v>
      </c>
      <c r="N132" s="4">
        <v>1.5330805999999999</v>
      </c>
      <c r="O132" s="4">
        <v>3.6119699999999999</v>
      </c>
    </row>
    <row r="133" spans="2:15">
      <c r="B133" t="s">
        <v>57</v>
      </c>
      <c r="C133" t="s">
        <v>389</v>
      </c>
      <c r="D133" t="s">
        <v>561</v>
      </c>
      <c r="E133" t="s">
        <v>562</v>
      </c>
      <c r="F133" t="s">
        <v>12</v>
      </c>
      <c r="G133" t="s">
        <v>561</v>
      </c>
      <c r="H133" t="s">
        <v>563</v>
      </c>
      <c r="I133" t="s">
        <v>31</v>
      </c>
      <c r="J133">
        <v>29241</v>
      </c>
      <c r="K133">
        <v>24</v>
      </c>
      <c r="L133" s="4">
        <v>3.8199999999999998E-2</v>
      </c>
      <c r="M133">
        <v>0.09</v>
      </c>
      <c r="N133" s="4">
        <v>1.1170062000000001</v>
      </c>
      <c r="O133" s="4">
        <v>2.6316899999999999</v>
      </c>
    </row>
    <row r="134" spans="2:15">
      <c r="B134" t="s">
        <v>57</v>
      </c>
      <c r="C134" t="s">
        <v>389</v>
      </c>
      <c r="D134" t="s">
        <v>564</v>
      </c>
      <c r="E134" t="s">
        <v>565</v>
      </c>
      <c r="F134" t="s">
        <v>12</v>
      </c>
      <c r="G134" t="s">
        <v>564</v>
      </c>
      <c r="H134" t="s">
        <v>566</v>
      </c>
      <c r="I134" t="s">
        <v>31</v>
      </c>
      <c r="J134">
        <v>54671</v>
      </c>
      <c r="K134">
        <v>38</v>
      </c>
      <c r="L134" s="4">
        <v>3.8199999999999998E-2</v>
      </c>
      <c r="M134">
        <v>0.09</v>
      </c>
      <c r="N134" s="4">
        <v>2.0884321999999997</v>
      </c>
      <c r="O134" s="4">
        <v>4.9203899999999994</v>
      </c>
    </row>
    <row r="135" spans="2:15">
      <c r="B135" t="s">
        <v>57</v>
      </c>
      <c r="C135" t="s">
        <v>256</v>
      </c>
      <c r="D135" t="s">
        <v>390</v>
      </c>
      <c r="E135" t="s">
        <v>391</v>
      </c>
      <c r="F135" t="s">
        <v>12</v>
      </c>
      <c r="G135" t="s">
        <v>390</v>
      </c>
      <c r="H135" t="s">
        <v>392</v>
      </c>
      <c r="I135" t="s">
        <v>32</v>
      </c>
      <c r="J135">
        <v>1</v>
      </c>
      <c r="K135">
        <v>0</v>
      </c>
      <c r="L135" s="4">
        <v>3.8199999999999998E-2</v>
      </c>
      <c r="M135">
        <v>0.09</v>
      </c>
      <c r="N135" s="4">
        <v>3.82E-5</v>
      </c>
      <c r="O135" s="4">
        <v>8.9999999999999992E-5</v>
      </c>
    </row>
    <row r="136" spans="2:15">
      <c r="B136" t="s">
        <v>57</v>
      </c>
      <c r="C136" t="s">
        <v>256</v>
      </c>
      <c r="D136" t="s">
        <v>257</v>
      </c>
      <c r="E136" t="s">
        <v>258</v>
      </c>
      <c r="F136" t="s">
        <v>12</v>
      </c>
      <c r="G136" t="s">
        <v>257</v>
      </c>
      <c r="H136" t="s">
        <v>259</v>
      </c>
      <c r="I136" t="s">
        <v>32</v>
      </c>
      <c r="J136">
        <v>1</v>
      </c>
      <c r="K136">
        <v>0</v>
      </c>
      <c r="L136" s="4">
        <v>3.8199999999999998E-2</v>
      </c>
      <c r="M136">
        <v>0.09</v>
      </c>
      <c r="N136" s="4">
        <v>3.82E-5</v>
      </c>
      <c r="O136" s="4">
        <v>8.9999999999999992E-5</v>
      </c>
    </row>
    <row r="137" spans="2:15">
      <c r="B137" t="s">
        <v>57</v>
      </c>
      <c r="C137" t="s">
        <v>256</v>
      </c>
      <c r="D137" t="s">
        <v>817</v>
      </c>
      <c r="E137" t="s">
        <v>818</v>
      </c>
      <c r="F137" t="s">
        <v>12</v>
      </c>
      <c r="G137" t="s">
        <v>817</v>
      </c>
      <c r="H137" t="s">
        <v>819</v>
      </c>
      <c r="I137" t="s">
        <v>32</v>
      </c>
      <c r="J137">
        <v>11</v>
      </c>
      <c r="K137">
        <v>0</v>
      </c>
      <c r="L137" s="4">
        <v>3.8199999999999998E-2</v>
      </c>
      <c r="M137">
        <v>0.09</v>
      </c>
      <c r="N137" s="4">
        <v>4.2019999999999997E-4</v>
      </c>
      <c r="O137" s="4">
        <v>9.8999999999999999E-4</v>
      </c>
    </row>
    <row r="138" spans="2:15">
      <c r="B138" t="s">
        <v>57</v>
      </c>
      <c r="C138" t="s">
        <v>256</v>
      </c>
      <c r="D138" t="s">
        <v>820</v>
      </c>
      <c r="E138" t="s">
        <v>821</v>
      </c>
      <c r="F138" t="s">
        <v>12</v>
      </c>
      <c r="G138" t="s">
        <v>820</v>
      </c>
      <c r="H138" t="s">
        <v>822</v>
      </c>
      <c r="I138" t="s">
        <v>32</v>
      </c>
      <c r="J138">
        <v>1</v>
      </c>
      <c r="K138">
        <v>0</v>
      </c>
      <c r="L138" s="4">
        <v>3.8199999999999998E-2</v>
      </c>
      <c r="M138">
        <v>0.09</v>
      </c>
      <c r="N138" s="4">
        <v>3.82E-5</v>
      </c>
      <c r="O138" s="4">
        <v>8.9999999999999992E-5</v>
      </c>
    </row>
    <row r="139" spans="2:15">
      <c r="B139" t="s">
        <v>57</v>
      </c>
      <c r="C139" t="s">
        <v>256</v>
      </c>
      <c r="D139" t="s">
        <v>823</v>
      </c>
      <c r="E139" t="s">
        <v>824</v>
      </c>
      <c r="F139" t="s">
        <v>12</v>
      </c>
      <c r="G139" t="s">
        <v>823</v>
      </c>
      <c r="H139" t="s">
        <v>825</v>
      </c>
      <c r="I139" t="s">
        <v>32</v>
      </c>
      <c r="J139">
        <v>1</v>
      </c>
      <c r="K139">
        <v>0</v>
      </c>
      <c r="L139" s="4">
        <v>3.8199999999999998E-2</v>
      </c>
      <c r="M139">
        <v>0.09</v>
      </c>
      <c r="N139" s="4">
        <v>3.82E-5</v>
      </c>
      <c r="O139" s="4">
        <v>8.9999999999999992E-5</v>
      </c>
    </row>
    <row r="140" spans="2:15">
      <c r="B140" t="s">
        <v>57</v>
      </c>
      <c r="C140" t="s">
        <v>58</v>
      </c>
      <c r="D140" t="s">
        <v>567</v>
      </c>
      <c r="E140" t="s">
        <v>568</v>
      </c>
      <c r="F140" t="s">
        <v>10</v>
      </c>
      <c r="G140" t="s">
        <v>567</v>
      </c>
      <c r="H140" t="s">
        <v>569</v>
      </c>
      <c r="I140" t="s">
        <v>32</v>
      </c>
      <c r="J140">
        <v>0</v>
      </c>
      <c r="K140">
        <v>2</v>
      </c>
      <c r="L140" s="4">
        <v>3.5000000000000001E-3</v>
      </c>
      <c r="M140">
        <v>0.02</v>
      </c>
      <c r="N140" s="4">
        <v>7.0000000000000001E-3</v>
      </c>
      <c r="O140" s="4">
        <v>0.04</v>
      </c>
    </row>
    <row r="141" spans="2:15">
      <c r="B141" t="s">
        <v>57</v>
      </c>
      <c r="C141" t="s">
        <v>58</v>
      </c>
      <c r="D141" t="s">
        <v>164</v>
      </c>
      <c r="E141" t="s">
        <v>165</v>
      </c>
      <c r="F141" t="s">
        <v>12</v>
      </c>
      <c r="G141" t="s">
        <v>164</v>
      </c>
      <c r="H141" t="s">
        <v>166</v>
      </c>
      <c r="I141" t="s">
        <v>32</v>
      </c>
      <c r="J141">
        <v>7013</v>
      </c>
      <c r="K141">
        <v>280</v>
      </c>
      <c r="L141" s="4">
        <v>3.8199999999999998E-2</v>
      </c>
      <c r="M141">
        <v>0.09</v>
      </c>
      <c r="N141" s="4">
        <v>0.26789659999999998</v>
      </c>
      <c r="O141" s="4">
        <v>0.63117000000000001</v>
      </c>
    </row>
    <row r="142" spans="2:15">
      <c r="B142" t="s">
        <v>57</v>
      </c>
      <c r="C142" t="s">
        <v>58</v>
      </c>
      <c r="D142" t="s">
        <v>570</v>
      </c>
      <c r="E142" t="s">
        <v>571</v>
      </c>
      <c r="F142" t="s">
        <v>12</v>
      </c>
      <c r="G142" t="s">
        <v>570</v>
      </c>
      <c r="H142" t="s">
        <v>572</v>
      </c>
      <c r="I142" t="s">
        <v>32</v>
      </c>
      <c r="J142">
        <v>16397</v>
      </c>
      <c r="K142">
        <v>0</v>
      </c>
      <c r="L142" s="4">
        <v>3.8199999999999998E-2</v>
      </c>
      <c r="M142">
        <v>0.09</v>
      </c>
      <c r="N142" s="4">
        <v>0.62636539999999996</v>
      </c>
      <c r="O142" s="4">
        <v>1.47573</v>
      </c>
    </row>
    <row r="143" spans="2:15">
      <c r="B143" t="s">
        <v>57</v>
      </c>
      <c r="C143" t="s">
        <v>58</v>
      </c>
      <c r="D143" t="s">
        <v>167</v>
      </c>
      <c r="E143" t="s">
        <v>168</v>
      </c>
      <c r="F143" t="s">
        <v>12</v>
      </c>
      <c r="G143" t="s">
        <v>167</v>
      </c>
      <c r="H143" t="s">
        <v>393</v>
      </c>
      <c r="I143" t="s">
        <v>32</v>
      </c>
      <c r="J143">
        <v>41781</v>
      </c>
      <c r="K143">
        <v>727</v>
      </c>
      <c r="L143" s="4">
        <v>3.8199999999999998E-2</v>
      </c>
      <c r="M143">
        <v>0.09</v>
      </c>
      <c r="N143" s="4">
        <v>1.5960341999999998</v>
      </c>
      <c r="O143" s="4">
        <v>3.7602899999999999</v>
      </c>
    </row>
    <row r="144" spans="2:15">
      <c r="B144" t="s">
        <v>57</v>
      </c>
      <c r="C144" t="s">
        <v>58</v>
      </c>
      <c r="D144" t="s">
        <v>573</v>
      </c>
      <c r="E144" t="s">
        <v>574</v>
      </c>
      <c r="F144" t="s">
        <v>12</v>
      </c>
      <c r="G144" t="s">
        <v>573</v>
      </c>
      <c r="H144" t="s">
        <v>575</v>
      </c>
      <c r="I144" t="s">
        <v>32</v>
      </c>
      <c r="J144">
        <v>106107</v>
      </c>
      <c r="K144">
        <v>0</v>
      </c>
      <c r="L144" s="4">
        <v>3.8199999999999998E-2</v>
      </c>
      <c r="M144">
        <v>0.09</v>
      </c>
      <c r="N144" s="4">
        <v>4.0532873999999994</v>
      </c>
      <c r="O144" s="4">
        <v>9.5496299999999987</v>
      </c>
    </row>
    <row r="145" spans="2:15">
      <c r="B145" t="s">
        <v>57</v>
      </c>
      <c r="C145" t="s">
        <v>576</v>
      </c>
      <c r="D145" t="s">
        <v>577</v>
      </c>
      <c r="E145" t="s">
        <v>578</v>
      </c>
      <c r="F145" t="s">
        <v>12</v>
      </c>
      <c r="G145" t="s">
        <v>577</v>
      </c>
      <c r="H145" t="s">
        <v>579</v>
      </c>
      <c r="I145" t="s">
        <v>31</v>
      </c>
      <c r="J145">
        <v>146</v>
      </c>
      <c r="K145">
        <v>1</v>
      </c>
      <c r="L145" s="4">
        <v>3.8199999999999998E-2</v>
      </c>
      <c r="M145">
        <v>0.09</v>
      </c>
      <c r="N145" s="4">
        <v>5.5771999999999992E-3</v>
      </c>
      <c r="O145" s="4">
        <v>1.3139999999999999E-2</v>
      </c>
    </row>
    <row r="146" spans="2:15">
      <c r="B146" t="s">
        <v>57</v>
      </c>
      <c r="C146" t="s">
        <v>576</v>
      </c>
      <c r="D146" t="s">
        <v>826</v>
      </c>
      <c r="E146" t="s">
        <v>827</v>
      </c>
      <c r="F146" t="s">
        <v>12</v>
      </c>
      <c r="G146" t="s">
        <v>826</v>
      </c>
      <c r="H146" t="s">
        <v>828</v>
      </c>
      <c r="I146" t="s">
        <v>31</v>
      </c>
      <c r="J146">
        <v>159</v>
      </c>
      <c r="K146">
        <v>2</v>
      </c>
      <c r="L146" s="4">
        <v>3.8199999999999998E-2</v>
      </c>
      <c r="M146">
        <v>0.09</v>
      </c>
      <c r="N146" s="4">
        <v>6.073799999999999E-3</v>
      </c>
      <c r="O146" s="4">
        <v>1.4309999999999998E-2</v>
      </c>
    </row>
    <row r="147" spans="2:15">
      <c r="B147" t="s">
        <v>57</v>
      </c>
      <c r="C147" t="s">
        <v>576</v>
      </c>
      <c r="D147" t="s">
        <v>580</v>
      </c>
      <c r="E147" t="s">
        <v>581</v>
      </c>
      <c r="F147" t="s">
        <v>12</v>
      </c>
      <c r="G147" t="s">
        <v>580</v>
      </c>
      <c r="H147" t="s">
        <v>582</v>
      </c>
      <c r="I147" t="s">
        <v>31</v>
      </c>
      <c r="J147">
        <v>1024</v>
      </c>
      <c r="K147">
        <v>10</v>
      </c>
      <c r="L147" s="4">
        <v>3.8199999999999998E-2</v>
      </c>
      <c r="M147">
        <v>0.09</v>
      </c>
      <c r="N147" s="4">
        <v>3.91168E-2</v>
      </c>
      <c r="O147" s="4">
        <v>9.2159999999999992E-2</v>
      </c>
    </row>
    <row r="148" spans="2:15">
      <c r="B148" t="s">
        <v>57</v>
      </c>
      <c r="C148" t="s">
        <v>576</v>
      </c>
      <c r="D148" t="s">
        <v>829</v>
      </c>
      <c r="E148" t="s">
        <v>830</v>
      </c>
      <c r="F148" t="s">
        <v>12</v>
      </c>
      <c r="G148" t="s">
        <v>829</v>
      </c>
      <c r="H148" t="s">
        <v>831</v>
      </c>
      <c r="I148" t="s">
        <v>31</v>
      </c>
      <c r="J148">
        <v>63</v>
      </c>
      <c r="K148">
        <v>0</v>
      </c>
      <c r="L148" s="4">
        <v>3.8199999999999998E-2</v>
      </c>
      <c r="M148">
        <v>0.09</v>
      </c>
      <c r="N148" s="4">
        <v>2.4066000000000001E-3</v>
      </c>
      <c r="O148" s="4">
        <v>5.6699999999999997E-3</v>
      </c>
    </row>
    <row r="149" spans="2:15">
      <c r="B149" t="s">
        <v>57</v>
      </c>
      <c r="C149" t="s">
        <v>576</v>
      </c>
      <c r="D149" t="s">
        <v>583</v>
      </c>
      <c r="E149" t="s">
        <v>584</v>
      </c>
      <c r="F149" t="s">
        <v>10</v>
      </c>
      <c r="G149" t="s">
        <v>583</v>
      </c>
      <c r="H149" t="s">
        <v>585</v>
      </c>
      <c r="I149" t="s">
        <v>32</v>
      </c>
      <c r="J149">
        <v>0</v>
      </c>
      <c r="K149">
        <v>18</v>
      </c>
      <c r="L149" s="4">
        <v>3.5000000000000001E-3</v>
      </c>
      <c r="M149">
        <v>0.02</v>
      </c>
      <c r="N149" s="4">
        <v>6.3E-2</v>
      </c>
      <c r="O149" s="4">
        <v>0.36</v>
      </c>
    </row>
    <row r="150" spans="2:15">
      <c r="B150" t="s">
        <v>57</v>
      </c>
      <c r="C150" t="s">
        <v>62</v>
      </c>
      <c r="D150" t="s">
        <v>586</v>
      </c>
      <c r="E150" t="s">
        <v>587</v>
      </c>
      <c r="F150" t="s">
        <v>10</v>
      </c>
      <c r="G150" t="s">
        <v>586</v>
      </c>
      <c r="H150" t="s">
        <v>588</v>
      </c>
      <c r="I150" t="s">
        <v>32</v>
      </c>
      <c r="J150">
        <v>0</v>
      </c>
      <c r="K150">
        <v>1</v>
      </c>
      <c r="L150" s="4">
        <v>3.5000000000000001E-3</v>
      </c>
      <c r="M150">
        <v>0.02</v>
      </c>
      <c r="N150" s="4">
        <v>3.5000000000000001E-3</v>
      </c>
      <c r="O150" s="4">
        <v>0.02</v>
      </c>
    </row>
    <row r="151" spans="2:15">
      <c r="B151" t="s">
        <v>57</v>
      </c>
      <c r="C151" t="s">
        <v>62</v>
      </c>
      <c r="D151" t="s">
        <v>589</v>
      </c>
      <c r="E151" t="s">
        <v>590</v>
      </c>
      <c r="F151" t="s">
        <v>10</v>
      </c>
      <c r="G151" t="s">
        <v>589</v>
      </c>
      <c r="H151" t="s">
        <v>591</v>
      </c>
      <c r="I151" t="s">
        <v>32</v>
      </c>
      <c r="J151">
        <v>0</v>
      </c>
      <c r="K151">
        <v>5</v>
      </c>
      <c r="L151" s="4">
        <v>3.5000000000000001E-3</v>
      </c>
      <c r="M151">
        <v>0.02</v>
      </c>
      <c r="N151" s="4">
        <v>1.7500000000000002E-2</v>
      </c>
      <c r="O151" s="4">
        <v>0.1</v>
      </c>
    </row>
    <row r="152" spans="2:15">
      <c r="B152" t="s">
        <v>57</v>
      </c>
      <c r="C152" t="s">
        <v>62</v>
      </c>
      <c r="D152" t="s">
        <v>592</v>
      </c>
      <c r="E152" t="s">
        <v>593</v>
      </c>
      <c r="F152" t="s">
        <v>10</v>
      </c>
      <c r="G152" t="s">
        <v>592</v>
      </c>
      <c r="H152" t="s">
        <v>594</v>
      </c>
      <c r="I152" t="s">
        <v>32</v>
      </c>
      <c r="J152">
        <v>0</v>
      </c>
      <c r="K152">
        <v>3</v>
      </c>
      <c r="L152" s="4">
        <v>3.5000000000000001E-3</v>
      </c>
      <c r="M152">
        <v>0.02</v>
      </c>
      <c r="N152" s="4">
        <v>1.0500000000000001E-2</v>
      </c>
      <c r="O152" s="4">
        <v>0.06</v>
      </c>
    </row>
    <row r="153" spans="2:15">
      <c r="B153" t="s">
        <v>57</v>
      </c>
      <c r="C153" t="s">
        <v>62</v>
      </c>
      <c r="D153" t="s">
        <v>394</v>
      </c>
      <c r="E153" t="s">
        <v>395</v>
      </c>
      <c r="F153" t="s">
        <v>10</v>
      </c>
      <c r="G153" t="s">
        <v>394</v>
      </c>
      <c r="H153" t="s">
        <v>396</v>
      </c>
      <c r="I153" t="s">
        <v>32</v>
      </c>
      <c r="J153">
        <v>0</v>
      </c>
      <c r="K153">
        <v>1</v>
      </c>
      <c r="L153" s="4">
        <v>3.5000000000000001E-3</v>
      </c>
      <c r="M153">
        <v>0.02</v>
      </c>
      <c r="N153" s="4">
        <v>3.5000000000000001E-3</v>
      </c>
      <c r="O153" s="4">
        <v>0.02</v>
      </c>
    </row>
    <row r="154" spans="2:15">
      <c r="B154" t="s">
        <v>57</v>
      </c>
      <c r="C154" t="s">
        <v>62</v>
      </c>
      <c r="D154" t="s">
        <v>595</v>
      </c>
      <c r="E154" t="s">
        <v>596</v>
      </c>
      <c r="F154" t="s">
        <v>10</v>
      </c>
      <c r="G154" t="s">
        <v>595</v>
      </c>
      <c r="H154" t="s">
        <v>597</v>
      </c>
      <c r="I154" t="s">
        <v>32</v>
      </c>
      <c r="J154">
        <v>0</v>
      </c>
      <c r="K154">
        <v>6</v>
      </c>
      <c r="L154" s="4">
        <v>3.5000000000000001E-3</v>
      </c>
      <c r="M154">
        <v>0.02</v>
      </c>
      <c r="N154" s="4">
        <v>2.1000000000000001E-2</v>
      </c>
      <c r="O154" s="4">
        <v>0.12</v>
      </c>
    </row>
    <row r="155" spans="2:15">
      <c r="B155" t="s">
        <v>57</v>
      </c>
      <c r="C155" t="s">
        <v>62</v>
      </c>
      <c r="D155" t="s">
        <v>598</v>
      </c>
      <c r="E155" t="s">
        <v>599</v>
      </c>
      <c r="F155" t="s">
        <v>10</v>
      </c>
      <c r="G155" t="s">
        <v>598</v>
      </c>
      <c r="H155" t="s">
        <v>600</v>
      </c>
      <c r="I155" t="s">
        <v>32</v>
      </c>
      <c r="J155">
        <v>0</v>
      </c>
      <c r="K155">
        <v>2</v>
      </c>
      <c r="L155" s="4">
        <v>3.5000000000000001E-3</v>
      </c>
      <c r="M155">
        <v>0.02</v>
      </c>
      <c r="N155" s="4">
        <v>7.0000000000000001E-3</v>
      </c>
      <c r="O155" s="4">
        <v>0.04</v>
      </c>
    </row>
    <row r="156" spans="2:15">
      <c r="B156" t="s">
        <v>57</v>
      </c>
      <c r="C156" t="s">
        <v>62</v>
      </c>
      <c r="D156" t="s">
        <v>601</v>
      </c>
      <c r="E156" t="s">
        <v>602</v>
      </c>
      <c r="F156" t="s">
        <v>10</v>
      </c>
      <c r="G156" t="s">
        <v>601</v>
      </c>
      <c r="H156" t="s">
        <v>603</v>
      </c>
      <c r="I156" t="s">
        <v>32</v>
      </c>
      <c r="J156">
        <v>9</v>
      </c>
      <c r="K156">
        <v>13</v>
      </c>
      <c r="L156" s="4">
        <v>3.5000000000000001E-3</v>
      </c>
      <c r="M156">
        <v>0.02</v>
      </c>
      <c r="N156" s="4">
        <v>4.5499999999999999E-2</v>
      </c>
      <c r="O156" s="4">
        <v>0.26</v>
      </c>
    </row>
    <row r="157" spans="2:15">
      <c r="B157" t="s">
        <v>57</v>
      </c>
      <c r="C157" t="s">
        <v>62</v>
      </c>
      <c r="D157" t="s">
        <v>604</v>
      </c>
      <c r="E157" t="s">
        <v>605</v>
      </c>
      <c r="F157" t="s">
        <v>10</v>
      </c>
      <c r="G157" t="s">
        <v>604</v>
      </c>
      <c r="H157" t="s">
        <v>606</v>
      </c>
      <c r="I157" t="s">
        <v>32</v>
      </c>
      <c r="J157">
        <v>0</v>
      </c>
      <c r="K157">
        <v>10</v>
      </c>
      <c r="L157" s="4">
        <v>3.5000000000000001E-3</v>
      </c>
      <c r="M157">
        <v>0.02</v>
      </c>
      <c r="N157" s="4">
        <v>3.5000000000000003E-2</v>
      </c>
      <c r="O157" s="4">
        <v>0.2</v>
      </c>
    </row>
    <row r="158" spans="2:15">
      <c r="B158" t="s">
        <v>57</v>
      </c>
      <c r="C158" t="s">
        <v>62</v>
      </c>
      <c r="D158" t="s">
        <v>607</v>
      </c>
      <c r="E158" t="s">
        <v>608</v>
      </c>
      <c r="F158" t="s">
        <v>12</v>
      </c>
      <c r="G158" t="s">
        <v>607</v>
      </c>
      <c r="H158" t="s">
        <v>609</v>
      </c>
      <c r="I158" t="s">
        <v>32</v>
      </c>
      <c r="J158">
        <v>2736</v>
      </c>
      <c r="K158">
        <v>82</v>
      </c>
      <c r="L158" s="4">
        <v>3.8199999999999998E-2</v>
      </c>
      <c r="M158">
        <v>0.09</v>
      </c>
      <c r="N158" s="4">
        <v>0.10451519999999999</v>
      </c>
      <c r="O158" s="4">
        <v>0.24623999999999999</v>
      </c>
    </row>
    <row r="159" spans="2:15">
      <c r="B159" t="s">
        <v>57</v>
      </c>
      <c r="C159" t="s">
        <v>62</v>
      </c>
      <c r="D159" t="s">
        <v>610</v>
      </c>
      <c r="E159" t="s">
        <v>611</v>
      </c>
      <c r="F159" t="s">
        <v>10</v>
      </c>
      <c r="G159" t="s">
        <v>610</v>
      </c>
      <c r="H159" t="s">
        <v>612</v>
      </c>
      <c r="I159" t="s">
        <v>32</v>
      </c>
      <c r="J159">
        <v>1</v>
      </c>
      <c r="K159">
        <v>4</v>
      </c>
      <c r="L159" s="4">
        <v>3.5000000000000001E-3</v>
      </c>
      <c r="M159">
        <v>0.02</v>
      </c>
      <c r="N159" s="4">
        <v>1.4E-2</v>
      </c>
      <c r="O159" s="4">
        <v>0.08</v>
      </c>
    </row>
    <row r="160" spans="2:15">
      <c r="B160" t="s">
        <v>57</v>
      </c>
      <c r="C160" t="s">
        <v>65</v>
      </c>
      <c r="D160" t="s">
        <v>613</v>
      </c>
      <c r="E160" t="s">
        <v>614</v>
      </c>
      <c r="F160" t="s">
        <v>12</v>
      </c>
      <c r="G160" t="s">
        <v>613</v>
      </c>
      <c r="H160" t="s">
        <v>615</v>
      </c>
      <c r="I160" t="s">
        <v>32</v>
      </c>
      <c r="J160">
        <v>3620522</v>
      </c>
      <c r="K160">
        <v>2542</v>
      </c>
      <c r="L160" s="4">
        <v>3.8199999999999998E-2</v>
      </c>
      <c r="M160">
        <v>0.09</v>
      </c>
      <c r="N160" s="4">
        <v>138.30394039999999</v>
      </c>
      <c r="O160" s="4">
        <v>325.84697999999997</v>
      </c>
    </row>
    <row r="161" spans="2:15">
      <c r="B161" t="s">
        <v>57</v>
      </c>
      <c r="C161" t="s">
        <v>63</v>
      </c>
      <c r="D161" t="s">
        <v>616</v>
      </c>
      <c r="E161" t="s">
        <v>617</v>
      </c>
      <c r="F161" t="s">
        <v>12</v>
      </c>
      <c r="G161" t="s">
        <v>616</v>
      </c>
      <c r="H161" t="s">
        <v>618</v>
      </c>
      <c r="I161" t="s">
        <v>31</v>
      </c>
      <c r="J161">
        <v>2</v>
      </c>
      <c r="K161">
        <v>0</v>
      </c>
      <c r="L161" s="4">
        <v>3.8199999999999998E-2</v>
      </c>
      <c r="M161">
        <v>0.09</v>
      </c>
      <c r="N161" s="4">
        <v>7.64E-5</v>
      </c>
      <c r="O161" s="4">
        <v>1.7999999999999998E-4</v>
      </c>
    </row>
    <row r="162" spans="2:15">
      <c r="B162" t="s">
        <v>57</v>
      </c>
      <c r="C162" t="s">
        <v>63</v>
      </c>
      <c r="D162" t="s">
        <v>619</v>
      </c>
      <c r="E162" t="s">
        <v>620</v>
      </c>
      <c r="F162" t="s">
        <v>12</v>
      </c>
      <c r="G162" t="s">
        <v>619</v>
      </c>
      <c r="H162" t="s">
        <v>621</v>
      </c>
      <c r="I162" t="s">
        <v>31</v>
      </c>
      <c r="J162">
        <v>2</v>
      </c>
      <c r="K162">
        <v>0</v>
      </c>
      <c r="L162" s="4">
        <v>3.8199999999999998E-2</v>
      </c>
      <c r="M162">
        <v>0.09</v>
      </c>
      <c r="N162" s="4">
        <v>7.64E-5</v>
      </c>
      <c r="O162" s="4">
        <v>1.7999999999999998E-4</v>
      </c>
    </row>
    <row r="163" spans="2:15">
      <c r="B163" t="s">
        <v>57</v>
      </c>
      <c r="C163" t="s">
        <v>63</v>
      </c>
      <c r="D163" t="s">
        <v>260</v>
      </c>
      <c r="E163" t="s">
        <v>261</v>
      </c>
      <c r="F163" t="s">
        <v>12</v>
      </c>
      <c r="G163" t="s">
        <v>260</v>
      </c>
      <c r="H163" t="s">
        <v>262</v>
      </c>
      <c r="I163" t="s">
        <v>32</v>
      </c>
      <c r="J163">
        <v>6</v>
      </c>
      <c r="K163">
        <v>0</v>
      </c>
      <c r="L163" s="4">
        <v>3.8199999999999998E-2</v>
      </c>
      <c r="M163">
        <v>0.09</v>
      </c>
      <c r="N163" s="4">
        <v>2.2919999999999999E-4</v>
      </c>
      <c r="O163" s="4">
        <v>5.4000000000000001E-4</v>
      </c>
    </row>
    <row r="164" spans="2:15">
      <c r="B164" t="s">
        <v>57</v>
      </c>
      <c r="C164" t="s">
        <v>63</v>
      </c>
      <c r="D164" t="s">
        <v>622</v>
      </c>
      <c r="E164" t="s">
        <v>623</v>
      </c>
      <c r="F164" t="s">
        <v>12</v>
      </c>
      <c r="G164" t="s">
        <v>622</v>
      </c>
      <c r="H164" t="s">
        <v>624</v>
      </c>
      <c r="I164" t="s">
        <v>31</v>
      </c>
      <c r="J164">
        <v>2</v>
      </c>
      <c r="K164">
        <v>0</v>
      </c>
      <c r="L164" s="4">
        <v>3.8199999999999998E-2</v>
      </c>
      <c r="M164">
        <v>0.09</v>
      </c>
      <c r="N164" s="4">
        <v>7.64E-5</v>
      </c>
      <c r="O164" s="4">
        <v>1.7999999999999998E-4</v>
      </c>
    </row>
    <row r="165" spans="2:15">
      <c r="B165" t="s">
        <v>57</v>
      </c>
      <c r="C165" t="s">
        <v>63</v>
      </c>
      <c r="D165" t="s">
        <v>625</v>
      </c>
      <c r="E165" t="s">
        <v>626</v>
      </c>
      <c r="F165" t="s">
        <v>12</v>
      </c>
      <c r="G165" t="s">
        <v>625</v>
      </c>
      <c r="H165" t="s">
        <v>627</v>
      </c>
      <c r="I165" t="s">
        <v>31</v>
      </c>
      <c r="J165">
        <v>1</v>
      </c>
      <c r="K165">
        <v>0</v>
      </c>
      <c r="L165" s="4">
        <v>3.8199999999999998E-2</v>
      </c>
      <c r="M165">
        <v>0.09</v>
      </c>
      <c r="N165" s="4">
        <v>3.82E-5</v>
      </c>
      <c r="O165" s="4">
        <v>8.9999999999999992E-5</v>
      </c>
    </row>
    <row r="166" spans="2:15">
      <c r="B166" t="s">
        <v>57</v>
      </c>
      <c r="C166" t="s">
        <v>63</v>
      </c>
      <c r="D166" t="s">
        <v>628</v>
      </c>
      <c r="E166" t="s">
        <v>629</v>
      </c>
      <c r="F166" t="s">
        <v>12</v>
      </c>
      <c r="G166" t="s">
        <v>628</v>
      </c>
      <c r="H166" t="s">
        <v>630</v>
      </c>
      <c r="I166" t="s">
        <v>31</v>
      </c>
      <c r="J166">
        <v>2</v>
      </c>
      <c r="K166">
        <v>0</v>
      </c>
      <c r="L166" s="4">
        <v>3.8199999999999998E-2</v>
      </c>
      <c r="M166">
        <v>0.09</v>
      </c>
      <c r="N166" s="4">
        <v>7.64E-5</v>
      </c>
      <c r="O166" s="4">
        <v>1.7999999999999998E-4</v>
      </c>
    </row>
    <row r="167" spans="2:15">
      <c r="B167" t="s">
        <v>57</v>
      </c>
      <c r="C167" t="s">
        <v>63</v>
      </c>
      <c r="D167" t="s">
        <v>631</v>
      </c>
      <c r="E167" t="s">
        <v>632</v>
      </c>
      <c r="F167" t="s">
        <v>12</v>
      </c>
      <c r="G167" t="s">
        <v>631</v>
      </c>
      <c r="H167" t="s">
        <v>633</v>
      </c>
      <c r="I167" t="s">
        <v>31</v>
      </c>
      <c r="J167">
        <v>1</v>
      </c>
      <c r="K167">
        <v>0</v>
      </c>
      <c r="L167" s="4">
        <v>3.8199999999999998E-2</v>
      </c>
      <c r="M167">
        <v>0.09</v>
      </c>
      <c r="N167" s="4">
        <v>3.82E-5</v>
      </c>
      <c r="O167" s="4">
        <v>8.9999999999999992E-5</v>
      </c>
    </row>
    <row r="168" spans="2:15">
      <c r="B168" t="s">
        <v>57</v>
      </c>
      <c r="C168" t="s">
        <v>63</v>
      </c>
      <c r="D168" t="s">
        <v>634</v>
      </c>
      <c r="E168" t="s">
        <v>635</v>
      </c>
      <c r="F168" t="s">
        <v>12</v>
      </c>
      <c r="G168" t="s">
        <v>634</v>
      </c>
      <c r="H168" t="s">
        <v>636</v>
      </c>
      <c r="I168" t="s">
        <v>31</v>
      </c>
      <c r="J168">
        <v>2</v>
      </c>
      <c r="K168">
        <v>0</v>
      </c>
      <c r="L168" s="4">
        <v>3.8199999999999998E-2</v>
      </c>
      <c r="M168">
        <v>0.09</v>
      </c>
      <c r="N168" s="4">
        <v>7.64E-5</v>
      </c>
      <c r="O168" s="4">
        <v>1.7999999999999998E-4</v>
      </c>
    </row>
    <row r="169" spans="2:15">
      <c r="B169" t="s">
        <v>57</v>
      </c>
      <c r="C169" t="s">
        <v>63</v>
      </c>
      <c r="D169" t="s">
        <v>637</v>
      </c>
      <c r="E169" t="s">
        <v>638</v>
      </c>
      <c r="F169" t="s">
        <v>12</v>
      </c>
      <c r="G169" t="s">
        <v>637</v>
      </c>
      <c r="H169" t="s">
        <v>639</v>
      </c>
      <c r="I169" t="s">
        <v>31</v>
      </c>
      <c r="J169">
        <v>1</v>
      </c>
      <c r="K169">
        <v>0</v>
      </c>
      <c r="L169" s="4">
        <v>3.8199999999999998E-2</v>
      </c>
      <c r="M169">
        <v>0.09</v>
      </c>
      <c r="N169" s="4">
        <v>3.82E-5</v>
      </c>
      <c r="O169" s="4">
        <v>8.9999999999999992E-5</v>
      </c>
    </row>
    <row r="170" spans="2:15">
      <c r="B170" t="s">
        <v>57</v>
      </c>
      <c r="C170" t="s">
        <v>63</v>
      </c>
      <c r="D170" t="s">
        <v>640</v>
      </c>
      <c r="E170" t="s">
        <v>641</v>
      </c>
      <c r="F170" t="s">
        <v>12</v>
      </c>
      <c r="G170" t="s">
        <v>640</v>
      </c>
      <c r="H170" t="s">
        <v>642</v>
      </c>
      <c r="I170" t="s">
        <v>31</v>
      </c>
      <c r="J170">
        <v>3</v>
      </c>
      <c r="K170">
        <v>0</v>
      </c>
      <c r="L170" s="4">
        <v>3.8199999999999998E-2</v>
      </c>
      <c r="M170">
        <v>0.09</v>
      </c>
      <c r="N170" s="4">
        <v>1.1459999999999999E-4</v>
      </c>
      <c r="O170" s="4">
        <v>2.7E-4</v>
      </c>
    </row>
    <row r="171" spans="2:15">
      <c r="B171" t="s">
        <v>57</v>
      </c>
      <c r="C171" t="s">
        <v>63</v>
      </c>
      <c r="D171" t="s">
        <v>643</v>
      </c>
      <c r="E171" t="s">
        <v>644</v>
      </c>
      <c r="F171" t="s">
        <v>12</v>
      </c>
      <c r="G171" t="s">
        <v>643</v>
      </c>
      <c r="H171" t="s">
        <v>645</v>
      </c>
      <c r="I171" t="s">
        <v>31</v>
      </c>
      <c r="J171">
        <v>4</v>
      </c>
      <c r="K171">
        <v>0</v>
      </c>
      <c r="L171" s="4">
        <v>3.8199999999999998E-2</v>
      </c>
      <c r="M171">
        <v>0.09</v>
      </c>
      <c r="N171" s="4">
        <v>1.528E-4</v>
      </c>
      <c r="O171" s="4">
        <v>3.5999999999999997E-4</v>
      </c>
    </row>
    <row r="172" spans="2:15">
      <c r="B172" t="s">
        <v>57</v>
      </c>
      <c r="C172" t="s">
        <v>63</v>
      </c>
      <c r="D172" t="s">
        <v>646</v>
      </c>
      <c r="E172" t="s">
        <v>647</v>
      </c>
      <c r="F172" t="s">
        <v>12</v>
      </c>
      <c r="G172" t="s">
        <v>646</v>
      </c>
      <c r="H172" t="s">
        <v>648</v>
      </c>
      <c r="I172" t="s">
        <v>31</v>
      </c>
      <c r="J172">
        <v>1</v>
      </c>
      <c r="K172">
        <v>0</v>
      </c>
      <c r="L172" s="4">
        <v>3.8199999999999998E-2</v>
      </c>
      <c r="M172">
        <v>0.09</v>
      </c>
      <c r="N172" s="4">
        <v>3.82E-5</v>
      </c>
      <c r="O172" s="4">
        <v>8.9999999999999992E-5</v>
      </c>
    </row>
    <row r="173" spans="2:15">
      <c r="B173" t="s">
        <v>57</v>
      </c>
      <c r="C173" t="s">
        <v>63</v>
      </c>
      <c r="D173" t="s">
        <v>649</v>
      </c>
      <c r="E173" t="s">
        <v>650</v>
      </c>
      <c r="F173" t="s">
        <v>12</v>
      </c>
      <c r="G173" t="s">
        <v>649</v>
      </c>
      <c r="H173" t="s">
        <v>651</v>
      </c>
      <c r="I173" t="s">
        <v>31</v>
      </c>
      <c r="J173">
        <v>3</v>
      </c>
      <c r="K173">
        <v>0</v>
      </c>
      <c r="L173" s="4">
        <v>3.8199999999999998E-2</v>
      </c>
      <c r="M173">
        <v>0.09</v>
      </c>
      <c r="N173" s="4">
        <v>1.1459999999999999E-4</v>
      </c>
      <c r="O173" s="4">
        <v>2.7E-4</v>
      </c>
    </row>
    <row r="174" spans="2:15">
      <c r="B174" t="s">
        <v>57</v>
      </c>
      <c r="C174" t="s">
        <v>63</v>
      </c>
      <c r="D174" t="s">
        <v>652</v>
      </c>
      <c r="E174" t="s">
        <v>653</v>
      </c>
      <c r="F174" t="s">
        <v>12</v>
      </c>
      <c r="G174" t="s">
        <v>652</v>
      </c>
      <c r="H174" t="s">
        <v>654</v>
      </c>
      <c r="I174" t="s">
        <v>31</v>
      </c>
      <c r="J174">
        <v>1</v>
      </c>
      <c r="K174">
        <v>0</v>
      </c>
      <c r="L174" s="4">
        <v>3.8199999999999998E-2</v>
      </c>
      <c r="M174">
        <v>0.09</v>
      </c>
      <c r="N174" s="4">
        <v>3.82E-5</v>
      </c>
      <c r="O174" s="4">
        <v>8.9999999999999992E-5</v>
      </c>
    </row>
    <row r="175" spans="2:15">
      <c r="B175" t="s">
        <v>57</v>
      </c>
      <c r="C175" t="s">
        <v>63</v>
      </c>
      <c r="D175" t="s">
        <v>263</v>
      </c>
      <c r="E175" t="s">
        <v>264</v>
      </c>
      <c r="F175" t="s">
        <v>12</v>
      </c>
      <c r="G175" t="s">
        <v>832</v>
      </c>
      <c r="H175" t="s">
        <v>833</v>
      </c>
      <c r="I175" t="s">
        <v>31</v>
      </c>
      <c r="J175">
        <v>1</v>
      </c>
      <c r="K175">
        <v>0</v>
      </c>
      <c r="L175" s="4">
        <v>3.8199999999999998E-2</v>
      </c>
      <c r="M175">
        <v>0.09</v>
      </c>
      <c r="N175" s="4">
        <v>3.82E-5</v>
      </c>
      <c r="O175" s="4">
        <v>8.9999999999999992E-5</v>
      </c>
    </row>
    <row r="176" spans="2:15">
      <c r="B176" t="s">
        <v>57</v>
      </c>
      <c r="C176" t="s">
        <v>63</v>
      </c>
      <c r="D176" t="s">
        <v>263</v>
      </c>
      <c r="E176" t="s">
        <v>264</v>
      </c>
      <c r="F176" t="s">
        <v>12</v>
      </c>
      <c r="G176" t="s">
        <v>263</v>
      </c>
      <c r="H176" t="s">
        <v>265</v>
      </c>
      <c r="I176" t="s">
        <v>32</v>
      </c>
      <c r="J176">
        <v>1</v>
      </c>
      <c r="K176">
        <v>0</v>
      </c>
      <c r="L176" s="4">
        <v>3.8199999999999998E-2</v>
      </c>
      <c r="M176">
        <v>0.09</v>
      </c>
      <c r="N176" s="4">
        <v>3.82E-5</v>
      </c>
      <c r="O176" s="4">
        <v>8.9999999999999992E-5</v>
      </c>
    </row>
    <row r="177" spans="2:15">
      <c r="B177" t="s">
        <v>57</v>
      </c>
      <c r="C177" t="s">
        <v>63</v>
      </c>
      <c r="D177" t="s">
        <v>655</v>
      </c>
      <c r="E177" t="s">
        <v>656</v>
      </c>
      <c r="F177" t="s">
        <v>12</v>
      </c>
      <c r="G177" t="s">
        <v>655</v>
      </c>
      <c r="H177" t="s">
        <v>657</v>
      </c>
      <c r="I177" t="s">
        <v>31</v>
      </c>
      <c r="J177">
        <v>1</v>
      </c>
      <c r="K177">
        <v>0</v>
      </c>
      <c r="L177" s="4">
        <v>3.8199999999999998E-2</v>
      </c>
      <c r="M177">
        <v>0.09</v>
      </c>
      <c r="N177" s="4">
        <v>3.82E-5</v>
      </c>
      <c r="O177" s="4">
        <v>8.9999999999999992E-5</v>
      </c>
    </row>
    <row r="178" spans="2:15">
      <c r="B178" t="s">
        <v>57</v>
      </c>
      <c r="C178" t="s">
        <v>63</v>
      </c>
      <c r="D178" t="s">
        <v>266</v>
      </c>
      <c r="E178" t="s">
        <v>267</v>
      </c>
      <c r="F178" t="s">
        <v>12</v>
      </c>
      <c r="G178" t="s">
        <v>832</v>
      </c>
      <c r="H178" t="s">
        <v>833</v>
      </c>
      <c r="I178" t="s">
        <v>31</v>
      </c>
      <c r="J178">
        <v>1</v>
      </c>
      <c r="K178">
        <v>0</v>
      </c>
      <c r="L178" s="4">
        <v>3.8199999999999998E-2</v>
      </c>
      <c r="M178">
        <v>0.09</v>
      </c>
      <c r="N178" s="4">
        <v>3.82E-5</v>
      </c>
      <c r="O178" s="4">
        <v>8.9999999999999992E-5</v>
      </c>
    </row>
    <row r="179" spans="2:15">
      <c r="B179" t="s">
        <v>57</v>
      </c>
      <c r="C179" t="s">
        <v>63</v>
      </c>
      <c r="D179" t="s">
        <v>266</v>
      </c>
      <c r="E179" t="s">
        <v>267</v>
      </c>
      <c r="F179" t="s">
        <v>12</v>
      </c>
      <c r="G179" t="s">
        <v>266</v>
      </c>
      <c r="H179" t="s">
        <v>268</v>
      </c>
      <c r="I179" t="s">
        <v>32</v>
      </c>
      <c r="J179">
        <v>1</v>
      </c>
      <c r="K179">
        <v>0</v>
      </c>
      <c r="L179" s="4">
        <v>3.8199999999999998E-2</v>
      </c>
      <c r="M179">
        <v>0.09</v>
      </c>
      <c r="N179" s="4">
        <v>3.82E-5</v>
      </c>
      <c r="O179" s="4">
        <v>8.9999999999999992E-5</v>
      </c>
    </row>
    <row r="180" spans="2:15">
      <c r="B180" t="s">
        <v>57</v>
      </c>
      <c r="C180" t="s">
        <v>63</v>
      </c>
      <c r="D180" t="s">
        <v>658</v>
      </c>
      <c r="E180" t="s">
        <v>659</v>
      </c>
      <c r="F180" t="s">
        <v>12</v>
      </c>
      <c r="G180" t="s">
        <v>658</v>
      </c>
      <c r="H180" t="s">
        <v>660</v>
      </c>
      <c r="I180" t="s">
        <v>31</v>
      </c>
      <c r="J180">
        <v>1</v>
      </c>
      <c r="K180">
        <v>0</v>
      </c>
      <c r="L180" s="4">
        <v>3.8199999999999998E-2</v>
      </c>
      <c r="M180">
        <v>0.09</v>
      </c>
      <c r="N180" s="4">
        <v>3.82E-5</v>
      </c>
      <c r="O180" s="4">
        <v>8.9999999999999992E-5</v>
      </c>
    </row>
    <row r="181" spans="2:15">
      <c r="B181" t="s">
        <v>57</v>
      </c>
      <c r="C181" t="s">
        <v>63</v>
      </c>
      <c r="D181" t="s">
        <v>661</v>
      </c>
      <c r="E181" t="s">
        <v>662</v>
      </c>
      <c r="F181" t="s">
        <v>12</v>
      </c>
      <c r="G181" t="s">
        <v>661</v>
      </c>
      <c r="H181" t="s">
        <v>663</v>
      </c>
      <c r="I181" t="s">
        <v>31</v>
      </c>
      <c r="J181">
        <v>1</v>
      </c>
      <c r="K181">
        <v>0</v>
      </c>
      <c r="L181" s="4">
        <v>3.8199999999999998E-2</v>
      </c>
      <c r="M181">
        <v>0.09</v>
      </c>
      <c r="N181" s="4">
        <v>3.82E-5</v>
      </c>
      <c r="O181" s="4">
        <v>8.9999999999999992E-5</v>
      </c>
    </row>
    <row r="182" spans="2:15">
      <c r="B182" t="s">
        <v>57</v>
      </c>
      <c r="C182" t="s">
        <v>63</v>
      </c>
      <c r="D182" t="s">
        <v>664</v>
      </c>
      <c r="E182" t="s">
        <v>665</v>
      </c>
      <c r="F182" t="s">
        <v>12</v>
      </c>
      <c r="G182" t="s">
        <v>664</v>
      </c>
      <c r="H182" t="s">
        <v>666</v>
      </c>
      <c r="I182" t="s">
        <v>31</v>
      </c>
      <c r="J182">
        <v>1</v>
      </c>
      <c r="K182">
        <v>0</v>
      </c>
      <c r="L182" s="4">
        <v>3.8199999999999998E-2</v>
      </c>
      <c r="M182">
        <v>0.09</v>
      </c>
      <c r="N182" s="4">
        <v>3.82E-5</v>
      </c>
      <c r="O182" s="4">
        <v>8.9999999999999992E-5</v>
      </c>
    </row>
    <row r="183" spans="2:15">
      <c r="B183" t="s">
        <v>57</v>
      </c>
      <c r="C183" t="s">
        <v>63</v>
      </c>
      <c r="D183" t="s">
        <v>667</v>
      </c>
      <c r="E183" t="s">
        <v>668</v>
      </c>
      <c r="F183" t="s">
        <v>12</v>
      </c>
      <c r="G183" t="s">
        <v>667</v>
      </c>
      <c r="H183" t="s">
        <v>669</v>
      </c>
      <c r="I183" t="s">
        <v>31</v>
      </c>
      <c r="J183">
        <v>1</v>
      </c>
      <c r="K183">
        <v>0</v>
      </c>
      <c r="L183" s="4">
        <v>3.8199999999999998E-2</v>
      </c>
      <c r="M183">
        <v>0.09</v>
      </c>
      <c r="N183" s="4">
        <v>3.82E-5</v>
      </c>
      <c r="O183" s="4">
        <v>8.9999999999999992E-5</v>
      </c>
    </row>
    <row r="184" spans="2:15">
      <c r="B184" t="s">
        <v>57</v>
      </c>
      <c r="C184" t="s">
        <v>63</v>
      </c>
      <c r="D184" t="s">
        <v>269</v>
      </c>
      <c r="E184" t="s">
        <v>270</v>
      </c>
      <c r="F184" t="s">
        <v>10</v>
      </c>
      <c r="G184" t="s">
        <v>269</v>
      </c>
      <c r="H184" t="s">
        <v>271</v>
      </c>
      <c r="I184" t="s">
        <v>32</v>
      </c>
      <c r="J184">
        <v>0</v>
      </c>
      <c r="K184">
        <v>2</v>
      </c>
      <c r="L184" s="4">
        <v>3.5000000000000001E-3</v>
      </c>
      <c r="M184">
        <v>0.02</v>
      </c>
      <c r="N184" s="4">
        <v>7.0000000000000001E-3</v>
      </c>
      <c r="O184" s="4">
        <v>0.04</v>
      </c>
    </row>
    <row r="185" spans="2:15">
      <c r="B185" t="s">
        <v>57</v>
      </c>
      <c r="C185" t="s">
        <v>63</v>
      </c>
      <c r="D185" t="s">
        <v>670</v>
      </c>
      <c r="E185" t="s">
        <v>671</v>
      </c>
      <c r="F185" t="s">
        <v>12</v>
      </c>
      <c r="G185" t="s">
        <v>670</v>
      </c>
      <c r="H185" t="s">
        <v>672</v>
      </c>
      <c r="I185" t="s">
        <v>31</v>
      </c>
      <c r="J185">
        <v>2</v>
      </c>
      <c r="K185">
        <v>0</v>
      </c>
      <c r="L185" s="4">
        <v>3.8199999999999998E-2</v>
      </c>
      <c r="M185">
        <v>0.09</v>
      </c>
      <c r="N185" s="4">
        <v>7.64E-5</v>
      </c>
      <c r="O185" s="4">
        <v>1.7999999999999998E-4</v>
      </c>
    </row>
    <row r="186" spans="2:15">
      <c r="B186" t="s">
        <v>57</v>
      </c>
      <c r="C186" t="s">
        <v>63</v>
      </c>
      <c r="D186" t="s">
        <v>673</v>
      </c>
      <c r="E186" t="s">
        <v>674</v>
      </c>
      <c r="F186" t="s">
        <v>12</v>
      </c>
      <c r="G186" t="s">
        <v>673</v>
      </c>
      <c r="H186" t="s">
        <v>675</v>
      </c>
      <c r="I186" t="s">
        <v>31</v>
      </c>
      <c r="J186">
        <v>3</v>
      </c>
      <c r="K186">
        <v>0</v>
      </c>
      <c r="L186" s="4">
        <v>3.8199999999999998E-2</v>
      </c>
      <c r="M186">
        <v>0.09</v>
      </c>
      <c r="N186" s="4">
        <v>1.1459999999999999E-4</v>
      </c>
      <c r="O186" s="4">
        <v>2.7E-4</v>
      </c>
    </row>
    <row r="187" spans="2:15">
      <c r="B187" t="s">
        <v>57</v>
      </c>
      <c r="C187" t="s">
        <v>63</v>
      </c>
      <c r="D187" t="s">
        <v>676</v>
      </c>
      <c r="E187" t="s">
        <v>677</v>
      </c>
      <c r="F187" t="s">
        <v>12</v>
      </c>
      <c r="G187" t="s">
        <v>676</v>
      </c>
      <c r="H187" t="s">
        <v>678</v>
      </c>
      <c r="I187" t="s">
        <v>31</v>
      </c>
      <c r="J187">
        <v>1</v>
      </c>
      <c r="K187">
        <v>0</v>
      </c>
      <c r="L187" s="4">
        <v>3.8199999999999998E-2</v>
      </c>
      <c r="M187">
        <v>0.09</v>
      </c>
      <c r="N187" s="4">
        <v>3.82E-5</v>
      </c>
      <c r="O187" s="4">
        <v>8.9999999999999992E-5</v>
      </c>
    </row>
    <row r="188" spans="2:15">
      <c r="B188" t="s">
        <v>57</v>
      </c>
      <c r="C188" t="s">
        <v>63</v>
      </c>
      <c r="D188" t="s">
        <v>679</v>
      </c>
      <c r="E188" t="s">
        <v>680</v>
      </c>
      <c r="F188" t="s">
        <v>12</v>
      </c>
      <c r="G188" t="s">
        <v>679</v>
      </c>
      <c r="H188" t="s">
        <v>681</v>
      </c>
      <c r="I188" t="s">
        <v>31</v>
      </c>
      <c r="J188">
        <v>2</v>
      </c>
      <c r="K188">
        <v>0</v>
      </c>
      <c r="L188" s="4">
        <v>3.8199999999999998E-2</v>
      </c>
      <c r="M188">
        <v>0.09</v>
      </c>
      <c r="N188" s="4">
        <v>7.64E-5</v>
      </c>
      <c r="O188" s="4">
        <v>1.7999999999999998E-4</v>
      </c>
    </row>
    <row r="189" spans="2:15">
      <c r="B189" t="s">
        <v>57</v>
      </c>
      <c r="C189" t="s">
        <v>63</v>
      </c>
      <c r="D189" t="s">
        <v>682</v>
      </c>
      <c r="E189" t="s">
        <v>683</v>
      </c>
      <c r="F189" t="s">
        <v>12</v>
      </c>
      <c r="G189" t="s">
        <v>682</v>
      </c>
      <c r="H189" t="s">
        <v>684</v>
      </c>
      <c r="I189" t="s">
        <v>31</v>
      </c>
      <c r="J189">
        <v>5</v>
      </c>
      <c r="K189">
        <v>0</v>
      </c>
      <c r="L189" s="4">
        <v>3.8199999999999998E-2</v>
      </c>
      <c r="M189">
        <v>0.09</v>
      </c>
      <c r="N189" s="4">
        <v>1.9100000000000001E-4</v>
      </c>
      <c r="O189" s="4">
        <v>4.4999999999999993E-4</v>
      </c>
    </row>
    <row r="190" spans="2:15">
      <c r="B190" t="s">
        <v>57</v>
      </c>
      <c r="C190" t="s">
        <v>63</v>
      </c>
      <c r="D190" t="s">
        <v>685</v>
      </c>
      <c r="E190" t="s">
        <v>686</v>
      </c>
      <c r="F190" t="s">
        <v>12</v>
      </c>
      <c r="G190" t="s">
        <v>685</v>
      </c>
      <c r="H190" t="s">
        <v>687</v>
      </c>
      <c r="I190" t="s">
        <v>31</v>
      </c>
      <c r="J190">
        <v>1</v>
      </c>
      <c r="K190">
        <v>0</v>
      </c>
      <c r="L190" s="4">
        <v>3.8199999999999998E-2</v>
      </c>
      <c r="M190">
        <v>0.09</v>
      </c>
      <c r="N190" s="4">
        <v>3.82E-5</v>
      </c>
      <c r="O190" s="4">
        <v>8.9999999999999992E-5</v>
      </c>
    </row>
    <row r="191" spans="2:15">
      <c r="B191" t="s">
        <v>57</v>
      </c>
      <c r="C191" t="s">
        <v>63</v>
      </c>
      <c r="D191" t="s">
        <v>688</v>
      </c>
      <c r="E191" t="s">
        <v>689</v>
      </c>
      <c r="F191" t="s">
        <v>12</v>
      </c>
      <c r="G191" t="s">
        <v>688</v>
      </c>
      <c r="H191" t="s">
        <v>690</v>
      </c>
      <c r="I191" t="s">
        <v>31</v>
      </c>
      <c r="J191">
        <v>3</v>
      </c>
      <c r="K191">
        <v>0</v>
      </c>
      <c r="L191" s="4">
        <v>3.8199999999999998E-2</v>
      </c>
      <c r="M191">
        <v>0.09</v>
      </c>
      <c r="N191" s="4">
        <v>1.1459999999999999E-4</v>
      </c>
      <c r="O191" s="4">
        <v>2.7E-4</v>
      </c>
    </row>
    <row r="192" spans="2:15">
      <c r="B192" t="s">
        <v>57</v>
      </c>
      <c r="C192" t="s">
        <v>63</v>
      </c>
      <c r="D192" t="s">
        <v>691</v>
      </c>
      <c r="E192" t="s">
        <v>692</v>
      </c>
      <c r="F192" t="s">
        <v>12</v>
      </c>
      <c r="G192" t="s">
        <v>691</v>
      </c>
      <c r="H192" t="s">
        <v>693</v>
      </c>
      <c r="I192" t="s">
        <v>31</v>
      </c>
      <c r="J192">
        <v>1</v>
      </c>
      <c r="K192">
        <v>0</v>
      </c>
      <c r="L192" s="4">
        <v>3.8199999999999998E-2</v>
      </c>
      <c r="M192">
        <v>0.09</v>
      </c>
      <c r="N192" s="4">
        <v>3.82E-5</v>
      </c>
      <c r="O192" s="4">
        <v>8.9999999999999992E-5</v>
      </c>
    </row>
    <row r="193" spans="2:15">
      <c r="B193" t="s">
        <v>57</v>
      </c>
      <c r="C193" t="s">
        <v>63</v>
      </c>
      <c r="D193" t="s">
        <v>397</v>
      </c>
      <c r="E193" t="s">
        <v>398</v>
      </c>
      <c r="F193" t="s">
        <v>10</v>
      </c>
      <c r="G193" t="s">
        <v>397</v>
      </c>
      <c r="H193" t="s">
        <v>399</v>
      </c>
      <c r="I193" t="s">
        <v>32</v>
      </c>
      <c r="J193">
        <v>0</v>
      </c>
      <c r="K193">
        <v>27</v>
      </c>
      <c r="L193" s="4">
        <v>3.5000000000000001E-3</v>
      </c>
      <c r="M193">
        <v>0.02</v>
      </c>
      <c r="N193" s="4">
        <v>9.4500000000000001E-2</v>
      </c>
      <c r="O193" s="4">
        <v>0.54</v>
      </c>
    </row>
    <row r="194" spans="2:15">
      <c r="B194" t="s">
        <v>57</v>
      </c>
      <c r="C194" t="s">
        <v>63</v>
      </c>
      <c r="D194" t="s">
        <v>400</v>
      </c>
      <c r="E194" t="s">
        <v>401</v>
      </c>
      <c r="F194" t="s">
        <v>10</v>
      </c>
      <c r="G194" t="s">
        <v>400</v>
      </c>
      <c r="H194" t="s">
        <v>402</v>
      </c>
      <c r="I194" t="s">
        <v>32</v>
      </c>
      <c r="J194">
        <v>1</v>
      </c>
      <c r="K194">
        <v>1</v>
      </c>
      <c r="L194" s="4">
        <v>3.5000000000000001E-3</v>
      </c>
      <c r="M194">
        <v>0.02</v>
      </c>
      <c r="N194" s="4">
        <v>3.5000000000000001E-3</v>
      </c>
      <c r="O194" s="4">
        <v>0.02</v>
      </c>
    </row>
    <row r="195" spans="2:15">
      <c r="B195" t="s">
        <v>57</v>
      </c>
      <c r="C195" t="s">
        <v>63</v>
      </c>
      <c r="D195" t="s">
        <v>272</v>
      </c>
      <c r="E195" t="s">
        <v>273</v>
      </c>
      <c r="F195" t="s">
        <v>10</v>
      </c>
      <c r="G195" t="s">
        <v>272</v>
      </c>
      <c r="H195" t="s">
        <v>274</v>
      </c>
      <c r="I195" t="s">
        <v>32</v>
      </c>
      <c r="J195">
        <v>11</v>
      </c>
      <c r="K195">
        <v>38</v>
      </c>
      <c r="L195" s="4">
        <v>3.5000000000000001E-3</v>
      </c>
      <c r="M195">
        <v>0.02</v>
      </c>
      <c r="N195" s="4">
        <v>0.13300000000000001</v>
      </c>
      <c r="O195" s="4">
        <v>0.76</v>
      </c>
    </row>
    <row r="196" spans="2:15">
      <c r="B196" t="s">
        <v>57</v>
      </c>
      <c r="C196" t="s">
        <v>114</v>
      </c>
      <c r="D196" t="s">
        <v>169</v>
      </c>
      <c r="E196" t="s">
        <v>170</v>
      </c>
      <c r="F196" t="s">
        <v>10</v>
      </c>
      <c r="G196" t="s">
        <v>169</v>
      </c>
      <c r="H196" t="s">
        <v>171</v>
      </c>
      <c r="I196" t="s">
        <v>32</v>
      </c>
      <c r="J196">
        <v>0</v>
      </c>
      <c r="K196">
        <v>1</v>
      </c>
      <c r="L196" s="4">
        <v>3.5000000000000001E-3</v>
      </c>
      <c r="M196">
        <v>0.02</v>
      </c>
      <c r="N196" s="4">
        <v>3.5000000000000001E-3</v>
      </c>
      <c r="O196" s="4">
        <v>0.02</v>
      </c>
    </row>
    <row r="197" spans="2:15">
      <c r="B197" t="s">
        <v>57</v>
      </c>
      <c r="C197" t="s">
        <v>64</v>
      </c>
      <c r="D197" t="s">
        <v>172</v>
      </c>
      <c r="E197" t="s">
        <v>173</v>
      </c>
      <c r="F197" t="s">
        <v>10</v>
      </c>
      <c r="G197" t="s">
        <v>172</v>
      </c>
      <c r="H197" t="s">
        <v>174</v>
      </c>
      <c r="I197" t="s">
        <v>32</v>
      </c>
      <c r="J197">
        <v>0</v>
      </c>
      <c r="K197">
        <v>4</v>
      </c>
      <c r="L197" s="4">
        <v>3.5000000000000001E-3</v>
      </c>
      <c r="M197">
        <v>0.02</v>
      </c>
      <c r="N197" s="4">
        <v>1.4E-2</v>
      </c>
      <c r="O197" s="4">
        <v>0.08</v>
      </c>
    </row>
    <row r="198" spans="2:15">
      <c r="B198" t="s">
        <v>57</v>
      </c>
      <c r="C198" t="s">
        <v>64</v>
      </c>
      <c r="D198" t="s">
        <v>175</v>
      </c>
      <c r="E198" t="s">
        <v>176</v>
      </c>
      <c r="F198" t="s">
        <v>10</v>
      </c>
      <c r="G198" t="s">
        <v>175</v>
      </c>
      <c r="H198" t="s">
        <v>177</v>
      </c>
      <c r="I198" t="s">
        <v>32</v>
      </c>
      <c r="J198">
        <v>0</v>
      </c>
      <c r="K198">
        <v>3</v>
      </c>
      <c r="L198" s="4">
        <v>3.5000000000000001E-3</v>
      </c>
      <c r="M198">
        <v>0.02</v>
      </c>
      <c r="N198" s="4">
        <v>1.0500000000000001E-2</v>
      </c>
      <c r="O198" s="4">
        <v>0.06</v>
      </c>
    </row>
    <row r="199" spans="2:15">
      <c r="B199" t="s">
        <v>57</v>
      </c>
      <c r="C199" t="s">
        <v>64</v>
      </c>
      <c r="D199" t="s">
        <v>178</v>
      </c>
      <c r="E199" t="s">
        <v>179</v>
      </c>
      <c r="F199" t="s">
        <v>10</v>
      </c>
      <c r="G199" t="s">
        <v>178</v>
      </c>
      <c r="H199" t="s">
        <v>180</v>
      </c>
      <c r="I199" t="s">
        <v>32</v>
      </c>
      <c r="J199">
        <v>0</v>
      </c>
      <c r="K199">
        <v>2</v>
      </c>
      <c r="L199" s="4">
        <v>3.5000000000000001E-3</v>
      </c>
      <c r="M199">
        <v>0.02</v>
      </c>
      <c r="N199" s="4">
        <v>7.0000000000000001E-3</v>
      </c>
      <c r="O199" s="4">
        <v>0.04</v>
      </c>
    </row>
    <row r="200" spans="2:15">
      <c r="B200" t="s">
        <v>57</v>
      </c>
      <c r="C200" t="s">
        <v>64</v>
      </c>
      <c r="D200" t="s">
        <v>181</v>
      </c>
      <c r="E200" t="s">
        <v>182</v>
      </c>
      <c r="F200" t="s">
        <v>10</v>
      </c>
      <c r="G200" t="s">
        <v>181</v>
      </c>
      <c r="H200" t="s">
        <v>183</v>
      </c>
      <c r="I200" t="s">
        <v>32</v>
      </c>
      <c r="J200">
        <v>0</v>
      </c>
      <c r="K200">
        <v>2</v>
      </c>
      <c r="L200" s="4">
        <v>3.5000000000000001E-3</v>
      </c>
      <c r="M200">
        <v>0.02</v>
      </c>
      <c r="N200" s="4">
        <v>7.0000000000000001E-3</v>
      </c>
      <c r="O200" s="4">
        <v>0.04</v>
      </c>
    </row>
    <row r="201" spans="2:15">
      <c r="B201" t="s">
        <v>57</v>
      </c>
      <c r="C201" t="s">
        <v>64</v>
      </c>
      <c r="D201" t="s">
        <v>275</v>
      </c>
      <c r="E201" t="s">
        <v>276</v>
      </c>
      <c r="F201" t="s">
        <v>10</v>
      </c>
      <c r="G201" t="s">
        <v>275</v>
      </c>
      <c r="H201" t="s">
        <v>277</v>
      </c>
      <c r="I201" t="s">
        <v>32</v>
      </c>
      <c r="J201">
        <v>0</v>
      </c>
      <c r="K201">
        <v>3</v>
      </c>
      <c r="L201" s="4">
        <v>3.5000000000000001E-3</v>
      </c>
      <c r="M201">
        <v>0.02</v>
      </c>
      <c r="N201" s="4">
        <v>1.0500000000000001E-2</v>
      </c>
      <c r="O201" s="4">
        <v>0.06</v>
      </c>
    </row>
    <row r="202" spans="2:15">
      <c r="B202" t="s">
        <v>57</v>
      </c>
      <c r="C202" t="s">
        <v>64</v>
      </c>
      <c r="D202" t="s">
        <v>278</v>
      </c>
      <c r="E202" t="s">
        <v>279</v>
      </c>
      <c r="F202" t="s">
        <v>10</v>
      </c>
      <c r="G202" t="s">
        <v>278</v>
      </c>
      <c r="H202" t="s">
        <v>280</v>
      </c>
      <c r="I202" t="s">
        <v>32</v>
      </c>
      <c r="J202">
        <v>0</v>
      </c>
      <c r="K202">
        <v>4</v>
      </c>
      <c r="L202" s="4">
        <v>3.5000000000000001E-3</v>
      </c>
      <c r="M202">
        <v>0.02</v>
      </c>
      <c r="N202" s="4">
        <v>1.4E-2</v>
      </c>
      <c r="O202" s="4">
        <v>0.08</v>
      </c>
    </row>
    <row r="203" spans="2:15">
      <c r="B203" t="s">
        <v>57</v>
      </c>
      <c r="C203" t="s">
        <v>184</v>
      </c>
      <c r="D203" t="s">
        <v>185</v>
      </c>
      <c r="E203" t="s">
        <v>186</v>
      </c>
      <c r="F203" t="s">
        <v>10</v>
      </c>
      <c r="G203" t="s">
        <v>185</v>
      </c>
      <c r="H203" t="s">
        <v>187</v>
      </c>
      <c r="I203" t="s">
        <v>32</v>
      </c>
      <c r="J203">
        <v>0</v>
      </c>
      <c r="K203">
        <v>2</v>
      </c>
      <c r="L203" s="4">
        <v>3.5000000000000001E-3</v>
      </c>
      <c r="M203">
        <v>0.02</v>
      </c>
      <c r="N203" s="4">
        <v>7.0000000000000001E-3</v>
      </c>
      <c r="O203" s="4">
        <v>0.04</v>
      </c>
    </row>
    <row r="204" spans="2:15">
      <c r="B204" t="s">
        <v>57</v>
      </c>
      <c r="C204" t="s">
        <v>184</v>
      </c>
      <c r="D204" t="s">
        <v>188</v>
      </c>
      <c r="E204" t="s">
        <v>189</v>
      </c>
      <c r="F204" t="s">
        <v>10</v>
      </c>
      <c r="G204" t="s">
        <v>188</v>
      </c>
      <c r="H204" t="s">
        <v>190</v>
      </c>
      <c r="I204" t="s">
        <v>32</v>
      </c>
      <c r="J204">
        <v>0</v>
      </c>
      <c r="K204">
        <v>2</v>
      </c>
      <c r="L204" s="4">
        <v>3.5000000000000001E-3</v>
      </c>
      <c r="M204">
        <v>0.02</v>
      </c>
      <c r="N204" s="4">
        <v>7.0000000000000001E-3</v>
      </c>
      <c r="O204" s="4">
        <v>0.04</v>
      </c>
    </row>
    <row r="205" spans="2:15">
      <c r="B205" t="s">
        <v>57</v>
      </c>
      <c r="C205" t="s">
        <v>191</v>
      </c>
      <c r="D205" t="s">
        <v>694</v>
      </c>
      <c r="E205" t="s">
        <v>695</v>
      </c>
      <c r="F205" t="s">
        <v>10</v>
      </c>
      <c r="G205" t="s">
        <v>694</v>
      </c>
      <c r="H205" t="s">
        <v>696</v>
      </c>
      <c r="I205" t="s">
        <v>32</v>
      </c>
      <c r="J205">
        <v>0</v>
      </c>
      <c r="K205">
        <v>4</v>
      </c>
      <c r="L205" s="4">
        <v>3.5000000000000001E-3</v>
      </c>
      <c r="M205">
        <v>0.02</v>
      </c>
      <c r="N205" s="4">
        <v>1.4E-2</v>
      </c>
      <c r="O205" s="4">
        <v>0.08</v>
      </c>
    </row>
    <row r="206" spans="2:15">
      <c r="B206" t="s">
        <v>57</v>
      </c>
      <c r="C206" t="s">
        <v>192</v>
      </c>
      <c r="D206" t="s">
        <v>403</v>
      </c>
      <c r="E206" t="s">
        <v>404</v>
      </c>
      <c r="F206" t="s">
        <v>12</v>
      </c>
      <c r="G206" t="s">
        <v>403</v>
      </c>
      <c r="H206" t="s">
        <v>405</v>
      </c>
      <c r="I206" t="s">
        <v>32</v>
      </c>
      <c r="J206">
        <v>1616</v>
      </c>
      <c r="K206">
        <v>0</v>
      </c>
      <c r="L206" s="4">
        <v>3.8199999999999998E-2</v>
      </c>
      <c r="M206">
        <v>0.09</v>
      </c>
      <c r="N206" s="4">
        <v>6.1731199999999993E-2</v>
      </c>
      <c r="O206" s="4">
        <v>0.14543999999999999</v>
      </c>
    </row>
    <row r="207" spans="2:15">
      <c r="B207" t="s">
        <v>57</v>
      </c>
      <c r="C207" t="s">
        <v>53</v>
      </c>
      <c r="D207" t="s">
        <v>406</v>
      </c>
      <c r="E207" t="s">
        <v>407</v>
      </c>
      <c r="F207" t="s">
        <v>10</v>
      </c>
      <c r="G207" t="s">
        <v>406</v>
      </c>
      <c r="H207" t="s">
        <v>408</v>
      </c>
      <c r="I207" t="s">
        <v>32</v>
      </c>
      <c r="J207">
        <v>0</v>
      </c>
      <c r="K207">
        <v>7</v>
      </c>
      <c r="L207" s="4">
        <v>3.5000000000000001E-3</v>
      </c>
      <c r="M207">
        <v>0.02</v>
      </c>
      <c r="N207" s="4">
        <v>2.4500000000000001E-2</v>
      </c>
      <c r="O207" s="4">
        <v>0.14000000000000001</v>
      </c>
    </row>
    <row r="208" spans="2:15">
      <c r="B208" t="s">
        <v>57</v>
      </c>
      <c r="C208" t="s">
        <v>53</v>
      </c>
      <c r="D208" t="s">
        <v>409</v>
      </c>
      <c r="E208" t="s">
        <v>410</v>
      </c>
      <c r="F208" t="s">
        <v>10</v>
      </c>
      <c r="G208" t="s">
        <v>409</v>
      </c>
      <c r="H208" t="s">
        <v>411</v>
      </c>
      <c r="I208" t="s">
        <v>32</v>
      </c>
      <c r="J208">
        <v>0</v>
      </c>
      <c r="K208">
        <v>1</v>
      </c>
      <c r="L208" s="4">
        <v>3.5000000000000001E-3</v>
      </c>
      <c r="M208">
        <v>0.02</v>
      </c>
      <c r="N208" s="4">
        <v>3.5000000000000001E-3</v>
      </c>
      <c r="O208" s="4">
        <v>0.02</v>
      </c>
    </row>
    <row r="209" spans="2:15">
      <c r="B209" t="s">
        <v>57</v>
      </c>
      <c r="C209" t="s">
        <v>53</v>
      </c>
      <c r="D209" t="s">
        <v>412</v>
      </c>
      <c r="E209" t="s">
        <v>413</v>
      </c>
      <c r="F209" t="s">
        <v>10</v>
      </c>
      <c r="G209" t="s">
        <v>412</v>
      </c>
      <c r="H209" t="s">
        <v>414</v>
      </c>
      <c r="I209" t="s">
        <v>32</v>
      </c>
      <c r="J209">
        <v>0</v>
      </c>
      <c r="K209">
        <v>7</v>
      </c>
      <c r="L209" s="4">
        <v>3.5000000000000001E-3</v>
      </c>
      <c r="M209">
        <v>0.02</v>
      </c>
      <c r="N209" s="4">
        <v>2.4500000000000001E-2</v>
      </c>
      <c r="O209" s="4">
        <v>0.14000000000000001</v>
      </c>
    </row>
    <row r="210" spans="2:15">
      <c r="B210" t="s">
        <v>57</v>
      </c>
      <c r="C210" t="s">
        <v>53</v>
      </c>
      <c r="D210" t="s">
        <v>415</v>
      </c>
      <c r="E210" t="s">
        <v>416</v>
      </c>
      <c r="F210" t="s">
        <v>10</v>
      </c>
      <c r="G210" t="s">
        <v>415</v>
      </c>
      <c r="H210" t="s">
        <v>417</v>
      </c>
      <c r="I210" t="s">
        <v>32</v>
      </c>
      <c r="J210">
        <v>0</v>
      </c>
      <c r="K210">
        <v>2</v>
      </c>
      <c r="L210" s="4">
        <v>3.5000000000000001E-3</v>
      </c>
      <c r="M210">
        <v>0.02</v>
      </c>
      <c r="N210" s="4">
        <v>7.0000000000000001E-3</v>
      </c>
      <c r="O210" s="4">
        <v>0.04</v>
      </c>
    </row>
    <row r="211" spans="2:15">
      <c r="B211" t="s">
        <v>57</v>
      </c>
      <c r="C211" t="s">
        <v>53</v>
      </c>
      <c r="D211" t="s">
        <v>418</v>
      </c>
      <c r="E211" t="s">
        <v>419</v>
      </c>
      <c r="F211" t="s">
        <v>10</v>
      </c>
      <c r="G211" t="s">
        <v>418</v>
      </c>
      <c r="H211" t="s">
        <v>420</v>
      </c>
      <c r="I211" t="s">
        <v>32</v>
      </c>
      <c r="J211">
        <v>0</v>
      </c>
      <c r="K211">
        <v>7</v>
      </c>
      <c r="L211" s="4">
        <v>3.5000000000000001E-3</v>
      </c>
      <c r="M211">
        <v>0.02</v>
      </c>
      <c r="N211" s="4">
        <v>2.4500000000000001E-2</v>
      </c>
      <c r="O211" s="4">
        <v>0.14000000000000001</v>
      </c>
    </row>
    <row r="212" spans="2:15">
      <c r="B212" t="s">
        <v>57</v>
      </c>
      <c r="C212" t="s">
        <v>53</v>
      </c>
      <c r="D212" t="s">
        <v>421</v>
      </c>
      <c r="E212" t="s">
        <v>422</v>
      </c>
      <c r="F212" t="s">
        <v>10</v>
      </c>
      <c r="G212" t="s">
        <v>421</v>
      </c>
      <c r="H212" t="s">
        <v>423</v>
      </c>
      <c r="I212" t="s">
        <v>32</v>
      </c>
      <c r="J212">
        <v>0</v>
      </c>
      <c r="K212">
        <v>1</v>
      </c>
      <c r="L212" s="4">
        <v>3.5000000000000001E-3</v>
      </c>
      <c r="M212">
        <v>0.02</v>
      </c>
      <c r="N212" s="4">
        <v>3.5000000000000001E-3</v>
      </c>
      <c r="O212" s="4">
        <v>0.02</v>
      </c>
    </row>
    <row r="213" spans="2:15">
      <c r="B213" t="s">
        <v>57</v>
      </c>
      <c r="C213" t="s">
        <v>53</v>
      </c>
      <c r="D213" t="s">
        <v>193</v>
      </c>
      <c r="E213" t="s">
        <v>194</v>
      </c>
      <c r="F213" t="s">
        <v>10</v>
      </c>
      <c r="G213" t="s">
        <v>193</v>
      </c>
      <c r="H213" t="s">
        <v>195</v>
      </c>
      <c r="I213" t="s">
        <v>32</v>
      </c>
      <c r="J213">
        <v>0</v>
      </c>
      <c r="K213">
        <v>2</v>
      </c>
      <c r="L213" s="4">
        <v>3.5000000000000001E-3</v>
      </c>
      <c r="M213">
        <v>0.02</v>
      </c>
      <c r="N213" s="4">
        <v>7.0000000000000001E-3</v>
      </c>
      <c r="O213" s="4">
        <v>0.04</v>
      </c>
    </row>
    <row r="214" spans="2:15">
      <c r="B214" t="s">
        <v>57</v>
      </c>
      <c r="C214" t="s">
        <v>53</v>
      </c>
      <c r="D214" t="s">
        <v>115</v>
      </c>
      <c r="E214" t="s">
        <v>116</v>
      </c>
      <c r="F214" t="s">
        <v>10</v>
      </c>
      <c r="G214" t="s">
        <v>115</v>
      </c>
      <c r="H214" t="s">
        <v>117</v>
      </c>
      <c r="I214" t="s">
        <v>32</v>
      </c>
      <c r="J214">
        <v>0</v>
      </c>
      <c r="K214">
        <v>6</v>
      </c>
      <c r="L214" s="4">
        <v>3.5000000000000001E-3</v>
      </c>
      <c r="M214">
        <v>0.02</v>
      </c>
      <c r="N214" s="4">
        <v>2.1000000000000001E-2</v>
      </c>
      <c r="O214" s="4">
        <v>0.12</v>
      </c>
    </row>
    <row r="215" spans="2:15">
      <c r="B215" t="s">
        <v>57</v>
      </c>
      <c r="C215" t="s">
        <v>53</v>
      </c>
      <c r="D215" t="s">
        <v>697</v>
      </c>
      <c r="E215" t="s">
        <v>698</v>
      </c>
      <c r="F215" t="s">
        <v>10</v>
      </c>
      <c r="G215" t="s">
        <v>697</v>
      </c>
      <c r="H215" t="s">
        <v>699</v>
      </c>
      <c r="I215" t="s">
        <v>32</v>
      </c>
      <c r="J215">
        <v>0</v>
      </c>
      <c r="K215">
        <v>7</v>
      </c>
      <c r="L215" s="4">
        <v>3.5000000000000001E-3</v>
      </c>
      <c r="M215">
        <v>0.02</v>
      </c>
      <c r="N215" s="4">
        <v>2.4500000000000001E-2</v>
      </c>
      <c r="O215" s="4">
        <v>0.14000000000000001</v>
      </c>
    </row>
    <row r="216" spans="2:15">
      <c r="B216" t="s">
        <v>57</v>
      </c>
      <c r="C216" t="s">
        <v>53</v>
      </c>
      <c r="D216" t="s">
        <v>196</v>
      </c>
      <c r="E216" t="s">
        <v>197</v>
      </c>
      <c r="F216" t="s">
        <v>10</v>
      </c>
      <c r="G216" t="s">
        <v>196</v>
      </c>
      <c r="H216" t="s">
        <v>198</v>
      </c>
      <c r="I216" t="s">
        <v>32</v>
      </c>
      <c r="J216">
        <v>0</v>
      </c>
      <c r="K216">
        <v>1</v>
      </c>
      <c r="L216" s="4">
        <v>3.5000000000000001E-3</v>
      </c>
      <c r="M216">
        <v>0.02</v>
      </c>
      <c r="N216" s="4">
        <v>3.5000000000000001E-3</v>
      </c>
      <c r="O216" s="4">
        <v>0.02</v>
      </c>
    </row>
    <row r="217" spans="2:15">
      <c r="B217" t="s">
        <v>57</v>
      </c>
      <c r="C217" t="s">
        <v>53</v>
      </c>
      <c r="D217" t="s">
        <v>66</v>
      </c>
      <c r="E217" t="s">
        <v>59</v>
      </c>
      <c r="F217" t="s">
        <v>10</v>
      </c>
      <c r="G217" t="s">
        <v>66</v>
      </c>
      <c r="H217" t="s">
        <v>60</v>
      </c>
      <c r="I217" t="s">
        <v>32</v>
      </c>
      <c r="J217">
        <v>0</v>
      </c>
      <c r="K217">
        <v>3</v>
      </c>
      <c r="L217" s="4">
        <v>3.5000000000000001E-3</v>
      </c>
      <c r="M217">
        <v>0.02</v>
      </c>
      <c r="N217" s="4">
        <v>1.0500000000000001E-2</v>
      </c>
      <c r="O217" s="4">
        <v>0.06</v>
      </c>
    </row>
    <row r="218" spans="2:15">
      <c r="B218" t="s">
        <v>57</v>
      </c>
      <c r="C218" t="s">
        <v>53</v>
      </c>
      <c r="D218" t="s">
        <v>834</v>
      </c>
      <c r="E218" t="s">
        <v>835</v>
      </c>
      <c r="F218" t="s">
        <v>10</v>
      </c>
      <c r="G218" t="s">
        <v>834</v>
      </c>
      <c r="H218" t="s">
        <v>836</v>
      </c>
      <c r="I218" t="s">
        <v>32</v>
      </c>
      <c r="J218">
        <v>0</v>
      </c>
      <c r="K218">
        <v>1</v>
      </c>
      <c r="L218" s="4">
        <v>3.5000000000000001E-3</v>
      </c>
      <c r="M218">
        <v>0.02</v>
      </c>
      <c r="N218" s="4">
        <v>3.5000000000000001E-3</v>
      </c>
      <c r="O218" s="4">
        <v>0.02</v>
      </c>
    </row>
    <row r="219" spans="2:15">
      <c r="B219" t="s">
        <v>57</v>
      </c>
      <c r="C219" t="s">
        <v>53</v>
      </c>
      <c r="D219" t="s">
        <v>281</v>
      </c>
      <c r="E219" t="s">
        <v>282</v>
      </c>
      <c r="F219" t="s">
        <v>10</v>
      </c>
      <c r="G219" t="s">
        <v>281</v>
      </c>
      <c r="H219" t="s">
        <v>283</v>
      </c>
      <c r="I219" t="s">
        <v>32</v>
      </c>
      <c r="J219">
        <v>0</v>
      </c>
      <c r="K219">
        <v>1</v>
      </c>
      <c r="L219" s="4">
        <v>3.5000000000000001E-3</v>
      </c>
      <c r="M219">
        <v>0.02</v>
      </c>
      <c r="N219" s="4">
        <v>3.5000000000000001E-3</v>
      </c>
      <c r="O219" s="4">
        <v>0.02</v>
      </c>
    </row>
    <row r="220" spans="2:15">
      <c r="B220" t="s">
        <v>57</v>
      </c>
      <c r="C220" t="s">
        <v>53</v>
      </c>
      <c r="D220" t="s">
        <v>284</v>
      </c>
      <c r="E220" t="s">
        <v>285</v>
      </c>
      <c r="F220" t="s">
        <v>10</v>
      </c>
      <c r="G220" t="s">
        <v>284</v>
      </c>
      <c r="H220" t="s">
        <v>286</v>
      </c>
      <c r="I220" t="s">
        <v>32</v>
      </c>
      <c r="J220">
        <v>0</v>
      </c>
      <c r="K220">
        <v>7</v>
      </c>
      <c r="L220" s="4">
        <v>3.5000000000000001E-3</v>
      </c>
      <c r="M220">
        <v>0.02</v>
      </c>
      <c r="N220" s="4">
        <v>2.4500000000000001E-2</v>
      </c>
      <c r="O220" s="4">
        <v>0.14000000000000001</v>
      </c>
    </row>
    <row r="221" spans="2:15">
      <c r="B221" t="s">
        <v>57</v>
      </c>
      <c r="C221" t="s">
        <v>53</v>
      </c>
      <c r="D221" t="s">
        <v>287</v>
      </c>
      <c r="E221" t="s">
        <v>288</v>
      </c>
      <c r="F221" t="s">
        <v>10</v>
      </c>
      <c r="G221" t="s">
        <v>287</v>
      </c>
      <c r="H221" t="s">
        <v>289</v>
      </c>
      <c r="I221" t="s">
        <v>32</v>
      </c>
      <c r="J221">
        <v>0</v>
      </c>
      <c r="K221">
        <v>13</v>
      </c>
      <c r="L221" s="4">
        <v>3.5000000000000001E-3</v>
      </c>
      <c r="M221">
        <v>0.02</v>
      </c>
      <c r="N221" s="4">
        <v>4.5499999999999999E-2</v>
      </c>
      <c r="O221" s="4">
        <v>0.26</v>
      </c>
    </row>
    <row r="222" spans="2:15">
      <c r="B222" t="s">
        <v>57</v>
      </c>
      <c r="C222" t="s">
        <v>53</v>
      </c>
      <c r="D222" t="s">
        <v>199</v>
      </c>
      <c r="E222" t="s">
        <v>200</v>
      </c>
      <c r="F222" t="s">
        <v>10</v>
      </c>
      <c r="G222" t="s">
        <v>199</v>
      </c>
      <c r="H222" t="s">
        <v>201</v>
      </c>
      <c r="I222" t="s">
        <v>32</v>
      </c>
      <c r="J222">
        <v>0</v>
      </c>
      <c r="K222">
        <v>2</v>
      </c>
      <c r="L222" s="4">
        <v>3.5000000000000001E-3</v>
      </c>
      <c r="M222">
        <v>0.02</v>
      </c>
      <c r="N222" s="4">
        <v>7.0000000000000001E-3</v>
      </c>
      <c r="O222" s="4">
        <v>0.04</v>
      </c>
    </row>
    <row r="223" spans="2:15">
      <c r="B223" t="s">
        <v>57</v>
      </c>
      <c r="C223" t="s">
        <v>53</v>
      </c>
      <c r="D223" t="s">
        <v>290</v>
      </c>
      <c r="E223" t="s">
        <v>291</v>
      </c>
      <c r="F223" t="s">
        <v>10</v>
      </c>
      <c r="G223" t="s">
        <v>290</v>
      </c>
      <c r="H223" t="s">
        <v>292</v>
      </c>
      <c r="I223" t="s">
        <v>32</v>
      </c>
      <c r="J223">
        <v>0</v>
      </c>
      <c r="K223">
        <v>1</v>
      </c>
      <c r="L223" s="4">
        <v>3.5000000000000001E-3</v>
      </c>
      <c r="M223">
        <v>0.02</v>
      </c>
      <c r="N223" s="4">
        <v>3.5000000000000001E-3</v>
      </c>
      <c r="O223" s="4">
        <v>0.02</v>
      </c>
    </row>
    <row r="224" spans="2:15">
      <c r="B224" t="s">
        <v>57</v>
      </c>
      <c r="C224" t="s">
        <v>53</v>
      </c>
      <c r="D224" t="s">
        <v>293</v>
      </c>
      <c r="E224" t="s">
        <v>294</v>
      </c>
      <c r="F224" t="s">
        <v>10</v>
      </c>
      <c r="G224" t="s">
        <v>293</v>
      </c>
      <c r="H224" t="s">
        <v>295</v>
      </c>
      <c r="I224" t="s">
        <v>32</v>
      </c>
      <c r="J224">
        <v>0</v>
      </c>
      <c r="K224">
        <v>8</v>
      </c>
      <c r="L224" s="4">
        <v>3.5000000000000001E-3</v>
      </c>
      <c r="M224">
        <v>0.02</v>
      </c>
      <c r="N224" s="4">
        <v>2.8000000000000001E-2</v>
      </c>
      <c r="O224" s="4">
        <v>0.16</v>
      </c>
    </row>
    <row r="225" spans="2:15">
      <c r="B225" t="s">
        <v>57</v>
      </c>
      <c r="C225" t="s">
        <v>53</v>
      </c>
      <c r="D225" t="s">
        <v>837</v>
      </c>
      <c r="E225" t="s">
        <v>838</v>
      </c>
      <c r="F225" t="s">
        <v>12</v>
      </c>
      <c r="G225" t="s">
        <v>837</v>
      </c>
      <c r="H225" t="s">
        <v>839</v>
      </c>
      <c r="I225" t="s">
        <v>32</v>
      </c>
      <c r="J225">
        <v>1</v>
      </c>
      <c r="K225">
        <v>0</v>
      </c>
      <c r="L225" s="4">
        <v>3.8199999999999998E-2</v>
      </c>
      <c r="M225">
        <v>0.09</v>
      </c>
      <c r="N225" s="4">
        <v>3.82E-5</v>
      </c>
      <c r="O225" s="4">
        <v>8.9999999999999992E-5</v>
      </c>
    </row>
    <row r="226" spans="2:15">
      <c r="B226" t="s">
        <v>57</v>
      </c>
      <c r="C226" t="s">
        <v>53</v>
      </c>
      <c r="D226" t="s">
        <v>840</v>
      </c>
      <c r="E226" t="s">
        <v>841</v>
      </c>
      <c r="F226" t="s">
        <v>10</v>
      </c>
      <c r="G226" t="s">
        <v>840</v>
      </c>
      <c r="H226" t="s">
        <v>842</v>
      </c>
      <c r="I226" t="s">
        <v>32</v>
      </c>
      <c r="J226">
        <v>0</v>
      </c>
      <c r="K226">
        <v>5</v>
      </c>
      <c r="L226" s="4">
        <v>3.5000000000000001E-3</v>
      </c>
      <c r="M226">
        <v>0.02</v>
      </c>
      <c r="N226" s="4">
        <v>1.7500000000000002E-2</v>
      </c>
      <c r="O226" s="4">
        <v>0.1</v>
      </c>
    </row>
    <row r="227" spans="2:15">
      <c r="B227" t="s">
        <v>57</v>
      </c>
      <c r="C227" t="s">
        <v>53</v>
      </c>
      <c r="D227" t="s">
        <v>700</v>
      </c>
      <c r="E227" t="s">
        <v>701</v>
      </c>
      <c r="F227" t="s">
        <v>10</v>
      </c>
      <c r="G227" t="s">
        <v>700</v>
      </c>
      <c r="H227" t="s">
        <v>702</v>
      </c>
      <c r="I227" t="s">
        <v>32</v>
      </c>
      <c r="J227">
        <v>0</v>
      </c>
      <c r="K227">
        <v>2</v>
      </c>
      <c r="L227" s="4">
        <v>3.5000000000000001E-3</v>
      </c>
      <c r="M227">
        <v>0.02</v>
      </c>
      <c r="N227" s="4">
        <v>7.0000000000000001E-3</v>
      </c>
      <c r="O227" s="4">
        <v>0.04</v>
      </c>
    </row>
    <row r="228" spans="2:15">
      <c r="B228" t="s">
        <v>57</v>
      </c>
      <c r="C228" t="s">
        <v>53</v>
      </c>
      <c r="D228" t="s">
        <v>703</v>
      </c>
      <c r="E228" t="s">
        <v>704</v>
      </c>
      <c r="F228" t="s">
        <v>10</v>
      </c>
      <c r="G228" t="s">
        <v>703</v>
      </c>
      <c r="H228" t="s">
        <v>705</v>
      </c>
      <c r="I228" t="s">
        <v>32</v>
      </c>
      <c r="J228">
        <v>0</v>
      </c>
      <c r="K228">
        <v>13</v>
      </c>
      <c r="L228" s="4">
        <v>3.5000000000000001E-3</v>
      </c>
      <c r="M228">
        <v>0.02</v>
      </c>
      <c r="N228" s="4">
        <v>4.5499999999999999E-2</v>
      </c>
      <c r="O228" s="4">
        <v>0.26</v>
      </c>
    </row>
    <row r="229" spans="2:15">
      <c r="B229" t="s">
        <v>57</v>
      </c>
      <c r="C229" t="s">
        <v>53</v>
      </c>
      <c r="D229" t="s">
        <v>296</v>
      </c>
      <c r="E229" t="s">
        <v>297</v>
      </c>
      <c r="F229" t="s">
        <v>10</v>
      </c>
      <c r="G229" t="s">
        <v>296</v>
      </c>
      <c r="H229" t="s">
        <v>298</v>
      </c>
      <c r="I229" t="s">
        <v>32</v>
      </c>
      <c r="J229">
        <v>0</v>
      </c>
      <c r="K229">
        <v>3</v>
      </c>
      <c r="L229" s="4">
        <v>3.5000000000000001E-3</v>
      </c>
      <c r="M229">
        <v>0.02</v>
      </c>
      <c r="N229" s="4">
        <v>1.0500000000000001E-2</v>
      </c>
      <c r="O229" s="4">
        <v>0.06</v>
      </c>
    </row>
    <row r="230" spans="2:15">
      <c r="B230" t="s">
        <v>57</v>
      </c>
      <c r="C230" t="s">
        <v>53</v>
      </c>
      <c r="D230" t="s">
        <v>299</v>
      </c>
      <c r="E230" t="s">
        <v>300</v>
      </c>
      <c r="F230" t="s">
        <v>10</v>
      </c>
      <c r="G230" t="s">
        <v>299</v>
      </c>
      <c r="H230" t="s">
        <v>301</v>
      </c>
      <c r="I230" t="s">
        <v>32</v>
      </c>
      <c r="J230">
        <v>0</v>
      </c>
      <c r="K230">
        <v>2</v>
      </c>
      <c r="L230" s="4">
        <v>3.5000000000000001E-3</v>
      </c>
      <c r="M230">
        <v>0.02</v>
      </c>
      <c r="N230" s="4">
        <v>7.0000000000000001E-3</v>
      </c>
      <c r="O230" s="4">
        <v>0.04</v>
      </c>
    </row>
    <row r="231" spans="2:15">
      <c r="B231" t="s">
        <v>57</v>
      </c>
      <c r="C231" t="s">
        <v>53</v>
      </c>
      <c r="D231" t="s">
        <v>302</v>
      </c>
      <c r="E231" t="s">
        <v>303</v>
      </c>
      <c r="F231" t="s">
        <v>10</v>
      </c>
      <c r="G231" t="s">
        <v>302</v>
      </c>
      <c r="H231" t="s">
        <v>304</v>
      </c>
      <c r="I231" t="s">
        <v>32</v>
      </c>
      <c r="J231">
        <v>0</v>
      </c>
      <c r="K231">
        <v>3</v>
      </c>
      <c r="L231" s="4">
        <v>3.5000000000000001E-3</v>
      </c>
      <c r="M231">
        <v>0.02</v>
      </c>
      <c r="N231" s="4">
        <v>1.0500000000000001E-2</v>
      </c>
      <c r="O231" s="4">
        <v>0.06</v>
      </c>
    </row>
    <row r="232" spans="2:15">
      <c r="B232" t="s">
        <v>57</v>
      </c>
      <c r="C232" t="s">
        <v>53</v>
      </c>
      <c r="D232" t="s">
        <v>305</v>
      </c>
      <c r="E232" t="s">
        <v>306</v>
      </c>
      <c r="F232" t="s">
        <v>10</v>
      </c>
      <c r="G232" t="s">
        <v>305</v>
      </c>
      <c r="H232" t="s">
        <v>307</v>
      </c>
      <c r="I232" t="s">
        <v>32</v>
      </c>
      <c r="J232">
        <v>0</v>
      </c>
      <c r="K232">
        <v>1</v>
      </c>
      <c r="L232" s="4">
        <v>3.5000000000000001E-3</v>
      </c>
      <c r="M232">
        <v>0.02</v>
      </c>
      <c r="N232" s="4">
        <v>3.5000000000000001E-3</v>
      </c>
      <c r="O232" s="4">
        <v>0.02</v>
      </c>
    </row>
    <row r="233" spans="2:15">
      <c r="B233" t="s">
        <v>57</v>
      </c>
      <c r="C233" t="s">
        <v>53</v>
      </c>
      <c r="D233" t="s">
        <v>308</v>
      </c>
      <c r="E233" t="s">
        <v>309</v>
      </c>
      <c r="F233" t="s">
        <v>10</v>
      </c>
      <c r="G233" t="s">
        <v>308</v>
      </c>
      <c r="H233" t="s">
        <v>310</v>
      </c>
      <c r="I233" t="s">
        <v>32</v>
      </c>
      <c r="J233">
        <v>4</v>
      </c>
      <c r="K233">
        <v>5</v>
      </c>
      <c r="L233" s="4">
        <v>3.5000000000000001E-3</v>
      </c>
      <c r="M233">
        <v>0.02</v>
      </c>
      <c r="N233" s="4">
        <v>1.7500000000000002E-2</v>
      </c>
      <c r="O233" s="4">
        <v>0.1</v>
      </c>
    </row>
    <row r="234" spans="2:15">
      <c r="B234" t="s">
        <v>57</v>
      </c>
      <c r="C234" t="s">
        <v>53</v>
      </c>
      <c r="D234" t="s">
        <v>202</v>
      </c>
      <c r="E234" t="s">
        <v>203</v>
      </c>
      <c r="F234" t="s">
        <v>10</v>
      </c>
      <c r="G234" t="s">
        <v>202</v>
      </c>
      <c r="H234" t="s">
        <v>204</v>
      </c>
      <c r="I234" t="s">
        <v>32</v>
      </c>
      <c r="J234">
        <v>0</v>
      </c>
      <c r="K234">
        <v>1</v>
      </c>
      <c r="L234" s="4">
        <v>3.5000000000000001E-3</v>
      </c>
      <c r="M234">
        <v>0.02</v>
      </c>
      <c r="N234" s="4">
        <v>3.5000000000000001E-3</v>
      </c>
      <c r="O234" s="4">
        <v>0.02</v>
      </c>
    </row>
    <row r="235" spans="2:15">
      <c r="B235" t="s">
        <v>57</v>
      </c>
      <c r="C235" t="s">
        <v>53</v>
      </c>
      <c r="D235" t="s">
        <v>706</v>
      </c>
      <c r="E235" t="s">
        <v>707</v>
      </c>
      <c r="F235" t="s">
        <v>12</v>
      </c>
      <c r="G235" t="s">
        <v>706</v>
      </c>
      <c r="H235" t="s">
        <v>708</v>
      </c>
      <c r="I235" t="s">
        <v>32</v>
      </c>
      <c r="J235">
        <v>286453</v>
      </c>
      <c r="K235">
        <v>4319</v>
      </c>
      <c r="L235" s="4">
        <v>3.8199999999999998E-2</v>
      </c>
      <c r="M235">
        <v>0.09</v>
      </c>
      <c r="N235" s="4">
        <v>10.942504599999999</v>
      </c>
      <c r="O235" s="4">
        <v>25.78077</v>
      </c>
    </row>
    <row r="236" spans="2:15">
      <c r="B236" t="s">
        <v>57</v>
      </c>
      <c r="C236" t="s">
        <v>53</v>
      </c>
      <c r="D236" t="s">
        <v>709</v>
      </c>
      <c r="E236" t="s">
        <v>710</v>
      </c>
      <c r="F236" t="s">
        <v>12</v>
      </c>
      <c r="G236" t="s">
        <v>709</v>
      </c>
      <c r="H236" t="s">
        <v>711</v>
      </c>
      <c r="I236" t="s">
        <v>32</v>
      </c>
      <c r="J236">
        <v>308363</v>
      </c>
      <c r="K236">
        <v>3403</v>
      </c>
      <c r="L236" s="4">
        <v>3.8199999999999998E-2</v>
      </c>
      <c r="M236">
        <v>0.09</v>
      </c>
      <c r="N236" s="4">
        <v>11.779466599999999</v>
      </c>
      <c r="O236" s="4">
        <v>27.752669999999998</v>
      </c>
    </row>
    <row r="237" spans="2:15">
      <c r="B237" t="s">
        <v>57</v>
      </c>
      <c r="C237" t="s">
        <v>53</v>
      </c>
      <c r="D237" t="s">
        <v>712</v>
      </c>
      <c r="E237" t="s">
        <v>713</v>
      </c>
      <c r="F237" t="s">
        <v>12</v>
      </c>
      <c r="G237" t="s">
        <v>712</v>
      </c>
      <c r="H237" t="s">
        <v>714</v>
      </c>
      <c r="I237" t="s">
        <v>32</v>
      </c>
      <c r="J237">
        <v>184091</v>
      </c>
      <c r="K237">
        <v>2756</v>
      </c>
      <c r="L237" s="4">
        <v>3.8199999999999998E-2</v>
      </c>
      <c r="M237">
        <v>0.09</v>
      </c>
      <c r="N237" s="4">
        <v>7.0322761999999992</v>
      </c>
      <c r="O237" s="4">
        <v>16.568189999999998</v>
      </c>
    </row>
    <row r="238" spans="2:15">
      <c r="B238" t="s">
        <v>57</v>
      </c>
      <c r="C238" t="s">
        <v>53</v>
      </c>
      <c r="D238" t="s">
        <v>715</v>
      </c>
      <c r="E238" t="s">
        <v>716</v>
      </c>
      <c r="F238" t="s">
        <v>12</v>
      </c>
      <c r="G238" t="s">
        <v>715</v>
      </c>
      <c r="H238" t="s">
        <v>717</v>
      </c>
      <c r="I238" t="s">
        <v>32</v>
      </c>
      <c r="J238">
        <v>242240</v>
      </c>
      <c r="K238">
        <v>2645</v>
      </c>
      <c r="L238" s="4">
        <v>3.8199999999999998E-2</v>
      </c>
      <c r="M238">
        <v>0.09</v>
      </c>
      <c r="N238" s="4">
        <v>9.2535679999999996</v>
      </c>
      <c r="O238" s="4">
        <v>21.801599999999997</v>
      </c>
    </row>
    <row r="239" spans="2:15">
      <c r="B239" t="s">
        <v>57</v>
      </c>
      <c r="C239" t="s">
        <v>53</v>
      </c>
      <c r="D239" t="s">
        <v>718</v>
      </c>
      <c r="E239" t="s">
        <v>719</v>
      </c>
      <c r="F239" t="s">
        <v>12</v>
      </c>
      <c r="G239" t="s">
        <v>718</v>
      </c>
      <c r="H239" t="s">
        <v>720</v>
      </c>
      <c r="I239" t="s">
        <v>32</v>
      </c>
      <c r="J239">
        <v>453446</v>
      </c>
      <c r="K239">
        <v>5542</v>
      </c>
      <c r="L239" s="4">
        <v>3.8199999999999998E-2</v>
      </c>
      <c r="M239">
        <v>0.09</v>
      </c>
      <c r="N239" s="4">
        <v>17.321637199999998</v>
      </c>
      <c r="O239" s="4">
        <v>40.810139999999997</v>
      </c>
    </row>
    <row r="240" spans="2:15">
      <c r="B240" t="s">
        <v>57</v>
      </c>
      <c r="C240" t="s">
        <v>53</v>
      </c>
      <c r="D240" t="s">
        <v>721</v>
      </c>
      <c r="E240" t="s">
        <v>722</v>
      </c>
      <c r="F240" t="s">
        <v>12</v>
      </c>
      <c r="G240" t="s">
        <v>721</v>
      </c>
      <c r="H240" t="s">
        <v>723</v>
      </c>
      <c r="I240" t="s">
        <v>32</v>
      </c>
      <c r="J240">
        <v>380045</v>
      </c>
      <c r="K240">
        <v>2903</v>
      </c>
      <c r="L240" s="4">
        <v>3.8199999999999998E-2</v>
      </c>
      <c r="M240">
        <v>0.09</v>
      </c>
      <c r="N240" s="4">
        <v>14.517719</v>
      </c>
      <c r="O240" s="4">
        <v>34.204049999999995</v>
      </c>
    </row>
    <row r="241" spans="2:15">
      <c r="B241" t="s">
        <v>57</v>
      </c>
      <c r="C241" t="s">
        <v>53</v>
      </c>
      <c r="D241" t="s">
        <v>724</v>
      </c>
      <c r="E241" t="s">
        <v>725</v>
      </c>
      <c r="F241" t="s">
        <v>12</v>
      </c>
      <c r="G241" t="s">
        <v>724</v>
      </c>
      <c r="H241" t="s">
        <v>726</v>
      </c>
      <c r="I241" t="s">
        <v>32</v>
      </c>
      <c r="J241">
        <v>326397</v>
      </c>
      <c r="K241">
        <v>7092</v>
      </c>
      <c r="L241" s="4">
        <v>3.8199999999999998E-2</v>
      </c>
      <c r="M241">
        <v>0.09</v>
      </c>
      <c r="N241" s="4">
        <v>12.468365399999998</v>
      </c>
      <c r="O241" s="4">
        <v>29.375730000000001</v>
      </c>
    </row>
    <row r="242" spans="2:15">
      <c r="B242" t="s">
        <v>57</v>
      </c>
      <c r="C242" t="s">
        <v>53</v>
      </c>
      <c r="D242" t="s">
        <v>118</v>
      </c>
      <c r="E242" t="s">
        <v>119</v>
      </c>
      <c r="F242" t="s">
        <v>10</v>
      </c>
      <c r="G242" t="s">
        <v>118</v>
      </c>
      <c r="H242" t="s">
        <v>120</v>
      </c>
      <c r="I242" t="s">
        <v>32</v>
      </c>
      <c r="J242">
        <v>0</v>
      </c>
      <c r="K242">
        <v>1</v>
      </c>
      <c r="L242" s="4">
        <v>3.5000000000000001E-3</v>
      </c>
      <c r="M242">
        <v>0.02</v>
      </c>
      <c r="N242" s="4">
        <v>3.5000000000000001E-3</v>
      </c>
      <c r="O242" s="4">
        <v>0.02</v>
      </c>
    </row>
    <row r="243" spans="2:15">
      <c r="B243" t="s">
        <v>57</v>
      </c>
      <c r="C243" t="s">
        <v>53</v>
      </c>
      <c r="D243" t="s">
        <v>311</v>
      </c>
      <c r="E243" t="s">
        <v>312</v>
      </c>
      <c r="F243" t="s">
        <v>10</v>
      </c>
      <c r="G243" t="s">
        <v>311</v>
      </c>
      <c r="H243" t="s">
        <v>313</v>
      </c>
      <c r="I243" t="s">
        <v>32</v>
      </c>
      <c r="J243">
        <v>0</v>
      </c>
      <c r="K243">
        <v>5</v>
      </c>
      <c r="L243" s="4">
        <v>3.5000000000000001E-3</v>
      </c>
      <c r="M243">
        <v>0.02</v>
      </c>
      <c r="N243" s="4">
        <v>1.7500000000000002E-2</v>
      </c>
      <c r="O243" s="4">
        <v>0.1</v>
      </c>
    </row>
    <row r="244" spans="2:15">
      <c r="B244" t="s">
        <v>57</v>
      </c>
      <c r="C244" t="s">
        <v>53</v>
      </c>
      <c r="D244" t="s">
        <v>727</v>
      </c>
      <c r="E244" t="s">
        <v>728</v>
      </c>
      <c r="F244" t="s">
        <v>12</v>
      </c>
      <c r="G244" t="s">
        <v>727</v>
      </c>
      <c r="H244" t="s">
        <v>729</v>
      </c>
      <c r="I244" t="s">
        <v>32</v>
      </c>
      <c r="J244">
        <v>81468</v>
      </c>
      <c r="K244">
        <v>796</v>
      </c>
      <c r="L244" s="4">
        <v>3.8199999999999998E-2</v>
      </c>
      <c r="M244">
        <v>0.09</v>
      </c>
      <c r="N244" s="4">
        <v>3.1120775999999997</v>
      </c>
      <c r="O244" s="4">
        <v>7.3321199999999997</v>
      </c>
    </row>
    <row r="245" spans="2:15">
      <c r="B245" t="s">
        <v>57</v>
      </c>
      <c r="C245" t="s">
        <v>53</v>
      </c>
      <c r="D245" t="s">
        <v>121</v>
      </c>
      <c r="E245" t="s">
        <v>122</v>
      </c>
      <c r="F245" t="s">
        <v>10</v>
      </c>
      <c r="G245" t="s">
        <v>121</v>
      </c>
      <c r="H245" t="s">
        <v>123</v>
      </c>
      <c r="I245" t="s">
        <v>32</v>
      </c>
      <c r="J245">
        <v>0</v>
      </c>
      <c r="K245">
        <v>4</v>
      </c>
      <c r="L245" s="4">
        <v>3.5000000000000001E-3</v>
      </c>
      <c r="M245">
        <v>0.02</v>
      </c>
      <c r="N245" s="4">
        <v>1.4E-2</v>
      </c>
      <c r="O245" s="4">
        <v>0.08</v>
      </c>
    </row>
    <row r="246" spans="2:15">
      <c r="B246" t="s">
        <v>57</v>
      </c>
      <c r="C246" t="s">
        <v>53</v>
      </c>
      <c r="D246" t="s">
        <v>124</v>
      </c>
      <c r="E246" t="s">
        <v>125</v>
      </c>
      <c r="F246" t="s">
        <v>10</v>
      </c>
      <c r="G246" t="s">
        <v>124</v>
      </c>
      <c r="H246" t="s">
        <v>126</v>
      </c>
      <c r="I246" t="s">
        <v>32</v>
      </c>
      <c r="J246">
        <v>0</v>
      </c>
      <c r="K246">
        <v>2</v>
      </c>
      <c r="L246" s="4">
        <v>3.5000000000000001E-3</v>
      </c>
      <c r="M246">
        <v>0.02</v>
      </c>
      <c r="N246" s="4">
        <v>7.0000000000000001E-3</v>
      </c>
      <c r="O246" s="4">
        <v>0.04</v>
      </c>
    </row>
    <row r="247" spans="2:15">
      <c r="B247" t="s">
        <v>57</v>
      </c>
      <c r="C247" t="s">
        <v>53</v>
      </c>
      <c r="D247" t="s">
        <v>730</v>
      </c>
      <c r="E247" t="s">
        <v>731</v>
      </c>
      <c r="F247" t="s">
        <v>10</v>
      </c>
      <c r="G247" t="s">
        <v>730</v>
      </c>
      <c r="H247" t="s">
        <v>732</v>
      </c>
      <c r="I247" t="s">
        <v>32</v>
      </c>
      <c r="J247">
        <v>0</v>
      </c>
      <c r="K247">
        <v>1568</v>
      </c>
      <c r="L247" s="4">
        <v>3.5000000000000001E-3</v>
      </c>
      <c r="M247">
        <v>0.02</v>
      </c>
      <c r="N247" s="4">
        <v>5.4880000000000004</v>
      </c>
      <c r="O247" s="4">
        <v>31.36</v>
      </c>
    </row>
    <row r="248" spans="2:15">
      <c r="B248" t="s">
        <v>57</v>
      </c>
      <c r="C248" t="s">
        <v>53</v>
      </c>
      <c r="D248" t="s">
        <v>733</v>
      </c>
      <c r="E248" t="s">
        <v>734</v>
      </c>
      <c r="F248" t="s">
        <v>10</v>
      </c>
      <c r="G248" t="s">
        <v>733</v>
      </c>
      <c r="H248" t="s">
        <v>735</v>
      </c>
      <c r="I248" t="s">
        <v>32</v>
      </c>
      <c r="J248">
        <v>12</v>
      </c>
      <c r="K248">
        <v>2754</v>
      </c>
      <c r="L248" s="4">
        <v>3.5000000000000001E-3</v>
      </c>
      <c r="M248">
        <v>0.02</v>
      </c>
      <c r="N248" s="4">
        <v>9.6389999999999993</v>
      </c>
      <c r="O248" s="4">
        <v>55.08</v>
      </c>
    </row>
    <row r="249" spans="2:15">
      <c r="B249" t="s">
        <v>57</v>
      </c>
      <c r="C249" t="s">
        <v>53</v>
      </c>
      <c r="D249" t="s">
        <v>736</v>
      </c>
      <c r="E249" t="s">
        <v>737</v>
      </c>
      <c r="F249" t="s">
        <v>10</v>
      </c>
      <c r="G249" t="s">
        <v>736</v>
      </c>
      <c r="H249" t="s">
        <v>738</v>
      </c>
      <c r="I249" t="s">
        <v>32</v>
      </c>
      <c r="J249">
        <v>0</v>
      </c>
      <c r="K249">
        <v>1057</v>
      </c>
      <c r="L249" s="4">
        <v>3.5000000000000001E-3</v>
      </c>
      <c r="M249">
        <v>0.02</v>
      </c>
      <c r="N249" s="4">
        <v>3.6995</v>
      </c>
      <c r="O249" s="4">
        <v>21.14</v>
      </c>
    </row>
    <row r="250" spans="2:15">
      <c r="B250" t="s">
        <v>57</v>
      </c>
      <c r="C250" t="s">
        <v>53</v>
      </c>
      <c r="D250" t="s">
        <v>739</v>
      </c>
      <c r="E250" t="s">
        <v>740</v>
      </c>
      <c r="F250" t="s">
        <v>10</v>
      </c>
      <c r="G250" t="s">
        <v>739</v>
      </c>
      <c r="H250" t="s">
        <v>741</v>
      </c>
      <c r="I250" t="s">
        <v>32</v>
      </c>
      <c r="J250">
        <v>31</v>
      </c>
      <c r="K250">
        <v>375</v>
      </c>
      <c r="L250" s="4">
        <v>3.5000000000000001E-3</v>
      </c>
      <c r="M250">
        <v>0.02</v>
      </c>
      <c r="N250" s="4">
        <v>1.3125</v>
      </c>
      <c r="O250" s="4">
        <v>7.5</v>
      </c>
    </row>
    <row r="251" spans="2:15">
      <c r="B251" t="s">
        <v>57</v>
      </c>
      <c r="C251" t="s">
        <v>53</v>
      </c>
      <c r="D251" t="s">
        <v>742</v>
      </c>
      <c r="E251" t="s">
        <v>743</v>
      </c>
      <c r="F251" t="s">
        <v>10</v>
      </c>
      <c r="G251" t="s">
        <v>742</v>
      </c>
      <c r="H251" t="s">
        <v>744</v>
      </c>
      <c r="I251" t="s">
        <v>32</v>
      </c>
      <c r="J251">
        <v>33</v>
      </c>
      <c r="K251">
        <v>143</v>
      </c>
      <c r="L251" s="4">
        <v>3.5000000000000001E-3</v>
      </c>
      <c r="M251">
        <v>0.02</v>
      </c>
      <c r="N251" s="4">
        <v>0.50050000000000006</v>
      </c>
      <c r="O251" s="4">
        <v>2.86</v>
      </c>
    </row>
    <row r="252" spans="2:15">
      <c r="B252" t="s">
        <v>57</v>
      </c>
      <c r="C252" t="s">
        <v>53</v>
      </c>
      <c r="D252" t="s">
        <v>745</v>
      </c>
      <c r="E252" t="s">
        <v>746</v>
      </c>
      <c r="F252" t="s">
        <v>10</v>
      </c>
      <c r="G252" t="s">
        <v>745</v>
      </c>
      <c r="H252" t="s">
        <v>747</v>
      </c>
      <c r="I252" t="s">
        <v>32</v>
      </c>
      <c r="J252">
        <v>10</v>
      </c>
      <c r="K252">
        <v>1098</v>
      </c>
      <c r="L252" s="4">
        <v>3.5000000000000001E-3</v>
      </c>
      <c r="M252">
        <v>0.02</v>
      </c>
      <c r="N252" s="4">
        <v>3.843</v>
      </c>
      <c r="O252" s="4">
        <v>21.96</v>
      </c>
    </row>
    <row r="253" spans="2:15">
      <c r="B253" t="s">
        <v>57</v>
      </c>
      <c r="C253" t="s">
        <v>53</v>
      </c>
      <c r="D253" t="s">
        <v>748</v>
      </c>
      <c r="E253" t="s">
        <v>749</v>
      </c>
      <c r="F253" t="s">
        <v>10</v>
      </c>
      <c r="G253" t="s">
        <v>748</v>
      </c>
      <c r="H253" t="s">
        <v>750</v>
      </c>
      <c r="I253" t="s">
        <v>32</v>
      </c>
      <c r="J253">
        <v>1</v>
      </c>
      <c r="K253">
        <v>202</v>
      </c>
      <c r="L253" s="4">
        <v>3.5000000000000001E-3</v>
      </c>
      <c r="M253">
        <v>0.02</v>
      </c>
      <c r="N253" s="4">
        <v>0.70699999999999996</v>
      </c>
      <c r="O253" s="4">
        <v>4.04</v>
      </c>
    </row>
    <row r="254" spans="2:15">
      <c r="B254" t="s">
        <v>57</v>
      </c>
      <c r="C254" t="s">
        <v>53</v>
      </c>
      <c r="D254" t="s">
        <v>751</v>
      </c>
      <c r="E254" t="s">
        <v>752</v>
      </c>
      <c r="F254" t="s">
        <v>10</v>
      </c>
      <c r="G254" t="s">
        <v>751</v>
      </c>
      <c r="H254" t="s">
        <v>753</v>
      </c>
      <c r="I254" t="s">
        <v>32</v>
      </c>
      <c r="J254">
        <v>57</v>
      </c>
      <c r="K254">
        <v>572</v>
      </c>
      <c r="L254" s="4">
        <v>3.5000000000000001E-3</v>
      </c>
      <c r="M254">
        <v>0.02</v>
      </c>
      <c r="N254" s="4">
        <v>2.0020000000000002</v>
      </c>
      <c r="O254" s="4">
        <v>11.44</v>
      </c>
    </row>
    <row r="255" spans="2:15">
      <c r="B255" t="s">
        <v>57</v>
      </c>
      <c r="C255" t="s">
        <v>53</v>
      </c>
      <c r="D255" t="s">
        <v>754</v>
      </c>
      <c r="E255" t="s">
        <v>755</v>
      </c>
      <c r="F255" t="s">
        <v>10</v>
      </c>
      <c r="G255" t="s">
        <v>754</v>
      </c>
      <c r="H255" t="s">
        <v>756</v>
      </c>
      <c r="I255" t="s">
        <v>32</v>
      </c>
      <c r="J255">
        <v>0</v>
      </c>
      <c r="K255">
        <v>61</v>
      </c>
      <c r="L255" s="4">
        <v>3.5000000000000001E-3</v>
      </c>
      <c r="M255">
        <v>0.02</v>
      </c>
      <c r="N255" s="4">
        <v>0.2135</v>
      </c>
      <c r="O255" s="4">
        <v>1.22</v>
      </c>
    </row>
    <row r="256" spans="2:15">
      <c r="B256" t="s">
        <v>57</v>
      </c>
      <c r="C256" t="s">
        <v>53</v>
      </c>
      <c r="D256" t="s">
        <v>127</v>
      </c>
      <c r="E256" t="s">
        <v>128</v>
      </c>
      <c r="F256" t="s">
        <v>10</v>
      </c>
      <c r="G256" t="s">
        <v>127</v>
      </c>
      <c r="H256" t="s">
        <v>129</v>
      </c>
      <c r="I256" t="s">
        <v>32</v>
      </c>
      <c r="J256">
        <v>0</v>
      </c>
      <c r="K256">
        <v>9</v>
      </c>
      <c r="L256" s="4">
        <v>3.5000000000000001E-3</v>
      </c>
      <c r="M256">
        <v>0.02</v>
      </c>
      <c r="N256" s="4">
        <v>3.15E-2</v>
      </c>
      <c r="O256" s="4">
        <v>0.18</v>
      </c>
    </row>
    <row r="257" spans="2:15">
      <c r="B257" t="s">
        <v>57</v>
      </c>
      <c r="C257" t="s">
        <v>53</v>
      </c>
      <c r="D257" t="s">
        <v>130</v>
      </c>
      <c r="E257" t="s">
        <v>131</v>
      </c>
      <c r="F257" t="s">
        <v>10</v>
      </c>
      <c r="G257" t="s">
        <v>130</v>
      </c>
      <c r="H257" t="s">
        <v>132</v>
      </c>
      <c r="I257" t="s">
        <v>32</v>
      </c>
      <c r="J257">
        <v>0</v>
      </c>
      <c r="K257">
        <v>6</v>
      </c>
      <c r="L257" s="4">
        <v>3.5000000000000001E-3</v>
      </c>
      <c r="M257">
        <v>0.02</v>
      </c>
      <c r="N257" s="4">
        <v>2.1000000000000001E-2</v>
      </c>
      <c r="O257" s="4">
        <v>0.12</v>
      </c>
    </row>
    <row r="258" spans="2:15">
      <c r="B258" t="s">
        <v>57</v>
      </c>
      <c r="C258" t="s">
        <v>53</v>
      </c>
      <c r="D258" t="s">
        <v>757</v>
      </c>
      <c r="E258" t="s">
        <v>758</v>
      </c>
      <c r="F258" t="s">
        <v>12</v>
      </c>
      <c r="G258" t="s">
        <v>757</v>
      </c>
      <c r="H258" t="s">
        <v>759</v>
      </c>
      <c r="I258" t="s">
        <v>32</v>
      </c>
      <c r="J258">
        <v>4797058</v>
      </c>
      <c r="K258">
        <v>14774</v>
      </c>
      <c r="L258" s="4">
        <v>3.8199999999999998E-2</v>
      </c>
      <c r="M258">
        <v>0.09</v>
      </c>
      <c r="N258" s="4">
        <v>183.24761559999999</v>
      </c>
      <c r="O258" s="4">
        <v>431.73521999999997</v>
      </c>
    </row>
    <row r="259" spans="2:15">
      <c r="B259" t="s">
        <v>57</v>
      </c>
      <c r="C259" t="s">
        <v>53</v>
      </c>
      <c r="D259" t="s">
        <v>133</v>
      </c>
      <c r="E259" t="s">
        <v>134</v>
      </c>
      <c r="F259" t="s">
        <v>10</v>
      </c>
      <c r="G259" t="s">
        <v>133</v>
      </c>
      <c r="H259" t="s">
        <v>135</v>
      </c>
      <c r="I259" t="s">
        <v>32</v>
      </c>
      <c r="J259">
        <v>0</v>
      </c>
      <c r="K259">
        <v>3</v>
      </c>
      <c r="L259" s="4">
        <v>3.5000000000000001E-3</v>
      </c>
      <c r="M259">
        <v>0.02</v>
      </c>
      <c r="N259" s="4">
        <v>1.0500000000000001E-2</v>
      </c>
      <c r="O259" s="4">
        <v>0.06</v>
      </c>
    </row>
    <row r="260" spans="2:15">
      <c r="B260" t="s">
        <v>57</v>
      </c>
      <c r="C260" t="s">
        <v>53</v>
      </c>
      <c r="D260" t="s">
        <v>205</v>
      </c>
      <c r="E260" t="s">
        <v>206</v>
      </c>
      <c r="F260" t="s">
        <v>10</v>
      </c>
      <c r="G260" t="s">
        <v>207</v>
      </c>
      <c r="H260" t="s">
        <v>208</v>
      </c>
      <c r="I260" t="s">
        <v>32</v>
      </c>
      <c r="J260">
        <v>0</v>
      </c>
      <c r="K260">
        <v>1</v>
      </c>
      <c r="L260" s="4">
        <v>3.5000000000000001E-3</v>
      </c>
      <c r="M260">
        <v>0.02</v>
      </c>
      <c r="N260" s="4">
        <v>3.5000000000000001E-3</v>
      </c>
      <c r="O260" s="4">
        <v>0.02</v>
      </c>
    </row>
    <row r="261" spans="2:15">
      <c r="B261" t="s">
        <v>57</v>
      </c>
      <c r="C261" t="s">
        <v>53</v>
      </c>
      <c r="D261" t="s">
        <v>760</v>
      </c>
      <c r="E261" t="s">
        <v>761</v>
      </c>
      <c r="F261" t="s">
        <v>12</v>
      </c>
      <c r="G261" t="s">
        <v>760</v>
      </c>
      <c r="H261" t="s">
        <v>762</v>
      </c>
      <c r="I261" t="s">
        <v>32</v>
      </c>
      <c r="J261">
        <v>3315196</v>
      </c>
      <c r="K261">
        <v>12285</v>
      </c>
      <c r="L261" s="4">
        <v>3.8199999999999998E-2</v>
      </c>
      <c r="M261">
        <v>0.09</v>
      </c>
      <c r="N261" s="4">
        <v>126.6404872</v>
      </c>
      <c r="O261" s="4">
        <v>298.36763999999999</v>
      </c>
    </row>
    <row r="262" spans="2:15">
      <c r="B262" t="s">
        <v>57</v>
      </c>
      <c r="C262" t="s">
        <v>53</v>
      </c>
      <c r="D262" t="s">
        <v>136</v>
      </c>
      <c r="E262" t="s">
        <v>137</v>
      </c>
      <c r="F262" t="s">
        <v>10</v>
      </c>
      <c r="G262" t="s">
        <v>136</v>
      </c>
      <c r="H262" t="s">
        <v>138</v>
      </c>
      <c r="I262" t="s">
        <v>32</v>
      </c>
      <c r="J262">
        <v>0</v>
      </c>
      <c r="K262">
        <v>1</v>
      </c>
      <c r="L262" s="4">
        <v>3.5000000000000001E-3</v>
      </c>
      <c r="M262">
        <v>0.02</v>
      </c>
      <c r="N262" s="4">
        <v>3.5000000000000001E-3</v>
      </c>
      <c r="O262" s="4">
        <v>0.02</v>
      </c>
    </row>
    <row r="263" spans="2:15">
      <c r="B263" t="s">
        <v>57</v>
      </c>
      <c r="C263" t="s">
        <v>53</v>
      </c>
      <c r="D263" t="s">
        <v>763</v>
      </c>
      <c r="E263" t="s">
        <v>764</v>
      </c>
      <c r="F263" t="s">
        <v>12</v>
      </c>
      <c r="G263" t="s">
        <v>763</v>
      </c>
      <c r="H263" t="s">
        <v>765</v>
      </c>
      <c r="I263" t="s">
        <v>32</v>
      </c>
      <c r="J263">
        <v>4330482</v>
      </c>
      <c r="K263">
        <v>20194</v>
      </c>
      <c r="L263" s="4">
        <v>3.8199999999999998E-2</v>
      </c>
      <c r="M263">
        <v>0.09</v>
      </c>
      <c r="N263" s="4">
        <v>165.42441239999999</v>
      </c>
      <c r="O263" s="4">
        <v>389.74338</v>
      </c>
    </row>
    <row r="264" spans="2:15">
      <c r="B264" t="s">
        <v>57</v>
      </c>
      <c r="C264" t="s">
        <v>53</v>
      </c>
      <c r="D264" t="s">
        <v>766</v>
      </c>
      <c r="E264" t="s">
        <v>767</v>
      </c>
      <c r="F264" t="s">
        <v>12</v>
      </c>
      <c r="G264" t="s">
        <v>766</v>
      </c>
      <c r="H264" t="s">
        <v>768</v>
      </c>
      <c r="I264" t="s">
        <v>32</v>
      </c>
      <c r="J264">
        <v>12911</v>
      </c>
      <c r="K264">
        <v>5061</v>
      </c>
      <c r="L264" s="4">
        <v>3.8199999999999998E-2</v>
      </c>
      <c r="M264">
        <v>0.09</v>
      </c>
      <c r="N264" s="4">
        <v>0.49320019999999998</v>
      </c>
      <c r="O264" s="4">
        <v>1.1619900000000001</v>
      </c>
    </row>
    <row r="265" spans="2:15">
      <c r="B265" t="s">
        <v>57</v>
      </c>
      <c r="C265" t="s">
        <v>53</v>
      </c>
      <c r="D265" t="s">
        <v>769</v>
      </c>
      <c r="E265" t="s">
        <v>770</v>
      </c>
      <c r="F265" t="s">
        <v>12</v>
      </c>
      <c r="G265" t="s">
        <v>769</v>
      </c>
      <c r="H265" t="s">
        <v>771</v>
      </c>
      <c r="I265" t="s">
        <v>32</v>
      </c>
      <c r="J265">
        <v>27271</v>
      </c>
      <c r="K265">
        <v>5080</v>
      </c>
      <c r="L265" s="4">
        <v>3.8199999999999998E-2</v>
      </c>
      <c r="M265">
        <v>0.09</v>
      </c>
      <c r="N265" s="4">
        <v>1.0417521999999999</v>
      </c>
      <c r="O265" s="4">
        <v>2.4543900000000001</v>
      </c>
    </row>
    <row r="266" spans="2:15">
      <c r="B266" t="s">
        <v>57</v>
      </c>
      <c r="C266" t="s">
        <v>53</v>
      </c>
      <c r="D266" t="s">
        <v>772</v>
      </c>
      <c r="E266" t="s">
        <v>773</v>
      </c>
      <c r="F266" t="s">
        <v>10</v>
      </c>
      <c r="G266" t="s">
        <v>772</v>
      </c>
      <c r="H266" t="s">
        <v>774</v>
      </c>
      <c r="I266" t="s">
        <v>32</v>
      </c>
      <c r="J266">
        <v>452</v>
      </c>
      <c r="K266">
        <v>8858</v>
      </c>
      <c r="L266" s="4">
        <v>3.5000000000000001E-3</v>
      </c>
      <c r="M266">
        <v>0.02</v>
      </c>
      <c r="N266" s="4">
        <v>31.003</v>
      </c>
      <c r="O266" s="4">
        <v>177.16</v>
      </c>
    </row>
    <row r="267" spans="2:15">
      <c r="B267" t="s">
        <v>57</v>
      </c>
      <c r="C267" t="s">
        <v>139</v>
      </c>
      <c r="D267" t="s">
        <v>775</v>
      </c>
      <c r="E267" t="s">
        <v>776</v>
      </c>
      <c r="F267" t="s">
        <v>12</v>
      </c>
      <c r="G267" t="s">
        <v>775</v>
      </c>
      <c r="H267" t="s">
        <v>777</v>
      </c>
      <c r="I267" t="s">
        <v>31</v>
      </c>
      <c r="J267">
        <v>65545</v>
      </c>
      <c r="K267">
        <v>50</v>
      </c>
      <c r="L267" s="4">
        <v>3.8199999999999998E-2</v>
      </c>
      <c r="M267">
        <v>0.09</v>
      </c>
      <c r="N267" s="4">
        <v>2.503819</v>
      </c>
      <c r="O267" s="4">
        <v>5.8990499999999999</v>
      </c>
    </row>
    <row r="268" spans="2:15">
      <c r="B268" t="s">
        <v>57</v>
      </c>
      <c r="C268" t="s">
        <v>139</v>
      </c>
      <c r="D268" t="s">
        <v>778</v>
      </c>
      <c r="E268" t="s">
        <v>779</v>
      </c>
      <c r="F268" t="s">
        <v>12</v>
      </c>
      <c r="G268" t="s">
        <v>778</v>
      </c>
      <c r="H268" t="s">
        <v>780</v>
      </c>
      <c r="I268" t="s">
        <v>31</v>
      </c>
      <c r="J268">
        <v>46690</v>
      </c>
      <c r="K268">
        <v>19</v>
      </c>
      <c r="L268" s="4">
        <v>3.8199999999999998E-2</v>
      </c>
      <c r="M268">
        <v>0.09</v>
      </c>
      <c r="N268" s="4">
        <v>1.783558</v>
      </c>
      <c r="O268" s="4">
        <v>4.2020999999999997</v>
      </c>
    </row>
    <row r="269" spans="2:15">
      <c r="B269" t="s">
        <v>57</v>
      </c>
      <c r="C269" t="s">
        <v>139</v>
      </c>
      <c r="D269" t="s">
        <v>781</v>
      </c>
      <c r="E269" t="s">
        <v>782</v>
      </c>
      <c r="F269" t="s">
        <v>12</v>
      </c>
      <c r="G269" t="s">
        <v>781</v>
      </c>
      <c r="H269" t="s">
        <v>783</v>
      </c>
      <c r="I269" t="s">
        <v>31</v>
      </c>
      <c r="J269">
        <v>1183054</v>
      </c>
      <c r="K269">
        <v>1296</v>
      </c>
      <c r="L269" s="4">
        <v>3.8199999999999998E-2</v>
      </c>
      <c r="M269">
        <v>0.09</v>
      </c>
      <c r="N269" s="4">
        <v>45.192662800000001</v>
      </c>
      <c r="O269" s="4">
        <v>106.47486000000001</v>
      </c>
    </row>
    <row r="270" spans="2:15">
      <c r="B270" t="s">
        <v>57</v>
      </c>
      <c r="C270" t="s">
        <v>67</v>
      </c>
      <c r="D270" t="s">
        <v>843</v>
      </c>
      <c r="E270" t="s">
        <v>844</v>
      </c>
      <c r="F270" t="s">
        <v>12</v>
      </c>
      <c r="G270" t="s">
        <v>843</v>
      </c>
      <c r="H270" t="s">
        <v>845</v>
      </c>
      <c r="I270" t="s">
        <v>31</v>
      </c>
      <c r="J270">
        <v>11</v>
      </c>
      <c r="K270">
        <v>0</v>
      </c>
      <c r="L270" s="4">
        <v>3.8199999999999998E-2</v>
      </c>
      <c r="M270">
        <v>0.09</v>
      </c>
      <c r="N270" s="4">
        <v>4.2019999999999997E-4</v>
      </c>
      <c r="O270" s="4">
        <v>9.8999999999999999E-4</v>
      </c>
    </row>
    <row r="271" spans="2:15">
      <c r="B271" t="s">
        <v>57</v>
      </c>
      <c r="C271" t="s">
        <v>67</v>
      </c>
      <c r="D271" t="s">
        <v>209</v>
      </c>
      <c r="E271" t="s">
        <v>210</v>
      </c>
      <c r="F271" t="s">
        <v>10</v>
      </c>
      <c r="G271" t="s">
        <v>209</v>
      </c>
      <c r="H271" t="s">
        <v>211</v>
      </c>
      <c r="I271" t="s">
        <v>32</v>
      </c>
      <c r="J271">
        <v>0</v>
      </c>
      <c r="K271">
        <v>6</v>
      </c>
      <c r="L271" s="4">
        <v>3.5000000000000001E-3</v>
      </c>
      <c r="M271">
        <v>0.02</v>
      </c>
      <c r="N271" s="4">
        <v>2.1000000000000001E-2</v>
      </c>
      <c r="O271" s="4">
        <v>0.12</v>
      </c>
    </row>
    <row r="272" spans="2:15">
      <c r="B272" t="s">
        <v>57</v>
      </c>
      <c r="C272" t="s">
        <v>61</v>
      </c>
      <c r="D272" t="s">
        <v>212</v>
      </c>
      <c r="E272" t="s">
        <v>213</v>
      </c>
      <c r="F272" t="s">
        <v>12</v>
      </c>
      <c r="G272" t="s">
        <v>212</v>
      </c>
      <c r="H272" t="s">
        <v>214</v>
      </c>
      <c r="I272" t="s">
        <v>31</v>
      </c>
      <c r="J272">
        <v>1370</v>
      </c>
      <c r="K272">
        <v>7</v>
      </c>
      <c r="L272" s="4">
        <v>3.8199999999999998E-2</v>
      </c>
      <c r="M272">
        <v>0.09</v>
      </c>
      <c r="N272" s="4">
        <v>5.2333999999999999E-2</v>
      </c>
      <c r="O272" s="4">
        <v>0.12329999999999999</v>
      </c>
    </row>
    <row r="273" spans="2:15">
      <c r="B273" t="s">
        <v>57</v>
      </c>
      <c r="C273" t="s">
        <v>61</v>
      </c>
      <c r="D273" t="s">
        <v>784</v>
      </c>
      <c r="E273" t="s">
        <v>785</v>
      </c>
      <c r="F273" t="s">
        <v>12</v>
      </c>
      <c r="G273" t="s">
        <v>784</v>
      </c>
      <c r="H273" t="s">
        <v>786</v>
      </c>
      <c r="I273" t="s">
        <v>31</v>
      </c>
      <c r="J273">
        <v>7503</v>
      </c>
      <c r="K273">
        <v>7</v>
      </c>
      <c r="L273" s="4">
        <v>3.8199999999999998E-2</v>
      </c>
      <c r="M273">
        <v>0.09</v>
      </c>
      <c r="N273" s="4">
        <v>0.2866146</v>
      </c>
      <c r="O273" s="4">
        <v>0.67527000000000004</v>
      </c>
    </row>
    <row r="274" spans="2:15">
      <c r="B274" t="s">
        <v>57</v>
      </c>
      <c r="C274" t="s">
        <v>61</v>
      </c>
      <c r="D274" t="s">
        <v>215</v>
      </c>
      <c r="E274" t="s">
        <v>216</v>
      </c>
      <c r="F274" t="s">
        <v>12</v>
      </c>
      <c r="G274" t="s">
        <v>215</v>
      </c>
      <c r="H274" t="s">
        <v>217</v>
      </c>
      <c r="I274" t="s">
        <v>31</v>
      </c>
      <c r="J274">
        <v>1920</v>
      </c>
      <c r="K274">
        <v>14</v>
      </c>
      <c r="L274" s="4">
        <v>3.8199999999999998E-2</v>
      </c>
      <c r="M274">
        <v>0.09</v>
      </c>
      <c r="N274" s="4">
        <v>7.3343999999999993E-2</v>
      </c>
      <c r="O274" s="4">
        <v>0.17279999999999998</v>
      </c>
    </row>
    <row r="275" spans="2:15">
      <c r="B275" t="s">
        <v>57</v>
      </c>
      <c r="C275" t="s">
        <v>61</v>
      </c>
      <c r="D275" t="s">
        <v>787</v>
      </c>
      <c r="E275" t="s">
        <v>788</v>
      </c>
      <c r="F275" t="s">
        <v>12</v>
      </c>
      <c r="G275" t="s">
        <v>787</v>
      </c>
      <c r="H275" t="s">
        <v>789</v>
      </c>
      <c r="I275" t="s">
        <v>31</v>
      </c>
      <c r="J275">
        <v>541640</v>
      </c>
      <c r="K275">
        <v>849</v>
      </c>
      <c r="L275" s="4">
        <v>3.8199999999999998E-2</v>
      </c>
      <c r="M275">
        <v>0.09</v>
      </c>
      <c r="N275" s="4">
        <v>20.690647999999996</v>
      </c>
      <c r="O275" s="4">
        <v>48.747599999999998</v>
      </c>
    </row>
    <row r="276" spans="2:15">
      <c r="B276" t="s">
        <v>57</v>
      </c>
      <c r="C276" t="s">
        <v>218</v>
      </c>
      <c r="D276" t="s">
        <v>314</v>
      </c>
      <c r="E276" t="s">
        <v>315</v>
      </c>
      <c r="F276" t="s">
        <v>12</v>
      </c>
      <c r="G276" t="s">
        <v>314</v>
      </c>
      <c r="H276" t="s">
        <v>316</v>
      </c>
      <c r="I276" t="s">
        <v>31</v>
      </c>
      <c r="J276">
        <v>36</v>
      </c>
      <c r="K276">
        <v>0</v>
      </c>
      <c r="L276" s="4">
        <v>3.8199999999999998E-2</v>
      </c>
      <c r="M276">
        <v>0.09</v>
      </c>
      <c r="N276" s="4">
        <v>1.3752E-3</v>
      </c>
      <c r="O276" s="4">
        <v>3.2399999999999998E-3</v>
      </c>
    </row>
    <row r="277" spans="2:15">
      <c r="B277" t="s">
        <v>57</v>
      </c>
      <c r="C277" t="s">
        <v>218</v>
      </c>
      <c r="D277" t="s">
        <v>317</v>
      </c>
      <c r="E277" t="s">
        <v>318</v>
      </c>
      <c r="F277" t="s">
        <v>12</v>
      </c>
      <c r="G277" t="s">
        <v>317</v>
      </c>
      <c r="H277" t="s">
        <v>319</v>
      </c>
      <c r="I277" t="s">
        <v>31</v>
      </c>
      <c r="J277">
        <v>63</v>
      </c>
      <c r="K277">
        <v>1</v>
      </c>
      <c r="L277" s="4">
        <v>3.8199999999999998E-2</v>
      </c>
      <c r="M277">
        <v>0.09</v>
      </c>
      <c r="N277" s="4">
        <v>2.4066000000000001E-3</v>
      </c>
      <c r="O277" s="4">
        <v>5.6699999999999997E-3</v>
      </c>
    </row>
    <row r="278" spans="2:15">
      <c r="B278" t="s">
        <v>57</v>
      </c>
      <c r="C278" t="s">
        <v>218</v>
      </c>
      <c r="D278" t="s">
        <v>846</v>
      </c>
      <c r="E278" t="s">
        <v>847</v>
      </c>
      <c r="F278" t="s">
        <v>12</v>
      </c>
      <c r="G278" t="s">
        <v>846</v>
      </c>
      <c r="H278" t="s">
        <v>848</v>
      </c>
      <c r="I278" t="s">
        <v>31</v>
      </c>
      <c r="J278">
        <v>17</v>
      </c>
      <c r="K278">
        <v>0</v>
      </c>
      <c r="L278" s="4">
        <v>3.8199999999999998E-2</v>
      </c>
      <c r="M278">
        <v>0.09</v>
      </c>
      <c r="N278" s="4">
        <v>6.4939999999999996E-4</v>
      </c>
      <c r="O278" s="4">
        <v>1.5300000000000001E-3</v>
      </c>
    </row>
    <row r="279" spans="2:15">
      <c r="N279" s="5"/>
      <c r="O279" s="5"/>
    </row>
    <row r="280" spans="2:15">
      <c r="F280" t="s">
        <v>12</v>
      </c>
      <c r="N280" s="5"/>
      <c r="O280" s="5"/>
    </row>
    <row r="281" spans="2:15">
      <c r="L281" s="4"/>
      <c r="N281" s="4"/>
      <c r="O281" s="4"/>
    </row>
    <row r="282" spans="2:15">
      <c r="L282" s="4"/>
      <c r="N282" s="4"/>
      <c r="O282" s="4"/>
    </row>
    <row r="283" spans="2:15">
      <c r="L283" s="4"/>
      <c r="N283" s="4"/>
      <c r="O283" s="4"/>
    </row>
    <row r="284" spans="2:15">
      <c r="N284" s="5"/>
      <c r="O284" s="5"/>
    </row>
    <row r="285" spans="2:15">
      <c r="N285" s="5"/>
      <c r="O285" s="5"/>
    </row>
    <row r="286" spans="2:15">
      <c r="L286" s="4"/>
      <c r="N286" s="4"/>
      <c r="O286" s="4"/>
    </row>
    <row r="287" spans="2:15">
      <c r="L287" s="4"/>
      <c r="N287" s="4"/>
      <c r="O287" s="4"/>
    </row>
    <row r="288" spans="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N1229" s="5"/>
      <c r="O1229" s="5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</sheetData>
  <autoFilter ref="A19:O1228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2019-11-01T23:04:05Z</dcterms:modified>
</cp:coreProperties>
</file>