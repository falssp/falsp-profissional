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8_{974A1663-3B40-4D1D-B0F1-00F4C5E282CC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 iterateCount="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8" l="1"/>
  <c r="E7" i="8"/>
  <c r="D9" i="8"/>
  <c r="E9" i="8"/>
  <c r="E801" i="6"/>
  <c r="G5" i="8"/>
  <c r="E2" i="6"/>
  <c r="L2" i="6"/>
  <c r="I2" i="6"/>
  <c r="J2" i="6"/>
  <c r="N2" i="6"/>
  <c r="D4" i="8"/>
  <c r="E4" i="8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2" i="6"/>
  <c r="M2" i="6"/>
  <c r="K3" i="6"/>
  <c r="M3" i="6"/>
  <c r="K4" i="6"/>
  <c r="M4" i="6"/>
  <c r="K5" i="6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K22" i="6"/>
  <c r="M22" i="6"/>
  <c r="K23" i="6"/>
  <c r="M23" i="6"/>
  <c r="K24" i="6"/>
  <c r="M2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K125" i="6"/>
  <c r="M125" i="6"/>
  <c r="K126" i="6"/>
  <c r="M126" i="6"/>
  <c r="K127" i="6"/>
  <c r="M127" i="6"/>
  <c r="K128" i="6"/>
  <c r="M128" i="6"/>
  <c r="K129" i="6"/>
  <c r="M129" i="6"/>
  <c r="K130" i="6"/>
  <c r="M130" i="6"/>
  <c r="K131" i="6"/>
  <c r="M131" i="6"/>
  <c r="K132" i="6"/>
  <c r="M132" i="6"/>
  <c r="K133" i="6"/>
  <c r="M133" i="6"/>
  <c r="K134" i="6"/>
  <c r="M134" i="6"/>
  <c r="K135" i="6"/>
  <c r="M135" i="6"/>
  <c r="K136" i="6"/>
  <c r="M136" i="6"/>
  <c r="K137" i="6"/>
  <c r="M137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K256" i="6"/>
  <c r="M256" i="6"/>
  <c r="K257" i="6"/>
  <c r="M257" i="6"/>
  <c r="K258" i="6"/>
  <c r="M258" i="6"/>
  <c r="K259" i="6"/>
  <c r="M259" i="6"/>
  <c r="K260" i="6"/>
  <c r="M260" i="6"/>
  <c r="K261" i="6"/>
  <c r="M261" i="6"/>
  <c r="K262" i="6"/>
  <c r="M262" i="6"/>
  <c r="K263" i="6"/>
  <c r="M263" i="6"/>
  <c r="K264" i="6"/>
  <c r="M264" i="6"/>
  <c r="K265" i="6"/>
  <c r="M265" i="6"/>
  <c r="K266" i="6"/>
  <c r="M266" i="6"/>
  <c r="K267" i="6"/>
  <c r="M267" i="6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/>
  <c r="L4" i="6"/>
  <c r="N4" i="6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29" i="6"/>
  <c r="N29" i="6"/>
  <c r="L30" i="6"/>
  <c r="N30" i="6"/>
  <c r="L31" i="6"/>
  <c r="N31" i="6"/>
  <c r="L32" i="6"/>
  <c r="N32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L57" i="6"/>
  <c r="N57" i="6"/>
  <c r="L58" i="6"/>
  <c r="N58" i="6"/>
  <c r="L59" i="6"/>
  <c r="N59" i="6"/>
  <c r="L60" i="6"/>
  <c r="N60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L85" i="6"/>
  <c r="N85" i="6"/>
  <c r="L86" i="6"/>
  <c r="N86" i="6"/>
  <c r="L87" i="6"/>
  <c r="N87" i="6"/>
  <c r="L88" i="6"/>
  <c r="N88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L121" i="6"/>
  <c r="N121" i="6"/>
  <c r="L122" i="6"/>
  <c r="N122" i="6"/>
  <c r="L123" i="6"/>
  <c r="N123" i="6"/>
  <c r="L124" i="6"/>
  <c r="N124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/>
  <c r="D5" i="8"/>
  <c r="D8" i="8"/>
  <c r="E5" i="8"/>
  <c r="E8" i="8"/>
  <c r="E10" i="8"/>
</calcChain>
</file>

<file path=xl/sharedStrings.xml><?xml version="1.0" encoding="utf-8"?>
<sst xmlns="http://schemas.openxmlformats.org/spreadsheetml/2006/main" count="2172" uniqueCount="446">
  <si>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</si>
  <si>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</si>
  <si>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</si>
  <si>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</si>
  <si>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</si>
  <si>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</si>
  <si>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</si>
  <si>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</si>
  <si>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</si>
  <si>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</si>
  <si>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</si>
  <si>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</si>
  <si>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</si>
  <si>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</si>
  <si>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</si>
  <si>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</si>
  <si>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</si>
  <si>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</si>
  <si>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</si>
  <si>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</si>
  <si>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</si>
  <si>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</si>
  <si>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</si>
  <si>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</si>
  <si>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</si>
  <si>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</si>
  <si>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</si>
  <si>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</si>
  <si>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</si>
  <si>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</si>
  <si>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</si>
  <si>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</si>
  <si>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</si>
  <si>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</si>
  <si>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</si>
  <si>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</si>
  <si>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</si>
  <si>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</si>
  <si>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</si>
  <si>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</si>
  <si>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</si>
  <si>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</si>
  <si>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</si>
  <si>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</si>
  <si>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</si>
  <si>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</si>
  <si>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</si>
  <si>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</si>
  <si>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</si>
  <si>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</si>
  <si>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</si>
  <si>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</si>
  <si>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</si>
  <si>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</si>
  <si>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alp_ecom_conversao_ecom_facebook_social_carrossel_social_got_curte-havaianas_cpc_1080x1080_111122</t>
  </si>
  <si>
    <t>242863374</t>
  </si>
  <si>
    <t>439371379</t>
  </si>
  <si>
    <t>alp_ecom_conversao_ecom_facebook_social_carrossel_social_got_interesse-got_cpc_1080x1080_111122</t>
  </si>
  <si>
    <t>242863353</t>
  </si>
  <si>
    <t>439371358</t>
  </si>
  <si>
    <t>alp_ecom_conversao_ecom_facebook_social_carrossel_social_got_look-1-mobile_cpc_1080x1080_111122</t>
  </si>
  <si>
    <t>242863368</t>
  </si>
  <si>
    <t>439371373</t>
  </si>
  <si>
    <t>alp_ecom_conversao_ecom_facebook_social_carrossel_social_got_rmk-30-mobile_cpc_1080x1080_111122</t>
  </si>
  <si>
    <t>242863356</t>
  </si>
  <si>
    <t>439371361</t>
  </si>
  <si>
    <t>alp_ecom_conversao_ecom_facebook_social_carrossel_social_got_rmk-30_cpc_1080x1080_111122</t>
  </si>
  <si>
    <t>242863359</t>
  </si>
  <si>
    <t>439371364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</si>
  <si>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</si>
  <si>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</si>
  <si>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</si>
  <si>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alp_ecom_conversao_ecom_facebook_social_carrossel_social_harry-potter_curte-havaianas_cpm_1080x1080_111128</t>
  </si>
  <si>
    <t>243108679</t>
  </si>
  <si>
    <t>439773502</t>
  </si>
  <si>
    <t>alp_ecom_conversao_ecom_facebook_social_carrossel_social_harry-potter_curte-havaianas_cpm_1080x1080_111129</t>
  </si>
  <si>
    <t>243159253</t>
  </si>
  <si>
    <t>439736298</t>
  </si>
  <si>
    <t>alp_ecom_conversao_ecom_facebook_social_carrossel_social_harry-potter_curte-havaianas_cpm_1080x1080_111131</t>
  </si>
  <si>
    <t>243012323</t>
  </si>
  <si>
    <t>439736241</t>
  </si>
  <si>
    <t>alp_ecom_conversao_ecom_facebook_social_carrossel_social_harry-potter_look-1-mobile_cpm_1080x1080_111128</t>
  </si>
  <si>
    <t>243108673</t>
  </si>
  <si>
    <t>439773496</t>
  </si>
  <si>
    <t>alp_ecom_conversao_ecom_facebook_social_carrossel_social_harry-potter_look-1-mobile_cpm_1080x1080_111129</t>
  </si>
  <si>
    <t>243159241</t>
  </si>
  <si>
    <t>439736286</t>
  </si>
  <si>
    <t>alp_ecom_conversao_ecom_facebook_social_carrossel_social_harry-potter_look-1-mobile_cpm_1080x1080_111130</t>
  </si>
  <si>
    <t>243012338</t>
  </si>
  <si>
    <t>439736256</t>
  </si>
  <si>
    <t>alp_ecom_conversao_ecom_facebook_social_carrossel_social_harry-potter_look-1-mobile_cpm_1080x1080_111131</t>
  </si>
  <si>
    <t>243159250</t>
  </si>
  <si>
    <t>439736295</t>
  </si>
  <si>
    <t>alp_ecom_conversao_ecom_facebook_social_carrossel_social_harry-potter_look-2-desk_cpm_1080x1080_111128</t>
  </si>
  <si>
    <t>243108670</t>
  </si>
  <si>
    <t>439773493</t>
  </si>
  <si>
    <t>alp_ecom_conversao_ecom_facebook_social_carrossel_social_harry-potter_look-2-desk_cpm_1080x1080_111129</t>
  </si>
  <si>
    <t>243012362</t>
  </si>
  <si>
    <t>439736280</t>
  </si>
  <si>
    <t>alp_ecom_conversao_ecom_facebook_social_carrossel_social_harry-potter_look-2-desk_cpm_1080x1080_111130</t>
  </si>
  <si>
    <t>243012335</t>
  </si>
  <si>
    <t>439736253</t>
  </si>
  <si>
    <t>alp_ecom_conversao_ecom_facebook_social_carrossel_social_harry-potter_look-2-desk_cpm_1080x1080_111131</t>
  </si>
  <si>
    <t>243159244</t>
  </si>
  <si>
    <t>439736289</t>
  </si>
  <si>
    <t>alp_ecom_conversao_ecom_facebook_social_carrossel_social_harry-potter_look-2-mobile_cpm_1080x1080_111127</t>
  </si>
  <si>
    <t>243108688</t>
  </si>
  <si>
    <t>439773511</t>
  </si>
  <si>
    <t>alp_ecom_conversao_ecom_facebook_social_carrossel_social_harry-potter_look-2-mobile_cpm_1080x1080_111128</t>
  </si>
  <si>
    <t>243108667</t>
  </si>
  <si>
    <t>439773490</t>
  </si>
  <si>
    <t>alp_ecom_conversao_ecom_facebook_social_carrossel_social_harry-potter_look-2-mobile_cpm_1080x1080_111129</t>
  </si>
  <si>
    <t>243012356</t>
  </si>
  <si>
    <t>439736274</t>
  </si>
  <si>
    <t>alp_ecom_conversao_ecom_facebook_social_carrossel_social_harry-potter_look-2-mobile_cpm_1080x1080_111130</t>
  </si>
  <si>
    <t>243012332</t>
  </si>
  <si>
    <t>439736250</t>
  </si>
  <si>
    <t>alp_ecom_conversao_ecom_facebook_social_carrossel_social_harry-potter_look-2-mobile_cpm_1080x1080_111131</t>
  </si>
  <si>
    <t>243159238</t>
  </si>
  <si>
    <t>439736283</t>
  </si>
  <si>
    <t>alp_ecom_conversao_ecom_facebook_social_carrossel_social_harry-potter_rmk-30-mobile_cpm_1080x1080_111127</t>
  </si>
  <si>
    <t>243108682</t>
  </si>
  <si>
    <t>439773505</t>
  </si>
  <si>
    <t>alp_ecom_conversao_ecom_facebook_social_carrossel_social_harry-potter_rmk-30-mobile_cpm_1080x1080_111128</t>
  </si>
  <si>
    <t>243108661</t>
  </si>
  <si>
    <t>439773484</t>
  </si>
  <si>
    <t>alp_ecom_conversao_ecom_facebook_social_carrossel_social_harry-potter_rmk-30-mobile_cpm_1080x1080_111129</t>
  </si>
  <si>
    <t>243012347</t>
  </si>
  <si>
    <t>439736265</t>
  </si>
  <si>
    <t>alp_ecom_conversao_ecom_facebook_social_carrossel_social_harry-potter_rmk-30-mobile_cpm_1080x1080_111130</t>
  </si>
  <si>
    <t>243012326</t>
  </si>
  <si>
    <t>439736244</t>
  </si>
  <si>
    <t>alp_ecom_conversao_ecom_facebook_social_carrossel_social_harry-potter_rmk-30-mobile_cpm_1080x1080_111131</t>
  </si>
  <si>
    <t>243012353</t>
  </si>
  <si>
    <t>439736271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</si>
  <si>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</si>
  <si>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</si>
  <si>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</si>
  <si>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alp_ecom_conversao_ecom_facebook_social_pagepost_social_alpargatas-soft_look-1-desk_cpc_1200x628_111117</t>
  </si>
  <si>
    <t>242342640</t>
  </si>
  <si>
    <t>438874476</t>
  </si>
  <si>
    <t>alp_ecom_conversao_ecom_facebook_social_pagepost_social_alpargatas-soft_look-1-mobile_cpc_1200x628_111117</t>
  </si>
  <si>
    <t>242342637</t>
  </si>
  <si>
    <t>438874473</t>
  </si>
  <si>
    <t>alp_ecom_conversao_ecom_facebook_social_pagepost_social_alpargatas-soft_look-2-desk_cpc_1200x628_111117</t>
  </si>
  <si>
    <t>242342634</t>
  </si>
  <si>
    <t>438874470</t>
  </si>
  <si>
    <t>alp_ecom_conversao_ecom_facebook_social_pagepost_social_alpargatas-soft_look-2-mobile_cpc_1200x628_111117</t>
  </si>
  <si>
    <t>242342631</t>
  </si>
  <si>
    <t>438874467</t>
  </si>
  <si>
    <t>alp_ecom_conversao_ecom_facebook_social_pagepost_social_alpargatas-soft_rmk-30-mobile_cpc_1200x628_111117</t>
  </si>
  <si>
    <t>242342625</t>
  </si>
  <si>
    <t>438874461</t>
  </si>
  <si>
    <t>alp_ecom_conversao_ecom_facebook_social_pagepost_social_alpargatas-soft_rmk-30_cpc_1200x628_111117</t>
  </si>
  <si>
    <t>242342628</t>
  </si>
  <si>
    <t>438874464</t>
  </si>
  <si>
    <t>alp_ecom_conversao_ecom_facebook_social_pagepost_social_animal-print_curte-havaianas_cpc_1200x628_111112</t>
  </si>
  <si>
    <t>242206044</t>
  </si>
  <si>
    <t>438842660</t>
  </si>
  <si>
    <t>alp_ecom_conversao_ecom_facebook_social_pagepost_social_animal-print_look-1-desk_cpc_1200x628_111112</t>
  </si>
  <si>
    <t>242206035</t>
  </si>
  <si>
    <t>438842651</t>
  </si>
  <si>
    <t>alp_ecom_conversao_ecom_facebook_social_pagepost_social_animal-print_look-1-mobile_cpc_1200x628_111112</t>
  </si>
  <si>
    <t>242206038</t>
  </si>
  <si>
    <t>438842654</t>
  </si>
  <si>
    <t>alp_ecom_conversao_ecom_facebook_social_pagepost_social_animal-print_look-2-desk_cpc_1200x628_111112</t>
  </si>
  <si>
    <t>242206032</t>
  </si>
  <si>
    <t>438842648</t>
  </si>
  <si>
    <t>alp_ecom_conversao_ecom_facebook_social_pagepost_social_animal-print_look-2-mobile_cpc_1200x628_111112</t>
  </si>
  <si>
    <t>242206026</t>
  </si>
  <si>
    <t>438842642</t>
  </si>
  <si>
    <t>alp_ecom_conversao_ecom_facebook_social_pagepost_social_animal-print_rmk-30-mobile_cpc_1200x628_111112</t>
  </si>
  <si>
    <t>242206029</t>
  </si>
  <si>
    <t>438842645</t>
  </si>
  <si>
    <t>alp_ecom_conversao_ecom_facebook_social_pagepost_social_animal-print_rmk-30_cpc_1200x628_111112</t>
  </si>
  <si>
    <t>242206041</t>
  </si>
  <si>
    <t>438842657</t>
  </si>
  <si>
    <t>alp_ecom_conversao_ecom_facebook_social_pagepost_social_dia-do-consumidor_curte-havaianas_cpc_1200x628_111120</t>
  </si>
  <si>
    <t>242683158</t>
  </si>
  <si>
    <t>439236827</t>
  </si>
  <si>
    <t>alp_ecom_conversao_ecom_facebook_social_pagepost_social_dia-do-consumidor_look-1-desk_cpc_1200x628_111120</t>
  </si>
  <si>
    <t>242683155</t>
  </si>
  <si>
    <t>439236824</t>
  </si>
  <si>
    <t>alp_ecom_conversao_ecom_facebook_social_pagepost_social_dia-do-consumidor_look-1-mobile_cpc_1200x628_111120</t>
  </si>
  <si>
    <t>242683152</t>
  </si>
  <si>
    <t>439236821</t>
  </si>
  <si>
    <t>alp_ecom_conversao_ecom_facebook_social_pagepost_social_dia-do-consumidor_look-2-desk_cpc_1200x628_111120</t>
  </si>
  <si>
    <t>242683149</t>
  </si>
  <si>
    <t>439236818</t>
  </si>
  <si>
    <t>alp_ecom_conversao_ecom_facebook_social_pagepost_social_dia-do-consumidor_look-2-mobile_cpc_1200x628_111120</t>
  </si>
  <si>
    <t>242683146</t>
  </si>
  <si>
    <t>439236815</t>
  </si>
  <si>
    <t>alp_ecom_conversao_ecom_facebook_social_pagepost_social_dia-do-consumidor_rmk-30-mobile_cpc_1200x628_111120</t>
  </si>
  <si>
    <t>242683140</t>
  </si>
  <si>
    <t>439236809</t>
  </si>
  <si>
    <t>alp_ecom_conversao_ecom_facebook_social_pagepost_social_dia-do-consumidor_rmk-30_cpc_1200x628_111120</t>
  </si>
  <si>
    <t>242683143</t>
  </si>
  <si>
    <t>439236812</t>
  </si>
  <si>
    <t>alp_ecom_conversao_ecom_facebook_social_pagepost_social_got_curte-havaianas_cpc_1200x628_111111</t>
  </si>
  <si>
    <t>242206074</t>
  </si>
  <si>
    <t>438842690</t>
  </si>
  <si>
    <t>alp_ecom_conversao_ecom_facebook_social_pagepost_social_got_curte-havaianas_cpc_1200x628_111121</t>
  </si>
  <si>
    <t>242863398</t>
  </si>
  <si>
    <t>439371403</t>
  </si>
  <si>
    <t>alp_ecom_conversao_ecom_facebook_social_pagepost_social_got_interesse-got_cpc_1200x628_111111</t>
  </si>
  <si>
    <t>242586015</t>
  </si>
  <si>
    <t>439159579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</si>
  <si>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</si>
  <si>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</si>
  <si>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</si>
  <si>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alp_ecom_conversao_ecom_facebook_social_pagepost_social_got_look-1-desk_cpc_1200x628_111111</t>
  </si>
  <si>
    <t>242206056</t>
  </si>
  <si>
    <t>438842672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</si>
  <si>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</si>
  <si>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</si>
  <si>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</si>
  <si>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alp_ecom_conversao_ecom_facebook_social_pagepost_social_got_look-1-mobile_cpc_1200x628_111111</t>
  </si>
  <si>
    <t>242206062</t>
  </si>
  <si>
    <t>438842678</t>
  </si>
  <si>
    <t>alp_ecom_conversao_ecom_facebook_social_pagepost_social_got_look-1-mobile_cpc_1200x628_111121</t>
  </si>
  <si>
    <t>242863392</t>
  </si>
  <si>
    <t>439371397</t>
  </si>
  <si>
    <t>alp_ecom_conversao_ecom_facebook_social_pagepost_social_got_look-2-desk_cpc_1200x628_111111</t>
  </si>
  <si>
    <t>242206053</t>
  </si>
  <si>
    <t>438842669</t>
  </si>
  <si>
    <t>alp_ecom_conversao_ecom_facebook_social_pagepost_social_got_look-2-desk_cpc_1200x628_111121</t>
  </si>
  <si>
    <t>242863389</t>
  </si>
  <si>
    <t>439371394</t>
  </si>
  <si>
    <t>alp_ecom_conversao_ecom_facebook_social_pagepost_social_got_look-2-mobile_cpc_1200x628_111111</t>
  </si>
  <si>
    <t>242206047</t>
  </si>
  <si>
    <t>438842663</t>
  </si>
  <si>
    <t>alp_ecom_conversao_ecom_facebook_social_pagepost_social_got_look-2-mobile_cpc_1200x628_111121</t>
  </si>
  <si>
    <t>242863386</t>
  </si>
  <si>
    <t>439371391</t>
  </si>
  <si>
    <t>alp_ecom_conversao_ecom_facebook_social_pagepost_social_got_rmk-30-mobile_cpc_1200x628_111111</t>
  </si>
  <si>
    <t>242206050</t>
  </si>
  <si>
    <t>438842666</t>
  </si>
  <si>
    <t>alp_ecom_conversao_ecom_facebook_social_pagepost_social_got_rmk-30-mobile_cpc_1200x628_111121</t>
  </si>
  <si>
    <t>242863380</t>
  </si>
  <si>
    <t>439371385</t>
  </si>
  <si>
    <t>alp_ecom_conversao_ecom_facebook_social_pagepost_social_got_rmk-30_cpc_1200x628_111111</t>
  </si>
  <si>
    <t>242206068</t>
  </si>
  <si>
    <t>438842684</t>
  </si>
  <si>
    <t>alp_ecom_conversao_ecom_facebook_social_pagepost_social_got_rmk-30_cpc_1200x628_111121</t>
  </si>
  <si>
    <t>242863383</t>
  </si>
  <si>
    <t>439371388</t>
  </si>
  <si>
    <t>alp_ecom_conversao_ecom_facebook_social_pagepost_social_harry-potter_curte-havaianas_cpc_1200x628_111119</t>
  </si>
  <si>
    <t>242342685</t>
  </si>
  <si>
    <t>438874521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</si>
  <si>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</si>
  <si>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</si>
  <si>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</si>
  <si>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alp_ecom_conversao_ecom_facebook_social_pagepost_social_harry-potter_look-2-desk_cpc_1200x628_111119</t>
  </si>
  <si>
    <t>242342676</t>
  </si>
  <si>
    <t>438874512</t>
  </si>
  <si>
    <t>alp_ecom_conversao_ecom_facebook_social_pagepost_social_harry-potter_look-2-mobile_cpc_1200x628_111119</t>
  </si>
  <si>
    <t>242342673</t>
  </si>
  <si>
    <t>438874509</t>
  </si>
  <si>
    <t>alp_ecom_conversao_ecom_facebook_social_pagepost_social_harry-potter_rmk-30-mobile_cpc_1200x628_111119</t>
  </si>
  <si>
    <t>242342667</t>
  </si>
  <si>
    <t>438874503</t>
  </si>
  <si>
    <t>alp_ecom_conversao_ecom_facebook_social_pagepost_social_harry-potter_rmk-30_cpc_1200x628_111119</t>
  </si>
  <si>
    <t>242342670</t>
  </si>
  <si>
    <t>438874506</t>
  </si>
  <si>
    <t>alp_ecom_conversao_ecom_facebook_social_pagepost_social_havaianas-exclusivas_curte-havaianas_cpc_1200x628_111115</t>
  </si>
  <si>
    <t>241974517</t>
  </si>
  <si>
    <t>438842597</t>
  </si>
  <si>
    <t>alp_ecom_conversao_ecom_facebook_social_pagepost_social_havaianas-exclusivas_look-1-desk_cpc_1200x628_111115</t>
  </si>
  <si>
    <t>241974508</t>
  </si>
  <si>
    <t>438842588</t>
  </si>
  <si>
    <t>alp_ecom_conversao_ecom_facebook_social_pagepost_social_havaianas-exclusivas_look-1-mobile_cpc_1200x628_111115</t>
  </si>
  <si>
    <t>241974511</t>
  </si>
  <si>
    <t>438842591</t>
  </si>
  <si>
    <t>alp_ecom_conversao_ecom_facebook_social_pagepost_social_havaianas-exclusivas_look-2-desk_cpc_1200x628_111115</t>
  </si>
  <si>
    <t>242206071</t>
  </si>
  <si>
    <t>438842687</t>
  </si>
  <si>
    <t>alp_ecom_conversao_ecom_facebook_social_pagepost_social_havaianas-exclusivas_look-2-mobile_cpc_1200x628_111115</t>
  </si>
  <si>
    <t>242206059</t>
  </si>
  <si>
    <t>438842675</t>
  </si>
  <si>
    <t>alp_ecom_conversao_ecom_facebook_social_pagepost_social_havaianas-exclusivas_rmk-30-mobile_cpc_1200x628_111115</t>
  </si>
  <si>
    <t>242206065</t>
  </si>
  <si>
    <t>438842681</t>
  </si>
  <si>
    <t>alp_ecom_conversao_ecom_facebook_social_pagepost_social_havaianas-exclusivas_rmk-30_cpc_1200x628_111115</t>
  </si>
  <si>
    <t>241974514</t>
  </si>
  <si>
    <t>438842594</t>
  </si>
  <si>
    <t>alp_ecom_conversao_ecom_facebook_social_pagepost_social_heroinas_curte-havaianas_cpc_1200x628_111114</t>
  </si>
  <si>
    <t>241988938</t>
  </si>
  <si>
    <t>438842618</t>
  </si>
  <si>
    <t>alp_ecom_conversao_ecom_facebook_social_pagepost_social_heroinas_look-1-desk_cpc_1200x628_111114</t>
  </si>
  <si>
    <t>241974529</t>
  </si>
  <si>
    <t>438842609</t>
  </si>
  <si>
    <t>alp_ecom_conversao_ecom_facebook_social_pagepost_social_heroinas_look-1-mobile_cpc_1200x628_111114</t>
  </si>
  <si>
    <t>241988932</t>
  </si>
  <si>
    <t>438842612</t>
  </si>
  <si>
    <t>alp_ecom_conversao_ecom_facebook_social_pagepost_social_heroinas_look-2-desk_cpc_1200x628_111114</t>
  </si>
  <si>
    <t>241974526</t>
  </si>
  <si>
    <t>438842606</t>
  </si>
  <si>
    <t>alp_ecom_conversao_ecom_facebook_social_pagepost_social_heroinas_look-2-mobile_cpc_1200x628_111114</t>
  </si>
  <si>
    <t>241974520</t>
  </si>
  <si>
    <t>438842600</t>
  </si>
  <si>
    <t>alp_ecom_conversao_ecom_facebook_social_pagepost_social_heroinas_rmk-30-mobile_cpc_1200x628_111114</t>
  </si>
  <si>
    <t>241974523</t>
  </si>
  <si>
    <t>438842603</t>
  </si>
  <si>
    <t>alp_ecom_conversao_ecom_facebook_social_pagepost_social_heroinas_rmk-30_cpc_1200x628_111114</t>
  </si>
  <si>
    <t>241988935</t>
  </si>
  <si>
    <t>438842615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</si>
  <si>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</si>
  <si>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</si>
  <si>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</si>
  <si>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alp_ecom_conversao_ecom_facebook_social_pagepost_social_mario-bros_look-1-desk_cpc_1200x628_111118</t>
  </si>
  <si>
    <t>242342703</t>
  </si>
  <si>
    <t>438874539</t>
  </si>
  <si>
    <t>alp_ecom_conversao_ecom_facebook_social_pagepost_social_mario-bros_look-1-mobile_cpc_1200x628_111118</t>
  </si>
  <si>
    <t>242342700</t>
  </si>
  <si>
    <t>438874536</t>
  </si>
  <si>
    <t>alp_ecom_conversao_ecom_facebook_social_pagepost_social_mario-bros_look-2-desk_cpc_1200x628_111118</t>
  </si>
  <si>
    <t>242342697</t>
  </si>
  <si>
    <t>438874533</t>
  </si>
  <si>
    <t>alp_ecom_conversao_ecom_facebook_social_pagepost_social_mario-bros_look-2-mobile_cpc_1200x628_111118</t>
  </si>
  <si>
    <t>242342694</t>
  </si>
  <si>
    <t>438874530</t>
  </si>
  <si>
    <t>alp_ecom_conversao_ecom_facebook_social_pagepost_social_mario-bros_rmk-30-mobile_cpc_1200x628_111118</t>
  </si>
  <si>
    <t>242342688</t>
  </si>
  <si>
    <t>438874524</t>
  </si>
  <si>
    <t>alp_ecom_conversao_ecom_facebook_social_pagepost_social_mario-bros_rmk-30_cpc_1200x628_111118</t>
  </si>
  <si>
    <t>242342691</t>
  </si>
  <si>
    <t>438874527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</si>
  <si>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</si>
  <si>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</si>
  <si>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</si>
  <si>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alp_ecom_conversao_ecom_facebook_social_pagepost_social_rasteiras-you_look-1-desk_cpc_1200x628_111113</t>
  </si>
  <si>
    <t>242206014</t>
  </si>
  <si>
    <t>438842630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</si>
  <si>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</si>
  <si>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</si>
  <si>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</si>
  <si>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alp_ecom_conversao_ecom_facebook_social_pagepost_social_rasteiras-you_look-2-desk_cpc_1200x628_111113</t>
  </si>
  <si>
    <t>242206011</t>
  </si>
  <si>
    <t>438842627</t>
  </si>
  <si>
    <t>alp_ecom_conversao_ecom_facebook_social_pagepost_social_rasteiras-you_look-2-mobile_cpc_1200x628_111113</t>
  </si>
  <si>
    <t>242206005</t>
  </si>
  <si>
    <t>438842621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</si>
  <si>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</si>
  <si>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</si>
  <si>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</si>
  <si>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alp_ecom_conversao_ecom_facebook_social_pagepost_social_rasteiras-you_rmk-30_cpc_1200x628_111113</t>
  </si>
  <si>
    <t>242206020</t>
  </si>
  <si>
    <t>438842636</t>
  </si>
  <si>
    <t>alp_ecom_conversao_ecom_facebook_social_pagepost_social_simpsons_curte-havaianas_cpc_1200x628_111116</t>
  </si>
  <si>
    <t>242342664</t>
  </si>
  <si>
    <t>438874500</t>
  </si>
  <si>
    <t>alp_ecom_conversao_ecom_facebook_social_pagepost_social_simpsons_look-1-desk_cpc_1200x628_111116</t>
  </si>
  <si>
    <t>242342661</t>
  </si>
  <si>
    <t>438874497</t>
  </si>
  <si>
    <t>alp_ecom_conversao_ecom_facebook_social_pagepost_social_simpsons_look-1-mobile_cpc_1200x628_111116</t>
  </si>
  <si>
    <t>242342658</t>
  </si>
  <si>
    <t>438874494</t>
  </si>
  <si>
    <t>alp_ecom_conversao_ecom_facebook_social_pagepost_social_simpsons_look-2-desk_cpc_1200x628_111116</t>
  </si>
  <si>
    <t>242342655</t>
  </si>
  <si>
    <t>438874491</t>
  </si>
  <si>
    <t>alp_ecom_conversao_ecom_facebook_social_pagepost_social_simpsons_look-2-mobile_cpc_1200x628_111116</t>
  </si>
  <si>
    <t>242342652</t>
  </si>
  <si>
    <t>438874488</t>
  </si>
  <si>
    <t>alp_ecom_conversao_ecom_facebook_social_pagepost_social_simpsons_rmk-30-mobile_cpc_1200x628_111116</t>
  </si>
  <si>
    <t>242342646</t>
  </si>
  <si>
    <t>438874482</t>
  </si>
  <si>
    <t>alp_ecom_conversao_ecom_facebook_social_pagepost_social_simpsons_rmk-30_cpc_1200x628_111116</t>
  </si>
  <si>
    <t>242342649</t>
  </si>
  <si>
    <t>438874485</t>
  </si>
  <si>
    <t>alp_ecom_conversao_ecom_facebook_social_pagepost_social_slim-pets_look-10_cpc_1200x628_111123</t>
  </si>
  <si>
    <t>242860012</t>
  </si>
  <si>
    <t>439468623</t>
  </si>
  <si>
    <t>alp_ecom_conversao_ecom_facebook_social_pagepost_social_slim-pets_look-10_cpc_1200x628_111124</t>
  </si>
  <si>
    <t>243056646</t>
  </si>
  <si>
    <t>439566910</t>
  </si>
  <si>
    <t>alp_ecom_conversao_ecom_facebook_social_pagepost_social_slim-pets_look-10_cpc_1200x628_111125</t>
  </si>
  <si>
    <t>242722832</t>
  </si>
  <si>
    <t>439563961</t>
  </si>
  <si>
    <t>alp_ecom_conversao_ecom_facebook_social_pagepost_social_slim-pets_look-10_cpc_1200x628_111126</t>
  </si>
  <si>
    <t>242723141</t>
  </si>
  <si>
    <t>439462806</t>
  </si>
  <si>
    <t>alp_ecom_conversao_ecom_facebook_social_stories_social_got_interesse-harry-potter_cpm_de-5s-ate-10s_111135</t>
  </si>
  <si>
    <t>243623652</t>
  </si>
  <si>
    <t>440024679</t>
  </si>
  <si>
    <t>alp_ecom_conversao_ecom_facebook_social_stories_social_got_interesse-harry-potter_cpm_de-5s-ate-10s_111136</t>
  </si>
  <si>
    <t>243623883</t>
  </si>
  <si>
    <t>440131555</t>
  </si>
  <si>
    <t>alp_ecom_conversao_ecom_facebook_social_stories_social_harry-potter_interesse-harry-potter_cpm_de-5s-ate-10s_111132</t>
  </si>
  <si>
    <t>243188173</t>
  </si>
  <si>
    <t>439896365</t>
  </si>
  <si>
    <t>alp_ecom_conversao_ecom_facebook_social_stories_social_harry-potter_interesse-harry-potter_cpm_de-5s-ate-10s_111133</t>
  </si>
  <si>
    <t>243380601</t>
  </si>
  <si>
    <t>439800423</t>
  </si>
  <si>
    <t>alp_ecom_conversao_ecom_facebook_social_stories_social_harry-potter_interesse-harry-potter_cpm_de-5s-ate-10s_111134</t>
  </si>
  <si>
    <t>243399840</t>
  </si>
  <si>
    <t>439898660</t>
  </si>
  <si>
    <t>alp_marca</t>
  </si>
  <si>
    <t>Elhombre_Puig</t>
  </si>
  <si>
    <t>alp_marca_alcance_masculino_el-hombre_conteudo-veiculo_publieditorial_lifestyle_rotacional_all_cpc_no-size_111118</t>
  </si>
  <si>
    <t>241629483</t>
  </si>
  <si>
    <t>438245550</t>
  </si>
  <si>
    <t>alp_marca_conversao_jovem_facebook_social_dark-post_social_got_all_cpm_1080x1080_111120</t>
  </si>
  <si>
    <t>242963447</t>
  </si>
  <si>
    <t>439773337</t>
  </si>
  <si>
    <t>alp_marca_conversao_jovem_facebook_social_dark-post_social_got_all_cpm_1080x1080_111121</t>
  </si>
  <si>
    <t>243290121</t>
  </si>
  <si>
    <t>439773376</t>
  </si>
  <si>
    <t>alp_marca_conversao_jovem_facebook_social_dark-post_social_got_all_cpm_1080x1080_111122</t>
  </si>
  <si>
    <t>243290136</t>
  </si>
  <si>
    <t>439764581</t>
  </si>
  <si>
    <t>alp_marca_conversao_jovem_facebook_social_dark-post_social_got_all_cpm_1080x1080_111123</t>
  </si>
  <si>
    <t>243290370</t>
  </si>
  <si>
    <t>439674651</t>
  </si>
  <si>
    <t>alp_marca_engajamentos_masculino_facebook_social_video-social_social_artistas-pomb_all_cpm_de-5s-ate-10s_111119</t>
  </si>
  <si>
    <t>242436410</t>
  </si>
  <si>
    <t>439267843</t>
  </si>
  <si>
    <t>alp_marca_engajamentos_todos_facebook_social_video-social_social_equity_all_cpm_de-5s-ate-10s_111124</t>
  </si>
  <si>
    <t>243173420</t>
  </si>
  <si>
    <t>439999216</t>
  </si>
  <si>
    <t>oglobo.com.br</t>
  </si>
  <si>
    <t>alp_marca_alcance_feminino_oglobo_display_retangulo_ros_rasteiras-you_all_cpm_300x250_111111</t>
  </si>
  <si>
    <t>241320181</t>
  </si>
  <si>
    <t>438126270</t>
  </si>
  <si>
    <t>alp_marca_alcance_feminino_oglobo_display_superbanner_ros_rasteiras-you_all_cpm_728x90_111112</t>
  </si>
  <si>
    <t>241226375</t>
  </si>
  <si>
    <t>438183587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</si>
  <si>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</si>
  <si>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</si>
  <si>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</si>
  <si>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</si>
  <si>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alp_marca_alcance_masculino_papo-de-homem_display_maxiboard_ros_havaianas-urban_all_cpm_970x150_111114</t>
  </si>
  <si>
    <t>241611495</t>
  </si>
  <si>
    <t>438270349</t>
  </si>
  <si>
    <t>alp_marca_alcance_masculino_papo-de-homem_display_retangulo_ros_havaianas-urban_all_cpm_300x250_111116</t>
  </si>
  <si>
    <t>241295873</t>
  </si>
  <si>
    <t>438178371</t>
  </si>
  <si>
    <t>alp_marca_alcance_masculino_papo-de-homem_display_superbanner_ros_havaianas-urban_all_cpm_728x90_111115</t>
  </si>
  <si>
    <t>241605636</t>
  </si>
  <si>
    <t>438178365</t>
  </si>
  <si>
    <t>revistaquem.globo.com</t>
  </si>
  <si>
    <t>alp_marca_alcance_feminino_quem_display_retangulo_ros_rasteiras-you_all_cpm_300x250_111111</t>
  </si>
  <si>
    <t>241533807</t>
  </si>
  <si>
    <t>438183569</t>
  </si>
  <si>
    <t>alp_marca_alcance_feminino_quem_display_superbanner_ros_rasteiras-you_all_cpm_728x90_111112</t>
  </si>
  <si>
    <t>241228742</t>
  </si>
  <si>
    <t>438126276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</si>
</sst>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C1" workbookViewId="0">
      <selection activeCell="K2" sqref="K2:K130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32</v>
      </c>
      <c r="F2" s="19" t="s">
        <v>54</v>
      </c>
      <c r="G2" s="19" t="s">
        <v>56</v>
      </c>
      <c r="H2" s="19" t="s">
        <v>32</v>
      </c>
      <c r="I2">
        <v>0</v>
      </c>
      <c r="J2">
        <v>126</v>
      </c>
      <c r="K2" s="1"/>
    </row>
    <row r="3" spans="1:11">
      <c r="A3" s="17" t="s">
        <v>52</v>
      </c>
      <c r="B3" s="19" t="s">
        <v>53</v>
      </c>
      <c r="C3" s="19" t="s">
        <v>57</v>
      </c>
      <c r="D3" s="19" t="s">
        <v>58</v>
      </c>
      <c r="E3" s="20" t="s">
        <v>32</v>
      </c>
      <c r="F3" s="19" t="s">
        <v>57</v>
      </c>
      <c r="G3" s="19" t="s">
        <v>59</v>
      </c>
      <c r="H3" s="19" t="s">
        <v>32</v>
      </c>
      <c r="I3">
        <v>0</v>
      </c>
      <c r="J3">
        <v>1029</v>
      </c>
      <c r="K3" s="1"/>
    </row>
    <row r="4" spans="1:11">
      <c r="A4" s="17" t="s">
        <v>52</v>
      </c>
      <c r="B4" s="19" t="s">
        <v>53</v>
      </c>
      <c r="C4" s="19" t="s">
        <v>60</v>
      </c>
      <c r="D4" s="19" t="s">
        <v>61</v>
      </c>
      <c r="E4" s="20" t="s">
        <v>32</v>
      </c>
      <c r="F4" s="19" t="s">
        <v>60</v>
      </c>
      <c r="G4" s="19" t="s">
        <v>62</v>
      </c>
      <c r="H4" s="19" t="s">
        <v>32</v>
      </c>
      <c r="I4">
        <v>0</v>
      </c>
      <c r="J4">
        <v>3</v>
      </c>
      <c r="K4" s="1"/>
    </row>
    <row r="5" spans="1:11">
      <c r="A5" s="17" t="s">
        <v>52</v>
      </c>
      <c r="B5" s="19" t="s">
        <v>53</v>
      </c>
      <c r="C5" s="19" t="s">
        <v>63</v>
      </c>
      <c r="D5" s="19" t="s">
        <v>64</v>
      </c>
      <c r="E5" s="20" t="s">
        <v>32</v>
      </c>
      <c r="F5" s="19" t="s">
        <v>63</v>
      </c>
      <c r="G5" s="19" t="s">
        <v>65</v>
      </c>
      <c r="H5" s="19" t="s">
        <v>32</v>
      </c>
      <c r="I5">
        <v>0</v>
      </c>
      <c r="J5">
        <v>38</v>
      </c>
      <c r="K5" s="1"/>
    </row>
    <row r="6" spans="1:11">
      <c r="A6" s="17" t="s">
        <v>52</v>
      </c>
      <c r="B6" s="19" t="s">
        <v>53</v>
      </c>
      <c r="C6" s="19" t="s">
        <v>66</v>
      </c>
      <c r="D6" s="19" t="s">
        <v>67</v>
      </c>
      <c r="E6" s="20" t="s">
        <v>32</v>
      </c>
      <c r="F6" s="19" t="s">
        <v>66</v>
      </c>
      <c r="G6" s="19" t="s">
        <v>68</v>
      </c>
      <c r="H6" s="19" t="s">
        <v>32</v>
      </c>
      <c r="I6">
        <v>0</v>
      </c>
      <c r="J6">
        <v>3</v>
      </c>
      <c r="K6" s="1"/>
    </row>
    <row r="7" spans="1:11">
      <c r="A7" s="17" t="s">
        <v>52</v>
      </c>
      <c r="B7" s="19" t="s">
        <v>53</v>
      </c>
      <c r="C7" s="19" t="s">
        <v>69</v>
      </c>
      <c r="D7" s="19" t="s">
        <v>70</v>
      </c>
      <c r="E7" s="20" t="s">
        <v>32</v>
      </c>
      <c r="F7" s="19" t="s">
        <v>69</v>
      </c>
      <c r="G7" s="19" t="s">
        <v>71</v>
      </c>
      <c r="H7" s="19" t="s">
        <v>32</v>
      </c>
      <c r="I7">
        <v>0</v>
      </c>
      <c r="J7">
        <v>68</v>
      </c>
      <c r="K7" s="1"/>
    </row>
    <row r="8" spans="1:11">
      <c r="A8" s="17" t="s">
        <v>52</v>
      </c>
      <c r="B8" s="19" t="s">
        <v>53</v>
      </c>
      <c r="C8" s="19" t="s">
        <v>72</v>
      </c>
      <c r="D8" s="19" t="s">
        <v>73</v>
      </c>
      <c r="E8" s="20" t="s">
        <v>32</v>
      </c>
      <c r="F8" s="19" t="s">
        <v>72</v>
      </c>
      <c r="G8" s="19" t="s">
        <v>74</v>
      </c>
      <c r="H8" s="19" t="s">
        <v>32</v>
      </c>
      <c r="I8">
        <v>0</v>
      </c>
      <c r="J8">
        <v>191</v>
      </c>
      <c r="K8" s="1"/>
    </row>
    <row r="9" spans="1:11">
      <c r="A9" s="17" t="s">
        <v>52</v>
      </c>
      <c r="B9" s="19" t="s">
        <v>53</v>
      </c>
      <c r="C9" s="19" t="s">
        <v>75</v>
      </c>
      <c r="D9" s="19" t="s">
        <v>76</v>
      </c>
      <c r="E9" s="20" t="s">
        <v>32</v>
      </c>
      <c r="F9" s="19" t="s">
        <v>75</v>
      </c>
      <c r="G9" s="19" t="s">
        <v>77</v>
      </c>
      <c r="H9" s="19" t="s">
        <v>32</v>
      </c>
      <c r="I9">
        <v>0</v>
      </c>
      <c r="J9">
        <v>4</v>
      </c>
      <c r="K9" s="1"/>
    </row>
    <row r="10" spans="1:11">
      <c r="A10" s="17" t="s">
        <v>52</v>
      </c>
      <c r="B10" s="19" t="s">
        <v>53</v>
      </c>
      <c r="C10" s="19" t="s">
        <v>78</v>
      </c>
      <c r="D10" s="19" t="s">
        <v>79</v>
      </c>
      <c r="E10" s="20" t="s">
        <v>32</v>
      </c>
      <c r="F10" s="19" t="s">
        <v>78</v>
      </c>
      <c r="G10" s="19" t="s">
        <v>80</v>
      </c>
      <c r="H10" s="19" t="s">
        <v>32</v>
      </c>
      <c r="I10">
        <v>0</v>
      </c>
      <c r="J10">
        <v>1</v>
      </c>
      <c r="K10" s="1"/>
    </row>
    <row r="11" spans="1:11">
      <c r="A11" s="17" t="s">
        <v>52</v>
      </c>
      <c r="B11" s="19" t="s">
        <v>53</v>
      </c>
      <c r="C11" s="19" t="s">
        <v>81</v>
      </c>
      <c r="D11" s="19" t="s">
        <v>82</v>
      </c>
      <c r="E11" s="20" t="s">
        <v>32</v>
      </c>
      <c r="F11" s="19" t="s">
        <v>81</v>
      </c>
      <c r="G11" s="19" t="s">
        <v>83</v>
      </c>
      <c r="H11" s="19" t="s">
        <v>32</v>
      </c>
      <c r="I11">
        <v>0</v>
      </c>
      <c r="J11">
        <v>5</v>
      </c>
      <c r="K11" s="1"/>
    </row>
    <row r="12" spans="1:11">
      <c r="A12" s="17" t="s">
        <v>52</v>
      </c>
      <c r="B12" s="19" t="s">
        <v>53</v>
      </c>
      <c r="C12" s="19" t="s">
        <v>84</v>
      </c>
      <c r="D12" s="19" t="s">
        <v>85</v>
      </c>
      <c r="E12" s="20" t="s">
        <v>32</v>
      </c>
      <c r="F12" s="19" t="s">
        <v>84</v>
      </c>
      <c r="G12" s="19" t="s">
        <v>86</v>
      </c>
      <c r="H12" s="19" t="s">
        <v>32</v>
      </c>
      <c r="I12">
        <v>0</v>
      </c>
      <c r="J12">
        <v>1</v>
      </c>
      <c r="K12" s="1"/>
    </row>
    <row r="13" spans="1:11">
      <c r="A13" s="17" t="s">
        <v>52</v>
      </c>
      <c r="B13" s="19" t="s">
        <v>53</v>
      </c>
      <c r="C13" s="19" t="s">
        <v>87</v>
      </c>
      <c r="D13" s="19" t="s">
        <v>88</v>
      </c>
      <c r="E13" s="20" t="s">
        <v>32</v>
      </c>
      <c r="F13" s="19" t="s">
        <v>87</v>
      </c>
      <c r="G13" s="19" t="s">
        <v>89</v>
      </c>
      <c r="H13" s="19" t="s">
        <v>32</v>
      </c>
      <c r="I13">
        <v>0</v>
      </c>
      <c r="J13">
        <v>1</v>
      </c>
      <c r="K13" s="1"/>
    </row>
    <row r="14" spans="1:11">
      <c r="A14" s="17" t="s">
        <v>52</v>
      </c>
      <c r="B14" s="19" t="s">
        <v>53</v>
      </c>
      <c r="C14" s="19" t="s">
        <v>90</v>
      </c>
      <c r="D14" s="19" t="s">
        <v>91</v>
      </c>
      <c r="E14" s="20" t="s">
        <v>32</v>
      </c>
      <c r="F14" s="19" t="s">
        <v>90</v>
      </c>
      <c r="G14" s="19" t="s">
        <v>92</v>
      </c>
      <c r="H14" s="19" t="s">
        <v>32</v>
      </c>
      <c r="I14">
        <v>0</v>
      </c>
      <c r="J14">
        <v>1</v>
      </c>
      <c r="K14" s="1"/>
    </row>
    <row r="15" spans="1:11">
      <c r="A15" s="17" t="s">
        <v>52</v>
      </c>
      <c r="B15" s="19" t="s">
        <v>53</v>
      </c>
      <c r="C15" s="19" t="s">
        <v>93</v>
      </c>
      <c r="D15" s="19" t="s">
        <v>94</v>
      </c>
      <c r="E15" s="20" t="s">
        <v>32</v>
      </c>
      <c r="F15" s="19" t="s">
        <v>93</v>
      </c>
      <c r="G15" s="19" t="s">
        <v>95</v>
      </c>
      <c r="H15" s="19" t="s">
        <v>32</v>
      </c>
      <c r="I15">
        <v>0</v>
      </c>
      <c r="J15">
        <v>1</v>
      </c>
      <c r="K15" s="1"/>
    </row>
    <row r="16" spans="1:11">
      <c r="A16" s="17" t="s">
        <v>52</v>
      </c>
      <c r="B16" s="19" t="s">
        <v>53</v>
      </c>
      <c r="C16" s="19" t="s">
        <v>96</v>
      </c>
      <c r="D16" s="19" t="s">
        <v>97</v>
      </c>
      <c r="E16" s="20" t="s">
        <v>32</v>
      </c>
      <c r="F16" s="19" t="s">
        <v>96</v>
      </c>
      <c r="G16" s="19" t="s">
        <v>98</v>
      </c>
      <c r="H16" s="19" t="s">
        <v>32</v>
      </c>
      <c r="I16">
        <v>0</v>
      </c>
      <c r="J16">
        <v>1</v>
      </c>
      <c r="K16" s="1"/>
    </row>
    <row r="17" spans="1:11">
      <c r="A17" s="17" t="s">
        <v>52</v>
      </c>
      <c r="B17" s="19" t="s">
        <v>53</v>
      </c>
      <c r="C17" s="19" t="s">
        <v>99</v>
      </c>
      <c r="D17" s="19" t="s">
        <v>100</v>
      </c>
      <c r="E17" s="20" t="s">
        <v>32</v>
      </c>
      <c r="F17" s="19" t="s">
        <v>99</v>
      </c>
      <c r="G17" s="19" t="s">
        <v>101</v>
      </c>
      <c r="H17" s="19" t="s">
        <v>32</v>
      </c>
      <c r="I17">
        <v>0</v>
      </c>
      <c r="J17">
        <v>1</v>
      </c>
      <c r="K17" s="1"/>
    </row>
    <row r="18" spans="1:11">
      <c r="A18" s="17" t="s">
        <v>52</v>
      </c>
      <c r="B18" s="19" t="s">
        <v>53</v>
      </c>
      <c r="C18" s="19" t="s">
        <v>102</v>
      </c>
      <c r="D18" s="19" t="s">
        <v>103</v>
      </c>
      <c r="E18" s="20" t="s">
        <v>32</v>
      </c>
      <c r="F18" s="19" t="s">
        <v>102</v>
      </c>
      <c r="G18" s="19" t="s">
        <v>104</v>
      </c>
      <c r="H18" s="19" t="s">
        <v>32</v>
      </c>
      <c r="I18">
        <v>0</v>
      </c>
      <c r="J18">
        <v>1</v>
      </c>
      <c r="K18" s="1"/>
    </row>
    <row r="19" spans="1:11">
      <c r="A19" s="17" t="s">
        <v>52</v>
      </c>
      <c r="B19" s="19" t="s">
        <v>53</v>
      </c>
      <c r="C19" s="19" t="s">
        <v>105</v>
      </c>
      <c r="D19" s="19" t="s">
        <v>106</v>
      </c>
      <c r="E19" s="20" t="s">
        <v>32</v>
      </c>
      <c r="F19" s="19" t="s">
        <v>105</v>
      </c>
      <c r="G19" s="19" t="s">
        <v>107</v>
      </c>
      <c r="H19" s="19" t="s">
        <v>32</v>
      </c>
      <c r="I19">
        <v>0</v>
      </c>
      <c r="J19">
        <v>2</v>
      </c>
      <c r="K19" s="1"/>
    </row>
    <row r="20" spans="1:11">
      <c r="A20" s="17" t="s">
        <v>52</v>
      </c>
      <c r="B20" s="19" t="s">
        <v>53</v>
      </c>
      <c r="C20" s="19" t="s">
        <v>108</v>
      </c>
      <c r="D20" s="19" t="s">
        <v>109</v>
      </c>
      <c r="E20" s="20" t="s">
        <v>32</v>
      </c>
      <c r="F20" s="19" t="s">
        <v>108</v>
      </c>
      <c r="G20" s="19" t="s">
        <v>110</v>
      </c>
      <c r="H20" s="19" t="s">
        <v>32</v>
      </c>
      <c r="I20">
        <v>0</v>
      </c>
      <c r="J20">
        <v>8</v>
      </c>
      <c r="K20" s="1"/>
    </row>
    <row r="21" spans="1:11">
      <c r="A21" s="17" t="s">
        <v>52</v>
      </c>
      <c r="B21" s="19" t="s">
        <v>53</v>
      </c>
      <c r="C21" s="19" t="s">
        <v>111</v>
      </c>
      <c r="D21" s="19" t="s">
        <v>112</v>
      </c>
      <c r="E21" s="20" t="s">
        <v>32</v>
      </c>
      <c r="F21" s="19" t="s">
        <v>111</v>
      </c>
      <c r="G21" s="19" t="s">
        <v>113</v>
      </c>
      <c r="H21" s="19" t="s">
        <v>32</v>
      </c>
      <c r="I21">
        <v>0</v>
      </c>
      <c r="J21">
        <v>1</v>
      </c>
      <c r="K21" s="1"/>
    </row>
    <row r="22" spans="1:11">
      <c r="A22" s="17" t="s">
        <v>52</v>
      </c>
      <c r="B22" s="19" t="s">
        <v>53</v>
      </c>
      <c r="C22" s="19" t="s">
        <v>114</v>
      </c>
      <c r="D22" s="19" t="s">
        <v>115</v>
      </c>
      <c r="E22" s="20" t="s">
        <v>32</v>
      </c>
      <c r="F22" s="19" t="s">
        <v>114</v>
      </c>
      <c r="G22" s="19" t="s">
        <v>116</v>
      </c>
      <c r="H22" s="19" t="s">
        <v>32</v>
      </c>
      <c r="I22">
        <v>0</v>
      </c>
      <c r="J22">
        <v>1</v>
      </c>
      <c r="K22" s="1"/>
    </row>
    <row r="23" spans="1:11">
      <c r="A23" s="17" t="s">
        <v>52</v>
      </c>
      <c r="B23" s="19" t="s">
        <v>53</v>
      </c>
      <c r="C23" s="19" t="s">
        <v>117</v>
      </c>
      <c r="D23" s="19" t="s">
        <v>118</v>
      </c>
      <c r="E23" s="20" t="s">
        <v>32</v>
      </c>
      <c r="F23" s="19" t="s">
        <v>117</v>
      </c>
      <c r="G23" s="19" t="s">
        <v>119</v>
      </c>
      <c r="H23" s="19" t="s">
        <v>32</v>
      </c>
      <c r="I23">
        <v>0</v>
      </c>
      <c r="J23">
        <v>1</v>
      </c>
      <c r="K23" s="1"/>
    </row>
    <row r="24" spans="1:11">
      <c r="A24" s="17" t="s">
        <v>52</v>
      </c>
      <c r="B24" s="19" t="s">
        <v>53</v>
      </c>
      <c r="C24" s="19" t="s">
        <v>120</v>
      </c>
      <c r="D24" s="19" t="s">
        <v>121</v>
      </c>
      <c r="E24" s="20" t="s">
        <v>32</v>
      </c>
      <c r="F24" s="19" t="s">
        <v>120</v>
      </c>
      <c r="G24" s="19" t="s">
        <v>122</v>
      </c>
      <c r="H24" s="19" t="s">
        <v>32</v>
      </c>
      <c r="I24">
        <v>0</v>
      </c>
      <c r="J24">
        <v>20</v>
      </c>
      <c r="K24" s="1"/>
    </row>
    <row r="25" spans="1:11">
      <c r="A25" s="17" t="s">
        <v>52</v>
      </c>
      <c r="B25" s="19" t="s">
        <v>53</v>
      </c>
      <c r="C25" s="19" t="s">
        <v>123</v>
      </c>
      <c r="D25" s="19" t="s">
        <v>124</v>
      </c>
      <c r="E25" s="20" t="s">
        <v>32</v>
      </c>
      <c r="F25" s="19" t="s">
        <v>123</v>
      </c>
      <c r="G25" s="19" t="s">
        <v>125</v>
      </c>
      <c r="H25" s="19" t="s">
        <v>32</v>
      </c>
      <c r="I25">
        <v>0</v>
      </c>
      <c r="J25">
        <v>5</v>
      </c>
      <c r="K25" s="1"/>
    </row>
    <row r="26" spans="1:11">
      <c r="A26" s="17" t="s">
        <v>52</v>
      </c>
      <c r="B26" s="19" t="s">
        <v>53</v>
      </c>
      <c r="C26" s="19" t="s">
        <v>126</v>
      </c>
      <c r="D26" s="19" t="s">
        <v>127</v>
      </c>
      <c r="E26" s="20" t="s">
        <v>32</v>
      </c>
      <c r="F26" s="19" t="s">
        <v>126</v>
      </c>
      <c r="G26" s="19" t="s">
        <v>128</v>
      </c>
      <c r="H26" s="19" t="s">
        <v>32</v>
      </c>
      <c r="I26">
        <v>0</v>
      </c>
      <c r="J26">
        <v>2</v>
      </c>
      <c r="K26" s="1"/>
    </row>
    <row r="27" spans="1:11">
      <c r="A27" s="17" t="s">
        <v>52</v>
      </c>
      <c r="B27" s="19" t="s">
        <v>53</v>
      </c>
      <c r="C27" s="19" t="s">
        <v>129</v>
      </c>
      <c r="D27" s="19" t="s">
        <v>130</v>
      </c>
      <c r="E27" s="20" t="s">
        <v>32</v>
      </c>
      <c r="F27" s="19" t="s">
        <v>129</v>
      </c>
      <c r="G27" s="19" t="s">
        <v>131</v>
      </c>
      <c r="H27" s="19" t="s">
        <v>32</v>
      </c>
      <c r="I27">
        <v>0</v>
      </c>
      <c r="J27">
        <v>2</v>
      </c>
      <c r="K27" s="1"/>
    </row>
    <row r="28" spans="1:11">
      <c r="A28" s="17" t="s">
        <v>52</v>
      </c>
      <c r="B28" s="19" t="s">
        <v>53</v>
      </c>
      <c r="C28" s="19" t="s">
        <v>132</v>
      </c>
      <c r="D28" s="19" t="s">
        <v>133</v>
      </c>
      <c r="E28" s="20" t="s">
        <v>32</v>
      </c>
      <c r="F28" s="19" t="s">
        <v>132</v>
      </c>
      <c r="G28" s="19" t="s">
        <v>134</v>
      </c>
      <c r="H28" s="19" t="s">
        <v>32</v>
      </c>
      <c r="I28">
        <v>0</v>
      </c>
      <c r="J28">
        <v>2</v>
      </c>
      <c r="K28" s="1"/>
    </row>
    <row r="29" spans="1:11">
      <c r="A29" s="17" t="s">
        <v>52</v>
      </c>
      <c r="B29" s="19" t="s">
        <v>53</v>
      </c>
      <c r="C29" s="19" t="s">
        <v>135</v>
      </c>
      <c r="D29" s="19" t="s">
        <v>136</v>
      </c>
      <c r="E29" s="20" t="s">
        <v>32</v>
      </c>
      <c r="F29" s="19" t="s">
        <v>135</v>
      </c>
      <c r="G29" s="19" t="s">
        <v>137</v>
      </c>
      <c r="H29" s="19" t="s">
        <v>32</v>
      </c>
      <c r="I29">
        <v>132</v>
      </c>
      <c r="J29">
        <v>3801</v>
      </c>
      <c r="K29" s="1"/>
    </row>
    <row r="30" spans="1:11">
      <c r="A30" s="17" t="s">
        <v>52</v>
      </c>
      <c r="B30" s="19" t="s">
        <v>53</v>
      </c>
      <c r="C30" s="19" t="s">
        <v>138</v>
      </c>
      <c r="D30" s="19" t="s">
        <v>139</v>
      </c>
      <c r="E30" s="20" t="s">
        <v>32</v>
      </c>
      <c r="F30" s="19" t="s">
        <v>138</v>
      </c>
      <c r="G30" s="19" t="s">
        <v>140</v>
      </c>
      <c r="H30" s="19" t="s">
        <v>32</v>
      </c>
      <c r="I30">
        <v>2</v>
      </c>
      <c r="J30">
        <v>175</v>
      </c>
      <c r="K30" s="1"/>
    </row>
    <row r="31" spans="1:11">
      <c r="A31" s="17" t="s">
        <v>52</v>
      </c>
      <c r="B31" s="19" t="s">
        <v>53</v>
      </c>
      <c r="C31" s="19" t="s">
        <v>141</v>
      </c>
      <c r="D31" s="19" t="s">
        <v>142</v>
      </c>
      <c r="E31" s="20" t="s">
        <v>32</v>
      </c>
      <c r="F31" s="19" t="s">
        <v>141</v>
      </c>
      <c r="G31" s="19" t="s">
        <v>143</v>
      </c>
      <c r="H31" s="19" t="s">
        <v>32</v>
      </c>
      <c r="I31">
        <v>2</v>
      </c>
      <c r="J31">
        <v>470</v>
      </c>
      <c r="K31" s="1"/>
    </row>
    <row r="32" spans="1:11">
      <c r="A32" s="17" t="s">
        <v>52</v>
      </c>
      <c r="B32" s="19" t="s">
        <v>53</v>
      </c>
      <c r="C32" s="19" t="s">
        <v>144</v>
      </c>
      <c r="D32" s="19" t="s">
        <v>145</v>
      </c>
      <c r="E32" s="20" t="s">
        <v>32</v>
      </c>
      <c r="F32" s="19" t="s">
        <v>144</v>
      </c>
      <c r="G32" s="19" t="s">
        <v>146</v>
      </c>
      <c r="H32" s="19" t="s">
        <v>32</v>
      </c>
      <c r="I32">
        <v>2</v>
      </c>
      <c r="J32">
        <v>98</v>
      </c>
      <c r="K32" s="1"/>
    </row>
    <row r="33" spans="1:11">
      <c r="A33" s="17" t="s">
        <v>52</v>
      </c>
      <c r="B33" s="19" t="s">
        <v>53</v>
      </c>
      <c r="C33" s="19" t="s">
        <v>147</v>
      </c>
      <c r="D33" s="19" t="s">
        <v>148</v>
      </c>
      <c r="E33" s="20" t="s">
        <v>32</v>
      </c>
      <c r="F33" s="19" t="s">
        <v>147</v>
      </c>
      <c r="G33" s="19" t="s">
        <v>149</v>
      </c>
      <c r="H33" s="19" t="s">
        <v>32</v>
      </c>
      <c r="I33">
        <v>1</v>
      </c>
      <c r="J33">
        <v>241</v>
      </c>
      <c r="K33" s="1"/>
    </row>
    <row r="34" spans="1:11">
      <c r="A34" s="17" t="s">
        <v>52</v>
      </c>
      <c r="B34" s="19" t="s">
        <v>53</v>
      </c>
      <c r="C34" s="19" t="s">
        <v>150</v>
      </c>
      <c r="D34" s="19" t="s">
        <v>151</v>
      </c>
      <c r="E34" s="20" t="s">
        <v>32</v>
      </c>
      <c r="F34" s="19" t="s">
        <v>150</v>
      </c>
      <c r="G34" s="19" t="s">
        <v>152</v>
      </c>
      <c r="H34" s="19" t="s">
        <v>32</v>
      </c>
      <c r="I34">
        <v>21</v>
      </c>
      <c r="J34">
        <v>1251</v>
      </c>
      <c r="K34" s="1"/>
    </row>
    <row r="35" spans="1:11">
      <c r="A35" s="17" t="s">
        <v>52</v>
      </c>
      <c r="B35" s="19" t="s">
        <v>53</v>
      </c>
      <c r="C35" s="19" t="s">
        <v>153</v>
      </c>
      <c r="D35" s="19" t="s">
        <v>154</v>
      </c>
      <c r="E35" s="20" t="s">
        <v>32</v>
      </c>
      <c r="F35" s="19" t="s">
        <v>153</v>
      </c>
      <c r="G35" s="19" t="s">
        <v>155</v>
      </c>
      <c r="H35" s="19" t="s">
        <v>32</v>
      </c>
      <c r="I35">
        <v>2</v>
      </c>
      <c r="J35">
        <v>179</v>
      </c>
      <c r="K35" s="1"/>
    </row>
    <row r="36" spans="1:11">
      <c r="A36" s="17" t="s">
        <v>52</v>
      </c>
      <c r="B36" s="19" t="s">
        <v>53</v>
      </c>
      <c r="C36" s="19" t="s">
        <v>156</v>
      </c>
      <c r="D36" s="19" t="s">
        <v>157</v>
      </c>
      <c r="E36" s="20" t="s">
        <v>32</v>
      </c>
      <c r="F36" s="19" t="s">
        <v>156</v>
      </c>
      <c r="G36" s="19" t="s">
        <v>158</v>
      </c>
      <c r="H36" s="19" t="s">
        <v>32</v>
      </c>
      <c r="I36">
        <v>0</v>
      </c>
      <c r="J36">
        <v>561</v>
      </c>
      <c r="K36" s="1"/>
    </row>
    <row r="37" spans="1:11">
      <c r="A37" s="17" t="s">
        <v>52</v>
      </c>
      <c r="B37" s="19" t="s">
        <v>53</v>
      </c>
      <c r="C37" s="19" t="s">
        <v>159</v>
      </c>
      <c r="D37" s="19" t="s">
        <v>160</v>
      </c>
      <c r="E37" s="20" t="s">
        <v>32</v>
      </c>
      <c r="F37" s="19" t="s">
        <v>159</v>
      </c>
      <c r="G37" s="19" t="s">
        <v>161</v>
      </c>
      <c r="H37" s="19" t="s">
        <v>32</v>
      </c>
      <c r="I37">
        <v>0</v>
      </c>
      <c r="J37">
        <v>7</v>
      </c>
      <c r="K37" s="1"/>
    </row>
    <row r="38" spans="1:11">
      <c r="A38" s="17" t="s">
        <v>52</v>
      </c>
      <c r="B38" s="19" t="s">
        <v>53</v>
      </c>
      <c r="C38" s="19" t="s">
        <v>162</v>
      </c>
      <c r="D38" s="19" t="s">
        <v>163</v>
      </c>
      <c r="E38" s="20" t="s">
        <v>32</v>
      </c>
      <c r="F38" s="19" t="s">
        <v>162</v>
      </c>
      <c r="G38" s="19" t="s">
        <v>164</v>
      </c>
      <c r="H38" s="19" t="s">
        <v>32</v>
      </c>
      <c r="I38">
        <v>0</v>
      </c>
      <c r="J38">
        <v>8</v>
      </c>
      <c r="K38" s="1"/>
    </row>
    <row r="39" spans="1:11">
      <c r="A39" s="17" t="s">
        <v>52</v>
      </c>
      <c r="B39" s="19" t="s">
        <v>53</v>
      </c>
      <c r="C39" s="19" t="s">
        <v>165</v>
      </c>
      <c r="D39" s="19" t="s">
        <v>166</v>
      </c>
      <c r="E39" s="20" t="s">
        <v>32</v>
      </c>
      <c r="F39" s="19" t="s">
        <v>165</v>
      </c>
      <c r="G39" s="19" t="s">
        <v>167</v>
      </c>
      <c r="H39" s="19" t="s">
        <v>32</v>
      </c>
      <c r="I39">
        <v>0</v>
      </c>
      <c r="J39">
        <v>7</v>
      </c>
      <c r="K39" s="1"/>
    </row>
    <row r="40" spans="1:11">
      <c r="A40" s="17" t="s">
        <v>52</v>
      </c>
      <c r="B40" s="19" t="s">
        <v>53</v>
      </c>
      <c r="C40" s="19" t="s">
        <v>168</v>
      </c>
      <c r="D40" s="19" t="s">
        <v>169</v>
      </c>
      <c r="E40" s="20" t="s">
        <v>32</v>
      </c>
      <c r="F40" s="19" t="s">
        <v>168</v>
      </c>
      <c r="G40" s="19" t="s">
        <v>170</v>
      </c>
      <c r="H40" s="19" t="s">
        <v>32</v>
      </c>
      <c r="I40">
        <v>0</v>
      </c>
      <c r="J40">
        <v>2</v>
      </c>
      <c r="K40" s="1"/>
    </row>
    <row r="41" spans="1:11">
      <c r="A41" s="17" t="s">
        <v>52</v>
      </c>
      <c r="B41" s="19" t="s">
        <v>53</v>
      </c>
      <c r="C41" s="19" t="s">
        <v>171</v>
      </c>
      <c r="D41" s="19" t="s">
        <v>172</v>
      </c>
      <c r="E41" s="20" t="s">
        <v>32</v>
      </c>
      <c r="F41" s="19" t="s">
        <v>171</v>
      </c>
      <c r="G41" s="19" t="s">
        <v>173</v>
      </c>
      <c r="H41" s="19" t="s">
        <v>32</v>
      </c>
      <c r="I41">
        <v>0</v>
      </c>
      <c r="J41">
        <v>104</v>
      </c>
      <c r="K41" s="1"/>
    </row>
    <row r="42" spans="1:11">
      <c r="A42" s="17" t="s">
        <v>52</v>
      </c>
      <c r="B42" s="19" t="s">
        <v>53</v>
      </c>
      <c r="C42" s="19" t="s">
        <v>174</v>
      </c>
      <c r="D42" s="19" t="s">
        <v>175</v>
      </c>
      <c r="E42" s="20" t="s">
        <v>32</v>
      </c>
      <c r="F42" s="19" t="s">
        <v>174</v>
      </c>
      <c r="G42" s="19" t="s">
        <v>176</v>
      </c>
      <c r="H42" s="19" t="s">
        <v>32</v>
      </c>
      <c r="I42">
        <v>0</v>
      </c>
      <c r="J42">
        <v>15</v>
      </c>
      <c r="K42" s="1"/>
    </row>
    <row r="43" spans="1:11">
      <c r="A43" s="17" t="s">
        <v>52</v>
      </c>
      <c r="B43" s="19" t="s">
        <v>53</v>
      </c>
      <c r="C43" s="19" t="s">
        <v>177</v>
      </c>
      <c r="D43" s="19" t="s">
        <v>178</v>
      </c>
      <c r="E43" s="20" t="s">
        <v>32</v>
      </c>
      <c r="F43" s="19" t="s">
        <v>177</v>
      </c>
      <c r="G43" s="19" t="s">
        <v>179</v>
      </c>
      <c r="H43" s="19" t="s">
        <v>32</v>
      </c>
      <c r="I43">
        <v>0</v>
      </c>
      <c r="J43">
        <v>1976</v>
      </c>
      <c r="K43" s="1"/>
    </row>
    <row r="44" spans="1:11">
      <c r="A44" s="17" t="s">
        <v>52</v>
      </c>
      <c r="B44" s="19" t="s">
        <v>53</v>
      </c>
      <c r="C44" s="19" t="s">
        <v>180</v>
      </c>
      <c r="D44" s="19" t="s">
        <v>181</v>
      </c>
      <c r="E44" s="20" t="s">
        <v>32</v>
      </c>
      <c r="F44" s="19" t="s">
        <v>180</v>
      </c>
      <c r="G44" s="19" t="s">
        <v>182</v>
      </c>
      <c r="H44" s="19" t="s">
        <v>32</v>
      </c>
      <c r="I44">
        <v>0</v>
      </c>
      <c r="J44">
        <v>33</v>
      </c>
      <c r="K44" s="1"/>
    </row>
    <row r="45" spans="1:11">
      <c r="A45" s="17" t="s">
        <v>52</v>
      </c>
      <c r="B45" s="19" t="s">
        <v>53</v>
      </c>
      <c r="C45" s="19" t="s">
        <v>183</v>
      </c>
      <c r="D45" s="19" t="s">
        <v>184</v>
      </c>
      <c r="E45" s="20" t="s">
        <v>32</v>
      </c>
      <c r="F45" s="19" t="s">
        <v>183</v>
      </c>
      <c r="G45" s="19" t="s">
        <v>185</v>
      </c>
      <c r="H45" s="19" t="s">
        <v>32</v>
      </c>
      <c r="I45">
        <v>0</v>
      </c>
      <c r="J45">
        <v>332</v>
      </c>
      <c r="K45" s="1"/>
    </row>
    <row r="46" spans="1:11">
      <c r="A46" s="17" t="s">
        <v>52</v>
      </c>
      <c r="B46" s="19" t="s">
        <v>53</v>
      </c>
      <c r="C46" s="19" t="s">
        <v>186</v>
      </c>
      <c r="D46" s="19" t="s">
        <v>187</v>
      </c>
      <c r="E46" s="20" t="s">
        <v>32</v>
      </c>
      <c r="F46" s="19" t="s">
        <v>186</v>
      </c>
      <c r="G46" s="19" t="s">
        <v>188</v>
      </c>
      <c r="H46" s="19" t="s">
        <v>32</v>
      </c>
      <c r="I46">
        <v>0</v>
      </c>
      <c r="J46">
        <v>29</v>
      </c>
      <c r="K46" s="1"/>
    </row>
    <row r="47" spans="1:11">
      <c r="A47" s="17" t="s">
        <v>52</v>
      </c>
      <c r="B47" s="19" t="s">
        <v>53</v>
      </c>
      <c r="C47" s="19" t="s">
        <v>189</v>
      </c>
      <c r="D47" s="19" t="s">
        <v>190</v>
      </c>
      <c r="E47" s="20" t="s">
        <v>32</v>
      </c>
      <c r="F47" s="19" t="s">
        <v>189</v>
      </c>
      <c r="G47" s="19" t="s">
        <v>191</v>
      </c>
      <c r="H47" s="19" t="s">
        <v>32</v>
      </c>
      <c r="I47">
        <v>0</v>
      </c>
      <c r="J47">
        <v>227</v>
      </c>
      <c r="K47" s="1"/>
    </row>
    <row r="48" spans="1:11">
      <c r="A48" s="17" t="s">
        <v>52</v>
      </c>
      <c r="B48" s="19" t="s">
        <v>53</v>
      </c>
      <c r="C48" s="19" t="s">
        <v>192</v>
      </c>
      <c r="D48" s="19" t="s">
        <v>193</v>
      </c>
      <c r="E48" s="20" t="s">
        <v>32</v>
      </c>
      <c r="F48" s="19" t="s">
        <v>192</v>
      </c>
      <c r="G48" s="19" t="s">
        <v>194</v>
      </c>
      <c r="H48" s="19" t="s">
        <v>32</v>
      </c>
      <c r="I48">
        <v>0</v>
      </c>
      <c r="J48">
        <v>1778</v>
      </c>
      <c r="K48" s="1"/>
    </row>
    <row r="49" spans="1:11">
      <c r="A49" s="17" t="s">
        <v>52</v>
      </c>
      <c r="B49" s="19" t="s">
        <v>53</v>
      </c>
      <c r="C49" s="19" t="s">
        <v>195</v>
      </c>
      <c r="D49" s="19" t="s">
        <v>196</v>
      </c>
      <c r="E49" s="20" t="s">
        <v>32</v>
      </c>
      <c r="F49" s="19" t="s">
        <v>195</v>
      </c>
      <c r="G49" s="19" t="s">
        <v>197</v>
      </c>
      <c r="H49" s="19" t="s">
        <v>32</v>
      </c>
      <c r="I49">
        <v>0</v>
      </c>
      <c r="J49">
        <v>94</v>
      </c>
      <c r="K49" s="1"/>
    </row>
    <row r="50" spans="1:11">
      <c r="A50" s="17" t="s">
        <v>52</v>
      </c>
      <c r="B50" s="19" t="s">
        <v>53</v>
      </c>
      <c r="C50" s="19" t="s">
        <v>198</v>
      </c>
      <c r="D50" s="19" t="s">
        <v>199</v>
      </c>
      <c r="E50" s="20" t="s">
        <v>32</v>
      </c>
      <c r="F50" s="19" t="s">
        <v>198</v>
      </c>
      <c r="G50" s="19" t="s">
        <v>200</v>
      </c>
      <c r="H50" s="19" t="s">
        <v>32</v>
      </c>
      <c r="I50">
        <v>0</v>
      </c>
      <c r="J50">
        <v>283</v>
      </c>
      <c r="K50" s="1"/>
    </row>
    <row r="51" spans="1:11">
      <c r="A51" s="17" t="s">
        <v>52</v>
      </c>
      <c r="B51" s="19" t="s">
        <v>53</v>
      </c>
      <c r="C51" s="19" t="s">
        <v>201</v>
      </c>
      <c r="D51" s="19" t="s">
        <v>202</v>
      </c>
      <c r="E51" s="20" t="s">
        <v>32</v>
      </c>
      <c r="F51" s="19" t="s">
        <v>201</v>
      </c>
      <c r="G51" s="19" t="s">
        <v>203</v>
      </c>
      <c r="H51" s="19" t="s">
        <v>32</v>
      </c>
      <c r="I51">
        <v>0</v>
      </c>
      <c r="J51">
        <v>99</v>
      </c>
      <c r="K51" s="1"/>
    </row>
    <row r="52" spans="1:11">
      <c r="A52" s="17" t="s">
        <v>52</v>
      </c>
      <c r="B52" s="19" t="s">
        <v>53</v>
      </c>
      <c r="C52" s="19" t="s">
        <v>204</v>
      </c>
      <c r="D52" s="19" t="s">
        <v>205</v>
      </c>
      <c r="E52" s="20" t="s">
        <v>32</v>
      </c>
      <c r="F52" s="19" t="s">
        <v>204</v>
      </c>
      <c r="G52" s="19" t="s">
        <v>206</v>
      </c>
      <c r="H52" s="19" t="s">
        <v>32</v>
      </c>
      <c r="I52">
        <v>0</v>
      </c>
      <c r="J52">
        <v>1061</v>
      </c>
      <c r="K52" s="1"/>
    </row>
    <row r="53" spans="1:11">
      <c r="A53" s="17" t="s">
        <v>52</v>
      </c>
      <c r="B53" s="19" t="s">
        <v>53</v>
      </c>
      <c r="C53" s="19" t="s">
        <v>207</v>
      </c>
      <c r="D53" s="19" t="s">
        <v>208</v>
      </c>
      <c r="E53" s="20" t="s">
        <v>32</v>
      </c>
      <c r="F53" s="19" t="s">
        <v>207</v>
      </c>
      <c r="G53" s="19" t="s">
        <v>209</v>
      </c>
      <c r="H53" s="19" t="s">
        <v>32</v>
      </c>
      <c r="I53">
        <v>0</v>
      </c>
      <c r="J53">
        <v>833</v>
      </c>
      <c r="K53" s="1"/>
    </row>
    <row r="54" spans="1:11">
      <c r="A54" s="17" t="s">
        <v>52</v>
      </c>
      <c r="B54" s="19" t="s">
        <v>53</v>
      </c>
      <c r="C54" s="19" t="s">
        <v>210</v>
      </c>
      <c r="D54" s="19" t="s">
        <v>211</v>
      </c>
      <c r="E54" s="20" t="s">
        <v>32</v>
      </c>
      <c r="F54" s="19" t="s">
        <v>210</v>
      </c>
      <c r="G54" s="19" t="s">
        <v>212</v>
      </c>
      <c r="H54" s="19" t="s">
        <v>32</v>
      </c>
      <c r="I54">
        <v>0</v>
      </c>
      <c r="J54">
        <v>49</v>
      </c>
      <c r="K54" s="1"/>
    </row>
    <row r="55" spans="1:11">
      <c r="A55" s="17" t="s">
        <v>52</v>
      </c>
      <c r="B55" s="19" t="s">
        <v>53</v>
      </c>
      <c r="C55" s="19" t="s">
        <v>213</v>
      </c>
      <c r="D55" s="19" t="s">
        <v>214</v>
      </c>
      <c r="E55" s="20" t="s">
        <v>32</v>
      </c>
      <c r="F55" s="19" t="s">
        <v>213</v>
      </c>
      <c r="G55" s="19" t="s">
        <v>215</v>
      </c>
      <c r="H55" s="19" t="s">
        <v>32</v>
      </c>
      <c r="I55">
        <v>0</v>
      </c>
      <c r="J55">
        <v>2</v>
      </c>
      <c r="K55" s="1"/>
    </row>
    <row r="56" spans="1:11">
      <c r="A56" s="17" t="s">
        <v>52</v>
      </c>
      <c r="B56" s="19" t="s">
        <v>53</v>
      </c>
      <c r="C56" s="19" t="s">
        <v>216</v>
      </c>
      <c r="D56" s="19" t="s">
        <v>217</v>
      </c>
      <c r="E56" s="20" t="s">
        <v>32</v>
      </c>
      <c r="F56" s="19" t="s">
        <v>216</v>
      </c>
      <c r="G56" s="19" t="s">
        <v>218</v>
      </c>
      <c r="H56" s="19" t="s">
        <v>32</v>
      </c>
      <c r="I56">
        <v>0</v>
      </c>
      <c r="J56">
        <v>8</v>
      </c>
      <c r="K56" s="1"/>
    </row>
    <row r="57" spans="1:11">
      <c r="A57" s="17" t="s">
        <v>52</v>
      </c>
      <c r="B57" s="19" t="s">
        <v>53</v>
      </c>
      <c r="C57" s="19" t="s">
        <v>219</v>
      </c>
      <c r="D57" s="19" t="s">
        <v>220</v>
      </c>
      <c r="E57" s="20" t="s">
        <v>32</v>
      </c>
      <c r="F57" s="19" t="s">
        <v>219</v>
      </c>
      <c r="G57" s="19" t="s">
        <v>221</v>
      </c>
      <c r="H57" s="19" t="s">
        <v>32</v>
      </c>
      <c r="I57">
        <v>0</v>
      </c>
      <c r="J57">
        <v>4</v>
      </c>
      <c r="K57" s="1"/>
    </row>
    <row r="58" spans="1:11">
      <c r="A58" s="17" t="s">
        <v>52</v>
      </c>
      <c r="B58" s="19" t="s">
        <v>53</v>
      </c>
      <c r="C58" s="19" t="s">
        <v>222</v>
      </c>
      <c r="D58" s="19" t="s">
        <v>223</v>
      </c>
      <c r="E58" s="20" t="s">
        <v>32</v>
      </c>
      <c r="F58" s="19" t="s">
        <v>222</v>
      </c>
      <c r="G58" s="19" t="s">
        <v>224</v>
      </c>
      <c r="H58" s="19" t="s">
        <v>32</v>
      </c>
      <c r="I58">
        <v>0</v>
      </c>
      <c r="J58">
        <v>35</v>
      </c>
      <c r="K58" s="1"/>
    </row>
    <row r="59" spans="1:11">
      <c r="A59" s="17" t="s">
        <v>52</v>
      </c>
      <c r="B59" s="19" t="s">
        <v>53</v>
      </c>
      <c r="C59" s="19" t="s">
        <v>225</v>
      </c>
      <c r="D59" s="19" t="s">
        <v>226</v>
      </c>
      <c r="E59" s="20" t="s">
        <v>32</v>
      </c>
      <c r="F59" s="19" t="s">
        <v>225</v>
      </c>
      <c r="G59" s="19" t="s">
        <v>227</v>
      </c>
      <c r="H59" s="19" t="s">
        <v>32</v>
      </c>
      <c r="I59">
        <v>0</v>
      </c>
      <c r="J59">
        <v>3</v>
      </c>
      <c r="K59" s="1"/>
    </row>
    <row r="60" spans="1:11">
      <c r="A60" s="17" t="s">
        <v>52</v>
      </c>
      <c r="B60" s="19" t="s">
        <v>53</v>
      </c>
      <c r="C60" s="19" t="s">
        <v>228</v>
      </c>
      <c r="D60" s="19" t="s">
        <v>229</v>
      </c>
      <c r="E60" s="20" t="s">
        <v>32</v>
      </c>
      <c r="F60" s="19" t="s">
        <v>228</v>
      </c>
      <c r="G60" s="19" t="s">
        <v>230</v>
      </c>
      <c r="H60" s="19" t="s">
        <v>32</v>
      </c>
      <c r="I60">
        <v>0</v>
      </c>
      <c r="J60">
        <v>2</v>
      </c>
      <c r="K60" s="1"/>
    </row>
    <row r="61" spans="1:11">
      <c r="A61" s="17" t="s">
        <v>52</v>
      </c>
      <c r="B61" s="19" t="s">
        <v>53</v>
      </c>
      <c r="C61" s="19" t="s">
        <v>231</v>
      </c>
      <c r="D61" s="19" t="s">
        <v>232</v>
      </c>
      <c r="E61" s="20" t="s">
        <v>32</v>
      </c>
      <c r="F61" s="19" t="s">
        <v>231</v>
      </c>
      <c r="G61" s="19" t="s">
        <v>233</v>
      </c>
      <c r="H61" s="19" t="s">
        <v>32</v>
      </c>
      <c r="I61">
        <v>0</v>
      </c>
      <c r="J61">
        <v>4</v>
      </c>
      <c r="K61" s="1"/>
    </row>
    <row r="62" spans="1:11">
      <c r="A62" s="17" t="s">
        <v>52</v>
      </c>
      <c r="B62" s="19" t="s">
        <v>53</v>
      </c>
      <c r="C62" s="19" t="s">
        <v>234</v>
      </c>
      <c r="D62" s="19" t="s">
        <v>235</v>
      </c>
      <c r="E62" s="20" t="s">
        <v>32</v>
      </c>
      <c r="F62" s="19" t="s">
        <v>234</v>
      </c>
      <c r="G62" s="19" t="s">
        <v>236</v>
      </c>
      <c r="H62" s="19" t="s">
        <v>32</v>
      </c>
      <c r="I62">
        <v>0</v>
      </c>
      <c r="J62">
        <v>76</v>
      </c>
      <c r="K62" s="1"/>
    </row>
    <row r="63" spans="1:11">
      <c r="A63" s="17" t="s">
        <v>52</v>
      </c>
      <c r="B63" s="19" t="s">
        <v>53</v>
      </c>
      <c r="C63" s="19" t="s">
        <v>237</v>
      </c>
      <c r="D63" s="19" t="s">
        <v>238</v>
      </c>
      <c r="E63" s="20" t="s">
        <v>32</v>
      </c>
      <c r="F63" s="19" t="s">
        <v>237</v>
      </c>
      <c r="G63" s="19" t="s">
        <v>239</v>
      </c>
      <c r="H63" s="19" t="s">
        <v>32</v>
      </c>
      <c r="I63">
        <v>0</v>
      </c>
      <c r="J63">
        <v>70</v>
      </c>
      <c r="K63" s="1"/>
    </row>
    <row r="64" spans="1:11">
      <c r="A64" s="17" t="s">
        <v>52</v>
      </c>
      <c r="B64" s="19" t="s">
        <v>53</v>
      </c>
      <c r="C64" s="19" t="s">
        <v>240</v>
      </c>
      <c r="D64" s="19" t="s">
        <v>241</v>
      </c>
      <c r="E64" s="20" t="s">
        <v>32</v>
      </c>
      <c r="F64" s="19" t="s">
        <v>240</v>
      </c>
      <c r="G64" s="19" t="s">
        <v>242</v>
      </c>
      <c r="H64" s="19" t="s">
        <v>32</v>
      </c>
      <c r="I64">
        <v>0</v>
      </c>
      <c r="J64">
        <v>30</v>
      </c>
      <c r="K64" s="1"/>
    </row>
    <row r="65" spans="1:11">
      <c r="A65" s="17" t="s">
        <v>52</v>
      </c>
      <c r="B65" s="19" t="s">
        <v>53</v>
      </c>
      <c r="C65" s="19" t="s">
        <v>243</v>
      </c>
      <c r="D65" s="19" t="s">
        <v>244</v>
      </c>
      <c r="E65" s="20" t="s">
        <v>32</v>
      </c>
      <c r="F65" s="19" t="s">
        <v>243</v>
      </c>
      <c r="G65" s="19" t="s">
        <v>245</v>
      </c>
      <c r="H65" s="19" t="s">
        <v>32</v>
      </c>
      <c r="I65">
        <v>0</v>
      </c>
      <c r="J65">
        <v>12</v>
      </c>
      <c r="K65" s="1"/>
    </row>
    <row r="66" spans="1:11">
      <c r="A66" s="17" t="s">
        <v>52</v>
      </c>
      <c r="B66" s="19" t="s">
        <v>53</v>
      </c>
      <c r="C66" s="19" t="s">
        <v>246</v>
      </c>
      <c r="D66" s="19" t="s">
        <v>247</v>
      </c>
      <c r="E66" s="20" t="s">
        <v>32</v>
      </c>
      <c r="F66" s="19" t="s">
        <v>246</v>
      </c>
      <c r="G66" s="19" t="s">
        <v>248</v>
      </c>
      <c r="H66" s="19" t="s">
        <v>32</v>
      </c>
      <c r="I66">
        <v>0</v>
      </c>
      <c r="J66">
        <v>138</v>
      </c>
      <c r="K66" s="1"/>
    </row>
    <row r="67" spans="1:11">
      <c r="A67" s="17" t="s">
        <v>52</v>
      </c>
      <c r="B67" s="19" t="s">
        <v>53</v>
      </c>
      <c r="C67" s="19" t="s">
        <v>249</v>
      </c>
      <c r="D67" s="19" t="s">
        <v>250</v>
      </c>
      <c r="E67" s="20" t="s">
        <v>32</v>
      </c>
      <c r="F67" s="19" t="s">
        <v>249</v>
      </c>
      <c r="G67" s="19" t="s">
        <v>251</v>
      </c>
      <c r="H67" s="19" t="s">
        <v>32</v>
      </c>
      <c r="I67">
        <v>0</v>
      </c>
      <c r="J67">
        <v>16</v>
      </c>
      <c r="K67" s="1"/>
    </row>
    <row r="68" spans="1:11">
      <c r="A68" s="17" t="s">
        <v>52</v>
      </c>
      <c r="B68" s="19" t="s">
        <v>53</v>
      </c>
      <c r="C68" s="19" t="s">
        <v>252</v>
      </c>
      <c r="D68" s="19" t="s">
        <v>253</v>
      </c>
      <c r="E68" s="20" t="s">
        <v>32</v>
      </c>
      <c r="F68" s="19" t="s">
        <v>252</v>
      </c>
      <c r="G68" s="19" t="s">
        <v>254</v>
      </c>
      <c r="H68" s="19" t="s">
        <v>32</v>
      </c>
      <c r="I68">
        <v>0</v>
      </c>
      <c r="J68">
        <v>8</v>
      </c>
      <c r="K68" s="1"/>
    </row>
    <row r="69" spans="1:11">
      <c r="A69" s="17" t="s">
        <v>52</v>
      </c>
      <c r="B69" s="19" t="s">
        <v>53</v>
      </c>
      <c r="C69" s="19" t="s">
        <v>255</v>
      </c>
      <c r="D69" s="19" t="s">
        <v>256</v>
      </c>
      <c r="E69" s="20" t="s">
        <v>32</v>
      </c>
      <c r="F69" s="19" t="s">
        <v>255</v>
      </c>
      <c r="G69" s="19" t="s">
        <v>257</v>
      </c>
      <c r="H69" s="19" t="s">
        <v>32</v>
      </c>
      <c r="I69">
        <v>0</v>
      </c>
      <c r="J69">
        <v>4</v>
      </c>
      <c r="K69" s="1"/>
    </row>
    <row r="70" spans="1:11">
      <c r="A70" s="17" t="s">
        <v>52</v>
      </c>
      <c r="B70" s="19" t="s">
        <v>53</v>
      </c>
      <c r="C70" s="19" t="s">
        <v>258</v>
      </c>
      <c r="D70" s="19" t="s">
        <v>259</v>
      </c>
      <c r="E70" s="20" t="s">
        <v>32</v>
      </c>
      <c r="F70" s="19" t="s">
        <v>258</v>
      </c>
      <c r="G70" s="19" t="s">
        <v>260</v>
      </c>
      <c r="H70" s="19" t="s">
        <v>32</v>
      </c>
      <c r="I70">
        <v>0</v>
      </c>
      <c r="J70">
        <v>89</v>
      </c>
      <c r="K70" s="1"/>
    </row>
    <row r="71" spans="1:11">
      <c r="A71" s="17" t="s">
        <v>52</v>
      </c>
      <c r="B71" s="19" t="s">
        <v>53</v>
      </c>
      <c r="C71" s="19" t="s">
        <v>261</v>
      </c>
      <c r="D71" s="19" t="s">
        <v>262</v>
      </c>
      <c r="E71" s="20" t="s">
        <v>32</v>
      </c>
      <c r="F71" s="19" t="s">
        <v>261</v>
      </c>
      <c r="G71" s="19" t="s">
        <v>263</v>
      </c>
      <c r="H71" s="19" t="s">
        <v>32</v>
      </c>
      <c r="I71">
        <v>0</v>
      </c>
      <c r="J71">
        <v>14</v>
      </c>
      <c r="K71" s="1"/>
    </row>
    <row r="72" spans="1:11">
      <c r="A72" s="17" t="s">
        <v>52</v>
      </c>
      <c r="B72" s="19" t="s">
        <v>53</v>
      </c>
      <c r="C72" s="19" t="s">
        <v>264</v>
      </c>
      <c r="D72" s="19" t="s">
        <v>265</v>
      </c>
      <c r="E72" s="20" t="s">
        <v>32</v>
      </c>
      <c r="F72" s="19" t="s">
        <v>264</v>
      </c>
      <c r="G72" s="19" t="s">
        <v>266</v>
      </c>
      <c r="H72" s="19" t="s">
        <v>32</v>
      </c>
      <c r="I72">
        <v>0</v>
      </c>
      <c r="J72">
        <v>361</v>
      </c>
      <c r="K72" s="1"/>
    </row>
    <row r="73" spans="1:11">
      <c r="A73" s="17" t="s">
        <v>52</v>
      </c>
      <c r="B73" s="19" t="s">
        <v>53</v>
      </c>
      <c r="C73" s="19" t="s">
        <v>267</v>
      </c>
      <c r="D73" s="19" t="s">
        <v>268</v>
      </c>
      <c r="E73" s="20" t="s">
        <v>32</v>
      </c>
      <c r="F73" s="19" t="s">
        <v>267</v>
      </c>
      <c r="G73" s="19" t="s">
        <v>269</v>
      </c>
      <c r="H73" s="19" t="s">
        <v>32</v>
      </c>
      <c r="I73">
        <v>0</v>
      </c>
      <c r="J73">
        <v>9</v>
      </c>
      <c r="K73" s="1"/>
    </row>
    <row r="74" spans="1:11">
      <c r="A74" s="17" t="s">
        <v>52</v>
      </c>
      <c r="B74" s="19" t="s">
        <v>53</v>
      </c>
      <c r="C74" s="19" t="s">
        <v>270</v>
      </c>
      <c r="D74" s="19" t="s">
        <v>271</v>
      </c>
      <c r="E74" s="20" t="s">
        <v>32</v>
      </c>
      <c r="F74" s="19" t="s">
        <v>270</v>
      </c>
      <c r="G74" s="19" t="s">
        <v>272</v>
      </c>
      <c r="H74" s="19" t="s">
        <v>32</v>
      </c>
      <c r="I74">
        <v>0</v>
      </c>
      <c r="J74">
        <v>9</v>
      </c>
      <c r="K74" s="1"/>
    </row>
    <row r="75" spans="1:11">
      <c r="A75" s="17" t="s">
        <v>52</v>
      </c>
      <c r="B75" s="19" t="s">
        <v>53</v>
      </c>
      <c r="C75" s="19" t="s">
        <v>273</v>
      </c>
      <c r="D75" s="19" t="s">
        <v>274</v>
      </c>
      <c r="E75" s="20" t="s">
        <v>32</v>
      </c>
      <c r="F75" s="19" t="s">
        <v>273</v>
      </c>
      <c r="G75" s="19" t="s">
        <v>275</v>
      </c>
      <c r="H75" s="19" t="s">
        <v>32</v>
      </c>
      <c r="I75">
        <v>0</v>
      </c>
      <c r="J75">
        <v>2</v>
      </c>
      <c r="K75" s="1"/>
    </row>
    <row r="76" spans="1:11">
      <c r="A76" s="17" t="s">
        <v>52</v>
      </c>
      <c r="B76" s="19" t="s">
        <v>53</v>
      </c>
      <c r="C76" s="19" t="s">
        <v>276</v>
      </c>
      <c r="D76" s="19" t="s">
        <v>277</v>
      </c>
      <c r="E76" s="20" t="s">
        <v>32</v>
      </c>
      <c r="F76" s="19" t="s">
        <v>276</v>
      </c>
      <c r="G76" s="19" t="s">
        <v>278</v>
      </c>
      <c r="H76" s="19" t="s">
        <v>32</v>
      </c>
      <c r="I76">
        <v>0</v>
      </c>
      <c r="J76">
        <v>3</v>
      </c>
      <c r="K76" s="1"/>
    </row>
    <row r="77" spans="1:11">
      <c r="A77" s="17" t="s">
        <v>52</v>
      </c>
      <c r="B77" s="19" t="s">
        <v>53</v>
      </c>
      <c r="C77" s="19" t="s">
        <v>279</v>
      </c>
      <c r="D77" s="19" t="s">
        <v>280</v>
      </c>
      <c r="E77" s="20" t="s">
        <v>32</v>
      </c>
      <c r="F77" s="19" t="s">
        <v>279</v>
      </c>
      <c r="G77" s="19" t="s">
        <v>281</v>
      </c>
      <c r="H77" s="19" t="s">
        <v>32</v>
      </c>
      <c r="I77">
        <v>0</v>
      </c>
      <c r="J77">
        <v>199</v>
      </c>
      <c r="K77" s="1"/>
    </row>
    <row r="78" spans="1:11">
      <c r="A78" s="17" t="s">
        <v>52</v>
      </c>
      <c r="B78" s="19" t="s">
        <v>53</v>
      </c>
      <c r="C78" s="19" t="s">
        <v>282</v>
      </c>
      <c r="D78" s="19" t="s">
        <v>283</v>
      </c>
      <c r="E78" s="20" t="s">
        <v>32</v>
      </c>
      <c r="F78" s="19" t="s">
        <v>282</v>
      </c>
      <c r="G78" s="19" t="s">
        <v>284</v>
      </c>
      <c r="H78" s="19" t="s">
        <v>32</v>
      </c>
      <c r="I78">
        <v>0</v>
      </c>
      <c r="J78">
        <v>20</v>
      </c>
      <c r="K78" s="1"/>
    </row>
    <row r="79" spans="1:11">
      <c r="A79" s="17" t="s">
        <v>52</v>
      </c>
      <c r="B79" s="19" t="s">
        <v>53</v>
      </c>
      <c r="C79" s="19" t="s">
        <v>285</v>
      </c>
      <c r="D79" s="19" t="s">
        <v>286</v>
      </c>
      <c r="E79" s="20" t="s">
        <v>32</v>
      </c>
      <c r="F79" s="19" t="s">
        <v>285</v>
      </c>
      <c r="G79" s="19" t="s">
        <v>287</v>
      </c>
      <c r="H79" s="19" t="s">
        <v>32</v>
      </c>
      <c r="I79">
        <v>0</v>
      </c>
      <c r="J79">
        <v>277</v>
      </c>
      <c r="K79" s="1"/>
    </row>
    <row r="80" spans="1:11">
      <c r="A80" s="17" t="s">
        <v>52</v>
      </c>
      <c r="B80" s="19" t="s">
        <v>53</v>
      </c>
      <c r="C80" s="19" t="s">
        <v>288</v>
      </c>
      <c r="D80" s="19" t="s">
        <v>289</v>
      </c>
      <c r="E80" s="20" t="s">
        <v>32</v>
      </c>
      <c r="F80" s="19" t="s">
        <v>288</v>
      </c>
      <c r="G80" s="19" t="s">
        <v>290</v>
      </c>
      <c r="H80" s="19" t="s">
        <v>32</v>
      </c>
      <c r="I80">
        <v>0</v>
      </c>
      <c r="J80">
        <v>5</v>
      </c>
      <c r="K80" s="1"/>
    </row>
    <row r="81" spans="1:11">
      <c r="A81" s="17" t="s">
        <v>52</v>
      </c>
      <c r="B81" s="19" t="s">
        <v>53</v>
      </c>
      <c r="C81" s="19" t="s">
        <v>291</v>
      </c>
      <c r="D81" s="19" t="s">
        <v>292</v>
      </c>
      <c r="E81" s="20" t="s">
        <v>32</v>
      </c>
      <c r="F81" s="19" t="s">
        <v>291</v>
      </c>
      <c r="G81" s="19" t="s">
        <v>293</v>
      </c>
      <c r="H81" s="19" t="s">
        <v>32</v>
      </c>
      <c r="I81">
        <v>0</v>
      </c>
      <c r="J81">
        <v>14</v>
      </c>
      <c r="K81" s="1"/>
    </row>
    <row r="82" spans="1:11">
      <c r="A82" s="17" t="s">
        <v>52</v>
      </c>
      <c r="B82" s="19" t="s">
        <v>53</v>
      </c>
      <c r="C82" s="19" t="s">
        <v>294</v>
      </c>
      <c r="D82" s="19" t="s">
        <v>295</v>
      </c>
      <c r="E82" s="20" t="s">
        <v>32</v>
      </c>
      <c r="F82" s="19" t="s">
        <v>294</v>
      </c>
      <c r="G82" s="19" t="s">
        <v>296</v>
      </c>
      <c r="H82" s="19" t="s">
        <v>32</v>
      </c>
      <c r="I82">
        <v>0</v>
      </c>
      <c r="J82">
        <v>2</v>
      </c>
      <c r="K82" s="1"/>
    </row>
    <row r="83" spans="1:11">
      <c r="A83" s="17" t="s">
        <v>52</v>
      </c>
      <c r="B83" s="19" t="s">
        <v>53</v>
      </c>
      <c r="C83" s="19" t="s">
        <v>297</v>
      </c>
      <c r="D83" s="19" t="s">
        <v>298</v>
      </c>
      <c r="E83" s="20" t="s">
        <v>32</v>
      </c>
      <c r="F83" s="19" t="s">
        <v>297</v>
      </c>
      <c r="G83" s="19" t="s">
        <v>299</v>
      </c>
      <c r="H83" s="19" t="s">
        <v>32</v>
      </c>
      <c r="I83">
        <v>0</v>
      </c>
      <c r="J83">
        <v>19</v>
      </c>
      <c r="K83" s="1"/>
    </row>
    <row r="84" spans="1:11">
      <c r="A84" s="17" t="s">
        <v>52</v>
      </c>
      <c r="B84" s="19" t="s">
        <v>53</v>
      </c>
      <c r="C84" s="19" t="s">
        <v>300</v>
      </c>
      <c r="D84" s="19" t="s">
        <v>301</v>
      </c>
      <c r="E84" s="20" t="s">
        <v>32</v>
      </c>
      <c r="F84" s="19" t="s">
        <v>300</v>
      </c>
      <c r="G84" s="19" t="s">
        <v>302</v>
      </c>
      <c r="H84" s="19" t="s">
        <v>32</v>
      </c>
      <c r="I84">
        <v>0</v>
      </c>
      <c r="J84">
        <v>80</v>
      </c>
      <c r="K84" s="1"/>
    </row>
    <row r="85" spans="1:11">
      <c r="A85" s="17" t="s">
        <v>52</v>
      </c>
      <c r="B85" s="19" t="s">
        <v>53</v>
      </c>
      <c r="C85" s="19" t="s">
        <v>303</v>
      </c>
      <c r="D85" s="19" t="s">
        <v>304</v>
      </c>
      <c r="E85" s="20" t="s">
        <v>32</v>
      </c>
      <c r="F85" s="19" t="s">
        <v>303</v>
      </c>
      <c r="G85" s="19" t="s">
        <v>305</v>
      </c>
      <c r="H85" s="19" t="s">
        <v>32</v>
      </c>
      <c r="I85">
        <v>0</v>
      </c>
      <c r="J85">
        <v>4</v>
      </c>
      <c r="K85" s="1"/>
    </row>
    <row r="86" spans="1:11">
      <c r="A86" s="17" t="s">
        <v>52</v>
      </c>
      <c r="B86" s="19" t="s">
        <v>53</v>
      </c>
      <c r="C86" s="19" t="s">
        <v>306</v>
      </c>
      <c r="D86" s="19" t="s">
        <v>307</v>
      </c>
      <c r="E86" s="20" t="s">
        <v>32</v>
      </c>
      <c r="F86" s="19" t="s">
        <v>306</v>
      </c>
      <c r="G86" s="19" t="s">
        <v>308</v>
      </c>
      <c r="H86" s="19" t="s">
        <v>32</v>
      </c>
      <c r="I86">
        <v>0</v>
      </c>
      <c r="J86">
        <v>3507</v>
      </c>
      <c r="K86" s="1"/>
    </row>
    <row r="87" spans="1:11">
      <c r="A87" s="17" t="s">
        <v>52</v>
      </c>
      <c r="B87" s="19" t="s">
        <v>53</v>
      </c>
      <c r="C87" s="19" t="s">
        <v>309</v>
      </c>
      <c r="D87" s="19" t="s">
        <v>310</v>
      </c>
      <c r="E87" s="20" t="s">
        <v>32</v>
      </c>
      <c r="F87" s="19" t="s">
        <v>309</v>
      </c>
      <c r="G87" s="19" t="s">
        <v>311</v>
      </c>
      <c r="H87" s="19" t="s">
        <v>32</v>
      </c>
      <c r="I87">
        <v>0</v>
      </c>
      <c r="J87">
        <v>77</v>
      </c>
      <c r="K87" s="1"/>
    </row>
    <row r="88" spans="1:11">
      <c r="A88" s="17" t="s">
        <v>52</v>
      </c>
      <c r="B88" s="19" t="s">
        <v>53</v>
      </c>
      <c r="C88" s="19" t="s">
        <v>312</v>
      </c>
      <c r="D88" s="19" t="s">
        <v>313</v>
      </c>
      <c r="E88" s="20" t="s">
        <v>32</v>
      </c>
      <c r="F88" s="19" t="s">
        <v>312</v>
      </c>
      <c r="G88" s="19" t="s">
        <v>314</v>
      </c>
      <c r="H88" s="19" t="s">
        <v>32</v>
      </c>
      <c r="I88">
        <v>0</v>
      </c>
      <c r="J88">
        <v>68</v>
      </c>
      <c r="K88" s="1"/>
    </row>
    <row r="89" spans="1:11">
      <c r="A89" s="17" t="s">
        <v>52</v>
      </c>
      <c r="B89" s="19" t="s">
        <v>53</v>
      </c>
      <c r="C89" s="19" t="s">
        <v>315</v>
      </c>
      <c r="D89" s="19" t="s">
        <v>316</v>
      </c>
      <c r="E89" s="20" t="s">
        <v>32</v>
      </c>
      <c r="F89" s="19" t="s">
        <v>315</v>
      </c>
      <c r="G89" s="19" t="s">
        <v>317</v>
      </c>
      <c r="H89" s="19" t="s">
        <v>32</v>
      </c>
      <c r="I89">
        <v>0</v>
      </c>
      <c r="J89">
        <v>58</v>
      </c>
      <c r="K89" s="1"/>
    </row>
    <row r="90" spans="1:11">
      <c r="A90" s="17" t="s">
        <v>52</v>
      </c>
      <c r="B90" s="19" t="s">
        <v>53</v>
      </c>
      <c r="C90" s="19" t="s">
        <v>318</v>
      </c>
      <c r="D90" s="19" t="s">
        <v>319</v>
      </c>
      <c r="E90" s="20" t="s">
        <v>32</v>
      </c>
      <c r="F90" s="19" t="s">
        <v>318</v>
      </c>
      <c r="G90" s="19" t="s">
        <v>320</v>
      </c>
      <c r="H90" s="19" t="s">
        <v>32</v>
      </c>
      <c r="I90">
        <v>0</v>
      </c>
      <c r="J90">
        <v>80</v>
      </c>
      <c r="K90" s="1"/>
    </row>
    <row r="91" spans="1:11">
      <c r="A91" s="17" t="s">
        <v>52</v>
      </c>
      <c r="B91" s="19" t="s">
        <v>53</v>
      </c>
      <c r="C91" s="19" t="s">
        <v>321</v>
      </c>
      <c r="D91" s="19" t="s">
        <v>322</v>
      </c>
      <c r="E91" s="20" t="s">
        <v>32</v>
      </c>
      <c r="F91" s="19" t="s">
        <v>321</v>
      </c>
      <c r="G91" s="19" t="s">
        <v>323</v>
      </c>
      <c r="H91" s="19" t="s">
        <v>32</v>
      </c>
      <c r="I91">
        <v>0</v>
      </c>
      <c r="J91">
        <v>291</v>
      </c>
      <c r="K91" s="1"/>
    </row>
    <row r="92" spans="1:11">
      <c r="A92" s="17" t="s">
        <v>52</v>
      </c>
      <c r="B92" s="19" t="s">
        <v>53</v>
      </c>
      <c r="C92" s="19" t="s">
        <v>324</v>
      </c>
      <c r="D92" s="19" t="s">
        <v>325</v>
      </c>
      <c r="E92" s="20" t="s">
        <v>32</v>
      </c>
      <c r="F92" s="19" t="s">
        <v>324</v>
      </c>
      <c r="G92" s="19" t="s">
        <v>326</v>
      </c>
      <c r="H92" s="19" t="s">
        <v>32</v>
      </c>
      <c r="I92">
        <v>0</v>
      </c>
      <c r="J92">
        <v>69</v>
      </c>
      <c r="K92" s="1"/>
    </row>
    <row r="93" spans="1:11">
      <c r="A93" s="17" t="s">
        <v>52</v>
      </c>
      <c r="B93" s="19" t="s">
        <v>53</v>
      </c>
      <c r="C93" s="19" t="s">
        <v>327</v>
      </c>
      <c r="D93" s="19" t="s">
        <v>328</v>
      </c>
      <c r="E93" s="20" t="s">
        <v>32</v>
      </c>
      <c r="F93" s="19" t="s">
        <v>327</v>
      </c>
      <c r="G93" s="19" t="s">
        <v>329</v>
      </c>
      <c r="H93" s="19" t="s">
        <v>32</v>
      </c>
      <c r="I93">
        <v>0</v>
      </c>
      <c r="J93">
        <v>3655</v>
      </c>
      <c r="K93" s="1"/>
    </row>
    <row r="94" spans="1:11">
      <c r="A94" s="17" t="s">
        <v>52</v>
      </c>
      <c r="B94" s="19" t="s">
        <v>53</v>
      </c>
      <c r="C94" s="19" t="s">
        <v>330</v>
      </c>
      <c r="D94" s="19" t="s">
        <v>331</v>
      </c>
      <c r="E94" s="20" t="s">
        <v>32</v>
      </c>
      <c r="F94" s="19" t="s">
        <v>330</v>
      </c>
      <c r="G94" s="19" t="s">
        <v>332</v>
      </c>
      <c r="H94" s="19" t="s">
        <v>32</v>
      </c>
      <c r="I94">
        <v>0</v>
      </c>
      <c r="J94">
        <v>44</v>
      </c>
      <c r="K94" s="1"/>
    </row>
    <row r="95" spans="1:11">
      <c r="A95" s="17" t="s">
        <v>52</v>
      </c>
      <c r="B95" s="19" t="s">
        <v>53</v>
      </c>
      <c r="C95" s="19" t="s">
        <v>333</v>
      </c>
      <c r="D95" s="19" t="s">
        <v>334</v>
      </c>
      <c r="E95" s="20" t="s">
        <v>32</v>
      </c>
      <c r="F95" s="19" t="s">
        <v>333</v>
      </c>
      <c r="G95" s="19" t="s">
        <v>335</v>
      </c>
      <c r="H95" s="19" t="s">
        <v>32</v>
      </c>
      <c r="I95">
        <v>0</v>
      </c>
      <c r="J95">
        <v>208</v>
      </c>
      <c r="K95" s="1"/>
    </row>
    <row r="96" spans="1:11">
      <c r="A96" s="17" t="s">
        <v>52</v>
      </c>
      <c r="B96" s="19" t="s">
        <v>53</v>
      </c>
      <c r="C96" s="19" t="s">
        <v>336</v>
      </c>
      <c r="D96" s="19" t="s">
        <v>337</v>
      </c>
      <c r="E96" s="20" t="s">
        <v>32</v>
      </c>
      <c r="F96" s="19" t="s">
        <v>336</v>
      </c>
      <c r="G96" s="19" t="s">
        <v>338</v>
      </c>
      <c r="H96" s="19" t="s">
        <v>32</v>
      </c>
      <c r="I96">
        <v>0</v>
      </c>
      <c r="J96">
        <v>28</v>
      </c>
      <c r="K96" s="1"/>
    </row>
    <row r="97" spans="1:11">
      <c r="A97" s="17" t="s">
        <v>52</v>
      </c>
      <c r="B97" s="19" t="s">
        <v>53</v>
      </c>
      <c r="C97" s="19" t="s">
        <v>339</v>
      </c>
      <c r="D97" s="19" t="s">
        <v>340</v>
      </c>
      <c r="E97" s="20" t="s">
        <v>32</v>
      </c>
      <c r="F97" s="19" t="s">
        <v>339</v>
      </c>
      <c r="G97" s="19" t="s">
        <v>341</v>
      </c>
      <c r="H97" s="19" t="s">
        <v>32</v>
      </c>
      <c r="I97">
        <v>0</v>
      </c>
      <c r="J97">
        <v>70</v>
      </c>
      <c r="K97" s="1"/>
    </row>
    <row r="98" spans="1:11">
      <c r="A98" s="17" t="s">
        <v>52</v>
      </c>
      <c r="B98" s="19" t="s">
        <v>53</v>
      </c>
      <c r="C98" s="19" t="s">
        <v>342</v>
      </c>
      <c r="D98" s="19" t="s">
        <v>343</v>
      </c>
      <c r="E98" s="20" t="s">
        <v>32</v>
      </c>
      <c r="F98" s="19" t="s">
        <v>342</v>
      </c>
      <c r="G98" s="19" t="s">
        <v>344</v>
      </c>
      <c r="H98" s="19" t="s">
        <v>32</v>
      </c>
      <c r="I98">
        <v>0</v>
      </c>
      <c r="J98">
        <v>1215</v>
      </c>
      <c r="K98" s="1"/>
    </row>
    <row r="99" spans="1:11">
      <c r="A99" s="17" t="s">
        <v>52</v>
      </c>
      <c r="B99" s="19" t="s">
        <v>53</v>
      </c>
      <c r="C99" s="19" t="s">
        <v>345</v>
      </c>
      <c r="D99" s="19" t="s">
        <v>346</v>
      </c>
      <c r="E99" s="20" t="s">
        <v>32</v>
      </c>
      <c r="F99" s="19" t="s">
        <v>345</v>
      </c>
      <c r="G99" s="19" t="s">
        <v>347</v>
      </c>
      <c r="H99" s="19" t="s">
        <v>32</v>
      </c>
      <c r="I99">
        <v>0</v>
      </c>
      <c r="J99">
        <v>95</v>
      </c>
      <c r="K99" s="1"/>
    </row>
    <row r="100" spans="1:11">
      <c r="A100" s="17" t="s">
        <v>52</v>
      </c>
      <c r="B100" s="19" t="s">
        <v>53</v>
      </c>
      <c r="C100" s="19" t="s">
        <v>348</v>
      </c>
      <c r="D100" s="19" t="s">
        <v>349</v>
      </c>
      <c r="E100" s="20" t="s">
        <v>32</v>
      </c>
      <c r="F100" s="19" t="s">
        <v>348</v>
      </c>
      <c r="G100" s="19" t="s">
        <v>350</v>
      </c>
      <c r="H100" s="19" t="s">
        <v>32</v>
      </c>
      <c r="I100">
        <v>0</v>
      </c>
      <c r="J100">
        <v>2896</v>
      </c>
      <c r="K100" s="1"/>
    </row>
    <row r="101" spans="1:11">
      <c r="A101" s="17" t="s">
        <v>52</v>
      </c>
      <c r="B101" s="19" t="s">
        <v>53</v>
      </c>
      <c r="C101" s="19" t="s">
        <v>351</v>
      </c>
      <c r="D101" s="19" t="s">
        <v>352</v>
      </c>
      <c r="E101" s="20" t="s">
        <v>32</v>
      </c>
      <c r="F101" s="19" t="s">
        <v>351</v>
      </c>
      <c r="G101" s="19" t="s">
        <v>353</v>
      </c>
      <c r="H101" s="19" t="s">
        <v>32</v>
      </c>
      <c r="I101">
        <v>0</v>
      </c>
      <c r="J101">
        <v>5</v>
      </c>
      <c r="K101" s="1"/>
    </row>
    <row r="102" spans="1:11">
      <c r="A102" s="17" t="s">
        <v>52</v>
      </c>
      <c r="B102" s="19" t="s">
        <v>53</v>
      </c>
      <c r="C102" s="19" t="s">
        <v>354</v>
      </c>
      <c r="D102" s="19" t="s">
        <v>355</v>
      </c>
      <c r="E102" s="20" t="s">
        <v>32</v>
      </c>
      <c r="F102" s="19" t="s">
        <v>354</v>
      </c>
      <c r="G102" s="19" t="s">
        <v>356</v>
      </c>
      <c r="H102" s="19" t="s">
        <v>32</v>
      </c>
      <c r="I102">
        <v>0</v>
      </c>
      <c r="J102">
        <v>26</v>
      </c>
      <c r="K102" s="1"/>
    </row>
    <row r="103" spans="1:11">
      <c r="A103" s="17" t="s">
        <v>52</v>
      </c>
      <c r="B103" s="19" t="s">
        <v>53</v>
      </c>
      <c r="C103" s="19" t="s">
        <v>357</v>
      </c>
      <c r="D103" s="19" t="s">
        <v>358</v>
      </c>
      <c r="E103" s="20" t="s">
        <v>32</v>
      </c>
      <c r="F103" s="19" t="s">
        <v>357</v>
      </c>
      <c r="G103" s="19" t="s">
        <v>359</v>
      </c>
      <c r="H103" s="19" t="s">
        <v>32</v>
      </c>
      <c r="I103">
        <v>0</v>
      </c>
      <c r="J103">
        <v>3</v>
      </c>
      <c r="K103" s="1"/>
    </row>
    <row r="104" spans="1:11">
      <c r="A104" s="17" t="s">
        <v>52</v>
      </c>
      <c r="B104" s="19" t="s">
        <v>53</v>
      </c>
      <c r="C104" s="19" t="s">
        <v>360</v>
      </c>
      <c r="D104" s="19" t="s">
        <v>361</v>
      </c>
      <c r="E104" s="20" t="s">
        <v>32</v>
      </c>
      <c r="F104" s="19" t="s">
        <v>360</v>
      </c>
      <c r="G104" s="19" t="s">
        <v>362</v>
      </c>
      <c r="H104" s="19" t="s">
        <v>32</v>
      </c>
      <c r="I104">
        <v>0</v>
      </c>
      <c r="J104">
        <v>13</v>
      </c>
      <c r="K104" s="1"/>
    </row>
    <row r="105" spans="1:11">
      <c r="A105" s="17" t="s">
        <v>52</v>
      </c>
      <c r="B105" s="19" t="s">
        <v>53</v>
      </c>
      <c r="C105" s="19" t="s">
        <v>363</v>
      </c>
      <c r="D105" s="19" t="s">
        <v>364</v>
      </c>
      <c r="E105" s="20" t="s">
        <v>32</v>
      </c>
      <c r="F105" s="19" t="s">
        <v>363</v>
      </c>
      <c r="G105" s="19" t="s">
        <v>365</v>
      </c>
      <c r="H105" s="19" t="s">
        <v>32</v>
      </c>
      <c r="I105">
        <v>0</v>
      </c>
      <c r="J105">
        <v>164</v>
      </c>
      <c r="K105" s="1"/>
    </row>
    <row r="106" spans="1:11">
      <c r="A106" s="17" t="s">
        <v>52</v>
      </c>
      <c r="B106" s="19" t="s">
        <v>53</v>
      </c>
      <c r="C106" s="19" t="s">
        <v>366</v>
      </c>
      <c r="D106" s="19" t="s">
        <v>367</v>
      </c>
      <c r="E106" s="20" t="s">
        <v>32</v>
      </c>
      <c r="F106" s="19" t="s">
        <v>366</v>
      </c>
      <c r="G106" s="19" t="s">
        <v>368</v>
      </c>
      <c r="H106" s="19" t="s">
        <v>32</v>
      </c>
      <c r="I106">
        <v>0</v>
      </c>
      <c r="J106">
        <v>4</v>
      </c>
      <c r="K106" s="1"/>
    </row>
    <row r="107" spans="1:11">
      <c r="A107" s="17" t="s">
        <v>52</v>
      </c>
      <c r="B107" s="19" t="s">
        <v>53</v>
      </c>
      <c r="C107" s="19" t="s">
        <v>369</v>
      </c>
      <c r="D107" s="19" t="s">
        <v>370</v>
      </c>
      <c r="E107" s="20" t="s">
        <v>32</v>
      </c>
      <c r="F107" s="19" t="s">
        <v>369</v>
      </c>
      <c r="G107" s="19" t="s">
        <v>371</v>
      </c>
      <c r="H107" s="19" t="s">
        <v>32</v>
      </c>
      <c r="I107">
        <v>0</v>
      </c>
      <c r="J107">
        <v>1182</v>
      </c>
      <c r="K107" s="1"/>
    </row>
    <row r="108" spans="1:11">
      <c r="A108" s="17" t="s">
        <v>52</v>
      </c>
      <c r="B108" s="19" t="s">
        <v>53</v>
      </c>
      <c r="C108" s="19" t="s">
        <v>372</v>
      </c>
      <c r="D108" s="19" t="s">
        <v>373</v>
      </c>
      <c r="E108" s="20" t="s">
        <v>32</v>
      </c>
      <c r="F108" s="19" t="s">
        <v>372</v>
      </c>
      <c r="G108" s="19" t="s">
        <v>374</v>
      </c>
      <c r="H108" s="19" t="s">
        <v>32</v>
      </c>
      <c r="I108">
        <v>0</v>
      </c>
      <c r="J108">
        <v>1256</v>
      </c>
      <c r="K108" s="1"/>
    </row>
    <row r="109" spans="1:11">
      <c r="A109" s="17" t="s">
        <v>52</v>
      </c>
      <c r="B109" s="19" t="s">
        <v>53</v>
      </c>
      <c r="C109" s="19" t="s">
        <v>375</v>
      </c>
      <c r="D109" s="19" t="s">
        <v>376</v>
      </c>
      <c r="E109" s="20" t="s">
        <v>32</v>
      </c>
      <c r="F109" s="19" t="s">
        <v>375</v>
      </c>
      <c r="G109" s="19" t="s">
        <v>377</v>
      </c>
      <c r="H109" s="19" t="s">
        <v>32</v>
      </c>
      <c r="I109">
        <v>0</v>
      </c>
      <c r="J109">
        <v>1127</v>
      </c>
      <c r="K109" s="1"/>
    </row>
    <row r="110" spans="1:11">
      <c r="A110" s="17" t="s">
        <v>52</v>
      </c>
      <c r="B110" s="19" t="s">
        <v>53</v>
      </c>
      <c r="C110" s="19" t="s">
        <v>378</v>
      </c>
      <c r="D110" s="19" t="s">
        <v>379</v>
      </c>
      <c r="E110" s="20" t="s">
        <v>32</v>
      </c>
      <c r="F110" s="19" t="s">
        <v>378</v>
      </c>
      <c r="G110" s="19" t="s">
        <v>380</v>
      </c>
      <c r="H110" s="19" t="s">
        <v>32</v>
      </c>
      <c r="I110">
        <v>0</v>
      </c>
      <c r="J110">
        <v>1101</v>
      </c>
      <c r="K110" s="1"/>
    </row>
    <row r="111" spans="1:11">
      <c r="A111" s="17" t="s">
        <v>52</v>
      </c>
      <c r="B111" s="19" t="s">
        <v>53</v>
      </c>
      <c r="C111" s="19" t="s">
        <v>381</v>
      </c>
      <c r="D111" s="19" t="s">
        <v>382</v>
      </c>
      <c r="E111" s="20" t="s">
        <v>32</v>
      </c>
      <c r="F111" s="19" t="s">
        <v>381</v>
      </c>
      <c r="G111" s="19" t="s">
        <v>383</v>
      </c>
      <c r="H111" s="19" t="s">
        <v>32</v>
      </c>
      <c r="I111">
        <v>0</v>
      </c>
      <c r="J111">
        <v>17</v>
      </c>
      <c r="K111" s="1"/>
    </row>
    <row r="112" spans="1:11">
      <c r="A112" s="17" t="s">
        <v>52</v>
      </c>
      <c r="B112" s="19" t="s">
        <v>53</v>
      </c>
      <c r="C112" s="19" t="s">
        <v>384</v>
      </c>
      <c r="D112" s="19" t="s">
        <v>385</v>
      </c>
      <c r="E112" s="20" t="s">
        <v>32</v>
      </c>
      <c r="F112" s="19" t="s">
        <v>384</v>
      </c>
      <c r="G112" s="19" t="s">
        <v>386</v>
      </c>
      <c r="H112" s="19" t="s">
        <v>32</v>
      </c>
      <c r="I112">
        <v>0</v>
      </c>
      <c r="J112">
        <v>95</v>
      </c>
      <c r="K112" s="1"/>
    </row>
    <row r="113" spans="1:11">
      <c r="A113" s="17" t="s">
        <v>52</v>
      </c>
      <c r="B113" s="19" t="s">
        <v>53</v>
      </c>
      <c r="C113" s="19" t="s">
        <v>387</v>
      </c>
      <c r="D113" s="19" t="s">
        <v>388</v>
      </c>
      <c r="E113" s="20" t="s">
        <v>32</v>
      </c>
      <c r="F113" s="19" t="s">
        <v>387</v>
      </c>
      <c r="G113" s="19" t="s">
        <v>389</v>
      </c>
      <c r="H113" s="19" t="s">
        <v>32</v>
      </c>
      <c r="I113">
        <v>0</v>
      </c>
      <c r="J113">
        <v>23</v>
      </c>
      <c r="K113" s="1"/>
    </row>
    <row r="114" spans="1:11">
      <c r="A114" s="17" t="s">
        <v>52</v>
      </c>
      <c r="B114" s="19" t="s">
        <v>53</v>
      </c>
      <c r="C114" s="19" t="s">
        <v>390</v>
      </c>
      <c r="D114" s="19" t="s">
        <v>391</v>
      </c>
      <c r="E114" s="20" t="s">
        <v>32</v>
      </c>
      <c r="F114" s="19" t="s">
        <v>390</v>
      </c>
      <c r="G114" s="19" t="s">
        <v>392</v>
      </c>
      <c r="H114" s="19" t="s">
        <v>32</v>
      </c>
      <c r="I114">
        <v>0</v>
      </c>
      <c r="J114">
        <v>6031</v>
      </c>
      <c r="K114" s="1"/>
    </row>
    <row r="115" spans="1:11">
      <c r="A115" s="17" t="s">
        <v>52</v>
      </c>
      <c r="B115" s="19" t="s">
        <v>53</v>
      </c>
      <c r="C115" s="19" t="s">
        <v>393</v>
      </c>
      <c r="D115" s="19" t="s">
        <v>394</v>
      </c>
      <c r="E115" s="20" t="s">
        <v>32</v>
      </c>
      <c r="F115" s="19" t="s">
        <v>393</v>
      </c>
      <c r="G115" s="19" t="s">
        <v>395</v>
      </c>
      <c r="H115" s="19" t="s">
        <v>32</v>
      </c>
      <c r="I115">
        <v>0</v>
      </c>
      <c r="J115">
        <v>2013</v>
      </c>
      <c r="K115" s="1"/>
    </row>
    <row r="116" spans="1:11">
      <c r="A116" s="17" t="s">
        <v>396</v>
      </c>
      <c r="B116" s="19" t="s">
        <v>397</v>
      </c>
      <c r="C116" s="19" t="s">
        <v>398</v>
      </c>
      <c r="D116" s="19" t="s">
        <v>399</v>
      </c>
      <c r="E116" s="20" t="s">
        <v>32</v>
      </c>
      <c r="F116" s="19" t="s">
        <v>398</v>
      </c>
      <c r="G116" s="19" t="s">
        <v>400</v>
      </c>
      <c r="H116" s="19" t="s">
        <v>32</v>
      </c>
      <c r="I116">
        <v>0</v>
      </c>
      <c r="J116">
        <v>46</v>
      </c>
      <c r="K116" s="1"/>
    </row>
    <row r="117" spans="1:11">
      <c r="A117" s="17" t="s">
        <v>396</v>
      </c>
      <c r="B117" s="19" t="s">
        <v>53</v>
      </c>
      <c r="C117" s="19" t="s">
        <v>401</v>
      </c>
      <c r="D117" s="19" t="s">
        <v>402</v>
      </c>
      <c r="E117" s="20" t="s">
        <v>32</v>
      </c>
      <c r="F117" s="19" t="s">
        <v>401</v>
      </c>
      <c r="G117" s="19" t="s">
        <v>403</v>
      </c>
      <c r="H117" s="19" t="s">
        <v>32</v>
      </c>
      <c r="I117">
        <v>483726</v>
      </c>
      <c r="J117">
        <v>1398</v>
      </c>
      <c r="K117" s="1"/>
    </row>
    <row r="118" spans="1:11">
      <c r="A118" s="17" t="s">
        <v>396</v>
      </c>
      <c r="B118" s="19" t="s">
        <v>53</v>
      </c>
      <c r="C118" s="19" t="s">
        <v>404</v>
      </c>
      <c r="D118" s="19" t="s">
        <v>405</v>
      </c>
      <c r="E118" s="20" t="s">
        <v>32</v>
      </c>
      <c r="F118" s="19" t="s">
        <v>404</v>
      </c>
      <c r="G118" s="19" t="s">
        <v>406</v>
      </c>
      <c r="H118" s="19" t="s">
        <v>32</v>
      </c>
      <c r="I118">
        <v>5436857</v>
      </c>
      <c r="J118">
        <v>32921</v>
      </c>
      <c r="K118" s="1"/>
    </row>
    <row r="119" spans="1:11">
      <c r="A119" s="17" t="s">
        <v>396</v>
      </c>
      <c r="B119" s="19" t="s">
        <v>53</v>
      </c>
      <c r="C119" s="19" t="s">
        <v>407</v>
      </c>
      <c r="D119" s="19" t="s">
        <v>408</v>
      </c>
      <c r="E119" s="20" t="s">
        <v>32</v>
      </c>
      <c r="F119" s="19" t="s">
        <v>407</v>
      </c>
      <c r="G119" s="19" t="s">
        <v>409</v>
      </c>
      <c r="H119" s="19" t="s">
        <v>32</v>
      </c>
      <c r="I119">
        <v>0</v>
      </c>
      <c r="J119">
        <v>1</v>
      </c>
      <c r="K119" s="1"/>
    </row>
    <row r="120" spans="1:11">
      <c r="A120" s="17" t="s">
        <v>396</v>
      </c>
      <c r="B120" s="19" t="s">
        <v>53</v>
      </c>
      <c r="C120" s="19" t="s">
        <v>410</v>
      </c>
      <c r="D120" s="19" t="s">
        <v>411</v>
      </c>
      <c r="E120" s="20" t="s">
        <v>32</v>
      </c>
      <c r="F120" s="19" t="s">
        <v>410</v>
      </c>
      <c r="G120" s="19" t="s">
        <v>412</v>
      </c>
      <c r="H120" s="19" t="s">
        <v>32</v>
      </c>
      <c r="I120">
        <v>0</v>
      </c>
      <c r="J120">
        <v>1</v>
      </c>
      <c r="K120" s="1"/>
    </row>
    <row r="121" spans="1:11">
      <c r="A121" s="17" t="s">
        <v>396</v>
      </c>
      <c r="B121" s="19" t="s">
        <v>53</v>
      </c>
      <c r="C121" s="19" t="s">
        <v>413</v>
      </c>
      <c r="D121" s="19" t="s">
        <v>414</v>
      </c>
      <c r="E121" s="20" t="s">
        <v>32</v>
      </c>
      <c r="F121" s="19" t="s">
        <v>413</v>
      </c>
      <c r="G121" s="19" t="s">
        <v>415</v>
      </c>
      <c r="H121" s="19" t="s">
        <v>32</v>
      </c>
      <c r="I121">
        <v>4757116</v>
      </c>
      <c r="J121">
        <v>1</v>
      </c>
      <c r="K121" s="1"/>
    </row>
    <row r="122" spans="1:11">
      <c r="A122" s="17" t="s">
        <v>396</v>
      </c>
      <c r="B122" s="19" t="s">
        <v>53</v>
      </c>
      <c r="C122" s="19" t="s">
        <v>416</v>
      </c>
      <c r="D122" s="19" t="s">
        <v>417</v>
      </c>
      <c r="E122" s="20" t="s">
        <v>32</v>
      </c>
      <c r="F122" s="19" t="s">
        <v>416</v>
      </c>
      <c r="G122" s="19" t="s">
        <v>418</v>
      </c>
      <c r="H122" s="19" t="s">
        <v>32</v>
      </c>
      <c r="I122">
        <v>7373817</v>
      </c>
      <c r="J122">
        <v>0</v>
      </c>
      <c r="K122" s="1"/>
    </row>
    <row r="123" spans="1:11">
      <c r="A123" s="17" t="s">
        <v>396</v>
      </c>
      <c r="B123" s="19" t="s">
        <v>419</v>
      </c>
      <c r="C123" s="19" t="s">
        <v>420</v>
      </c>
      <c r="D123" s="19" t="s">
        <v>421</v>
      </c>
      <c r="E123" s="20" t="s">
        <v>12</v>
      </c>
      <c r="F123" s="19" t="s">
        <v>420</v>
      </c>
      <c r="G123" s="19" t="s">
        <v>422</v>
      </c>
      <c r="H123" s="19" t="s">
        <v>31</v>
      </c>
      <c r="I123">
        <v>492978</v>
      </c>
      <c r="J123">
        <v>344</v>
      </c>
      <c r="K123" s="1"/>
    </row>
    <row r="124" spans="1:11">
      <c r="A124" s="17" t="s">
        <v>396</v>
      </c>
      <c r="B124" s="19" t="s">
        <v>419</v>
      </c>
      <c r="C124" s="19" t="s">
        <v>423</v>
      </c>
      <c r="D124" s="19" t="s">
        <v>424</v>
      </c>
      <c r="E124" s="20" t="s">
        <v>12</v>
      </c>
      <c r="F124" s="19" t="s">
        <v>423</v>
      </c>
      <c r="G124" s="19" t="s">
        <v>425</v>
      </c>
      <c r="H124" s="19" t="s">
        <v>31</v>
      </c>
      <c r="I124">
        <v>490793</v>
      </c>
      <c r="J124">
        <v>170</v>
      </c>
      <c r="K124" s="1"/>
    </row>
    <row r="125" spans="1:11">
      <c r="A125" s="17" t="s">
        <v>396</v>
      </c>
      <c r="B125" s="19" t="s">
        <v>426</v>
      </c>
      <c r="C125" s="19" t="s">
        <v>427</v>
      </c>
      <c r="D125" s="19" t="s">
        <v>428</v>
      </c>
      <c r="E125" s="20" t="s">
        <v>12</v>
      </c>
      <c r="F125" s="19" t="s">
        <v>427</v>
      </c>
      <c r="G125" s="19" t="s">
        <v>429</v>
      </c>
      <c r="H125" s="19" t="s">
        <v>31</v>
      </c>
      <c r="I125">
        <v>77965</v>
      </c>
      <c r="J125">
        <v>66</v>
      </c>
      <c r="K125" s="1"/>
    </row>
    <row r="126" spans="1:11">
      <c r="A126" s="17" t="s">
        <v>396</v>
      </c>
      <c r="B126" s="19" t="s">
        <v>426</v>
      </c>
      <c r="C126" s="19" t="s">
        <v>430</v>
      </c>
      <c r="D126" s="19" t="s">
        <v>431</v>
      </c>
      <c r="E126" s="20" t="s">
        <v>12</v>
      </c>
      <c r="F126" s="19" t="s">
        <v>430</v>
      </c>
      <c r="G126" s="19" t="s">
        <v>432</v>
      </c>
      <c r="H126" s="19" t="s">
        <v>31</v>
      </c>
      <c r="I126">
        <v>2</v>
      </c>
      <c r="J126">
        <v>2</v>
      </c>
      <c r="K126" s="1"/>
    </row>
    <row r="127" spans="1:11">
      <c r="A127" s="17" t="s">
        <v>396</v>
      </c>
      <c r="B127" s="19" t="s">
        <v>426</v>
      </c>
      <c r="C127" s="19" t="s">
        <v>433</v>
      </c>
      <c r="D127" s="19" t="s">
        <v>434</v>
      </c>
      <c r="E127" s="20" t="s">
        <v>12</v>
      </c>
      <c r="F127" s="19" t="s">
        <v>433</v>
      </c>
      <c r="G127" s="19" t="s">
        <v>435</v>
      </c>
      <c r="H127" s="19" t="s">
        <v>31</v>
      </c>
      <c r="I127">
        <v>280973</v>
      </c>
      <c r="J127">
        <v>419</v>
      </c>
      <c r="K127" s="1"/>
    </row>
    <row r="128" spans="1:11">
      <c r="A128" s="17" t="s">
        <v>396</v>
      </c>
      <c r="B128" s="19" t="s">
        <v>426</v>
      </c>
      <c r="C128" s="19" t="s">
        <v>436</v>
      </c>
      <c r="D128" s="19" t="s">
        <v>437</v>
      </c>
      <c r="E128" s="20" t="s">
        <v>12</v>
      </c>
      <c r="F128" s="19" t="s">
        <v>436</v>
      </c>
      <c r="G128" s="19" t="s">
        <v>438</v>
      </c>
      <c r="H128" s="19" t="s">
        <v>31</v>
      </c>
      <c r="I128">
        <v>8</v>
      </c>
      <c r="J128">
        <v>3</v>
      </c>
      <c r="K128" s="1"/>
    </row>
    <row r="129" spans="1:11">
      <c r="A129" s="17" t="s">
        <v>396</v>
      </c>
      <c r="B129" s="19" t="s">
        <v>439</v>
      </c>
      <c r="C129" s="19" t="s">
        <v>440</v>
      </c>
      <c r="D129" s="19" t="s">
        <v>441</v>
      </c>
      <c r="E129" s="20" t="s">
        <v>12</v>
      </c>
      <c r="F129" s="19" t="s">
        <v>440</v>
      </c>
      <c r="G129" s="19" t="s">
        <v>442</v>
      </c>
      <c r="H129" s="19" t="s">
        <v>31</v>
      </c>
      <c r="I129">
        <v>483253</v>
      </c>
      <c r="J129">
        <v>209</v>
      </c>
      <c r="K129" s="1"/>
    </row>
    <row r="130" spans="1:11">
      <c r="A130" s="17" t="s">
        <v>396</v>
      </c>
      <c r="B130" s="19" t="s">
        <v>439</v>
      </c>
      <c r="C130" s="19" t="s">
        <v>443</v>
      </c>
      <c r="D130" s="19" t="s">
        <v>444</v>
      </c>
      <c r="E130" s="20" t="s">
        <v>12</v>
      </c>
      <c r="F130" s="19" t="s">
        <v>443</v>
      </c>
      <c r="G130" s="19" t="s">
        <v>445</v>
      </c>
      <c r="H130" s="19" t="s">
        <v>31</v>
      </c>
      <c r="I130">
        <v>427369</v>
      </c>
      <c r="J130">
        <v>278</v>
      </c>
      <c r="K130" s="1"/>
    </row>
    <row r="131" spans="1:11">
      <c r="A131" s="17"/>
      <c r="B131" s="19"/>
      <c r="C131" s="19"/>
      <c r="D131" s="19"/>
      <c r="E131" s="20"/>
      <c r="F131" s="19"/>
      <c r="G131" s="19"/>
      <c r="H131" s="19"/>
      <c r="K131" s="1"/>
    </row>
    <row r="132" spans="1:11">
      <c r="A132" s="17"/>
      <c r="B132" s="19"/>
      <c r="C132" s="19"/>
      <c r="D132" s="19"/>
      <c r="E132" s="20"/>
      <c r="F132" s="19"/>
      <c r="G132" s="19"/>
      <c r="H132" s="19"/>
      <c r="K132" s="1"/>
    </row>
    <row r="133" spans="1:11">
      <c r="A133" s="17"/>
      <c r="B133" s="19"/>
      <c r="C133" s="19"/>
      <c r="D133" s="19"/>
      <c r="E133" s="20"/>
      <c r="F133" s="19"/>
      <c r="G133" s="19"/>
      <c r="H133" s="19"/>
      <c r="K133" s="1"/>
    </row>
    <row r="134" spans="1:11">
      <c r="A134" s="17"/>
      <c r="B134" s="19"/>
      <c r="C134" s="19"/>
      <c r="D134" s="19"/>
      <c r="E134" s="20"/>
      <c r="F134" s="19"/>
      <c r="G134" s="19"/>
      <c r="H134" s="19"/>
      <c r="K134" s="1"/>
    </row>
    <row r="135" spans="1:11">
      <c r="A135" s="17"/>
      <c r="B135" s="19"/>
      <c r="C135" s="19"/>
      <c r="D135" s="19"/>
      <c r="E135" s="20"/>
      <c r="F135" s="19"/>
      <c r="G135" s="19"/>
      <c r="H135" s="19"/>
      <c r="K135" s="1"/>
    </row>
    <row r="136" spans="1:11">
      <c r="A136" s="17"/>
      <c r="B136" s="19"/>
      <c r="C136" s="19"/>
      <c r="D136" s="19"/>
      <c r="E136" s="20"/>
      <c r="F136" s="19"/>
      <c r="G136" s="19"/>
      <c r="H136" s="19"/>
      <c r="K136" s="1"/>
    </row>
    <row r="137" spans="1:11">
      <c r="A137" s="17"/>
      <c r="B137" s="19"/>
      <c r="C137" s="19"/>
      <c r="D137" s="19"/>
      <c r="E137" s="20"/>
      <c r="F137" s="19"/>
      <c r="G137" s="19"/>
      <c r="H137" s="19"/>
      <c r="K137" s="1"/>
    </row>
    <row r="138" spans="1:11">
      <c r="A138" s="17"/>
      <c r="B138" s="19"/>
      <c r="C138" s="19"/>
      <c r="D138" s="19"/>
      <c r="E138" s="20"/>
      <c r="F138" s="19"/>
      <c r="G138" s="19"/>
      <c r="H138" s="19"/>
      <c r="K138" s="1"/>
    </row>
    <row r="139" spans="1:11">
      <c r="A139" s="17"/>
      <c r="B139" s="19"/>
      <c r="C139" s="19"/>
      <c r="D139" s="19"/>
      <c r="E139" s="20"/>
      <c r="F139" s="19"/>
      <c r="G139" s="19"/>
      <c r="H139" s="19"/>
      <c r="K139" s="1"/>
    </row>
    <row r="140" spans="1:11">
      <c r="A140" s="17"/>
      <c r="B140" s="19"/>
      <c r="C140" s="19"/>
      <c r="D140" s="19"/>
      <c r="E140" s="20"/>
      <c r="F140" s="19"/>
      <c r="G140" s="19"/>
      <c r="H140" s="19"/>
      <c r="K140" s="1"/>
    </row>
    <row r="141" spans="1:11">
      <c r="A141" s="17"/>
      <c r="B141" s="19"/>
      <c r="C141" s="19"/>
      <c r="D141" s="19"/>
      <c r="E141" s="20"/>
      <c r="F141" s="19"/>
      <c r="G141" s="19"/>
      <c r="H141" s="19"/>
      <c r="K141" s="1"/>
    </row>
    <row r="142" spans="1:11">
      <c r="A142" s="17"/>
      <c r="B142" s="19"/>
      <c r="C142" s="19"/>
      <c r="D142" s="19"/>
      <c r="E142" s="20"/>
      <c r="F142" s="19"/>
      <c r="G142" s="19"/>
      <c r="H142" s="19"/>
      <c r="K142" s="1"/>
    </row>
    <row r="143" spans="1:11">
      <c r="A143" s="17"/>
      <c r="B143" s="19"/>
      <c r="C143" s="19"/>
      <c r="D143" s="19"/>
      <c r="E143" s="20"/>
      <c r="F143" s="19"/>
      <c r="G143" s="19"/>
      <c r="H143" s="19"/>
      <c r="K143" s="1"/>
    </row>
    <row r="144" spans="1:11">
      <c r="A144" s="17"/>
      <c r="B144" s="19"/>
      <c r="C144" s="19"/>
      <c r="D144" s="19"/>
      <c r="E144" s="20"/>
      <c r="F144" s="19"/>
      <c r="G144" s="19"/>
      <c r="H144" s="19"/>
      <c r="K144" s="1"/>
    </row>
    <row r="145" spans="1:11">
      <c r="A145" s="17"/>
      <c r="B145" s="19"/>
      <c r="C145" s="19"/>
      <c r="D145" s="19"/>
      <c r="E145" s="20"/>
      <c r="F145" s="19"/>
      <c r="G145" s="19"/>
      <c r="H145" s="19"/>
      <c r="K145" s="1"/>
    </row>
    <row r="146" spans="1:11">
      <c r="A146" s="17"/>
      <c r="B146" s="19"/>
      <c r="C146" s="19"/>
      <c r="D146" s="19"/>
      <c r="E146" s="20"/>
      <c r="F146" s="19"/>
      <c r="G146" s="19"/>
      <c r="H146" s="19"/>
      <c r="K146" s="1"/>
    </row>
    <row r="147" spans="1:11">
      <c r="A147" s="17"/>
      <c r="B147" s="19"/>
      <c r="C147" s="19"/>
      <c r="D147" s="19"/>
      <c r="E147" s="20"/>
      <c r="F147" s="19"/>
      <c r="G147" s="19"/>
      <c r="H147" s="19"/>
      <c r="K147" s="1"/>
    </row>
    <row r="148" spans="1:11">
      <c r="A148" s="17"/>
      <c r="B148" s="19"/>
      <c r="C148" s="19"/>
      <c r="D148" s="19"/>
      <c r="E148" s="20"/>
      <c r="F148" s="19"/>
      <c r="G148" s="19"/>
      <c r="H148" s="19"/>
      <c r="K148" s="1"/>
    </row>
    <row r="149" spans="1:11">
      <c r="A149" s="17"/>
      <c r="B149" s="19"/>
      <c r="C149" s="19"/>
      <c r="D149" s="19"/>
      <c r="E149" s="20"/>
      <c r="F149" s="19"/>
      <c r="G149" s="19"/>
      <c r="H149" s="19"/>
      <c r="K149" s="1"/>
    </row>
    <row r="150" spans="1:11">
      <c r="A150" s="17"/>
      <c r="B150" s="19"/>
      <c r="C150" s="19"/>
      <c r="D150" s="19"/>
      <c r="E150" s="20"/>
      <c r="F150" s="19"/>
      <c r="G150" s="19"/>
      <c r="H150" s="19"/>
      <c r="K150" s="1"/>
    </row>
    <row r="151" spans="1:11">
      <c r="A151" s="17"/>
      <c r="B151" s="19"/>
      <c r="C151" s="19"/>
      <c r="D151" s="19"/>
      <c r="E151" s="20"/>
      <c r="F151" s="19"/>
      <c r="G151" s="19"/>
      <c r="H151" s="19"/>
      <c r="K151" s="1"/>
    </row>
    <row r="152" spans="1:11">
      <c r="A152" s="17"/>
      <c r="B152" s="19"/>
      <c r="C152" s="19"/>
      <c r="D152" s="19"/>
      <c r="E152" s="20"/>
      <c r="F152" s="19"/>
      <c r="G152" s="19"/>
      <c r="H152" s="19"/>
      <c r="K152" s="1"/>
    </row>
    <row r="153" spans="1:11">
      <c r="A153" s="17"/>
      <c r="B153" s="19"/>
      <c r="C153" s="19"/>
      <c r="D153" s="19"/>
      <c r="E153" s="20"/>
      <c r="F153" s="19"/>
      <c r="G153" s="19"/>
      <c r="H153" s="19"/>
      <c r="K153" s="1"/>
    </row>
    <row r="154" spans="1:11">
      <c r="A154" s="17"/>
      <c r="B154" s="19"/>
      <c r="C154" s="19"/>
      <c r="D154" s="19"/>
      <c r="E154" s="20"/>
      <c r="F154" s="19"/>
      <c r="G154" s="19"/>
      <c r="H154" s="19"/>
      <c r="K154" s="1"/>
    </row>
    <row r="155" spans="1:11">
      <c r="A155" s="17"/>
      <c r="B155" s="19"/>
      <c r="C155" s="19"/>
      <c r="D155" s="19"/>
      <c r="E155" s="20"/>
      <c r="F155" s="19"/>
      <c r="G155" s="19"/>
      <c r="H155" s="19"/>
      <c r="K155" s="1"/>
    </row>
    <row r="156" spans="1:11">
      <c r="A156" s="17"/>
      <c r="B156" s="19"/>
      <c r="C156" s="19"/>
      <c r="D156" s="19"/>
      <c r="E156" s="20"/>
      <c r="F156" s="19"/>
      <c r="G156" s="19"/>
      <c r="H156" s="19"/>
      <c r="K156" s="1"/>
    </row>
    <row r="157" spans="1:11">
      <c r="A157" s="17"/>
      <c r="B157" s="19"/>
      <c r="C157" s="19"/>
      <c r="D157" s="19"/>
      <c r="E157" s="20"/>
      <c r="F157" s="19"/>
      <c r="G157" s="19"/>
      <c r="H157" s="19"/>
      <c r="K157" s="1"/>
    </row>
    <row r="158" spans="1:11">
      <c r="A158" s="17"/>
      <c r="B158" s="19"/>
      <c r="C158" s="19"/>
      <c r="D158" s="19"/>
      <c r="E158" s="20"/>
      <c r="F158" s="19"/>
      <c r="G158" s="19"/>
      <c r="H158" s="19"/>
      <c r="K158" s="1"/>
    </row>
    <row r="159" spans="1:11">
      <c r="A159" s="17"/>
      <c r="B159" s="19"/>
      <c r="C159" s="19"/>
      <c r="D159" s="19"/>
      <c r="E159" s="20"/>
      <c r="F159" s="19"/>
      <c r="G159" s="19"/>
      <c r="H159" s="19"/>
      <c r="K159" s="1"/>
    </row>
    <row r="160" spans="1:11">
      <c r="A160" s="17"/>
      <c r="B160" s="19"/>
      <c r="C160" s="19"/>
      <c r="D160" s="19"/>
      <c r="E160" s="20"/>
      <c r="F160" s="19"/>
      <c r="G160" s="19"/>
      <c r="H160" s="19"/>
      <c r="K160" s="1"/>
    </row>
    <row r="161" spans="1:11">
      <c r="A161" s="17"/>
      <c r="B161" s="19"/>
      <c r="C161" s="19"/>
      <c r="D161" s="19"/>
      <c r="E161" s="20"/>
      <c r="F161" s="19"/>
      <c r="G161" s="19"/>
      <c r="H161" s="19"/>
      <c r="K161" s="1"/>
    </row>
    <row r="162" spans="1:11">
      <c r="A162" s="17"/>
      <c r="B162" s="19"/>
      <c r="C162" s="19"/>
      <c r="D162" s="19"/>
      <c r="E162" s="20"/>
      <c r="F162" s="19"/>
      <c r="G162" s="19"/>
      <c r="H162" s="19"/>
      <c r="K162" s="1"/>
    </row>
    <row r="163" spans="1:11">
      <c r="A163" s="17"/>
      <c r="B163" s="19"/>
      <c r="C163" s="19"/>
      <c r="D163" s="19"/>
      <c r="E163" s="20"/>
      <c r="F163" s="19"/>
      <c r="G163" s="19"/>
      <c r="H163" s="19"/>
      <c r="K163" s="1"/>
    </row>
    <row r="164" spans="1:11">
      <c r="A164" s="17"/>
      <c r="B164" s="19"/>
      <c r="C164" s="19"/>
      <c r="D164" s="19"/>
      <c r="E164" s="20"/>
      <c r="F164" s="19"/>
      <c r="G164" s="19"/>
      <c r="H164" s="19"/>
      <c r="K164" s="1"/>
    </row>
    <row r="165" spans="1:11">
      <c r="A165" s="17"/>
      <c r="B165" s="19"/>
      <c r="C165" s="19"/>
      <c r="D165" s="19"/>
      <c r="E165" s="20"/>
      <c r="F165" s="19"/>
      <c r="G165" s="19"/>
      <c r="H165" s="19"/>
      <c r="K165" s="1"/>
    </row>
    <row r="166" spans="1:11">
      <c r="A166" s="17"/>
      <c r="B166" s="19"/>
      <c r="C166" s="19"/>
      <c r="D166" s="19"/>
      <c r="E166" s="20"/>
      <c r="F166" s="19"/>
      <c r="G166" s="19"/>
      <c r="H166" s="19"/>
      <c r="K166" s="1"/>
    </row>
    <row r="167" spans="1:11">
      <c r="A167" s="17"/>
      <c r="B167" s="19"/>
      <c r="C167" s="19"/>
      <c r="D167" s="19"/>
      <c r="E167" s="20"/>
      <c r="F167" s="19"/>
      <c r="G167" s="19"/>
      <c r="H167" s="19"/>
      <c r="K167" s="1"/>
    </row>
    <row r="168" spans="1:11">
      <c r="A168" s="17"/>
      <c r="B168" s="19"/>
      <c r="C168" s="19"/>
      <c r="D168" s="19"/>
      <c r="E168" s="20"/>
      <c r="F168" s="19"/>
      <c r="G168" s="19"/>
      <c r="H168" s="19"/>
      <c r="K168" s="1"/>
    </row>
    <row r="169" spans="1:11">
      <c r="A169" s="17"/>
      <c r="B169" s="19"/>
      <c r="C169" s="19"/>
      <c r="D169" s="19"/>
      <c r="E169" s="20"/>
      <c r="F169" s="19"/>
      <c r="G169" s="19"/>
      <c r="H169" s="19"/>
      <c r="K169" s="1"/>
    </row>
    <row r="170" spans="1:11">
      <c r="A170" s="17"/>
      <c r="B170" s="19"/>
      <c r="C170" s="19"/>
      <c r="D170" s="19"/>
      <c r="E170" s="20"/>
      <c r="F170" s="19"/>
      <c r="G170" s="19"/>
      <c r="H170" s="19"/>
      <c r="K170" s="1"/>
    </row>
    <row r="171" spans="1:11">
      <c r="A171" s="17"/>
      <c r="B171" s="19"/>
      <c r="C171" s="19"/>
      <c r="D171" s="19"/>
      <c r="E171" s="20"/>
      <c r="F171" s="19"/>
      <c r="G171" s="19"/>
      <c r="H171" s="19"/>
      <c r="K171" s="1"/>
    </row>
    <row r="172" spans="1:11">
      <c r="A172" s="17"/>
      <c r="B172" s="19"/>
      <c r="C172" s="19"/>
      <c r="D172" s="19"/>
      <c r="E172" s="20"/>
      <c r="F172" s="19"/>
      <c r="G172" s="19"/>
      <c r="H172" s="19"/>
      <c r="K172" s="1"/>
    </row>
    <row r="173" spans="1:11">
      <c r="A173" s="17"/>
      <c r="B173" s="19"/>
      <c r="C173" s="19"/>
      <c r="D173" s="19"/>
      <c r="E173" s="20"/>
      <c r="F173" s="19"/>
      <c r="G173" s="19"/>
      <c r="H173" s="19"/>
      <c r="K173" s="1"/>
    </row>
    <row r="174" spans="1:11">
      <c r="A174" s="17"/>
      <c r="B174" s="19"/>
      <c r="C174" s="19"/>
      <c r="D174" s="19"/>
      <c r="E174" s="20"/>
      <c r="F174" s="19"/>
      <c r="G174" s="19"/>
      <c r="H174" s="19"/>
      <c r="K174" s="1"/>
    </row>
    <row r="175" spans="1:11">
      <c r="A175" s="17"/>
      <c r="B175" s="19"/>
      <c r="C175" s="19"/>
      <c r="D175" s="19"/>
      <c r="E175" s="20"/>
      <c r="F175" s="19"/>
      <c r="G175" s="19"/>
      <c r="H175" s="19"/>
      <c r="K175" s="1"/>
    </row>
    <row r="176" spans="1:11">
      <c r="A176" s="17"/>
      <c r="B176" s="19"/>
      <c r="C176" s="19"/>
      <c r="D176" s="19"/>
      <c r="E176" s="20"/>
      <c r="F176" s="19"/>
      <c r="G176" s="19"/>
      <c r="H176" s="19"/>
      <c r="K176" s="1"/>
    </row>
    <row r="177" spans="1:11">
      <c r="A177" s="17"/>
      <c r="B177" s="19"/>
      <c r="C177" s="19"/>
      <c r="D177" s="19"/>
      <c r="E177" s="20"/>
      <c r="F177" s="19"/>
      <c r="G177" s="19"/>
      <c r="H177" s="19"/>
      <c r="K177" s="1"/>
    </row>
    <row r="178" spans="1:11">
      <c r="A178" s="17"/>
      <c r="B178" s="19"/>
      <c r="C178" s="19"/>
      <c r="D178" s="19"/>
      <c r="E178" s="20"/>
      <c r="F178" s="19"/>
      <c r="G178" s="19"/>
      <c r="H178" s="19"/>
      <c r="K178" s="1"/>
    </row>
    <row r="179" spans="1:11">
      <c r="A179" s="17"/>
      <c r="B179" s="19"/>
      <c r="C179" s="19"/>
      <c r="D179" s="19"/>
      <c r="E179" s="20"/>
      <c r="F179" s="19"/>
      <c r="G179" s="19"/>
      <c r="H179" s="19"/>
      <c r="K179" s="1"/>
    </row>
    <row r="180" spans="1:11">
      <c r="A180" s="17"/>
      <c r="B180" s="19"/>
      <c r="C180" s="19"/>
      <c r="D180" s="19"/>
      <c r="E180" s="20"/>
      <c r="F180" s="19"/>
      <c r="G180" s="19"/>
      <c r="H180" s="19"/>
      <c r="K180" s="1"/>
    </row>
    <row r="181" spans="1:11">
      <c r="A181" s="17"/>
      <c r="B181" s="19"/>
      <c r="C181" s="19"/>
      <c r="D181" s="19"/>
      <c r="E181" s="20"/>
      <c r="F181" s="19"/>
      <c r="G181" s="19"/>
      <c r="H181" s="19"/>
      <c r="K181" s="1"/>
    </row>
    <row r="182" spans="1:11">
      <c r="A182" s="17"/>
      <c r="B182" s="19"/>
      <c r="C182" s="19"/>
      <c r="D182" s="19"/>
      <c r="E182" s="20"/>
      <c r="F182" s="19"/>
      <c r="G182" s="19"/>
      <c r="H182" s="19"/>
      <c r="K182" s="1"/>
    </row>
    <row r="183" spans="1:11">
      <c r="A183" s="17"/>
      <c r="B183" s="19"/>
      <c r="C183" s="19"/>
      <c r="D183" s="19"/>
      <c r="E183" s="20"/>
      <c r="F183" s="19"/>
      <c r="G183" s="19"/>
      <c r="H183" s="19"/>
      <c r="K183" s="1"/>
    </row>
    <row r="184" spans="1:11">
      <c r="A184" s="17"/>
      <c r="B184" s="19"/>
      <c r="C184" s="19"/>
      <c r="D184" s="19"/>
      <c r="E184" s="20"/>
      <c r="F184" s="19"/>
      <c r="G184" s="19"/>
      <c r="H184" s="19"/>
      <c r="K184" s="1"/>
    </row>
    <row r="185" spans="1:11">
      <c r="A185" s="17"/>
      <c r="B185" s="19"/>
      <c r="C185" s="19"/>
      <c r="D185" s="19"/>
      <c r="E185" s="20"/>
      <c r="F185" s="19"/>
      <c r="G185" s="19"/>
      <c r="H185" s="19"/>
      <c r="K185" s="1"/>
    </row>
    <row r="186" spans="1:11">
      <c r="A186" s="17"/>
      <c r="B186" s="19"/>
      <c r="C186" s="19"/>
      <c r="D186" s="19"/>
      <c r="E186" s="20"/>
      <c r="F186" s="19"/>
      <c r="G186" s="19"/>
      <c r="H186" s="19"/>
      <c r="K186" s="1"/>
    </row>
    <row r="187" spans="1:11">
      <c r="A187" s="17"/>
      <c r="B187" s="19"/>
      <c r="C187" s="19"/>
      <c r="D187" s="19"/>
      <c r="E187" s="20"/>
      <c r="F187" s="19"/>
      <c r="G187" s="19"/>
      <c r="H187" s="19"/>
      <c r="K187" s="1"/>
    </row>
    <row r="188" spans="1:11">
      <c r="A188" s="17"/>
      <c r="B188" s="19"/>
      <c r="C188" s="19"/>
      <c r="D188" s="19"/>
      <c r="E188" s="20"/>
      <c r="F188" s="19"/>
      <c r="G188" s="19"/>
      <c r="H188" s="19"/>
      <c r="K188" s="1"/>
    </row>
    <row r="189" spans="1:11">
      <c r="A189" s="17"/>
      <c r="B189" s="19"/>
      <c r="C189" s="19"/>
      <c r="D189" s="19"/>
      <c r="E189" s="20"/>
      <c r="F189" s="19"/>
      <c r="G189" s="19"/>
      <c r="H189" s="19"/>
      <c r="K189" s="1"/>
    </row>
    <row r="190" spans="1:11">
      <c r="A190" s="17"/>
      <c r="B190" s="19"/>
      <c r="C190" s="19"/>
      <c r="D190" s="19"/>
      <c r="E190" s="20"/>
      <c r="F190" s="19"/>
      <c r="G190" s="19"/>
      <c r="H190" s="19"/>
      <c r="K190" s="1"/>
    </row>
    <row r="191" spans="1:11">
      <c r="A191" s="17"/>
      <c r="B191" s="19"/>
      <c r="C191" s="19"/>
      <c r="D191" s="19"/>
      <c r="E191" s="20"/>
      <c r="F191" s="19"/>
      <c r="G191" s="19"/>
      <c r="H191" s="19"/>
      <c r="K191" s="1"/>
    </row>
    <row r="192" spans="1:11">
      <c r="A192" s="17"/>
      <c r="B192" s="19"/>
      <c r="C192" s="19"/>
      <c r="D192" s="19"/>
      <c r="E192" s="20"/>
      <c r="F192" s="19"/>
      <c r="G192" s="19"/>
      <c r="H192" s="19"/>
      <c r="K192" s="1"/>
    </row>
    <row r="193" spans="1:11">
      <c r="A193" s="17"/>
      <c r="B193" s="19"/>
      <c r="C193" s="19"/>
      <c r="D193" s="19"/>
      <c r="E193" s="20"/>
      <c r="F193" s="19"/>
      <c r="G193" s="19"/>
      <c r="H193" s="19"/>
      <c r="K193" s="1"/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A226" s="17"/>
      <c r="B226" s="19"/>
      <c r="C226" s="19"/>
      <c r="D226" s="19"/>
      <c r="E226" s="20"/>
      <c r="F226" s="19"/>
      <c r="G226" s="19"/>
      <c r="H226" s="19"/>
      <c r="K226" s="1"/>
    </row>
    <row r="227" spans="1:11">
      <c r="A227" s="17"/>
      <c r="B227" s="19"/>
      <c r="C227" s="19"/>
      <c r="D227" s="19"/>
      <c r="E227" s="20"/>
      <c r="F227" s="19"/>
      <c r="G227" s="19"/>
      <c r="H227" s="19"/>
      <c r="K227" s="1"/>
    </row>
    <row r="228" spans="1:11">
      <c r="A228" s="17"/>
      <c r="B228" s="19"/>
      <c r="C228" s="19"/>
      <c r="D228" s="19"/>
      <c r="E228" s="20"/>
      <c r="F228" s="19"/>
      <c r="G228" s="19"/>
      <c r="H228" s="19"/>
      <c r="K228" s="1"/>
    </row>
    <row r="229" spans="1:11">
      <c r="A229" s="17"/>
      <c r="B229" s="19"/>
      <c r="C229" s="19"/>
      <c r="D229" s="19"/>
      <c r="E229" s="20"/>
      <c r="F229" s="19"/>
      <c r="G229" s="19"/>
      <c r="H229" s="19"/>
      <c r="K229" s="1"/>
    </row>
    <row r="230" spans="1:11">
      <c r="A230" s="17"/>
      <c r="B230" s="19"/>
      <c r="C230" s="19"/>
      <c r="D230" s="19"/>
      <c r="E230" s="20"/>
      <c r="F230" s="19"/>
      <c r="G230" s="19"/>
      <c r="H230" s="19"/>
      <c r="K230" s="1"/>
    </row>
    <row r="231" spans="1:11">
      <c r="A231" s="17"/>
      <c r="B231" s="19"/>
      <c r="C231" s="19"/>
      <c r="D231" s="19"/>
      <c r="E231" s="20"/>
      <c r="F231" s="19"/>
      <c r="G231" s="19"/>
      <c r="H231" s="19"/>
      <c r="K231" s="1"/>
    </row>
    <row r="232" spans="1:11">
      <c r="A232" s="17"/>
      <c r="B232" s="19"/>
      <c r="C232" s="19"/>
      <c r="D232" s="19"/>
      <c r="E232" s="20"/>
      <c r="F232" s="19"/>
      <c r="G232" s="19"/>
      <c r="H232" s="19"/>
      <c r="K232" s="1"/>
    </row>
    <row r="233" spans="1:11">
      <c r="A233" s="17"/>
      <c r="B233" s="19"/>
      <c r="C233" s="19"/>
      <c r="D233" s="19"/>
      <c r="E233" s="20"/>
      <c r="F233" s="19"/>
      <c r="G233" s="19"/>
      <c r="H233" s="19"/>
      <c r="K233" s="1"/>
    </row>
    <row r="234" spans="1:11">
      <c r="A234" s="17"/>
      <c r="B234" s="19"/>
      <c r="C234" s="19"/>
      <c r="D234" s="19"/>
      <c r="E234" s="20"/>
      <c r="F234" s="19"/>
      <c r="G234" s="19"/>
      <c r="H234" s="19"/>
      <c r="K234" s="1"/>
    </row>
    <row r="235" spans="1:11">
      <c r="A235" s="17"/>
      <c r="B235" s="19"/>
      <c r="C235" s="19"/>
      <c r="D235" s="19"/>
      <c r="E235" s="20"/>
      <c r="F235" s="19"/>
      <c r="G235" s="19"/>
      <c r="H235" s="19"/>
      <c r="K235" s="1"/>
    </row>
    <row r="236" spans="1:11">
      <c r="A236" s="17"/>
      <c r="B236" s="19"/>
      <c r="C236" s="19"/>
      <c r="D236" s="19"/>
      <c r="E236" s="20"/>
      <c r="F236" s="19"/>
      <c r="G236" s="19"/>
      <c r="H236" s="19"/>
      <c r="K236" s="1"/>
    </row>
    <row r="237" spans="1:11">
      <c r="A237" s="17"/>
      <c r="B237" s="19"/>
      <c r="C237" s="19"/>
      <c r="D237" s="19"/>
      <c r="E237" s="20"/>
      <c r="F237" s="19"/>
      <c r="G237" s="19"/>
      <c r="H237" s="19"/>
      <c r="K237" s="1"/>
    </row>
    <row r="238" spans="1:11">
      <c r="A238" s="17"/>
      <c r="B238" s="19"/>
      <c r="C238" s="19"/>
      <c r="D238" s="19"/>
      <c r="E238" s="20"/>
      <c r="F238" s="19"/>
      <c r="G238" s="19"/>
      <c r="H238" s="19"/>
      <c r="K238" s="1"/>
    </row>
    <row r="239" spans="1:11">
      <c r="A239" s="17"/>
      <c r="B239" s="19"/>
      <c r="C239" s="19"/>
      <c r="D239" s="19"/>
      <c r="E239" s="20"/>
      <c r="F239" s="19"/>
      <c r="G239" s="19"/>
      <c r="H239" s="19"/>
      <c r="K239" s="1"/>
    </row>
    <row r="240" spans="1:11">
      <c r="A240" s="17"/>
      <c r="B240" s="19"/>
      <c r="C240" s="19"/>
      <c r="D240" s="19"/>
      <c r="E240" s="20"/>
      <c r="F240" s="19"/>
      <c r="G240" s="19"/>
      <c r="H240" s="19"/>
      <c r="K240" s="1"/>
    </row>
    <row r="241" spans="1:11">
      <c r="A241" s="17"/>
      <c r="B241" s="19"/>
      <c r="C241" s="19"/>
      <c r="D241" s="19"/>
      <c r="E241" s="20"/>
      <c r="F241" s="19"/>
      <c r="G241" s="19"/>
      <c r="H241" s="19"/>
      <c r="K241" s="1"/>
    </row>
    <row r="242" spans="1:11">
      <c r="A242" s="17"/>
      <c r="B242" s="19"/>
      <c r="C242" s="19"/>
      <c r="D242" s="19"/>
      <c r="E242" s="20"/>
      <c r="F242" s="19"/>
      <c r="G242" s="19"/>
      <c r="H242" s="19"/>
      <c r="K242" s="1"/>
    </row>
    <row r="243" spans="1:11">
      <c r="A243" s="17"/>
      <c r="B243" s="19"/>
      <c r="C243" s="19"/>
      <c r="D243" s="19"/>
      <c r="E243" s="20"/>
      <c r="F243" s="19"/>
      <c r="G243" s="19"/>
      <c r="H243" s="19"/>
      <c r="K243" s="1"/>
    </row>
    <row r="244" spans="1:11">
      <c r="A244" s="17"/>
      <c r="B244" s="19"/>
      <c r="C244" s="19"/>
      <c r="D244" s="19"/>
      <c r="E244" s="20"/>
      <c r="F244" s="19"/>
      <c r="G244" s="19"/>
      <c r="H244" s="19"/>
      <c r="K244" s="1"/>
    </row>
    <row r="245" spans="1:11">
      <c r="A245" s="17"/>
      <c r="B245" s="19"/>
      <c r="C245" s="19"/>
      <c r="D245" s="19"/>
      <c r="E245" s="20"/>
      <c r="F245" s="19"/>
      <c r="G245" s="19"/>
      <c r="H245" s="19"/>
      <c r="K245" s="1"/>
    </row>
    <row r="246" spans="1:11">
      <c r="A246" s="17"/>
      <c r="B246" s="19"/>
      <c r="C246" s="19"/>
      <c r="D246" s="19"/>
      <c r="E246" s="20"/>
      <c r="F246" s="19"/>
      <c r="G246" s="19"/>
      <c r="H246" s="19"/>
      <c r="K246" s="1"/>
    </row>
    <row r="247" spans="1:11">
      <c r="A247" s="17"/>
      <c r="B247" s="19"/>
      <c r="C247" s="19"/>
      <c r="D247" s="19"/>
      <c r="E247" s="20"/>
      <c r="F247" s="19"/>
      <c r="G247" s="19"/>
      <c r="H247" s="19"/>
      <c r="K247" s="1"/>
    </row>
    <row r="248" spans="1:11">
      <c r="A248" s="17"/>
      <c r="B248" s="19"/>
      <c r="C248" s="19"/>
      <c r="D248" s="19"/>
      <c r="E248" s="20"/>
      <c r="F248" s="19"/>
      <c r="G248" s="19"/>
      <c r="H248" s="19"/>
      <c r="K248" s="1"/>
    </row>
    <row r="249" spans="1:11">
      <c r="A249" s="17"/>
      <c r="B249" s="19"/>
      <c r="C249" s="19"/>
      <c r="D249" s="19"/>
      <c r="E249" s="20"/>
      <c r="F249" s="19"/>
      <c r="G249" s="19"/>
      <c r="H249" s="19"/>
      <c r="K249" s="1"/>
    </row>
    <row r="250" spans="1:11">
      <c r="A250" s="17"/>
      <c r="B250" s="19"/>
      <c r="C250" s="19"/>
      <c r="D250" s="19"/>
      <c r="E250" s="20"/>
      <c r="F250" s="19"/>
      <c r="G250" s="19"/>
      <c r="H250" s="19"/>
      <c r="K250" s="1"/>
    </row>
    <row r="251" spans="1:11">
      <c r="A251" s="17"/>
      <c r="B251" s="19"/>
      <c r="C251" s="19"/>
      <c r="D251" s="19"/>
      <c r="E251" s="20"/>
      <c r="F251" s="19"/>
      <c r="G251" s="19"/>
      <c r="H251" s="19"/>
      <c r="K251" s="1"/>
    </row>
    <row r="252" spans="1:11">
      <c r="A252" s="17"/>
      <c r="B252" s="19"/>
      <c r="C252" s="19"/>
      <c r="D252" s="19"/>
      <c r="E252" s="20"/>
      <c r="F252" s="19"/>
      <c r="G252" s="19"/>
      <c r="H252" s="19"/>
      <c r="K252" s="1"/>
    </row>
    <row r="253" spans="1:11">
      <c r="A253" s="17"/>
      <c r="B253" s="19"/>
      <c r="C253" s="19"/>
      <c r="D253" s="19"/>
      <c r="E253" s="20"/>
      <c r="F253" s="19"/>
      <c r="G253" s="19"/>
      <c r="H253" s="19"/>
      <c r="K253" s="1"/>
    </row>
    <row r="254" spans="1:11">
      <c r="A254" s="17"/>
      <c r="B254" s="19"/>
      <c r="C254" s="19"/>
      <c r="D254" s="19"/>
      <c r="E254" s="20"/>
      <c r="F254" s="19"/>
      <c r="G254" s="19"/>
      <c r="H254" s="19"/>
      <c r="K254" s="1"/>
    </row>
    <row r="255" spans="1:11">
      <c r="A255" s="17"/>
      <c r="B255" s="19"/>
      <c r="C255" s="19"/>
      <c r="D255" s="19"/>
      <c r="E255" s="20"/>
      <c r="F255" s="19"/>
      <c r="G255" s="19"/>
      <c r="H255" s="19"/>
      <c r="K255" s="1"/>
    </row>
    <row r="256" spans="1:11">
      <c r="A256" s="17"/>
      <c r="B256" s="19"/>
      <c r="C256" s="19"/>
      <c r="D256" s="19"/>
      <c r="E256" s="20"/>
      <c r="F256" s="19"/>
      <c r="G256" s="19"/>
      <c r="H256" s="19"/>
      <c r="K256" s="1"/>
    </row>
    <row r="257" spans="1:11">
      <c r="A257" s="17"/>
      <c r="B257" s="19"/>
      <c r="C257" s="19"/>
      <c r="D257" s="19"/>
      <c r="E257" s="20"/>
      <c r="F257" s="19"/>
      <c r="G257" s="19"/>
      <c r="H257" s="19"/>
      <c r="K257" s="1"/>
    </row>
    <row r="258" spans="1:11">
      <c r="A258" s="17"/>
      <c r="B258" s="19"/>
      <c r="C258" s="19"/>
      <c r="D258" s="19"/>
      <c r="E258" s="20"/>
      <c r="F258" s="19"/>
      <c r="G258" s="19"/>
      <c r="H258" s="19"/>
      <c r="K258" s="1"/>
    </row>
    <row r="259" spans="1:11">
      <c r="A259" s="17"/>
      <c r="B259" s="19"/>
      <c r="C259" s="19"/>
      <c r="D259" s="19"/>
      <c r="E259" s="20"/>
      <c r="F259" s="19"/>
      <c r="G259" s="19"/>
      <c r="H259" s="19"/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B22" sqref="B22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facebook.com.br</v>
      </c>
      <c r="C2" t="str">
        <f t="shared" ref="C2:C65" si="2">bd_placement</f>
        <v>alp_ecom_conversao_ecom_facebook_social_carrossel_social_got_curte-havaianas_cpc_1080x1080_111122</v>
      </c>
      <c r="D2" t="str">
        <f t="shared" ref="D2:D65" si="3">bd_placementID</f>
        <v>242863374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alp_ecom_conversao_ecom_facebook_social_carrossel_social_got_curte-havaianas_cpc_1080x1080_111122</v>
      </c>
      <c r="G2" t="str">
        <f t="shared" ref="G2:G65" si="6">bd_adid</f>
        <v>439371379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126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0.441</v>
      </c>
      <c r="N2" s="4">
        <f>IF(E2="Dynamic Click",J2*L2,L2*$I2/1000)</f>
        <v>2.52</v>
      </c>
    </row>
    <row r="3" spans="1:14">
      <c r="A3" t="str">
        <f t="shared" si="0"/>
        <v>alp_ecom</v>
      </c>
      <c r="B3" t="str">
        <f t="shared" si="1"/>
        <v>facebook.com.br</v>
      </c>
      <c r="C3" t="str">
        <f t="shared" si="2"/>
        <v>alp_ecom_conversao_ecom_facebook_social_carrossel_social_got_interesse-got_cpc_1080x1080_111122</v>
      </c>
      <c r="D3" t="str">
        <f t="shared" si="3"/>
        <v>242863353</v>
      </c>
      <c r="E3" t="str">
        <f t="shared" si="4"/>
        <v>Dynamic Click</v>
      </c>
      <c r="F3" t="str">
        <f t="shared" si="5"/>
        <v>alp_ecom_conversao_ecom_facebook_social_carrossel_social_got_interesse-got_cpc_1080x1080_111122</v>
      </c>
      <c r="G3" t="str">
        <f t="shared" si="6"/>
        <v>439371358</v>
      </c>
      <c r="H3" t="str">
        <f t="shared" si="7"/>
        <v>Tracking</v>
      </c>
      <c r="I3">
        <f t="shared" si="8"/>
        <v>0</v>
      </c>
      <c r="J3">
        <f t="shared" si="9"/>
        <v>1029</v>
      </c>
      <c r="K3" s="4">
        <f t="shared" si="10"/>
        <v>3.5000000000000001E-3</v>
      </c>
      <c r="L3">
        <f t="shared" si="11"/>
        <v>0.02</v>
      </c>
      <c r="M3" s="4">
        <f t="shared" si="12"/>
        <v>3.6015000000000001</v>
      </c>
      <c r="N3" s="4">
        <f t="shared" ref="N3:N34" si="13">IF(E3="Dynamic Click",J3*L3,L3*$I3/1000)</f>
        <v>20.580000000000002</v>
      </c>
    </row>
    <row r="4" spans="1:14">
      <c r="A4" t="str">
        <f t="shared" si="0"/>
        <v>alp_ecom</v>
      </c>
      <c r="B4" t="str">
        <f t="shared" si="1"/>
        <v>facebook.com.br</v>
      </c>
      <c r="C4" t="str">
        <f t="shared" si="2"/>
        <v>alp_ecom_conversao_ecom_facebook_social_carrossel_social_got_look-1-mobile_cpc_1080x1080_111122</v>
      </c>
      <c r="D4" t="str">
        <f t="shared" si="3"/>
        <v>242863368</v>
      </c>
      <c r="E4" t="str">
        <f t="shared" si="4"/>
        <v>Dynamic Click</v>
      </c>
      <c r="F4" t="str">
        <f t="shared" si="5"/>
        <v>alp_ecom_conversao_ecom_facebook_social_carrossel_social_got_look-1-mobile_cpc_1080x1080_111122</v>
      </c>
      <c r="G4" t="str">
        <f t="shared" si="6"/>
        <v>439371373</v>
      </c>
      <c r="H4" t="str">
        <f t="shared" si="7"/>
        <v>Tracking</v>
      </c>
      <c r="I4">
        <f t="shared" si="8"/>
        <v>0</v>
      </c>
      <c r="J4">
        <f t="shared" si="9"/>
        <v>3</v>
      </c>
      <c r="K4" s="4">
        <f t="shared" si="10"/>
        <v>3.5000000000000001E-3</v>
      </c>
      <c r="L4">
        <f t="shared" si="11"/>
        <v>0.02</v>
      </c>
      <c r="M4" s="4">
        <f t="shared" si="12"/>
        <v>1.0500000000000001E-2</v>
      </c>
      <c r="N4" s="4">
        <f t="shared" si="13"/>
        <v>0.06</v>
      </c>
    </row>
    <row r="5" spans="1:14">
      <c r="A5" t="str">
        <f t="shared" si="0"/>
        <v>alp_ecom</v>
      </c>
      <c r="B5" t="str">
        <f t="shared" si="1"/>
        <v>facebook.com.br</v>
      </c>
      <c r="C5" t="str">
        <f t="shared" si="2"/>
        <v>alp_ecom_conversao_ecom_facebook_social_carrossel_social_got_rmk-30-mobile_cpc_1080x1080_111122</v>
      </c>
      <c r="D5" t="str">
        <f t="shared" si="3"/>
        <v>242863356</v>
      </c>
      <c r="E5" t="str">
        <f t="shared" si="4"/>
        <v>Dynamic Click</v>
      </c>
      <c r="F5" t="str">
        <f t="shared" si="5"/>
        <v>alp_ecom_conversao_ecom_facebook_social_carrossel_social_got_rmk-30-mobile_cpc_1080x1080_111122</v>
      </c>
      <c r="G5" t="str">
        <f t="shared" si="6"/>
        <v>439371361</v>
      </c>
      <c r="H5" t="str">
        <f t="shared" si="7"/>
        <v>Tracking</v>
      </c>
      <c r="I5">
        <f t="shared" si="8"/>
        <v>0</v>
      </c>
      <c r="J5">
        <f t="shared" si="9"/>
        <v>38</v>
      </c>
      <c r="K5" s="4">
        <f t="shared" si="10"/>
        <v>3.5000000000000001E-3</v>
      </c>
      <c r="L5">
        <f t="shared" si="11"/>
        <v>0.02</v>
      </c>
      <c r="M5" s="4">
        <f t="shared" si="12"/>
        <v>0.13300000000000001</v>
      </c>
      <c r="N5" s="4">
        <f t="shared" si="13"/>
        <v>0.76</v>
      </c>
    </row>
    <row r="6" spans="1:14">
      <c r="A6" t="str">
        <f t="shared" si="0"/>
        <v>alp_ecom</v>
      </c>
      <c r="B6" t="str">
        <f t="shared" si="1"/>
        <v>facebook.com.br</v>
      </c>
      <c r="C6" t="str">
        <f t="shared" si="2"/>
        <v>alp_ecom_conversao_ecom_facebook_social_carrossel_social_got_rmk-30_cpc_1080x1080_111122</v>
      </c>
      <c r="D6" t="str">
        <f t="shared" si="3"/>
        <v>242863359</v>
      </c>
      <c r="E6" t="str">
        <f t="shared" si="4"/>
        <v>Dynamic Click</v>
      </c>
      <c r="F6" t="str">
        <f t="shared" si="5"/>
        <v>alp_ecom_conversao_ecom_facebook_social_carrossel_social_got_rmk-30_cpc_1080x1080_111122</v>
      </c>
      <c r="G6" t="str">
        <f t="shared" si="6"/>
        <v>439371364</v>
      </c>
      <c r="H6" t="str">
        <f t="shared" si="7"/>
        <v>Tracking</v>
      </c>
      <c r="I6">
        <f t="shared" si="8"/>
        <v>0</v>
      </c>
      <c r="J6">
        <f t="shared" si="9"/>
        <v>3</v>
      </c>
      <c r="K6" s="4">
        <f t="shared" si="10"/>
        <v>3.5000000000000001E-3</v>
      </c>
      <c r="L6">
        <f t="shared" si="11"/>
        <v>0.02</v>
      </c>
      <c r="M6" s="4">
        <f t="shared" si="12"/>
        <v>1.0500000000000001E-2</v>
      </c>
      <c r="N6" s="4">
        <f t="shared" si="13"/>
        <v>0.06</v>
      </c>
    </row>
    <row r="7" spans="1:14">
      <c r="A7" t="str">
        <f t="shared" si="0"/>
        <v>alp_ecom</v>
      </c>
      <c r="B7" t="str">
        <f t="shared" si="1"/>
        <v>facebook.com.br</v>
      </c>
      <c r="C7" t="str">
        <f t="shared" si="2"/>
        <v>alp_ecom_conversao_ecom_facebook_social_carrossel_social_harry-potter_curte-havaianas_cpm_1080x1080_111127</v>
      </c>
      <c r="D7" t="str">
        <f t="shared" si="3"/>
        <v>243108700</v>
      </c>
      <c r="E7" t="str">
        <f t="shared" si="4"/>
        <v>Dynamic Click</v>
      </c>
      <c r="F7" t="str">
        <f t="shared" si="5"/>
        <v>alp_ecom_conversao_ecom_facebook_social_carrossel_social_harry-potter_curte-havaianas_cpm_1080x1080_111127</v>
      </c>
      <c r="G7" t="str">
        <f t="shared" si="6"/>
        <v>439773523</v>
      </c>
      <c r="H7" t="str">
        <f t="shared" si="7"/>
        <v>Tracking</v>
      </c>
      <c r="I7">
        <f t="shared" si="8"/>
        <v>0</v>
      </c>
      <c r="J7">
        <f t="shared" si="9"/>
        <v>68</v>
      </c>
      <c r="K7" s="4">
        <f t="shared" si="10"/>
        <v>3.5000000000000001E-3</v>
      </c>
      <c r="L7">
        <f t="shared" si="11"/>
        <v>0.02</v>
      </c>
      <c r="M7" s="4">
        <f t="shared" si="12"/>
        <v>0.23800000000000002</v>
      </c>
      <c r="N7" s="4">
        <f t="shared" si="13"/>
        <v>1.36</v>
      </c>
    </row>
    <row r="8" spans="1:14">
      <c r="A8" t="str">
        <f t="shared" si="0"/>
        <v>alp_ecom</v>
      </c>
      <c r="B8" t="str">
        <f t="shared" si="1"/>
        <v>facebook.com.br</v>
      </c>
      <c r="C8" t="str">
        <f t="shared" si="2"/>
        <v>alp_ecom_conversao_ecom_facebook_social_carrossel_social_harry-potter_curte-havaianas_cpm_1080x1080_111128</v>
      </c>
      <c r="D8" t="str">
        <f t="shared" si="3"/>
        <v>243108679</v>
      </c>
      <c r="E8" t="str">
        <f t="shared" si="4"/>
        <v>Dynamic Click</v>
      </c>
      <c r="F8" t="str">
        <f t="shared" si="5"/>
        <v>alp_ecom_conversao_ecom_facebook_social_carrossel_social_harry-potter_curte-havaianas_cpm_1080x1080_111128</v>
      </c>
      <c r="G8" t="str">
        <f t="shared" si="6"/>
        <v>439773502</v>
      </c>
      <c r="H8" t="str">
        <f t="shared" si="7"/>
        <v>Tracking</v>
      </c>
      <c r="I8">
        <f t="shared" si="8"/>
        <v>0</v>
      </c>
      <c r="J8">
        <f t="shared" si="9"/>
        <v>191</v>
      </c>
      <c r="K8" s="4">
        <f t="shared" si="10"/>
        <v>3.5000000000000001E-3</v>
      </c>
      <c r="L8">
        <f t="shared" si="11"/>
        <v>0.02</v>
      </c>
      <c r="M8" s="4">
        <f t="shared" si="12"/>
        <v>0.66849999999999998</v>
      </c>
      <c r="N8" s="4">
        <f t="shared" si="13"/>
        <v>3.8200000000000003</v>
      </c>
    </row>
    <row r="9" spans="1:14">
      <c r="A9" t="str">
        <f t="shared" si="0"/>
        <v>alp_ecom</v>
      </c>
      <c r="B9" t="str">
        <f t="shared" si="1"/>
        <v>facebook.com.br</v>
      </c>
      <c r="C9" t="str">
        <f t="shared" si="2"/>
        <v>alp_ecom_conversao_ecom_facebook_social_carrossel_social_harry-potter_curte-havaianas_cpm_1080x1080_111129</v>
      </c>
      <c r="D9" t="str">
        <f t="shared" si="3"/>
        <v>243159253</v>
      </c>
      <c r="E9" t="str">
        <f t="shared" si="4"/>
        <v>Dynamic Click</v>
      </c>
      <c r="F9" t="str">
        <f t="shared" si="5"/>
        <v>alp_ecom_conversao_ecom_facebook_social_carrossel_social_harry-potter_curte-havaianas_cpm_1080x1080_111129</v>
      </c>
      <c r="G9" t="str">
        <f t="shared" si="6"/>
        <v>439736298</v>
      </c>
      <c r="H9" t="str">
        <f t="shared" si="7"/>
        <v>Tracking</v>
      </c>
      <c r="I9">
        <f t="shared" si="8"/>
        <v>0</v>
      </c>
      <c r="J9">
        <f t="shared" si="9"/>
        <v>4</v>
      </c>
      <c r="K9" s="4">
        <f t="shared" si="10"/>
        <v>3.5000000000000001E-3</v>
      </c>
      <c r="L9">
        <f t="shared" si="11"/>
        <v>0.02</v>
      </c>
      <c r="M9" s="4">
        <f t="shared" si="12"/>
        <v>1.4E-2</v>
      </c>
      <c r="N9" s="4">
        <f t="shared" si="13"/>
        <v>0.08</v>
      </c>
    </row>
    <row r="10" spans="1:14">
      <c r="A10" t="str">
        <f t="shared" si="0"/>
        <v>alp_ecom</v>
      </c>
      <c r="B10" t="str">
        <f t="shared" si="1"/>
        <v>facebook.com.br</v>
      </c>
      <c r="C10" t="str">
        <f t="shared" si="2"/>
        <v>alp_ecom_conversao_ecom_facebook_social_carrossel_social_harry-potter_curte-havaianas_cpm_1080x1080_111131</v>
      </c>
      <c r="D10" t="str">
        <f t="shared" si="3"/>
        <v>243012323</v>
      </c>
      <c r="E10" t="str">
        <f t="shared" si="4"/>
        <v>Dynamic Click</v>
      </c>
      <c r="F10" t="str">
        <f t="shared" si="5"/>
        <v>alp_ecom_conversao_ecom_facebook_social_carrossel_social_harry-potter_curte-havaianas_cpm_1080x1080_111131</v>
      </c>
      <c r="G10" t="str">
        <f t="shared" si="6"/>
        <v>439736241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0.02</v>
      </c>
      <c r="M10" s="4">
        <f t="shared" si="12"/>
        <v>3.5000000000000001E-3</v>
      </c>
      <c r="N10" s="4">
        <f t="shared" si="13"/>
        <v>0.02</v>
      </c>
    </row>
    <row r="11" spans="1:14">
      <c r="A11" t="str">
        <f t="shared" si="0"/>
        <v>alp_ecom</v>
      </c>
      <c r="B11" t="str">
        <f t="shared" si="1"/>
        <v>facebook.com.br</v>
      </c>
      <c r="C11" t="str">
        <f t="shared" si="2"/>
        <v>alp_ecom_conversao_ecom_facebook_social_carrossel_social_harry-potter_look-1-mobile_cpm_1080x1080_111128</v>
      </c>
      <c r="D11" t="str">
        <f t="shared" si="3"/>
        <v>243108673</v>
      </c>
      <c r="E11" t="str">
        <f t="shared" si="4"/>
        <v>Dynamic Click</v>
      </c>
      <c r="F11" t="str">
        <f t="shared" si="5"/>
        <v>alp_ecom_conversao_ecom_facebook_social_carrossel_social_harry-potter_look-1-mobile_cpm_1080x1080_111128</v>
      </c>
      <c r="G11" t="str">
        <f t="shared" si="6"/>
        <v>439773496</v>
      </c>
      <c r="H11" t="str">
        <f t="shared" si="7"/>
        <v>Tracking</v>
      </c>
      <c r="I11">
        <f t="shared" si="8"/>
        <v>0</v>
      </c>
      <c r="J11">
        <f t="shared" si="9"/>
        <v>5</v>
      </c>
      <c r="K11" s="4">
        <f t="shared" si="10"/>
        <v>3.5000000000000001E-3</v>
      </c>
      <c r="L11">
        <f t="shared" si="11"/>
        <v>0.02</v>
      </c>
      <c r="M11" s="4">
        <f t="shared" si="12"/>
        <v>1.7500000000000002E-2</v>
      </c>
      <c r="N11" s="4">
        <f t="shared" si="13"/>
        <v>0.1</v>
      </c>
    </row>
    <row r="12" spans="1:14">
      <c r="A12" t="str">
        <f t="shared" si="0"/>
        <v>alp_ecom</v>
      </c>
      <c r="B12" t="str">
        <f t="shared" si="1"/>
        <v>facebook.com.br</v>
      </c>
      <c r="C12" t="str">
        <f t="shared" si="2"/>
        <v>alp_ecom_conversao_ecom_facebook_social_carrossel_social_harry-potter_look-1-mobile_cpm_1080x1080_111129</v>
      </c>
      <c r="D12" t="str">
        <f t="shared" si="3"/>
        <v>243159241</v>
      </c>
      <c r="E12" t="str">
        <f t="shared" si="4"/>
        <v>Dynamic Click</v>
      </c>
      <c r="F12" t="str">
        <f t="shared" si="5"/>
        <v>alp_ecom_conversao_ecom_facebook_social_carrossel_social_harry-potter_look-1-mobile_cpm_1080x1080_111129</v>
      </c>
      <c r="G12" t="str">
        <f t="shared" si="6"/>
        <v>439736286</v>
      </c>
      <c r="H12" t="str">
        <f t="shared" si="7"/>
        <v>Tracking</v>
      </c>
      <c r="I12">
        <f t="shared" si="8"/>
        <v>0</v>
      </c>
      <c r="J12">
        <f t="shared" si="9"/>
        <v>1</v>
      </c>
      <c r="K12" s="4">
        <f t="shared" si="10"/>
        <v>3.5000000000000001E-3</v>
      </c>
      <c r="L12">
        <f t="shared" si="11"/>
        <v>0.02</v>
      </c>
      <c r="M12" s="4">
        <f t="shared" si="12"/>
        <v>3.5000000000000001E-3</v>
      </c>
      <c r="N12" s="4">
        <f t="shared" si="13"/>
        <v>0.02</v>
      </c>
    </row>
    <row r="13" spans="1:14">
      <c r="A13" t="str">
        <f t="shared" si="0"/>
        <v>alp_ecom</v>
      </c>
      <c r="B13" t="str">
        <f t="shared" si="1"/>
        <v>facebook.com.br</v>
      </c>
      <c r="C13" t="str">
        <f t="shared" si="2"/>
        <v>alp_ecom_conversao_ecom_facebook_social_carrossel_social_harry-potter_look-1-mobile_cpm_1080x1080_111130</v>
      </c>
      <c r="D13" t="str">
        <f t="shared" si="3"/>
        <v>243012338</v>
      </c>
      <c r="E13" t="str">
        <f t="shared" si="4"/>
        <v>Dynamic Click</v>
      </c>
      <c r="F13" t="str">
        <f t="shared" si="5"/>
        <v>alp_ecom_conversao_ecom_facebook_social_carrossel_social_harry-potter_look-1-mobile_cpm_1080x1080_111130</v>
      </c>
      <c r="G13" t="str">
        <f t="shared" si="6"/>
        <v>439736256</v>
      </c>
      <c r="H13" t="str">
        <f t="shared" si="7"/>
        <v>Tracking</v>
      </c>
      <c r="I13">
        <f t="shared" si="8"/>
        <v>0</v>
      </c>
      <c r="J13">
        <f t="shared" si="9"/>
        <v>1</v>
      </c>
      <c r="K13" s="4">
        <f t="shared" si="10"/>
        <v>3.5000000000000001E-3</v>
      </c>
      <c r="L13">
        <f t="shared" si="11"/>
        <v>0.02</v>
      </c>
      <c r="M13" s="4">
        <f t="shared" si="12"/>
        <v>3.5000000000000001E-3</v>
      </c>
      <c r="N13" s="4">
        <f t="shared" si="13"/>
        <v>0.02</v>
      </c>
    </row>
    <row r="14" spans="1:14">
      <c r="A14" t="str">
        <f t="shared" si="0"/>
        <v>alp_ecom</v>
      </c>
      <c r="B14" t="str">
        <f t="shared" si="1"/>
        <v>facebook.com.br</v>
      </c>
      <c r="C14" t="str">
        <f t="shared" si="2"/>
        <v>alp_ecom_conversao_ecom_facebook_social_carrossel_social_harry-potter_look-1-mobile_cpm_1080x1080_111131</v>
      </c>
      <c r="D14" t="str">
        <f t="shared" si="3"/>
        <v>243159250</v>
      </c>
      <c r="E14" t="str">
        <f t="shared" si="4"/>
        <v>Dynamic Click</v>
      </c>
      <c r="F14" t="str">
        <f t="shared" si="5"/>
        <v>alp_ecom_conversao_ecom_facebook_social_carrossel_social_harry-potter_look-1-mobile_cpm_1080x1080_111131</v>
      </c>
      <c r="G14" t="str">
        <f t="shared" si="6"/>
        <v>439736295</v>
      </c>
      <c r="H14" t="str">
        <f t="shared" si="7"/>
        <v>Tracking</v>
      </c>
      <c r="I14">
        <f t="shared" si="8"/>
        <v>0</v>
      </c>
      <c r="J14">
        <f t="shared" si="9"/>
        <v>1</v>
      </c>
      <c r="K14" s="4">
        <f t="shared" si="10"/>
        <v>3.5000000000000001E-3</v>
      </c>
      <c r="L14">
        <f t="shared" si="11"/>
        <v>0.02</v>
      </c>
      <c r="M14" s="4">
        <f t="shared" si="12"/>
        <v>3.5000000000000001E-3</v>
      </c>
      <c r="N14" s="4">
        <f t="shared" si="13"/>
        <v>0.02</v>
      </c>
    </row>
    <row r="15" spans="1:14">
      <c r="A15" t="str">
        <f t="shared" si="0"/>
        <v>alp_ecom</v>
      </c>
      <c r="B15" t="str">
        <f t="shared" si="1"/>
        <v>facebook.com.br</v>
      </c>
      <c r="C15" t="str">
        <f t="shared" si="2"/>
        <v>alp_ecom_conversao_ecom_facebook_social_carrossel_social_harry-potter_look-2-desk_cpm_1080x1080_111128</v>
      </c>
      <c r="D15" t="str">
        <f t="shared" si="3"/>
        <v>243108670</v>
      </c>
      <c r="E15" t="str">
        <f t="shared" si="4"/>
        <v>Dynamic Click</v>
      </c>
      <c r="F15" t="str">
        <f t="shared" si="5"/>
        <v>alp_ecom_conversao_ecom_facebook_social_carrossel_social_harry-potter_look-2-desk_cpm_1080x1080_111128</v>
      </c>
      <c r="G15" t="str">
        <f t="shared" si="6"/>
        <v>439773493</v>
      </c>
      <c r="H15" t="str">
        <f t="shared" si="7"/>
        <v>Tracking</v>
      </c>
      <c r="I15">
        <f t="shared" si="8"/>
        <v>0</v>
      </c>
      <c r="J15">
        <f t="shared" si="9"/>
        <v>1</v>
      </c>
      <c r="K15" s="4">
        <f t="shared" si="10"/>
        <v>3.5000000000000001E-3</v>
      </c>
      <c r="L15">
        <f t="shared" si="11"/>
        <v>0.02</v>
      </c>
      <c r="M15" s="4">
        <f t="shared" si="12"/>
        <v>3.5000000000000001E-3</v>
      </c>
      <c r="N15" s="4">
        <f t="shared" si="13"/>
        <v>0.02</v>
      </c>
    </row>
    <row r="16" spans="1:14">
      <c r="A16" t="str">
        <f t="shared" si="0"/>
        <v>alp_ecom</v>
      </c>
      <c r="B16" t="str">
        <f t="shared" si="1"/>
        <v>facebook.com.br</v>
      </c>
      <c r="C16" t="str">
        <f t="shared" si="2"/>
        <v>alp_ecom_conversao_ecom_facebook_social_carrossel_social_harry-potter_look-2-desk_cpm_1080x1080_111129</v>
      </c>
      <c r="D16" t="str">
        <f t="shared" si="3"/>
        <v>243012362</v>
      </c>
      <c r="E16" t="str">
        <f t="shared" si="4"/>
        <v>Dynamic Click</v>
      </c>
      <c r="F16" t="str">
        <f t="shared" si="5"/>
        <v>alp_ecom_conversao_ecom_facebook_social_carrossel_social_harry-potter_look-2-desk_cpm_1080x1080_111129</v>
      </c>
      <c r="G16" t="str">
        <f t="shared" si="6"/>
        <v>439736280</v>
      </c>
      <c r="H16" t="str">
        <f t="shared" si="7"/>
        <v>Tracking</v>
      </c>
      <c r="I16">
        <f t="shared" si="8"/>
        <v>0</v>
      </c>
      <c r="J16">
        <f t="shared" si="9"/>
        <v>1</v>
      </c>
      <c r="K16" s="4">
        <f t="shared" si="10"/>
        <v>3.5000000000000001E-3</v>
      </c>
      <c r="L16">
        <f t="shared" si="11"/>
        <v>0.02</v>
      </c>
      <c r="M16" s="4">
        <f t="shared" si="12"/>
        <v>3.5000000000000001E-3</v>
      </c>
      <c r="N16" s="4">
        <f t="shared" si="13"/>
        <v>0.02</v>
      </c>
    </row>
    <row r="17" spans="1:14">
      <c r="A17" t="str">
        <f t="shared" si="0"/>
        <v>alp_ecom</v>
      </c>
      <c r="B17" t="str">
        <f t="shared" si="1"/>
        <v>facebook.com.br</v>
      </c>
      <c r="C17" t="str">
        <f t="shared" si="2"/>
        <v>alp_ecom_conversao_ecom_facebook_social_carrossel_social_harry-potter_look-2-desk_cpm_1080x1080_111130</v>
      </c>
      <c r="D17" t="str">
        <f t="shared" si="3"/>
        <v>243012335</v>
      </c>
      <c r="E17" t="str">
        <f t="shared" si="4"/>
        <v>Dynamic Click</v>
      </c>
      <c r="F17" t="str">
        <f t="shared" si="5"/>
        <v>alp_ecom_conversao_ecom_facebook_social_carrossel_social_harry-potter_look-2-desk_cpm_1080x1080_111130</v>
      </c>
      <c r="G17" t="str">
        <f t="shared" si="6"/>
        <v>439736253</v>
      </c>
      <c r="H17" t="str">
        <f t="shared" si="7"/>
        <v>Tracking</v>
      </c>
      <c r="I17">
        <f t="shared" si="8"/>
        <v>0</v>
      </c>
      <c r="J17">
        <f t="shared" si="9"/>
        <v>1</v>
      </c>
      <c r="K17" s="4">
        <f t="shared" si="10"/>
        <v>3.5000000000000001E-3</v>
      </c>
      <c r="L17">
        <f t="shared" si="11"/>
        <v>0.02</v>
      </c>
      <c r="M17" s="4">
        <f t="shared" si="12"/>
        <v>3.5000000000000001E-3</v>
      </c>
      <c r="N17" s="4">
        <f t="shared" si="13"/>
        <v>0.02</v>
      </c>
    </row>
    <row r="18" spans="1:14">
      <c r="A18" t="str">
        <f t="shared" si="0"/>
        <v>alp_ecom</v>
      </c>
      <c r="B18" t="str">
        <f t="shared" si="1"/>
        <v>facebook.com.br</v>
      </c>
      <c r="C18" t="str">
        <f t="shared" si="2"/>
        <v>alp_ecom_conversao_ecom_facebook_social_carrossel_social_harry-potter_look-2-desk_cpm_1080x1080_111131</v>
      </c>
      <c r="D18" t="str">
        <f t="shared" si="3"/>
        <v>243159244</v>
      </c>
      <c r="E18" t="str">
        <f t="shared" si="4"/>
        <v>Dynamic Click</v>
      </c>
      <c r="F18" t="str">
        <f t="shared" si="5"/>
        <v>alp_ecom_conversao_ecom_facebook_social_carrossel_social_harry-potter_look-2-desk_cpm_1080x1080_111131</v>
      </c>
      <c r="G18" t="str">
        <f t="shared" si="6"/>
        <v>439736289</v>
      </c>
      <c r="H18" t="str">
        <f t="shared" si="7"/>
        <v>Tracking</v>
      </c>
      <c r="I18">
        <f t="shared" si="8"/>
        <v>0</v>
      </c>
      <c r="J18">
        <f t="shared" si="9"/>
        <v>1</v>
      </c>
      <c r="K18" s="4">
        <f t="shared" si="10"/>
        <v>3.5000000000000001E-3</v>
      </c>
      <c r="L18">
        <f t="shared" si="11"/>
        <v>0.02</v>
      </c>
      <c r="M18" s="4">
        <f t="shared" si="12"/>
        <v>3.5000000000000001E-3</v>
      </c>
      <c r="N18" s="4">
        <f t="shared" si="13"/>
        <v>0.02</v>
      </c>
    </row>
    <row r="19" spans="1:14">
      <c r="A19" t="str">
        <f t="shared" si="0"/>
        <v>alp_ecom</v>
      </c>
      <c r="B19" t="str">
        <f t="shared" si="1"/>
        <v>facebook.com.br</v>
      </c>
      <c r="C19" t="str">
        <f t="shared" si="2"/>
        <v>alp_ecom_conversao_ecom_facebook_social_carrossel_social_harry-potter_look-2-mobile_cpm_1080x1080_111127</v>
      </c>
      <c r="D19" t="str">
        <f t="shared" si="3"/>
        <v>243108688</v>
      </c>
      <c r="E19" t="str">
        <f t="shared" si="4"/>
        <v>Dynamic Click</v>
      </c>
      <c r="F19" t="str">
        <f t="shared" si="5"/>
        <v>alp_ecom_conversao_ecom_facebook_social_carrossel_social_harry-potter_look-2-mobile_cpm_1080x1080_111127</v>
      </c>
      <c r="G19" t="str">
        <f t="shared" si="6"/>
        <v>439773511</v>
      </c>
      <c r="H19" t="str">
        <f t="shared" si="7"/>
        <v>Tracking</v>
      </c>
      <c r="I19">
        <f t="shared" si="8"/>
        <v>0</v>
      </c>
      <c r="J19">
        <f t="shared" si="9"/>
        <v>2</v>
      </c>
      <c r="K19" s="4">
        <f t="shared" si="10"/>
        <v>3.5000000000000001E-3</v>
      </c>
      <c r="L19">
        <f t="shared" si="11"/>
        <v>0.02</v>
      </c>
      <c r="M19" s="4">
        <f t="shared" si="12"/>
        <v>7.0000000000000001E-3</v>
      </c>
      <c r="N19" s="4">
        <f t="shared" si="13"/>
        <v>0.04</v>
      </c>
    </row>
    <row r="20" spans="1:14">
      <c r="A20" t="str">
        <f t="shared" si="0"/>
        <v>alp_ecom</v>
      </c>
      <c r="B20" t="str">
        <f t="shared" si="1"/>
        <v>facebook.com.br</v>
      </c>
      <c r="C20" t="str">
        <f t="shared" si="2"/>
        <v>alp_ecom_conversao_ecom_facebook_social_carrossel_social_harry-potter_look-2-mobile_cpm_1080x1080_111128</v>
      </c>
      <c r="D20" t="str">
        <f t="shared" si="3"/>
        <v>243108667</v>
      </c>
      <c r="E20" t="str">
        <f t="shared" si="4"/>
        <v>Dynamic Click</v>
      </c>
      <c r="F20" t="str">
        <f t="shared" si="5"/>
        <v>alp_ecom_conversao_ecom_facebook_social_carrossel_social_harry-potter_look-2-mobile_cpm_1080x1080_111128</v>
      </c>
      <c r="G20" t="str">
        <f t="shared" si="6"/>
        <v>439773490</v>
      </c>
      <c r="H20" t="str">
        <f t="shared" si="7"/>
        <v>Tracking</v>
      </c>
      <c r="I20">
        <f t="shared" si="8"/>
        <v>0</v>
      </c>
      <c r="J20">
        <f t="shared" si="9"/>
        <v>8</v>
      </c>
      <c r="K20" s="4">
        <f t="shared" si="10"/>
        <v>3.5000000000000001E-3</v>
      </c>
      <c r="L20">
        <f t="shared" si="11"/>
        <v>0.02</v>
      </c>
      <c r="M20" s="4">
        <f t="shared" si="12"/>
        <v>2.8000000000000001E-2</v>
      </c>
      <c r="N20" s="4">
        <f t="shared" si="13"/>
        <v>0.16</v>
      </c>
    </row>
    <row r="21" spans="1:14">
      <c r="A21" t="str">
        <f t="shared" si="0"/>
        <v>alp_ecom</v>
      </c>
      <c r="B21" t="str">
        <f t="shared" si="1"/>
        <v>facebook.com.br</v>
      </c>
      <c r="C21" t="str">
        <f t="shared" si="2"/>
        <v>alp_ecom_conversao_ecom_facebook_social_carrossel_social_harry-potter_look-2-mobile_cpm_1080x1080_111129</v>
      </c>
      <c r="D21" t="str">
        <f t="shared" si="3"/>
        <v>243012356</v>
      </c>
      <c r="E21" t="str">
        <f t="shared" si="4"/>
        <v>Dynamic Click</v>
      </c>
      <c r="F21" t="str">
        <f t="shared" si="5"/>
        <v>alp_ecom_conversao_ecom_facebook_social_carrossel_social_harry-potter_look-2-mobile_cpm_1080x1080_111129</v>
      </c>
      <c r="G21" t="str">
        <f t="shared" si="6"/>
        <v>439736274</v>
      </c>
      <c r="H21" t="str">
        <f t="shared" si="7"/>
        <v>Tracking</v>
      </c>
      <c r="I21">
        <f t="shared" si="8"/>
        <v>0</v>
      </c>
      <c r="J21">
        <f t="shared" si="9"/>
        <v>1</v>
      </c>
      <c r="K21" s="4">
        <f t="shared" si="10"/>
        <v>3.5000000000000001E-3</v>
      </c>
      <c r="L21">
        <f t="shared" si="11"/>
        <v>0.02</v>
      </c>
      <c r="M21" s="4">
        <f t="shared" si="12"/>
        <v>3.5000000000000001E-3</v>
      </c>
      <c r="N21" s="4">
        <f t="shared" si="13"/>
        <v>0.02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alp_ecom_conversao_ecom_facebook_social_carrossel_social_harry-potter_look-2-mobile_cpm_1080x1080_111130</v>
      </c>
      <c r="D22" t="str">
        <f t="shared" si="3"/>
        <v>243012332</v>
      </c>
      <c r="E22" t="str">
        <f t="shared" si="4"/>
        <v>Dynamic Click</v>
      </c>
      <c r="F22" t="str">
        <f t="shared" si="5"/>
        <v>alp_ecom_conversao_ecom_facebook_social_carrossel_social_harry-potter_look-2-mobile_cpm_1080x1080_111130</v>
      </c>
      <c r="G22" t="str">
        <f t="shared" si="6"/>
        <v>439736250</v>
      </c>
      <c r="H22" t="str">
        <f t="shared" si="7"/>
        <v>Tracking</v>
      </c>
      <c r="I22">
        <f t="shared" si="8"/>
        <v>0</v>
      </c>
      <c r="J22">
        <f t="shared" si="9"/>
        <v>1</v>
      </c>
      <c r="K22" s="4">
        <f t="shared" si="10"/>
        <v>3.5000000000000001E-3</v>
      </c>
      <c r="L22">
        <f t="shared" si="11"/>
        <v>0.02</v>
      </c>
      <c r="M22" s="4">
        <f t="shared" si="12"/>
        <v>3.5000000000000001E-3</v>
      </c>
      <c r="N22" s="4">
        <f t="shared" si="13"/>
        <v>0.02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alp_ecom_conversao_ecom_facebook_social_carrossel_social_harry-potter_look-2-mobile_cpm_1080x1080_111131</v>
      </c>
      <c r="D23" t="str">
        <f t="shared" si="3"/>
        <v>243159238</v>
      </c>
      <c r="E23" t="str">
        <f t="shared" si="4"/>
        <v>Dynamic Click</v>
      </c>
      <c r="F23" t="str">
        <f t="shared" si="5"/>
        <v>alp_ecom_conversao_ecom_facebook_social_carrossel_social_harry-potter_look-2-mobile_cpm_1080x1080_111131</v>
      </c>
      <c r="G23" t="str">
        <f t="shared" si="6"/>
        <v>439736283</v>
      </c>
      <c r="H23" t="str">
        <f t="shared" si="7"/>
        <v>Tracking</v>
      </c>
      <c r="I23">
        <f t="shared" si="8"/>
        <v>0</v>
      </c>
      <c r="J23">
        <f t="shared" si="9"/>
        <v>1</v>
      </c>
      <c r="K23" s="4">
        <f t="shared" si="10"/>
        <v>3.5000000000000001E-3</v>
      </c>
      <c r="L23">
        <f t="shared" si="11"/>
        <v>0.02</v>
      </c>
      <c r="M23" s="4">
        <f t="shared" si="12"/>
        <v>3.5000000000000001E-3</v>
      </c>
      <c r="N23" s="4">
        <f t="shared" si="13"/>
        <v>0.02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alp_ecom_conversao_ecom_facebook_social_carrossel_social_harry-potter_rmk-30-mobile_cpm_1080x1080_111127</v>
      </c>
      <c r="D24" t="str">
        <f t="shared" si="3"/>
        <v>243108682</v>
      </c>
      <c r="E24" t="str">
        <f t="shared" si="4"/>
        <v>Dynamic Click</v>
      </c>
      <c r="F24" t="str">
        <f t="shared" si="5"/>
        <v>alp_ecom_conversao_ecom_facebook_social_carrossel_social_harry-potter_rmk-30-mobile_cpm_1080x1080_111127</v>
      </c>
      <c r="G24" t="str">
        <f t="shared" si="6"/>
        <v>439773505</v>
      </c>
      <c r="H24" t="str">
        <f t="shared" si="7"/>
        <v>Tracking</v>
      </c>
      <c r="I24">
        <f t="shared" si="8"/>
        <v>0</v>
      </c>
      <c r="J24">
        <f t="shared" si="9"/>
        <v>20</v>
      </c>
      <c r="K24" s="4">
        <f t="shared" si="10"/>
        <v>3.5000000000000001E-3</v>
      </c>
      <c r="L24">
        <f t="shared" si="11"/>
        <v>0.02</v>
      </c>
      <c r="M24" s="4">
        <f t="shared" si="12"/>
        <v>7.0000000000000007E-2</v>
      </c>
      <c r="N24" s="4">
        <f t="shared" si="13"/>
        <v>0.4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alp_ecom_conversao_ecom_facebook_social_carrossel_social_harry-potter_rmk-30-mobile_cpm_1080x1080_111128</v>
      </c>
      <c r="D25" t="str">
        <f t="shared" si="3"/>
        <v>243108661</v>
      </c>
      <c r="E25" t="str">
        <f t="shared" si="4"/>
        <v>Dynamic Click</v>
      </c>
      <c r="F25" t="str">
        <f t="shared" si="5"/>
        <v>alp_ecom_conversao_ecom_facebook_social_carrossel_social_harry-potter_rmk-30-mobile_cpm_1080x1080_111128</v>
      </c>
      <c r="G25" t="str">
        <f t="shared" si="6"/>
        <v>439773484</v>
      </c>
      <c r="H25" t="str">
        <f t="shared" si="7"/>
        <v>Tracking</v>
      </c>
      <c r="I25">
        <f t="shared" si="8"/>
        <v>0</v>
      </c>
      <c r="J25">
        <f t="shared" si="9"/>
        <v>5</v>
      </c>
      <c r="K25" s="4">
        <f t="shared" si="10"/>
        <v>3.5000000000000001E-3</v>
      </c>
      <c r="L25">
        <f t="shared" si="11"/>
        <v>0.02</v>
      </c>
      <c r="M25" s="4">
        <f t="shared" si="12"/>
        <v>1.7500000000000002E-2</v>
      </c>
      <c r="N25" s="4">
        <f t="shared" si="13"/>
        <v>0.1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alp_ecom_conversao_ecom_facebook_social_carrossel_social_harry-potter_rmk-30-mobile_cpm_1080x1080_111129</v>
      </c>
      <c r="D26" t="str">
        <f t="shared" si="3"/>
        <v>243012347</v>
      </c>
      <c r="E26" t="str">
        <f t="shared" si="4"/>
        <v>Dynamic Click</v>
      </c>
      <c r="F26" t="str">
        <f t="shared" si="5"/>
        <v>alp_ecom_conversao_ecom_facebook_social_carrossel_social_harry-potter_rmk-30-mobile_cpm_1080x1080_111129</v>
      </c>
      <c r="G26" t="str">
        <f t="shared" si="6"/>
        <v>439736265</v>
      </c>
      <c r="H26" t="str">
        <f t="shared" si="7"/>
        <v>Tracking</v>
      </c>
      <c r="I26">
        <f t="shared" si="8"/>
        <v>0</v>
      </c>
      <c r="J26">
        <f t="shared" si="9"/>
        <v>2</v>
      </c>
      <c r="K26" s="4">
        <f t="shared" si="10"/>
        <v>3.5000000000000001E-3</v>
      </c>
      <c r="L26">
        <f t="shared" si="11"/>
        <v>0.02</v>
      </c>
      <c r="M26" s="4">
        <f t="shared" si="12"/>
        <v>7.0000000000000001E-3</v>
      </c>
      <c r="N26" s="4">
        <f t="shared" si="13"/>
        <v>0.04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alp_ecom_conversao_ecom_facebook_social_carrossel_social_harry-potter_rmk-30-mobile_cpm_1080x1080_111130</v>
      </c>
      <c r="D27" t="str">
        <f t="shared" si="3"/>
        <v>243012326</v>
      </c>
      <c r="E27" t="str">
        <f t="shared" si="4"/>
        <v>Dynamic Click</v>
      </c>
      <c r="F27" t="str">
        <f t="shared" si="5"/>
        <v>alp_ecom_conversao_ecom_facebook_social_carrossel_social_harry-potter_rmk-30-mobile_cpm_1080x1080_111130</v>
      </c>
      <c r="G27" t="str">
        <f t="shared" si="6"/>
        <v>439736244</v>
      </c>
      <c r="H27" t="str">
        <f t="shared" si="7"/>
        <v>Tracking</v>
      </c>
      <c r="I27">
        <f t="shared" si="8"/>
        <v>0</v>
      </c>
      <c r="J27">
        <f t="shared" si="9"/>
        <v>2</v>
      </c>
      <c r="K27" s="4">
        <f t="shared" si="10"/>
        <v>3.5000000000000001E-3</v>
      </c>
      <c r="L27">
        <f t="shared" si="11"/>
        <v>0.02</v>
      </c>
      <c r="M27" s="4">
        <f t="shared" si="12"/>
        <v>7.0000000000000001E-3</v>
      </c>
      <c r="N27" s="4">
        <f t="shared" si="13"/>
        <v>0.04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alp_ecom_conversao_ecom_facebook_social_carrossel_social_harry-potter_rmk-30-mobile_cpm_1080x1080_111131</v>
      </c>
      <c r="D28" t="str">
        <f t="shared" si="3"/>
        <v>243012353</v>
      </c>
      <c r="E28" t="str">
        <f t="shared" si="4"/>
        <v>Dynamic Click</v>
      </c>
      <c r="F28" t="str">
        <f t="shared" si="5"/>
        <v>alp_ecom_conversao_ecom_facebook_social_carrossel_social_harry-potter_rmk-30-mobile_cpm_1080x1080_111131</v>
      </c>
      <c r="G28" t="str">
        <f t="shared" si="6"/>
        <v>439736271</v>
      </c>
      <c r="H28" t="str">
        <f t="shared" si="7"/>
        <v>Tracking</v>
      </c>
      <c r="I28">
        <f t="shared" si="8"/>
        <v>0</v>
      </c>
      <c r="J28">
        <f t="shared" si="9"/>
        <v>2</v>
      </c>
      <c r="K28" s="4">
        <f t="shared" si="10"/>
        <v>3.5000000000000001E-3</v>
      </c>
      <c r="L28">
        <f t="shared" si="11"/>
        <v>0.02</v>
      </c>
      <c r="M28" s="4">
        <f t="shared" si="12"/>
        <v>7.0000000000000001E-3</v>
      </c>
      <c r="N28" s="4">
        <f t="shared" si="13"/>
        <v>0.04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alp_ecom_conversao_ecom_facebook_social_pagepost_social_alpargatas-soft_curte-havaianas_cpc_1200x628_111117</v>
      </c>
      <c r="D29" t="str">
        <f t="shared" si="3"/>
        <v>242342643</v>
      </c>
      <c r="E29" t="str">
        <f t="shared" si="4"/>
        <v>Dynamic Click</v>
      </c>
      <c r="F29" t="str">
        <f t="shared" si="5"/>
        <v>alp_ecom_conversao_ecom_facebook_social_pagepost_social_alpargatas-soft_curte-havaianas_cpc_1200x628_111117</v>
      </c>
      <c r="G29" t="str">
        <f t="shared" si="6"/>
        <v>438874479</v>
      </c>
      <c r="H29" t="str">
        <f t="shared" si="7"/>
        <v>Tracking</v>
      </c>
      <c r="I29">
        <f t="shared" si="8"/>
        <v>132</v>
      </c>
      <c r="J29">
        <f t="shared" si="9"/>
        <v>3801</v>
      </c>
      <c r="K29" s="4">
        <f t="shared" si="10"/>
        <v>3.5000000000000001E-3</v>
      </c>
      <c r="L29">
        <f t="shared" si="11"/>
        <v>0.02</v>
      </c>
      <c r="M29" s="4">
        <f t="shared" si="12"/>
        <v>13.3035</v>
      </c>
      <c r="N29" s="4">
        <f t="shared" si="13"/>
        <v>76.02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alp_ecom_conversao_ecom_facebook_social_pagepost_social_alpargatas-soft_look-1-desk_cpc_1200x628_111117</v>
      </c>
      <c r="D30" t="str">
        <f t="shared" si="3"/>
        <v>242342640</v>
      </c>
      <c r="E30" t="str">
        <f t="shared" si="4"/>
        <v>Dynamic Click</v>
      </c>
      <c r="F30" t="str">
        <f t="shared" si="5"/>
        <v>alp_ecom_conversao_ecom_facebook_social_pagepost_social_alpargatas-soft_look-1-desk_cpc_1200x628_111117</v>
      </c>
      <c r="G30" t="str">
        <f t="shared" si="6"/>
        <v>438874476</v>
      </c>
      <c r="H30" t="str">
        <f t="shared" si="7"/>
        <v>Tracking</v>
      </c>
      <c r="I30">
        <f t="shared" si="8"/>
        <v>2</v>
      </c>
      <c r="J30">
        <f t="shared" si="9"/>
        <v>175</v>
      </c>
      <c r="K30" s="4">
        <f t="shared" si="10"/>
        <v>3.5000000000000001E-3</v>
      </c>
      <c r="L30">
        <f t="shared" si="11"/>
        <v>0.02</v>
      </c>
      <c r="M30" s="4">
        <f t="shared" si="12"/>
        <v>0.61250000000000004</v>
      </c>
      <c r="N30" s="4">
        <f t="shared" si="13"/>
        <v>3.5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alp_ecom_conversao_ecom_facebook_social_pagepost_social_alpargatas-soft_look-1-mobile_cpc_1200x628_111117</v>
      </c>
      <c r="D31" t="str">
        <f t="shared" si="3"/>
        <v>242342637</v>
      </c>
      <c r="E31" t="str">
        <f t="shared" si="4"/>
        <v>Dynamic Click</v>
      </c>
      <c r="F31" t="str">
        <f t="shared" si="5"/>
        <v>alp_ecom_conversao_ecom_facebook_social_pagepost_social_alpargatas-soft_look-1-mobile_cpc_1200x628_111117</v>
      </c>
      <c r="G31" t="str">
        <f t="shared" si="6"/>
        <v>438874473</v>
      </c>
      <c r="H31" t="str">
        <f t="shared" si="7"/>
        <v>Tracking</v>
      </c>
      <c r="I31">
        <f t="shared" si="8"/>
        <v>2</v>
      </c>
      <c r="J31">
        <f t="shared" si="9"/>
        <v>470</v>
      </c>
      <c r="K31" s="4">
        <f t="shared" si="10"/>
        <v>3.5000000000000001E-3</v>
      </c>
      <c r="L31">
        <f t="shared" si="11"/>
        <v>0.02</v>
      </c>
      <c r="M31" s="4">
        <f t="shared" si="12"/>
        <v>1.645</v>
      </c>
      <c r="N31" s="4">
        <f t="shared" si="13"/>
        <v>9.4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alp_ecom_conversao_ecom_facebook_social_pagepost_social_alpargatas-soft_look-2-desk_cpc_1200x628_111117</v>
      </c>
      <c r="D32" t="str">
        <f t="shared" si="3"/>
        <v>242342634</v>
      </c>
      <c r="E32" t="str">
        <f t="shared" si="4"/>
        <v>Dynamic Click</v>
      </c>
      <c r="F32" t="str">
        <f t="shared" si="5"/>
        <v>alp_ecom_conversao_ecom_facebook_social_pagepost_social_alpargatas-soft_look-2-desk_cpc_1200x628_111117</v>
      </c>
      <c r="G32" t="str">
        <f t="shared" si="6"/>
        <v>438874470</v>
      </c>
      <c r="H32" t="str">
        <f t="shared" si="7"/>
        <v>Tracking</v>
      </c>
      <c r="I32">
        <f t="shared" si="8"/>
        <v>2</v>
      </c>
      <c r="J32">
        <f t="shared" si="9"/>
        <v>98</v>
      </c>
      <c r="K32" s="4">
        <f t="shared" si="10"/>
        <v>3.5000000000000001E-3</v>
      </c>
      <c r="L32">
        <f t="shared" si="11"/>
        <v>0.02</v>
      </c>
      <c r="M32" s="4">
        <f t="shared" si="12"/>
        <v>0.34300000000000003</v>
      </c>
      <c r="N32" s="4">
        <f t="shared" si="13"/>
        <v>1.96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alp_ecom_conversao_ecom_facebook_social_pagepost_social_alpargatas-soft_look-2-mobile_cpc_1200x628_111117</v>
      </c>
      <c r="D33" t="str">
        <f t="shared" si="3"/>
        <v>242342631</v>
      </c>
      <c r="E33" t="str">
        <f t="shared" si="4"/>
        <v>Dynamic Click</v>
      </c>
      <c r="F33" t="str">
        <f t="shared" si="5"/>
        <v>alp_ecom_conversao_ecom_facebook_social_pagepost_social_alpargatas-soft_look-2-mobile_cpc_1200x628_111117</v>
      </c>
      <c r="G33" t="str">
        <f t="shared" si="6"/>
        <v>438874467</v>
      </c>
      <c r="H33" t="str">
        <f t="shared" si="7"/>
        <v>Tracking</v>
      </c>
      <c r="I33">
        <f t="shared" si="8"/>
        <v>1</v>
      </c>
      <c r="J33">
        <f t="shared" si="9"/>
        <v>241</v>
      </c>
      <c r="K33" s="4">
        <f t="shared" si="10"/>
        <v>3.5000000000000001E-3</v>
      </c>
      <c r="L33">
        <f t="shared" si="11"/>
        <v>0.02</v>
      </c>
      <c r="M33" s="4">
        <f t="shared" si="12"/>
        <v>0.84350000000000003</v>
      </c>
      <c r="N33" s="4">
        <f t="shared" si="13"/>
        <v>4.82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alp_ecom_conversao_ecom_facebook_social_pagepost_social_alpargatas-soft_rmk-30-mobile_cpc_1200x628_111117</v>
      </c>
      <c r="D34" t="str">
        <f t="shared" si="3"/>
        <v>242342625</v>
      </c>
      <c r="E34" t="str">
        <f t="shared" si="4"/>
        <v>Dynamic Click</v>
      </c>
      <c r="F34" t="str">
        <f t="shared" si="5"/>
        <v>alp_ecom_conversao_ecom_facebook_social_pagepost_social_alpargatas-soft_rmk-30-mobile_cpc_1200x628_111117</v>
      </c>
      <c r="G34" t="str">
        <f t="shared" si="6"/>
        <v>438874461</v>
      </c>
      <c r="H34" t="str">
        <f t="shared" si="7"/>
        <v>Tracking</v>
      </c>
      <c r="I34">
        <f t="shared" si="8"/>
        <v>21</v>
      </c>
      <c r="J34">
        <f t="shared" si="9"/>
        <v>1251</v>
      </c>
      <c r="K34" s="4">
        <f t="shared" si="10"/>
        <v>3.5000000000000001E-3</v>
      </c>
      <c r="L34">
        <f t="shared" si="11"/>
        <v>0.02</v>
      </c>
      <c r="M34" s="4">
        <f t="shared" si="12"/>
        <v>4.3784999999999998</v>
      </c>
      <c r="N34" s="4">
        <f t="shared" si="13"/>
        <v>25.02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alp_ecom_conversao_ecom_facebook_social_pagepost_social_alpargatas-soft_rmk-30_cpc_1200x628_111117</v>
      </c>
      <c r="D35" t="str">
        <f t="shared" si="3"/>
        <v>242342628</v>
      </c>
      <c r="E35" t="str">
        <f t="shared" si="4"/>
        <v>Dynamic Click</v>
      </c>
      <c r="F35" t="str">
        <f t="shared" si="5"/>
        <v>alp_ecom_conversao_ecom_facebook_social_pagepost_social_alpargatas-soft_rmk-30_cpc_1200x628_111117</v>
      </c>
      <c r="G35" t="str">
        <f t="shared" si="6"/>
        <v>438874464</v>
      </c>
      <c r="H35" t="str">
        <f t="shared" si="7"/>
        <v>Tracking</v>
      </c>
      <c r="I35">
        <f t="shared" si="8"/>
        <v>2</v>
      </c>
      <c r="J35">
        <f t="shared" si="9"/>
        <v>179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0.62650000000000006</v>
      </c>
      <c r="N35" s="4">
        <f t="shared" ref="N35:N98" si="15">IF(E35="Dynamic Click",J35*L35,L35*$I35/1000)</f>
        <v>3.58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alp_ecom_conversao_ecom_facebook_social_pagepost_social_animal-print_curte-havaianas_cpc_1200x628_111112</v>
      </c>
      <c r="D36" t="str">
        <f t="shared" si="3"/>
        <v>242206044</v>
      </c>
      <c r="E36" t="str">
        <f t="shared" si="4"/>
        <v>Dynamic Click</v>
      </c>
      <c r="F36" t="str">
        <f t="shared" si="5"/>
        <v>alp_ecom_conversao_ecom_facebook_social_pagepost_social_animal-print_curte-havaianas_cpc_1200x628_111112</v>
      </c>
      <c r="G36" t="str">
        <f t="shared" si="6"/>
        <v>438842660</v>
      </c>
      <c r="H36" t="str">
        <f t="shared" si="7"/>
        <v>Tracking</v>
      </c>
      <c r="I36">
        <f t="shared" si="8"/>
        <v>0</v>
      </c>
      <c r="J36">
        <f t="shared" si="9"/>
        <v>561</v>
      </c>
      <c r="K36" s="4">
        <f t="shared" si="10"/>
        <v>3.5000000000000001E-3</v>
      </c>
      <c r="L36">
        <f t="shared" si="11"/>
        <v>0.02</v>
      </c>
      <c r="M36" s="4">
        <f t="shared" si="14"/>
        <v>1.9635</v>
      </c>
      <c r="N36" s="4">
        <f t="shared" si="15"/>
        <v>11.22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alp_ecom_conversao_ecom_facebook_social_pagepost_social_animal-print_look-1-desk_cpc_1200x628_111112</v>
      </c>
      <c r="D37" t="str">
        <f t="shared" si="3"/>
        <v>242206035</v>
      </c>
      <c r="E37" t="str">
        <f t="shared" si="4"/>
        <v>Dynamic Click</v>
      </c>
      <c r="F37" t="str">
        <f t="shared" si="5"/>
        <v>alp_ecom_conversao_ecom_facebook_social_pagepost_social_animal-print_look-1-desk_cpc_1200x628_111112</v>
      </c>
      <c r="G37" t="str">
        <f t="shared" si="6"/>
        <v>438842651</v>
      </c>
      <c r="H37" t="str">
        <f t="shared" si="7"/>
        <v>Tracking</v>
      </c>
      <c r="I37">
        <f t="shared" si="8"/>
        <v>0</v>
      </c>
      <c r="J37">
        <f t="shared" si="9"/>
        <v>7</v>
      </c>
      <c r="K37" s="4">
        <f t="shared" si="10"/>
        <v>3.5000000000000001E-3</v>
      </c>
      <c r="L37">
        <f t="shared" si="11"/>
        <v>0.02</v>
      </c>
      <c r="M37" s="4">
        <f t="shared" si="14"/>
        <v>2.4500000000000001E-2</v>
      </c>
      <c r="N37" s="4">
        <f t="shared" si="15"/>
        <v>0.14000000000000001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alp_ecom_conversao_ecom_facebook_social_pagepost_social_animal-print_look-1-mobile_cpc_1200x628_111112</v>
      </c>
      <c r="D38" t="str">
        <f t="shared" si="3"/>
        <v>242206038</v>
      </c>
      <c r="E38" t="str">
        <f t="shared" si="4"/>
        <v>Dynamic Click</v>
      </c>
      <c r="F38" t="str">
        <f t="shared" si="5"/>
        <v>alp_ecom_conversao_ecom_facebook_social_pagepost_social_animal-print_look-1-mobile_cpc_1200x628_111112</v>
      </c>
      <c r="G38" t="str">
        <f t="shared" si="6"/>
        <v>438842654</v>
      </c>
      <c r="H38" t="str">
        <f t="shared" si="7"/>
        <v>Tracking</v>
      </c>
      <c r="I38">
        <f t="shared" si="8"/>
        <v>0</v>
      </c>
      <c r="J38">
        <f t="shared" si="9"/>
        <v>8</v>
      </c>
      <c r="K38" s="4">
        <f t="shared" si="10"/>
        <v>3.5000000000000001E-3</v>
      </c>
      <c r="L38">
        <f t="shared" si="11"/>
        <v>0.02</v>
      </c>
      <c r="M38" s="4">
        <f t="shared" si="14"/>
        <v>2.8000000000000001E-2</v>
      </c>
      <c r="N38" s="4">
        <f t="shared" si="15"/>
        <v>0.16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alp_ecom_conversao_ecom_facebook_social_pagepost_social_animal-print_look-2-desk_cpc_1200x628_111112</v>
      </c>
      <c r="D39" t="str">
        <f t="shared" si="3"/>
        <v>242206032</v>
      </c>
      <c r="E39" t="str">
        <f t="shared" si="4"/>
        <v>Dynamic Click</v>
      </c>
      <c r="F39" t="str">
        <f t="shared" si="5"/>
        <v>alp_ecom_conversao_ecom_facebook_social_pagepost_social_animal-print_look-2-desk_cpc_1200x628_111112</v>
      </c>
      <c r="G39" t="str">
        <f t="shared" si="6"/>
        <v>438842648</v>
      </c>
      <c r="H39" t="str">
        <f t="shared" si="7"/>
        <v>Tracking</v>
      </c>
      <c r="I39">
        <f t="shared" si="8"/>
        <v>0</v>
      </c>
      <c r="J39">
        <f t="shared" si="9"/>
        <v>7</v>
      </c>
      <c r="K39" s="4">
        <f t="shared" si="10"/>
        <v>3.5000000000000001E-3</v>
      </c>
      <c r="L39">
        <f t="shared" si="11"/>
        <v>0.02</v>
      </c>
      <c r="M39" s="4">
        <f t="shared" si="14"/>
        <v>2.4500000000000001E-2</v>
      </c>
      <c r="N39" s="4">
        <f t="shared" si="15"/>
        <v>0.14000000000000001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alp_ecom_conversao_ecom_facebook_social_pagepost_social_animal-print_look-2-mobile_cpc_1200x628_111112</v>
      </c>
      <c r="D40" t="str">
        <f t="shared" si="3"/>
        <v>242206026</v>
      </c>
      <c r="E40" t="str">
        <f t="shared" si="4"/>
        <v>Dynamic Click</v>
      </c>
      <c r="F40" t="str">
        <f t="shared" si="5"/>
        <v>alp_ecom_conversao_ecom_facebook_social_pagepost_social_animal-print_look-2-mobile_cpc_1200x628_111112</v>
      </c>
      <c r="G40" t="str">
        <f t="shared" si="6"/>
        <v>438842642</v>
      </c>
      <c r="H40" t="str">
        <f t="shared" si="7"/>
        <v>Tracking</v>
      </c>
      <c r="I40">
        <f t="shared" si="8"/>
        <v>0</v>
      </c>
      <c r="J40">
        <f t="shared" si="9"/>
        <v>2</v>
      </c>
      <c r="K40" s="4">
        <f t="shared" si="10"/>
        <v>3.5000000000000001E-3</v>
      </c>
      <c r="L40">
        <f t="shared" si="11"/>
        <v>0.02</v>
      </c>
      <c r="M40" s="4">
        <f t="shared" si="14"/>
        <v>7.0000000000000001E-3</v>
      </c>
      <c r="N40" s="4">
        <f t="shared" si="15"/>
        <v>0.04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alp_ecom_conversao_ecom_facebook_social_pagepost_social_animal-print_rmk-30-mobile_cpc_1200x628_111112</v>
      </c>
      <c r="D41" t="str">
        <f t="shared" si="3"/>
        <v>242206029</v>
      </c>
      <c r="E41" t="str">
        <f t="shared" si="4"/>
        <v>Dynamic Click</v>
      </c>
      <c r="F41" t="str">
        <f t="shared" si="5"/>
        <v>alp_ecom_conversao_ecom_facebook_social_pagepost_social_animal-print_rmk-30-mobile_cpc_1200x628_111112</v>
      </c>
      <c r="G41" t="str">
        <f t="shared" si="6"/>
        <v>438842645</v>
      </c>
      <c r="H41" t="str">
        <f t="shared" si="7"/>
        <v>Tracking</v>
      </c>
      <c r="I41">
        <f t="shared" si="8"/>
        <v>0</v>
      </c>
      <c r="J41">
        <f t="shared" si="9"/>
        <v>104</v>
      </c>
      <c r="K41" s="4">
        <f t="shared" si="10"/>
        <v>3.5000000000000001E-3</v>
      </c>
      <c r="L41">
        <f t="shared" si="11"/>
        <v>0.02</v>
      </c>
      <c r="M41" s="4">
        <f t="shared" si="14"/>
        <v>0.36399999999999999</v>
      </c>
      <c r="N41" s="4">
        <f t="shared" si="15"/>
        <v>2.08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alp_ecom_conversao_ecom_facebook_social_pagepost_social_animal-print_rmk-30_cpc_1200x628_111112</v>
      </c>
      <c r="D42" t="str">
        <f t="shared" si="3"/>
        <v>242206041</v>
      </c>
      <c r="E42" t="str">
        <f t="shared" si="4"/>
        <v>Dynamic Click</v>
      </c>
      <c r="F42" t="str">
        <f t="shared" si="5"/>
        <v>alp_ecom_conversao_ecom_facebook_social_pagepost_social_animal-print_rmk-30_cpc_1200x628_111112</v>
      </c>
      <c r="G42" t="str">
        <f t="shared" si="6"/>
        <v>438842657</v>
      </c>
      <c r="H42" t="str">
        <f t="shared" si="7"/>
        <v>Tracking</v>
      </c>
      <c r="I42">
        <f t="shared" si="8"/>
        <v>0</v>
      </c>
      <c r="J42">
        <f t="shared" si="9"/>
        <v>15</v>
      </c>
      <c r="K42" s="4">
        <f t="shared" si="10"/>
        <v>3.5000000000000001E-3</v>
      </c>
      <c r="L42">
        <f t="shared" si="11"/>
        <v>0.02</v>
      </c>
      <c r="M42" s="4">
        <f t="shared" si="14"/>
        <v>5.2499999999999998E-2</v>
      </c>
      <c r="N42" s="4">
        <f t="shared" si="15"/>
        <v>0.3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alp_ecom_conversao_ecom_facebook_social_pagepost_social_dia-do-consumidor_curte-havaianas_cpc_1200x628_111120</v>
      </c>
      <c r="D43" t="str">
        <f t="shared" si="3"/>
        <v>242683158</v>
      </c>
      <c r="E43" t="str">
        <f t="shared" si="4"/>
        <v>Dynamic Click</v>
      </c>
      <c r="F43" t="str">
        <f t="shared" si="5"/>
        <v>alp_ecom_conversao_ecom_facebook_social_pagepost_social_dia-do-consumidor_curte-havaianas_cpc_1200x628_111120</v>
      </c>
      <c r="G43" t="str">
        <f t="shared" si="6"/>
        <v>439236827</v>
      </c>
      <c r="H43" t="str">
        <f t="shared" si="7"/>
        <v>Tracking</v>
      </c>
      <c r="I43">
        <f t="shared" si="8"/>
        <v>0</v>
      </c>
      <c r="J43">
        <f t="shared" si="9"/>
        <v>1976</v>
      </c>
      <c r="K43" s="4">
        <f t="shared" si="10"/>
        <v>3.5000000000000001E-3</v>
      </c>
      <c r="L43">
        <f t="shared" si="11"/>
        <v>0.02</v>
      </c>
      <c r="M43" s="4">
        <f t="shared" si="14"/>
        <v>6.9160000000000004</v>
      </c>
      <c r="N43" s="4">
        <f t="shared" si="15"/>
        <v>39.520000000000003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alp_ecom_conversao_ecom_facebook_social_pagepost_social_dia-do-consumidor_look-1-desk_cpc_1200x628_111120</v>
      </c>
      <c r="D44" t="str">
        <f t="shared" si="3"/>
        <v>242683155</v>
      </c>
      <c r="E44" t="str">
        <f t="shared" si="4"/>
        <v>Dynamic Click</v>
      </c>
      <c r="F44" t="str">
        <f t="shared" si="5"/>
        <v>alp_ecom_conversao_ecom_facebook_social_pagepost_social_dia-do-consumidor_look-1-desk_cpc_1200x628_111120</v>
      </c>
      <c r="G44" t="str">
        <f t="shared" si="6"/>
        <v>439236824</v>
      </c>
      <c r="H44" t="str">
        <f t="shared" si="7"/>
        <v>Tracking</v>
      </c>
      <c r="I44">
        <f t="shared" si="8"/>
        <v>0</v>
      </c>
      <c r="J44">
        <f t="shared" si="9"/>
        <v>33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0.11550000000000001</v>
      </c>
      <c r="N44" s="4">
        <f t="shared" si="15"/>
        <v>0.66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alp_ecom_conversao_ecom_facebook_social_pagepost_social_dia-do-consumidor_look-1-mobile_cpc_1200x628_111120</v>
      </c>
      <c r="D45" t="str">
        <f t="shared" si="3"/>
        <v>242683152</v>
      </c>
      <c r="E45" t="str">
        <f t="shared" si="4"/>
        <v>Dynamic Click</v>
      </c>
      <c r="F45" t="str">
        <f t="shared" si="5"/>
        <v>alp_ecom_conversao_ecom_facebook_social_pagepost_social_dia-do-consumidor_look-1-mobile_cpc_1200x628_111120</v>
      </c>
      <c r="G45" t="str">
        <f t="shared" si="6"/>
        <v>439236821</v>
      </c>
      <c r="H45" t="str">
        <f t="shared" si="7"/>
        <v>Tracking</v>
      </c>
      <c r="I45">
        <f t="shared" si="8"/>
        <v>0</v>
      </c>
      <c r="J45">
        <f t="shared" si="9"/>
        <v>332</v>
      </c>
      <c r="K45" s="4">
        <f t="shared" si="16"/>
        <v>3.5000000000000001E-3</v>
      </c>
      <c r="L45">
        <f t="shared" si="17"/>
        <v>0.02</v>
      </c>
      <c r="M45" s="4">
        <f t="shared" si="14"/>
        <v>1.1619999999999999</v>
      </c>
      <c r="N45" s="4">
        <f t="shared" si="15"/>
        <v>6.6400000000000006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alp_ecom_conversao_ecom_facebook_social_pagepost_social_dia-do-consumidor_look-2-desk_cpc_1200x628_111120</v>
      </c>
      <c r="D46" t="str">
        <f t="shared" si="3"/>
        <v>242683149</v>
      </c>
      <c r="E46" t="str">
        <f t="shared" si="4"/>
        <v>Dynamic Click</v>
      </c>
      <c r="F46" t="str">
        <f t="shared" si="5"/>
        <v>alp_ecom_conversao_ecom_facebook_social_pagepost_social_dia-do-consumidor_look-2-desk_cpc_1200x628_111120</v>
      </c>
      <c r="G46" t="str">
        <f t="shared" si="6"/>
        <v>439236818</v>
      </c>
      <c r="H46" t="str">
        <f t="shared" si="7"/>
        <v>Tracking</v>
      </c>
      <c r="I46">
        <f t="shared" si="8"/>
        <v>0</v>
      </c>
      <c r="J46">
        <f t="shared" si="9"/>
        <v>29</v>
      </c>
      <c r="K46" s="4">
        <f t="shared" si="16"/>
        <v>3.5000000000000001E-3</v>
      </c>
      <c r="L46">
        <f t="shared" si="17"/>
        <v>0.02</v>
      </c>
      <c r="M46" s="4">
        <f t="shared" si="14"/>
        <v>0.10150000000000001</v>
      </c>
      <c r="N46" s="4">
        <f t="shared" si="15"/>
        <v>0.57999999999999996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alp_ecom_conversao_ecom_facebook_social_pagepost_social_dia-do-consumidor_look-2-mobile_cpc_1200x628_111120</v>
      </c>
      <c r="D47" t="str">
        <f t="shared" si="3"/>
        <v>242683146</v>
      </c>
      <c r="E47" t="str">
        <f t="shared" si="4"/>
        <v>Dynamic Click</v>
      </c>
      <c r="F47" t="str">
        <f t="shared" si="5"/>
        <v>alp_ecom_conversao_ecom_facebook_social_pagepost_social_dia-do-consumidor_look-2-mobile_cpc_1200x628_111120</v>
      </c>
      <c r="G47" t="str">
        <f t="shared" si="6"/>
        <v>439236815</v>
      </c>
      <c r="H47" t="str">
        <f t="shared" si="7"/>
        <v>Tracking</v>
      </c>
      <c r="I47">
        <f t="shared" si="8"/>
        <v>0</v>
      </c>
      <c r="J47">
        <f t="shared" si="9"/>
        <v>227</v>
      </c>
      <c r="K47" s="4">
        <f t="shared" si="16"/>
        <v>3.5000000000000001E-3</v>
      </c>
      <c r="L47">
        <f t="shared" si="17"/>
        <v>0.02</v>
      </c>
      <c r="M47" s="4">
        <f t="shared" si="14"/>
        <v>0.79449999999999998</v>
      </c>
      <c r="N47" s="4">
        <f t="shared" si="15"/>
        <v>4.54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alp_ecom_conversao_ecom_facebook_social_pagepost_social_dia-do-consumidor_rmk-30-mobile_cpc_1200x628_111120</v>
      </c>
      <c r="D48" t="str">
        <f t="shared" si="3"/>
        <v>242683140</v>
      </c>
      <c r="E48" t="str">
        <f t="shared" si="4"/>
        <v>Dynamic Click</v>
      </c>
      <c r="F48" t="str">
        <f t="shared" si="5"/>
        <v>alp_ecom_conversao_ecom_facebook_social_pagepost_social_dia-do-consumidor_rmk-30-mobile_cpc_1200x628_111120</v>
      </c>
      <c r="G48" t="str">
        <f t="shared" si="6"/>
        <v>439236809</v>
      </c>
      <c r="H48" t="str">
        <f t="shared" si="7"/>
        <v>Tracking</v>
      </c>
      <c r="I48">
        <f t="shared" si="8"/>
        <v>0</v>
      </c>
      <c r="J48">
        <f t="shared" si="9"/>
        <v>1778</v>
      </c>
      <c r="K48" s="4">
        <f t="shared" si="16"/>
        <v>3.5000000000000001E-3</v>
      </c>
      <c r="L48">
        <f t="shared" si="17"/>
        <v>0.02</v>
      </c>
      <c r="M48" s="4">
        <f t="shared" si="14"/>
        <v>6.2229999999999999</v>
      </c>
      <c r="N48" s="4">
        <f t="shared" si="15"/>
        <v>35.56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alp_ecom_conversao_ecom_facebook_social_pagepost_social_dia-do-consumidor_rmk-30_cpc_1200x628_111120</v>
      </c>
      <c r="D49" t="str">
        <f t="shared" si="3"/>
        <v>242683143</v>
      </c>
      <c r="E49" t="str">
        <f t="shared" si="4"/>
        <v>Dynamic Click</v>
      </c>
      <c r="F49" t="str">
        <f t="shared" si="5"/>
        <v>alp_ecom_conversao_ecom_facebook_social_pagepost_social_dia-do-consumidor_rmk-30_cpc_1200x628_111120</v>
      </c>
      <c r="G49" t="str">
        <f t="shared" si="6"/>
        <v>439236812</v>
      </c>
      <c r="H49" t="str">
        <f t="shared" si="7"/>
        <v>Tracking</v>
      </c>
      <c r="I49">
        <f t="shared" si="8"/>
        <v>0</v>
      </c>
      <c r="J49">
        <f t="shared" si="9"/>
        <v>94</v>
      </c>
      <c r="K49" s="4">
        <f t="shared" si="16"/>
        <v>3.5000000000000001E-3</v>
      </c>
      <c r="L49">
        <f t="shared" si="17"/>
        <v>0.02</v>
      </c>
      <c r="M49" s="4">
        <f t="shared" si="14"/>
        <v>0.32900000000000001</v>
      </c>
      <c r="N49" s="4">
        <f t="shared" si="15"/>
        <v>1.8800000000000001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alp_ecom_conversao_ecom_facebook_social_pagepost_social_got_curte-havaianas_cpc_1200x628_111111</v>
      </c>
      <c r="D50" t="str">
        <f t="shared" si="3"/>
        <v>242206074</v>
      </c>
      <c r="E50" t="str">
        <f t="shared" si="4"/>
        <v>Dynamic Click</v>
      </c>
      <c r="F50" t="str">
        <f t="shared" si="5"/>
        <v>alp_ecom_conversao_ecom_facebook_social_pagepost_social_got_curte-havaianas_cpc_1200x628_111111</v>
      </c>
      <c r="G50" t="str">
        <f t="shared" si="6"/>
        <v>438842690</v>
      </c>
      <c r="H50" t="str">
        <f t="shared" si="7"/>
        <v>Tracking</v>
      </c>
      <c r="I50">
        <f t="shared" si="8"/>
        <v>0</v>
      </c>
      <c r="J50">
        <f t="shared" si="9"/>
        <v>283</v>
      </c>
      <c r="K50" s="4">
        <f t="shared" si="16"/>
        <v>3.5000000000000001E-3</v>
      </c>
      <c r="L50">
        <f t="shared" si="17"/>
        <v>0.02</v>
      </c>
      <c r="M50" s="4">
        <f t="shared" si="14"/>
        <v>0.99050000000000005</v>
      </c>
      <c r="N50" s="4">
        <f t="shared" si="15"/>
        <v>5.66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alp_ecom_conversao_ecom_facebook_social_pagepost_social_got_curte-havaianas_cpc_1200x628_111121</v>
      </c>
      <c r="D51" t="str">
        <f t="shared" si="3"/>
        <v>242863398</v>
      </c>
      <c r="E51" t="str">
        <f t="shared" si="4"/>
        <v>Dynamic Click</v>
      </c>
      <c r="F51" t="str">
        <f t="shared" si="5"/>
        <v>alp_ecom_conversao_ecom_facebook_social_pagepost_social_got_curte-havaianas_cpc_1200x628_111121</v>
      </c>
      <c r="G51" t="str">
        <f t="shared" si="6"/>
        <v>439371403</v>
      </c>
      <c r="H51" t="str">
        <f t="shared" si="7"/>
        <v>Tracking</v>
      </c>
      <c r="I51">
        <f t="shared" si="8"/>
        <v>0</v>
      </c>
      <c r="J51">
        <f t="shared" si="9"/>
        <v>99</v>
      </c>
      <c r="K51" s="4">
        <f t="shared" si="16"/>
        <v>3.5000000000000001E-3</v>
      </c>
      <c r="L51">
        <f t="shared" si="17"/>
        <v>0.02</v>
      </c>
      <c r="M51" s="4">
        <f t="shared" si="14"/>
        <v>0.34650000000000003</v>
      </c>
      <c r="N51" s="4">
        <f t="shared" si="15"/>
        <v>1.98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alp_ecom_conversao_ecom_facebook_social_pagepost_social_got_interesse-got_cpc_1200x628_111111</v>
      </c>
      <c r="D52" t="str">
        <f t="shared" si="3"/>
        <v>242586015</v>
      </c>
      <c r="E52" t="str">
        <f t="shared" si="4"/>
        <v>Dynamic Click</v>
      </c>
      <c r="F52" t="str">
        <f t="shared" si="5"/>
        <v>alp_ecom_conversao_ecom_facebook_social_pagepost_social_got_interesse-got_cpc_1200x628_111111</v>
      </c>
      <c r="G52" t="str">
        <f t="shared" si="6"/>
        <v>439159579</v>
      </c>
      <c r="H52" t="str">
        <f t="shared" si="7"/>
        <v>Tracking</v>
      </c>
      <c r="I52">
        <f t="shared" si="8"/>
        <v>0</v>
      </c>
      <c r="J52">
        <f t="shared" si="9"/>
        <v>1061</v>
      </c>
      <c r="K52" s="4">
        <f t="shared" si="16"/>
        <v>3.5000000000000001E-3</v>
      </c>
      <c r="L52">
        <f t="shared" si="17"/>
        <v>0.02</v>
      </c>
      <c r="M52" s="4">
        <f t="shared" si="14"/>
        <v>3.7135000000000002</v>
      </c>
      <c r="N52" s="4">
        <f t="shared" si="15"/>
        <v>21.22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alp_ecom_conversao_ecom_facebook_social_pagepost_social_got_interesse-got_cpc_1200x628_111121</v>
      </c>
      <c r="D53" t="str">
        <f t="shared" si="3"/>
        <v>242863377</v>
      </c>
      <c r="E53" t="str">
        <f t="shared" si="4"/>
        <v>Dynamic Click</v>
      </c>
      <c r="F53" t="str">
        <f t="shared" si="5"/>
        <v>alp_ecom_conversao_ecom_facebook_social_pagepost_social_got_interesse-got_cpc_1200x628_111121</v>
      </c>
      <c r="G53" t="str">
        <f t="shared" si="6"/>
        <v>439371382</v>
      </c>
      <c r="H53" t="str">
        <f t="shared" si="7"/>
        <v>Tracking</v>
      </c>
      <c r="I53">
        <f t="shared" si="8"/>
        <v>0</v>
      </c>
      <c r="J53">
        <f t="shared" si="9"/>
        <v>833</v>
      </c>
      <c r="K53" s="4">
        <f t="shared" si="16"/>
        <v>3.5000000000000001E-3</v>
      </c>
      <c r="L53">
        <f t="shared" si="17"/>
        <v>0.02</v>
      </c>
      <c r="M53" s="4">
        <f t="shared" si="14"/>
        <v>2.9155000000000002</v>
      </c>
      <c r="N53" s="4">
        <f t="shared" si="15"/>
        <v>16.66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alp_ecom_conversao_ecom_facebook_social_pagepost_social_got_look-1-desk_cpc_1200x628_111111</v>
      </c>
      <c r="D54" t="str">
        <f t="shared" si="3"/>
        <v>242206056</v>
      </c>
      <c r="E54" t="str">
        <f t="shared" si="4"/>
        <v>Dynamic Click</v>
      </c>
      <c r="F54" t="str">
        <f t="shared" si="5"/>
        <v>alp_ecom_conversao_ecom_facebook_social_pagepost_social_got_look-1-desk_cpc_1200x628_111111</v>
      </c>
      <c r="G54" t="str">
        <f t="shared" si="6"/>
        <v>438842672</v>
      </c>
      <c r="H54" t="str">
        <f t="shared" si="7"/>
        <v>Tracking</v>
      </c>
      <c r="I54">
        <f t="shared" si="8"/>
        <v>0</v>
      </c>
      <c r="J54">
        <f t="shared" si="9"/>
        <v>49</v>
      </c>
      <c r="K54" s="4">
        <f t="shared" si="16"/>
        <v>3.5000000000000001E-3</v>
      </c>
      <c r="L54">
        <f t="shared" si="17"/>
        <v>0.02</v>
      </c>
      <c r="M54" s="4">
        <f t="shared" si="14"/>
        <v>0.17150000000000001</v>
      </c>
      <c r="N54" s="4">
        <f t="shared" si="15"/>
        <v>0.98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alp_ecom_conversao_ecom_facebook_social_pagepost_social_got_look-1-desk_cpc_1200x628_111121</v>
      </c>
      <c r="D55" t="str">
        <f t="shared" si="3"/>
        <v>242863395</v>
      </c>
      <c r="E55" t="str">
        <f t="shared" si="4"/>
        <v>Dynamic Click</v>
      </c>
      <c r="F55" t="str">
        <f t="shared" si="5"/>
        <v>alp_ecom_conversao_ecom_facebook_social_pagepost_social_got_look-1-desk_cpc_1200x628_111121</v>
      </c>
      <c r="G55" t="str">
        <f t="shared" si="6"/>
        <v>439371400</v>
      </c>
      <c r="H55" t="str">
        <f t="shared" si="7"/>
        <v>Tracking</v>
      </c>
      <c r="I55">
        <f t="shared" si="8"/>
        <v>0</v>
      </c>
      <c r="J55">
        <f t="shared" si="9"/>
        <v>2</v>
      </c>
      <c r="K55" s="4">
        <f t="shared" si="16"/>
        <v>3.5000000000000001E-3</v>
      </c>
      <c r="L55">
        <f t="shared" si="17"/>
        <v>0.02</v>
      </c>
      <c r="M55" s="4">
        <f t="shared" si="14"/>
        <v>7.0000000000000001E-3</v>
      </c>
      <c r="N55" s="4">
        <f t="shared" si="15"/>
        <v>0.04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alp_ecom_conversao_ecom_facebook_social_pagepost_social_got_look-1-mobile_cpc_1200x628_111111</v>
      </c>
      <c r="D56" t="str">
        <f t="shared" si="3"/>
        <v>242206062</v>
      </c>
      <c r="E56" t="str">
        <f t="shared" si="4"/>
        <v>Dynamic Click</v>
      </c>
      <c r="F56" t="str">
        <f t="shared" si="5"/>
        <v>alp_ecom_conversao_ecom_facebook_social_pagepost_social_got_look-1-mobile_cpc_1200x628_111111</v>
      </c>
      <c r="G56" t="str">
        <f t="shared" si="6"/>
        <v>438842678</v>
      </c>
      <c r="H56" t="str">
        <f t="shared" si="7"/>
        <v>Tracking</v>
      </c>
      <c r="I56">
        <f t="shared" si="8"/>
        <v>0</v>
      </c>
      <c r="J56">
        <f t="shared" si="9"/>
        <v>8</v>
      </c>
      <c r="K56" s="4">
        <f t="shared" si="16"/>
        <v>3.5000000000000001E-3</v>
      </c>
      <c r="L56">
        <f t="shared" si="17"/>
        <v>0.02</v>
      </c>
      <c r="M56" s="4">
        <f t="shared" si="14"/>
        <v>2.8000000000000001E-2</v>
      </c>
      <c r="N56" s="4">
        <f t="shared" si="15"/>
        <v>0.16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alp_ecom_conversao_ecom_facebook_social_pagepost_social_got_look-1-mobile_cpc_1200x628_111121</v>
      </c>
      <c r="D57" t="str">
        <f t="shared" si="3"/>
        <v>242863392</v>
      </c>
      <c r="E57" t="str">
        <f t="shared" si="4"/>
        <v>Dynamic Click</v>
      </c>
      <c r="F57" t="str">
        <f t="shared" si="5"/>
        <v>alp_ecom_conversao_ecom_facebook_social_pagepost_social_got_look-1-mobile_cpc_1200x628_111121</v>
      </c>
      <c r="G57" t="str">
        <f t="shared" si="6"/>
        <v>439371397</v>
      </c>
      <c r="H57" t="str">
        <f t="shared" si="7"/>
        <v>Tracking</v>
      </c>
      <c r="I57">
        <f t="shared" si="8"/>
        <v>0</v>
      </c>
      <c r="J57">
        <f t="shared" si="9"/>
        <v>4</v>
      </c>
      <c r="K57" s="4">
        <f t="shared" si="16"/>
        <v>3.5000000000000001E-3</v>
      </c>
      <c r="L57">
        <f t="shared" si="17"/>
        <v>0.02</v>
      </c>
      <c r="M57" s="4">
        <f t="shared" si="14"/>
        <v>1.4E-2</v>
      </c>
      <c r="N57" s="4">
        <f t="shared" si="15"/>
        <v>0.08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alp_ecom_conversao_ecom_facebook_social_pagepost_social_got_look-2-desk_cpc_1200x628_111111</v>
      </c>
      <c r="D58" t="str">
        <f t="shared" si="3"/>
        <v>242206053</v>
      </c>
      <c r="E58" t="str">
        <f t="shared" si="4"/>
        <v>Dynamic Click</v>
      </c>
      <c r="F58" t="str">
        <f t="shared" si="5"/>
        <v>alp_ecom_conversao_ecom_facebook_social_pagepost_social_got_look-2-desk_cpc_1200x628_111111</v>
      </c>
      <c r="G58" t="str">
        <f t="shared" si="6"/>
        <v>438842669</v>
      </c>
      <c r="H58" t="str">
        <f t="shared" si="7"/>
        <v>Tracking</v>
      </c>
      <c r="I58">
        <f t="shared" si="8"/>
        <v>0</v>
      </c>
      <c r="J58">
        <f t="shared" si="9"/>
        <v>35</v>
      </c>
      <c r="K58" s="4">
        <f t="shared" si="16"/>
        <v>3.5000000000000001E-3</v>
      </c>
      <c r="L58">
        <f t="shared" si="17"/>
        <v>0.02</v>
      </c>
      <c r="M58" s="4">
        <f t="shared" si="14"/>
        <v>0.1225</v>
      </c>
      <c r="N58" s="4">
        <f t="shared" si="15"/>
        <v>0.70000000000000007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alp_ecom_conversao_ecom_facebook_social_pagepost_social_got_look-2-desk_cpc_1200x628_111121</v>
      </c>
      <c r="D59" t="str">
        <f t="shared" si="3"/>
        <v>242863389</v>
      </c>
      <c r="E59" t="str">
        <f t="shared" si="4"/>
        <v>Dynamic Click</v>
      </c>
      <c r="F59" t="str">
        <f t="shared" si="5"/>
        <v>alp_ecom_conversao_ecom_facebook_social_pagepost_social_got_look-2-desk_cpc_1200x628_111121</v>
      </c>
      <c r="G59" t="str">
        <f t="shared" si="6"/>
        <v>439371394</v>
      </c>
      <c r="H59" t="str">
        <f t="shared" si="7"/>
        <v>Tracking</v>
      </c>
      <c r="I59">
        <f t="shared" si="8"/>
        <v>0</v>
      </c>
      <c r="J59">
        <f t="shared" si="9"/>
        <v>3</v>
      </c>
      <c r="K59" s="4">
        <f t="shared" si="16"/>
        <v>3.5000000000000001E-3</v>
      </c>
      <c r="L59">
        <f t="shared" si="17"/>
        <v>0.02</v>
      </c>
      <c r="M59" s="4">
        <f t="shared" si="14"/>
        <v>1.0500000000000001E-2</v>
      </c>
      <c r="N59" s="4">
        <f t="shared" si="15"/>
        <v>0.06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alp_ecom_conversao_ecom_facebook_social_pagepost_social_got_look-2-mobile_cpc_1200x628_111111</v>
      </c>
      <c r="D60" t="str">
        <f t="shared" si="3"/>
        <v>242206047</v>
      </c>
      <c r="E60" t="str">
        <f t="shared" si="4"/>
        <v>Dynamic Click</v>
      </c>
      <c r="F60" t="str">
        <f t="shared" si="5"/>
        <v>alp_ecom_conversao_ecom_facebook_social_pagepost_social_got_look-2-mobile_cpc_1200x628_111111</v>
      </c>
      <c r="G60" t="str">
        <f t="shared" si="6"/>
        <v>438842663</v>
      </c>
      <c r="H60" t="str">
        <f t="shared" si="7"/>
        <v>Tracking</v>
      </c>
      <c r="I60">
        <f t="shared" si="8"/>
        <v>0</v>
      </c>
      <c r="J60">
        <f t="shared" si="9"/>
        <v>2</v>
      </c>
      <c r="K60" s="4">
        <f t="shared" si="16"/>
        <v>3.5000000000000001E-3</v>
      </c>
      <c r="L60">
        <f t="shared" si="17"/>
        <v>0.02</v>
      </c>
      <c r="M60" s="4">
        <f t="shared" si="14"/>
        <v>7.0000000000000001E-3</v>
      </c>
      <c r="N60" s="4">
        <f t="shared" si="15"/>
        <v>0.04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alp_ecom_conversao_ecom_facebook_social_pagepost_social_got_look-2-mobile_cpc_1200x628_111121</v>
      </c>
      <c r="D61" t="str">
        <f t="shared" si="3"/>
        <v>242863386</v>
      </c>
      <c r="E61" t="str">
        <f t="shared" si="4"/>
        <v>Dynamic Click</v>
      </c>
      <c r="F61" t="str">
        <f t="shared" si="5"/>
        <v>alp_ecom_conversao_ecom_facebook_social_pagepost_social_got_look-2-mobile_cpc_1200x628_111121</v>
      </c>
      <c r="G61" t="str">
        <f t="shared" si="6"/>
        <v>439371391</v>
      </c>
      <c r="H61" t="str">
        <f t="shared" si="7"/>
        <v>Tracking</v>
      </c>
      <c r="I61">
        <f t="shared" si="8"/>
        <v>0</v>
      </c>
      <c r="J61">
        <f t="shared" si="9"/>
        <v>4</v>
      </c>
      <c r="K61" s="4">
        <f t="shared" si="16"/>
        <v>3.5000000000000001E-3</v>
      </c>
      <c r="L61">
        <f t="shared" si="17"/>
        <v>0.02</v>
      </c>
      <c r="M61" s="4">
        <f t="shared" si="14"/>
        <v>1.4E-2</v>
      </c>
      <c r="N61" s="4">
        <f t="shared" si="15"/>
        <v>0.08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alp_ecom_conversao_ecom_facebook_social_pagepost_social_got_rmk-30-mobile_cpc_1200x628_111111</v>
      </c>
      <c r="D62" t="str">
        <f t="shared" si="3"/>
        <v>242206050</v>
      </c>
      <c r="E62" t="str">
        <f t="shared" si="4"/>
        <v>Dynamic Click</v>
      </c>
      <c r="F62" t="str">
        <f t="shared" si="5"/>
        <v>alp_ecom_conversao_ecom_facebook_social_pagepost_social_got_rmk-30-mobile_cpc_1200x628_111111</v>
      </c>
      <c r="G62" t="str">
        <f t="shared" si="6"/>
        <v>438842666</v>
      </c>
      <c r="H62" t="str">
        <f t="shared" si="7"/>
        <v>Tracking</v>
      </c>
      <c r="I62">
        <f t="shared" si="8"/>
        <v>0</v>
      </c>
      <c r="J62">
        <f t="shared" si="9"/>
        <v>76</v>
      </c>
      <c r="K62" s="4">
        <f t="shared" si="16"/>
        <v>3.5000000000000001E-3</v>
      </c>
      <c r="L62">
        <f t="shared" si="17"/>
        <v>0.02</v>
      </c>
      <c r="M62" s="4">
        <f t="shared" si="14"/>
        <v>0.26600000000000001</v>
      </c>
      <c r="N62" s="4">
        <f t="shared" si="15"/>
        <v>1.52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alp_ecom_conversao_ecom_facebook_social_pagepost_social_got_rmk-30-mobile_cpc_1200x628_111121</v>
      </c>
      <c r="D63" t="str">
        <f t="shared" si="3"/>
        <v>242863380</v>
      </c>
      <c r="E63" t="str">
        <f t="shared" si="4"/>
        <v>Dynamic Click</v>
      </c>
      <c r="F63" t="str">
        <f t="shared" si="5"/>
        <v>alp_ecom_conversao_ecom_facebook_social_pagepost_social_got_rmk-30-mobile_cpc_1200x628_111121</v>
      </c>
      <c r="G63" t="str">
        <f t="shared" si="6"/>
        <v>439371385</v>
      </c>
      <c r="H63" t="str">
        <f t="shared" si="7"/>
        <v>Tracking</v>
      </c>
      <c r="I63">
        <f t="shared" si="8"/>
        <v>0</v>
      </c>
      <c r="J63">
        <f t="shared" si="9"/>
        <v>70</v>
      </c>
      <c r="K63" s="4">
        <f t="shared" si="16"/>
        <v>3.5000000000000001E-3</v>
      </c>
      <c r="L63">
        <f t="shared" si="17"/>
        <v>0.02</v>
      </c>
      <c r="M63" s="4">
        <f t="shared" si="14"/>
        <v>0.245</v>
      </c>
      <c r="N63" s="4">
        <f t="shared" si="15"/>
        <v>1.4000000000000001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alp_ecom_conversao_ecom_facebook_social_pagepost_social_got_rmk-30_cpc_1200x628_111111</v>
      </c>
      <c r="D64" t="str">
        <f t="shared" si="3"/>
        <v>242206068</v>
      </c>
      <c r="E64" t="str">
        <f t="shared" si="4"/>
        <v>Dynamic Click</v>
      </c>
      <c r="F64" t="str">
        <f t="shared" si="5"/>
        <v>alp_ecom_conversao_ecom_facebook_social_pagepost_social_got_rmk-30_cpc_1200x628_111111</v>
      </c>
      <c r="G64" t="str">
        <f t="shared" si="6"/>
        <v>438842684</v>
      </c>
      <c r="H64" t="str">
        <f t="shared" si="7"/>
        <v>Tracking</v>
      </c>
      <c r="I64">
        <f t="shared" si="8"/>
        <v>0</v>
      </c>
      <c r="J64">
        <f t="shared" si="9"/>
        <v>30</v>
      </c>
      <c r="K64" s="4">
        <f t="shared" si="16"/>
        <v>3.5000000000000001E-3</v>
      </c>
      <c r="L64">
        <f t="shared" si="17"/>
        <v>0.02</v>
      </c>
      <c r="M64" s="4">
        <f t="shared" si="14"/>
        <v>0.105</v>
      </c>
      <c r="N64" s="4">
        <f t="shared" si="15"/>
        <v>0.6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alp_ecom_conversao_ecom_facebook_social_pagepost_social_got_rmk-30_cpc_1200x628_111121</v>
      </c>
      <c r="D65" t="str">
        <f t="shared" si="3"/>
        <v>242863383</v>
      </c>
      <c r="E65" t="str">
        <f t="shared" si="4"/>
        <v>Dynamic Click</v>
      </c>
      <c r="F65" t="str">
        <f t="shared" si="5"/>
        <v>alp_ecom_conversao_ecom_facebook_social_pagepost_social_got_rmk-30_cpc_1200x628_111121</v>
      </c>
      <c r="G65" t="str">
        <f t="shared" si="6"/>
        <v>439371388</v>
      </c>
      <c r="H65" t="str">
        <f t="shared" si="7"/>
        <v>Tracking</v>
      </c>
      <c r="I65">
        <f t="shared" si="8"/>
        <v>0</v>
      </c>
      <c r="J65">
        <f t="shared" si="9"/>
        <v>12</v>
      </c>
      <c r="K65" s="4">
        <f t="shared" si="16"/>
        <v>3.5000000000000001E-3</v>
      </c>
      <c r="L65">
        <f t="shared" si="17"/>
        <v>0.02</v>
      </c>
      <c r="M65" s="4">
        <f t="shared" si="14"/>
        <v>4.2000000000000003E-2</v>
      </c>
      <c r="N65" s="4">
        <f t="shared" si="15"/>
        <v>0.24</v>
      </c>
    </row>
    <row r="66" spans="1:14">
      <c r="A66" t="str">
        <f t="shared" ref="A66:A129" si="18">bd_campaign</f>
        <v>alp_ecom</v>
      </c>
      <c r="B66" t="str">
        <f t="shared" ref="B66:B129" si="19">bd_site</f>
        <v>facebook.com.br</v>
      </c>
      <c r="C66" t="str">
        <f t="shared" ref="C66:C129" si="20">bd_placement</f>
        <v>alp_ecom_conversao_ecom_facebook_social_pagepost_social_harry-potter_curte-havaianas_cpc_1200x628_111119</v>
      </c>
      <c r="D66" t="str">
        <f t="shared" ref="D66:D129" si="21">bd_placementID</f>
        <v>242342685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alp_ecom_conversao_ecom_facebook_social_pagepost_social_harry-potter_curte-havaianas_cpc_1200x628_111119</v>
      </c>
      <c r="G66" t="str">
        <f t="shared" ref="G66:G129" si="24">bd_adid</f>
        <v>438874521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138</v>
      </c>
      <c r="K66" s="4">
        <f t="shared" si="16"/>
        <v>3.5000000000000001E-3</v>
      </c>
      <c r="L66">
        <f t="shared" si="17"/>
        <v>0.02</v>
      </c>
      <c r="M66" s="4">
        <f t="shared" si="14"/>
        <v>0.48299999999999998</v>
      </c>
      <c r="N66" s="4">
        <f t="shared" si="15"/>
        <v>2.7600000000000002</v>
      </c>
    </row>
    <row r="67" spans="1:14">
      <c r="A67" t="str">
        <f t="shared" si="18"/>
        <v>alp_ecom</v>
      </c>
      <c r="B67" t="str">
        <f t="shared" si="19"/>
        <v>facebook.com.br</v>
      </c>
      <c r="C67" t="str">
        <f t="shared" si="20"/>
        <v>alp_ecom_conversao_ecom_facebook_social_pagepost_social_harry-potter_look-1-desk_cpc_1200x628_111119</v>
      </c>
      <c r="D67" t="str">
        <f t="shared" si="21"/>
        <v>242342682</v>
      </c>
      <c r="E67" t="str">
        <f t="shared" si="22"/>
        <v>Dynamic Click</v>
      </c>
      <c r="F67" t="str">
        <f t="shared" si="23"/>
        <v>alp_ecom_conversao_ecom_facebook_social_pagepost_social_harry-potter_look-1-desk_cpc_1200x628_111119</v>
      </c>
      <c r="G67" t="str">
        <f t="shared" si="24"/>
        <v>438874518</v>
      </c>
      <c r="H67" t="str">
        <f t="shared" si="25"/>
        <v>Tracking</v>
      </c>
      <c r="I67">
        <f t="shared" si="26"/>
        <v>0</v>
      </c>
      <c r="J67">
        <f t="shared" si="27"/>
        <v>16</v>
      </c>
      <c r="K67" s="4">
        <f t="shared" si="16"/>
        <v>3.5000000000000001E-3</v>
      </c>
      <c r="L67">
        <f t="shared" si="17"/>
        <v>0.02</v>
      </c>
      <c r="M67" s="4">
        <f t="shared" si="14"/>
        <v>5.6000000000000001E-2</v>
      </c>
      <c r="N67" s="4">
        <f t="shared" si="15"/>
        <v>0.32</v>
      </c>
    </row>
    <row r="68" spans="1:14">
      <c r="A68" t="str">
        <f t="shared" si="18"/>
        <v>alp_ecom</v>
      </c>
      <c r="B68" t="str">
        <f t="shared" si="19"/>
        <v>facebook.com.br</v>
      </c>
      <c r="C68" t="str">
        <f t="shared" si="20"/>
        <v>alp_ecom_conversao_ecom_facebook_social_pagepost_social_harry-potter_look-2-desk_cpc_1200x628_111119</v>
      </c>
      <c r="D68" t="str">
        <f t="shared" si="21"/>
        <v>242342676</v>
      </c>
      <c r="E68" t="str">
        <f t="shared" si="22"/>
        <v>Dynamic Click</v>
      </c>
      <c r="F68" t="str">
        <f t="shared" si="23"/>
        <v>alp_ecom_conversao_ecom_facebook_social_pagepost_social_harry-potter_look-2-desk_cpc_1200x628_111119</v>
      </c>
      <c r="G68" t="str">
        <f t="shared" si="24"/>
        <v>438874512</v>
      </c>
      <c r="H68" t="str">
        <f t="shared" si="25"/>
        <v>Tracking</v>
      </c>
      <c r="I68">
        <f t="shared" si="26"/>
        <v>0</v>
      </c>
      <c r="J68">
        <f t="shared" si="27"/>
        <v>8</v>
      </c>
      <c r="K68" s="4">
        <f t="shared" si="16"/>
        <v>3.5000000000000001E-3</v>
      </c>
      <c r="L68">
        <f t="shared" si="17"/>
        <v>0.02</v>
      </c>
      <c r="M68" s="4">
        <f t="shared" si="14"/>
        <v>2.8000000000000001E-2</v>
      </c>
      <c r="N68" s="4">
        <f t="shared" si="15"/>
        <v>0.16</v>
      </c>
    </row>
    <row r="69" spans="1:14">
      <c r="A69" t="str">
        <f t="shared" si="18"/>
        <v>alp_ecom</v>
      </c>
      <c r="B69" t="str">
        <f t="shared" si="19"/>
        <v>facebook.com.br</v>
      </c>
      <c r="C69" t="str">
        <f t="shared" si="20"/>
        <v>alp_ecom_conversao_ecom_facebook_social_pagepost_social_harry-potter_look-2-mobile_cpc_1200x628_111119</v>
      </c>
      <c r="D69" t="str">
        <f t="shared" si="21"/>
        <v>242342673</v>
      </c>
      <c r="E69" t="str">
        <f t="shared" si="22"/>
        <v>Dynamic Click</v>
      </c>
      <c r="F69" t="str">
        <f t="shared" si="23"/>
        <v>alp_ecom_conversao_ecom_facebook_social_pagepost_social_harry-potter_look-2-mobile_cpc_1200x628_111119</v>
      </c>
      <c r="G69" t="str">
        <f t="shared" si="24"/>
        <v>438874509</v>
      </c>
      <c r="H69" t="str">
        <f t="shared" si="25"/>
        <v>Tracking</v>
      </c>
      <c r="I69">
        <f t="shared" si="26"/>
        <v>0</v>
      </c>
      <c r="J69">
        <f t="shared" si="27"/>
        <v>4</v>
      </c>
      <c r="K69" s="4">
        <f t="shared" si="16"/>
        <v>3.5000000000000001E-3</v>
      </c>
      <c r="L69">
        <f t="shared" si="17"/>
        <v>0.02</v>
      </c>
      <c r="M69" s="4">
        <f t="shared" si="14"/>
        <v>1.4E-2</v>
      </c>
      <c r="N69" s="4">
        <f t="shared" si="15"/>
        <v>0.08</v>
      </c>
    </row>
    <row r="70" spans="1:14">
      <c r="A70" t="str">
        <f t="shared" si="18"/>
        <v>alp_ecom</v>
      </c>
      <c r="B70" t="str">
        <f t="shared" si="19"/>
        <v>facebook.com.br</v>
      </c>
      <c r="C70" t="str">
        <f t="shared" si="20"/>
        <v>alp_ecom_conversao_ecom_facebook_social_pagepost_social_harry-potter_rmk-30-mobile_cpc_1200x628_111119</v>
      </c>
      <c r="D70" t="str">
        <f t="shared" si="21"/>
        <v>242342667</v>
      </c>
      <c r="E70" t="str">
        <f t="shared" si="22"/>
        <v>Dynamic Click</v>
      </c>
      <c r="F70" t="str">
        <f t="shared" si="23"/>
        <v>alp_ecom_conversao_ecom_facebook_social_pagepost_social_harry-potter_rmk-30-mobile_cpc_1200x628_111119</v>
      </c>
      <c r="G70" t="str">
        <f t="shared" si="24"/>
        <v>438874503</v>
      </c>
      <c r="H70" t="str">
        <f t="shared" si="25"/>
        <v>Tracking</v>
      </c>
      <c r="I70">
        <f t="shared" si="26"/>
        <v>0</v>
      </c>
      <c r="J70">
        <f t="shared" si="27"/>
        <v>89</v>
      </c>
      <c r="K70" s="4">
        <f t="shared" si="16"/>
        <v>3.5000000000000001E-3</v>
      </c>
      <c r="L70">
        <f t="shared" si="17"/>
        <v>0.02</v>
      </c>
      <c r="M70" s="4">
        <f t="shared" si="14"/>
        <v>0.3115</v>
      </c>
      <c r="N70" s="4">
        <f t="shared" si="15"/>
        <v>1.78</v>
      </c>
    </row>
    <row r="71" spans="1:14">
      <c r="A71" t="str">
        <f t="shared" si="18"/>
        <v>alp_ecom</v>
      </c>
      <c r="B71" t="str">
        <f t="shared" si="19"/>
        <v>facebook.com.br</v>
      </c>
      <c r="C71" t="str">
        <f t="shared" si="20"/>
        <v>alp_ecom_conversao_ecom_facebook_social_pagepost_social_harry-potter_rmk-30_cpc_1200x628_111119</v>
      </c>
      <c r="D71" t="str">
        <f t="shared" si="21"/>
        <v>242342670</v>
      </c>
      <c r="E71" t="str">
        <f t="shared" si="22"/>
        <v>Dynamic Click</v>
      </c>
      <c r="F71" t="str">
        <f t="shared" si="23"/>
        <v>alp_ecom_conversao_ecom_facebook_social_pagepost_social_harry-potter_rmk-30_cpc_1200x628_111119</v>
      </c>
      <c r="G71" t="str">
        <f t="shared" si="24"/>
        <v>438874506</v>
      </c>
      <c r="H71" t="str">
        <f t="shared" si="25"/>
        <v>Tracking</v>
      </c>
      <c r="I71">
        <f t="shared" si="26"/>
        <v>0</v>
      </c>
      <c r="J71">
        <f t="shared" si="27"/>
        <v>14</v>
      </c>
      <c r="K71" s="4">
        <f t="shared" si="16"/>
        <v>3.5000000000000001E-3</v>
      </c>
      <c r="L71">
        <f t="shared" si="17"/>
        <v>0.02</v>
      </c>
      <c r="M71" s="4">
        <f t="shared" si="14"/>
        <v>4.9000000000000002E-2</v>
      </c>
      <c r="N71" s="4">
        <f t="shared" si="15"/>
        <v>0.28000000000000003</v>
      </c>
    </row>
    <row r="72" spans="1:14">
      <c r="A72" t="str">
        <f t="shared" si="18"/>
        <v>alp_ecom</v>
      </c>
      <c r="B72" t="str">
        <f t="shared" si="19"/>
        <v>facebook.com.br</v>
      </c>
      <c r="C72" t="str">
        <f t="shared" si="20"/>
        <v>alp_ecom_conversao_ecom_facebook_social_pagepost_social_havaianas-exclusivas_curte-havaianas_cpc_1200x628_111115</v>
      </c>
      <c r="D72" t="str">
        <f t="shared" si="21"/>
        <v>241974517</v>
      </c>
      <c r="E72" t="str">
        <f t="shared" si="22"/>
        <v>Dynamic Click</v>
      </c>
      <c r="F72" t="str">
        <f t="shared" si="23"/>
        <v>alp_ecom_conversao_ecom_facebook_social_pagepost_social_havaianas-exclusivas_curte-havaianas_cpc_1200x628_111115</v>
      </c>
      <c r="G72" t="str">
        <f t="shared" si="24"/>
        <v>438842597</v>
      </c>
      <c r="H72" t="str">
        <f t="shared" si="25"/>
        <v>Tracking</v>
      </c>
      <c r="I72">
        <f t="shared" si="26"/>
        <v>0</v>
      </c>
      <c r="J72">
        <f t="shared" si="27"/>
        <v>361</v>
      </c>
      <c r="K72" s="4">
        <f t="shared" si="16"/>
        <v>3.5000000000000001E-3</v>
      </c>
      <c r="L72">
        <f t="shared" si="17"/>
        <v>0.02</v>
      </c>
      <c r="M72" s="4">
        <f t="shared" si="14"/>
        <v>1.2635000000000001</v>
      </c>
      <c r="N72" s="4">
        <f t="shared" si="15"/>
        <v>7.22</v>
      </c>
    </row>
    <row r="73" spans="1:14">
      <c r="A73" t="str">
        <f t="shared" si="18"/>
        <v>alp_ecom</v>
      </c>
      <c r="B73" t="str">
        <f t="shared" si="19"/>
        <v>facebook.com.br</v>
      </c>
      <c r="C73" t="str">
        <f t="shared" si="20"/>
        <v>alp_ecom_conversao_ecom_facebook_social_pagepost_social_havaianas-exclusivas_look-1-desk_cpc_1200x628_111115</v>
      </c>
      <c r="D73" t="str">
        <f t="shared" si="21"/>
        <v>241974508</v>
      </c>
      <c r="E73" t="str">
        <f t="shared" si="22"/>
        <v>Dynamic Click</v>
      </c>
      <c r="F73" t="str">
        <f t="shared" si="23"/>
        <v>alp_ecom_conversao_ecom_facebook_social_pagepost_social_havaianas-exclusivas_look-1-desk_cpc_1200x628_111115</v>
      </c>
      <c r="G73" t="str">
        <f t="shared" si="24"/>
        <v>438842588</v>
      </c>
      <c r="H73" t="str">
        <f t="shared" si="25"/>
        <v>Tracking</v>
      </c>
      <c r="I73">
        <f t="shared" si="26"/>
        <v>0</v>
      </c>
      <c r="J73">
        <f t="shared" si="27"/>
        <v>9</v>
      </c>
      <c r="K73" s="4">
        <f t="shared" si="16"/>
        <v>3.5000000000000001E-3</v>
      </c>
      <c r="L73">
        <f t="shared" si="17"/>
        <v>0.02</v>
      </c>
      <c r="M73" s="4">
        <f t="shared" si="14"/>
        <v>3.15E-2</v>
      </c>
      <c r="N73" s="4">
        <f t="shared" si="15"/>
        <v>0.18</v>
      </c>
    </row>
    <row r="74" spans="1:14">
      <c r="A74" t="str">
        <f t="shared" si="18"/>
        <v>alp_ecom</v>
      </c>
      <c r="B74" t="str">
        <f t="shared" si="19"/>
        <v>facebook.com.br</v>
      </c>
      <c r="C74" t="str">
        <f t="shared" si="20"/>
        <v>alp_ecom_conversao_ecom_facebook_social_pagepost_social_havaianas-exclusivas_look-1-mobile_cpc_1200x628_111115</v>
      </c>
      <c r="D74" t="str">
        <f t="shared" si="21"/>
        <v>241974511</v>
      </c>
      <c r="E74" t="str">
        <f t="shared" si="22"/>
        <v>Dynamic Click</v>
      </c>
      <c r="F74" t="str">
        <f t="shared" si="23"/>
        <v>alp_ecom_conversao_ecom_facebook_social_pagepost_social_havaianas-exclusivas_look-1-mobile_cpc_1200x628_111115</v>
      </c>
      <c r="G74" t="str">
        <f t="shared" si="24"/>
        <v>438842591</v>
      </c>
      <c r="H74" t="str">
        <f t="shared" si="25"/>
        <v>Tracking</v>
      </c>
      <c r="I74">
        <f t="shared" si="26"/>
        <v>0</v>
      </c>
      <c r="J74">
        <f t="shared" si="27"/>
        <v>9</v>
      </c>
      <c r="K74" s="4">
        <f t="shared" si="16"/>
        <v>3.5000000000000001E-3</v>
      </c>
      <c r="L74">
        <f t="shared" si="17"/>
        <v>0.02</v>
      </c>
      <c r="M74" s="4">
        <f t="shared" si="14"/>
        <v>3.15E-2</v>
      </c>
      <c r="N74" s="4">
        <f t="shared" si="15"/>
        <v>0.18</v>
      </c>
    </row>
    <row r="75" spans="1:14">
      <c r="A75" t="str">
        <f t="shared" si="18"/>
        <v>alp_ecom</v>
      </c>
      <c r="B75" t="str">
        <f t="shared" si="19"/>
        <v>facebook.com.br</v>
      </c>
      <c r="C75" t="str">
        <f t="shared" si="20"/>
        <v>alp_ecom_conversao_ecom_facebook_social_pagepost_social_havaianas-exclusivas_look-2-desk_cpc_1200x628_111115</v>
      </c>
      <c r="D75" t="str">
        <f t="shared" si="21"/>
        <v>242206071</v>
      </c>
      <c r="E75" t="str">
        <f t="shared" si="22"/>
        <v>Dynamic Click</v>
      </c>
      <c r="F75" t="str">
        <f t="shared" si="23"/>
        <v>alp_ecom_conversao_ecom_facebook_social_pagepost_social_havaianas-exclusivas_look-2-desk_cpc_1200x628_111115</v>
      </c>
      <c r="G75" t="str">
        <f t="shared" si="24"/>
        <v>438842687</v>
      </c>
      <c r="H75" t="str">
        <f t="shared" si="25"/>
        <v>Tracking</v>
      </c>
      <c r="I75">
        <f t="shared" si="26"/>
        <v>0</v>
      </c>
      <c r="J75">
        <f t="shared" si="27"/>
        <v>2</v>
      </c>
      <c r="K75" s="4">
        <f t="shared" si="16"/>
        <v>3.5000000000000001E-3</v>
      </c>
      <c r="L75">
        <f t="shared" si="17"/>
        <v>0.02</v>
      </c>
      <c r="M75" s="4">
        <f t="shared" si="14"/>
        <v>7.0000000000000001E-3</v>
      </c>
      <c r="N75" s="4">
        <f t="shared" si="15"/>
        <v>0.04</v>
      </c>
    </row>
    <row r="76" spans="1:14">
      <c r="A76" t="str">
        <f t="shared" si="18"/>
        <v>alp_ecom</v>
      </c>
      <c r="B76" t="str">
        <f t="shared" si="19"/>
        <v>facebook.com.br</v>
      </c>
      <c r="C76" t="str">
        <f t="shared" si="20"/>
        <v>alp_ecom_conversao_ecom_facebook_social_pagepost_social_havaianas-exclusivas_look-2-mobile_cpc_1200x628_111115</v>
      </c>
      <c r="D76" t="str">
        <f t="shared" si="21"/>
        <v>242206059</v>
      </c>
      <c r="E76" t="str">
        <f t="shared" si="22"/>
        <v>Dynamic Click</v>
      </c>
      <c r="F76" t="str">
        <f t="shared" si="23"/>
        <v>alp_ecom_conversao_ecom_facebook_social_pagepost_social_havaianas-exclusivas_look-2-mobile_cpc_1200x628_111115</v>
      </c>
      <c r="G76" t="str">
        <f t="shared" si="24"/>
        <v>438842675</v>
      </c>
      <c r="H76" t="str">
        <f t="shared" si="25"/>
        <v>Tracking</v>
      </c>
      <c r="I76">
        <f t="shared" si="26"/>
        <v>0</v>
      </c>
      <c r="J76">
        <f t="shared" si="27"/>
        <v>3</v>
      </c>
      <c r="K76" s="4">
        <f t="shared" si="16"/>
        <v>3.5000000000000001E-3</v>
      </c>
      <c r="L76">
        <f t="shared" si="17"/>
        <v>0.02</v>
      </c>
      <c r="M76" s="4">
        <f t="shared" si="14"/>
        <v>1.0500000000000001E-2</v>
      </c>
      <c r="N76" s="4">
        <f t="shared" si="15"/>
        <v>0.06</v>
      </c>
    </row>
    <row r="77" spans="1:14">
      <c r="A77" t="str">
        <f t="shared" si="18"/>
        <v>alp_ecom</v>
      </c>
      <c r="B77" t="str">
        <f t="shared" si="19"/>
        <v>facebook.com.br</v>
      </c>
      <c r="C77" t="str">
        <f t="shared" si="20"/>
        <v>alp_ecom_conversao_ecom_facebook_social_pagepost_social_havaianas-exclusivas_rmk-30-mobile_cpc_1200x628_111115</v>
      </c>
      <c r="D77" t="str">
        <f t="shared" si="21"/>
        <v>242206065</v>
      </c>
      <c r="E77" t="str">
        <f t="shared" si="22"/>
        <v>Dynamic Click</v>
      </c>
      <c r="F77" t="str">
        <f t="shared" si="23"/>
        <v>alp_ecom_conversao_ecom_facebook_social_pagepost_social_havaianas-exclusivas_rmk-30-mobile_cpc_1200x628_111115</v>
      </c>
      <c r="G77" t="str">
        <f t="shared" si="24"/>
        <v>438842681</v>
      </c>
      <c r="H77" t="str">
        <f t="shared" si="25"/>
        <v>Tracking</v>
      </c>
      <c r="I77">
        <f t="shared" si="26"/>
        <v>0</v>
      </c>
      <c r="J77">
        <f t="shared" si="27"/>
        <v>199</v>
      </c>
      <c r="K77" s="4">
        <f t="shared" si="16"/>
        <v>3.5000000000000001E-3</v>
      </c>
      <c r="L77">
        <f t="shared" si="17"/>
        <v>0.02</v>
      </c>
      <c r="M77" s="4">
        <f t="shared" si="14"/>
        <v>0.69650000000000001</v>
      </c>
      <c r="N77" s="4">
        <f t="shared" si="15"/>
        <v>3.98</v>
      </c>
    </row>
    <row r="78" spans="1:14">
      <c r="A78" t="str">
        <f t="shared" si="18"/>
        <v>alp_ecom</v>
      </c>
      <c r="B78" t="str">
        <f t="shared" si="19"/>
        <v>facebook.com.br</v>
      </c>
      <c r="C78" t="str">
        <f t="shared" si="20"/>
        <v>alp_ecom_conversao_ecom_facebook_social_pagepost_social_havaianas-exclusivas_rmk-30_cpc_1200x628_111115</v>
      </c>
      <c r="D78" t="str">
        <f t="shared" si="21"/>
        <v>241974514</v>
      </c>
      <c r="E78" t="str">
        <f t="shared" si="22"/>
        <v>Dynamic Click</v>
      </c>
      <c r="F78" t="str">
        <f t="shared" si="23"/>
        <v>alp_ecom_conversao_ecom_facebook_social_pagepost_social_havaianas-exclusivas_rmk-30_cpc_1200x628_111115</v>
      </c>
      <c r="G78" t="str">
        <f t="shared" si="24"/>
        <v>438842594</v>
      </c>
      <c r="H78" t="str">
        <f t="shared" si="25"/>
        <v>Tracking</v>
      </c>
      <c r="I78">
        <f t="shared" si="26"/>
        <v>0</v>
      </c>
      <c r="J78">
        <f t="shared" si="27"/>
        <v>20</v>
      </c>
      <c r="K78" s="4">
        <f t="shared" si="16"/>
        <v>3.5000000000000001E-3</v>
      </c>
      <c r="L78">
        <f t="shared" si="17"/>
        <v>0.02</v>
      </c>
      <c r="M78" s="4">
        <f t="shared" si="14"/>
        <v>7.0000000000000007E-2</v>
      </c>
      <c r="N78" s="4">
        <f t="shared" si="15"/>
        <v>0.4</v>
      </c>
    </row>
    <row r="79" spans="1:14">
      <c r="A79" t="str">
        <f t="shared" si="18"/>
        <v>alp_ecom</v>
      </c>
      <c r="B79" t="str">
        <f t="shared" si="19"/>
        <v>facebook.com.br</v>
      </c>
      <c r="C79" t="str">
        <f t="shared" si="20"/>
        <v>alp_ecom_conversao_ecom_facebook_social_pagepost_social_heroinas_curte-havaianas_cpc_1200x628_111114</v>
      </c>
      <c r="D79" t="str">
        <f t="shared" si="21"/>
        <v>241988938</v>
      </c>
      <c r="E79" t="str">
        <f t="shared" si="22"/>
        <v>Dynamic Click</v>
      </c>
      <c r="F79" t="str">
        <f t="shared" si="23"/>
        <v>alp_ecom_conversao_ecom_facebook_social_pagepost_social_heroinas_curte-havaianas_cpc_1200x628_111114</v>
      </c>
      <c r="G79" t="str">
        <f t="shared" si="24"/>
        <v>438842618</v>
      </c>
      <c r="H79" t="str">
        <f t="shared" si="25"/>
        <v>Tracking</v>
      </c>
      <c r="I79">
        <f t="shared" si="26"/>
        <v>0</v>
      </c>
      <c r="J79">
        <f t="shared" si="27"/>
        <v>277</v>
      </c>
      <c r="K79" s="4">
        <f t="shared" si="16"/>
        <v>3.5000000000000001E-3</v>
      </c>
      <c r="L79">
        <f t="shared" si="17"/>
        <v>0.02</v>
      </c>
      <c r="M79" s="4">
        <f t="shared" si="14"/>
        <v>0.96950000000000003</v>
      </c>
      <c r="N79" s="4">
        <f t="shared" si="15"/>
        <v>5.54</v>
      </c>
    </row>
    <row r="80" spans="1:14">
      <c r="A80" t="str">
        <f t="shared" si="18"/>
        <v>alp_ecom</v>
      </c>
      <c r="B80" t="str">
        <f t="shared" si="19"/>
        <v>facebook.com.br</v>
      </c>
      <c r="C80" t="str">
        <f t="shared" si="20"/>
        <v>alp_ecom_conversao_ecom_facebook_social_pagepost_social_heroinas_look-1-desk_cpc_1200x628_111114</v>
      </c>
      <c r="D80" t="str">
        <f t="shared" si="21"/>
        <v>241974529</v>
      </c>
      <c r="E80" t="str">
        <f t="shared" si="22"/>
        <v>Dynamic Click</v>
      </c>
      <c r="F80" t="str">
        <f t="shared" si="23"/>
        <v>alp_ecom_conversao_ecom_facebook_social_pagepost_social_heroinas_look-1-desk_cpc_1200x628_111114</v>
      </c>
      <c r="G80" t="str">
        <f t="shared" si="24"/>
        <v>438842609</v>
      </c>
      <c r="H80" t="str">
        <f t="shared" si="25"/>
        <v>Tracking</v>
      </c>
      <c r="I80">
        <f t="shared" si="26"/>
        <v>0</v>
      </c>
      <c r="J80">
        <f t="shared" si="27"/>
        <v>5</v>
      </c>
      <c r="K80" s="4">
        <f t="shared" si="16"/>
        <v>3.5000000000000001E-3</v>
      </c>
      <c r="L80">
        <f t="shared" si="17"/>
        <v>0.02</v>
      </c>
      <c r="M80" s="4">
        <f t="shared" si="14"/>
        <v>1.7500000000000002E-2</v>
      </c>
      <c r="N80" s="4">
        <f t="shared" si="15"/>
        <v>0.1</v>
      </c>
    </row>
    <row r="81" spans="1:14">
      <c r="A81" t="str">
        <f t="shared" si="18"/>
        <v>alp_ecom</v>
      </c>
      <c r="B81" t="str">
        <f t="shared" si="19"/>
        <v>facebook.com.br</v>
      </c>
      <c r="C81" t="str">
        <f t="shared" si="20"/>
        <v>alp_ecom_conversao_ecom_facebook_social_pagepost_social_heroinas_look-1-mobile_cpc_1200x628_111114</v>
      </c>
      <c r="D81" t="str">
        <f t="shared" si="21"/>
        <v>241988932</v>
      </c>
      <c r="E81" t="str">
        <f t="shared" si="22"/>
        <v>Dynamic Click</v>
      </c>
      <c r="F81" t="str">
        <f t="shared" si="23"/>
        <v>alp_ecom_conversao_ecom_facebook_social_pagepost_social_heroinas_look-1-mobile_cpc_1200x628_111114</v>
      </c>
      <c r="G81" t="str">
        <f t="shared" si="24"/>
        <v>438842612</v>
      </c>
      <c r="H81" t="str">
        <f t="shared" si="25"/>
        <v>Tracking</v>
      </c>
      <c r="I81">
        <f t="shared" si="26"/>
        <v>0</v>
      </c>
      <c r="J81">
        <f t="shared" si="27"/>
        <v>14</v>
      </c>
      <c r="K81" s="4">
        <f t="shared" si="16"/>
        <v>3.5000000000000001E-3</v>
      </c>
      <c r="L81">
        <f t="shared" si="17"/>
        <v>0.02</v>
      </c>
      <c r="M81" s="4">
        <f t="shared" si="14"/>
        <v>4.9000000000000002E-2</v>
      </c>
      <c r="N81" s="4">
        <f t="shared" si="15"/>
        <v>0.28000000000000003</v>
      </c>
    </row>
    <row r="82" spans="1:14">
      <c r="A82" t="str">
        <f t="shared" si="18"/>
        <v>alp_ecom</v>
      </c>
      <c r="B82" t="str">
        <f t="shared" si="19"/>
        <v>facebook.com.br</v>
      </c>
      <c r="C82" t="str">
        <f t="shared" si="20"/>
        <v>alp_ecom_conversao_ecom_facebook_social_pagepost_social_heroinas_look-2-desk_cpc_1200x628_111114</v>
      </c>
      <c r="D82" t="str">
        <f t="shared" si="21"/>
        <v>241974526</v>
      </c>
      <c r="E82" t="str">
        <f t="shared" si="22"/>
        <v>Dynamic Click</v>
      </c>
      <c r="F82" t="str">
        <f t="shared" si="23"/>
        <v>alp_ecom_conversao_ecom_facebook_social_pagepost_social_heroinas_look-2-desk_cpc_1200x628_111114</v>
      </c>
      <c r="G82" t="str">
        <f t="shared" si="24"/>
        <v>438842606</v>
      </c>
      <c r="H82" t="str">
        <f t="shared" si="25"/>
        <v>Tracking</v>
      </c>
      <c r="I82">
        <f t="shared" si="26"/>
        <v>0</v>
      </c>
      <c r="J82">
        <f t="shared" si="27"/>
        <v>2</v>
      </c>
      <c r="K82" s="4">
        <f t="shared" si="16"/>
        <v>3.5000000000000001E-3</v>
      </c>
      <c r="L82">
        <f t="shared" si="17"/>
        <v>0.02</v>
      </c>
      <c r="M82" s="4">
        <f t="shared" si="14"/>
        <v>7.0000000000000001E-3</v>
      </c>
      <c r="N82" s="4">
        <f t="shared" si="15"/>
        <v>0.04</v>
      </c>
    </row>
    <row r="83" spans="1:14">
      <c r="A83" t="str">
        <f t="shared" si="18"/>
        <v>alp_ecom</v>
      </c>
      <c r="B83" t="str">
        <f t="shared" si="19"/>
        <v>facebook.com.br</v>
      </c>
      <c r="C83" t="str">
        <f t="shared" si="20"/>
        <v>alp_ecom_conversao_ecom_facebook_social_pagepost_social_heroinas_look-2-mobile_cpc_1200x628_111114</v>
      </c>
      <c r="D83" t="str">
        <f t="shared" si="21"/>
        <v>241974520</v>
      </c>
      <c r="E83" t="str">
        <f t="shared" si="22"/>
        <v>Dynamic Click</v>
      </c>
      <c r="F83" t="str">
        <f t="shared" si="23"/>
        <v>alp_ecom_conversao_ecom_facebook_social_pagepost_social_heroinas_look-2-mobile_cpc_1200x628_111114</v>
      </c>
      <c r="G83" t="str">
        <f t="shared" si="24"/>
        <v>438842600</v>
      </c>
      <c r="H83" t="str">
        <f t="shared" si="25"/>
        <v>Tracking</v>
      </c>
      <c r="I83">
        <f t="shared" si="26"/>
        <v>0</v>
      </c>
      <c r="J83">
        <f t="shared" si="27"/>
        <v>19</v>
      </c>
      <c r="K83" s="4">
        <f t="shared" si="16"/>
        <v>3.5000000000000001E-3</v>
      </c>
      <c r="L83">
        <f t="shared" si="17"/>
        <v>0.02</v>
      </c>
      <c r="M83" s="4">
        <f t="shared" si="14"/>
        <v>6.6500000000000004E-2</v>
      </c>
      <c r="N83" s="4">
        <f t="shared" si="15"/>
        <v>0.38</v>
      </c>
    </row>
    <row r="84" spans="1:14">
      <c r="A84" t="str">
        <f t="shared" si="18"/>
        <v>alp_ecom</v>
      </c>
      <c r="B84" t="str">
        <f t="shared" si="19"/>
        <v>facebook.com.br</v>
      </c>
      <c r="C84" t="str">
        <f t="shared" si="20"/>
        <v>alp_ecom_conversao_ecom_facebook_social_pagepost_social_heroinas_rmk-30-mobile_cpc_1200x628_111114</v>
      </c>
      <c r="D84" t="str">
        <f t="shared" si="21"/>
        <v>241974523</v>
      </c>
      <c r="E84" t="str">
        <f t="shared" si="22"/>
        <v>Dynamic Click</v>
      </c>
      <c r="F84" t="str">
        <f t="shared" si="23"/>
        <v>alp_ecom_conversao_ecom_facebook_social_pagepost_social_heroinas_rmk-30-mobile_cpc_1200x628_111114</v>
      </c>
      <c r="G84" t="str">
        <f t="shared" si="24"/>
        <v>438842603</v>
      </c>
      <c r="H84" t="str">
        <f t="shared" si="25"/>
        <v>Tracking</v>
      </c>
      <c r="I84">
        <f t="shared" si="26"/>
        <v>0</v>
      </c>
      <c r="J84">
        <f t="shared" si="27"/>
        <v>80</v>
      </c>
      <c r="K84" s="4">
        <f t="shared" si="16"/>
        <v>3.5000000000000001E-3</v>
      </c>
      <c r="L84">
        <f t="shared" si="17"/>
        <v>0.02</v>
      </c>
      <c r="M84" s="4">
        <f t="shared" si="14"/>
        <v>0.28000000000000003</v>
      </c>
      <c r="N84" s="4">
        <f t="shared" si="15"/>
        <v>1.6</v>
      </c>
    </row>
    <row r="85" spans="1:14">
      <c r="A85" t="str">
        <f t="shared" si="18"/>
        <v>alp_ecom</v>
      </c>
      <c r="B85" t="str">
        <f t="shared" si="19"/>
        <v>facebook.com.br</v>
      </c>
      <c r="C85" t="str">
        <f t="shared" si="20"/>
        <v>alp_ecom_conversao_ecom_facebook_social_pagepost_social_heroinas_rmk-30_cpc_1200x628_111114</v>
      </c>
      <c r="D85" t="str">
        <f t="shared" si="21"/>
        <v>241988935</v>
      </c>
      <c r="E85" t="str">
        <f t="shared" si="22"/>
        <v>Dynamic Click</v>
      </c>
      <c r="F85" t="str">
        <f t="shared" si="23"/>
        <v>alp_ecom_conversao_ecom_facebook_social_pagepost_social_heroinas_rmk-30_cpc_1200x628_111114</v>
      </c>
      <c r="G85" t="str">
        <f t="shared" si="24"/>
        <v>438842615</v>
      </c>
      <c r="H85" t="str">
        <f t="shared" si="25"/>
        <v>Tracking</v>
      </c>
      <c r="I85">
        <f t="shared" si="26"/>
        <v>0</v>
      </c>
      <c r="J85">
        <f t="shared" si="27"/>
        <v>4</v>
      </c>
      <c r="K85" s="4">
        <f t="shared" si="16"/>
        <v>3.5000000000000001E-3</v>
      </c>
      <c r="L85">
        <f t="shared" si="17"/>
        <v>0.02</v>
      </c>
      <c r="M85" s="4">
        <f t="shared" si="14"/>
        <v>1.4E-2</v>
      </c>
      <c r="N85" s="4">
        <f t="shared" si="15"/>
        <v>0.08</v>
      </c>
    </row>
    <row r="86" spans="1:14">
      <c r="A86" t="str">
        <f t="shared" si="18"/>
        <v>alp_ecom</v>
      </c>
      <c r="B86" t="str">
        <f t="shared" si="19"/>
        <v>facebook.com.br</v>
      </c>
      <c r="C86" t="str">
        <f t="shared" si="20"/>
        <v>alp_ecom_conversao_ecom_facebook_social_pagepost_social_mario-bros_curte-havaianas_cpc_1200x628_111118</v>
      </c>
      <c r="D86" t="str">
        <f t="shared" si="21"/>
        <v>242342706</v>
      </c>
      <c r="E86" t="str">
        <f t="shared" si="22"/>
        <v>Dynamic Click</v>
      </c>
      <c r="F86" t="str">
        <f t="shared" si="23"/>
        <v>alp_ecom_conversao_ecom_facebook_social_pagepost_social_mario-bros_curte-havaianas_cpc_1200x628_111118</v>
      </c>
      <c r="G86" t="str">
        <f t="shared" si="24"/>
        <v>438874542</v>
      </c>
      <c r="H86" t="str">
        <f t="shared" si="25"/>
        <v>Tracking</v>
      </c>
      <c r="I86">
        <f t="shared" si="26"/>
        <v>0</v>
      </c>
      <c r="J86">
        <f t="shared" si="27"/>
        <v>3507</v>
      </c>
      <c r="K86" s="4">
        <f t="shared" si="16"/>
        <v>3.5000000000000001E-3</v>
      </c>
      <c r="L86">
        <f t="shared" si="17"/>
        <v>0.02</v>
      </c>
      <c r="M86" s="4">
        <f t="shared" si="14"/>
        <v>12.2745</v>
      </c>
      <c r="N86" s="4">
        <f t="shared" si="15"/>
        <v>70.14</v>
      </c>
    </row>
    <row r="87" spans="1:14">
      <c r="A87" t="str">
        <f t="shared" si="18"/>
        <v>alp_ecom</v>
      </c>
      <c r="B87" t="str">
        <f t="shared" si="19"/>
        <v>facebook.com.br</v>
      </c>
      <c r="C87" t="str">
        <f t="shared" si="20"/>
        <v>alp_ecom_conversao_ecom_facebook_social_pagepost_social_mario-bros_look-1-desk_cpc_1200x628_111118</v>
      </c>
      <c r="D87" t="str">
        <f t="shared" si="21"/>
        <v>242342703</v>
      </c>
      <c r="E87" t="str">
        <f t="shared" si="22"/>
        <v>Dynamic Click</v>
      </c>
      <c r="F87" t="str">
        <f t="shared" si="23"/>
        <v>alp_ecom_conversao_ecom_facebook_social_pagepost_social_mario-bros_look-1-desk_cpc_1200x628_111118</v>
      </c>
      <c r="G87" t="str">
        <f t="shared" si="24"/>
        <v>438874539</v>
      </c>
      <c r="H87" t="str">
        <f t="shared" si="25"/>
        <v>Tracking</v>
      </c>
      <c r="I87">
        <f t="shared" si="26"/>
        <v>0</v>
      </c>
      <c r="J87">
        <f t="shared" si="27"/>
        <v>77</v>
      </c>
      <c r="K87" s="4">
        <f t="shared" si="16"/>
        <v>3.5000000000000001E-3</v>
      </c>
      <c r="L87">
        <f t="shared" si="17"/>
        <v>0.02</v>
      </c>
      <c r="M87" s="4">
        <f t="shared" si="14"/>
        <v>0.26950000000000002</v>
      </c>
      <c r="N87" s="4">
        <f t="shared" si="15"/>
        <v>1.54</v>
      </c>
    </row>
    <row r="88" spans="1:14">
      <c r="A88" t="str">
        <f t="shared" si="18"/>
        <v>alp_ecom</v>
      </c>
      <c r="B88" t="str">
        <f t="shared" si="19"/>
        <v>facebook.com.br</v>
      </c>
      <c r="C88" t="str">
        <f t="shared" si="20"/>
        <v>alp_ecom_conversao_ecom_facebook_social_pagepost_social_mario-bros_look-1-mobile_cpc_1200x628_111118</v>
      </c>
      <c r="D88" t="str">
        <f t="shared" si="21"/>
        <v>242342700</v>
      </c>
      <c r="E88" t="str">
        <f t="shared" si="22"/>
        <v>Dynamic Click</v>
      </c>
      <c r="F88" t="str">
        <f t="shared" si="23"/>
        <v>alp_ecom_conversao_ecom_facebook_social_pagepost_social_mario-bros_look-1-mobile_cpc_1200x628_111118</v>
      </c>
      <c r="G88" t="str">
        <f t="shared" si="24"/>
        <v>438874536</v>
      </c>
      <c r="H88" t="str">
        <f t="shared" si="25"/>
        <v>Tracking</v>
      </c>
      <c r="I88">
        <f t="shared" si="26"/>
        <v>0</v>
      </c>
      <c r="J88">
        <f t="shared" si="27"/>
        <v>68</v>
      </c>
      <c r="K88" s="4">
        <f t="shared" si="16"/>
        <v>3.5000000000000001E-3</v>
      </c>
      <c r="L88">
        <f t="shared" si="17"/>
        <v>0.02</v>
      </c>
      <c r="M88" s="4">
        <f t="shared" si="14"/>
        <v>0.23800000000000002</v>
      </c>
      <c r="N88" s="4">
        <f t="shared" si="15"/>
        <v>1.36</v>
      </c>
    </row>
    <row r="89" spans="1:14">
      <c r="A89" t="str">
        <f t="shared" si="18"/>
        <v>alp_ecom</v>
      </c>
      <c r="B89" t="str">
        <f t="shared" si="19"/>
        <v>facebook.com.br</v>
      </c>
      <c r="C89" t="str">
        <f t="shared" si="20"/>
        <v>alp_ecom_conversao_ecom_facebook_social_pagepost_social_mario-bros_look-2-desk_cpc_1200x628_111118</v>
      </c>
      <c r="D89" t="str">
        <f t="shared" si="21"/>
        <v>242342697</v>
      </c>
      <c r="E89" t="str">
        <f t="shared" si="22"/>
        <v>Dynamic Click</v>
      </c>
      <c r="F89" t="str">
        <f t="shared" si="23"/>
        <v>alp_ecom_conversao_ecom_facebook_social_pagepost_social_mario-bros_look-2-desk_cpc_1200x628_111118</v>
      </c>
      <c r="G89" t="str">
        <f t="shared" si="24"/>
        <v>438874533</v>
      </c>
      <c r="H89" t="str">
        <f t="shared" si="25"/>
        <v>Tracking</v>
      </c>
      <c r="I89">
        <f t="shared" si="26"/>
        <v>0</v>
      </c>
      <c r="J89">
        <f t="shared" si="27"/>
        <v>58</v>
      </c>
      <c r="K89" s="4">
        <f t="shared" si="16"/>
        <v>3.5000000000000001E-3</v>
      </c>
      <c r="L89">
        <f t="shared" si="17"/>
        <v>0.02</v>
      </c>
      <c r="M89" s="4">
        <f t="shared" si="14"/>
        <v>0.20300000000000001</v>
      </c>
      <c r="N89" s="4">
        <f t="shared" si="15"/>
        <v>1.1599999999999999</v>
      </c>
    </row>
    <row r="90" spans="1:14">
      <c r="A90" t="str">
        <f t="shared" si="18"/>
        <v>alp_ecom</v>
      </c>
      <c r="B90" t="str">
        <f t="shared" si="19"/>
        <v>facebook.com.br</v>
      </c>
      <c r="C90" t="str">
        <f t="shared" si="20"/>
        <v>alp_ecom_conversao_ecom_facebook_social_pagepost_social_mario-bros_look-2-mobile_cpc_1200x628_111118</v>
      </c>
      <c r="D90" t="str">
        <f t="shared" si="21"/>
        <v>242342694</v>
      </c>
      <c r="E90" t="str">
        <f t="shared" si="22"/>
        <v>Dynamic Click</v>
      </c>
      <c r="F90" t="str">
        <f t="shared" si="23"/>
        <v>alp_ecom_conversao_ecom_facebook_social_pagepost_social_mario-bros_look-2-mobile_cpc_1200x628_111118</v>
      </c>
      <c r="G90" t="str">
        <f t="shared" si="24"/>
        <v>438874530</v>
      </c>
      <c r="H90" t="str">
        <f t="shared" si="25"/>
        <v>Tracking</v>
      </c>
      <c r="I90">
        <f t="shared" si="26"/>
        <v>0</v>
      </c>
      <c r="J90">
        <f t="shared" si="27"/>
        <v>80</v>
      </c>
      <c r="K90" s="4">
        <f t="shared" si="16"/>
        <v>3.5000000000000001E-3</v>
      </c>
      <c r="L90">
        <f t="shared" si="17"/>
        <v>0.02</v>
      </c>
      <c r="M90" s="4">
        <f t="shared" si="14"/>
        <v>0.28000000000000003</v>
      </c>
      <c r="N90" s="4">
        <f t="shared" si="15"/>
        <v>1.6</v>
      </c>
    </row>
    <row r="91" spans="1:14">
      <c r="A91" t="str">
        <f t="shared" si="18"/>
        <v>alp_ecom</v>
      </c>
      <c r="B91" t="str">
        <f t="shared" si="19"/>
        <v>facebook.com.br</v>
      </c>
      <c r="C91" t="str">
        <f t="shared" si="20"/>
        <v>alp_ecom_conversao_ecom_facebook_social_pagepost_social_mario-bros_rmk-30-mobile_cpc_1200x628_111118</v>
      </c>
      <c r="D91" t="str">
        <f t="shared" si="21"/>
        <v>242342688</v>
      </c>
      <c r="E91" t="str">
        <f t="shared" si="22"/>
        <v>Dynamic Click</v>
      </c>
      <c r="F91" t="str">
        <f t="shared" si="23"/>
        <v>alp_ecom_conversao_ecom_facebook_social_pagepost_social_mario-bros_rmk-30-mobile_cpc_1200x628_111118</v>
      </c>
      <c r="G91" t="str">
        <f t="shared" si="24"/>
        <v>438874524</v>
      </c>
      <c r="H91" t="str">
        <f t="shared" si="25"/>
        <v>Tracking</v>
      </c>
      <c r="I91">
        <f t="shared" si="26"/>
        <v>0</v>
      </c>
      <c r="J91">
        <f t="shared" si="27"/>
        <v>291</v>
      </c>
      <c r="K91" s="4">
        <f t="shared" si="16"/>
        <v>3.5000000000000001E-3</v>
      </c>
      <c r="L91">
        <f t="shared" si="17"/>
        <v>0.02</v>
      </c>
      <c r="M91" s="4">
        <f t="shared" si="14"/>
        <v>1.0185</v>
      </c>
      <c r="N91" s="4">
        <f t="shared" si="15"/>
        <v>5.82</v>
      </c>
    </row>
    <row r="92" spans="1:14">
      <c r="A92" t="str">
        <f t="shared" si="18"/>
        <v>alp_ecom</v>
      </c>
      <c r="B92" t="str">
        <f t="shared" si="19"/>
        <v>facebook.com.br</v>
      </c>
      <c r="C92" t="str">
        <f t="shared" si="20"/>
        <v>alp_ecom_conversao_ecom_facebook_social_pagepost_social_mario-bros_rmk-30_cpc_1200x628_111118</v>
      </c>
      <c r="D92" t="str">
        <f t="shared" si="21"/>
        <v>242342691</v>
      </c>
      <c r="E92" t="str">
        <f t="shared" si="22"/>
        <v>Dynamic Click</v>
      </c>
      <c r="F92" t="str">
        <f t="shared" si="23"/>
        <v>alp_ecom_conversao_ecom_facebook_social_pagepost_social_mario-bros_rmk-30_cpc_1200x628_111118</v>
      </c>
      <c r="G92" t="str">
        <f t="shared" si="24"/>
        <v>438874527</v>
      </c>
      <c r="H92" t="str">
        <f t="shared" si="25"/>
        <v>Tracking</v>
      </c>
      <c r="I92">
        <f t="shared" si="26"/>
        <v>0</v>
      </c>
      <c r="J92">
        <f t="shared" si="27"/>
        <v>69</v>
      </c>
      <c r="K92" s="4">
        <f t="shared" si="16"/>
        <v>3.5000000000000001E-3</v>
      </c>
      <c r="L92">
        <f t="shared" si="17"/>
        <v>0.02</v>
      </c>
      <c r="M92" s="4">
        <f t="shared" si="14"/>
        <v>0.24149999999999999</v>
      </c>
      <c r="N92" s="4">
        <f t="shared" si="15"/>
        <v>1.3800000000000001</v>
      </c>
    </row>
    <row r="93" spans="1:14">
      <c r="A93" t="str">
        <f t="shared" si="18"/>
        <v>alp_ecom</v>
      </c>
      <c r="B93" t="str">
        <f t="shared" si="19"/>
        <v>facebook.com.br</v>
      </c>
      <c r="C93" t="str">
        <f t="shared" si="20"/>
        <v>alp_ecom_conversao_ecom_facebook_social_pagepost_social_rasteiras-you_curte-havaianas_cpc_1200x628_111113</v>
      </c>
      <c r="D93" t="str">
        <f t="shared" si="21"/>
        <v>242206023</v>
      </c>
      <c r="E93" t="str">
        <f t="shared" si="22"/>
        <v>Dynamic Click</v>
      </c>
      <c r="F93" t="str">
        <f t="shared" si="23"/>
        <v>alp_ecom_conversao_ecom_facebook_social_pagepost_social_rasteiras-you_curte-havaianas_cpc_1200x628_111113</v>
      </c>
      <c r="G93" t="str">
        <f t="shared" si="24"/>
        <v>438842639</v>
      </c>
      <c r="H93" t="str">
        <f t="shared" si="25"/>
        <v>Tracking</v>
      </c>
      <c r="I93">
        <f t="shared" si="26"/>
        <v>0</v>
      </c>
      <c r="J93">
        <f t="shared" si="27"/>
        <v>3655</v>
      </c>
      <c r="K93" s="4">
        <f t="shared" si="16"/>
        <v>3.5000000000000001E-3</v>
      </c>
      <c r="L93">
        <f t="shared" si="17"/>
        <v>0.02</v>
      </c>
      <c r="M93" s="4">
        <f t="shared" si="14"/>
        <v>12.7925</v>
      </c>
      <c r="N93" s="4">
        <f t="shared" si="15"/>
        <v>73.100000000000009</v>
      </c>
    </row>
    <row r="94" spans="1:14">
      <c r="A94" t="str">
        <f t="shared" si="18"/>
        <v>alp_ecom</v>
      </c>
      <c r="B94" t="str">
        <f t="shared" si="19"/>
        <v>facebook.com.br</v>
      </c>
      <c r="C94" t="str">
        <f t="shared" si="20"/>
        <v>alp_ecom_conversao_ecom_facebook_social_pagepost_social_rasteiras-you_look-1-desk_cpc_1200x628_111113</v>
      </c>
      <c r="D94" t="str">
        <f t="shared" si="21"/>
        <v>242206014</v>
      </c>
      <c r="E94" t="str">
        <f t="shared" si="22"/>
        <v>Dynamic Click</v>
      </c>
      <c r="F94" t="str">
        <f t="shared" si="23"/>
        <v>alp_ecom_conversao_ecom_facebook_social_pagepost_social_rasteiras-you_look-1-desk_cpc_1200x628_111113</v>
      </c>
      <c r="G94" t="str">
        <f t="shared" si="24"/>
        <v>438842630</v>
      </c>
      <c r="H94" t="str">
        <f t="shared" si="25"/>
        <v>Tracking</v>
      </c>
      <c r="I94">
        <f t="shared" si="26"/>
        <v>0</v>
      </c>
      <c r="J94">
        <f t="shared" si="27"/>
        <v>44</v>
      </c>
      <c r="K94" s="4">
        <f t="shared" si="16"/>
        <v>3.5000000000000001E-3</v>
      </c>
      <c r="L94">
        <f t="shared" si="17"/>
        <v>0.02</v>
      </c>
      <c r="M94" s="4">
        <f t="shared" si="14"/>
        <v>0.154</v>
      </c>
      <c r="N94" s="4">
        <f t="shared" si="15"/>
        <v>0.88</v>
      </c>
    </row>
    <row r="95" spans="1:14">
      <c r="A95" t="str">
        <f t="shared" si="18"/>
        <v>alp_ecom</v>
      </c>
      <c r="B95" t="str">
        <f t="shared" si="19"/>
        <v>facebook.com.br</v>
      </c>
      <c r="C95" t="str">
        <f t="shared" si="20"/>
        <v>alp_ecom_conversao_ecom_facebook_social_pagepost_social_rasteiras-you_look-1-mobile_cpc_1200x628_111113</v>
      </c>
      <c r="D95" t="str">
        <f t="shared" si="21"/>
        <v>242206017</v>
      </c>
      <c r="E95" t="str">
        <f t="shared" si="22"/>
        <v>Dynamic Click</v>
      </c>
      <c r="F95" t="str">
        <f t="shared" si="23"/>
        <v>alp_ecom_conversao_ecom_facebook_social_pagepost_social_rasteiras-you_look-1-mobile_cpc_1200x628_111113</v>
      </c>
      <c r="G95" t="str">
        <f t="shared" si="24"/>
        <v>438842633</v>
      </c>
      <c r="H95" t="str">
        <f t="shared" si="25"/>
        <v>Tracking</v>
      </c>
      <c r="I95">
        <f t="shared" si="26"/>
        <v>0</v>
      </c>
      <c r="J95">
        <f t="shared" si="27"/>
        <v>208</v>
      </c>
      <c r="K95" s="4">
        <f t="shared" si="16"/>
        <v>3.5000000000000001E-3</v>
      </c>
      <c r="L95">
        <f t="shared" si="17"/>
        <v>0.02</v>
      </c>
      <c r="M95" s="4">
        <f t="shared" si="14"/>
        <v>0.72799999999999998</v>
      </c>
      <c r="N95" s="4">
        <f t="shared" si="15"/>
        <v>4.16</v>
      </c>
    </row>
    <row r="96" spans="1:14">
      <c r="A96" t="str">
        <f t="shared" si="18"/>
        <v>alp_ecom</v>
      </c>
      <c r="B96" t="str">
        <f t="shared" si="19"/>
        <v>facebook.com.br</v>
      </c>
      <c r="C96" t="str">
        <f t="shared" si="20"/>
        <v>alp_ecom_conversao_ecom_facebook_social_pagepost_social_rasteiras-you_look-2-desk_cpc_1200x628_111113</v>
      </c>
      <c r="D96" t="str">
        <f t="shared" si="21"/>
        <v>242206011</v>
      </c>
      <c r="E96" t="str">
        <f t="shared" si="22"/>
        <v>Dynamic Click</v>
      </c>
      <c r="F96" t="str">
        <f t="shared" si="23"/>
        <v>alp_ecom_conversao_ecom_facebook_social_pagepost_social_rasteiras-you_look-2-desk_cpc_1200x628_111113</v>
      </c>
      <c r="G96" t="str">
        <f t="shared" si="24"/>
        <v>438842627</v>
      </c>
      <c r="H96" t="str">
        <f t="shared" si="25"/>
        <v>Tracking</v>
      </c>
      <c r="I96">
        <f t="shared" si="26"/>
        <v>0</v>
      </c>
      <c r="J96">
        <f t="shared" si="27"/>
        <v>28</v>
      </c>
      <c r="K96" s="4">
        <f t="shared" si="16"/>
        <v>3.5000000000000001E-3</v>
      </c>
      <c r="L96">
        <f t="shared" si="17"/>
        <v>0.02</v>
      </c>
      <c r="M96" s="4">
        <f t="shared" si="14"/>
        <v>9.8000000000000004E-2</v>
      </c>
      <c r="N96" s="4">
        <f t="shared" si="15"/>
        <v>0.56000000000000005</v>
      </c>
    </row>
    <row r="97" spans="1:14">
      <c r="A97" t="str">
        <f t="shared" si="18"/>
        <v>alp_ecom</v>
      </c>
      <c r="B97" t="str">
        <f t="shared" si="19"/>
        <v>facebook.com.br</v>
      </c>
      <c r="C97" t="str">
        <f t="shared" si="20"/>
        <v>alp_ecom_conversao_ecom_facebook_social_pagepost_social_rasteiras-you_look-2-mobile_cpc_1200x628_111113</v>
      </c>
      <c r="D97" t="str">
        <f t="shared" si="21"/>
        <v>242206005</v>
      </c>
      <c r="E97" t="str">
        <f t="shared" si="22"/>
        <v>Dynamic Click</v>
      </c>
      <c r="F97" t="str">
        <f t="shared" si="23"/>
        <v>alp_ecom_conversao_ecom_facebook_social_pagepost_social_rasteiras-you_look-2-mobile_cpc_1200x628_111113</v>
      </c>
      <c r="G97" t="str">
        <f t="shared" si="24"/>
        <v>438842621</v>
      </c>
      <c r="H97" t="str">
        <f t="shared" si="25"/>
        <v>Tracking</v>
      </c>
      <c r="I97">
        <f t="shared" si="26"/>
        <v>0</v>
      </c>
      <c r="J97">
        <f t="shared" si="27"/>
        <v>70</v>
      </c>
      <c r="K97" s="4">
        <f t="shared" si="16"/>
        <v>3.5000000000000001E-3</v>
      </c>
      <c r="L97">
        <f t="shared" si="17"/>
        <v>0.02</v>
      </c>
      <c r="M97" s="4">
        <f t="shared" si="14"/>
        <v>0.245</v>
      </c>
      <c r="N97" s="4">
        <f t="shared" si="15"/>
        <v>1.4000000000000001</v>
      </c>
    </row>
    <row r="98" spans="1:14">
      <c r="A98" t="str">
        <f t="shared" si="18"/>
        <v>alp_ecom</v>
      </c>
      <c r="B98" t="str">
        <f t="shared" si="19"/>
        <v>facebook.com.br</v>
      </c>
      <c r="C98" t="str">
        <f t="shared" si="20"/>
        <v>alp_ecom_conversao_ecom_facebook_social_pagepost_social_rasteiras-you_rmk-30-mobile_cpc_1200x628_111113</v>
      </c>
      <c r="D98" t="str">
        <f t="shared" si="21"/>
        <v>242206008</v>
      </c>
      <c r="E98" t="str">
        <f t="shared" si="22"/>
        <v>Dynamic Click</v>
      </c>
      <c r="F98" t="str">
        <f t="shared" si="23"/>
        <v>alp_ecom_conversao_ecom_facebook_social_pagepost_social_rasteiras-you_rmk-30-mobile_cpc_1200x628_111113</v>
      </c>
      <c r="G98" t="str">
        <f t="shared" si="24"/>
        <v>438842624</v>
      </c>
      <c r="H98" t="str">
        <f t="shared" si="25"/>
        <v>Tracking</v>
      </c>
      <c r="I98">
        <f t="shared" si="26"/>
        <v>0</v>
      </c>
      <c r="J98">
        <f t="shared" si="27"/>
        <v>1215</v>
      </c>
      <c r="K98" s="4">
        <f t="shared" si="16"/>
        <v>3.5000000000000001E-3</v>
      </c>
      <c r="L98">
        <f t="shared" si="17"/>
        <v>0.02</v>
      </c>
      <c r="M98" s="4">
        <f t="shared" si="14"/>
        <v>4.2525000000000004</v>
      </c>
      <c r="N98" s="4">
        <f t="shared" si="15"/>
        <v>24.3</v>
      </c>
    </row>
    <row r="99" spans="1:14">
      <c r="A99" t="str">
        <f t="shared" si="18"/>
        <v>alp_ecom</v>
      </c>
      <c r="B99" t="str">
        <f t="shared" si="19"/>
        <v>facebook.com.br</v>
      </c>
      <c r="C99" t="str">
        <f t="shared" si="20"/>
        <v>alp_ecom_conversao_ecom_facebook_social_pagepost_social_rasteiras-you_rmk-30_cpc_1200x628_111113</v>
      </c>
      <c r="D99" t="str">
        <f t="shared" si="21"/>
        <v>242206020</v>
      </c>
      <c r="E99" t="str">
        <f t="shared" si="22"/>
        <v>Dynamic Click</v>
      </c>
      <c r="F99" t="str">
        <f t="shared" si="23"/>
        <v>alp_ecom_conversao_ecom_facebook_social_pagepost_social_rasteiras-you_rmk-30_cpc_1200x628_111113</v>
      </c>
      <c r="G99" t="str">
        <f t="shared" si="24"/>
        <v>438842636</v>
      </c>
      <c r="H99" t="str">
        <f t="shared" si="25"/>
        <v>Tracking</v>
      </c>
      <c r="I99">
        <f t="shared" si="26"/>
        <v>0</v>
      </c>
      <c r="J99">
        <f t="shared" si="27"/>
        <v>95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0.33250000000000002</v>
      </c>
      <c r="N99" s="4">
        <f t="shared" ref="N99:N162" si="29">IF(E99="Dynamic Click",J99*L99,L99*$I99/1000)</f>
        <v>1.9000000000000001</v>
      </c>
    </row>
    <row r="100" spans="1:14">
      <c r="A100" t="str">
        <f t="shared" si="18"/>
        <v>alp_ecom</v>
      </c>
      <c r="B100" t="str">
        <f t="shared" si="19"/>
        <v>facebook.com.br</v>
      </c>
      <c r="C100" t="str">
        <f t="shared" si="20"/>
        <v>alp_ecom_conversao_ecom_facebook_social_pagepost_social_simpsons_curte-havaianas_cpc_1200x628_111116</v>
      </c>
      <c r="D100" t="str">
        <f t="shared" si="21"/>
        <v>242342664</v>
      </c>
      <c r="E100" t="str">
        <f t="shared" si="22"/>
        <v>Dynamic Click</v>
      </c>
      <c r="F100" t="str">
        <f t="shared" si="23"/>
        <v>alp_ecom_conversao_ecom_facebook_social_pagepost_social_simpsons_curte-havaianas_cpc_1200x628_111116</v>
      </c>
      <c r="G100" t="str">
        <f t="shared" si="24"/>
        <v>438874500</v>
      </c>
      <c r="H100" t="str">
        <f t="shared" si="25"/>
        <v>Tracking</v>
      </c>
      <c r="I100">
        <f t="shared" si="26"/>
        <v>0</v>
      </c>
      <c r="J100">
        <f t="shared" si="27"/>
        <v>2896</v>
      </c>
      <c r="K100" s="4">
        <f t="shared" si="16"/>
        <v>3.5000000000000001E-3</v>
      </c>
      <c r="L100">
        <f t="shared" si="17"/>
        <v>0.02</v>
      </c>
      <c r="M100" s="4">
        <f t="shared" si="28"/>
        <v>10.136000000000001</v>
      </c>
      <c r="N100" s="4">
        <f t="shared" si="29"/>
        <v>57.92</v>
      </c>
    </row>
    <row r="101" spans="1:14">
      <c r="A101" t="str">
        <f t="shared" si="18"/>
        <v>alp_ecom</v>
      </c>
      <c r="B101" t="str">
        <f t="shared" si="19"/>
        <v>facebook.com.br</v>
      </c>
      <c r="C101" t="str">
        <f t="shared" si="20"/>
        <v>alp_ecom_conversao_ecom_facebook_social_pagepost_social_simpsons_look-1-desk_cpc_1200x628_111116</v>
      </c>
      <c r="D101" t="str">
        <f t="shared" si="21"/>
        <v>242342661</v>
      </c>
      <c r="E101" t="str">
        <f t="shared" si="22"/>
        <v>Dynamic Click</v>
      </c>
      <c r="F101" t="str">
        <f t="shared" si="23"/>
        <v>alp_ecom_conversao_ecom_facebook_social_pagepost_social_simpsons_look-1-desk_cpc_1200x628_111116</v>
      </c>
      <c r="G101" t="str">
        <f t="shared" si="24"/>
        <v>438874497</v>
      </c>
      <c r="H101" t="str">
        <f t="shared" si="25"/>
        <v>Tracking</v>
      </c>
      <c r="I101">
        <f t="shared" si="26"/>
        <v>0</v>
      </c>
      <c r="J101">
        <f t="shared" si="27"/>
        <v>5</v>
      </c>
      <c r="K101" s="4">
        <f t="shared" si="16"/>
        <v>3.5000000000000001E-3</v>
      </c>
      <c r="L101">
        <f t="shared" si="17"/>
        <v>0.02</v>
      </c>
      <c r="M101" s="4">
        <f t="shared" si="28"/>
        <v>1.7500000000000002E-2</v>
      </c>
      <c r="N101" s="4">
        <f t="shared" si="29"/>
        <v>0.1</v>
      </c>
    </row>
    <row r="102" spans="1:14">
      <c r="A102" t="str">
        <f t="shared" si="18"/>
        <v>alp_ecom</v>
      </c>
      <c r="B102" t="str">
        <f t="shared" si="19"/>
        <v>facebook.com.br</v>
      </c>
      <c r="C102" t="str">
        <f t="shared" si="20"/>
        <v>alp_ecom_conversao_ecom_facebook_social_pagepost_social_simpsons_look-1-mobile_cpc_1200x628_111116</v>
      </c>
      <c r="D102" t="str">
        <f t="shared" si="21"/>
        <v>242342658</v>
      </c>
      <c r="E102" t="str">
        <f t="shared" si="22"/>
        <v>Dynamic Click</v>
      </c>
      <c r="F102" t="str">
        <f t="shared" si="23"/>
        <v>alp_ecom_conversao_ecom_facebook_social_pagepost_social_simpsons_look-1-mobile_cpc_1200x628_111116</v>
      </c>
      <c r="G102" t="str">
        <f t="shared" si="24"/>
        <v>438874494</v>
      </c>
      <c r="H102" t="str">
        <f t="shared" si="25"/>
        <v>Tracking</v>
      </c>
      <c r="I102">
        <f t="shared" si="26"/>
        <v>0</v>
      </c>
      <c r="J102">
        <f t="shared" si="27"/>
        <v>26</v>
      </c>
      <c r="K102" s="4">
        <f t="shared" si="16"/>
        <v>3.5000000000000001E-3</v>
      </c>
      <c r="L102">
        <f t="shared" si="17"/>
        <v>0.02</v>
      </c>
      <c r="M102" s="4">
        <f t="shared" si="28"/>
        <v>9.0999999999999998E-2</v>
      </c>
      <c r="N102" s="4">
        <f t="shared" si="29"/>
        <v>0.52</v>
      </c>
    </row>
    <row r="103" spans="1:14">
      <c r="A103" t="str">
        <f t="shared" si="18"/>
        <v>alp_ecom</v>
      </c>
      <c r="B103" t="str">
        <f t="shared" si="19"/>
        <v>facebook.com.br</v>
      </c>
      <c r="C103" t="str">
        <f t="shared" si="20"/>
        <v>alp_ecom_conversao_ecom_facebook_social_pagepost_social_simpsons_look-2-desk_cpc_1200x628_111116</v>
      </c>
      <c r="D103" t="str">
        <f t="shared" si="21"/>
        <v>242342655</v>
      </c>
      <c r="E103" t="str">
        <f t="shared" si="22"/>
        <v>Dynamic Click</v>
      </c>
      <c r="F103" t="str">
        <f t="shared" si="23"/>
        <v>alp_ecom_conversao_ecom_facebook_social_pagepost_social_simpsons_look-2-desk_cpc_1200x628_111116</v>
      </c>
      <c r="G103" t="str">
        <f t="shared" si="24"/>
        <v>438874491</v>
      </c>
      <c r="H103" t="str">
        <f t="shared" si="25"/>
        <v>Tracking</v>
      </c>
      <c r="I103">
        <f t="shared" si="26"/>
        <v>0</v>
      </c>
      <c r="J103">
        <f t="shared" si="27"/>
        <v>3</v>
      </c>
      <c r="K103" s="4">
        <f t="shared" si="16"/>
        <v>3.5000000000000001E-3</v>
      </c>
      <c r="L103">
        <f t="shared" si="17"/>
        <v>0.02</v>
      </c>
      <c r="M103" s="4">
        <f t="shared" si="28"/>
        <v>1.0500000000000001E-2</v>
      </c>
      <c r="N103" s="4">
        <f t="shared" si="29"/>
        <v>0.06</v>
      </c>
    </row>
    <row r="104" spans="1:14">
      <c r="A104" t="str">
        <f t="shared" si="18"/>
        <v>alp_ecom</v>
      </c>
      <c r="B104" t="str">
        <f t="shared" si="19"/>
        <v>facebook.com.br</v>
      </c>
      <c r="C104" t="str">
        <f t="shared" si="20"/>
        <v>alp_ecom_conversao_ecom_facebook_social_pagepost_social_simpsons_look-2-mobile_cpc_1200x628_111116</v>
      </c>
      <c r="D104" t="str">
        <f t="shared" si="21"/>
        <v>242342652</v>
      </c>
      <c r="E104" t="str">
        <f t="shared" si="22"/>
        <v>Dynamic Click</v>
      </c>
      <c r="F104" t="str">
        <f t="shared" si="23"/>
        <v>alp_ecom_conversao_ecom_facebook_social_pagepost_social_simpsons_look-2-mobile_cpc_1200x628_111116</v>
      </c>
      <c r="G104" t="str">
        <f t="shared" si="24"/>
        <v>438874488</v>
      </c>
      <c r="H104" t="str">
        <f t="shared" si="25"/>
        <v>Tracking</v>
      </c>
      <c r="I104">
        <f t="shared" si="26"/>
        <v>0</v>
      </c>
      <c r="J104">
        <f t="shared" si="27"/>
        <v>13</v>
      </c>
      <c r="K104" s="4">
        <f t="shared" si="16"/>
        <v>3.5000000000000001E-3</v>
      </c>
      <c r="L104">
        <f t="shared" si="17"/>
        <v>0.02</v>
      </c>
      <c r="M104" s="4">
        <f t="shared" si="28"/>
        <v>4.5499999999999999E-2</v>
      </c>
      <c r="N104" s="4">
        <f t="shared" si="29"/>
        <v>0.26</v>
      </c>
    </row>
    <row r="105" spans="1:14">
      <c r="A105" t="str">
        <f t="shared" si="18"/>
        <v>alp_ecom</v>
      </c>
      <c r="B105" t="str">
        <f t="shared" si="19"/>
        <v>facebook.com.br</v>
      </c>
      <c r="C105" t="str">
        <f t="shared" si="20"/>
        <v>alp_ecom_conversao_ecom_facebook_social_pagepost_social_simpsons_rmk-30-mobile_cpc_1200x628_111116</v>
      </c>
      <c r="D105" t="str">
        <f t="shared" si="21"/>
        <v>242342646</v>
      </c>
      <c r="E105" t="str">
        <f t="shared" si="22"/>
        <v>Dynamic Click</v>
      </c>
      <c r="F105" t="str">
        <f t="shared" si="23"/>
        <v>alp_ecom_conversao_ecom_facebook_social_pagepost_social_simpsons_rmk-30-mobile_cpc_1200x628_111116</v>
      </c>
      <c r="G105" t="str">
        <f t="shared" si="24"/>
        <v>438874482</v>
      </c>
      <c r="H105" t="str">
        <f t="shared" si="25"/>
        <v>Tracking</v>
      </c>
      <c r="I105">
        <f t="shared" si="26"/>
        <v>0</v>
      </c>
      <c r="J105">
        <f t="shared" si="27"/>
        <v>164</v>
      </c>
      <c r="K105" s="4">
        <f t="shared" si="16"/>
        <v>3.5000000000000001E-3</v>
      </c>
      <c r="L105">
        <f t="shared" si="17"/>
        <v>0.02</v>
      </c>
      <c r="M105" s="4">
        <f t="shared" si="28"/>
        <v>0.57400000000000007</v>
      </c>
      <c r="N105" s="4">
        <f t="shared" si="29"/>
        <v>3.2800000000000002</v>
      </c>
    </row>
    <row r="106" spans="1:14">
      <c r="A106" t="str">
        <f t="shared" si="18"/>
        <v>alp_ecom</v>
      </c>
      <c r="B106" t="str">
        <f t="shared" si="19"/>
        <v>facebook.com.br</v>
      </c>
      <c r="C106" t="str">
        <f t="shared" si="20"/>
        <v>alp_ecom_conversao_ecom_facebook_social_pagepost_social_simpsons_rmk-30_cpc_1200x628_111116</v>
      </c>
      <c r="D106" t="str">
        <f t="shared" si="21"/>
        <v>242342649</v>
      </c>
      <c r="E106" t="str">
        <f t="shared" si="22"/>
        <v>Dynamic Click</v>
      </c>
      <c r="F106" t="str">
        <f t="shared" si="23"/>
        <v>alp_ecom_conversao_ecom_facebook_social_pagepost_social_simpsons_rmk-30_cpc_1200x628_111116</v>
      </c>
      <c r="G106" t="str">
        <f t="shared" si="24"/>
        <v>438874485</v>
      </c>
      <c r="H106" t="str">
        <f t="shared" si="25"/>
        <v>Tracking</v>
      </c>
      <c r="I106">
        <f t="shared" si="26"/>
        <v>0</v>
      </c>
      <c r="J106">
        <f t="shared" si="27"/>
        <v>4</v>
      </c>
      <c r="K106" s="4">
        <f t="shared" si="16"/>
        <v>3.5000000000000001E-3</v>
      </c>
      <c r="L106">
        <f t="shared" si="17"/>
        <v>0.02</v>
      </c>
      <c r="M106" s="4">
        <f t="shared" si="28"/>
        <v>1.4E-2</v>
      </c>
      <c r="N106" s="4">
        <f t="shared" si="29"/>
        <v>0.08</v>
      </c>
    </row>
    <row r="107" spans="1:14">
      <c r="A107" t="str">
        <f t="shared" si="18"/>
        <v>alp_ecom</v>
      </c>
      <c r="B107" t="str">
        <f t="shared" si="19"/>
        <v>facebook.com.br</v>
      </c>
      <c r="C107" t="str">
        <f t="shared" si="20"/>
        <v>alp_ecom_conversao_ecom_facebook_social_pagepost_social_slim-pets_look-10_cpc_1200x628_111123</v>
      </c>
      <c r="D107" t="str">
        <f t="shared" si="21"/>
        <v>242860012</v>
      </c>
      <c r="E107" t="str">
        <f t="shared" si="22"/>
        <v>Dynamic Click</v>
      </c>
      <c r="F107" t="str">
        <f t="shared" si="23"/>
        <v>alp_ecom_conversao_ecom_facebook_social_pagepost_social_slim-pets_look-10_cpc_1200x628_111123</v>
      </c>
      <c r="G107" t="str">
        <f t="shared" si="24"/>
        <v>439468623</v>
      </c>
      <c r="H107" t="str">
        <f t="shared" si="25"/>
        <v>Tracking</v>
      </c>
      <c r="I107">
        <f t="shared" si="26"/>
        <v>0</v>
      </c>
      <c r="J107">
        <f t="shared" si="27"/>
        <v>1182</v>
      </c>
      <c r="K107" s="4">
        <f t="shared" si="16"/>
        <v>3.5000000000000001E-3</v>
      </c>
      <c r="L107">
        <f t="shared" si="17"/>
        <v>0.02</v>
      </c>
      <c r="M107" s="4">
        <f t="shared" si="28"/>
        <v>4.1370000000000005</v>
      </c>
      <c r="N107" s="4">
        <f t="shared" si="29"/>
        <v>23.64</v>
      </c>
    </row>
    <row r="108" spans="1:14">
      <c r="A108" t="str">
        <f t="shared" si="18"/>
        <v>alp_ecom</v>
      </c>
      <c r="B108" t="str">
        <f t="shared" si="19"/>
        <v>facebook.com.br</v>
      </c>
      <c r="C108" t="str">
        <f t="shared" si="20"/>
        <v>alp_ecom_conversao_ecom_facebook_social_pagepost_social_slim-pets_look-10_cpc_1200x628_111124</v>
      </c>
      <c r="D108" t="str">
        <f t="shared" si="21"/>
        <v>243056646</v>
      </c>
      <c r="E108" t="str">
        <f t="shared" si="22"/>
        <v>Dynamic Click</v>
      </c>
      <c r="F108" t="str">
        <f t="shared" si="23"/>
        <v>alp_ecom_conversao_ecom_facebook_social_pagepost_social_slim-pets_look-10_cpc_1200x628_111124</v>
      </c>
      <c r="G108" t="str">
        <f t="shared" si="24"/>
        <v>439566910</v>
      </c>
      <c r="H108" t="str">
        <f t="shared" si="25"/>
        <v>Tracking</v>
      </c>
      <c r="I108">
        <f t="shared" si="26"/>
        <v>0</v>
      </c>
      <c r="J108">
        <f t="shared" si="27"/>
        <v>1256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4.3959999999999999</v>
      </c>
      <c r="N108" s="4">
        <f t="shared" si="29"/>
        <v>25.12</v>
      </c>
    </row>
    <row r="109" spans="1:14">
      <c r="A109" t="str">
        <f t="shared" si="18"/>
        <v>alp_ecom</v>
      </c>
      <c r="B109" t="str">
        <f t="shared" si="19"/>
        <v>facebook.com.br</v>
      </c>
      <c r="C109" t="str">
        <f t="shared" si="20"/>
        <v>alp_ecom_conversao_ecom_facebook_social_pagepost_social_slim-pets_look-10_cpc_1200x628_111125</v>
      </c>
      <c r="D109" t="str">
        <f t="shared" si="21"/>
        <v>242722832</v>
      </c>
      <c r="E109" t="str">
        <f t="shared" si="22"/>
        <v>Dynamic Click</v>
      </c>
      <c r="F109" t="str">
        <f t="shared" si="23"/>
        <v>alp_ecom_conversao_ecom_facebook_social_pagepost_social_slim-pets_look-10_cpc_1200x628_111125</v>
      </c>
      <c r="G109" t="str">
        <f t="shared" si="24"/>
        <v>439563961</v>
      </c>
      <c r="H109" t="str">
        <f t="shared" si="25"/>
        <v>Tracking</v>
      </c>
      <c r="I109">
        <f t="shared" si="26"/>
        <v>0</v>
      </c>
      <c r="J109">
        <f t="shared" si="27"/>
        <v>1127</v>
      </c>
      <c r="K109" s="4">
        <f t="shared" si="30"/>
        <v>3.5000000000000001E-3</v>
      </c>
      <c r="L109">
        <f t="shared" si="31"/>
        <v>0.02</v>
      </c>
      <c r="M109" s="4">
        <f t="shared" si="28"/>
        <v>3.9445000000000001</v>
      </c>
      <c r="N109" s="4">
        <f t="shared" si="29"/>
        <v>22.54</v>
      </c>
    </row>
    <row r="110" spans="1:14">
      <c r="A110" t="str">
        <f t="shared" si="18"/>
        <v>alp_ecom</v>
      </c>
      <c r="B110" t="str">
        <f t="shared" si="19"/>
        <v>facebook.com.br</v>
      </c>
      <c r="C110" t="str">
        <f t="shared" si="20"/>
        <v>alp_ecom_conversao_ecom_facebook_social_pagepost_social_slim-pets_look-10_cpc_1200x628_111126</v>
      </c>
      <c r="D110" t="str">
        <f t="shared" si="21"/>
        <v>242723141</v>
      </c>
      <c r="E110" t="str">
        <f t="shared" si="22"/>
        <v>Dynamic Click</v>
      </c>
      <c r="F110" t="str">
        <f t="shared" si="23"/>
        <v>alp_ecom_conversao_ecom_facebook_social_pagepost_social_slim-pets_look-10_cpc_1200x628_111126</v>
      </c>
      <c r="G110" t="str">
        <f t="shared" si="24"/>
        <v>439462806</v>
      </c>
      <c r="H110" t="str">
        <f t="shared" si="25"/>
        <v>Tracking</v>
      </c>
      <c r="I110">
        <f t="shared" si="26"/>
        <v>0</v>
      </c>
      <c r="J110">
        <f t="shared" si="27"/>
        <v>1101</v>
      </c>
      <c r="K110" s="4">
        <f t="shared" si="30"/>
        <v>3.5000000000000001E-3</v>
      </c>
      <c r="L110">
        <f t="shared" si="31"/>
        <v>0.02</v>
      </c>
      <c r="M110" s="4">
        <f t="shared" si="28"/>
        <v>3.8534999999999999</v>
      </c>
      <c r="N110" s="4">
        <f t="shared" si="29"/>
        <v>22.02</v>
      </c>
    </row>
    <row r="111" spans="1:14">
      <c r="A111" t="str">
        <f t="shared" si="18"/>
        <v>alp_ecom</v>
      </c>
      <c r="B111" t="str">
        <f t="shared" si="19"/>
        <v>facebook.com.br</v>
      </c>
      <c r="C111" t="str">
        <f t="shared" si="20"/>
        <v>alp_ecom_conversao_ecom_facebook_social_stories_social_got_interesse-harry-potter_cpm_de-5s-ate-10s_111135</v>
      </c>
      <c r="D111" t="str">
        <f t="shared" si="21"/>
        <v>243623652</v>
      </c>
      <c r="E111" t="str">
        <f t="shared" si="22"/>
        <v>Dynamic Click</v>
      </c>
      <c r="F111" t="str">
        <f t="shared" si="23"/>
        <v>alp_ecom_conversao_ecom_facebook_social_stories_social_got_interesse-harry-potter_cpm_de-5s-ate-10s_111135</v>
      </c>
      <c r="G111" t="str">
        <f t="shared" si="24"/>
        <v>440024679</v>
      </c>
      <c r="H111" t="str">
        <f t="shared" si="25"/>
        <v>Tracking</v>
      </c>
      <c r="I111">
        <f t="shared" si="26"/>
        <v>0</v>
      </c>
      <c r="J111">
        <f t="shared" si="27"/>
        <v>17</v>
      </c>
      <c r="K111" s="4">
        <f t="shared" si="30"/>
        <v>3.5000000000000001E-3</v>
      </c>
      <c r="L111">
        <f t="shared" si="31"/>
        <v>0.02</v>
      </c>
      <c r="M111" s="4">
        <f t="shared" si="28"/>
        <v>5.9500000000000004E-2</v>
      </c>
      <c r="N111" s="4">
        <f t="shared" si="29"/>
        <v>0.34</v>
      </c>
    </row>
    <row r="112" spans="1:14">
      <c r="A112" t="str">
        <f t="shared" si="18"/>
        <v>alp_ecom</v>
      </c>
      <c r="B112" t="str">
        <f t="shared" si="19"/>
        <v>facebook.com.br</v>
      </c>
      <c r="C112" t="str">
        <f t="shared" si="20"/>
        <v>alp_ecom_conversao_ecom_facebook_social_stories_social_got_interesse-harry-potter_cpm_de-5s-ate-10s_111136</v>
      </c>
      <c r="D112" t="str">
        <f t="shared" si="21"/>
        <v>243623883</v>
      </c>
      <c r="E112" t="str">
        <f t="shared" si="22"/>
        <v>Dynamic Click</v>
      </c>
      <c r="F112" t="str">
        <f t="shared" si="23"/>
        <v>alp_ecom_conversao_ecom_facebook_social_stories_social_got_interesse-harry-potter_cpm_de-5s-ate-10s_111136</v>
      </c>
      <c r="G112" t="str">
        <f t="shared" si="24"/>
        <v>440131555</v>
      </c>
      <c r="H112" t="str">
        <f t="shared" si="25"/>
        <v>Tracking</v>
      </c>
      <c r="I112">
        <f t="shared" si="26"/>
        <v>0</v>
      </c>
      <c r="J112">
        <f t="shared" si="27"/>
        <v>95</v>
      </c>
      <c r="K112" s="4">
        <f t="shared" si="30"/>
        <v>3.5000000000000001E-3</v>
      </c>
      <c r="L112">
        <f t="shared" si="31"/>
        <v>0.02</v>
      </c>
      <c r="M112" s="4">
        <f t="shared" si="28"/>
        <v>0.33250000000000002</v>
      </c>
      <c r="N112" s="4">
        <f t="shared" si="29"/>
        <v>1.9000000000000001</v>
      </c>
    </row>
    <row r="113" spans="1:14">
      <c r="A113" t="str">
        <f t="shared" si="18"/>
        <v>alp_ecom</v>
      </c>
      <c r="B113" t="str">
        <f t="shared" si="19"/>
        <v>facebook.com.br</v>
      </c>
      <c r="C113" t="str">
        <f t="shared" si="20"/>
        <v>alp_ecom_conversao_ecom_facebook_social_stories_social_harry-potter_interesse-harry-potter_cpm_de-5s-ate-10s_111132</v>
      </c>
      <c r="D113" t="str">
        <f t="shared" si="21"/>
        <v>243188173</v>
      </c>
      <c r="E113" t="str">
        <f t="shared" si="22"/>
        <v>Dynamic Click</v>
      </c>
      <c r="F113" t="str">
        <f t="shared" si="23"/>
        <v>alp_ecom_conversao_ecom_facebook_social_stories_social_harry-potter_interesse-harry-potter_cpm_de-5s-ate-10s_111132</v>
      </c>
      <c r="G113" t="str">
        <f t="shared" si="24"/>
        <v>439896365</v>
      </c>
      <c r="H113" t="str">
        <f t="shared" si="25"/>
        <v>Tracking</v>
      </c>
      <c r="I113">
        <f t="shared" si="26"/>
        <v>0</v>
      </c>
      <c r="J113">
        <f t="shared" si="27"/>
        <v>23</v>
      </c>
      <c r="K113" s="4">
        <f t="shared" si="30"/>
        <v>3.5000000000000001E-3</v>
      </c>
      <c r="L113">
        <f t="shared" si="31"/>
        <v>0.02</v>
      </c>
      <c r="M113" s="4">
        <f t="shared" si="28"/>
        <v>8.0500000000000002E-2</v>
      </c>
      <c r="N113" s="4">
        <f t="shared" si="29"/>
        <v>0.46</v>
      </c>
    </row>
    <row r="114" spans="1:14">
      <c r="A114" t="str">
        <f t="shared" si="18"/>
        <v>alp_ecom</v>
      </c>
      <c r="B114" t="str">
        <f t="shared" si="19"/>
        <v>facebook.com.br</v>
      </c>
      <c r="C114" t="str">
        <f t="shared" si="20"/>
        <v>alp_ecom_conversao_ecom_facebook_social_stories_social_harry-potter_interesse-harry-potter_cpm_de-5s-ate-10s_111133</v>
      </c>
      <c r="D114" t="str">
        <f t="shared" si="21"/>
        <v>243380601</v>
      </c>
      <c r="E114" t="str">
        <f t="shared" si="22"/>
        <v>Dynamic Click</v>
      </c>
      <c r="F114" t="str">
        <f t="shared" si="23"/>
        <v>alp_ecom_conversao_ecom_facebook_social_stories_social_harry-potter_interesse-harry-potter_cpm_de-5s-ate-10s_111133</v>
      </c>
      <c r="G114" t="str">
        <f t="shared" si="24"/>
        <v>439800423</v>
      </c>
      <c r="H114" t="str">
        <f t="shared" si="25"/>
        <v>Tracking</v>
      </c>
      <c r="I114">
        <f t="shared" si="26"/>
        <v>0</v>
      </c>
      <c r="J114">
        <f t="shared" si="27"/>
        <v>6031</v>
      </c>
      <c r="K114" s="4">
        <f t="shared" si="30"/>
        <v>3.5000000000000001E-3</v>
      </c>
      <c r="L114">
        <f t="shared" si="31"/>
        <v>0.02</v>
      </c>
      <c r="M114" s="4">
        <f t="shared" si="28"/>
        <v>21.108499999999999</v>
      </c>
      <c r="N114" s="4">
        <f t="shared" si="29"/>
        <v>120.62</v>
      </c>
    </row>
    <row r="115" spans="1:14">
      <c r="A115" t="str">
        <f t="shared" si="18"/>
        <v>alp_ecom</v>
      </c>
      <c r="B115" t="str">
        <f t="shared" si="19"/>
        <v>facebook.com.br</v>
      </c>
      <c r="C115" t="str">
        <f t="shared" si="20"/>
        <v>alp_ecom_conversao_ecom_facebook_social_stories_social_harry-potter_interesse-harry-potter_cpm_de-5s-ate-10s_111134</v>
      </c>
      <c r="D115" t="str">
        <f t="shared" si="21"/>
        <v>243399840</v>
      </c>
      <c r="E115" t="str">
        <f t="shared" si="22"/>
        <v>Dynamic Click</v>
      </c>
      <c r="F115" t="str">
        <f t="shared" si="23"/>
        <v>alp_ecom_conversao_ecom_facebook_social_stories_social_harry-potter_interesse-harry-potter_cpm_de-5s-ate-10s_111134</v>
      </c>
      <c r="G115" t="str">
        <f t="shared" si="24"/>
        <v>439898660</v>
      </c>
      <c r="H115" t="str">
        <f t="shared" si="25"/>
        <v>Tracking</v>
      </c>
      <c r="I115">
        <f t="shared" si="26"/>
        <v>0</v>
      </c>
      <c r="J115">
        <f t="shared" si="27"/>
        <v>2013</v>
      </c>
      <c r="K115" s="4">
        <f t="shared" si="30"/>
        <v>3.5000000000000001E-3</v>
      </c>
      <c r="L115">
        <f t="shared" si="31"/>
        <v>0.02</v>
      </c>
      <c r="M115" s="4">
        <f t="shared" si="28"/>
        <v>7.0455000000000005</v>
      </c>
      <c r="N115" s="4">
        <f t="shared" si="29"/>
        <v>40.26</v>
      </c>
    </row>
    <row r="116" spans="1:14">
      <c r="A116" t="str">
        <f t="shared" si="18"/>
        <v>alp_marca</v>
      </c>
      <c r="B116" t="str">
        <f t="shared" si="19"/>
        <v>Elhombre_Puig</v>
      </c>
      <c r="C116" t="str">
        <f t="shared" si="20"/>
        <v>alp_marca_alcance_masculino_el-hombre_conteudo-veiculo_publieditorial_lifestyle_rotacional_all_cpc_no-size_111118</v>
      </c>
      <c r="D116" t="str">
        <f t="shared" si="21"/>
        <v>241629483</v>
      </c>
      <c r="E116" t="str">
        <f t="shared" si="22"/>
        <v>Dynamic Click</v>
      </c>
      <c r="F116" t="str">
        <f t="shared" si="23"/>
        <v>alp_marca_alcance_masculino_el-hombre_conteudo-veiculo_publieditorial_lifestyle_rotacional_all_cpc_no-size_111118</v>
      </c>
      <c r="G116" t="str">
        <f t="shared" si="24"/>
        <v>438245550</v>
      </c>
      <c r="H116" t="str">
        <f t="shared" si="25"/>
        <v>Tracking</v>
      </c>
      <c r="I116">
        <f t="shared" si="26"/>
        <v>0</v>
      </c>
      <c r="J116">
        <f t="shared" si="27"/>
        <v>46</v>
      </c>
      <c r="K116" s="4">
        <f t="shared" si="30"/>
        <v>3.5000000000000001E-3</v>
      </c>
      <c r="L116">
        <f t="shared" si="31"/>
        <v>0.02</v>
      </c>
      <c r="M116" s="4">
        <f t="shared" si="28"/>
        <v>0.161</v>
      </c>
      <c r="N116" s="4">
        <f t="shared" si="29"/>
        <v>0.92</v>
      </c>
    </row>
    <row r="117" spans="1:14">
      <c r="A117" t="str">
        <f t="shared" si="18"/>
        <v>alp_marca</v>
      </c>
      <c r="B117" t="str">
        <f t="shared" si="19"/>
        <v>facebook.com.br</v>
      </c>
      <c r="C117" t="str">
        <f t="shared" si="20"/>
        <v>alp_marca_conversao_jovem_facebook_social_dark-post_social_got_all_cpm_1080x1080_111120</v>
      </c>
      <c r="D117" t="str">
        <f t="shared" si="21"/>
        <v>242963447</v>
      </c>
      <c r="E117" t="str">
        <f t="shared" si="22"/>
        <v>Dynamic Click</v>
      </c>
      <c r="F117" t="str">
        <f t="shared" si="23"/>
        <v>alp_marca_conversao_jovem_facebook_social_dark-post_social_got_all_cpm_1080x1080_111120</v>
      </c>
      <c r="G117" t="str">
        <f t="shared" si="24"/>
        <v>439773337</v>
      </c>
      <c r="H117" t="str">
        <f t="shared" si="25"/>
        <v>Tracking</v>
      </c>
      <c r="I117">
        <f t="shared" si="26"/>
        <v>483726</v>
      </c>
      <c r="J117">
        <f t="shared" si="27"/>
        <v>1398</v>
      </c>
      <c r="K117" s="4">
        <f t="shared" si="30"/>
        <v>3.5000000000000001E-3</v>
      </c>
      <c r="L117">
        <f t="shared" si="31"/>
        <v>0.02</v>
      </c>
      <c r="M117" s="4">
        <f t="shared" si="28"/>
        <v>4.8929999999999998</v>
      </c>
      <c r="N117" s="4">
        <f t="shared" si="29"/>
        <v>27.96</v>
      </c>
    </row>
    <row r="118" spans="1:14">
      <c r="A118" t="str">
        <f t="shared" si="18"/>
        <v>alp_marca</v>
      </c>
      <c r="B118" t="str">
        <f t="shared" si="19"/>
        <v>facebook.com.br</v>
      </c>
      <c r="C118" t="str">
        <f t="shared" si="20"/>
        <v>alp_marca_conversao_jovem_facebook_social_dark-post_social_got_all_cpm_1080x1080_111121</v>
      </c>
      <c r="D118" t="str">
        <f t="shared" si="21"/>
        <v>243290121</v>
      </c>
      <c r="E118" t="str">
        <f t="shared" si="22"/>
        <v>Dynamic Click</v>
      </c>
      <c r="F118" t="str">
        <f t="shared" si="23"/>
        <v>alp_marca_conversao_jovem_facebook_social_dark-post_social_got_all_cpm_1080x1080_111121</v>
      </c>
      <c r="G118" t="str">
        <f t="shared" si="24"/>
        <v>439773376</v>
      </c>
      <c r="H118" t="str">
        <f t="shared" si="25"/>
        <v>Tracking</v>
      </c>
      <c r="I118">
        <f t="shared" si="26"/>
        <v>5436857</v>
      </c>
      <c r="J118">
        <f t="shared" si="27"/>
        <v>32921</v>
      </c>
      <c r="K118" s="4">
        <f t="shared" si="30"/>
        <v>3.5000000000000001E-3</v>
      </c>
      <c r="L118">
        <f t="shared" si="31"/>
        <v>0.02</v>
      </c>
      <c r="M118" s="4">
        <f t="shared" si="28"/>
        <v>115.2235</v>
      </c>
      <c r="N118" s="4">
        <f t="shared" si="29"/>
        <v>658.42</v>
      </c>
    </row>
    <row r="119" spans="1:14">
      <c r="A119" t="str">
        <f t="shared" si="18"/>
        <v>alp_marca</v>
      </c>
      <c r="B119" t="str">
        <f t="shared" si="19"/>
        <v>facebook.com.br</v>
      </c>
      <c r="C119" t="str">
        <f t="shared" si="20"/>
        <v>alp_marca_conversao_jovem_facebook_social_dark-post_social_got_all_cpm_1080x1080_111122</v>
      </c>
      <c r="D119" t="str">
        <f t="shared" si="21"/>
        <v>243290136</v>
      </c>
      <c r="E119" t="str">
        <f t="shared" si="22"/>
        <v>Dynamic Click</v>
      </c>
      <c r="F119" t="str">
        <f t="shared" si="23"/>
        <v>alp_marca_conversao_jovem_facebook_social_dark-post_social_got_all_cpm_1080x1080_111122</v>
      </c>
      <c r="G119" t="str">
        <f t="shared" si="24"/>
        <v>439764581</v>
      </c>
      <c r="H119" t="str">
        <f t="shared" si="25"/>
        <v>Tracking</v>
      </c>
      <c r="I119">
        <f t="shared" si="26"/>
        <v>0</v>
      </c>
      <c r="J119">
        <f t="shared" si="27"/>
        <v>1</v>
      </c>
      <c r="K119" s="4">
        <f t="shared" si="30"/>
        <v>3.5000000000000001E-3</v>
      </c>
      <c r="L119">
        <f t="shared" si="31"/>
        <v>0.02</v>
      </c>
      <c r="M119" s="4">
        <f t="shared" si="28"/>
        <v>3.5000000000000001E-3</v>
      </c>
      <c r="N119" s="4">
        <f t="shared" si="29"/>
        <v>0.02</v>
      </c>
    </row>
    <row r="120" spans="1:14">
      <c r="A120" t="str">
        <f t="shared" si="18"/>
        <v>alp_marca</v>
      </c>
      <c r="B120" t="str">
        <f t="shared" si="19"/>
        <v>facebook.com.br</v>
      </c>
      <c r="C120" t="str">
        <f t="shared" si="20"/>
        <v>alp_marca_conversao_jovem_facebook_social_dark-post_social_got_all_cpm_1080x1080_111123</v>
      </c>
      <c r="D120" t="str">
        <f t="shared" si="21"/>
        <v>243290370</v>
      </c>
      <c r="E120" t="str">
        <f t="shared" si="22"/>
        <v>Dynamic Click</v>
      </c>
      <c r="F120" t="str">
        <f t="shared" si="23"/>
        <v>alp_marca_conversao_jovem_facebook_social_dark-post_social_got_all_cpm_1080x1080_111123</v>
      </c>
      <c r="G120" t="str">
        <f t="shared" si="24"/>
        <v>439674651</v>
      </c>
      <c r="H120" t="str">
        <f t="shared" si="25"/>
        <v>Tracking</v>
      </c>
      <c r="I120">
        <f t="shared" si="26"/>
        <v>0</v>
      </c>
      <c r="J120">
        <f t="shared" si="27"/>
        <v>1</v>
      </c>
      <c r="K120" s="4">
        <f t="shared" si="30"/>
        <v>3.5000000000000001E-3</v>
      </c>
      <c r="L120">
        <f t="shared" si="31"/>
        <v>0.02</v>
      </c>
      <c r="M120" s="4">
        <f t="shared" si="28"/>
        <v>3.5000000000000001E-3</v>
      </c>
      <c r="N120" s="4">
        <f t="shared" si="29"/>
        <v>0.02</v>
      </c>
    </row>
    <row r="121" spans="1:14">
      <c r="A121" t="str">
        <f t="shared" si="18"/>
        <v>alp_marca</v>
      </c>
      <c r="B121" t="str">
        <f t="shared" si="19"/>
        <v>facebook.com.br</v>
      </c>
      <c r="C121" t="str">
        <f t="shared" si="20"/>
        <v>alp_marca_engajamentos_masculino_facebook_social_video-social_social_artistas-pomb_all_cpm_de-5s-ate-10s_111119</v>
      </c>
      <c r="D121" t="str">
        <f t="shared" si="21"/>
        <v>242436410</v>
      </c>
      <c r="E121" t="str">
        <f t="shared" si="22"/>
        <v>Dynamic Click</v>
      </c>
      <c r="F121" t="str">
        <f t="shared" si="23"/>
        <v>alp_marca_engajamentos_masculino_facebook_social_video-social_social_artistas-pomb_all_cpm_de-5s-ate-10s_111119</v>
      </c>
      <c r="G121" t="str">
        <f t="shared" si="24"/>
        <v>439267843</v>
      </c>
      <c r="H121" t="str">
        <f t="shared" si="25"/>
        <v>Tracking</v>
      </c>
      <c r="I121">
        <f t="shared" si="26"/>
        <v>4757116</v>
      </c>
      <c r="J121">
        <f t="shared" si="27"/>
        <v>1</v>
      </c>
      <c r="K121" s="4">
        <f t="shared" si="30"/>
        <v>3.5000000000000001E-3</v>
      </c>
      <c r="L121">
        <f t="shared" si="31"/>
        <v>0.02</v>
      </c>
      <c r="M121" s="4">
        <f t="shared" si="28"/>
        <v>3.5000000000000001E-3</v>
      </c>
      <c r="N121" s="4">
        <f t="shared" si="29"/>
        <v>0.02</v>
      </c>
    </row>
    <row r="122" spans="1:14">
      <c r="A122" t="str">
        <f t="shared" si="18"/>
        <v>alp_marca</v>
      </c>
      <c r="B122" t="str">
        <f t="shared" si="19"/>
        <v>facebook.com.br</v>
      </c>
      <c r="C122" t="str">
        <f t="shared" si="20"/>
        <v>alp_marca_engajamentos_todos_facebook_social_video-social_social_equity_all_cpm_de-5s-ate-10s_111124</v>
      </c>
      <c r="D122" t="str">
        <f t="shared" si="21"/>
        <v>243173420</v>
      </c>
      <c r="E122" t="str">
        <f t="shared" si="22"/>
        <v>Dynamic Click</v>
      </c>
      <c r="F122" t="str">
        <f t="shared" si="23"/>
        <v>alp_marca_engajamentos_todos_facebook_social_video-social_social_equity_all_cpm_de-5s-ate-10s_111124</v>
      </c>
      <c r="G122" t="str">
        <f t="shared" si="24"/>
        <v>439999216</v>
      </c>
      <c r="H122" t="str">
        <f t="shared" si="25"/>
        <v>Tracking</v>
      </c>
      <c r="I122">
        <f t="shared" si="26"/>
        <v>7373817</v>
      </c>
      <c r="J122">
        <f t="shared" si="27"/>
        <v>0</v>
      </c>
      <c r="K122" s="4">
        <f t="shared" si="30"/>
        <v>3.5000000000000001E-3</v>
      </c>
      <c r="L122">
        <f t="shared" si="31"/>
        <v>0.02</v>
      </c>
      <c r="M122" s="4">
        <f t="shared" si="28"/>
        <v>0</v>
      </c>
      <c r="N122" s="4">
        <f t="shared" si="29"/>
        <v>0</v>
      </c>
    </row>
    <row r="123" spans="1:14">
      <c r="A123" t="str">
        <f t="shared" si="18"/>
        <v>alp_marca</v>
      </c>
      <c r="B123" t="str">
        <f t="shared" si="19"/>
        <v>oglobo.com.br</v>
      </c>
      <c r="C123" t="str">
        <f t="shared" si="20"/>
        <v>alp_marca_alcance_feminino_oglobo_display_retangulo_ros_rasteiras-you_all_cpm_300x250_111111</v>
      </c>
      <c r="D123" t="str">
        <f t="shared" si="21"/>
        <v>241320181</v>
      </c>
      <c r="E123" t="str">
        <f t="shared" si="22"/>
        <v>Standard</v>
      </c>
      <c r="F123" t="str">
        <f t="shared" si="23"/>
        <v>alp_marca_alcance_feminino_oglobo_display_retangulo_ros_rasteiras-you_all_cpm_300x250_111111</v>
      </c>
      <c r="G123" t="str">
        <f t="shared" si="24"/>
        <v>438126270</v>
      </c>
      <c r="H123" t="str">
        <f t="shared" si="25"/>
        <v>Display</v>
      </c>
      <c r="I123">
        <f t="shared" si="26"/>
        <v>492978</v>
      </c>
      <c r="J123">
        <f t="shared" si="27"/>
        <v>344</v>
      </c>
      <c r="K123" s="4">
        <f t="shared" si="30"/>
        <v>3.8199999999999998E-2</v>
      </c>
      <c r="L123">
        <f t="shared" si="31"/>
        <v>0.09</v>
      </c>
      <c r="M123" s="4">
        <f t="shared" si="28"/>
        <v>18.831759599999998</v>
      </c>
      <c r="N123" s="4">
        <f t="shared" si="29"/>
        <v>44.368019999999994</v>
      </c>
    </row>
    <row r="124" spans="1:14">
      <c r="A124" t="str">
        <f t="shared" si="18"/>
        <v>alp_marca</v>
      </c>
      <c r="B124" t="str">
        <f t="shared" si="19"/>
        <v>oglobo.com.br</v>
      </c>
      <c r="C124" t="str">
        <f t="shared" si="20"/>
        <v>alp_marca_alcance_feminino_oglobo_display_superbanner_ros_rasteiras-you_all_cpm_728x90_111112</v>
      </c>
      <c r="D124" t="str">
        <f t="shared" si="21"/>
        <v>241226375</v>
      </c>
      <c r="E124" t="str">
        <f t="shared" si="22"/>
        <v>Standard</v>
      </c>
      <c r="F124" t="str">
        <f t="shared" si="23"/>
        <v>alp_marca_alcance_feminino_oglobo_display_superbanner_ros_rasteiras-you_all_cpm_728x90_111112</v>
      </c>
      <c r="G124" t="str">
        <f t="shared" si="24"/>
        <v>438183587</v>
      </c>
      <c r="H124" t="str">
        <f t="shared" si="25"/>
        <v>Display</v>
      </c>
      <c r="I124">
        <f t="shared" si="26"/>
        <v>490793</v>
      </c>
      <c r="J124">
        <f t="shared" si="27"/>
        <v>170</v>
      </c>
      <c r="K124" s="4">
        <f t="shared" si="30"/>
        <v>3.8199999999999998E-2</v>
      </c>
      <c r="L124">
        <f t="shared" si="31"/>
        <v>0.09</v>
      </c>
      <c r="M124" s="4">
        <f t="shared" si="28"/>
        <v>18.748292599999999</v>
      </c>
      <c r="N124" s="4">
        <f t="shared" si="29"/>
        <v>44.171369999999996</v>
      </c>
    </row>
    <row r="125" spans="1:14">
      <c r="A125" t="str">
        <f t="shared" si="18"/>
        <v>alp_marca</v>
      </c>
      <c r="B125" t="str">
        <f t="shared" si="19"/>
        <v>papodehomem.com.br</v>
      </c>
      <c r="C125" t="str">
        <f t="shared" si="20"/>
        <v>alp_marca_alcance_masculino_papo-de-homem_display_billboard_ros_havaianas-urban_all_cpm_970x250_111113</v>
      </c>
      <c r="D125" t="str">
        <f t="shared" si="21"/>
        <v>241382692</v>
      </c>
      <c r="E125" t="str">
        <f t="shared" si="22"/>
        <v>Standard</v>
      </c>
      <c r="F125" t="str">
        <f t="shared" si="23"/>
        <v>alp_marca_alcance_masculino_papo-de-homem_display_billboard_ros_havaianas-urban_all_cpm_970x250_111113</v>
      </c>
      <c r="G125" t="str">
        <f t="shared" si="24"/>
        <v>438204942</v>
      </c>
      <c r="H125" t="str">
        <f t="shared" si="25"/>
        <v>Display</v>
      </c>
      <c r="I125">
        <f t="shared" si="26"/>
        <v>77965</v>
      </c>
      <c r="J125">
        <f t="shared" si="27"/>
        <v>66</v>
      </c>
      <c r="K125" s="4">
        <f t="shared" si="30"/>
        <v>3.8199999999999998E-2</v>
      </c>
      <c r="L125">
        <f t="shared" si="31"/>
        <v>0.09</v>
      </c>
      <c r="M125" s="4">
        <f t="shared" si="28"/>
        <v>2.9782630000000001</v>
      </c>
      <c r="N125" s="4">
        <f t="shared" si="29"/>
        <v>7.0168499999999998</v>
      </c>
    </row>
    <row r="126" spans="1:14">
      <c r="A126" t="str">
        <f t="shared" si="18"/>
        <v>alp_marca</v>
      </c>
      <c r="B126" t="str">
        <f t="shared" si="19"/>
        <v>papodehomem.com.br</v>
      </c>
      <c r="C126" t="str">
        <f t="shared" si="20"/>
        <v>alp_marca_alcance_masculino_papo-de-homem_display_maxiboard_ros_havaianas-urban_all_cpm_970x150_111114</v>
      </c>
      <c r="D126" t="str">
        <f t="shared" si="21"/>
        <v>241611495</v>
      </c>
      <c r="E126" t="str">
        <f t="shared" si="22"/>
        <v>Standard</v>
      </c>
      <c r="F126" t="str">
        <f t="shared" si="23"/>
        <v>alp_marca_alcance_masculino_papo-de-homem_display_maxiboard_ros_havaianas-urban_all_cpm_970x150_111114</v>
      </c>
      <c r="G126" t="str">
        <f t="shared" si="24"/>
        <v>438270349</v>
      </c>
      <c r="H126" t="str">
        <f t="shared" si="25"/>
        <v>Display</v>
      </c>
      <c r="I126">
        <f t="shared" si="26"/>
        <v>2</v>
      </c>
      <c r="J126">
        <f t="shared" si="27"/>
        <v>2</v>
      </c>
      <c r="K126" s="4">
        <f t="shared" si="30"/>
        <v>3.8199999999999998E-2</v>
      </c>
      <c r="L126">
        <f t="shared" si="31"/>
        <v>0.09</v>
      </c>
      <c r="M126" s="4">
        <f t="shared" si="28"/>
        <v>7.64E-5</v>
      </c>
      <c r="N126" s="4">
        <f t="shared" si="29"/>
        <v>1.7999999999999998E-4</v>
      </c>
    </row>
    <row r="127" spans="1:14">
      <c r="A127" t="str">
        <f t="shared" si="18"/>
        <v>alp_marca</v>
      </c>
      <c r="B127" t="str">
        <f t="shared" si="19"/>
        <v>papodehomem.com.br</v>
      </c>
      <c r="C127" t="str">
        <f t="shared" si="20"/>
        <v>alp_marca_alcance_masculino_papo-de-homem_display_retangulo_ros_havaianas-urban_all_cpm_300x250_111116</v>
      </c>
      <c r="D127" t="str">
        <f t="shared" si="21"/>
        <v>241295873</v>
      </c>
      <c r="E127" t="str">
        <f t="shared" si="22"/>
        <v>Standard</v>
      </c>
      <c r="F127" t="str">
        <f t="shared" si="23"/>
        <v>alp_marca_alcance_masculino_papo-de-homem_display_retangulo_ros_havaianas-urban_all_cpm_300x250_111116</v>
      </c>
      <c r="G127" t="str">
        <f t="shared" si="24"/>
        <v>438178371</v>
      </c>
      <c r="H127" t="str">
        <f t="shared" si="25"/>
        <v>Display</v>
      </c>
      <c r="I127">
        <f t="shared" si="26"/>
        <v>280973</v>
      </c>
      <c r="J127">
        <f t="shared" si="27"/>
        <v>419</v>
      </c>
      <c r="K127" s="4">
        <f t="shared" si="30"/>
        <v>3.8199999999999998E-2</v>
      </c>
      <c r="L127">
        <f t="shared" si="31"/>
        <v>0.09</v>
      </c>
      <c r="M127" s="4">
        <f t="shared" si="28"/>
        <v>10.733168599999999</v>
      </c>
      <c r="N127" s="4">
        <f t="shared" si="29"/>
        <v>25.287569999999999</v>
      </c>
    </row>
    <row r="128" spans="1:14">
      <c r="A128" t="str">
        <f t="shared" si="18"/>
        <v>alp_marca</v>
      </c>
      <c r="B128" t="str">
        <f t="shared" si="19"/>
        <v>papodehomem.com.br</v>
      </c>
      <c r="C128" t="str">
        <f t="shared" si="20"/>
        <v>alp_marca_alcance_masculino_papo-de-homem_display_superbanner_ros_havaianas-urban_all_cpm_728x90_111115</v>
      </c>
      <c r="D128" t="str">
        <f t="shared" si="21"/>
        <v>241605636</v>
      </c>
      <c r="E128" t="str">
        <f t="shared" si="22"/>
        <v>Standard</v>
      </c>
      <c r="F128" t="str">
        <f t="shared" si="23"/>
        <v>alp_marca_alcance_masculino_papo-de-homem_display_superbanner_ros_havaianas-urban_all_cpm_728x90_111115</v>
      </c>
      <c r="G128" t="str">
        <f t="shared" si="24"/>
        <v>438178365</v>
      </c>
      <c r="H128" t="str">
        <f t="shared" si="25"/>
        <v>Display</v>
      </c>
      <c r="I128">
        <f t="shared" si="26"/>
        <v>8</v>
      </c>
      <c r="J128">
        <f t="shared" si="27"/>
        <v>3</v>
      </c>
      <c r="K128" s="4">
        <f t="shared" si="30"/>
        <v>3.8199999999999998E-2</v>
      </c>
      <c r="L128">
        <f t="shared" si="31"/>
        <v>0.09</v>
      </c>
      <c r="M128" s="4">
        <f t="shared" si="28"/>
        <v>3.056E-4</v>
      </c>
      <c r="N128" s="4">
        <f t="shared" si="29"/>
        <v>7.1999999999999994E-4</v>
      </c>
    </row>
    <row r="129" spans="1:14">
      <c r="A129" t="str">
        <f t="shared" si="18"/>
        <v>alp_marca</v>
      </c>
      <c r="B129" t="str">
        <f t="shared" si="19"/>
        <v>revistaquem.globo.com</v>
      </c>
      <c r="C129" t="str">
        <f t="shared" si="20"/>
        <v>alp_marca_alcance_feminino_quem_display_retangulo_ros_rasteiras-you_all_cpm_300x250_111111</v>
      </c>
      <c r="D129" t="str">
        <f t="shared" si="21"/>
        <v>241533807</v>
      </c>
      <c r="E129" t="str">
        <f t="shared" si="22"/>
        <v>Standard</v>
      </c>
      <c r="F129" t="str">
        <f t="shared" si="23"/>
        <v>alp_marca_alcance_feminino_quem_display_retangulo_ros_rasteiras-you_all_cpm_300x250_111111</v>
      </c>
      <c r="G129" t="str">
        <f t="shared" si="24"/>
        <v>438183569</v>
      </c>
      <c r="H129" t="str">
        <f t="shared" si="25"/>
        <v>Display</v>
      </c>
      <c r="I129">
        <f t="shared" si="26"/>
        <v>483253</v>
      </c>
      <c r="J129">
        <f t="shared" si="27"/>
        <v>209</v>
      </c>
      <c r="K129" s="4">
        <f t="shared" si="30"/>
        <v>3.8199999999999998E-2</v>
      </c>
      <c r="L129">
        <f t="shared" si="31"/>
        <v>0.09</v>
      </c>
      <c r="M129" s="4">
        <f t="shared" si="28"/>
        <v>18.460264599999999</v>
      </c>
      <c r="N129" s="4">
        <f t="shared" si="29"/>
        <v>43.49277</v>
      </c>
    </row>
    <row r="130" spans="1:14">
      <c r="A130" t="str">
        <f t="shared" ref="A130:A193" si="32">bd_campaign</f>
        <v>alp_marca</v>
      </c>
      <c r="B130" t="str">
        <f t="shared" ref="B130:B193" si="33">bd_site</f>
        <v>revistaquem.globo.com</v>
      </c>
      <c r="C130" t="str">
        <f t="shared" ref="C130:C193" si="34">bd_placement</f>
        <v>alp_marca_alcance_feminino_quem_display_superbanner_ros_rasteiras-you_all_cpm_728x90_111112</v>
      </c>
      <c r="D130" t="str">
        <f t="shared" ref="D130:D193" si="35">bd_placementID</f>
        <v>241228742</v>
      </c>
      <c r="E130" t="str">
        <f t="shared" ref="E130:E193" si="36">VLOOKUP(CONCATENATE(bd_adtype,"_",bd_creativetype),tabela,2,FALSE)</f>
        <v>Standard</v>
      </c>
      <c r="F130" t="str">
        <f t="shared" ref="F130:F193" si="37">bd_ad</f>
        <v>alp_marca_alcance_feminino_quem_display_superbanner_ros_rasteiras-you_all_cpm_728x90_111112</v>
      </c>
      <c r="G130" t="str">
        <f t="shared" ref="G130:G193" si="38">bd_adid</f>
        <v>438126276</v>
      </c>
      <c r="H130" t="str">
        <f t="shared" ref="H130:H193" si="39">bd_creativetype</f>
        <v>Display</v>
      </c>
      <c r="I130">
        <f t="shared" ref="I130:I193" si="40">bd_impression</f>
        <v>427369</v>
      </c>
      <c r="J130">
        <f t="shared" ref="J130:J193" si="41">bd_clicks</f>
        <v>278</v>
      </c>
      <c r="K130" s="4">
        <f t="shared" si="30"/>
        <v>3.8199999999999998E-2</v>
      </c>
      <c r="L130">
        <f t="shared" si="31"/>
        <v>0.09</v>
      </c>
      <c r="M130" s="4">
        <f t="shared" si="28"/>
        <v>16.325495799999999</v>
      </c>
      <c r="N130" s="4">
        <f t="shared" si="29"/>
        <v>38.463209999999997</v>
      </c>
    </row>
    <row r="131" spans="1:14">
      <c r="A131">
        <f t="shared" si="32"/>
        <v>0</v>
      </c>
      <c r="B131">
        <f t="shared" si="33"/>
        <v>0</v>
      </c>
      <c r="C131">
        <f t="shared" si="34"/>
        <v>0</v>
      </c>
      <c r="D131">
        <f t="shared" si="35"/>
        <v>0</v>
      </c>
      <c r="E131" t="e">
        <f t="shared" si="36"/>
        <v>#N/A</v>
      </c>
      <c r="F131">
        <f t="shared" si="37"/>
        <v>0</v>
      </c>
      <c r="G131">
        <f t="shared" si="38"/>
        <v>0</v>
      </c>
      <c r="H131">
        <f t="shared" si="39"/>
        <v>0</v>
      </c>
      <c r="I131">
        <f t="shared" si="40"/>
        <v>0</v>
      </c>
      <c r="J131">
        <f t="shared" si="41"/>
        <v>0</v>
      </c>
      <c r="K131" s="4" t="e">
        <f t="shared" si="30"/>
        <v>#N/A</v>
      </c>
      <c r="L131" t="e">
        <f t="shared" si="31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2"/>
        <v>0</v>
      </c>
      <c r="B132">
        <f t="shared" si="33"/>
        <v>0</v>
      </c>
      <c r="C132">
        <f t="shared" si="34"/>
        <v>0</v>
      </c>
      <c r="D132">
        <f t="shared" si="35"/>
        <v>0</v>
      </c>
      <c r="E132" t="e">
        <f t="shared" si="36"/>
        <v>#N/A</v>
      </c>
      <c r="F132">
        <f t="shared" si="37"/>
        <v>0</v>
      </c>
      <c r="G132">
        <f t="shared" si="38"/>
        <v>0</v>
      </c>
      <c r="H132">
        <f t="shared" si="39"/>
        <v>0</v>
      </c>
      <c r="I132">
        <f t="shared" si="40"/>
        <v>0</v>
      </c>
      <c r="J132">
        <f t="shared" si="41"/>
        <v>0</v>
      </c>
      <c r="K132" s="4" t="e">
        <f t="shared" si="30"/>
        <v>#N/A</v>
      </c>
      <c r="L132" t="e">
        <f t="shared" si="31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2"/>
        <v>0</v>
      </c>
      <c r="B133">
        <f t="shared" si="33"/>
        <v>0</v>
      </c>
      <c r="C133">
        <f t="shared" si="34"/>
        <v>0</v>
      </c>
      <c r="D133">
        <f t="shared" si="35"/>
        <v>0</v>
      </c>
      <c r="E133" t="e">
        <f t="shared" si="36"/>
        <v>#N/A</v>
      </c>
      <c r="F133">
        <f t="shared" si="37"/>
        <v>0</v>
      </c>
      <c r="G133">
        <f t="shared" si="38"/>
        <v>0</v>
      </c>
      <c r="H133">
        <f t="shared" si="39"/>
        <v>0</v>
      </c>
      <c r="I133">
        <f t="shared" si="40"/>
        <v>0</v>
      </c>
      <c r="J133">
        <f t="shared" si="41"/>
        <v>0</v>
      </c>
      <c r="K133" s="4" t="e">
        <f t="shared" si="30"/>
        <v>#N/A</v>
      </c>
      <c r="L133" t="e">
        <f t="shared" si="31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2"/>
        <v>0</v>
      </c>
      <c r="B134">
        <f t="shared" si="33"/>
        <v>0</v>
      </c>
      <c r="C134">
        <f t="shared" si="34"/>
        <v>0</v>
      </c>
      <c r="D134">
        <f t="shared" si="35"/>
        <v>0</v>
      </c>
      <c r="E134" t="e">
        <f t="shared" si="36"/>
        <v>#N/A</v>
      </c>
      <c r="F134">
        <f t="shared" si="37"/>
        <v>0</v>
      </c>
      <c r="G134">
        <f t="shared" si="38"/>
        <v>0</v>
      </c>
      <c r="H134">
        <f t="shared" si="39"/>
        <v>0</v>
      </c>
      <c r="I134">
        <f t="shared" si="40"/>
        <v>0</v>
      </c>
      <c r="J134">
        <f t="shared" si="41"/>
        <v>0</v>
      </c>
      <c r="K134" s="4" t="e">
        <f t="shared" si="30"/>
        <v>#N/A</v>
      </c>
      <c r="L134" t="e">
        <f t="shared" si="31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2"/>
        <v>0</v>
      </c>
      <c r="B135">
        <f t="shared" si="33"/>
        <v>0</v>
      </c>
      <c r="C135">
        <f t="shared" si="34"/>
        <v>0</v>
      </c>
      <c r="D135">
        <f t="shared" si="35"/>
        <v>0</v>
      </c>
      <c r="E135" t="e">
        <f t="shared" si="36"/>
        <v>#N/A</v>
      </c>
      <c r="F135">
        <f t="shared" si="37"/>
        <v>0</v>
      </c>
      <c r="G135">
        <f t="shared" si="38"/>
        <v>0</v>
      </c>
      <c r="H135">
        <f t="shared" si="39"/>
        <v>0</v>
      </c>
      <c r="I135">
        <f t="shared" si="40"/>
        <v>0</v>
      </c>
      <c r="J135">
        <f t="shared" si="41"/>
        <v>0</v>
      </c>
      <c r="K135" s="4" t="e">
        <f t="shared" si="30"/>
        <v>#N/A</v>
      </c>
      <c r="L135" t="e">
        <f t="shared" si="31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2"/>
        <v>0</v>
      </c>
      <c r="B136">
        <f t="shared" si="33"/>
        <v>0</v>
      </c>
      <c r="C136">
        <f t="shared" si="34"/>
        <v>0</v>
      </c>
      <c r="D136">
        <f t="shared" si="35"/>
        <v>0</v>
      </c>
      <c r="E136" t="e">
        <f t="shared" si="36"/>
        <v>#N/A</v>
      </c>
      <c r="F136">
        <f t="shared" si="37"/>
        <v>0</v>
      </c>
      <c r="G136">
        <f t="shared" si="38"/>
        <v>0</v>
      </c>
      <c r="H136">
        <f t="shared" si="39"/>
        <v>0</v>
      </c>
      <c r="I136">
        <f t="shared" si="40"/>
        <v>0</v>
      </c>
      <c r="J136">
        <f t="shared" si="41"/>
        <v>0</v>
      </c>
      <c r="K136" s="4" t="e">
        <f t="shared" si="30"/>
        <v>#N/A</v>
      </c>
      <c r="L136" t="e">
        <f t="shared" si="31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2"/>
        <v>0</v>
      </c>
      <c r="B137">
        <f t="shared" si="33"/>
        <v>0</v>
      </c>
      <c r="C137">
        <f t="shared" si="34"/>
        <v>0</v>
      </c>
      <c r="D137">
        <f t="shared" si="35"/>
        <v>0</v>
      </c>
      <c r="E137" t="e">
        <f t="shared" si="36"/>
        <v>#N/A</v>
      </c>
      <c r="F137">
        <f t="shared" si="37"/>
        <v>0</v>
      </c>
      <c r="G137">
        <f t="shared" si="38"/>
        <v>0</v>
      </c>
      <c r="H137">
        <f t="shared" si="39"/>
        <v>0</v>
      </c>
      <c r="I137">
        <f t="shared" si="40"/>
        <v>0</v>
      </c>
      <c r="J137">
        <f t="shared" si="41"/>
        <v>0</v>
      </c>
      <c r="K137" s="4" t="e">
        <f t="shared" si="30"/>
        <v>#N/A</v>
      </c>
      <c r="L137" t="e">
        <f t="shared" si="31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2"/>
        <v>0</v>
      </c>
      <c r="B138">
        <f t="shared" si="33"/>
        <v>0</v>
      </c>
      <c r="C138">
        <f t="shared" si="34"/>
        <v>0</v>
      </c>
      <c r="D138">
        <f t="shared" si="35"/>
        <v>0</v>
      </c>
      <c r="E138" t="e">
        <f t="shared" si="36"/>
        <v>#N/A</v>
      </c>
      <c r="F138">
        <f t="shared" si="37"/>
        <v>0</v>
      </c>
      <c r="G138">
        <f t="shared" si="38"/>
        <v>0</v>
      </c>
      <c r="H138">
        <f t="shared" si="39"/>
        <v>0</v>
      </c>
      <c r="I138">
        <f t="shared" si="40"/>
        <v>0</v>
      </c>
      <c r="J138">
        <f t="shared" si="41"/>
        <v>0</v>
      </c>
      <c r="K138" s="4" t="e">
        <f t="shared" si="30"/>
        <v>#N/A</v>
      </c>
      <c r="L138" t="e">
        <f t="shared" si="31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2"/>
        <v>0</v>
      </c>
      <c r="B139">
        <f t="shared" si="33"/>
        <v>0</v>
      </c>
      <c r="C139">
        <f t="shared" si="34"/>
        <v>0</v>
      </c>
      <c r="D139">
        <f t="shared" si="35"/>
        <v>0</v>
      </c>
      <c r="E139" t="e">
        <f t="shared" si="36"/>
        <v>#N/A</v>
      </c>
      <c r="F139">
        <f t="shared" si="37"/>
        <v>0</v>
      </c>
      <c r="G139">
        <f t="shared" si="38"/>
        <v>0</v>
      </c>
      <c r="H139">
        <f t="shared" si="39"/>
        <v>0</v>
      </c>
      <c r="I139">
        <f t="shared" si="40"/>
        <v>0</v>
      </c>
      <c r="J139">
        <f t="shared" si="41"/>
        <v>0</v>
      </c>
      <c r="K139" s="4" t="e">
        <f t="shared" si="30"/>
        <v>#N/A</v>
      </c>
      <c r="L139" t="e">
        <f t="shared" si="31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2"/>
        <v>0</v>
      </c>
      <c r="B140">
        <f t="shared" si="33"/>
        <v>0</v>
      </c>
      <c r="C140">
        <f t="shared" si="34"/>
        <v>0</v>
      </c>
      <c r="D140">
        <f t="shared" si="35"/>
        <v>0</v>
      </c>
      <c r="E140" t="e">
        <f t="shared" si="36"/>
        <v>#N/A</v>
      </c>
      <c r="F140">
        <f t="shared" si="37"/>
        <v>0</v>
      </c>
      <c r="G140">
        <f t="shared" si="38"/>
        <v>0</v>
      </c>
      <c r="H140">
        <f t="shared" si="39"/>
        <v>0</v>
      </c>
      <c r="I140">
        <f t="shared" si="40"/>
        <v>0</v>
      </c>
      <c r="J140">
        <f t="shared" si="41"/>
        <v>0</v>
      </c>
      <c r="K140" s="4" t="e">
        <f t="shared" si="30"/>
        <v>#N/A</v>
      </c>
      <c r="L140" t="e">
        <f t="shared" si="31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2"/>
        <v>0</v>
      </c>
      <c r="B141">
        <f t="shared" si="33"/>
        <v>0</v>
      </c>
      <c r="C141">
        <f t="shared" si="34"/>
        <v>0</v>
      </c>
      <c r="D141">
        <f t="shared" si="35"/>
        <v>0</v>
      </c>
      <c r="E141" t="e">
        <f t="shared" si="36"/>
        <v>#N/A</v>
      </c>
      <c r="F141">
        <f t="shared" si="37"/>
        <v>0</v>
      </c>
      <c r="G141">
        <f t="shared" si="38"/>
        <v>0</v>
      </c>
      <c r="H141">
        <f t="shared" si="39"/>
        <v>0</v>
      </c>
      <c r="I141">
        <f t="shared" si="40"/>
        <v>0</v>
      </c>
      <c r="J141">
        <f t="shared" si="41"/>
        <v>0</v>
      </c>
      <c r="K141" s="4" t="e">
        <f t="shared" si="30"/>
        <v>#N/A</v>
      </c>
      <c r="L141" t="e">
        <f t="shared" si="31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2"/>
        <v>0</v>
      </c>
      <c r="B142">
        <f t="shared" si="33"/>
        <v>0</v>
      </c>
      <c r="C142">
        <f t="shared" si="34"/>
        <v>0</v>
      </c>
      <c r="D142">
        <f t="shared" si="35"/>
        <v>0</v>
      </c>
      <c r="E142" t="e">
        <f t="shared" si="36"/>
        <v>#N/A</v>
      </c>
      <c r="F142">
        <f t="shared" si="37"/>
        <v>0</v>
      </c>
      <c r="G142">
        <f t="shared" si="38"/>
        <v>0</v>
      </c>
      <c r="H142">
        <f t="shared" si="39"/>
        <v>0</v>
      </c>
      <c r="I142">
        <f t="shared" si="40"/>
        <v>0</v>
      </c>
      <c r="J142">
        <f t="shared" si="41"/>
        <v>0</v>
      </c>
      <c r="K142" s="4" t="e">
        <f t="shared" si="30"/>
        <v>#N/A</v>
      </c>
      <c r="L142" t="e">
        <f t="shared" si="31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2"/>
        <v>0</v>
      </c>
      <c r="B143">
        <f t="shared" si="33"/>
        <v>0</v>
      </c>
      <c r="C143">
        <f t="shared" si="34"/>
        <v>0</v>
      </c>
      <c r="D143">
        <f t="shared" si="35"/>
        <v>0</v>
      </c>
      <c r="E143" t="e">
        <f t="shared" si="36"/>
        <v>#N/A</v>
      </c>
      <c r="F143">
        <f t="shared" si="37"/>
        <v>0</v>
      </c>
      <c r="G143">
        <f t="shared" si="38"/>
        <v>0</v>
      </c>
      <c r="H143">
        <f t="shared" si="39"/>
        <v>0</v>
      </c>
      <c r="I143">
        <f t="shared" si="40"/>
        <v>0</v>
      </c>
      <c r="J143">
        <f t="shared" si="41"/>
        <v>0</v>
      </c>
      <c r="K143" s="4" t="e">
        <f t="shared" si="30"/>
        <v>#N/A</v>
      </c>
      <c r="L143" t="e">
        <f t="shared" si="31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2"/>
        <v>0</v>
      </c>
      <c r="B144">
        <f t="shared" si="33"/>
        <v>0</v>
      </c>
      <c r="C144">
        <f t="shared" si="34"/>
        <v>0</v>
      </c>
      <c r="D144">
        <f t="shared" si="35"/>
        <v>0</v>
      </c>
      <c r="E144" t="e">
        <f t="shared" si="36"/>
        <v>#N/A</v>
      </c>
      <c r="F144">
        <f t="shared" si="37"/>
        <v>0</v>
      </c>
      <c r="G144">
        <f t="shared" si="38"/>
        <v>0</v>
      </c>
      <c r="H144">
        <f t="shared" si="39"/>
        <v>0</v>
      </c>
      <c r="I144">
        <f t="shared" si="40"/>
        <v>0</v>
      </c>
      <c r="J144">
        <f t="shared" si="41"/>
        <v>0</v>
      </c>
      <c r="K144" s="4" t="e">
        <f t="shared" si="30"/>
        <v>#N/A</v>
      </c>
      <c r="L144" t="e">
        <f t="shared" si="31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2"/>
        <v>0</v>
      </c>
      <c r="B145">
        <f t="shared" si="33"/>
        <v>0</v>
      </c>
      <c r="C145">
        <f t="shared" si="34"/>
        <v>0</v>
      </c>
      <c r="D145">
        <f t="shared" si="35"/>
        <v>0</v>
      </c>
      <c r="E145" t="e">
        <f t="shared" si="36"/>
        <v>#N/A</v>
      </c>
      <c r="F145">
        <f t="shared" si="37"/>
        <v>0</v>
      </c>
      <c r="G145">
        <f t="shared" si="38"/>
        <v>0</v>
      </c>
      <c r="H145">
        <f t="shared" si="39"/>
        <v>0</v>
      </c>
      <c r="I145">
        <f t="shared" si="40"/>
        <v>0</v>
      </c>
      <c r="J145">
        <f t="shared" si="41"/>
        <v>0</v>
      </c>
      <c r="K145" s="4" t="e">
        <f t="shared" si="30"/>
        <v>#N/A</v>
      </c>
      <c r="L145" t="e">
        <f t="shared" si="31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2"/>
        <v>0</v>
      </c>
      <c r="B146">
        <f t="shared" si="33"/>
        <v>0</v>
      </c>
      <c r="C146">
        <f t="shared" si="34"/>
        <v>0</v>
      </c>
      <c r="D146">
        <f t="shared" si="35"/>
        <v>0</v>
      </c>
      <c r="E146" t="e">
        <f t="shared" si="36"/>
        <v>#N/A</v>
      </c>
      <c r="F146">
        <f t="shared" si="37"/>
        <v>0</v>
      </c>
      <c r="G146">
        <f t="shared" si="38"/>
        <v>0</v>
      </c>
      <c r="H146">
        <f t="shared" si="39"/>
        <v>0</v>
      </c>
      <c r="I146">
        <f t="shared" si="40"/>
        <v>0</v>
      </c>
      <c r="J146">
        <f t="shared" si="41"/>
        <v>0</v>
      </c>
      <c r="K146" s="4" t="e">
        <f t="shared" si="30"/>
        <v>#N/A</v>
      </c>
      <c r="L146" t="e">
        <f t="shared" si="31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2"/>
        <v>0</v>
      </c>
      <c r="B147">
        <f t="shared" si="33"/>
        <v>0</v>
      </c>
      <c r="C147">
        <f t="shared" si="34"/>
        <v>0</v>
      </c>
      <c r="D147">
        <f t="shared" si="35"/>
        <v>0</v>
      </c>
      <c r="E147" t="e">
        <f t="shared" si="36"/>
        <v>#N/A</v>
      </c>
      <c r="F147">
        <f t="shared" si="37"/>
        <v>0</v>
      </c>
      <c r="G147">
        <f t="shared" si="38"/>
        <v>0</v>
      </c>
      <c r="H147">
        <f t="shared" si="39"/>
        <v>0</v>
      </c>
      <c r="I147">
        <f t="shared" si="40"/>
        <v>0</v>
      </c>
      <c r="J147">
        <f t="shared" si="41"/>
        <v>0</v>
      </c>
      <c r="K147" s="4" t="e">
        <f t="shared" si="30"/>
        <v>#N/A</v>
      </c>
      <c r="L147" t="e">
        <f t="shared" si="31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2"/>
        <v>0</v>
      </c>
      <c r="B148">
        <f t="shared" si="33"/>
        <v>0</v>
      </c>
      <c r="C148">
        <f t="shared" si="34"/>
        <v>0</v>
      </c>
      <c r="D148">
        <f t="shared" si="35"/>
        <v>0</v>
      </c>
      <c r="E148" t="e">
        <f t="shared" si="36"/>
        <v>#N/A</v>
      </c>
      <c r="F148">
        <f t="shared" si="37"/>
        <v>0</v>
      </c>
      <c r="G148">
        <f t="shared" si="38"/>
        <v>0</v>
      </c>
      <c r="H148">
        <f t="shared" si="39"/>
        <v>0</v>
      </c>
      <c r="I148">
        <f t="shared" si="40"/>
        <v>0</v>
      </c>
      <c r="J148">
        <f t="shared" si="41"/>
        <v>0</v>
      </c>
      <c r="K148" s="4" t="e">
        <f t="shared" si="30"/>
        <v>#N/A</v>
      </c>
      <c r="L148" t="e">
        <f t="shared" si="31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2"/>
        <v>0</v>
      </c>
      <c r="B149">
        <f t="shared" si="33"/>
        <v>0</v>
      </c>
      <c r="C149">
        <f t="shared" si="34"/>
        <v>0</v>
      </c>
      <c r="D149">
        <f t="shared" si="35"/>
        <v>0</v>
      </c>
      <c r="E149" t="e">
        <f t="shared" si="36"/>
        <v>#N/A</v>
      </c>
      <c r="F149">
        <f t="shared" si="37"/>
        <v>0</v>
      </c>
      <c r="G149">
        <f t="shared" si="38"/>
        <v>0</v>
      </c>
      <c r="H149">
        <f t="shared" si="39"/>
        <v>0</v>
      </c>
      <c r="I149">
        <f t="shared" si="40"/>
        <v>0</v>
      </c>
      <c r="J149">
        <f t="shared" si="41"/>
        <v>0</v>
      </c>
      <c r="K149" s="4" t="e">
        <f t="shared" si="30"/>
        <v>#N/A</v>
      </c>
      <c r="L149" t="e">
        <f t="shared" si="31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2"/>
        <v>0</v>
      </c>
      <c r="B150">
        <f t="shared" si="33"/>
        <v>0</v>
      </c>
      <c r="C150">
        <f t="shared" si="34"/>
        <v>0</v>
      </c>
      <c r="D150">
        <f t="shared" si="35"/>
        <v>0</v>
      </c>
      <c r="E150" t="e">
        <f t="shared" si="36"/>
        <v>#N/A</v>
      </c>
      <c r="F150">
        <f t="shared" si="37"/>
        <v>0</v>
      </c>
      <c r="G150">
        <f t="shared" si="38"/>
        <v>0</v>
      </c>
      <c r="H150">
        <f t="shared" si="39"/>
        <v>0</v>
      </c>
      <c r="I150">
        <f t="shared" si="40"/>
        <v>0</v>
      </c>
      <c r="J150">
        <f t="shared" si="41"/>
        <v>0</v>
      </c>
      <c r="K150" s="4" t="e">
        <f t="shared" si="30"/>
        <v>#N/A</v>
      </c>
      <c r="L150" t="e">
        <f t="shared" si="31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2"/>
        <v>0</v>
      </c>
      <c r="B151">
        <f t="shared" si="33"/>
        <v>0</v>
      </c>
      <c r="C151">
        <f t="shared" si="34"/>
        <v>0</v>
      </c>
      <c r="D151">
        <f t="shared" si="35"/>
        <v>0</v>
      </c>
      <c r="E151" t="e">
        <f t="shared" si="36"/>
        <v>#N/A</v>
      </c>
      <c r="F151">
        <f t="shared" si="37"/>
        <v>0</v>
      </c>
      <c r="G151">
        <f t="shared" si="38"/>
        <v>0</v>
      </c>
      <c r="H151">
        <f t="shared" si="39"/>
        <v>0</v>
      </c>
      <c r="I151">
        <f t="shared" si="40"/>
        <v>0</v>
      </c>
      <c r="J151">
        <f t="shared" si="41"/>
        <v>0</v>
      </c>
      <c r="K151" s="4" t="e">
        <f t="shared" si="30"/>
        <v>#N/A</v>
      </c>
      <c r="L151" t="e">
        <f t="shared" si="31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2"/>
        <v>0</v>
      </c>
      <c r="B152">
        <f t="shared" si="33"/>
        <v>0</v>
      </c>
      <c r="C152">
        <f t="shared" si="34"/>
        <v>0</v>
      </c>
      <c r="D152">
        <f t="shared" si="35"/>
        <v>0</v>
      </c>
      <c r="E152" t="e">
        <f t="shared" si="36"/>
        <v>#N/A</v>
      </c>
      <c r="F152">
        <f t="shared" si="37"/>
        <v>0</v>
      </c>
      <c r="G152">
        <f t="shared" si="38"/>
        <v>0</v>
      </c>
      <c r="H152">
        <f t="shared" si="39"/>
        <v>0</v>
      </c>
      <c r="I152">
        <f t="shared" si="40"/>
        <v>0</v>
      </c>
      <c r="J152">
        <f t="shared" si="41"/>
        <v>0</v>
      </c>
      <c r="K152" s="4" t="e">
        <f t="shared" si="30"/>
        <v>#N/A</v>
      </c>
      <c r="L152" t="e">
        <f t="shared" si="31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2"/>
        <v>0</v>
      </c>
      <c r="B153">
        <f t="shared" si="33"/>
        <v>0</v>
      </c>
      <c r="C153">
        <f t="shared" si="34"/>
        <v>0</v>
      </c>
      <c r="D153">
        <f t="shared" si="35"/>
        <v>0</v>
      </c>
      <c r="E153" t="e">
        <f t="shared" si="36"/>
        <v>#N/A</v>
      </c>
      <c r="F153">
        <f t="shared" si="37"/>
        <v>0</v>
      </c>
      <c r="G153">
        <f t="shared" si="38"/>
        <v>0</v>
      </c>
      <c r="H153">
        <f t="shared" si="39"/>
        <v>0</v>
      </c>
      <c r="I153">
        <f t="shared" si="40"/>
        <v>0</v>
      </c>
      <c r="J153">
        <f t="shared" si="41"/>
        <v>0</v>
      </c>
      <c r="K153" s="4" t="e">
        <f t="shared" si="30"/>
        <v>#N/A</v>
      </c>
      <c r="L153" t="e">
        <f t="shared" si="31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2"/>
        <v>0</v>
      </c>
      <c r="B154">
        <f t="shared" si="33"/>
        <v>0</v>
      </c>
      <c r="C154">
        <f t="shared" si="34"/>
        <v>0</v>
      </c>
      <c r="D154">
        <f t="shared" si="35"/>
        <v>0</v>
      </c>
      <c r="E154" t="e">
        <f t="shared" si="36"/>
        <v>#N/A</v>
      </c>
      <c r="F154">
        <f t="shared" si="37"/>
        <v>0</v>
      </c>
      <c r="G154">
        <f t="shared" si="38"/>
        <v>0</v>
      </c>
      <c r="H154">
        <f t="shared" si="39"/>
        <v>0</v>
      </c>
      <c r="I154">
        <f t="shared" si="40"/>
        <v>0</v>
      </c>
      <c r="J154">
        <f t="shared" si="41"/>
        <v>0</v>
      </c>
      <c r="K154" s="4" t="e">
        <f t="shared" si="30"/>
        <v>#N/A</v>
      </c>
      <c r="L154" t="e">
        <f t="shared" si="31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2"/>
        <v>0</v>
      </c>
      <c r="B155">
        <f t="shared" si="33"/>
        <v>0</v>
      </c>
      <c r="C155">
        <f t="shared" si="34"/>
        <v>0</v>
      </c>
      <c r="D155">
        <f t="shared" si="35"/>
        <v>0</v>
      </c>
      <c r="E155" t="e">
        <f t="shared" si="36"/>
        <v>#N/A</v>
      </c>
      <c r="F155">
        <f t="shared" si="37"/>
        <v>0</v>
      </c>
      <c r="G155">
        <f t="shared" si="38"/>
        <v>0</v>
      </c>
      <c r="H155">
        <f t="shared" si="39"/>
        <v>0</v>
      </c>
      <c r="I155">
        <f t="shared" si="40"/>
        <v>0</v>
      </c>
      <c r="J155">
        <f t="shared" si="41"/>
        <v>0</v>
      </c>
      <c r="K155" s="4" t="e">
        <f t="shared" si="30"/>
        <v>#N/A</v>
      </c>
      <c r="L155" t="e">
        <f t="shared" si="31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2"/>
        <v>0</v>
      </c>
      <c r="B156">
        <f t="shared" si="33"/>
        <v>0</v>
      </c>
      <c r="C156">
        <f t="shared" si="34"/>
        <v>0</v>
      </c>
      <c r="D156">
        <f t="shared" si="35"/>
        <v>0</v>
      </c>
      <c r="E156" t="e">
        <f t="shared" si="36"/>
        <v>#N/A</v>
      </c>
      <c r="F156">
        <f t="shared" si="37"/>
        <v>0</v>
      </c>
      <c r="G156">
        <f t="shared" si="38"/>
        <v>0</v>
      </c>
      <c r="H156">
        <f t="shared" si="39"/>
        <v>0</v>
      </c>
      <c r="I156">
        <f t="shared" si="40"/>
        <v>0</v>
      </c>
      <c r="J156">
        <f t="shared" si="41"/>
        <v>0</v>
      </c>
      <c r="K156" s="4" t="e">
        <f t="shared" si="30"/>
        <v>#N/A</v>
      </c>
      <c r="L156" t="e">
        <f t="shared" si="31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2"/>
        <v>0</v>
      </c>
      <c r="B157">
        <f t="shared" si="33"/>
        <v>0</v>
      </c>
      <c r="C157">
        <f t="shared" si="34"/>
        <v>0</v>
      </c>
      <c r="D157">
        <f t="shared" si="35"/>
        <v>0</v>
      </c>
      <c r="E157" t="e">
        <f t="shared" si="36"/>
        <v>#N/A</v>
      </c>
      <c r="F157">
        <f t="shared" si="37"/>
        <v>0</v>
      </c>
      <c r="G157">
        <f t="shared" si="38"/>
        <v>0</v>
      </c>
      <c r="H157">
        <f t="shared" si="39"/>
        <v>0</v>
      </c>
      <c r="I157">
        <f t="shared" si="40"/>
        <v>0</v>
      </c>
      <c r="J157">
        <f t="shared" si="41"/>
        <v>0</v>
      </c>
      <c r="K157" s="4" t="e">
        <f t="shared" si="30"/>
        <v>#N/A</v>
      </c>
      <c r="L157" t="e">
        <f t="shared" si="31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2"/>
        <v>0</v>
      </c>
      <c r="B158">
        <f t="shared" si="33"/>
        <v>0</v>
      </c>
      <c r="C158">
        <f t="shared" si="34"/>
        <v>0</v>
      </c>
      <c r="D158">
        <f t="shared" si="35"/>
        <v>0</v>
      </c>
      <c r="E158" t="e">
        <f t="shared" si="36"/>
        <v>#N/A</v>
      </c>
      <c r="F158">
        <f t="shared" si="37"/>
        <v>0</v>
      </c>
      <c r="G158">
        <f t="shared" si="38"/>
        <v>0</v>
      </c>
      <c r="H158">
        <f t="shared" si="39"/>
        <v>0</v>
      </c>
      <c r="I158">
        <f t="shared" si="40"/>
        <v>0</v>
      </c>
      <c r="J158">
        <f t="shared" si="41"/>
        <v>0</v>
      </c>
      <c r="K158" s="4" t="e">
        <f t="shared" si="30"/>
        <v>#N/A</v>
      </c>
      <c r="L158" t="e">
        <f t="shared" si="31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2"/>
        <v>0</v>
      </c>
      <c r="B159">
        <f t="shared" si="33"/>
        <v>0</v>
      </c>
      <c r="C159">
        <f t="shared" si="34"/>
        <v>0</v>
      </c>
      <c r="D159">
        <f t="shared" si="35"/>
        <v>0</v>
      </c>
      <c r="E159" t="e">
        <f t="shared" si="36"/>
        <v>#N/A</v>
      </c>
      <c r="F159">
        <f t="shared" si="37"/>
        <v>0</v>
      </c>
      <c r="G159">
        <f t="shared" si="38"/>
        <v>0</v>
      </c>
      <c r="H159">
        <f t="shared" si="39"/>
        <v>0</v>
      </c>
      <c r="I159">
        <f t="shared" si="40"/>
        <v>0</v>
      </c>
      <c r="J159">
        <f t="shared" si="41"/>
        <v>0</v>
      </c>
      <c r="K159" s="4" t="e">
        <f t="shared" si="30"/>
        <v>#N/A</v>
      </c>
      <c r="L159" t="e">
        <f t="shared" si="31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2"/>
        <v>0</v>
      </c>
      <c r="B160">
        <f t="shared" si="33"/>
        <v>0</v>
      </c>
      <c r="C160">
        <f t="shared" si="34"/>
        <v>0</v>
      </c>
      <c r="D160">
        <f t="shared" si="35"/>
        <v>0</v>
      </c>
      <c r="E160" t="e">
        <f t="shared" si="36"/>
        <v>#N/A</v>
      </c>
      <c r="F160">
        <f t="shared" si="37"/>
        <v>0</v>
      </c>
      <c r="G160">
        <f t="shared" si="38"/>
        <v>0</v>
      </c>
      <c r="H160">
        <f t="shared" si="39"/>
        <v>0</v>
      </c>
      <c r="I160">
        <f t="shared" si="40"/>
        <v>0</v>
      </c>
      <c r="J160">
        <f t="shared" si="41"/>
        <v>0</v>
      </c>
      <c r="K160" s="4" t="e">
        <f t="shared" si="30"/>
        <v>#N/A</v>
      </c>
      <c r="L160" t="e">
        <f t="shared" si="31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2"/>
        <v>0</v>
      </c>
      <c r="B161">
        <f t="shared" si="33"/>
        <v>0</v>
      </c>
      <c r="C161">
        <f t="shared" si="34"/>
        <v>0</v>
      </c>
      <c r="D161">
        <f t="shared" si="35"/>
        <v>0</v>
      </c>
      <c r="E161" t="e">
        <f t="shared" si="36"/>
        <v>#N/A</v>
      </c>
      <c r="F161">
        <f t="shared" si="37"/>
        <v>0</v>
      </c>
      <c r="G161">
        <f t="shared" si="38"/>
        <v>0</v>
      </c>
      <c r="H161">
        <f t="shared" si="39"/>
        <v>0</v>
      </c>
      <c r="I161">
        <f t="shared" si="40"/>
        <v>0</v>
      </c>
      <c r="J161">
        <f t="shared" si="41"/>
        <v>0</v>
      </c>
      <c r="K161" s="4" t="e">
        <f t="shared" si="30"/>
        <v>#N/A</v>
      </c>
      <c r="L161" t="e">
        <f t="shared" si="31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2"/>
        <v>0</v>
      </c>
      <c r="B162">
        <f t="shared" si="33"/>
        <v>0</v>
      </c>
      <c r="C162">
        <f t="shared" si="34"/>
        <v>0</v>
      </c>
      <c r="D162">
        <f t="shared" si="35"/>
        <v>0</v>
      </c>
      <c r="E162" t="e">
        <f t="shared" si="36"/>
        <v>#N/A</v>
      </c>
      <c r="F162">
        <f t="shared" si="37"/>
        <v>0</v>
      </c>
      <c r="G162">
        <f t="shared" si="38"/>
        <v>0</v>
      </c>
      <c r="H162">
        <f t="shared" si="39"/>
        <v>0</v>
      </c>
      <c r="I162">
        <f t="shared" si="40"/>
        <v>0</v>
      </c>
      <c r="J162">
        <f t="shared" si="41"/>
        <v>0</v>
      </c>
      <c r="K162" s="4" t="e">
        <f t="shared" si="30"/>
        <v>#N/A</v>
      </c>
      <c r="L162" t="e">
        <f t="shared" si="31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2"/>
        <v>0</v>
      </c>
      <c r="B163">
        <f t="shared" si="33"/>
        <v>0</v>
      </c>
      <c r="C163">
        <f t="shared" si="34"/>
        <v>0</v>
      </c>
      <c r="D163">
        <f t="shared" si="35"/>
        <v>0</v>
      </c>
      <c r="E163" t="e">
        <f t="shared" si="36"/>
        <v>#N/A</v>
      </c>
      <c r="F163">
        <f t="shared" si="37"/>
        <v>0</v>
      </c>
      <c r="G163">
        <f t="shared" si="38"/>
        <v>0</v>
      </c>
      <c r="H163">
        <f t="shared" si="39"/>
        <v>0</v>
      </c>
      <c r="I163">
        <f t="shared" si="40"/>
        <v>0</v>
      </c>
      <c r="J163">
        <f t="shared" si="41"/>
        <v>0</v>
      </c>
      <c r="K163" s="4" t="e">
        <f t="shared" si="30"/>
        <v>#N/A</v>
      </c>
      <c r="L163" t="e">
        <f t="shared" si="31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2"/>
        <v>0</v>
      </c>
      <c r="B164">
        <f t="shared" si="33"/>
        <v>0</v>
      </c>
      <c r="C164">
        <f t="shared" si="34"/>
        <v>0</v>
      </c>
      <c r="D164">
        <f t="shared" si="35"/>
        <v>0</v>
      </c>
      <c r="E164" t="e">
        <f t="shared" si="36"/>
        <v>#N/A</v>
      </c>
      <c r="F164">
        <f t="shared" si="37"/>
        <v>0</v>
      </c>
      <c r="G164">
        <f t="shared" si="38"/>
        <v>0</v>
      </c>
      <c r="H164">
        <f t="shared" si="39"/>
        <v>0</v>
      </c>
      <c r="I164">
        <f t="shared" si="40"/>
        <v>0</v>
      </c>
      <c r="J164">
        <f t="shared" si="41"/>
        <v>0</v>
      </c>
      <c r="K164" s="4" t="e">
        <f t="shared" si="30"/>
        <v>#N/A</v>
      </c>
      <c r="L164" t="e">
        <f t="shared" si="31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2"/>
        <v>0</v>
      </c>
      <c r="B165">
        <f t="shared" si="33"/>
        <v>0</v>
      </c>
      <c r="C165">
        <f t="shared" si="34"/>
        <v>0</v>
      </c>
      <c r="D165">
        <f t="shared" si="35"/>
        <v>0</v>
      </c>
      <c r="E165" t="e">
        <f t="shared" si="36"/>
        <v>#N/A</v>
      </c>
      <c r="F165">
        <f t="shared" si="37"/>
        <v>0</v>
      </c>
      <c r="G165">
        <f t="shared" si="38"/>
        <v>0</v>
      </c>
      <c r="H165">
        <f t="shared" si="39"/>
        <v>0</v>
      </c>
      <c r="I165">
        <f t="shared" si="40"/>
        <v>0</v>
      </c>
      <c r="J165">
        <f t="shared" si="41"/>
        <v>0</v>
      </c>
      <c r="K165" s="4" t="e">
        <f t="shared" si="30"/>
        <v>#N/A</v>
      </c>
      <c r="L165" t="e">
        <f t="shared" si="31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2"/>
        <v>0</v>
      </c>
      <c r="B166">
        <f t="shared" si="33"/>
        <v>0</v>
      </c>
      <c r="C166">
        <f t="shared" si="34"/>
        <v>0</v>
      </c>
      <c r="D166">
        <f t="shared" si="35"/>
        <v>0</v>
      </c>
      <c r="E166" t="e">
        <f t="shared" si="36"/>
        <v>#N/A</v>
      </c>
      <c r="F166">
        <f t="shared" si="37"/>
        <v>0</v>
      </c>
      <c r="G166">
        <f t="shared" si="38"/>
        <v>0</v>
      </c>
      <c r="H166">
        <f t="shared" si="39"/>
        <v>0</v>
      </c>
      <c r="I166">
        <f t="shared" si="40"/>
        <v>0</v>
      </c>
      <c r="J166">
        <f t="shared" si="41"/>
        <v>0</v>
      </c>
      <c r="K166" s="4" t="e">
        <f t="shared" si="30"/>
        <v>#N/A</v>
      </c>
      <c r="L166" t="e">
        <f t="shared" si="31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2"/>
        <v>0</v>
      </c>
      <c r="B167">
        <f t="shared" si="33"/>
        <v>0</v>
      </c>
      <c r="C167">
        <f t="shared" si="34"/>
        <v>0</v>
      </c>
      <c r="D167">
        <f t="shared" si="35"/>
        <v>0</v>
      </c>
      <c r="E167" t="e">
        <f t="shared" si="36"/>
        <v>#N/A</v>
      </c>
      <c r="F167">
        <f t="shared" si="37"/>
        <v>0</v>
      </c>
      <c r="G167">
        <f t="shared" si="38"/>
        <v>0</v>
      </c>
      <c r="H167">
        <f t="shared" si="39"/>
        <v>0</v>
      </c>
      <c r="I167">
        <f t="shared" si="40"/>
        <v>0</v>
      </c>
      <c r="J167">
        <f t="shared" si="41"/>
        <v>0</v>
      </c>
      <c r="K167" s="4" t="e">
        <f t="shared" si="30"/>
        <v>#N/A</v>
      </c>
      <c r="L167" t="e">
        <f t="shared" si="31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2"/>
        <v>0</v>
      </c>
      <c r="B168">
        <f t="shared" si="33"/>
        <v>0</v>
      </c>
      <c r="C168">
        <f t="shared" si="34"/>
        <v>0</v>
      </c>
      <c r="D168">
        <f t="shared" si="35"/>
        <v>0</v>
      </c>
      <c r="E168" t="e">
        <f t="shared" si="36"/>
        <v>#N/A</v>
      </c>
      <c r="F168">
        <f t="shared" si="37"/>
        <v>0</v>
      </c>
      <c r="G168">
        <f t="shared" si="38"/>
        <v>0</v>
      </c>
      <c r="H168">
        <f t="shared" si="39"/>
        <v>0</v>
      </c>
      <c r="I168">
        <f t="shared" si="40"/>
        <v>0</v>
      </c>
      <c r="J168">
        <f t="shared" si="41"/>
        <v>0</v>
      </c>
      <c r="K168" s="4" t="e">
        <f t="shared" si="30"/>
        <v>#N/A</v>
      </c>
      <c r="L168" t="e">
        <f t="shared" si="31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2"/>
        <v>0</v>
      </c>
      <c r="B169">
        <f t="shared" si="33"/>
        <v>0</v>
      </c>
      <c r="C169">
        <f t="shared" si="34"/>
        <v>0</v>
      </c>
      <c r="D169">
        <f t="shared" si="35"/>
        <v>0</v>
      </c>
      <c r="E169" t="e">
        <f t="shared" si="36"/>
        <v>#N/A</v>
      </c>
      <c r="F169">
        <f t="shared" si="37"/>
        <v>0</v>
      </c>
      <c r="G169">
        <f t="shared" si="38"/>
        <v>0</v>
      </c>
      <c r="H169">
        <f t="shared" si="39"/>
        <v>0</v>
      </c>
      <c r="I169">
        <f t="shared" si="40"/>
        <v>0</v>
      </c>
      <c r="J169">
        <f t="shared" si="41"/>
        <v>0</v>
      </c>
      <c r="K169" s="4" t="e">
        <f t="shared" si="30"/>
        <v>#N/A</v>
      </c>
      <c r="L169" t="e">
        <f t="shared" si="31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2"/>
        <v>0</v>
      </c>
      <c r="B170">
        <f t="shared" si="33"/>
        <v>0</v>
      </c>
      <c r="C170">
        <f t="shared" si="34"/>
        <v>0</v>
      </c>
      <c r="D170">
        <f t="shared" si="35"/>
        <v>0</v>
      </c>
      <c r="E170" t="e">
        <f t="shared" si="36"/>
        <v>#N/A</v>
      </c>
      <c r="F170">
        <f t="shared" si="37"/>
        <v>0</v>
      </c>
      <c r="G170">
        <f t="shared" si="38"/>
        <v>0</v>
      </c>
      <c r="H170">
        <f t="shared" si="39"/>
        <v>0</v>
      </c>
      <c r="I170">
        <f t="shared" si="40"/>
        <v>0</v>
      </c>
      <c r="J170">
        <f t="shared" si="41"/>
        <v>0</v>
      </c>
      <c r="K170" s="4" t="e">
        <f t="shared" si="30"/>
        <v>#N/A</v>
      </c>
      <c r="L170" t="e">
        <f t="shared" si="31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2"/>
        <v>0</v>
      </c>
      <c r="B171">
        <f t="shared" si="33"/>
        <v>0</v>
      </c>
      <c r="C171">
        <f t="shared" si="34"/>
        <v>0</v>
      </c>
      <c r="D171">
        <f t="shared" si="35"/>
        <v>0</v>
      </c>
      <c r="E171" t="e">
        <f t="shared" si="36"/>
        <v>#N/A</v>
      </c>
      <c r="F171">
        <f t="shared" si="37"/>
        <v>0</v>
      </c>
      <c r="G171">
        <f t="shared" si="38"/>
        <v>0</v>
      </c>
      <c r="H171">
        <f t="shared" si="39"/>
        <v>0</v>
      </c>
      <c r="I171">
        <f t="shared" si="40"/>
        <v>0</v>
      </c>
      <c r="J171">
        <f t="shared" si="41"/>
        <v>0</v>
      </c>
      <c r="K171" s="4" t="e">
        <f t="shared" si="30"/>
        <v>#N/A</v>
      </c>
      <c r="L171" t="e">
        <f t="shared" si="31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2"/>
        <v>0</v>
      </c>
      <c r="B172">
        <f t="shared" si="33"/>
        <v>0</v>
      </c>
      <c r="C172">
        <f t="shared" si="34"/>
        <v>0</v>
      </c>
      <c r="D172">
        <f t="shared" si="35"/>
        <v>0</v>
      </c>
      <c r="E172" t="e">
        <f t="shared" si="36"/>
        <v>#N/A</v>
      </c>
      <c r="F172">
        <f t="shared" si="37"/>
        <v>0</v>
      </c>
      <c r="G172">
        <f t="shared" si="38"/>
        <v>0</v>
      </c>
      <c r="H172">
        <f t="shared" si="39"/>
        <v>0</v>
      </c>
      <c r="I172">
        <f t="shared" si="40"/>
        <v>0</v>
      </c>
      <c r="J172">
        <f t="shared" si="41"/>
        <v>0</v>
      </c>
      <c r="K172" s="4" t="e">
        <f t="shared" ref="K172:K235" si="44">IF(LEFT(B172,3)="DBM",0,VLOOKUP(E172,tabela,2,FALSE))</f>
        <v>#N/A</v>
      </c>
      <c r="L172" t="e">
        <f t="shared" ref="L172:L235" si="45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2"/>
        <v>0</v>
      </c>
      <c r="B173">
        <f t="shared" si="33"/>
        <v>0</v>
      </c>
      <c r="C173">
        <f t="shared" si="34"/>
        <v>0</v>
      </c>
      <c r="D173">
        <f t="shared" si="35"/>
        <v>0</v>
      </c>
      <c r="E173" t="e">
        <f t="shared" si="36"/>
        <v>#N/A</v>
      </c>
      <c r="F173">
        <f t="shared" si="37"/>
        <v>0</v>
      </c>
      <c r="G173">
        <f t="shared" si="38"/>
        <v>0</v>
      </c>
      <c r="H173">
        <f t="shared" si="39"/>
        <v>0</v>
      </c>
      <c r="I173">
        <f t="shared" si="40"/>
        <v>0</v>
      </c>
      <c r="J173">
        <f t="shared" si="41"/>
        <v>0</v>
      </c>
      <c r="K173" s="4" t="e">
        <f t="shared" si="44"/>
        <v>#N/A</v>
      </c>
      <c r="L173" t="e">
        <f t="shared" si="45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2"/>
        <v>0</v>
      </c>
      <c r="B174">
        <f t="shared" si="33"/>
        <v>0</v>
      </c>
      <c r="C174">
        <f t="shared" si="34"/>
        <v>0</v>
      </c>
      <c r="D174">
        <f t="shared" si="35"/>
        <v>0</v>
      </c>
      <c r="E174" t="e">
        <f t="shared" si="36"/>
        <v>#N/A</v>
      </c>
      <c r="F174">
        <f t="shared" si="37"/>
        <v>0</v>
      </c>
      <c r="G174">
        <f t="shared" si="38"/>
        <v>0</v>
      </c>
      <c r="H174">
        <f t="shared" si="39"/>
        <v>0</v>
      </c>
      <c r="I174">
        <f t="shared" si="40"/>
        <v>0</v>
      </c>
      <c r="J174">
        <f t="shared" si="41"/>
        <v>0</v>
      </c>
      <c r="K174" s="4" t="e">
        <f t="shared" si="44"/>
        <v>#N/A</v>
      </c>
      <c r="L174" t="e">
        <f t="shared" si="45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2"/>
        <v>0</v>
      </c>
      <c r="B175">
        <f t="shared" si="33"/>
        <v>0</v>
      </c>
      <c r="C175">
        <f t="shared" si="34"/>
        <v>0</v>
      </c>
      <c r="D175">
        <f t="shared" si="35"/>
        <v>0</v>
      </c>
      <c r="E175" t="e">
        <f t="shared" si="36"/>
        <v>#N/A</v>
      </c>
      <c r="F175">
        <f t="shared" si="37"/>
        <v>0</v>
      </c>
      <c r="G175">
        <f t="shared" si="38"/>
        <v>0</v>
      </c>
      <c r="H175">
        <f t="shared" si="39"/>
        <v>0</v>
      </c>
      <c r="I175">
        <f t="shared" si="40"/>
        <v>0</v>
      </c>
      <c r="J175">
        <f t="shared" si="41"/>
        <v>0</v>
      </c>
      <c r="K175" s="4" t="e">
        <f t="shared" si="44"/>
        <v>#N/A</v>
      </c>
      <c r="L175" t="e">
        <f t="shared" si="45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2"/>
        <v>0</v>
      </c>
      <c r="B176">
        <f t="shared" si="33"/>
        <v>0</v>
      </c>
      <c r="C176">
        <f t="shared" si="34"/>
        <v>0</v>
      </c>
      <c r="D176">
        <f t="shared" si="35"/>
        <v>0</v>
      </c>
      <c r="E176" t="e">
        <f t="shared" si="36"/>
        <v>#N/A</v>
      </c>
      <c r="F176">
        <f t="shared" si="37"/>
        <v>0</v>
      </c>
      <c r="G176">
        <f t="shared" si="38"/>
        <v>0</v>
      </c>
      <c r="H176">
        <f t="shared" si="39"/>
        <v>0</v>
      </c>
      <c r="I176">
        <f t="shared" si="40"/>
        <v>0</v>
      </c>
      <c r="J176">
        <f t="shared" si="41"/>
        <v>0</v>
      </c>
      <c r="K176" s="4" t="e">
        <f t="shared" si="44"/>
        <v>#N/A</v>
      </c>
      <c r="L176" t="e">
        <f t="shared" si="45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2"/>
        <v>0</v>
      </c>
      <c r="B177">
        <f t="shared" si="33"/>
        <v>0</v>
      </c>
      <c r="C177">
        <f t="shared" si="34"/>
        <v>0</v>
      </c>
      <c r="D177">
        <f t="shared" si="35"/>
        <v>0</v>
      </c>
      <c r="E177" t="e">
        <f t="shared" si="36"/>
        <v>#N/A</v>
      </c>
      <c r="F177">
        <f t="shared" si="37"/>
        <v>0</v>
      </c>
      <c r="G177">
        <f t="shared" si="38"/>
        <v>0</v>
      </c>
      <c r="H177">
        <f t="shared" si="39"/>
        <v>0</v>
      </c>
      <c r="I177">
        <f t="shared" si="40"/>
        <v>0</v>
      </c>
      <c r="J177">
        <f t="shared" si="41"/>
        <v>0</v>
      </c>
      <c r="K177" s="4" t="e">
        <f t="shared" si="44"/>
        <v>#N/A</v>
      </c>
      <c r="L177" t="e">
        <f t="shared" si="45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2"/>
        <v>0</v>
      </c>
      <c r="B178">
        <f t="shared" si="33"/>
        <v>0</v>
      </c>
      <c r="C178">
        <f t="shared" si="34"/>
        <v>0</v>
      </c>
      <c r="D178">
        <f t="shared" si="35"/>
        <v>0</v>
      </c>
      <c r="E178" t="e">
        <f t="shared" si="36"/>
        <v>#N/A</v>
      </c>
      <c r="F178">
        <f t="shared" si="37"/>
        <v>0</v>
      </c>
      <c r="G178">
        <f t="shared" si="38"/>
        <v>0</v>
      </c>
      <c r="H178">
        <f t="shared" si="39"/>
        <v>0</v>
      </c>
      <c r="I178">
        <f t="shared" si="40"/>
        <v>0</v>
      </c>
      <c r="J178">
        <f t="shared" si="41"/>
        <v>0</v>
      </c>
      <c r="K178" s="4" t="e">
        <f t="shared" si="44"/>
        <v>#N/A</v>
      </c>
      <c r="L178" t="e">
        <f t="shared" si="45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2"/>
        <v>0</v>
      </c>
      <c r="B179">
        <f t="shared" si="33"/>
        <v>0</v>
      </c>
      <c r="C179">
        <f t="shared" si="34"/>
        <v>0</v>
      </c>
      <c r="D179">
        <f t="shared" si="35"/>
        <v>0</v>
      </c>
      <c r="E179" t="e">
        <f t="shared" si="36"/>
        <v>#N/A</v>
      </c>
      <c r="F179">
        <f t="shared" si="37"/>
        <v>0</v>
      </c>
      <c r="G179">
        <f t="shared" si="38"/>
        <v>0</v>
      </c>
      <c r="H179">
        <f t="shared" si="39"/>
        <v>0</v>
      </c>
      <c r="I179">
        <f t="shared" si="40"/>
        <v>0</v>
      </c>
      <c r="J179">
        <f t="shared" si="41"/>
        <v>0</v>
      </c>
      <c r="K179" s="4" t="e">
        <f t="shared" si="44"/>
        <v>#N/A</v>
      </c>
      <c r="L179" t="e">
        <f t="shared" si="45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2"/>
        <v>0</v>
      </c>
      <c r="B180">
        <f t="shared" si="33"/>
        <v>0</v>
      </c>
      <c r="C180">
        <f t="shared" si="34"/>
        <v>0</v>
      </c>
      <c r="D180">
        <f t="shared" si="35"/>
        <v>0</v>
      </c>
      <c r="E180" t="e">
        <f t="shared" si="36"/>
        <v>#N/A</v>
      </c>
      <c r="F180">
        <f t="shared" si="37"/>
        <v>0</v>
      </c>
      <c r="G180">
        <f t="shared" si="38"/>
        <v>0</v>
      </c>
      <c r="H180">
        <f t="shared" si="39"/>
        <v>0</v>
      </c>
      <c r="I180">
        <f t="shared" si="40"/>
        <v>0</v>
      </c>
      <c r="J180">
        <f t="shared" si="41"/>
        <v>0</v>
      </c>
      <c r="K180" s="4" t="e">
        <f t="shared" si="44"/>
        <v>#N/A</v>
      </c>
      <c r="L180" t="e">
        <f t="shared" si="45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2"/>
        <v>0</v>
      </c>
      <c r="B181">
        <f t="shared" si="33"/>
        <v>0</v>
      </c>
      <c r="C181">
        <f t="shared" si="34"/>
        <v>0</v>
      </c>
      <c r="D181">
        <f t="shared" si="35"/>
        <v>0</v>
      </c>
      <c r="E181" t="e">
        <f t="shared" si="36"/>
        <v>#N/A</v>
      </c>
      <c r="F181">
        <f t="shared" si="37"/>
        <v>0</v>
      </c>
      <c r="G181">
        <f t="shared" si="38"/>
        <v>0</v>
      </c>
      <c r="H181">
        <f t="shared" si="39"/>
        <v>0</v>
      </c>
      <c r="I181">
        <f t="shared" si="40"/>
        <v>0</v>
      </c>
      <c r="J181">
        <f t="shared" si="41"/>
        <v>0</v>
      </c>
      <c r="K181" s="4" t="e">
        <f t="shared" si="44"/>
        <v>#N/A</v>
      </c>
      <c r="L181" t="e">
        <f t="shared" si="45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2"/>
        <v>0</v>
      </c>
      <c r="B182">
        <f t="shared" si="33"/>
        <v>0</v>
      </c>
      <c r="C182">
        <f t="shared" si="34"/>
        <v>0</v>
      </c>
      <c r="D182">
        <f t="shared" si="35"/>
        <v>0</v>
      </c>
      <c r="E182" t="e">
        <f t="shared" si="36"/>
        <v>#N/A</v>
      </c>
      <c r="F182">
        <f t="shared" si="37"/>
        <v>0</v>
      </c>
      <c r="G182">
        <f t="shared" si="38"/>
        <v>0</v>
      </c>
      <c r="H182">
        <f t="shared" si="39"/>
        <v>0</v>
      </c>
      <c r="I182">
        <f t="shared" si="40"/>
        <v>0</v>
      </c>
      <c r="J182">
        <f t="shared" si="41"/>
        <v>0</v>
      </c>
      <c r="K182" s="4" t="e">
        <f t="shared" si="44"/>
        <v>#N/A</v>
      </c>
      <c r="L182" t="e">
        <f t="shared" si="45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2"/>
        <v>0</v>
      </c>
      <c r="B183">
        <f t="shared" si="33"/>
        <v>0</v>
      </c>
      <c r="C183">
        <f t="shared" si="34"/>
        <v>0</v>
      </c>
      <c r="D183">
        <f t="shared" si="35"/>
        <v>0</v>
      </c>
      <c r="E183" t="e">
        <f t="shared" si="36"/>
        <v>#N/A</v>
      </c>
      <c r="F183">
        <f t="shared" si="37"/>
        <v>0</v>
      </c>
      <c r="G183">
        <f t="shared" si="38"/>
        <v>0</v>
      </c>
      <c r="H183">
        <f t="shared" si="39"/>
        <v>0</v>
      </c>
      <c r="I183">
        <f t="shared" si="40"/>
        <v>0</v>
      </c>
      <c r="J183">
        <f t="shared" si="41"/>
        <v>0</v>
      </c>
      <c r="K183" s="4" t="e">
        <f t="shared" si="44"/>
        <v>#N/A</v>
      </c>
      <c r="L183" t="e">
        <f t="shared" si="45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2"/>
        <v>0</v>
      </c>
      <c r="B184">
        <f t="shared" si="33"/>
        <v>0</v>
      </c>
      <c r="C184">
        <f t="shared" si="34"/>
        <v>0</v>
      </c>
      <c r="D184">
        <f t="shared" si="35"/>
        <v>0</v>
      </c>
      <c r="E184" t="e">
        <f t="shared" si="36"/>
        <v>#N/A</v>
      </c>
      <c r="F184">
        <f t="shared" si="37"/>
        <v>0</v>
      </c>
      <c r="G184">
        <f t="shared" si="38"/>
        <v>0</v>
      </c>
      <c r="H184">
        <f t="shared" si="39"/>
        <v>0</v>
      </c>
      <c r="I184">
        <f t="shared" si="40"/>
        <v>0</v>
      </c>
      <c r="J184">
        <f t="shared" si="41"/>
        <v>0</v>
      </c>
      <c r="K184" s="4" t="e">
        <f t="shared" si="44"/>
        <v>#N/A</v>
      </c>
      <c r="L184" t="e">
        <f t="shared" si="45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2"/>
        <v>0</v>
      </c>
      <c r="B185">
        <f t="shared" si="33"/>
        <v>0</v>
      </c>
      <c r="C185">
        <f t="shared" si="34"/>
        <v>0</v>
      </c>
      <c r="D185">
        <f t="shared" si="35"/>
        <v>0</v>
      </c>
      <c r="E185" t="e">
        <f t="shared" si="36"/>
        <v>#N/A</v>
      </c>
      <c r="F185">
        <f t="shared" si="37"/>
        <v>0</v>
      </c>
      <c r="G185">
        <f t="shared" si="38"/>
        <v>0</v>
      </c>
      <c r="H185">
        <f t="shared" si="39"/>
        <v>0</v>
      </c>
      <c r="I185">
        <f t="shared" si="40"/>
        <v>0</v>
      </c>
      <c r="J185">
        <f t="shared" si="41"/>
        <v>0</v>
      </c>
      <c r="K185" s="4" t="e">
        <f t="shared" si="44"/>
        <v>#N/A</v>
      </c>
      <c r="L185" t="e">
        <f t="shared" si="45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2"/>
        <v>0</v>
      </c>
      <c r="B186">
        <f t="shared" si="33"/>
        <v>0</v>
      </c>
      <c r="C186">
        <f t="shared" si="34"/>
        <v>0</v>
      </c>
      <c r="D186">
        <f t="shared" si="35"/>
        <v>0</v>
      </c>
      <c r="E186" t="e">
        <f t="shared" si="36"/>
        <v>#N/A</v>
      </c>
      <c r="F186">
        <f t="shared" si="37"/>
        <v>0</v>
      </c>
      <c r="G186">
        <f t="shared" si="38"/>
        <v>0</v>
      </c>
      <c r="H186">
        <f t="shared" si="39"/>
        <v>0</v>
      </c>
      <c r="I186">
        <f t="shared" si="40"/>
        <v>0</v>
      </c>
      <c r="J186">
        <f t="shared" si="41"/>
        <v>0</v>
      </c>
      <c r="K186" s="4" t="e">
        <f t="shared" si="44"/>
        <v>#N/A</v>
      </c>
      <c r="L186" t="e">
        <f t="shared" si="45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2"/>
        <v>0</v>
      </c>
      <c r="B187">
        <f t="shared" si="33"/>
        <v>0</v>
      </c>
      <c r="C187">
        <f t="shared" si="34"/>
        <v>0</v>
      </c>
      <c r="D187">
        <f t="shared" si="35"/>
        <v>0</v>
      </c>
      <c r="E187" t="e">
        <f t="shared" si="36"/>
        <v>#N/A</v>
      </c>
      <c r="F187">
        <f t="shared" si="37"/>
        <v>0</v>
      </c>
      <c r="G187">
        <f t="shared" si="38"/>
        <v>0</v>
      </c>
      <c r="H187">
        <f t="shared" si="39"/>
        <v>0</v>
      </c>
      <c r="I187">
        <f t="shared" si="40"/>
        <v>0</v>
      </c>
      <c r="J187">
        <f t="shared" si="41"/>
        <v>0</v>
      </c>
      <c r="K187" s="4" t="e">
        <f t="shared" si="44"/>
        <v>#N/A</v>
      </c>
      <c r="L187" t="e">
        <f t="shared" si="45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2"/>
        <v>0</v>
      </c>
      <c r="B188">
        <f t="shared" si="33"/>
        <v>0</v>
      </c>
      <c r="C188">
        <f t="shared" si="34"/>
        <v>0</v>
      </c>
      <c r="D188">
        <f t="shared" si="35"/>
        <v>0</v>
      </c>
      <c r="E188" t="e">
        <f t="shared" si="36"/>
        <v>#N/A</v>
      </c>
      <c r="F188">
        <f t="shared" si="37"/>
        <v>0</v>
      </c>
      <c r="G188">
        <f t="shared" si="38"/>
        <v>0</v>
      </c>
      <c r="H188">
        <f t="shared" si="39"/>
        <v>0</v>
      </c>
      <c r="I188">
        <f t="shared" si="40"/>
        <v>0</v>
      </c>
      <c r="J188">
        <f t="shared" si="41"/>
        <v>0</v>
      </c>
      <c r="K188" s="4" t="e">
        <f t="shared" si="44"/>
        <v>#N/A</v>
      </c>
      <c r="L188" t="e">
        <f t="shared" si="45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2"/>
        <v>0</v>
      </c>
      <c r="B189">
        <f t="shared" si="33"/>
        <v>0</v>
      </c>
      <c r="C189">
        <f t="shared" si="34"/>
        <v>0</v>
      </c>
      <c r="D189">
        <f t="shared" si="35"/>
        <v>0</v>
      </c>
      <c r="E189" t="e">
        <f t="shared" si="36"/>
        <v>#N/A</v>
      </c>
      <c r="F189">
        <f t="shared" si="37"/>
        <v>0</v>
      </c>
      <c r="G189">
        <f t="shared" si="38"/>
        <v>0</v>
      </c>
      <c r="H189">
        <f t="shared" si="39"/>
        <v>0</v>
      </c>
      <c r="I189">
        <f t="shared" si="40"/>
        <v>0</v>
      </c>
      <c r="J189">
        <f t="shared" si="41"/>
        <v>0</v>
      </c>
      <c r="K189" s="4" t="e">
        <f t="shared" si="44"/>
        <v>#N/A</v>
      </c>
      <c r="L189" t="e">
        <f t="shared" si="45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2"/>
        <v>0</v>
      </c>
      <c r="B190">
        <f t="shared" si="33"/>
        <v>0</v>
      </c>
      <c r="C190">
        <f t="shared" si="34"/>
        <v>0</v>
      </c>
      <c r="D190">
        <f t="shared" si="35"/>
        <v>0</v>
      </c>
      <c r="E190" t="e">
        <f t="shared" si="36"/>
        <v>#N/A</v>
      </c>
      <c r="F190">
        <f t="shared" si="37"/>
        <v>0</v>
      </c>
      <c r="G190">
        <f t="shared" si="38"/>
        <v>0</v>
      </c>
      <c r="H190">
        <f t="shared" si="39"/>
        <v>0</v>
      </c>
      <c r="I190">
        <f t="shared" si="40"/>
        <v>0</v>
      </c>
      <c r="J190">
        <f t="shared" si="41"/>
        <v>0</v>
      </c>
      <c r="K190" s="4" t="e">
        <f t="shared" si="44"/>
        <v>#N/A</v>
      </c>
      <c r="L190" t="e">
        <f t="shared" si="45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2"/>
        <v>0</v>
      </c>
      <c r="B191">
        <f t="shared" si="33"/>
        <v>0</v>
      </c>
      <c r="C191">
        <f t="shared" si="34"/>
        <v>0</v>
      </c>
      <c r="D191">
        <f t="shared" si="35"/>
        <v>0</v>
      </c>
      <c r="E191" t="e">
        <f t="shared" si="36"/>
        <v>#N/A</v>
      </c>
      <c r="F191">
        <f t="shared" si="37"/>
        <v>0</v>
      </c>
      <c r="G191">
        <f t="shared" si="38"/>
        <v>0</v>
      </c>
      <c r="H191">
        <f t="shared" si="39"/>
        <v>0</v>
      </c>
      <c r="I191">
        <f t="shared" si="40"/>
        <v>0</v>
      </c>
      <c r="J191">
        <f t="shared" si="41"/>
        <v>0</v>
      </c>
      <c r="K191" s="4" t="e">
        <f t="shared" si="44"/>
        <v>#N/A</v>
      </c>
      <c r="L191" t="e">
        <f t="shared" si="45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2"/>
        <v>0</v>
      </c>
      <c r="B192">
        <f t="shared" si="33"/>
        <v>0</v>
      </c>
      <c r="C192">
        <f t="shared" si="34"/>
        <v>0</v>
      </c>
      <c r="D192">
        <f t="shared" si="35"/>
        <v>0</v>
      </c>
      <c r="E192" t="e">
        <f t="shared" si="36"/>
        <v>#N/A</v>
      </c>
      <c r="F192">
        <f t="shared" si="37"/>
        <v>0</v>
      </c>
      <c r="G192">
        <f t="shared" si="38"/>
        <v>0</v>
      </c>
      <c r="H192">
        <f t="shared" si="39"/>
        <v>0</v>
      </c>
      <c r="I192">
        <f t="shared" si="40"/>
        <v>0</v>
      </c>
      <c r="J192">
        <f t="shared" si="41"/>
        <v>0</v>
      </c>
      <c r="K192" s="4" t="e">
        <f t="shared" si="44"/>
        <v>#N/A</v>
      </c>
      <c r="L192" t="e">
        <f t="shared" si="45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2"/>
        <v>0</v>
      </c>
      <c r="B193">
        <f t="shared" si="33"/>
        <v>0</v>
      </c>
      <c r="C193">
        <f t="shared" si="34"/>
        <v>0</v>
      </c>
      <c r="D193">
        <f t="shared" si="35"/>
        <v>0</v>
      </c>
      <c r="E193" t="e">
        <f t="shared" si="36"/>
        <v>#N/A</v>
      </c>
      <c r="F193">
        <f t="shared" si="37"/>
        <v>0</v>
      </c>
      <c r="G193">
        <f t="shared" si="38"/>
        <v>0</v>
      </c>
      <c r="H193">
        <f t="shared" si="39"/>
        <v>0</v>
      </c>
      <c r="I193">
        <f t="shared" si="40"/>
        <v>0</v>
      </c>
      <c r="J193">
        <f t="shared" si="41"/>
        <v>0</v>
      </c>
      <c r="K193" s="4" t="e">
        <f t="shared" si="44"/>
        <v>#N/A</v>
      </c>
      <c r="L193" t="e">
        <f t="shared" si="45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6">bd_campaign</f>
        <v>0</v>
      </c>
      <c r="B194">
        <f t="shared" ref="B194:B257" si="47">bd_site</f>
        <v>0</v>
      </c>
      <c r="C194">
        <f t="shared" ref="C194:C257" si="48">bd_placement</f>
        <v>0</v>
      </c>
      <c r="D194">
        <f t="shared" ref="D194:D257" si="49">bd_placementID</f>
        <v>0</v>
      </c>
      <c r="E194" t="e">
        <f t="shared" ref="E194:E257" si="50">VLOOKUP(CONCATENATE(bd_adtype,"_",bd_creativetype),tabela,2,FALSE)</f>
        <v>#N/A</v>
      </c>
      <c r="F194">
        <f t="shared" ref="F194:F257" si="51">bd_ad</f>
        <v>0</v>
      </c>
      <c r="G194">
        <f t="shared" ref="G194:G257" si="52">bd_adid</f>
        <v>0</v>
      </c>
      <c r="H194">
        <f t="shared" ref="H194:H257" si="53">bd_creativetype</f>
        <v>0</v>
      </c>
      <c r="I194">
        <f t="shared" ref="I194:I257" si="54">bd_impression</f>
        <v>0</v>
      </c>
      <c r="J194">
        <f t="shared" ref="J194:J257" si="55">bd_clicks</f>
        <v>0</v>
      </c>
      <c r="K194" s="4" t="e">
        <f t="shared" si="44"/>
        <v>#N/A</v>
      </c>
      <c r="L194" t="e">
        <f t="shared" si="45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6"/>
        <v>0</v>
      </c>
      <c r="B195">
        <f t="shared" si="47"/>
        <v>0</v>
      </c>
      <c r="C195">
        <f t="shared" si="48"/>
        <v>0</v>
      </c>
      <c r="D195">
        <f t="shared" si="49"/>
        <v>0</v>
      </c>
      <c r="E195" t="e">
        <f t="shared" si="50"/>
        <v>#N/A</v>
      </c>
      <c r="F195">
        <f t="shared" si="51"/>
        <v>0</v>
      </c>
      <c r="G195">
        <f t="shared" si="52"/>
        <v>0</v>
      </c>
      <c r="H195">
        <f t="shared" si="53"/>
        <v>0</v>
      </c>
      <c r="I195">
        <f t="shared" si="54"/>
        <v>0</v>
      </c>
      <c r="J195">
        <f t="shared" si="55"/>
        <v>0</v>
      </c>
      <c r="K195" s="4" t="e">
        <f t="shared" si="44"/>
        <v>#N/A</v>
      </c>
      <c r="L195" t="e">
        <f t="shared" si="45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6"/>
        <v>0</v>
      </c>
      <c r="B196">
        <f t="shared" si="47"/>
        <v>0</v>
      </c>
      <c r="C196">
        <f t="shared" si="48"/>
        <v>0</v>
      </c>
      <c r="D196">
        <f t="shared" si="49"/>
        <v>0</v>
      </c>
      <c r="E196" t="e">
        <f t="shared" si="50"/>
        <v>#N/A</v>
      </c>
      <c r="F196">
        <f t="shared" si="51"/>
        <v>0</v>
      </c>
      <c r="G196">
        <f t="shared" si="52"/>
        <v>0</v>
      </c>
      <c r="H196">
        <f t="shared" si="53"/>
        <v>0</v>
      </c>
      <c r="I196">
        <f t="shared" si="54"/>
        <v>0</v>
      </c>
      <c r="J196">
        <f t="shared" si="55"/>
        <v>0</v>
      </c>
      <c r="K196" s="4" t="e">
        <f t="shared" si="44"/>
        <v>#N/A</v>
      </c>
      <c r="L196" t="e">
        <f t="shared" si="45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6"/>
        <v>0</v>
      </c>
      <c r="B197">
        <f t="shared" si="47"/>
        <v>0</v>
      </c>
      <c r="C197">
        <f t="shared" si="48"/>
        <v>0</v>
      </c>
      <c r="D197">
        <f t="shared" si="49"/>
        <v>0</v>
      </c>
      <c r="E197" t="e">
        <f t="shared" si="50"/>
        <v>#N/A</v>
      </c>
      <c r="F197">
        <f t="shared" si="51"/>
        <v>0</v>
      </c>
      <c r="G197">
        <f t="shared" si="52"/>
        <v>0</v>
      </c>
      <c r="H197">
        <f t="shared" si="53"/>
        <v>0</v>
      </c>
      <c r="I197">
        <f t="shared" si="54"/>
        <v>0</v>
      </c>
      <c r="J197">
        <f t="shared" si="55"/>
        <v>0</v>
      </c>
      <c r="K197" s="4" t="e">
        <f t="shared" si="44"/>
        <v>#N/A</v>
      </c>
      <c r="L197" t="e">
        <f t="shared" si="45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6"/>
        <v>0</v>
      </c>
      <c r="B198">
        <f t="shared" si="47"/>
        <v>0</v>
      </c>
      <c r="C198">
        <f t="shared" si="48"/>
        <v>0</v>
      </c>
      <c r="D198">
        <f t="shared" si="49"/>
        <v>0</v>
      </c>
      <c r="E198" t="e">
        <f t="shared" si="50"/>
        <v>#N/A</v>
      </c>
      <c r="F198">
        <f t="shared" si="51"/>
        <v>0</v>
      </c>
      <c r="G198">
        <f t="shared" si="52"/>
        <v>0</v>
      </c>
      <c r="H198">
        <f t="shared" si="53"/>
        <v>0</v>
      </c>
      <c r="I198">
        <f t="shared" si="54"/>
        <v>0</v>
      </c>
      <c r="J198">
        <f t="shared" si="55"/>
        <v>0</v>
      </c>
      <c r="K198" s="4" t="e">
        <f t="shared" si="44"/>
        <v>#N/A</v>
      </c>
      <c r="L198" t="e">
        <f t="shared" si="45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6"/>
        <v>0</v>
      </c>
      <c r="B199">
        <f t="shared" si="47"/>
        <v>0</v>
      </c>
      <c r="C199">
        <f t="shared" si="48"/>
        <v>0</v>
      </c>
      <c r="D199">
        <f t="shared" si="49"/>
        <v>0</v>
      </c>
      <c r="E199" t="e">
        <f t="shared" si="50"/>
        <v>#N/A</v>
      </c>
      <c r="F199">
        <f t="shared" si="51"/>
        <v>0</v>
      </c>
      <c r="G199">
        <f t="shared" si="52"/>
        <v>0</v>
      </c>
      <c r="H199">
        <f t="shared" si="53"/>
        <v>0</v>
      </c>
      <c r="I199">
        <f t="shared" si="54"/>
        <v>0</v>
      </c>
      <c r="J199">
        <f t="shared" si="55"/>
        <v>0</v>
      </c>
      <c r="K199" s="4" t="e">
        <f t="shared" si="44"/>
        <v>#N/A</v>
      </c>
      <c r="L199" t="e">
        <f t="shared" si="45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6"/>
        <v>0</v>
      </c>
      <c r="B200">
        <f t="shared" si="47"/>
        <v>0</v>
      </c>
      <c r="C200">
        <f t="shared" si="48"/>
        <v>0</v>
      </c>
      <c r="D200">
        <f t="shared" si="49"/>
        <v>0</v>
      </c>
      <c r="E200" t="e">
        <f t="shared" si="50"/>
        <v>#N/A</v>
      </c>
      <c r="F200">
        <f t="shared" si="51"/>
        <v>0</v>
      </c>
      <c r="G200">
        <f t="shared" si="52"/>
        <v>0</v>
      </c>
      <c r="H200">
        <f t="shared" si="53"/>
        <v>0</v>
      </c>
      <c r="I200">
        <f t="shared" si="54"/>
        <v>0</v>
      </c>
      <c r="J200">
        <f t="shared" si="55"/>
        <v>0</v>
      </c>
      <c r="K200" s="4" t="e">
        <f t="shared" si="44"/>
        <v>#N/A</v>
      </c>
      <c r="L200" t="e">
        <f t="shared" si="45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6"/>
        <v>0</v>
      </c>
      <c r="B201">
        <f t="shared" si="47"/>
        <v>0</v>
      </c>
      <c r="C201">
        <f t="shared" si="48"/>
        <v>0</v>
      </c>
      <c r="D201">
        <f t="shared" si="49"/>
        <v>0</v>
      </c>
      <c r="E201" t="e">
        <f t="shared" si="50"/>
        <v>#N/A</v>
      </c>
      <c r="F201">
        <f t="shared" si="51"/>
        <v>0</v>
      </c>
      <c r="G201">
        <f t="shared" si="52"/>
        <v>0</v>
      </c>
      <c r="H201">
        <f t="shared" si="53"/>
        <v>0</v>
      </c>
      <c r="I201">
        <f t="shared" si="54"/>
        <v>0</v>
      </c>
      <c r="J201">
        <f t="shared" si="55"/>
        <v>0</v>
      </c>
      <c r="K201" s="4" t="e">
        <f t="shared" si="44"/>
        <v>#N/A</v>
      </c>
      <c r="L201" t="e">
        <f t="shared" si="45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6"/>
        <v>0</v>
      </c>
      <c r="B202">
        <f t="shared" si="47"/>
        <v>0</v>
      </c>
      <c r="C202">
        <f t="shared" si="48"/>
        <v>0</v>
      </c>
      <c r="D202">
        <f t="shared" si="49"/>
        <v>0</v>
      </c>
      <c r="E202" t="e">
        <f t="shared" si="50"/>
        <v>#N/A</v>
      </c>
      <c r="F202">
        <f t="shared" si="51"/>
        <v>0</v>
      </c>
      <c r="G202">
        <f t="shared" si="52"/>
        <v>0</v>
      </c>
      <c r="H202">
        <f t="shared" si="53"/>
        <v>0</v>
      </c>
      <c r="I202">
        <f t="shared" si="54"/>
        <v>0</v>
      </c>
      <c r="J202">
        <f t="shared" si="55"/>
        <v>0</v>
      </c>
      <c r="K202" s="4" t="e">
        <f t="shared" si="44"/>
        <v>#N/A</v>
      </c>
      <c r="L202" t="e">
        <f t="shared" si="45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6"/>
        <v>0</v>
      </c>
      <c r="B203">
        <f t="shared" si="47"/>
        <v>0</v>
      </c>
      <c r="C203">
        <f t="shared" si="48"/>
        <v>0</v>
      </c>
      <c r="D203">
        <f t="shared" si="49"/>
        <v>0</v>
      </c>
      <c r="E203" t="e">
        <f t="shared" si="50"/>
        <v>#N/A</v>
      </c>
      <c r="F203">
        <f t="shared" si="51"/>
        <v>0</v>
      </c>
      <c r="G203">
        <f t="shared" si="52"/>
        <v>0</v>
      </c>
      <c r="H203">
        <f t="shared" si="53"/>
        <v>0</v>
      </c>
      <c r="I203">
        <f t="shared" si="54"/>
        <v>0</v>
      </c>
      <c r="J203">
        <f t="shared" si="55"/>
        <v>0</v>
      </c>
      <c r="K203" s="4" t="e">
        <f t="shared" si="44"/>
        <v>#N/A</v>
      </c>
      <c r="L203" t="e">
        <f t="shared" si="45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6"/>
        <v>0</v>
      </c>
      <c r="B204">
        <f t="shared" si="47"/>
        <v>0</v>
      </c>
      <c r="C204">
        <f t="shared" si="48"/>
        <v>0</v>
      </c>
      <c r="D204">
        <f t="shared" si="49"/>
        <v>0</v>
      </c>
      <c r="E204" t="e">
        <f t="shared" si="50"/>
        <v>#N/A</v>
      </c>
      <c r="F204">
        <f t="shared" si="51"/>
        <v>0</v>
      </c>
      <c r="G204">
        <f t="shared" si="52"/>
        <v>0</v>
      </c>
      <c r="H204">
        <f t="shared" si="53"/>
        <v>0</v>
      </c>
      <c r="I204">
        <f t="shared" si="54"/>
        <v>0</v>
      </c>
      <c r="J204">
        <f t="shared" si="55"/>
        <v>0</v>
      </c>
      <c r="K204" s="4" t="e">
        <f t="shared" si="44"/>
        <v>#N/A</v>
      </c>
      <c r="L204" t="e">
        <f t="shared" si="45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6"/>
        <v>0</v>
      </c>
      <c r="B205">
        <f t="shared" si="47"/>
        <v>0</v>
      </c>
      <c r="C205">
        <f t="shared" si="48"/>
        <v>0</v>
      </c>
      <c r="D205">
        <f t="shared" si="49"/>
        <v>0</v>
      </c>
      <c r="E205" t="e">
        <f t="shared" si="50"/>
        <v>#N/A</v>
      </c>
      <c r="F205">
        <f t="shared" si="51"/>
        <v>0</v>
      </c>
      <c r="G205">
        <f t="shared" si="52"/>
        <v>0</v>
      </c>
      <c r="H205">
        <f t="shared" si="53"/>
        <v>0</v>
      </c>
      <c r="I205">
        <f t="shared" si="54"/>
        <v>0</v>
      </c>
      <c r="J205">
        <f t="shared" si="55"/>
        <v>0</v>
      </c>
      <c r="K205" s="4" t="e">
        <f t="shared" si="44"/>
        <v>#N/A</v>
      </c>
      <c r="L205" t="e">
        <f t="shared" si="45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6"/>
        <v>0</v>
      </c>
      <c r="B206">
        <f t="shared" si="47"/>
        <v>0</v>
      </c>
      <c r="C206">
        <f t="shared" si="48"/>
        <v>0</v>
      </c>
      <c r="D206">
        <f t="shared" si="49"/>
        <v>0</v>
      </c>
      <c r="E206" t="e">
        <f t="shared" si="50"/>
        <v>#N/A</v>
      </c>
      <c r="F206">
        <f t="shared" si="51"/>
        <v>0</v>
      </c>
      <c r="G206">
        <f t="shared" si="52"/>
        <v>0</v>
      </c>
      <c r="H206">
        <f t="shared" si="53"/>
        <v>0</v>
      </c>
      <c r="I206">
        <f t="shared" si="54"/>
        <v>0</v>
      </c>
      <c r="J206">
        <f t="shared" si="55"/>
        <v>0</v>
      </c>
      <c r="K206" s="4" t="e">
        <f t="shared" si="44"/>
        <v>#N/A</v>
      </c>
      <c r="L206" t="e">
        <f t="shared" si="45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6"/>
        <v>0</v>
      </c>
      <c r="B207">
        <f t="shared" si="47"/>
        <v>0</v>
      </c>
      <c r="C207">
        <f t="shared" si="48"/>
        <v>0</v>
      </c>
      <c r="D207">
        <f t="shared" si="49"/>
        <v>0</v>
      </c>
      <c r="E207" t="e">
        <f t="shared" si="50"/>
        <v>#N/A</v>
      </c>
      <c r="F207">
        <f t="shared" si="51"/>
        <v>0</v>
      </c>
      <c r="G207">
        <f t="shared" si="52"/>
        <v>0</v>
      </c>
      <c r="H207">
        <f t="shared" si="53"/>
        <v>0</v>
      </c>
      <c r="I207">
        <f t="shared" si="54"/>
        <v>0</v>
      </c>
      <c r="J207">
        <f t="shared" si="55"/>
        <v>0</v>
      </c>
      <c r="K207" s="4" t="e">
        <f t="shared" si="44"/>
        <v>#N/A</v>
      </c>
      <c r="L207" t="e">
        <f t="shared" si="45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6"/>
        <v>0</v>
      </c>
      <c r="B208">
        <f t="shared" si="47"/>
        <v>0</v>
      </c>
      <c r="C208">
        <f t="shared" si="48"/>
        <v>0</v>
      </c>
      <c r="D208">
        <f t="shared" si="49"/>
        <v>0</v>
      </c>
      <c r="E208" t="e">
        <f t="shared" si="50"/>
        <v>#N/A</v>
      </c>
      <c r="F208">
        <f t="shared" si="51"/>
        <v>0</v>
      </c>
      <c r="G208">
        <f t="shared" si="52"/>
        <v>0</v>
      </c>
      <c r="H208">
        <f t="shared" si="53"/>
        <v>0</v>
      </c>
      <c r="I208">
        <f t="shared" si="54"/>
        <v>0</v>
      </c>
      <c r="J208">
        <f t="shared" si="55"/>
        <v>0</v>
      </c>
      <c r="K208" s="4" t="e">
        <f t="shared" si="44"/>
        <v>#N/A</v>
      </c>
      <c r="L208" t="e">
        <f t="shared" si="45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6"/>
        <v>0</v>
      </c>
      <c r="B209">
        <f t="shared" si="47"/>
        <v>0</v>
      </c>
      <c r="C209">
        <f t="shared" si="48"/>
        <v>0</v>
      </c>
      <c r="D209">
        <f t="shared" si="49"/>
        <v>0</v>
      </c>
      <c r="E209" t="e">
        <f t="shared" si="50"/>
        <v>#N/A</v>
      </c>
      <c r="F209">
        <f t="shared" si="51"/>
        <v>0</v>
      </c>
      <c r="G209">
        <f t="shared" si="52"/>
        <v>0</v>
      </c>
      <c r="H209">
        <f t="shared" si="53"/>
        <v>0</v>
      </c>
      <c r="I209">
        <f t="shared" si="54"/>
        <v>0</v>
      </c>
      <c r="J209">
        <f t="shared" si="55"/>
        <v>0</v>
      </c>
      <c r="K209" s="4" t="e">
        <f t="shared" si="44"/>
        <v>#N/A</v>
      </c>
      <c r="L209" t="e">
        <f t="shared" si="45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6"/>
        <v>0</v>
      </c>
      <c r="B210">
        <f t="shared" si="47"/>
        <v>0</v>
      </c>
      <c r="C210">
        <f t="shared" si="48"/>
        <v>0</v>
      </c>
      <c r="D210">
        <f t="shared" si="49"/>
        <v>0</v>
      </c>
      <c r="E210" t="e">
        <f t="shared" si="50"/>
        <v>#N/A</v>
      </c>
      <c r="F210">
        <f t="shared" si="51"/>
        <v>0</v>
      </c>
      <c r="G210">
        <f t="shared" si="52"/>
        <v>0</v>
      </c>
      <c r="H210">
        <f t="shared" si="53"/>
        <v>0</v>
      </c>
      <c r="I210">
        <f t="shared" si="54"/>
        <v>0</v>
      </c>
      <c r="J210">
        <f t="shared" si="55"/>
        <v>0</v>
      </c>
      <c r="K210" s="4" t="e">
        <f t="shared" si="44"/>
        <v>#N/A</v>
      </c>
      <c r="L210" t="e">
        <f t="shared" si="45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6"/>
        <v>0</v>
      </c>
      <c r="B211">
        <f t="shared" si="47"/>
        <v>0</v>
      </c>
      <c r="C211">
        <f t="shared" si="48"/>
        <v>0</v>
      </c>
      <c r="D211">
        <f t="shared" si="49"/>
        <v>0</v>
      </c>
      <c r="E211" t="e">
        <f t="shared" si="50"/>
        <v>#N/A</v>
      </c>
      <c r="F211">
        <f t="shared" si="51"/>
        <v>0</v>
      </c>
      <c r="G211">
        <f t="shared" si="52"/>
        <v>0</v>
      </c>
      <c r="H211">
        <f t="shared" si="53"/>
        <v>0</v>
      </c>
      <c r="I211">
        <f t="shared" si="54"/>
        <v>0</v>
      </c>
      <c r="J211">
        <f t="shared" si="55"/>
        <v>0</v>
      </c>
      <c r="K211" s="4" t="e">
        <f t="shared" si="44"/>
        <v>#N/A</v>
      </c>
      <c r="L211" t="e">
        <f t="shared" si="45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6"/>
        <v>0</v>
      </c>
      <c r="B212">
        <f t="shared" si="47"/>
        <v>0</v>
      </c>
      <c r="C212">
        <f t="shared" si="48"/>
        <v>0</v>
      </c>
      <c r="D212">
        <f t="shared" si="49"/>
        <v>0</v>
      </c>
      <c r="E212" t="e">
        <f t="shared" si="50"/>
        <v>#N/A</v>
      </c>
      <c r="F212">
        <f t="shared" si="51"/>
        <v>0</v>
      </c>
      <c r="G212">
        <f t="shared" si="52"/>
        <v>0</v>
      </c>
      <c r="H212">
        <f t="shared" si="53"/>
        <v>0</v>
      </c>
      <c r="I212">
        <f t="shared" si="54"/>
        <v>0</v>
      </c>
      <c r="J212">
        <f t="shared" si="55"/>
        <v>0</v>
      </c>
      <c r="K212" s="4" t="e">
        <f t="shared" si="44"/>
        <v>#N/A</v>
      </c>
      <c r="L212" t="e">
        <f t="shared" si="45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6"/>
        <v>0</v>
      </c>
      <c r="B213">
        <f t="shared" si="47"/>
        <v>0</v>
      </c>
      <c r="C213">
        <f t="shared" si="48"/>
        <v>0</v>
      </c>
      <c r="D213">
        <f t="shared" si="49"/>
        <v>0</v>
      </c>
      <c r="E213" t="e">
        <f t="shared" si="50"/>
        <v>#N/A</v>
      </c>
      <c r="F213">
        <f t="shared" si="51"/>
        <v>0</v>
      </c>
      <c r="G213">
        <f t="shared" si="52"/>
        <v>0</v>
      </c>
      <c r="H213">
        <f t="shared" si="53"/>
        <v>0</v>
      </c>
      <c r="I213">
        <f t="shared" si="54"/>
        <v>0</v>
      </c>
      <c r="J213">
        <f t="shared" si="55"/>
        <v>0</v>
      </c>
      <c r="K213" s="4" t="e">
        <f t="shared" si="44"/>
        <v>#N/A</v>
      </c>
      <c r="L213" t="e">
        <f t="shared" si="45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6"/>
        <v>0</v>
      </c>
      <c r="B214">
        <f t="shared" si="47"/>
        <v>0</v>
      </c>
      <c r="C214">
        <f t="shared" si="48"/>
        <v>0</v>
      </c>
      <c r="D214">
        <f t="shared" si="49"/>
        <v>0</v>
      </c>
      <c r="E214" t="e">
        <f t="shared" si="50"/>
        <v>#N/A</v>
      </c>
      <c r="F214">
        <f t="shared" si="51"/>
        <v>0</v>
      </c>
      <c r="G214">
        <f t="shared" si="52"/>
        <v>0</v>
      </c>
      <c r="H214">
        <f t="shared" si="53"/>
        <v>0</v>
      </c>
      <c r="I214">
        <f t="shared" si="54"/>
        <v>0</v>
      </c>
      <c r="J214">
        <f t="shared" si="55"/>
        <v>0</v>
      </c>
      <c r="K214" s="4" t="e">
        <f t="shared" si="44"/>
        <v>#N/A</v>
      </c>
      <c r="L214" t="e">
        <f t="shared" si="45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6"/>
        <v>0</v>
      </c>
      <c r="B215">
        <f t="shared" si="47"/>
        <v>0</v>
      </c>
      <c r="C215">
        <f t="shared" si="48"/>
        <v>0</v>
      </c>
      <c r="D215">
        <f t="shared" si="49"/>
        <v>0</v>
      </c>
      <c r="E215" t="e">
        <f t="shared" si="50"/>
        <v>#N/A</v>
      </c>
      <c r="F215">
        <f t="shared" si="51"/>
        <v>0</v>
      </c>
      <c r="G215">
        <f t="shared" si="52"/>
        <v>0</v>
      </c>
      <c r="H215">
        <f t="shared" si="53"/>
        <v>0</v>
      </c>
      <c r="I215">
        <f t="shared" si="54"/>
        <v>0</v>
      </c>
      <c r="J215">
        <f t="shared" si="55"/>
        <v>0</v>
      </c>
      <c r="K215" s="4" t="e">
        <f t="shared" si="44"/>
        <v>#N/A</v>
      </c>
      <c r="L215" t="e">
        <f t="shared" si="45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6"/>
        <v>0</v>
      </c>
      <c r="B216">
        <f t="shared" si="47"/>
        <v>0</v>
      </c>
      <c r="C216">
        <f t="shared" si="48"/>
        <v>0</v>
      </c>
      <c r="D216">
        <f t="shared" si="49"/>
        <v>0</v>
      </c>
      <c r="E216" t="e">
        <f t="shared" si="50"/>
        <v>#N/A</v>
      </c>
      <c r="F216">
        <f t="shared" si="51"/>
        <v>0</v>
      </c>
      <c r="G216">
        <f t="shared" si="52"/>
        <v>0</v>
      </c>
      <c r="H216">
        <f t="shared" si="53"/>
        <v>0</v>
      </c>
      <c r="I216">
        <f t="shared" si="54"/>
        <v>0</v>
      </c>
      <c r="J216">
        <f t="shared" si="55"/>
        <v>0</v>
      </c>
      <c r="K216" s="4" t="e">
        <f t="shared" si="44"/>
        <v>#N/A</v>
      </c>
      <c r="L216" t="e">
        <f t="shared" si="45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6"/>
        <v>0</v>
      </c>
      <c r="B217">
        <f t="shared" si="47"/>
        <v>0</v>
      </c>
      <c r="C217">
        <f t="shared" si="48"/>
        <v>0</v>
      </c>
      <c r="D217">
        <f t="shared" si="49"/>
        <v>0</v>
      </c>
      <c r="E217" t="e">
        <f t="shared" si="50"/>
        <v>#N/A</v>
      </c>
      <c r="F217">
        <f t="shared" si="51"/>
        <v>0</v>
      </c>
      <c r="G217">
        <f t="shared" si="52"/>
        <v>0</v>
      </c>
      <c r="H217">
        <f t="shared" si="53"/>
        <v>0</v>
      </c>
      <c r="I217">
        <f t="shared" si="54"/>
        <v>0</v>
      </c>
      <c r="J217">
        <f t="shared" si="55"/>
        <v>0</v>
      </c>
      <c r="K217" s="4" t="e">
        <f t="shared" si="44"/>
        <v>#N/A</v>
      </c>
      <c r="L217" t="e">
        <f t="shared" si="45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6"/>
        <v>0</v>
      </c>
      <c r="B218">
        <f t="shared" si="47"/>
        <v>0</v>
      </c>
      <c r="C218">
        <f t="shared" si="48"/>
        <v>0</v>
      </c>
      <c r="D218">
        <f t="shared" si="49"/>
        <v>0</v>
      </c>
      <c r="E218" t="e">
        <f t="shared" si="50"/>
        <v>#N/A</v>
      </c>
      <c r="F218">
        <f t="shared" si="51"/>
        <v>0</v>
      </c>
      <c r="G218">
        <f t="shared" si="52"/>
        <v>0</v>
      </c>
      <c r="H218">
        <f t="shared" si="53"/>
        <v>0</v>
      </c>
      <c r="I218">
        <f t="shared" si="54"/>
        <v>0</v>
      </c>
      <c r="J218">
        <f t="shared" si="55"/>
        <v>0</v>
      </c>
      <c r="K218" s="4" t="e">
        <f t="shared" si="44"/>
        <v>#N/A</v>
      </c>
      <c r="L218" t="e">
        <f t="shared" si="45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6"/>
        <v>0</v>
      </c>
      <c r="B219">
        <f t="shared" si="47"/>
        <v>0</v>
      </c>
      <c r="C219">
        <f t="shared" si="48"/>
        <v>0</v>
      </c>
      <c r="D219">
        <f t="shared" si="49"/>
        <v>0</v>
      </c>
      <c r="E219" t="e">
        <f t="shared" si="50"/>
        <v>#N/A</v>
      </c>
      <c r="F219">
        <f t="shared" si="51"/>
        <v>0</v>
      </c>
      <c r="G219">
        <f t="shared" si="52"/>
        <v>0</v>
      </c>
      <c r="H219">
        <f t="shared" si="53"/>
        <v>0</v>
      </c>
      <c r="I219">
        <f t="shared" si="54"/>
        <v>0</v>
      </c>
      <c r="J219">
        <f t="shared" si="55"/>
        <v>0</v>
      </c>
      <c r="K219" s="4" t="e">
        <f t="shared" si="44"/>
        <v>#N/A</v>
      </c>
      <c r="L219" t="e">
        <f t="shared" si="45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6"/>
        <v>0</v>
      </c>
      <c r="B220">
        <f t="shared" si="47"/>
        <v>0</v>
      </c>
      <c r="C220">
        <f t="shared" si="48"/>
        <v>0</v>
      </c>
      <c r="D220">
        <f t="shared" si="49"/>
        <v>0</v>
      </c>
      <c r="E220" t="e">
        <f t="shared" si="50"/>
        <v>#N/A</v>
      </c>
      <c r="F220">
        <f t="shared" si="51"/>
        <v>0</v>
      </c>
      <c r="G220">
        <f t="shared" si="52"/>
        <v>0</v>
      </c>
      <c r="H220">
        <f t="shared" si="53"/>
        <v>0</v>
      </c>
      <c r="I220">
        <f t="shared" si="54"/>
        <v>0</v>
      </c>
      <c r="J220">
        <f t="shared" si="55"/>
        <v>0</v>
      </c>
      <c r="K220" s="4" t="e">
        <f t="shared" si="44"/>
        <v>#N/A</v>
      </c>
      <c r="L220" t="e">
        <f t="shared" si="45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6"/>
        <v>0</v>
      </c>
      <c r="B221">
        <f t="shared" si="47"/>
        <v>0</v>
      </c>
      <c r="C221">
        <f t="shared" si="48"/>
        <v>0</v>
      </c>
      <c r="D221">
        <f t="shared" si="49"/>
        <v>0</v>
      </c>
      <c r="E221" t="e">
        <f t="shared" si="50"/>
        <v>#N/A</v>
      </c>
      <c r="F221">
        <f t="shared" si="51"/>
        <v>0</v>
      </c>
      <c r="G221">
        <f t="shared" si="52"/>
        <v>0</v>
      </c>
      <c r="H221">
        <f t="shared" si="53"/>
        <v>0</v>
      </c>
      <c r="I221">
        <f t="shared" si="54"/>
        <v>0</v>
      </c>
      <c r="J221">
        <f t="shared" si="55"/>
        <v>0</v>
      </c>
      <c r="K221" s="4" t="e">
        <f t="shared" si="44"/>
        <v>#N/A</v>
      </c>
      <c r="L221" t="e">
        <f t="shared" si="45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6"/>
        <v>0</v>
      </c>
      <c r="B222">
        <f t="shared" si="47"/>
        <v>0</v>
      </c>
      <c r="C222">
        <f t="shared" si="48"/>
        <v>0</v>
      </c>
      <c r="D222">
        <f t="shared" si="49"/>
        <v>0</v>
      </c>
      <c r="E222" t="e">
        <f t="shared" si="50"/>
        <v>#N/A</v>
      </c>
      <c r="F222">
        <f t="shared" si="51"/>
        <v>0</v>
      </c>
      <c r="G222">
        <f t="shared" si="52"/>
        <v>0</v>
      </c>
      <c r="H222">
        <f t="shared" si="53"/>
        <v>0</v>
      </c>
      <c r="I222">
        <f t="shared" si="54"/>
        <v>0</v>
      </c>
      <c r="J222">
        <f t="shared" si="55"/>
        <v>0</v>
      </c>
      <c r="K222" s="4" t="e">
        <f t="shared" si="44"/>
        <v>#N/A</v>
      </c>
      <c r="L222" t="e">
        <f t="shared" si="45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6"/>
        <v>0</v>
      </c>
      <c r="B223">
        <f t="shared" si="47"/>
        <v>0</v>
      </c>
      <c r="C223">
        <f t="shared" si="48"/>
        <v>0</v>
      </c>
      <c r="D223">
        <f t="shared" si="49"/>
        <v>0</v>
      </c>
      <c r="E223" t="e">
        <f t="shared" si="50"/>
        <v>#N/A</v>
      </c>
      <c r="F223">
        <f t="shared" si="51"/>
        <v>0</v>
      </c>
      <c r="G223">
        <f t="shared" si="52"/>
        <v>0</v>
      </c>
      <c r="H223">
        <f t="shared" si="53"/>
        <v>0</v>
      </c>
      <c r="I223">
        <f t="shared" si="54"/>
        <v>0</v>
      </c>
      <c r="J223">
        <f t="shared" si="55"/>
        <v>0</v>
      </c>
      <c r="K223" s="4" t="e">
        <f t="shared" si="44"/>
        <v>#N/A</v>
      </c>
      <c r="L223" t="e">
        <f t="shared" si="45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6"/>
        <v>0</v>
      </c>
      <c r="B224">
        <f t="shared" si="47"/>
        <v>0</v>
      </c>
      <c r="C224">
        <f t="shared" si="48"/>
        <v>0</v>
      </c>
      <c r="D224">
        <f t="shared" si="49"/>
        <v>0</v>
      </c>
      <c r="E224" t="e">
        <f t="shared" si="50"/>
        <v>#N/A</v>
      </c>
      <c r="F224">
        <f t="shared" si="51"/>
        <v>0</v>
      </c>
      <c r="G224">
        <f t="shared" si="52"/>
        <v>0</v>
      </c>
      <c r="H224">
        <f t="shared" si="53"/>
        <v>0</v>
      </c>
      <c r="I224">
        <f t="shared" si="54"/>
        <v>0</v>
      </c>
      <c r="J224">
        <f t="shared" si="55"/>
        <v>0</v>
      </c>
      <c r="K224" s="4" t="e">
        <f t="shared" si="44"/>
        <v>#N/A</v>
      </c>
      <c r="L224" t="e">
        <f t="shared" si="45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6"/>
        <v>0</v>
      </c>
      <c r="B225">
        <f t="shared" si="47"/>
        <v>0</v>
      </c>
      <c r="C225">
        <f t="shared" si="48"/>
        <v>0</v>
      </c>
      <c r="D225">
        <f t="shared" si="49"/>
        <v>0</v>
      </c>
      <c r="E225" t="e">
        <f t="shared" si="50"/>
        <v>#N/A</v>
      </c>
      <c r="F225">
        <f t="shared" si="51"/>
        <v>0</v>
      </c>
      <c r="G225">
        <f t="shared" si="52"/>
        <v>0</v>
      </c>
      <c r="H225">
        <f t="shared" si="53"/>
        <v>0</v>
      </c>
      <c r="I225">
        <f t="shared" si="54"/>
        <v>0</v>
      </c>
      <c r="J225">
        <f t="shared" si="55"/>
        <v>0</v>
      </c>
      <c r="K225" s="4" t="e">
        <f t="shared" si="44"/>
        <v>#N/A</v>
      </c>
      <c r="L225" t="e">
        <f t="shared" si="45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6"/>
        <v>0</v>
      </c>
      <c r="B226">
        <f t="shared" si="47"/>
        <v>0</v>
      </c>
      <c r="C226">
        <f t="shared" si="48"/>
        <v>0</v>
      </c>
      <c r="D226">
        <f t="shared" si="49"/>
        <v>0</v>
      </c>
      <c r="E226" t="e">
        <f t="shared" si="50"/>
        <v>#N/A</v>
      </c>
      <c r="F226">
        <f t="shared" si="51"/>
        <v>0</v>
      </c>
      <c r="G226">
        <f t="shared" si="52"/>
        <v>0</v>
      </c>
      <c r="H226">
        <f t="shared" si="53"/>
        <v>0</v>
      </c>
      <c r="I226">
        <f t="shared" si="54"/>
        <v>0</v>
      </c>
      <c r="J226">
        <f t="shared" si="55"/>
        <v>0</v>
      </c>
      <c r="K226" s="4" t="e">
        <f t="shared" si="44"/>
        <v>#N/A</v>
      </c>
      <c r="L226" t="e">
        <f t="shared" si="45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6"/>
        <v>0</v>
      </c>
      <c r="B227">
        <f t="shared" si="47"/>
        <v>0</v>
      </c>
      <c r="C227">
        <f t="shared" si="48"/>
        <v>0</v>
      </c>
      <c r="D227">
        <f t="shared" si="49"/>
        <v>0</v>
      </c>
      <c r="E227" t="e">
        <f t="shared" si="50"/>
        <v>#N/A</v>
      </c>
      <c r="F227">
        <f t="shared" si="51"/>
        <v>0</v>
      </c>
      <c r="G227">
        <f t="shared" si="52"/>
        <v>0</v>
      </c>
      <c r="H227">
        <f t="shared" si="53"/>
        <v>0</v>
      </c>
      <c r="I227">
        <f t="shared" si="54"/>
        <v>0</v>
      </c>
      <c r="J227">
        <f t="shared" si="55"/>
        <v>0</v>
      </c>
      <c r="K227" s="4" t="e">
        <f t="shared" si="44"/>
        <v>#N/A</v>
      </c>
      <c r="L227" t="e">
        <f t="shared" si="45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6"/>
        <v>0</v>
      </c>
      <c r="B228">
        <f t="shared" si="47"/>
        <v>0</v>
      </c>
      <c r="C228">
        <f t="shared" si="48"/>
        <v>0</v>
      </c>
      <c r="D228">
        <f t="shared" si="49"/>
        <v>0</v>
      </c>
      <c r="E228" t="e">
        <f t="shared" si="50"/>
        <v>#N/A</v>
      </c>
      <c r="F228">
        <f t="shared" si="51"/>
        <v>0</v>
      </c>
      <c r="G228">
        <f t="shared" si="52"/>
        <v>0</v>
      </c>
      <c r="H228">
        <f t="shared" si="53"/>
        <v>0</v>
      </c>
      <c r="I228">
        <f t="shared" si="54"/>
        <v>0</v>
      </c>
      <c r="J228">
        <f t="shared" si="55"/>
        <v>0</v>
      </c>
      <c r="K228" s="4" t="e">
        <f t="shared" si="44"/>
        <v>#N/A</v>
      </c>
      <c r="L228" t="e">
        <f t="shared" si="45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6"/>
        <v>0</v>
      </c>
      <c r="B229">
        <f t="shared" si="47"/>
        <v>0</v>
      </c>
      <c r="C229">
        <f t="shared" si="48"/>
        <v>0</v>
      </c>
      <c r="D229">
        <f t="shared" si="49"/>
        <v>0</v>
      </c>
      <c r="E229" t="e">
        <f t="shared" si="50"/>
        <v>#N/A</v>
      </c>
      <c r="F229">
        <f t="shared" si="51"/>
        <v>0</v>
      </c>
      <c r="G229">
        <f t="shared" si="52"/>
        <v>0</v>
      </c>
      <c r="H229">
        <f t="shared" si="53"/>
        <v>0</v>
      </c>
      <c r="I229">
        <f t="shared" si="54"/>
        <v>0</v>
      </c>
      <c r="J229">
        <f t="shared" si="55"/>
        <v>0</v>
      </c>
      <c r="K229" s="4" t="e">
        <f t="shared" si="44"/>
        <v>#N/A</v>
      </c>
      <c r="L229" t="e">
        <f t="shared" si="45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6"/>
        <v>0</v>
      </c>
      <c r="B230">
        <f t="shared" si="47"/>
        <v>0</v>
      </c>
      <c r="C230">
        <f t="shared" si="48"/>
        <v>0</v>
      </c>
      <c r="D230">
        <f t="shared" si="49"/>
        <v>0</v>
      </c>
      <c r="E230" t="e">
        <f t="shared" si="50"/>
        <v>#N/A</v>
      </c>
      <c r="F230">
        <f t="shared" si="51"/>
        <v>0</v>
      </c>
      <c r="G230">
        <f t="shared" si="52"/>
        <v>0</v>
      </c>
      <c r="H230">
        <f t="shared" si="53"/>
        <v>0</v>
      </c>
      <c r="I230">
        <f t="shared" si="54"/>
        <v>0</v>
      </c>
      <c r="J230">
        <f t="shared" si="55"/>
        <v>0</v>
      </c>
      <c r="K230" s="4" t="e">
        <f t="shared" si="44"/>
        <v>#N/A</v>
      </c>
      <c r="L230" t="e">
        <f t="shared" si="45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6"/>
        <v>0</v>
      </c>
      <c r="B231">
        <f t="shared" si="47"/>
        <v>0</v>
      </c>
      <c r="C231">
        <f t="shared" si="48"/>
        <v>0</v>
      </c>
      <c r="D231">
        <f t="shared" si="49"/>
        <v>0</v>
      </c>
      <c r="E231" t="e">
        <f t="shared" si="50"/>
        <v>#N/A</v>
      </c>
      <c r="F231">
        <f t="shared" si="51"/>
        <v>0</v>
      </c>
      <c r="G231">
        <f t="shared" si="52"/>
        <v>0</v>
      </c>
      <c r="H231">
        <f t="shared" si="53"/>
        <v>0</v>
      </c>
      <c r="I231">
        <f t="shared" si="54"/>
        <v>0</v>
      </c>
      <c r="J231">
        <f t="shared" si="55"/>
        <v>0</v>
      </c>
      <c r="K231" s="4" t="e">
        <f t="shared" si="44"/>
        <v>#N/A</v>
      </c>
      <c r="L231" t="e">
        <f t="shared" si="45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6"/>
        <v>0</v>
      </c>
      <c r="B232">
        <f t="shared" si="47"/>
        <v>0</v>
      </c>
      <c r="C232">
        <f t="shared" si="48"/>
        <v>0</v>
      </c>
      <c r="D232">
        <f t="shared" si="49"/>
        <v>0</v>
      </c>
      <c r="E232" t="e">
        <f t="shared" si="50"/>
        <v>#N/A</v>
      </c>
      <c r="F232">
        <f t="shared" si="51"/>
        <v>0</v>
      </c>
      <c r="G232">
        <f t="shared" si="52"/>
        <v>0</v>
      </c>
      <c r="H232">
        <f t="shared" si="53"/>
        <v>0</v>
      </c>
      <c r="I232">
        <f t="shared" si="54"/>
        <v>0</v>
      </c>
      <c r="J232">
        <f t="shared" si="55"/>
        <v>0</v>
      </c>
      <c r="K232" s="4" t="e">
        <f t="shared" si="44"/>
        <v>#N/A</v>
      </c>
      <c r="L232" t="e">
        <f t="shared" si="45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6"/>
        <v>0</v>
      </c>
      <c r="B233">
        <f t="shared" si="47"/>
        <v>0</v>
      </c>
      <c r="C233">
        <f t="shared" si="48"/>
        <v>0</v>
      </c>
      <c r="D233">
        <f t="shared" si="49"/>
        <v>0</v>
      </c>
      <c r="E233" t="e">
        <f t="shared" si="50"/>
        <v>#N/A</v>
      </c>
      <c r="F233">
        <f t="shared" si="51"/>
        <v>0</v>
      </c>
      <c r="G233">
        <f t="shared" si="52"/>
        <v>0</v>
      </c>
      <c r="H233">
        <f t="shared" si="53"/>
        <v>0</v>
      </c>
      <c r="I233">
        <f t="shared" si="54"/>
        <v>0</v>
      </c>
      <c r="J233">
        <f t="shared" si="55"/>
        <v>0</v>
      </c>
      <c r="K233" s="4" t="e">
        <f t="shared" si="44"/>
        <v>#N/A</v>
      </c>
      <c r="L233" t="e">
        <f t="shared" si="45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6"/>
        <v>0</v>
      </c>
      <c r="B234">
        <f t="shared" si="47"/>
        <v>0</v>
      </c>
      <c r="C234">
        <f t="shared" si="48"/>
        <v>0</v>
      </c>
      <c r="D234">
        <f t="shared" si="49"/>
        <v>0</v>
      </c>
      <c r="E234" t="e">
        <f t="shared" si="50"/>
        <v>#N/A</v>
      </c>
      <c r="F234">
        <f t="shared" si="51"/>
        <v>0</v>
      </c>
      <c r="G234">
        <f t="shared" si="52"/>
        <v>0</v>
      </c>
      <c r="H234">
        <f t="shared" si="53"/>
        <v>0</v>
      </c>
      <c r="I234">
        <f t="shared" si="54"/>
        <v>0</v>
      </c>
      <c r="J234">
        <f t="shared" si="55"/>
        <v>0</v>
      </c>
      <c r="K234" s="4" t="e">
        <f t="shared" si="44"/>
        <v>#N/A</v>
      </c>
      <c r="L234" t="e">
        <f t="shared" si="45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6"/>
        <v>0</v>
      </c>
      <c r="B235">
        <f t="shared" si="47"/>
        <v>0</v>
      </c>
      <c r="C235">
        <f t="shared" si="48"/>
        <v>0</v>
      </c>
      <c r="D235">
        <f t="shared" si="49"/>
        <v>0</v>
      </c>
      <c r="E235" t="e">
        <f t="shared" si="50"/>
        <v>#N/A</v>
      </c>
      <c r="F235">
        <f t="shared" si="51"/>
        <v>0</v>
      </c>
      <c r="G235">
        <f t="shared" si="52"/>
        <v>0</v>
      </c>
      <c r="H235">
        <f t="shared" si="53"/>
        <v>0</v>
      </c>
      <c r="I235">
        <f t="shared" si="54"/>
        <v>0</v>
      </c>
      <c r="J235">
        <f t="shared" si="55"/>
        <v>0</v>
      </c>
      <c r="K235" s="4" t="e">
        <f t="shared" si="44"/>
        <v>#N/A</v>
      </c>
      <c r="L235" t="e">
        <f t="shared" si="45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6"/>
        <v>0</v>
      </c>
      <c r="B236">
        <f t="shared" si="47"/>
        <v>0</v>
      </c>
      <c r="C236">
        <f t="shared" si="48"/>
        <v>0</v>
      </c>
      <c r="D236">
        <f t="shared" si="49"/>
        <v>0</v>
      </c>
      <c r="E236" t="e">
        <f t="shared" si="50"/>
        <v>#N/A</v>
      </c>
      <c r="F236">
        <f t="shared" si="51"/>
        <v>0</v>
      </c>
      <c r="G236">
        <f t="shared" si="52"/>
        <v>0</v>
      </c>
      <c r="H236">
        <f t="shared" si="53"/>
        <v>0</v>
      </c>
      <c r="I236">
        <f t="shared" si="54"/>
        <v>0</v>
      </c>
      <c r="J236">
        <f t="shared" si="55"/>
        <v>0</v>
      </c>
      <c r="K236" s="4" t="e">
        <f t="shared" ref="K236:K299" si="58">IF(LEFT(B236,3)="DBM",0,VLOOKUP(E236,tabela,2,FALSE))</f>
        <v>#N/A</v>
      </c>
      <c r="L236" t="e">
        <f t="shared" ref="L236:L299" si="59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6"/>
        <v>0</v>
      </c>
      <c r="B237">
        <f t="shared" si="47"/>
        <v>0</v>
      </c>
      <c r="C237">
        <f t="shared" si="48"/>
        <v>0</v>
      </c>
      <c r="D237">
        <f t="shared" si="49"/>
        <v>0</v>
      </c>
      <c r="E237" t="e">
        <f t="shared" si="50"/>
        <v>#N/A</v>
      </c>
      <c r="F237">
        <f t="shared" si="51"/>
        <v>0</v>
      </c>
      <c r="G237">
        <f t="shared" si="52"/>
        <v>0</v>
      </c>
      <c r="H237">
        <f t="shared" si="53"/>
        <v>0</v>
      </c>
      <c r="I237">
        <f t="shared" si="54"/>
        <v>0</v>
      </c>
      <c r="J237">
        <f t="shared" si="55"/>
        <v>0</v>
      </c>
      <c r="K237" s="4" t="e">
        <f t="shared" si="58"/>
        <v>#N/A</v>
      </c>
      <c r="L237" t="e">
        <f t="shared" si="59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6"/>
        <v>0</v>
      </c>
      <c r="B238">
        <f t="shared" si="47"/>
        <v>0</v>
      </c>
      <c r="C238">
        <f t="shared" si="48"/>
        <v>0</v>
      </c>
      <c r="D238">
        <f t="shared" si="49"/>
        <v>0</v>
      </c>
      <c r="E238" t="e">
        <f t="shared" si="50"/>
        <v>#N/A</v>
      </c>
      <c r="F238">
        <f t="shared" si="51"/>
        <v>0</v>
      </c>
      <c r="G238">
        <f t="shared" si="52"/>
        <v>0</v>
      </c>
      <c r="H238">
        <f t="shared" si="53"/>
        <v>0</v>
      </c>
      <c r="I238">
        <f t="shared" si="54"/>
        <v>0</v>
      </c>
      <c r="J238">
        <f t="shared" si="55"/>
        <v>0</v>
      </c>
      <c r="K238" s="4" t="e">
        <f t="shared" si="58"/>
        <v>#N/A</v>
      </c>
      <c r="L238" t="e">
        <f t="shared" si="59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6"/>
        <v>0</v>
      </c>
      <c r="B239">
        <f t="shared" si="47"/>
        <v>0</v>
      </c>
      <c r="C239">
        <f t="shared" si="48"/>
        <v>0</v>
      </c>
      <c r="D239">
        <f t="shared" si="49"/>
        <v>0</v>
      </c>
      <c r="E239" t="e">
        <f t="shared" si="50"/>
        <v>#N/A</v>
      </c>
      <c r="F239">
        <f t="shared" si="51"/>
        <v>0</v>
      </c>
      <c r="G239">
        <f t="shared" si="52"/>
        <v>0</v>
      </c>
      <c r="H239">
        <f t="shared" si="53"/>
        <v>0</v>
      </c>
      <c r="I239">
        <f t="shared" si="54"/>
        <v>0</v>
      </c>
      <c r="J239">
        <f t="shared" si="55"/>
        <v>0</v>
      </c>
      <c r="K239" s="4" t="e">
        <f t="shared" si="58"/>
        <v>#N/A</v>
      </c>
      <c r="L239" t="e">
        <f t="shared" si="59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6"/>
        <v>0</v>
      </c>
      <c r="B240">
        <f t="shared" si="47"/>
        <v>0</v>
      </c>
      <c r="C240">
        <f t="shared" si="48"/>
        <v>0</v>
      </c>
      <c r="D240">
        <f t="shared" si="49"/>
        <v>0</v>
      </c>
      <c r="E240" t="e">
        <f t="shared" si="50"/>
        <v>#N/A</v>
      </c>
      <c r="F240">
        <f t="shared" si="51"/>
        <v>0</v>
      </c>
      <c r="G240">
        <f t="shared" si="52"/>
        <v>0</v>
      </c>
      <c r="H240">
        <f t="shared" si="53"/>
        <v>0</v>
      </c>
      <c r="I240">
        <f t="shared" si="54"/>
        <v>0</v>
      </c>
      <c r="J240">
        <f t="shared" si="55"/>
        <v>0</v>
      </c>
      <c r="K240" s="4" t="e">
        <f t="shared" si="58"/>
        <v>#N/A</v>
      </c>
      <c r="L240" t="e">
        <f t="shared" si="59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6"/>
        <v>0</v>
      </c>
      <c r="B241">
        <f t="shared" si="47"/>
        <v>0</v>
      </c>
      <c r="C241">
        <f t="shared" si="48"/>
        <v>0</v>
      </c>
      <c r="D241">
        <f t="shared" si="49"/>
        <v>0</v>
      </c>
      <c r="E241" t="e">
        <f t="shared" si="50"/>
        <v>#N/A</v>
      </c>
      <c r="F241">
        <f t="shared" si="51"/>
        <v>0</v>
      </c>
      <c r="G241">
        <f t="shared" si="52"/>
        <v>0</v>
      </c>
      <c r="H241">
        <f t="shared" si="53"/>
        <v>0</v>
      </c>
      <c r="I241">
        <f t="shared" si="54"/>
        <v>0</v>
      </c>
      <c r="J241">
        <f t="shared" si="55"/>
        <v>0</v>
      </c>
      <c r="K241" s="4" t="e">
        <f t="shared" si="58"/>
        <v>#N/A</v>
      </c>
      <c r="L241" t="e">
        <f t="shared" si="59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6"/>
        <v>0</v>
      </c>
      <c r="B242">
        <f t="shared" si="47"/>
        <v>0</v>
      </c>
      <c r="C242">
        <f t="shared" si="48"/>
        <v>0</v>
      </c>
      <c r="D242">
        <f t="shared" si="49"/>
        <v>0</v>
      </c>
      <c r="E242" t="e">
        <f t="shared" si="50"/>
        <v>#N/A</v>
      </c>
      <c r="F242">
        <f t="shared" si="51"/>
        <v>0</v>
      </c>
      <c r="G242">
        <f t="shared" si="52"/>
        <v>0</v>
      </c>
      <c r="H242">
        <f t="shared" si="53"/>
        <v>0</v>
      </c>
      <c r="I242">
        <f t="shared" si="54"/>
        <v>0</v>
      </c>
      <c r="J242">
        <f t="shared" si="55"/>
        <v>0</v>
      </c>
      <c r="K242" s="4" t="e">
        <f t="shared" si="58"/>
        <v>#N/A</v>
      </c>
      <c r="L242" t="e">
        <f t="shared" si="59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A149" sqref="A149:XFD149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2253341</v>
      </c>
      <c r="E4" s="14">
        <f>C4*D4/1000</f>
        <v>202.80069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1733.6006899999998</v>
      </c>
      <c r="H5" s="14">
        <f>SUM(total_ferramenta_filtrada)</f>
        <v>353.96762619999998</v>
      </c>
    </row>
    <row r="6" spans="1:8">
      <c r="B6" s="13" t="s">
        <v>10</v>
      </c>
      <c r="C6" s="2">
        <v>0.02</v>
      </c>
      <c r="D6" s="2">
        <f>SUMIF(adtype_filtrada,$B6,clicks_filtrada)</f>
        <v>76540</v>
      </c>
      <c r="E6" s="14">
        <f>C6*D6</f>
        <v>1530.8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1733.60069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53</v>
      </c>
      <c r="D20" t="s">
        <v>54</v>
      </c>
      <c r="E20" t="s">
        <v>55</v>
      </c>
      <c r="F20" t="s">
        <v>10</v>
      </c>
      <c r="G20" t="s">
        <v>54</v>
      </c>
      <c r="H20" t="s">
        <v>56</v>
      </c>
      <c r="I20" t="s">
        <v>32</v>
      </c>
      <c r="J20">
        <v>0</v>
      </c>
      <c r="K20">
        <v>126</v>
      </c>
      <c r="L20" s="4">
        <v>3.5000000000000001E-3</v>
      </c>
      <c r="M20">
        <v>0.02</v>
      </c>
      <c r="N20" s="4">
        <v>0.441</v>
      </c>
      <c r="O20" s="4">
        <v>2.52</v>
      </c>
    </row>
    <row r="21" spans="1:15">
      <c r="B21" t="s">
        <v>52</v>
      </c>
      <c r="C21" t="s">
        <v>53</v>
      </c>
      <c r="D21" t="s">
        <v>57</v>
      </c>
      <c r="E21" t="s">
        <v>58</v>
      </c>
      <c r="F21" t="s">
        <v>10</v>
      </c>
      <c r="G21" t="s">
        <v>57</v>
      </c>
      <c r="H21" t="s">
        <v>59</v>
      </c>
      <c r="I21" t="s">
        <v>32</v>
      </c>
      <c r="J21">
        <v>0</v>
      </c>
      <c r="K21">
        <v>1029</v>
      </c>
      <c r="L21" s="4">
        <v>3.5000000000000001E-3</v>
      </c>
      <c r="M21">
        <v>0.02</v>
      </c>
      <c r="N21" s="4">
        <v>3.6015000000000001</v>
      </c>
      <c r="O21" s="4">
        <v>20.580000000000002</v>
      </c>
    </row>
    <row r="22" spans="1:15">
      <c r="B22" t="s">
        <v>52</v>
      </c>
      <c r="C22" t="s">
        <v>53</v>
      </c>
      <c r="D22" t="s">
        <v>60</v>
      </c>
      <c r="E22" t="s">
        <v>61</v>
      </c>
      <c r="F22" t="s">
        <v>10</v>
      </c>
      <c r="G22" t="s">
        <v>60</v>
      </c>
      <c r="H22" t="s">
        <v>62</v>
      </c>
      <c r="I22" t="s">
        <v>32</v>
      </c>
      <c r="J22">
        <v>0</v>
      </c>
      <c r="K22">
        <v>3</v>
      </c>
      <c r="L22" s="4">
        <v>3.5000000000000001E-3</v>
      </c>
      <c r="M22">
        <v>0.02</v>
      </c>
      <c r="N22" s="4">
        <v>1.0500000000000001E-2</v>
      </c>
      <c r="O22" s="4">
        <v>0.06</v>
      </c>
    </row>
    <row r="23" spans="1:15">
      <c r="B23" t="s">
        <v>52</v>
      </c>
      <c r="C23" t="s">
        <v>53</v>
      </c>
      <c r="D23" t="s">
        <v>63</v>
      </c>
      <c r="E23" t="s">
        <v>64</v>
      </c>
      <c r="F23" t="s">
        <v>10</v>
      </c>
      <c r="G23" t="s">
        <v>63</v>
      </c>
      <c r="H23" t="s">
        <v>65</v>
      </c>
      <c r="I23" t="s">
        <v>32</v>
      </c>
      <c r="J23">
        <v>0</v>
      </c>
      <c r="K23">
        <v>38</v>
      </c>
      <c r="L23" s="4">
        <v>3.5000000000000001E-3</v>
      </c>
      <c r="M23">
        <v>0.02</v>
      </c>
      <c r="N23" s="4">
        <v>0.13300000000000001</v>
      </c>
      <c r="O23" s="4">
        <v>0.76</v>
      </c>
    </row>
    <row r="24" spans="1:15">
      <c r="B24" t="s">
        <v>52</v>
      </c>
      <c r="C24" t="s">
        <v>53</v>
      </c>
      <c r="D24" t="s">
        <v>66</v>
      </c>
      <c r="E24" t="s">
        <v>67</v>
      </c>
      <c r="F24" t="s">
        <v>10</v>
      </c>
      <c r="G24" t="s">
        <v>66</v>
      </c>
      <c r="H24" t="s">
        <v>68</v>
      </c>
      <c r="I24" t="s">
        <v>32</v>
      </c>
      <c r="J24">
        <v>0</v>
      </c>
      <c r="K24">
        <v>3</v>
      </c>
      <c r="L24" s="4">
        <v>3.5000000000000001E-3</v>
      </c>
      <c r="M24">
        <v>0.02</v>
      </c>
      <c r="N24" s="4">
        <v>1.0500000000000001E-2</v>
      </c>
      <c r="O24" s="4">
        <v>0.06</v>
      </c>
    </row>
    <row r="25" spans="1:15">
      <c r="B25" t="s">
        <v>52</v>
      </c>
      <c r="C25" t="s">
        <v>53</v>
      </c>
      <c r="D25" t="s">
        <v>69</v>
      </c>
      <c r="E25" t="s">
        <v>70</v>
      </c>
      <c r="F25" t="s">
        <v>10</v>
      </c>
      <c r="G25" t="s">
        <v>69</v>
      </c>
      <c r="H25" t="s">
        <v>71</v>
      </c>
      <c r="I25" t="s">
        <v>32</v>
      </c>
      <c r="J25">
        <v>0</v>
      </c>
      <c r="K25">
        <v>68</v>
      </c>
      <c r="L25" s="4">
        <v>3.5000000000000001E-3</v>
      </c>
      <c r="M25">
        <v>0.02</v>
      </c>
      <c r="N25" s="4">
        <v>0.23800000000000002</v>
      </c>
      <c r="O25" s="4">
        <v>1.36</v>
      </c>
    </row>
    <row r="26" spans="1:15">
      <c r="B26" t="s">
        <v>52</v>
      </c>
      <c r="C26" t="s">
        <v>53</v>
      </c>
      <c r="D26" t="s">
        <v>72</v>
      </c>
      <c r="E26" t="s">
        <v>73</v>
      </c>
      <c r="F26" t="s">
        <v>10</v>
      </c>
      <c r="G26" t="s">
        <v>72</v>
      </c>
      <c r="H26" t="s">
        <v>74</v>
      </c>
      <c r="I26" t="s">
        <v>32</v>
      </c>
      <c r="J26">
        <v>0</v>
      </c>
      <c r="K26">
        <v>191</v>
      </c>
      <c r="L26" s="4">
        <v>3.5000000000000001E-3</v>
      </c>
      <c r="M26">
        <v>0.02</v>
      </c>
      <c r="N26" s="4">
        <v>0.66849999999999998</v>
      </c>
      <c r="O26" s="4">
        <v>3.8200000000000003</v>
      </c>
    </row>
    <row r="27" spans="1:15">
      <c r="B27" t="s">
        <v>52</v>
      </c>
      <c r="C27" t="s">
        <v>53</v>
      </c>
      <c r="D27" t="s">
        <v>75</v>
      </c>
      <c r="E27" t="s">
        <v>76</v>
      </c>
      <c r="F27" t="s">
        <v>10</v>
      </c>
      <c r="G27" t="s">
        <v>75</v>
      </c>
      <c r="H27" t="s">
        <v>77</v>
      </c>
      <c r="I27" t="s">
        <v>32</v>
      </c>
      <c r="J27">
        <v>0</v>
      </c>
      <c r="K27">
        <v>4</v>
      </c>
      <c r="L27" s="4">
        <v>3.5000000000000001E-3</v>
      </c>
      <c r="M27">
        <v>0.02</v>
      </c>
      <c r="N27" s="4">
        <v>1.4E-2</v>
      </c>
      <c r="O27" s="4">
        <v>0.08</v>
      </c>
    </row>
    <row r="28" spans="1:15">
      <c r="B28" t="s">
        <v>52</v>
      </c>
      <c r="C28" t="s">
        <v>53</v>
      </c>
      <c r="D28" t="s">
        <v>78</v>
      </c>
      <c r="E28" t="s">
        <v>79</v>
      </c>
      <c r="F28" t="s">
        <v>10</v>
      </c>
      <c r="G28" t="s">
        <v>78</v>
      </c>
      <c r="H28" t="s">
        <v>80</v>
      </c>
      <c r="I28" t="s">
        <v>32</v>
      </c>
      <c r="J28">
        <v>0</v>
      </c>
      <c r="K28">
        <v>1</v>
      </c>
      <c r="L28" s="4">
        <v>3.5000000000000001E-3</v>
      </c>
      <c r="M28">
        <v>0.02</v>
      </c>
      <c r="N28" s="4">
        <v>3.5000000000000001E-3</v>
      </c>
      <c r="O28" s="4">
        <v>0.02</v>
      </c>
    </row>
    <row r="29" spans="1:15">
      <c r="B29" t="s">
        <v>52</v>
      </c>
      <c r="C29" t="s">
        <v>53</v>
      </c>
      <c r="D29" t="s">
        <v>81</v>
      </c>
      <c r="E29" t="s">
        <v>82</v>
      </c>
      <c r="F29" t="s">
        <v>10</v>
      </c>
      <c r="G29" t="s">
        <v>81</v>
      </c>
      <c r="H29" t="s">
        <v>83</v>
      </c>
      <c r="I29" t="s">
        <v>32</v>
      </c>
      <c r="J29">
        <v>0</v>
      </c>
      <c r="K29">
        <v>5</v>
      </c>
      <c r="L29" s="4">
        <v>3.5000000000000001E-3</v>
      </c>
      <c r="M29">
        <v>0.02</v>
      </c>
      <c r="N29" s="4">
        <v>1.7500000000000002E-2</v>
      </c>
      <c r="O29" s="4">
        <v>0.1</v>
      </c>
    </row>
    <row r="30" spans="1:15">
      <c r="B30" t="s">
        <v>52</v>
      </c>
      <c r="C30" t="s">
        <v>53</v>
      </c>
      <c r="D30" t="s">
        <v>84</v>
      </c>
      <c r="E30" t="s">
        <v>85</v>
      </c>
      <c r="F30" t="s">
        <v>10</v>
      </c>
      <c r="G30" t="s">
        <v>84</v>
      </c>
      <c r="H30" t="s">
        <v>86</v>
      </c>
      <c r="I30" t="s">
        <v>32</v>
      </c>
      <c r="J30">
        <v>0</v>
      </c>
      <c r="K30">
        <v>1</v>
      </c>
      <c r="L30" s="4">
        <v>3.5000000000000001E-3</v>
      </c>
      <c r="M30">
        <v>0.02</v>
      </c>
      <c r="N30" s="4">
        <v>3.5000000000000001E-3</v>
      </c>
      <c r="O30" s="4">
        <v>0.02</v>
      </c>
    </row>
    <row r="31" spans="1:15">
      <c r="B31" t="s">
        <v>52</v>
      </c>
      <c r="C31" t="s">
        <v>53</v>
      </c>
      <c r="D31" t="s">
        <v>87</v>
      </c>
      <c r="E31" t="s">
        <v>88</v>
      </c>
      <c r="F31" t="s">
        <v>10</v>
      </c>
      <c r="G31" t="s">
        <v>87</v>
      </c>
      <c r="H31" t="s">
        <v>89</v>
      </c>
      <c r="I31" t="s">
        <v>32</v>
      </c>
      <c r="J31">
        <v>0</v>
      </c>
      <c r="K31">
        <v>1</v>
      </c>
      <c r="L31" s="4">
        <v>3.5000000000000001E-3</v>
      </c>
      <c r="M31">
        <v>0.02</v>
      </c>
      <c r="N31" s="4">
        <v>3.5000000000000001E-3</v>
      </c>
      <c r="O31" s="4">
        <v>0.02</v>
      </c>
    </row>
    <row r="32" spans="1:15">
      <c r="B32" t="s">
        <v>52</v>
      </c>
      <c r="C32" t="s">
        <v>53</v>
      </c>
      <c r="D32" t="s">
        <v>90</v>
      </c>
      <c r="E32" t="s">
        <v>91</v>
      </c>
      <c r="F32" t="s">
        <v>10</v>
      </c>
      <c r="G32" t="s">
        <v>90</v>
      </c>
      <c r="H32" t="s">
        <v>92</v>
      </c>
      <c r="I32" t="s">
        <v>32</v>
      </c>
      <c r="J32">
        <v>0</v>
      </c>
      <c r="K32">
        <v>1</v>
      </c>
      <c r="L32" s="4">
        <v>3.5000000000000001E-3</v>
      </c>
      <c r="M32">
        <v>0.02</v>
      </c>
      <c r="N32" s="4">
        <v>3.5000000000000001E-3</v>
      </c>
      <c r="O32" s="4">
        <v>0.02</v>
      </c>
    </row>
    <row r="33" spans="2:15">
      <c r="B33" t="s">
        <v>52</v>
      </c>
      <c r="C33" t="s">
        <v>53</v>
      </c>
      <c r="D33" t="s">
        <v>93</v>
      </c>
      <c r="E33" t="s">
        <v>94</v>
      </c>
      <c r="F33" t="s">
        <v>10</v>
      </c>
      <c r="G33" t="s">
        <v>93</v>
      </c>
      <c r="H33" t="s">
        <v>95</v>
      </c>
      <c r="I33" t="s">
        <v>32</v>
      </c>
      <c r="J33">
        <v>0</v>
      </c>
      <c r="K33">
        <v>1</v>
      </c>
      <c r="L33" s="4">
        <v>3.5000000000000001E-3</v>
      </c>
      <c r="M33">
        <v>0.02</v>
      </c>
      <c r="N33" s="4">
        <v>3.5000000000000001E-3</v>
      </c>
      <c r="O33" s="4">
        <v>0.02</v>
      </c>
    </row>
    <row r="34" spans="2:15">
      <c r="B34" t="s">
        <v>52</v>
      </c>
      <c r="C34" t="s">
        <v>53</v>
      </c>
      <c r="D34" t="s">
        <v>96</v>
      </c>
      <c r="E34" t="s">
        <v>97</v>
      </c>
      <c r="F34" t="s">
        <v>10</v>
      </c>
      <c r="G34" t="s">
        <v>96</v>
      </c>
      <c r="H34" t="s">
        <v>98</v>
      </c>
      <c r="I34" t="s">
        <v>32</v>
      </c>
      <c r="J34">
        <v>0</v>
      </c>
      <c r="K34">
        <v>1</v>
      </c>
      <c r="L34" s="4">
        <v>3.5000000000000001E-3</v>
      </c>
      <c r="M34">
        <v>0.02</v>
      </c>
      <c r="N34" s="4">
        <v>3.5000000000000001E-3</v>
      </c>
      <c r="O34" s="4">
        <v>0.02</v>
      </c>
    </row>
    <row r="35" spans="2:15">
      <c r="B35" t="s">
        <v>52</v>
      </c>
      <c r="C35" t="s">
        <v>53</v>
      </c>
      <c r="D35" t="s">
        <v>99</v>
      </c>
      <c r="E35" t="s">
        <v>100</v>
      </c>
      <c r="F35" t="s">
        <v>10</v>
      </c>
      <c r="G35" t="s">
        <v>99</v>
      </c>
      <c r="H35" t="s">
        <v>101</v>
      </c>
      <c r="I35" t="s">
        <v>32</v>
      </c>
      <c r="J35">
        <v>0</v>
      </c>
      <c r="K35">
        <v>1</v>
      </c>
      <c r="L35" s="4">
        <v>3.5000000000000001E-3</v>
      </c>
      <c r="M35">
        <v>0.02</v>
      </c>
      <c r="N35" s="4">
        <v>3.5000000000000001E-3</v>
      </c>
      <c r="O35" s="4">
        <v>0.02</v>
      </c>
    </row>
    <row r="36" spans="2:15">
      <c r="B36" t="s">
        <v>52</v>
      </c>
      <c r="C36" t="s">
        <v>53</v>
      </c>
      <c r="D36" t="s">
        <v>102</v>
      </c>
      <c r="E36" t="s">
        <v>103</v>
      </c>
      <c r="F36" t="s">
        <v>10</v>
      </c>
      <c r="G36" t="s">
        <v>102</v>
      </c>
      <c r="H36" t="s">
        <v>104</v>
      </c>
      <c r="I36" t="s">
        <v>32</v>
      </c>
      <c r="J36">
        <v>0</v>
      </c>
      <c r="K36">
        <v>1</v>
      </c>
      <c r="L36" s="4">
        <v>3.5000000000000001E-3</v>
      </c>
      <c r="M36">
        <v>0.02</v>
      </c>
      <c r="N36" s="4">
        <v>3.5000000000000001E-3</v>
      </c>
      <c r="O36" s="4">
        <v>0.02</v>
      </c>
    </row>
    <row r="37" spans="2:15">
      <c r="B37" t="s">
        <v>52</v>
      </c>
      <c r="C37" t="s">
        <v>53</v>
      </c>
      <c r="D37" t="s">
        <v>105</v>
      </c>
      <c r="E37" t="s">
        <v>106</v>
      </c>
      <c r="F37" t="s">
        <v>10</v>
      </c>
      <c r="G37" t="s">
        <v>105</v>
      </c>
      <c r="H37" t="s">
        <v>107</v>
      </c>
      <c r="I37" t="s">
        <v>32</v>
      </c>
      <c r="J37">
        <v>0</v>
      </c>
      <c r="K37">
        <v>2</v>
      </c>
      <c r="L37" s="4">
        <v>3.5000000000000001E-3</v>
      </c>
      <c r="M37">
        <v>0.02</v>
      </c>
      <c r="N37" s="4">
        <v>7.0000000000000001E-3</v>
      </c>
      <c r="O37" s="4">
        <v>0.04</v>
      </c>
    </row>
    <row r="38" spans="2:15">
      <c r="B38" t="s">
        <v>52</v>
      </c>
      <c r="C38" t="s">
        <v>53</v>
      </c>
      <c r="D38" t="s">
        <v>108</v>
      </c>
      <c r="E38" t="s">
        <v>109</v>
      </c>
      <c r="F38" t="s">
        <v>10</v>
      </c>
      <c r="G38" t="s">
        <v>108</v>
      </c>
      <c r="H38" t="s">
        <v>110</v>
      </c>
      <c r="I38" t="s">
        <v>32</v>
      </c>
      <c r="J38">
        <v>0</v>
      </c>
      <c r="K38">
        <v>8</v>
      </c>
      <c r="L38" s="4">
        <v>3.5000000000000001E-3</v>
      </c>
      <c r="M38">
        <v>0.02</v>
      </c>
      <c r="N38" s="4">
        <v>2.8000000000000001E-2</v>
      </c>
      <c r="O38" s="4">
        <v>0.16</v>
      </c>
    </row>
    <row r="39" spans="2:15">
      <c r="B39" t="s">
        <v>52</v>
      </c>
      <c r="C39" t="s">
        <v>53</v>
      </c>
      <c r="D39" t="s">
        <v>111</v>
      </c>
      <c r="E39" t="s">
        <v>112</v>
      </c>
      <c r="F39" t="s">
        <v>10</v>
      </c>
      <c r="G39" t="s">
        <v>111</v>
      </c>
      <c r="H39" t="s">
        <v>113</v>
      </c>
      <c r="I39" t="s">
        <v>32</v>
      </c>
      <c r="J39">
        <v>0</v>
      </c>
      <c r="K39">
        <v>1</v>
      </c>
      <c r="L39" s="4">
        <v>3.5000000000000001E-3</v>
      </c>
      <c r="M39">
        <v>0.02</v>
      </c>
      <c r="N39" s="4">
        <v>3.5000000000000001E-3</v>
      </c>
      <c r="O39" s="4">
        <v>0.02</v>
      </c>
    </row>
    <row r="40" spans="2:15">
      <c r="B40" t="s">
        <v>52</v>
      </c>
      <c r="C40" t="s">
        <v>53</v>
      </c>
      <c r="D40" t="s">
        <v>114</v>
      </c>
      <c r="E40" t="s">
        <v>115</v>
      </c>
      <c r="F40" t="s">
        <v>10</v>
      </c>
      <c r="G40" t="s">
        <v>114</v>
      </c>
      <c r="H40" t="s">
        <v>116</v>
      </c>
      <c r="I40" t="s">
        <v>32</v>
      </c>
      <c r="J40">
        <v>0</v>
      </c>
      <c r="K40">
        <v>1</v>
      </c>
      <c r="L40" s="4">
        <v>3.5000000000000001E-3</v>
      </c>
      <c r="M40">
        <v>0.02</v>
      </c>
      <c r="N40" s="4">
        <v>3.5000000000000001E-3</v>
      </c>
      <c r="O40" s="4">
        <v>0.02</v>
      </c>
    </row>
    <row r="41" spans="2:15">
      <c r="B41" t="s">
        <v>52</v>
      </c>
      <c r="C41" t="s">
        <v>53</v>
      </c>
      <c r="D41" t="s">
        <v>117</v>
      </c>
      <c r="E41" t="s">
        <v>118</v>
      </c>
      <c r="F41" t="s">
        <v>10</v>
      </c>
      <c r="G41" t="s">
        <v>117</v>
      </c>
      <c r="H41" t="s">
        <v>119</v>
      </c>
      <c r="I41" t="s">
        <v>32</v>
      </c>
      <c r="J41">
        <v>0</v>
      </c>
      <c r="K41">
        <v>1</v>
      </c>
      <c r="L41" s="4">
        <v>3.5000000000000001E-3</v>
      </c>
      <c r="M41">
        <v>0.02</v>
      </c>
      <c r="N41" s="4">
        <v>3.5000000000000001E-3</v>
      </c>
      <c r="O41" s="4">
        <v>0.02</v>
      </c>
    </row>
    <row r="42" spans="2:15">
      <c r="B42" t="s">
        <v>52</v>
      </c>
      <c r="C42" t="s">
        <v>53</v>
      </c>
      <c r="D42" t="s">
        <v>120</v>
      </c>
      <c r="E42" t="s">
        <v>121</v>
      </c>
      <c r="F42" t="s">
        <v>10</v>
      </c>
      <c r="G42" t="s">
        <v>120</v>
      </c>
      <c r="H42" t="s">
        <v>122</v>
      </c>
      <c r="I42" t="s">
        <v>32</v>
      </c>
      <c r="J42">
        <v>0</v>
      </c>
      <c r="K42">
        <v>20</v>
      </c>
      <c r="L42" s="4">
        <v>3.5000000000000001E-3</v>
      </c>
      <c r="M42">
        <v>0.02</v>
      </c>
      <c r="N42" s="4">
        <v>7.0000000000000007E-2</v>
      </c>
      <c r="O42" s="4">
        <v>0.4</v>
      </c>
    </row>
    <row r="43" spans="2:15">
      <c r="B43" t="s">
        <v>52</v>
      </c>
      <c r="C43" t="s">
        <v>53</v>
      </c>
      <c r="D43" t="s">
        <v>123</v>
      </c>
      <c r="E43" t="s">
        <v>124</v>
      </c>
      <c r="F43" t="s">
        <v>10</v>
      </c>
      <c r="G43" t="s">
        <v>123</v>
      </c>
      <c r="H43" t="s">
        <v>125</v>
      </c>
      <c r="I43" t="s">
        <v>32</v>
      </c>
      <c r="J43">
        <v>0</v>
      </c>
      <c r="K43">
        <v>5</v>
      </c>
      <c r="L43" s="4">
        <v>3.5000000000000001E-3</v>
      </c>
      <c r="M43">
        <v>0.02</v>
      </c>
      <c r="N43" s="4">
        <v>1.7500000000000002E-2</v>
      </c>
      <c r="O43" s="4">
        <v>0.1</v>
      </c>
    </row>
    <row r="44" spans="2:15">
      <c r="B44" t="s">
        <v>52</v>
      </c>
      <c r="C44" t="s">
        <v>53</v>
      </c>
      <c r="D44" t="s">
        <v>126</v>
      </c>
      <c r="E44" t="s">
        <v>127</v>
      </c>
      <c r="F44" t="s">
        <v>10</v>
      </c>
      <c r="G44" t="s">
        <v>126</v>
      </c>
      <c r="H44" t="s">
        <v>128</v>
      </c>
      <c r="I44" t="s">
        <v>32</v>
      </c>
      <c r="J44">
        <v>0</v>
      </c>
      <c r="K44">
        <v>2</v>
      </c>
      <c r="L44" s="4">
        <v>3.5000000000000001E-3</v>
      </c>
      <c r="M44">
        <v>0.02</v>
      </c>
      <c r="N44" s="4">
        <v>7.0000000000000001E-3</v>
      </c>
      <c r="O44" s="4">
        <v>0.04</v>
      </c>
    </row>
    <row r="45" spans="2:15">
      <c r="B45" t="s">
        <v>52</v>
      </c>
      <c r="C45" t="s">
        <v>53</v>
      </c>
      <c r="D45" t="s">
        <v>129</v>
      </c>
      <c r="E45" t="s">
        <v>130</v>
      </c>
      <c r="F45" t="s">
        <v>10</v>
      </c>
      <c r="G45" t="s">
        <v>129</v>
      </c>
      <c r="H45" t="s">
        <v>131</v>
      </c>
      <c r="I45" t="s">
        <v>32</v>
      </c>
      <c r="J45">
        <v>0</v>
      </c>
      <c r="K45">
        <v>2</v>
      </c>
      <c r="L45" s="4">
        <v>3.5000000000000001E-3</v>
      </c>
      <c r="M45">
        <v>0.02</v>
      </c>
      <c r="N45" s="4">
        <v>7.0000000000000001E-3</v>
      </c>
      <c r="O45" s="4">
        <v>0.04</v>
      </c>
    </row>
    <row r="46" spans="2:15">
      <c r="B46" t="s">
        <v>52</v>
      </c>
      <c r="C46" t="s">
        <v>53</v>
      </c>
      <c r="D46" t="s">
        <v>132</v>
      </c>
      <c r="E46" t="s">
        <v>133</v>
      </c>
      <c r="F46" t="s">
        <v>10</v>
      </c>
      <c r="G46" t="s">
        <v>132</v>
      </c>
      <c r="H46" t="s">
        <v>134</v>
      </c>
      <c r="I46" t="s">
        <v>32</v>
      </c>
      <c r="J46">
        <v>0</v>
      </c>
      <c r="K46">
        <v>2</v>
      </c>
      <c r="L46" s="4">
        <v>3.5000000000000001E-3</v>
      </c>
      <c r="M46">
        <v>0.02</v>
      </c>
      <c r="N46" s="4">
        <v>7.0000000000000001E-3</v>
      </c>
      <c r="O46" s="4">
        <v>0.04</v>
      </c>
    </row>
    <row r="47" spans="2:15">
      <c r="B47" t="s">
        <v>52</v>
      </c>
      <c r="C47" t="s">
        <v>53</v>
      </c>
      <c r="D47" t="s">
        <v>135</v>
      </c>
      <c r="E47" t="s">
        <v>136</v>
      </c>
      <c r="F47" t="s">
        <v>10</v>
      </c>
      <c r="G47" t="s">
        <v>135</v>
      </c>
      <c r="H47" t="s">
        <v>137</v>
      </c>
      <c r="I47" t="s">
        <v>32</v>
      </c>
      <c r="J47">
        <v>132</v>
      </c>
      <c r="K47">
        <v>3801</v>
      </c>
      <c r="L47" s="4">
        <v>3.5000000000000001E-3</v>
      </c>
      <c r="M47">
        <v>0.02</v>
      </c>
      <c r="N47" s="4">
        <v>13.3035</v>
      </c>
      <c r="O47" s="4">
        <v>76.02</v>
      </c>
    </row>
    <row r="48" spans="2:15">
      <c r="B48" t="s">
        <v>52</v>
      </c>
      <c r="C48" t="s">
        <v>53</v>
      </c>
      <c r="D48" t="s">
        <v>138</v>
      </c>
      <c r="E48" t="s">
        <v>139</v>
      </c>
      <c r="F48" t="s">
        <v>10</v>
      </c>
      <c r="G48" t="s">
        <v>138</v>
      </c>
      <c r="H48" t="s">
        <v>140</v>
      </c>
      <c r="I48" t="s">
        <v>32</v>
      </c>
      <c r="J48">
        <v>2</v>
      </c>
      <c r="K48">
        <v>175</v>
      </c>
      <c r="L48" s="4">
        <v>3.5000000000000001E-3</v>
      </c>
      <c r="M48">
        <v>0.02</v>
      </c>
      <c r="N48" s="4">
        <v>0.61250000000000004</v>
      </c>
      <c r="O48" s="4">
        <v>3.5</v>
      </c>
    </row>
    <row r="49" spans="2:15">
      <c r="B49" t="s">
        <v>52</v>
      </c>
      <c r="C49" t="s">
        <v>53</v>
      </c>
      <c r="D49" t="s">
        <v>141</v>
      </c>
      <c r="E49" t="s">
        <v>142</v>
      </c>
      <c r="F49" t="s">
        <v>10</v>
      </c>
      <c r="G49" t="s">
        <v>141</v>
      </c>
      <c r="H49" t="s">
        <v>143</v>
      </c>
      <c r="I49" t="s">
        <v>32</v>
      </c>
      <c r="J49">
        <v>2</v>
      </c>
      <c r="K49">
        <v>470</v>
      </c>
      <c r="L49" s="4">
        <v>3.5000000000000001E-3</v>
      </c>
      <c r="M49">
        <v>0.02</v>
      </c>
      <c r="N49" s="4">
        <v>1.645</v>
      </c>
      <c r="O49" s="4">
        <v>9.4</v>
      </c>
    </row>
    <row r="50" spans="2:15">
      <c r="B50" t="s">
        <v>52</v>
      </c>
      <c r="C50" t="s">
        <v>53</v>
      </c>
      <c r="D50" t="s">
        <v>144</v>
      </c>
      <c r="E50" t="s">
        <v>145</v>
      </c>
      <c r="F50" t="s">
        <v>10</v>
      </c>
      <c r="G50" t="s">
        <v>144</v>
      </c>
      <c r="H50" t="s">
        <v>146</v>
      </c>
      <c r="I50" t="s">
        <v>32</v>
      </c>
      <c r="J50">
        <v>2</v>
      </c>
      <c r="K50">
        <v>98</v>
      </c>
      <c r="L50" s="4">
        <v>3.5000000000000001E-3</v>
      </c>
      <c r="M50">
        <v>0.02</v>
      </c>
      <c r="N50" s="4">
        <v>0.34300000000000003</v>
      </c>
      <c r="O50" s="4">
        <v>1.96</v>
      </c>
    </row>
    <row r="51" spans="2:15">
      <c r="B51" t="s">
        <v>52</v>
      </c>
      <c r="C51" t="s">
        <v>53</v>
      </c>
      <c r="D51" t="s">
        <v>147</v>
      </c>
      <c r="E51" t="s">
        <v>148</v>
      </c>
      <c r="F51" t="s">
        <v>10</v>
      </c>
      <c r="G51" t="s">
        <v>147</v>
      </c>
      <c r="H51" t="s">
        <v>149</v>
      </c>
      <c r="I51" t="s">
        <v>32</v>
      </c>
      <c r="J51">
        <v>1</v>
      </c>
      <c r="K51">
        <v>241</v>
      </c>
      <c r="L51" s="4">
        <v>3.5000000000000001E-3</v>
      </c>
      <c r="M51">
        <v>0.02</v>
      </c>
      <c r="N51" s="4">
        <v>0.84350000000000003</v>
      </c>
      <c r="O51" s="4">
        <v>4.82</v>
      </c>
    </row>
    <row r="52" spans="2:15">
      <c r="B52" t="s">
        <v>52</v>
      </c>
      <c r="C52" t="s">
        <v>53</v>
      </c>
      <c r="D52" t="s">
        <v>150</v>
      </c>
      <c r="E52" t="s">
        <v>151</v>
      </c>
      <c r="F52" t="s">
        <v>10</v>
      </c>
      <c r="G52" t="s">
        <v>150</v>
      </c>
      <c r="H52" t="s">
        <v>152</v>
      </c>
      <c r="I52" t="s">
        <v>32</v>
      </c>
      <c r="J52">
        <v>21</v>
      </c>
      <c r="K52">
        <v>1251</v>
      </c>
      <c r="L52" s="4">
        <v>3.5000000000000001E-3</v>
      </c>
      <c r="M52">
        <v>0.02</v>
      </c>
      <c r="N52" s="4">
        <v>4.3784999999999998</v>
      </c>
      <c r="O52" s="4">
        <v>25.02</v>
      </c>
    </row>
    <row r="53" spans="2:15">
      <c r="B53" t="s">
        <v>52</v>
      </c>
      <c r="C53" t="s">
        <v>53</v>
      </c>
      <c r="D53" t="s">
        <v>153</v>
      </c>
      <c r="E53" t="s">
        <v>154</v>
      </c>
      <c r="F53" t="s">
        <v>10</v>
      </c>
      <c r="G53" t="s">
        <v>153</v>
      </c>
      <c r="H53" t="s">
        <v>155</v>
      </c>
      <c r="I53" t="s">
        <v>32</v>
      </c>
      <c r="J53">
        <v>2</v>
      </c>
      <c r="K53">
        <v>179</v>
      </c>
      <c r="L53" s="4">
        <v>3.5000000000000001E-3</v>
      </c>
      <c r="M53">
        <v>0.02</v>
      </c>
      <c r="N53" s="4">
        <v>0.62650000000000006</v>
      </c>
      <c r="O53" s="4">
        <v>3.58</v>
      </c>
    </row>
    <row r="54" spans="2:15">
      <c r="B54" t="s">
        <v>52</v>
      </c>
      <c r="C54" t="s">
        <v>53</v>
      </c>
      <c r="D54" t="s">
        <v>156</v>
      </c>
      <c r="E54" t="s">
        <v>157</v>
      </c>
      <c r="F54" t="s">
        <v>10</v>
      </c>
      <c r="G54" t="s">
        <v>156</v>
      </c>
      <c r="H54" t="s">
        <v>158</v>
      </c>
      <c r="I54" t="s">
        <v>32</v>
      </c>
      <c r="J54">
        <v>0</v>
      </c>
      <c r="K54">
        <v>561</v>
      </c>
      <c r="L54" s="4">
        <v>3.5000000000000001E-3</v>
      </c>
      <c r="M54">
        <v>0.02</v>
      </c>
      <c r="N54" s="4">
        <v>1.9635</v>
      </c>
      <c r="O54" s="4">
        <v>11.22</v>
      </c>
    </row>
    <row r="55" spans="2:15">
      <c r="B55" t="s">
        <v>52</v>
      </c>
      <c r="C55" t="s">
        <v>53</v>
      </c>
      <c r="D55" t="s">
        <v>159</v>
      </c>
      <c r="E55" t="s">
        <v>160</v>
      </c>
      <c r="F55" t="s">
        <v>10</v>
      </c>
      <c r="G55" t="s">
        <v>159</v>
      </c>
      <c r="H55" t="s">
        <v>161</v>
      </c>
      <c r="I55" t="s">
        <v>32</v>
      </c>
      <c r="J55">
        <v>0</v>
      </c>
      <c r="K55">
        <v>7</v>
      </c>
      <c r="L55" s="4">
        <v>3.5000000000000001E-3</v>
      </c>
      <c r="M55">
        <v>0.02</v>
      </c>
      <c r="N55" s="4">
        <v>2.4500000000000001E-2</v>
      </c>
      <c r="O55" s="4">
        <v>0.14000000000000001</v>
      </c>
    </row>
    <row r="56" spans="2:15">
      <c r="B56" t="s">
        <v>52</v>
      </c>
      <c r="C56" t="s">
        <v>53</v>
      </c>
      <c r="D56" t="s">
        <v>162</v>
      </c>
      <c r="E56" t="s">
        <v>163</v>
      </c>
      <c r="F56" t="s">
        <v>10</v>
      </c>
      <c r="G56" t="s">
        <v>162</v>
      </c>
      <c r="H56" t="s">
        <v>164</v>
      </c>
      <c r="I56" t="s">
        <v>32</v>
      </c>
      <c r="J56">
        <v>0</v>
      </c>
      <c r="K56">
        <v>8</v>
      </c>
      <c r="L56" s="4">
        <v>3.5000000000000001E-3</v>
      </c>
      <c r="M56">
        <v>0.02</v>
      </c>
      <c r="N56" s="4">
        <v>2.8000000000000001E-2</v>
      </c>
      <c r="O56" s="4">
        <v>0.16</v>
      </c>
    </row>
    <row r="57" spans="2:15">
      <c r="B57" t="s">
        <v>52</v>
      </c>
      <c r="C57" t="s">
        <v>53</v>
      </c>
      <c r="D57" t="s">
        <v>165</v>
      </c>
      <c r="E57" t="s">
        <v>166</v>
      </c>
      <c r="F57" t="s">
        <v>10</v>
      </c>
      <c r="G57" t="s">
        <v>165</v>
      </c>
      <c r="H57" t="s">
        <v>167</v>
      </c>
      <c r="I57" t="s">
        <v>32</v>
      </c>
      <c r="J57">
        <v>0</v>
      </c>
      <c r="K57">
        <v>7</v>
      </c>
      <c r="L57" s="4">
        <v>3.5000000000000001E-3</v>
      </c>
      <c r="M57">
        <v>0.02</v>
      </c>
      <c r="N57" s="4">
        <v>2.4500000000000001E-2</v>
      </c>
      <c r="O57" s="4">
        <v>0.14000000000000001</v>
      </c>
    </row>
    <row r="58" spans="2:15">
      <c r="B58" t="s">
        <v>52</v>
      </c>
      <c r="C58" t="s">
        <v>53</v>
      </c>
      <c r="D58" t="s">
        <v>168</v>
      </c>
      <c r="E58" t="s">
        <v>169</v>
      </c>
      <c r="F58" t="s">
        <v>10</v>
      </c>
      <c r="G58" t="s">
        <v>168</v>
      </c>
      <c r="H58" t="s">
        <v>170</v>
      </c>
      <c r="I58" t="s">
        <v>32</v>
      </c>
      <c r="J58">
        <v>0</v>
      </c>
      <c r="K58">
        <v>2</v>
      </c>
      <c r="L58" s="4">
        <v>3.5000000000000001E-3</v>
      </c>
      <c r="M58">
        <v>0.02</v>
      </c>
      <c r="N58" s="4">
        <v>7.0000000000000001E-3</v>
      </c>
      <c r="O58" s="4">
        <v>0.04</v>
      </c>
    </row>
    <row r="59" spans="2:15">
      <c r="B59" t="s">
        <v>52</v>
      </c>
      <c r="C59" t="s">
        <v>53</v>
      </c>
      <c r="D59" t="s">
        <v>171</v>
      </c>
      <c r="E59" t="s">
        <v>172</v>
      </c>
      <c r="F59" t="s">
        <v>10</v>
      </c>
      <c r="G59" t="s">
        <v>171</v>
      </c>
      <c r="H59" t="s">
        <v>173</v>
      </c>
      <c r="I59" t="s">
        <v>32</v>
      </c>
      <c r="J59">
        <v>0</v>
      </c>
      <c r="K59">
        <v>104</v>
      </c>
      <c r="L59" s="4">
        <v>3.5000000000000001E-3</v>
      </c>
      <c r="M59">
        <v>0.02</v>
      </c>
      <c r="N59" s="4">
        <v>0.36399999999999999</v>
      </c>
      <c r="O59" s="4">
        <v>2.08</v>
      </c>
    </row>
    <row r="60" spans="2:15">
      <c r="B60" t="s">
        <v>52</v>
      </c>
      <c r="C60" t="s">
        <v>53</v>
      </c>
      <c r="D60" t="s">
        <v>174</v>
      </c>
      <c r="E60" t="s">
        <v>175</v>
      </c>
      <c r="F60" t="s">
        <v>10</v>
      </c>
      <c r="G60" t="s">
        <v>174</v>
      </c>
      <c r="H60" t="s">
        <v>176</v>
      </c>
      <c r="I60" t="s">
        <v>32</v>
      </c>
      <c r="J60">
        <v>0</v>
      </c>
      <c r="K60">
        <v>15</v>
      </c>
      <c r="L60" s="4">
        <v>3.5000000000000001E-3</v>
      </c>
      <c r="M60">
        <v>0.02</v>
      </c>
      <c r="N60" s="4">
        <v>5.2499999999999998E-2</v>
      </c>
      <c r="O60" s="4">
        <v>0.3</v>
      </c>
    </row>
    <row r="61" spans="2:15">
      <c r="B61" t="s">
        <v>52</v>
      </c>
      <c r="C61" t="s">
        <v>53</v>
      </c>
      <c r="D61" t="s">
        <v>177</v>
      </c>
      <c r="E61" t="s">
        <v>178</v>
      </c>
      <c r="F61" t="s">
        <v>10</v>
      </c>
      <c r="G61" t="s">
        <v>177</v>
      </c>
      <c r="H61" t="s">
        <v>179</v>
      </c>
      <c r="I61" t="s">
        <v>32</v>
      </c>
      <c r="J61">
        <v>0</v>
      </c>
      <c r="K61">
        <v>1976</v>
      </c>
      <c r="L61" s="4">
        <v>3.5000000000000001E-3</v>
      </c>
      <c r="M61">
        <v>0.02</v>
      </c>
      <c r="N61" s="4">
        <v>6.9160000000000004</v>
      </c>
      <c r="O61" s="4">
        <v>39.520000000000003</v>
      </c>
    </row>
    <row r="62" spans="2:15">
      <c r="B62" t="s">
        <v>52</v>
      </c>
      <c r="C62" t="s">
        <v>53</v>
      </c>
      <c r="D62" t="s">
        <v>180</v>
      </c>
      <c r="E62" t="s">
        <v>181</v>
      </c>
      <c r="F62" t="s">
        <v>10</v>
      </c>
      <c r="G62" t="s">
        <v>180</v>
      </c>
      <c r="H62" t="s">
        <v>182</v>
      </c>
      <c r="I62" t="s">
        <v>32</v>
      </c>
      <c r="J62">
        <v>0</v>
      </c>
      <c r="K62">
        <v>33</v>
      </c>
      <c r="L62" s="4">
        <v>3.5000000000000001E-3</v>
      </c>
      <c r="M62">
        <v>0.02</v>
      </c>
      <c r="N62" s="4">
        <v>0.11550000000000001</v>
      </c>
      <c r="O62" s="4">
        <v>0.66</v>
      </c>
    </row>
    <row r="63" spans="2:15">
      <c r="B63" t="s">
        <v>52</v>
      </c>
      <c r="C63" t="s">
        <v>53</v>
      </c>
      <c r="D63" t="s">
        <v>183</v>
      </c>
      <c r="E63" t="s">
        <v>184</v>
      </c>
      <c r="F63" t="s">
        <v>10</v>
      </c>
      <c r="G63" t="s">
        <v>183</v>
      </c>
      <c r="H63" t="s">
        <v>185</v>
      </c>
      <c r="I63" t="s">
        <v>32</v>
      </c>
      <c r="J63">
        <v>0</v>
      </c>
      <c r="K63">
        <v>332</v>
      </c>
      <c r="L63" s="4">
        <v>3.5000000000000001E-3</v>
      </c>
      <c r="M63">
        <v>0.02</v>
      </c>
      <c r="N63" s="4">
        <v>1.1619999999999999</v>
      </c>
      <c r="O63" s="4">
        <v>6.6400000000000006</v>
      </c>
    </row>
    <row r="64" spans="2:15">
      <c r="B64" t="s">
        <v>52</v>
      </c>
      <c r="C64" t="s">
        <v>53</v>
      </c>
      <c r="D64" t="s">
        <v>186</v>
      </c>
      <c r="E64" t="s">
        <v>187</v>
      </c>
      <c r="F64" t="s">
        <v>10</v>
      </c>
      <c r="G64" t="s">
        <v>186</v>
      </c>
      <c r="H64" t="s">
        <v>188</v>
      </c>
      <c r="I64" t="s">
        <v>32</v>
      </c>
      <c r="J64">
        <v>0</v>
      </c>
      <c r="K64">
        <v>29</v>
      </c>
      <c r="L64" s="4">
        <v>3.5000000000000001E-3</v>
      </c>
      <c r="M64">
        <v>0.02</v>
      </c>
      <c r="N64" s="4">
        <v>0.10150000000000001</v>
      </c>
      <c r="O64" s="4">
        <v>0.57999999999999996</v>
      </c>
    </row>
    <row r="65" spans="2:15">
      <c r="B65" t="s">
        <v>52</v>
      </c>
      <c r="C65" t="s">
        <v>53</v>
      </c>
      <c r="D65" t="s">
        <v>189</v>
      </c>
      <c r="E65" t="s">
        <v>190</v>
      </c>
      <c r="F65" t="s">
        <v>10</v>
      </c>
      <c r="G65" t="s">
        <v>189</v>
      </c>
      <c r="H65" t="s">
        <v>191</v>
      </c>
      <c r="I65" t="s">
        <v>32</v>
      </c>
      <c r="J65">
        <v>0</v>
      </c>
      <c r="K65">
        <v>227</v>
      </c>
      <c r="L65" s="4">
        <v>3.5000000000000001E-3</v>
      </c>
      <c r="M65">
        <v>0.02</v>
      </c>
      <c r="N65" s="4">
        <v>0.79449999999999998</v>
      </c>
      <c r="O65" s="4">
        <v>4.54</v>
      </c>
    </row>
    <row r="66" spans="2:15">
      <c r="B66" t="s">
        <v>52</v>
      </c>
      <c r="C66" t="s">
        <v>53</v>
      </c>
      <c r="D66" t="s">
        <v>192</v>
      </c>
      <c r="E66" t="s">
        <v>193</v>
      </c>
      <c r="F66" t="s">
        <v>10</v>
      </c>
      <c r="G66" t="s">
        <v>192</v>
      </c>
      <c r="H66" t="s">
        <v>194</v>
      </c>
      <c r="I66" t="s">
        <v>32</v>
      </c>
      <c r="J66">
        <v>0</v>
      </c>
      <c r="K66">
        <v>1778</v>
      </c>
      <c r="L66" s="4">
        <v>3.5000000000000001E-3</v>
      </c>
      <c r="M66">
        <v>0.02</v>
      </c>
      <c r="N66" s="4">
        <v>6.2229999999999999</v>
      </c>
      <c r="O66" s="4">
        <v>35.56</v>
      </c>
    </row>
    <row r="67" spans="2:15">
      <c r="B67" t="s">
        <v>52</v>
      </c>
      <c r="C67" t="s">
        <v>53</v>
      </c>
      <c r="D67" t="s">
        <v>195</v>
      </c>
      <c r="E67" t="s">
        <v>196</v>
      </c>
      <c r="F67" t="s">
        <v>10</v>
      </c>
      <c r="G67" t="s">
        <v>195</v>
      </c>
      <c r="H67" t="s">
        <v>197</v>
      </c>
      <c r="I67" t="s">
        <v>32</v>
      </c>
      <c r="J67">
        <v>0</v>
      </c>
      <c r="K67">
        <v>94</v>
      </c>
      <c r="L67" s="4">
        <v>3.5000000000000001E-3</v>
      </c>
      <c r="M67">
        <v>0.02</v>
      </c>
      <c r="N67" s="4">
        <v>0.32900000000000001</v>
      </c>
      <c r="O67" s="4">
        <v>1.8800000000000001</v>
      </c>
    </row>
    <row r="68" spans="2:15">
      <c r="B68" t="s">
        <v>52</v>
      </c>
      <c r="C68" t="s">
        <v>53</v>
      </c>
      <c r="D68" t="s">
        <v>198</v>
      </c>
      <c r="E68" t="s">
        <v>199</v>
      </c>
      <c r="F68" t="s">
        <v>10</v>
      </c>
      <c r="G68" t="s">
        <v>198</v>
      </c>
      <c r="H68" t="s">
        <v>200</v>
      </c>
      <c r="I68" t="s">
        <v>32</v>
      </c>
      <c r="J68">
        <v>0</v>
      </c>
      <c r="K68">
        <v>283</v>
      </c>
      <c r="L68" s="4">
        <v>3.5000000000000001E-3</v>
      </c>
      <c r="M68">
        <v>0.02</v>
      </c>
      <c r="N68" s="4">
        <v>0.99050000000000005</v>
      </c>
      <c r="O68" s="4">
        <v>5.66</v>
      </c>
    </row>
    <row r="69" spans="2:15">
      <c r="B69" t="s">
        <v>52</v>
      </c>
      <c r="C69" t="s">
        <v>53</v>
      </c>
      <c r="D69" t="s">
        <v>201</v>
      </c>
      <c r="E69" t="s">
        <v>202</v>
      </c>
      <c r="F69" t="s">
        <v>10</v>
      </c>
      <c r="G69" t="s">
        <v>201</v>
      </c>
      <c r="H69" t="s">
        <v>203</v>
      </c>
      <c r="I69" t="s">
        <v>32</v>
      </c>
      <c r="J69">
        <v>0</v>
      </c>
      <c r="K69">
        <v>99</v>
      </c>
      <c r="L69" s="4">
        <v>3.5000000000000001E-3</v>
      </c>
      <c r="M69">
        <v>0.02</v>
      </c>
      <c r="N69" s="4">
        <v>0.34650000000000003</v>
      </c>
      <c r="O69" s="4">
        <v>1.98</v>
      </c>
    </row>
    <row r="70" spans="2:15">
      <c r="B70" t="s">
        <v>52</v>
      </c>
      <c r="C70" t="s">
        <v>53</v>
      </c>
      <c r="D70" t="s">
        <v>204</v>
      </c>
      <c r="E70" t="s">
        <v>205</v>
      </c>
      <c r="F70" t="s">
        <v>10</v>
      </c>
      <c r="G70" t="s">
        <v>204</v>
      </c>
      <c r="H70" t="s">
        <v>206</v>
      </c>
      <c r="I70" t="s">
        <v>32</v>
      </c>
      <c r="J70">
        <v>0</v>
      </c>
      <c r="K70">
        <v>1061</v>
      </c>
      <c r="L70" s="4">
        <v>3.5000000000000001E-3</v>
      </c>
      <c r="M70">
        <v>0.02</v>
      </c>
      <c r="N70" s="4">
        <v>3.7135000000000002</v>
      </c>
      <c r="O70" s="4">
        <v>21.22</v>
      </c>
    </row>
    <row r="71" spans="2:15">
      <c r="B71" t="s">
        <v>52</v>
      </c>
      <c r="C71" t="s">
        <v>53</v>
      </c>
      <c r="D71" t="s">
        <v>207</v>
      </c>
      <c r="E71" t="s">
        <v>208</v>
      </c>
      <c r="F71" t="s">
        <v>10</v>
      </c>
      <c r="G71" t="s">
        <v>207</v>
      </c>
      <c r="H71" t="s">
        <v>209</v>
      </c>
      <c r="I71" t="s">
        <v>32</v>
      </c>
      <c r="J71">
        <v>0</v>
      </c>
      <c r="K71">
        <v>833</v>
      </c>
      <c r="L71" s="4">
        <v>3.5000000000000001E-3</v>
      </c>
      <c r="M71">
        <v>0.02</v>
      </c>
      <c r="N71" s="4">
        <v>2.9155000000000002</v>
      </c>
      <c r="O71" s="4">
        <v>16.66</v>
      </c>
    </row>
    <row r="72" spans="2:15">
      <c r="B72" t="s">
        <v>52</v>
      </c>
      <c r="C72" t="s">
        <v>53</v>
      </c>
      <c r="D72" t="s">
        <v>210</v>
      </c>
      <c r="E72" t="s">
        <v>211</v>
      </c>
      <c r="F72" t="s">
        <v>10</v>
      </c>
      <c r="G72" t="s">
        <v>210</v>
      </c>
      <c r="H72" t="s">
        <v>212</v>
      </c>
      <c r="I72" t="s">
        <v>32</v>
      </c>
      <c r="J72">
        <v>0</v>
      </c>
      <c r="K72">
        <v>49</v>
      </c>
      <c r="L72" s="4">
        <v>3.5000000000000001E-3</v>
      </c>
      <c r="M72">
        <v>0.02</v>
      </c>
      <c r="N72" s="4">
        <v>0.17150000000000001</v>
      </c>
      <c r="O72" s="4">
        <v>0.98</v>
      </c>
    </row>
    <row r="73" spans="2:15">
      <c r="B73" t="s">
        <v>52</v>
      </c>
      <c r="C73" t="s">
        <v>53</v>
      </c>
      <c r="D73" t="s">
        <v>213</v>
      </c>
      <c r="E73" t="s">
        <v>214</v>
      </c>
      <c r="F73" t="s">
        <v>10</v>
      </c>
      <c r="G73" t="s">
        <v>213</v>
      </c>
      <c r="H73" t="s">
        <v>215</v>
      </c>
      <c r="I73" t="s">
        <v>32</v>
      </c>
      <c r="J73">
        <v>0</v>
      </c>
      <c r="K73">
        <v>2</v>
      </c>
      <c r="L73" s="4">
        <v>3.5000000000000001E-3</v>
      </c>
      <c r="M73">
        <v>0.02</v>
      </c>
      <c r="N73" s="4">
        <v>7.0000000000000001E-3</v>
      </c>
      <c r="O73" s="4">
        <v>0.04</v>
      </c>
    </row>
    <row r="74" spans="2:15">
      <c r="B74" t="s">
        <v>52</v>
      </c>
      <c r="C74" t="s">
        <v>53</v>
      </c>
      <c r="D74" t="s">
        <v>216</v>
      </c>
      <c r="E74" t="s">
        <v>217</v>
      </c>
      <c r="F74" t="s">
        <v>10</v>
      </c>
      <c r="G74" t="s">
        <v>216</v>
      </c>
      <c r="H74" t="s">
        <v>218</v>
      </c>
      <c r="I74" t="s">
        <v>32</v>
      </c>
      <c r="J74">
        <v>0</v>
      </c>
      <c r="K74">
        <v>8</v>
      </c>
      <c r="L74" s="4">
        <v>3.5000000000000001E-3</v>
      </c>
      <c r="M74">
        <v>0.02</v>
      </c>
      <c r="N74" s="4">
        <v>2.8000000000000001E-2</v>
      </c>
      <c r="O74" s="4">
        <v>0.16</v>
      </c>
    </row>
    <row r="75" spans="2:15">
      <c r="B75" t="s">
        <v>52</v>
      </c>
      <c r="C75" t="s">
        <v>53</v>
      </c>
      <c r="D75" t="s">
        <v>219</v>
      </c>
      <c r="E75" t="s">
        <v>220</v>
      </c>
      <c r="F75" t="s">
        <v>10</v>
      </c>
      <c r="G75" t="s">
        <v>219</v>
      </c>
      <c r="H75" t="s">
        <v>221</v>
      </c>
      <c r="I75" t="s">
        <v>32</v>
      </c>
      <c r="J75">
        <v>0</v>
      </c>
      <c r="K75">
        <v>4</v>
      </c>
      <c r="L75" s="4">
        <v>3.5000000000000001E-3</v>
      </c>
      <c r="M75">
        <v>0.02</v>
      </c>
      <c r="N75" s="4">
        <v>1.4E-2</v>
      </c>
      <c r="O75" s="4">
        <v>0.08</v>
      </c>
    </row>
    <row r="76" spans="2:15">
      <c r="B76" t="s">
        <v>52</v>
      </c>
      <c r="C76" t="s">
        <v>53</v>
      </c>
      <c r="D76" t="s">
        <v>222</v>
      </c>
      <c r="E76" t="s">
        <v>223</v>
      </c>
      <c r="F76" t="s">
        <v>10</v>
      </c>
      <c r="G76" t="s">
        <v>222</v>
      </c>
      <c r="H76" t="s">
        <v>224</v>
      </c>
      <c r="I76" t="s">
        <v>32</v>
      </c>
      <c r="J76">
        <v>0</v>
      </c>
      <c r="K76">
        <v>35</v>
      </c>
      <c r="L76" s="4">
        <v>3.5000000000000001E-3</v>
      </c>
      <c r="M76">
        <v>0.02</v>
      </c>
      <c r="N76" s="4">
        <v>0.1225</v>
      </c>
      <c r="O76" s="4">
        <v>0.70000000000000007</v>
      </c>
    </row>
    <row r="77" spans="2:15">
      <c r="B77" t="s">
        <v>52</v>
      </c>
      <c r="C77" t="s">
        <v>53</v>
      </c>
      <c r="D77" t="s">
        <v>225</v>
      </c>
      <c r="E77" t="s">
        <v>226</v>
      </c>
      <c r="F77" t="s">
        <v>10</v>
      </c>
      <c r="G77" t="s">
        <v>225</v>
      </c>
      <c r="H77" t="s">
        <v>227</v>
      </c>
      <c r="I77" t="s">
        <v>32</v>
      </c>
      <c r="J77">
        <v>0</v>
      </c>
      <c r="K77">
        <v>3</v>
      </c>
      <c r="L77" s="4">
        <v>3.5000000000000001E-3</v>
      </c>
      <c r="M77">
        <v>0.02</v>
      </c>
      <c r="N77" s="4">
        <v>1.0500000000000001E-2</v>
      </c>
      <c r="O77" s="4">
        <v>0.06</v>
      </c>
    </row>
    <row r="78" spans="2:15">
      <c r="B78" t="s">
        <v>52</v>
      </c>
      <c r="C78" t="s">
        <v>53</v>
      </c>
      <c r="D78" t="s">
        <v>228</v>
      </c>
      <c r="E78" t="s">
        <v>229</v>
      </c>
      <c r="F78" t="s">
        <v>10</v>
      </c>
      <c r="G78" t="s">
        <v>228</v>
      </c>
      <c r="H78" t="s">
        <v>230</v>
      </c>
      <c r="I78" t="s">
        <v>32</v>
      </c>
      <c r="J78">
        <v>0</v>
      </c>
      <c r="K78">
        <v>2</v>
      </c>
      <c r="L78" s="4">
        <v>3.5000000000000001E-3</v>
      </c>
      <c r="M78">
        <v>0.02</v>
      </c>
      <c r="N78" s="4">
        <v>7.0000000000000001E-3</v>
      </c>
      <c r="O78" s="4">
        <v>0.04</v>
      </c>
    </row>
    <row r="79" spans="2:15">
      <c r="B79" t="s">
        <v>52</v>
      </c>
      <c r="C79" t="s">
        <v>53</v>
      </c>
      <c r="D79" t="s">
        <v>231</v>
      </c>
      <c r="E79" t="s">
        <v>232</v>
      </c>
      <c r="F79" t="s">
        <v>10</v>
      </c>
      <c r="G79" t="s">
        <v>231</v>
      </c>
      <c r="H79" t="s">
        <v>233</v>
      </c>
      <c r="I79" t="s">
        <v>32</v>
      </c>
      <c r="J79">
        <v>0</v>
      </c>
      <c r="K79">
        <v>4</v>
      </c>
      <c r="L79" s="4">
        <v>3.5000000000000001E-3</v>
      </c>
      <c r="M79">
        <v>0.02</v>
      </c>
      <c r="N79" s="4">
        <v>1.4E-2</v>
      </c>
      <c r="O79" s="4">
        <v>0.08</v>
      </c>
    </row>
    <row r="80" spans="2:15">
      <c r="B80" t="s">
        <v>52</v>
      </c>
      <c r="C80" t="s">
        <v>53</v>
      </c>
      <c r="D80" t="s">
        <v>234</v>
      </c>
      <c r="E80" t="s">
        <v>235</v>
      </c>
      <c r="F80" t="s">
        <v>10</v>
      </c>
      <c r="G80" t="s">
        <v>234</v>
      </c>
      <c r="H80" t="s">
        <v>236</v>
      </c>
      <c r="I80" t="s">
        <v>32</v>
      </c>
      <c r="J80">
        <v>0</v>
      </c>
      <c r="K80">
        <v>76</v>
      </c>
      <c r="L80" s="4">
        <v>3.5000000000000001E-3</v>
      </c>
      <c r="M80">
        <v>0.02</v>
      </c>
      <c r="N80" s="4">
        <v>0.26600000000000001</v>
      </c>
      <c r="O80" s="4">
        <v>1.52</v>
      </c>
    </row>
    <row r="81" spans="2:15">
      <c r="B81" t="s">
        <v>52</v>
      </c>
      <c r="C81" t="s">
        <v>53</v>
      </c>
      <c r="D81" t="s">
        <v>237</v>
      </c>
      <c r="E81" t="s">
        <v>238</v>
      </c>
      <c r="F81" t="s">
        <v>10</v>
      </c>
      <c r="G81" t="s">
        <v>237</v>
      </c>
      <c r="H81" t="s">
        <v>239</v>
      </c>
      <c r="I81" t="s">
        <v>32</v>
      </c>
      <c r="J81">
        <v>0</v>
      </c>
      <c r="K81">
        <v>70</v>
      </c>
      <c r="L81" s="4">
        <v>3.5000000000000001E-3</v>
      </c>
      <c r="M81">
        <v>0.02</v>
      </c>
      <c r="N81" s="4">
        <v>0.245</v>
      </c>
      <c r="O81" s="4">
        <v>1.4000000000000001</v>
      </c>
    </row>
    <row r="82" spans="2:15">
      <c r="B82" t="s">
        <v>52</v>
      </c>
      <c r="C82" t="s">
        <v>53</v>
      </c>
      <c r="D82" t="s">
        <v>240</v>
      </c>
      <c r="E82" t="s">
        <v>241</v>
      </c>
      <c r="F82" t="s">
        <v>10</v>
      </c>
      <c r="G82" t="s">
        <v>240</v>
      </c>
      <c r="H82" t="s">
        <v>242</v>
      </c>
      <c r="I82" t="s">
        <v>32</v>
      </c>
      <c r="J82">
        <v>0</v>
      </c>
      <c r="K82">
        <v>30</v>
      </c>
      <c r="L82" s="4">
        <v>3.5000000000000001E-3</v>
      </c>
      <c r="M82">
        <v>0.02</v>
      </c>
      <c r="N82" s="4">
        <v>0.105</v>
      </c>
      <c r="O82" s="4">
        <v>0.6</v>
      </c>
    </row>
    <row r="83" spans="2:15">
      <c r="B83" t="s">
        <v>52</v>
      </c>
      <c r="C83" t="s">
        <v>53</v>
      </c>
      <c r="D83" t="s">
        <v>243</v>
      </c>
      <c r="E83" t="s">
        <v>244</v>
      </c>
      <c r="F83" t="s">
        <v>10</v>
      </c>
      <c r="G83" t="s">
        <v>243</v>
      </c>
      <c r="H83" t="s">
        <v>245</v>
      </c>
      <c r="I83" t="s">
        <v>32</v>
      </c>
      <c r="J83">
        <v>0</v>
      </c>
      <c r="K83">
        <v>12</v>
      </c>
      <c r="L83" s="4">
        <v>3.5000000000000001E-3</v>
      </c>
      <c r="M83">
        <v>0.02</v>
      </c>
      <c r="N83" s="4">
        <v>4.2000000000000003E-2</v>
      </c>
      <c r="O83" s="4">
        <v>0.24</v>
      </c>
    </row>
    <row r="84" spans="2:15">
      <c r="B84" t="s">
        <v>52</v>
      </c>
      <c r="C84" t="s">
        <v>53</v>
      </c>
      <c r="D84" t="s">
        <v>246</v>
      </c>
      <c r="E84" t="s">
        <v>247</v>
      </c>
      <c r="F84" t="s">
        <v>10</v>
      </c>
      <c r="G84" t="s">
        <v>246</v>
      </c>
      <c r="H84" t="s">
        <v>248</v>
      </c>
      <c r="I84" t="s">
        <v>32</v>
      </c>
      <c r="J84">
        <v>0</v>
      </c>
      <c r="K84">
        <v>138</v>
      </c>
      <c r="L84" s="4">
        <v>3.5000000000000001E-3</v>
      </c>
      <c r="M84">
        <v>0.02</v>
      </c>
      <c r="N84" s="4">
        <v>0.48299999999999998</v>
      </c>
      <c r="O84" s="4">
        <v>2.7600000000000002</v>
      </c>
    </row>
    <row r="85" spans="2:15">
      <c r="B85" t="s">
        <v>52</v>
      </c>
      <c r="C85" t="s">
        <v>53</v>
      </c>
      <c r="D85" t="s">
        <v>249</v>
      </c>
      <c r="E85" t="s">
        <v>250</v>
      </c>
      <c r="F85" t="s">
        <v>10</v>
      </c>
      <c r="G85" t="s">
        <v>249</v>
      </c>
      <c r="H85" t="s">
        <v>251</v>
      </c>
      <c r="I85" t="s">
        <v>32</v>
      </c>
      <c r="J85">
        <v>0</v>
      </c>
      <c r="K85">
        <v>16</v>
      </c>
      <c r="L85" s="4">
        <v>3.5000000000000001E-3</v>
      </c>
      <c r="M85">
        <v>0.02</v>
      </c>
      <c r="N85" s="4">
        <v>5.6000000000000001E-2</v>
      </c>
      <c r="O85" s="4">
        <v>0.32</v>
      </c>
    </row>
    <row r="86" spans="2:15">
      <c r="B86" t="s">
        <v>52</v>
      </c>
      <c r="C86" t="s">
        <v>53</v>
      </c>
      <c r="D86" t="s">
        <v>252</v>
      </c>
      <c r="E86" t="s">
        <v>253</v>
      </c>
      <c r="F86" t="s">
        <v>10</v>
      </c>
      <c r="G86" t="s">
        <v>252</v>
      </c>
      <c r="H86" t="s">
        <v>254</v>
      </c>
      <c r="I86" t="s">
        <v>32</v>
      </c>
      <c r="J86">
        <v>0</v>
      </c>
      <c r="K86">
        <v>8</v>
      </c>
      <c r="L86" s="4">
        <v>3.5000000000000001E-3</v>
      </c>
      <c r="M86">
        <v>0.02</v>
      </c>
      <c r="N86" s="4">
        <v>2.8000000000000001E-2</v>
      </c>
      <c r="O86" s="4">
        <v>0.16</v>
      </c>
    </row>
    <row r="87" spans="2:15">
      <c r="B87" t="s">
        <v>52</v>
      </c>
      <c r="C87" t="s">
        <v>53</v>
      </c>
      <c r="D87" t="s">
        <v>255</v>
      </c>
      <c r="E87" t="s">
        <v>256</v>
      </c>
      <c r="F87" t="s">
        <v>10</v>
      </c>
      <c r="G87" t="s">
        <v>255</v>
      </c>
      <c r="H87" t="s">
        <v>257</v>
      </c>
      <c r="I87" t="s">
        <v>32</v>
      </c>
      <c r="J87">
        <v>0</v>
      </c>
      <c r="K87">
        <v>4</v>
      </c>
      <c r="L87" s="4">
        <v>3.5000000000000001E-3</v>
      </c>
      <c r="M87">
        <v>0.02</v>
      </c>
      <c r="N87" s="4">
        <v>1.4E-2</v>
      </c>
      <c r="O87" s="4">
        <v>0.08</v>
      </c>
    </row>
    <row r="88" spans="2:15">
      <c r="B88" t="s">
        <v>52</v>
      </c>
      <c r="C88" t="s">
        <v>53</v>
      </c>
      <c r="D88" t="s">
        <v>258</v>
      </c>
      <c r="E88" t="s">
        <v>259</v>
      </c>
      <c r="F88" t="s">
        <v>10</v>
      </c>
      <c r="G88" t="s">
        <v>258</v>
      </c>
      <c r="H88" t="s">
        <v>260</v>
      </c>
      <c r="I88" t="s">
        <v>32</v>
      </c>
      <c r="J88">
        <v>0</v>
      </c>
      <c r="K88">
        <v>89</v>
      </c>
      <c r="L88" s="4">
        <v>3.5000000000000001E-3</v>
      </c>
      <c r="M88">
        <v>0.02</v>
      </c>
      <c r="N88" s="4">
        <v>0.3115</v>
      </c>
      <c r="O88" s="4">
        <v>1.78</v>
      </c>
    </row>
    <row r="89" spans="2:15">
      <c r="B89" t="s">
        <v>52</v>
      </c>
      <c r="C89" t="s">
        <v>53</v>
      </c>
      <c r="D89" t="s">
        <v>261</v>
      </c>
      <c r="E89" t="s">
        <v>262</v>
      </c>
      <c r="F89" t="s">
        <v>10</v>
      </c>
      <c r="G89" t="s">
        <v>261</v>
      </c>
      <c r="H89" t="s">
        <v>263</v>
      </c>
      <c r="I89" t="s">
        <v>32</v>
      </c>
      <c r="J89">
        <v>0</v>
      </c>
      <c r="K89">
        <v>14</v>
      </c>
      <c r="L89" s="4">
        <v>3.5000000000000001E-3</v>
      </c>
      <c r="M89">
        <v>0.02</v>
      </c>
      <c r="N89" s="4">
        <v>4.9000000000000002E-2</v>
      </c>
      <c r="O89" s="4">
        <v>0.28000000000000003</v>
      </c>
    </row>
    <row r="90" spans="2:15">
      <c r="B90" t="s">
        <v>52</v>
      </c>
      <c r="C90" t="s">
        <v>53</v>
      </c>
      <c r="D90" t="s">
        <v>264</v>
      </c>
      <c r="E90" t="s">
        <v>265</v>
      </c>
      <c r="F90" t="s">
        <v>10</v>
      </c>
      <c r="G90" t="s">
        <v>264</v>
      </c>
      <c r="H90" t="s">
        <v>266</v>
      </c>
      <c r="I90" t="s">
        <v>32</v>
      </c>
      <c r="J90">
        <v>0</v>
      </c>
      <c r="K90">
        <v>361</v>
      </c>
      <c r="L90" s="4">
        <v>3.5000000000000001E-3</v>
      </c>
      <c r="M90">
        <v>0.02</v>
      </c>
      <c r="N90" s="4">
        <v>1.2635000000000001</v>
      </c>
      <c r="O90" s="4">
        <v>7.22</v>
      </c>
    </row>
    <row r="91" spans="2:15">
      <c r="B91" t="s">
        <v>52</v>
      </c>
      <c r="C91" t="s">
        <v>53</v>
      </c>
      <c r="D91" t="s">
        <v>267</v>
      </c>
      <c r="E91" t="s">
        <v>268</v>
      </c>
      <c r="F91" t="s">
        <v>10</v>
      </c>
      <c r="G91" t="s">
        <v>267</v>
      </c>
      <c r="H91" t="s">
        <v>269</v>
      </c>
      <c r="I91" t="s">
        <v>32</v>
      </c>
      <c r="J91">
        <v>0</v>
      </c>
      <c r="K91">
        <v>9</v>
      </c>
      <c r="L91" s="4">
        <v>3.5000000000000001E-3</v>
      </c>
      <c r="M91">
        <v>0.02</v>
      </c>
      <c r="N91" s="4">
        <v>3.15E-2</v>
      </c>
      <c r="O91" s="4">
        <v>0.18</v>
      </c>
    </row>
    <row r="92" spans="2:15">
      <c r="B92" t="s">
        <v>52</v>
      </c>
      <c r="C92" t="s">
        <v>53</v>
      </c>
      <c r="D92" t="s">
        <v>270</v>
      </c>
      <c r="E92" t="s">
        <v>271</v>
      </c>
      <c r="F92" t="s">
        <v>10</v>
      </c>
      <c r="G92" t="s">
        <v>270</v>
      </c>
      <c r="H92" t="s">
        <v>272</v>
      </c>
      <c r="I92" t="s">
        <v>32</v>
      </c>
      <c r="J92">
        <v>0</v>
      </c>
      <c r="K92">
        <v>9</v>
      </c>
      <c r="L92" s="4">
        <v>3.5000000000000001E-3</v>
      </c>
      <c r="M92">
        <v>0.02</v>
      </c>
      <c r="N92" s="4">
        <v>3.15E-2</v>
      </c>
      <c r="O92" s="4">
        <v>0.18</v>
      </c>
    </row>
    <row r="93" spans="2:15">
      <c r="B93" t="s">
        <v>52</v>
      </c>
      <c r="C93" t="s">
        <v>53</v>
      </c>
      <c r="D93" t="s">
        <v>273</v>
      </c>
      <c r="E93" t="s">
        <v>274</v>
      </c>
      <c r="F93" t="s">
        <v>10</v>
      </c>
      <c r="G93" t="s">
        <v>273</v>
      </c>
      <c r="H93" t="s">
        <v>275</v>
      </c>
      <c r="I93" t="s">
        <v>32</v>
      </c>
      <c r="J93">
        <v>0</v>
      </c>
      <c r="K93">
        <v>2</v>
      </c>
      <c r="L93" s="4">
        <v>3.5000000000000001E-3</v>
      </c>
      <c r="M93">
        <v>0.02</v>
      </c>
      <c r="N93" s="4">
        <v>7.0000000000000001E-3</v>
      </c>
      <c r="O93" s="4">
        <v>0.04</v>
      </c>
    </row>
    <row r="94" spans="2:15">
      <c r="B94" t="s">
        <v>52</v>
      </c>
      <c r="C94" t="s">
        <v>53</v>
      </c>
      <c r="D94" t="s">
        <v>276</v>
      </c>
      <c r="E94" t="s">
        <v>277</v>
      </c>
      <c r="F94" t="s">
        <v>10</v>
      </c>
      <c r="G94" t="s">
        <v>276</v>
      </c>
      <c r="H94" t="s">
        <v>278</v>
      </c>
      <c r="I94" t="s">
        <v>32</v>
      </c>
      <c r="J94">
        <v>0</v>
      </c>
      <c r="K94">
        <v>3</v>
      </c>
      <c r="L94" s="4">
        <v>3.5000000000000001E-3</v>
      </c>
      <c r="M94">
        <v>0.02</v>
      </c>
      <c r="N94" s="4">
        <v>1.0500000000000001E-2</v>
      </c>
      <c r="O94" s="4">
        <v>0.06</v>
      </c>
    </row>
    <row r="95" spans="2:15">
      <c r="B95" t="s">
        <v>52</v>
      </c>
      <c r="C95" t="s">
        <v>53</v>
      </c>
      <c r="D95" t="s">
        <v>279</v>
      </c>
      <c r="E95" t="s">
        <v>280</v>
      </c>
      <c r="F95" t="s">
        <v>10</v>
      </c>
      <c r="G95" t="s">
        <v>279</v>
      </c>
      <c r="H95" t="s">
        <v>281</v>
      </c>
      <c r="I95" t="s">
        <v>32</v>
      </c>
      <c r="J95">
        <v>0</v>
      </c>
      <c r="K95">
        <v>199</v>
      </c>
      <c r="L95" s="4">
        <v>3.5000000000000001E-3</v>
      </c>
      <c r="M95">
        <v>0.02</v>
      </c>
      <c r="N95" s="4">
        <v>0.69650000000000001</v>
      </c>
      <c r="O95" s="4">
        <v>3.98</v>
      </c>
    </row>
    <row r="96" spans="2:15">
      <c r="B96" t="s">
        <v>52</v>
      </c>
      <c r="C96" t="s">
        <v>53</v>
      </c>
      <c r="D96" t="s">
        <v>282</v>
      </c>
      <c r="E96" t="s">
        <v>283</v>
      </c>
      <c r="F96" t="s">
        <v>10</v>
      </c>
      <c r="G96" t="s">
        <v>282</v>
      </c>
      <c r="H96" t="s">
        <v>284</v>
      </c>
      <c r="I96" t="s">
        <v>32</v>
      </c>
      <c r="J96">
        <v>0</v>
      </c>
      <c r="K96">
        <v>20</v>
      </c>
      <c r="L96" s="4">
        <v>3.5000000000000001E-3</v>
      </c>
      <c r="M96">
        <v>0.02</v>
      </c>
      <c r="N96" s="4">
        <v>7.0000000000000007E-2</v>
      </c>
      <c r="O96" s="4">
        <v>0.4</v>
      </c>
    </row>
    <row r="97" spans="2:15">
      <c r="B97" t="s">
        <v>52</v>
      </c>
      <c r="C97" t="s">
        <v>53</v>
      </c>
      <c r="D97" t="s">
        <v>285</v>
      </c>
      <c r="E97" t="s">
        <v>286</v>
      </c>
      <c r="F97" t="s">
        <v>10</v>
      </c>
      <c r="G97" t="s">
        <v>285</v>
      </c>
      <c r="H97" t="s">
        <v>287</v>
      </c>
      <c r="I97" t="s">
        <v>32</v>
      </c>
      <c r="J97">
        <v>0</v>
      </c>
      <c r="K97">
        <v>277</v>
      </c>
      <c r="L97" s="4">
        <v>3.5000000000000001E-3</v>
      </c>
      <c r="M97">
        <v>0.02</v>
      </c>
      <c r="N97" s="4">
        <v>0.96950000000000003</v>
      </c>
      <c r="O97" s="4">
        <v>5.54</v>
      </c>
    </row>
    <row r="98" spans="2:15">
      <c r="B98" t="s">
        <v>52</v>
      </c>
      <c r="C98" t="s">
        <v>53</v>
      </c>
      <c r="D98" t="s">
        <v>288</v>
      </c>
      <c r="E98" t="s">
        <v>289</v>
      </c>
      <c r="F98" t="s">
        <v>10</v>
      </c>
      <c r="G98" t="s">
        <v>288</v>
      </c>
      <c r="H98" t="s">
        <v>290</v>
      </c>
      <c r="I98" t="s">
        <v>32</v>
      </c>
      <c r="J98">
        <v>0</v>
      </c>
      <c r="K98">
        <v>5</v>
      </c>
      <c r="L98" s="4">
        <v>3.5000000000000001E-3</v>
      </c>
      <c r="M98">
        <v>0.02</v>
      </c>
      <c r="N98" s="4">
        <v>1.7500000000000002E-2</v>
      </c>
      <c r="O98" s="4">
        <v>0.1</v>
      </c>
    </row>
    <row r="99" spans="2:15">
      <c r="B99" t="s">
        <v>52</v>
      </c>
      <c r="C99" t="s">
        <v>53</v>
      </c>
      <c r="D99" t="s">
        <v>291</v>
      </c>
      <c r="E99" t="s">
        <v>292</v>
      </c>
      <c r="F99" t="s">
        <v>10</v>
      </c>
      <c r="G99" t="s">
        <v>291</v>
      </c>
      <c r="H99" t="s">
        <v>293</v>
      </c>
      <c r="I99" t="s">
        <v>32</v>
      </c>
      <c r="J99">
        <v>0</v>
      </c>
      <c r="K99">
        <v>14</v>
      </c>
      <c r="L99" s="4">
        <v>3.5000000000000001E-3</v>
      </c>
      <c r="M99">
        <v>0.02</v>
      </c>
      <c r="N99" s="4">
        <v>4.9000000000000002E-2</v>
      </c>
      <c r="O99" s="4">
        <v>0.28000000000000003</v>
      </c>
    </row>
    <row r="100" spans="2:15">
      <c r="B100" t="s">
        <v>52</v>
      </c>
      <c r="C100" t="s">
        <v>53</v>
      </c>
      <c r="D100" t="s">
        <v>294</v>
      </c>
      <c r="E100" t="s">
        <v>295</v>
      </c>
      <c r="F100" t="s">
        <v>10</v>
      </c>
      <c r="G100" t="s">
        <v>294</v>
      </c>
      <c r="H100" t="s">
        <v>296</v>
      </c>
      <c r="I100" t="s">
        <v>32</v>
      </c>
      <c r="J100">
        <v>0</v>
      </c>
      <c r="K100">
        <v>2</v>
      </c>
      <c r="L100" s="4">
        <v>3.5000000000000001E-3</v>
      </c>
      <c r="M100">
        <v>0.02</v>
      </c>
      <c r="N100" s="4">
        <v>7.0000000000000001E-3</v>
      </c>
      <c r="O100" s="4">
        <v>0.04</v>
      </c>
    </row>
    <row r="101" spans="2:15">
      <c r="B101" t="s">
        <v>52</v>
      </c>
      <c r="C101" t="s">
        <v>53</v>
      </c>
      <c r="D101" t="s">
        <v>297</v>
      </c>
      <c r="E101" t="s">
        <v>298</v>
      </c>
      <c r="F101" t="s">
        <v>10</v>
      </c>
      <c r="G101" t="s">
        <v>297</v>
      </c>
      <c r="H101" t="s">
        <v>299</v>
      </c>
      <c r="I101" t="s">
        <v>32</v>
      </c>
      <c r="J101">
        <v>0</v>
      </c>
      <c r="K101">
        <v>19</v>
      </c>
      <c r="L101" s="4">
        <v>3.5000000000000001E-3</v>
      </c>
      <c r="M101">
        <v>0.02</v>
      </c>
      <c r="N101" s="4">
        <v>6.6500000000000004E-2</v>
      </c>
      <c r="O101" s="4">
        <v>0.38</v>
      </c>
    </row>
    <row r="102" spans="2:15">
      <c r="B102" t="s">
        <v>52</v>
      </c>
      <c r="C102" t="s">
        <v>53</v>
      </c>
      <c r="D102" t="s">
        <v>300</v>
      </c>
      <c r="E102" t="s">
        <v>301</v>
      </c>
      <c r="F102" t="s">
        <v>10</v>
      </c>
      <c r="G102" t="s">
        <v>300</v>
      </c>
      <c r="H102" t="s">
        <v>302</v>
      </c>
      <c r="I102" t="s">
        <v>32</v>
      </c>
      <c r="J102">
        <v>0</v>
      </c>
      <c r="K102">
        <v>80</v>
      </c>
      <c r="L102" s="4">
        <v>3.5000000000000001E-3</v>
      </c>
      <c r="M102">
        <v>0.02</v>
      </c>
      <c r="N102" s="4">
        <v>0.28000000000000003</v>
      </c>
      <c r="O102" s="4">
        <v>1.6</v>
      </c>
    </row>
    <row r="103" spans="2:15">
      <c r="B103" t="s">
        <v>52</v>
      </c>
      <c r="C103" t="s">
        <v>53</v>
      </c>
      <c r="D103" t="s">
        <v>303</v>
      </c>
      <c r="E103" t="s">
        <v>304</v>
      </c>
      <c r="F103" t="s">
        <v>10</v>
      </c>
      <c r="G103" t="s">
        <v>303</v>
      </c>
      <c r="H103" t="s">
        <v>305</v>
      </c>
      <c r="I103" t="s">
        <v>32</v>
      </c>
      <c r="J103">
        <v>0</v>
      </c>
      <c r="K103">
        <v>4</v>
      </c>
      <c r="L103" s="4">
        <v>3.5000000000000001E-3</v>
      </c>
      <c r="M103">
        <v>0.02</v>
      </c>
      <c r="N103" s="4">
        <v>1.4E-2</v>
      </c>
      <c r="O103" s="4">
        <v>0.08</v>
      </c>
    </row>
    <row r="104" spans="2:15">
      <c r="B104" t="s">
        <v>52</v>
      </c>
      <c r="C104" t="s">
        <v>53</v>
      </c>
      <c r="D104" t="s">
        <v>306</v>
      </c>
      <c r="E104" t="s">
        <v>307</v>
      </c>
      <c r="F104" t="s">
        <v>10</v>
      </c>
      <c r="G104" t="s">
        <v>306</v>
      </c>
      <c r="H104" t="s">
        <v>308</v>
      </c>
      <c r="I104" t="s">
        <v>32</v>
      </c>
      <c r="J104">
        <v>0</v>
      </c>
      <c r="K104">
        <v>3507</v>
      </c>
      <c r="L104" s="4">
        <v>3.5000000000000001E-3</v>
      </c>
      <c r="M104">
        <v>0.02</v>
      </c>
      <c r="N104" s="4">
        <v>12.2745</v>
      </c>
      <c r="O104" s="4">
        <v>70.14</v>
      </c>
    </row>
    <row r="105" spans="2:15">
      <c r="B105" t="s">
        <v>52</v>
      </c>
      <c r="C105" t="s">
        <v>53</v>
      </c>
      <c r="D105" t="s">
        <v>309</v>
      </c>
      <c r="E105" t="s">
        <v>310</v>
      </c>
      <c r="F105" t="s">
        <v>10</v>
      </c>
      <c r="G105" t="s">
        <v>309</v>
      </c>
      <c r="H105" t="s">
        <v>311</v>
      </c>
      <c r="I105" t="s">
        <v>32</v>
      </c>
      <c r="J105">
        <v>0</v>
      </c>
      <c r="K105">
        <v>77</v>
      </c>
      <c r="L105" s="4">
        <v>3.5000000000000001E-3</v>
      </c>
      <c r="M105">
        <v>0.02</v>
      </c>
      <c r="N105" s="4">
        <v>0.26950000000000002</v>
      </c>
      <c r="O105" s="4">
        <v>1.54</v>
      </c>
    </row>
    <row r="106" spans="2:15">
      <c r="B106" t="s">
        <v>52</v>
      </c>
      <c r="C106" t="s">
        <v>53</v>
      </c>
      <c r="D106" t="s">
        <v>312</v>
      </c>
      <c r="E106" t="s">
        <v>313</v>
      </c>
      <c r="F106" t="s">
        <v>10</v>
      </c>
      <c r="G106" t="s">
        <v>312</v>
      </c>
      <c r="H106" t="s">
        <v>314</v>
      </c>
      <c r="I106" t="s">
        <v>32</v>
      </c>
      <c r="J106">
        <v>0</v>
      </c>
      <c r="K106">
        <v>68</v>
      </c>
      <c r="L106" s="4">
        <v>3.5000000000000001E-3</v>
      </c>
      <c r="M106">
        <v>0.02</v>
      </c>
      <c r="N106" s="4">
        <v>0.23800000000000002</v>
      </c>
      <c r="O106" s="4">
        <v>1.36</v>
      </c>
    </row>
    <row r="107" spans="2:15">
      <c r="B107" t="s">
        <v>52</v>
      </c>
      <c r="C107" t="s">
        <v>53</v>
      </c>
      <c r="D107" t="s">
        <v>315</v>
      </c>
      <c r="E107" t="s">
        <v>316</v>
      </c>
      <c r="F107" t="s">
        <v>10</v>
      </c>
      <c r="G107" t="s">
        <v>315</v>
      </c>
      <c r="H107" t="s">
        <v>317</v>
      </c>
      <c r="I107" t="s">
        <v>32</v>
      </c>
      <c r="J107">
        <v>0</v>
      </c>
      <c r="K107">
        <v>58</v>
      </c>
      <c r="L107" s="4">
        <v>3.5000000000000001E-3</v>
      </c>
      <c r="M107">
        <v>0.02</v>
      </c>
      <c r="N107" s="4">
        <v>0.20300000000000001</v>
      </c>
      <c r="O107" s="4">
        <v>1.1599999999999999</v>
      </c>
    </row>
    <row r="108" spans="2:15">
      <c r="B108" t="s">
        <v>52</v>
      </c>
      <c r="C108" t="s">
        <v>53</v>
      </c>
      <c r="D108" t="s">
        <v>318</v>
      </c>
      <c r="E108" t="s">
        <v>319</v>
      </c>
      <c r="F108" t="s">
        <v>10</v>
      </c>
      <c r="G108" t="s">
        <v>318</v>
      </c>
      <c r="H108" t="s">
        <v>320</v>
      </c>
      <c r="I108" t="s">
        <v>32</v>
      </c>
      <c r="J108">
        <v>0</v>
      </c>
      <c r="K108">
        <v>80</v>
      </c>
      <c r="L108" s="4">
        <v>3.5000000000000001E-3</v>
      </c>
      <c r="M108">
        <v>0.02</v>
      </c>
      <c r="N108" s="4">
        <v>0.28000000000000003</v>
      </c>
      <c r="O108" s="4">
        <v>1.6</v>
      </c>
    </row>
    <row r="109" spans="2:15">
      <c r="B109" t="s">
        <v>52</v>
      </c>
      <c r="C109" t="s">
        <v>53</v>
      </c>
      <c r="D109" t="s">
        <v>321</v>
      </c>
      <c r="E109" t="s">
        <v>322</v>
      </c>
      <c r="F109" t="s">
        <v>10</v>
      </c>
      <c r="G109" t="s">
        <v>321</v>
      </c>
      <c r="H109" t="s">
        <v>323</v>
      </c>
      <c r="I109" t="s">
        <v>32</v>
      </c>
      <c r="J109">
        <v>0</v>
      </c>
      <c r="K109">
        <v>291</v>
      </c>
      <c r="L109" s="4">
        <v>3.5000000000000001E-3</v>
      </c>
      <c r="M109">
        <v>0.02</v>
      </c>
      <c r="N109" s="4">
        <v>1.0185</v>
      </c>
      <c r="O109" s="4">
        <v>5.82</v>
      </c>
    </row>
    <row r="110" spans="2:15">
      <c r="B110" t="s">
        <v>52</v>
      </c>
      <c r="C110" t="s">
        <v>53</v>
      </c>
      <c r="D110" t="s">
        <v>324</v>
      </c>
      <c r="E110" t="s">
        <v>325</v>
      </c>
      <c r="F110" t="s">
        <v>10</v>
      </c>
      <c r="G110" t="s">
        <v>324</v>
      </c>
      <c r="H110" t="s">
        <v>326</v>
      </c>
      <c r="I110" t="s">
        <v>32</v>
      </c>
      <c r="J110">
        <v>0</v>
      </c>
      <c r="K110">
        <v>69</v>
      </c>
      <c r="L110" s="4">
        <v>3.5000000000000001E-3</v>
      </c>
      <c r="M110">
        <v>0.02</v>
      </c>
      <c r="N110" s="4">
        <v>0.24149999999999999</v>
      </c>
      <c r="O110" s="4">
        <v>1.3800000000000001</v>
      </c>
    </row>
    <row r="111" spans="2:15">
      <c r="B111" t="s">
        <v>52</v>
      </c>
      <c r="C111" t="s">
        <v>53</v>
      </c>
      <c r="D111" t="s">
        <v>327</v>
      </c>
      <c r="E111" t="s">
        <v>328</v>
      </c>
      <c r="F111" t="s">
        <v>10</v>
      </c>
      <c r="G111" t="s">
        <v>327</v>
      </c>
      <c r="H111" t="s">
        <v>329</v>
      </c>
      <c r="I111" t="s">
        <v>32</v>
      </c>
      <c r="J111">
        <v>0</v>
      </c>
      <c r="K111">
        <v>3655</v>
      </c>
      <c r="L111" s="4">
        <v>3.5000000000000001E-3</v>
      </c>
      <c r="M111">
        <v>0.02</v>
      </c>
      <c r="N111" s="4">
        <v>12.7925</v>
      </c>
      <c r="O111" s="4">
        <v>73.100000000000009</v>
      </c>
    </row>
    <row r="112" spans="2:15">
      <c r="B112" t="s">
        <v>52</v>
      </c>
      <c r="C112" t="s">
        <v>53</v>
      </c>
      <c r="D112" t="s">
        <v>330</v>
      </c>
      <c r="E112" t="s">
        <v>331</v>
      </c>
      <c r="F112" t="s">
        <v>10</v>
      </c>
      <c r="G112" t="s">
        <v>330</v>
      </c>
      <c r="H112" t="s">
        <v>332</v>
      </c>
      <c r="I112" t="s">
        <v>32</v>
      </c>
      <c r="J112">
        <v>0</v>
      </c>
      <c r="K112">
        <v>44</v>
      </c>
      <c r="L112" s="4">
        <v>3.5000000000000001E-3</v>
      </c>
      <c r="M112">
        <v>0.02</v>
      </c>
      <c r="N112" s="4">
        <v>0.154</v>
      </c>
      <c r="O112" s="4">
        <v>0.88</v>
      </c>
    </row>
    <row r="113" spans="2:15">
      <c r="B113" t="s">
        <v>52</v>
      </c>
      <c r="C113" t="s">
        <v>53</v>
      </c>
      <c r="D113" t="s">
        <v>333</v>
      </c>
      <c r="E113" t="s">
        <v>334</v>
      </c>
      <c r="F113" t="s">
        <v>10</v>
      </c>
      <c r="G113" t="s">
        <v>333</v>
      </c>
      <c r="H113" t="s">
        <v>335</v>
      </c>
      <c r="I113" t="s">
        <v>32</v>
      </c>
      <c r="J113">
        <v>0</v>
      </c>
      <c r="K113">
        <v>208</v>
      </c>
      <c r="L113" s="4">
        <v>3.5000000000000001E-3</v>
      </c>
      <c r="M113">
        <v>0.02</v>
      </c>
      <c r="N113" s="4">
        <v>0.72799999999999998</v>
      </c>
      <c r="O113" s="4">
        <v>4.16</v>
      </c>
    </row>
    <row r="114" spans="2:15">
      <c r="B114" t="s">
        <v>52</v>
      </c>
      <c r="C114" t="s">
        <v>53</v>
      </c>
      <c r="D114" t="s">
        <v>336</v>
      </c>
      <c r="E114" t="s">
        <v>337</v>
      </c>
      <c r="F114" t="s">
        <v>10</v>
      </c>
      <c r="G114" t="s">
        <v>336</v>
      </c>
      <c r="H114" t="s">
        <v>338</v>
      </c>
      <c r="I114" t="s">
        <v>32</v>
      </c>
      <c r="J114">
        <v>0</v>
      </c>
      <c r="K114">
        <v>28</v>
      </c>
      <c r="L114" s="4">
        <v>3.5000000000000001E-3</v>
      </c>
      <c r="M114">
        <v>0.02</v>
      </c>
      <c r="N114" s="4">
        <v>9.8000000000000004E-2</v>
      </c>
      <c r="O114" s="4">
        <v>0.56000000000000005</v>
      </c>
    </row>
    <row r="115" spans="2:15">
      <c r="B115" t="s">
        <v>52</v>
      </c>
      <c r="C115" t="s">
        <v>53</v>
      </c>
      <c r="D115" t="s">
        <v>339</v>
      </c>
      <c r="E115" t="s">
        <v>340</v>
      </c>
      <c r="F115" t="s">
        <v>10</v>
      </c>
      <c r="G115" t="s">
        <v>339</v>
      </c>
      <c r="H115" t="s">
        <v>341</v>
      </c>
      <c r="I115" t="s">
        <v>32</v>
      </c>
      <c r="J115">
        <v>0</v>
      </c>
      <c r="K115">
        <v>70</v>
      </c>
      <c r="L115" s="4">
        <v>3.5000000000000001E-3</v>
      </c>
      <c r="M115">
        <v>0.02</v>
      </c>
      <c r="N115" s="4">
        <v>0.245</v>
      </c>
      <c r="O115" s="4">
        <v>1.4000000000000001</v>
      </c>
    </row>
    <row r="116" spans="2:15">
      <c r="B116" t="s">
        <v>52</v>
      </c>
      <c r="C116" t="s">
        <v>53</v>
      </c>
      <c r="D116" t="s">
        <v>342</v>
      </c>
      <c r="E116" t="s">
        <v>343</v>
      </c>
      <c r="F116" t="s">
        <v>10</v>
      </c>
      <c r="G116" t="s">
        <v>342</v>
      </c>
      <c r="H116" t="s">
        <v>344</v>
      </c>
      <c r="I116" t="s">
        <v>32</v>
      </c>
      <c r="J116">
        <v>0</v>
      </c>
      <c r="K116">
        <v>1215</v>
      </c>
      <c r="L116" s="4">
        <v>3.5000000000000001E-3</v>
      </c>
      <c r="M116">
        <v>0.02</v>
      </c>
      <c r="N116" s="4">
        <v>4.2525000000000004</v>
      </c>
      <c r="O116" s="4">
        <v>24.3</v>
      </c>
    </row>
    <row r="117" spans="2:15">
      <c r="B117" t="s">
        <v>52</v>
      </c>
      <c r="C117" t="s">
        <v>53</v>
      </c>
      <c r="D117" t="s">
        <v>345</v>
      </c>
      <c r="E117" t="s">
        <v>346</v>
      </c>
      <c r="F117" t="s">
        <v>10</v>
      </c>
      <c r="G117" t="s">
        <v>345</v>
      </c>
      <c r="H117" t="s">
        <v>347</v>
      </c>
      <c r="I117" t="s">
        <v>32</v>
      </c>
      <c r="J117">
        <v>0</v>
      </c>
      <c r="K117">
        <v>95</v>
      </c>
      <c r="L117" s="4">
        <v>3.5000000000000001E-3</v>
      </c>
      <c r="M117">
        <v>0.02</v>
      </c>
      <c r="N117" s="4">
        <v>0.33250000000000002</v>
      </c>
      <c r="O117" s="4">
        <v>1.9000000000000001</v>
      </c>
    </row>
    <row r="118" spans="2:15">
      <c r="B118" t="s">
        <v>52</v>
      </c>
      <c r="C118" t="s">
        <v>53</v>
      </c>
      <c r="D118" t="s">
        <v>348</v>
      </c>
      <c r="E118" t="s">
        <v>349</v>
      </c>
      <c r="F118" t="s">
        <v>10</v>
      </c>
      <c r="G118" t="s">
        <v>348</v>
      </c>
      <c r="H118" t="s">
        <v>350</v>
      </c>
      <c r="I118" t="s">
        <v>32</v>
      </c>
      <c r="J118">
        <v>0</v>
      </c>
      <c r="K118">
        <v>2896</v>
      </c>
      <c r="L118" s="4">
        <v>3.5000000000000001E-3</v>
      </c>
      <c r="M118">
        <v>0.02</v>
      </c>
      <c r="N118" s="4">
        <v>10.136000000000001</v>
      </c>
      <c r="O118" s="4">
        <v>57.92</v>
      </c>
    </row>
    <row r="119" spans="2:15">
      <c r="B119" t="s">
        <v>52</v>
      </c>
      <c r="C119" t="s">
        <v>53</v>
      </c>
      <c r="D119" t="s">
        <v>351</v>
      </c>
      <c r="E119" t="s">
        <v>352</v>
      </c>
      <c r="F119" t="s">
        <v>10</v>
      </c>
      <c r="G119" t="s">
        <v>351</v>
      </c>
      <c r="H119" t="s">
        <v>353</v>
      </c>
      <c r="I119" t="s">
        <v>32</v>
      </c>
      <c r="J119">
        <v>0</v>
      </c>
      <c r="K119">
        <v>5</v>
      </c>
      <c r="L119" s="4">
        <v>3.5000000000000001E-3</v>
      </c>
      <c r="M119">
        <v>0.02</v>
      </c>
      <c r="N119" s="4">
        <v>1.7500000000000002E-2</v>
      </c>
      <c r="O119" s="4">
        <v>0.1</v>
      </c>
    </row>
    <row r="120" spans="2:15">
      <c r="B120" t="s">
        <v>52</v>
      </c>
      <c r="C120" t="s">
        <v>53</v>
      </c>
      <c r="D120" t="s">
        <v>354</v>
      </c>
      <c r="E120" t="s">
        <v>355</v>
      </c>
      <c r="F120" t="s">
        <v>10</v>
      </c>
      <c r="G120" t="s">
        <v>354</v>
      </c>
      <c r="H120" t="s">
        <v>356</v>
      </c>
      <c r="I120" t="s">
        <v>32</v>
      </c>
      <c r="J120">
        <v>0</v>
      </c>
      <c r="K120">
        <v>26</v>
      </c>
      <c r="L120" s="4">
        <v>3.5000000000000001E-3</v>
      </c>
      <c r="M120">
        <v>0.02</v>
      </c>
      <c r="N120" s="4">
        <v>9.0999999999999998E-2</v>
      </c>
      <c r="O120" s="4">
        <v>0.52</v>
      </c>
    </row>
    <row r="121" spans="2:15">
      <c r="B121" t="s">
        <v>52</v>
      </c>
      <c r="C121" t="s">
        <v>53</v>
      </c>
      <c r="D121" t="s">
        <v>357</v>
      </c>
      <c r="E121" t="s">
        <v>358</v>
      </c>
      <c r="F121" t="s">
        <v>10</v>
      </c>
      <c r="G121" t="s">
        <v>357</v>
      </c>
      <c r="H121" t="s">
        <v>359</v>
      </c>
      <c r="I121" t="s">
        <v>32</v>
      </c>
      <c r="J121">
        <v>0</v>
      </c>
      <c r="K121">
        <v>3</v>
      </c>
      <c r="L121" s="4">
        <v>3.5000000000000001E-3</v>
      </c>
      <c r="M121">
        <v>0.02</v>
      </c>
      <c r="N121" s="4">
        <v>1.0500000000000001E-2</v>
      </c>
      <c r="O121" s="4">
        <v>0.06</v>
      </c>
    </row>
    <row r="122" spans="2:15">
      <c r="B122" t="s">
        <v>52</v>
      </c>
      <c r="C122" t="s">
        <v>53</v>
      </c>
      <c r="D122" t="s">
        <v>360</v>
      </c>
      <c r="E122" t="s">
        <v>361</v>
      </c>
      <c r="F122" t="s">
        <v>10</v>
      </c>
      <c r="G122" t="s">
        <v>360</v>
      </c>
      <c r="H122" t="s">
        <v>362</v>
      </c>
      <c r="I122" t="s">
        <v>32</v>
      </c>
      <c r="J122">
        <v>0</v>
      </c>
      <c r="K122">
        <v>13</v>
      </c>
      <c r="L122" s="4">
        <v>3.5000000000000001E-3</v>
      </c>
      <c r="M122">
        <v>0.02</v>
      </c>
      <c r="N122" s="4">
        <v>4.5499999999999999E-2</v>
      </c>
      <c r="O122" s="4">
        <v>0.26</v>
      </c>
    </row>
    <row r="123" spans="2:15">
      <c r="B123" t="s">
        <v>52</v>
      </c>
      <c r="C123" t="s">
        <v>53</v>
      </c>
      <c r="D123" t="s">
        <v>363</v>
      </c>
      <c r="E123" t="s">
        <v>364</v>
      </c>
      <c r="F123" t="s">
        <v>10</v>
      </c>
      <c r="G123" t="s">
        <v>363</v>
      </c>
      <c r="H123" t="s">
        <v>365</v>
      </c>
      <c r="I123" t="s">
        <v>32</v>
      </c>
      <c r="J123">
        <v>0</v>
      </c>
      <c r="K123">
        <v>164</v>
      </c>
      <c r="L123" s="4">
        <v>3.5000000000000001E-3</v>
      </c>
      <c r="M123">
        <v>0.02</v>
      </c>
      <c r="N123" s="4">
        <v>0.57400000000000007</v>
      </c>
      <c r="O123" s="4">
        <v>3.2800000000000002</v>
      </c>
    </row>
    <row r="124" spans="2:15">
      <c r="B124" t="s">
        <v>52</v>
      </c>
      <c r="C124" t="s">
        <v>53</v>
      </c>
      <c r="D124" t="s">
        <v>366</v>
      </c>
      <c r="E124" t="s">
        <v>367</v>
      </c>
      <c r="F124" t="s">
        <v>10</v>
      </c>
      <c r="G124" t="s">
        <v>366</v>
      </c>
      <c r="H124" t="s">
        <v>368</v>
      </c>
      <c r="I124" t="s">
        <v>32</v>
      </c>
      <c r="J124">
        <v>0</v>
      </c>
      <c r="K124">
        <v>4</v>
      </c>
      <c r="L124" s="4">
        <v>3.5000000000000001E-3</v>
      </c>
      <c r="M124">
        <v>0.02</v>
      </c>
      <c r="N124" s="4">
        <v>1.4E-2</v>
      </c>
      <c r="O124" s="4">
        <v>0.08</v>
      </c>
    </row>
    <row r="125" spans="2:15">
      <c r="B125" t="s">
        <v>52</v>
      </c>
      <c r="C125" t="s">
        <v>53</v>
      </c>
      <c r="D125" t="s">
        <v>369</v>
      </c>
      <c r="E125" t="s">
        <v>370</v>
      </c>
      <c r="F125" t="s">
        <v>10</v>
      </c>
      <c r="G125" t="s">
        <v>369</v>
      </c>
      <c r="H125" t="s">
        <v>371</v>
      </c>
      <c r="I125" t="s">
        <v>32</v>
      </c>
      <c r="J125">
        <v>0</v>
      </c>
      <c r="K125">
        <v>1182</v>
      </c>
      <c r="L125" s="4">
        <v>3.5000000000000001E-3</v>
      </c>
      <c r="M125">
        <v>0.02</v>
      </c>
      <c r="N125" s="4">
        <v>4.1370000000000005</v>
      </c>
      <c r="O125" s="4">
        <v>23.64</v>
      </c>
    </row>
    <row r="126" spans="2:15">
      <c r="B126" t="s">
        <v>52</v>
      </c>
      <c r="C126" t="s">
        <v>53</v>
      </c>
      <c r="D126" t="s">
        <v>372</v>
      </c>
      <c r="E126" t="s">
        <v>373</v>
      </c>
      <c r="F126" t="s">
        <v>10</v>
      </c>
      <c r="G126" t="s">
        <v>372</v>
      </c>
      <c r="H126" t="s">
        <v>374</v>
      </c>
      <c r="I126" t="s">
        <v>32</v>
      </c>
      <c r="J126">
        <v>0</v>
      </c>
      <c r="K126">
        <v>1256</v>
      </c>
      <c r="L126" s="4">
        <v>3.5000000000000001E-3</v>
      </c>
      <c r="M126">
        <v>0.02</v>
      </c>
      <c r="N126" s="4">
        <v>4.3959999999999999</v>
      </c>
      <c r="O126" s="4">
        <v>25.12</v>
      </c>
    </row>
    <row r="127" spans="2:15">
      <c r="B127" t="s">
        <v>52</v>
      </c>
      <c r="C127" t="s">
        <v>53</v>
      </c>
      <c r="D127" t="s">
        <v>375</v>
      </c>
      <c r="E127" t="s">
        <v>376</v>
      </c>
      <c r="F127" t="s">
        <v>10</v>
      </c>
      <c r="G127" t="s">
        <v>375</v>
      </c>
      <c r="H127" t="s">
        <v>377</v>
      </c>
      <c r="I127" t="s">
        <v>32</v>
      </c>
      <c r="J127">
        <v>0</v>
      </c>
      <c r="K127">
        <v>1127</v>
      </c>
      <c r="L127" s="4">
        <v>3.5000000000000001E-3</v>
      </c>
      <c r="M127">
        <v>0.02</v>
      </c>
      <c r="N127" s="4">
        <v>3.9445000000000001</v>
      </c>
      <c r="O127" s="4">
        <v>22.54</v>
      </c>
    </row>
    <row r="128" spans="2:15">
      <c r="B128" t="s">
        <v>52</v>
      </c>
      <c r="C128" t="s">
        <v>53</v>
      </c>
      <c r="D128" t="s">
        <v>378</v>
      </c>
      <c r="E128" t="s">
        <v>379</v>
      </c>
      <c r="F128" t="s">
        <v>10</v>
      </c>
      <c r="G128" t="s">
        <v>378</v>
      </c>
      <c r="H128" t="s">
        <v>380</v>
      </c>
      <c r="I128" t="s">
        <v>32</v>
      </c>
      <c r="J128">
        <v>0</v>
      </c>
      <c r="K128">
        <v>1101</v>
      </c>
      <c r="L128" s="4">
        <v>3.5000000000000001E-3</v>
      </c>
      <c r="M128">
        <v>0.02</v>
      </c>
      <c r="N128" s="4">
        <v>3.8534999999999999</v>
      </c>
      <c r="O128" s="4">
        <v>22.02</v>
      </c>
    </row>
    <row r="129" spans="2:15">
      <c r="B129" t="s">
        <v>52</v>
      </c>
      <c r="C129" t="s">
        <v>53</v>
      </c>
      <c r="D129" t="s">
        <v>381</v>
      </c>
      <c r="E129" t="s">
        <v>382</v>
      </c>
      <c r="F129" t="s">
        <v>10</v>
      </c>
      <c r="G129" t="s">
        <v>381</v>
      </c>
      <c r="H129" t="s">
        <v>383</v>
      </c>
      <c r="I129" t="s">
        <v>32</v>
      </c>
      <c r="J129">
        <v>0</v>
      </c>
      <c r="K129">
        <v>17</v>
      </c>
      <c r="L129" s="4">
        <v>3.5000000000000001E-3</v>
      </c>
      <c r="M129">
        <v>0.02</v>
      </c>
      <c r="N129" s="4">
        <v>5.9500000000000004E-2</v>
      </c>
      <c r="O129" s="4">
        <v>0.34</v>
      </c>
    </row>
    <row r="130" spans="2:15">
      <c r="B130" t="s">
        <v>52</v>
      </c>
      <c r="C130" t="s">
        <v>53</v>
      </c>
      <c r="D130" t="s">
        <v>384</v>
      </c>
      <c r="E130" t="s">
        <v>385</v>
      </c>
      <c r="F130" t="s">
        <v>10</v>
      </c>
      <c r="G130" t="s">
        <v>384</v>
      </c>
      <c r="H130" t="s">
        <v>386</v>
      </c>
      <c r="I130" t="s">
        <v>32</v>
      </c>
      <c r="J130">
        <v>0</v>
      </c>
      <c r="K130">
        <v>95</v>
      </c>
      <c r="L130" s="4">
        <v>3.5000000000000001E-3</v>
      </c>
      <c r="M130">
        <v>0.02</v>
      </c>
      <c r="N130" s="4">
        <v>0.33250000000000002</v>
      </c>
      <c r="O130" s="4">
        <v>1.9000000000000001</v>
      </c>
    </row>
    <row r="131" spans="2:15">
      <c r="B131" t="s">
        <v>52</v>
      </c>
      <c r="C131" t="s">
        <v>53</v>
      </c>
      <c r="D131" t="s">
        <v>387</v>
      </c>
      <c r="E131" t="s">
        <v>388</v>
      </c>
      <c r="F131" t="s">
        <v>10</v>
      </c>
      <c r="G131" t="s">
        <v>387</v>
      </c>
      <c r="H131" t="s">
        <v>389</v>
      </c>
      <c r="I131" t="s">
        <v>32</v>
      </c>
      <c r="J131">
        <v>0</v>
      </c>
      <c r="K131">
        <v>23</v>
      </c>
      <c r="L131" s="4">
        <v>3.5000000000000001E-3</v>
      </c>
      <c r="M131">
        <v>0.02</v>
      </c>
      <c r="N131" s="4">
        <v>8.0500000000000002E-2</v>
      </c>
      <c r="O131" s="4">
        <v>0.46</v>
      </c>
    </row>
    <row r="132" spans="2:15">
      <c r="B132" t="s">
        <v>52</v>
      </c>
      <c r="C132" t="s">
        <v>53</v>
      </c>
      <c r="D132" t="s">
        <v>390</v>
      </c>
      <c r="E132" t="s">
        <v>391</v>
      </c>
      <c r="F132" t="s">
        <v>10</v>
      </c>
      <c r="G132" t="s">
        <v>390</v>
      </c>
      <c r="H132" t="s">
        <v>392</v>
      </c>
      <c r="I132" t="s">
        <v>32</v>
      </c>
      <c r="J132">
        <v>0</v>
      </c>
      <c r="K132">
        <v>6031</v>
      </c>
      <c r="L132" s="4">
        <v>3.5000000000000001E-3</v>
      </c>
      <c r="M132">
        <v>0.02</v>
      </c>
      <c r="N132" s="4">
        <v>21.108499999999999</v>
      </c>
      <c r="O132" s="4">
        <v>120.62</v>
      </c>
    </row>
    <row r="133" spans="2:15">
      <c r="B133" t="s">
        <v>52</v>
      </c>
      <c r="C133" t="s">
        <v>53</v>
      </c>
      <c r="D133" t="s">
        <v>393</v>
      </c>
      <c r="E133" t="s">
        <v>394</v>
      </c>
      <c r="F133" t="s">
        <v>10</v>
      </c>
      <c r="G133" t="s">
        <v>393</v>
      </c>
      <c r="H133" t="s">
        <v>395</v>
      </c>
      <c r="I133" t="s">
        <v>32</v>
      </c>
      <c r="J133">
        <v>0</v>
      </c>
      <c r="K133">
        <v>2013</v>
      </c>
      <c r="L133" s="4">
        <v>3.5000000000000001E-3</v>
      </c>
      <c r="M133">
        <v>0.02</v>
      </c>
      <c r="N133" s="4">
        <v>7.0455000000000005</v>
      </c>
      <c r="O133" s="4">
        <v>40.26</v>
      </c>
    </row>
    <row r="134" spans="2:15">
      <c r="B134" t="s">
        <v>396</v>
      </c>
      <c r="C134" t="s">
        <v>397</v>
      </c>
      <c r="D134" t="s">
        <v>398</v>
      </c>
      <c r="E134" t="s">
        <v>399</v>
      </c>
      <c r="F134" t="s">
        <v>10</v>
      </c>
      <c r="G134" t="s">
        <v>398</v>
      </c>
      <c r="H134" t="s">
        <v>400</v>
      </c>
      <c r="I134" t="s">
        <v>32</v>
      </c>
      <c r="J134">
        <v>0</v>
      </c>
      <c r="K134">
        <v>46</v>
      </c>
      <c r="L134" s="4">
        <v>3.5000000000000001E-3</v>
      </c>
      <c r="M134">
        <v>0.02</v>
      </c>
      <c r="N134" s="4">
        <v>0.161</v>
      </c>
      <c r="O134" s="4">
        <v>0.92</v>
      </c>
    </row>
    <row r="135" spans="2:15">
      <c r="B135" t="s">
        <v>396</v>
      </c>
      <c r="C135" t="s">
        <v>53</v>
      </c>
      <c r="D135" t="s">
        <v>401</v>
      </c>
      <c r="E135" t="s">
        <v>402</v>
      </c>
      <c r="F135" t="s">
        <v>10</v>
      </c>
      <c r="G135" t="s">
        <v>401</v>
      </c>
      <c r="H135" t="s">
        <v>403</v>
      </c>
      <c r="I135" t="s">
        <v>32</v>
      </c>
      <c r="J135">
        <v>483726</v>
      </c>
      <c r="K135">
        <v>1398</v>
      </c>
      <c r="L135" s="4">
        <v>3.5000000000000001E-3</v>
      </c>
      <c r="M135">
        <v>0.02</v>
      </c>
      <c r="N135" s="4">
        <v>4.8929999999999998</v>
      </c>
      <c r="O135" s="4">
        <v>27.96</v>
      </c>
    </row>
    <row r="136" spans="2:15">
      <c r="B136" t="s">
        <v>396</v>
      </c>
      <c r="C136" t="s">
        <v>53</v>
      </c>
      <c r="D136" t="s">
        <v>404</v>
      </c>
      <c r="E136" t="s">
        <v>405</v>
      </c>
      <c r="F136" t="s">
        <v>10</v>
      </c>
      <c r="G136" t="s">
        <v>404</v>
      </c>
      <c r="H136" t="s">
        <v>406</v>
      </c>
      <c r="I136" t="s">
        <v>32</v>
      </c>
      <c r="J136">
        <v>5436857</v>
      </c>
      <c r="K136">
        <v>32921</v>
      </c>
      <c r="L136" s="4">
        <v>3.5000000000000001E-3</v>
      </c>
      <c r="M136">
        <v>0.02</v>
      </c>
      <c r="N136" s="4">
        <v>115.2235</v>
      </c>
      <c r="O136" s="4">
        <v>658.42</v>
      </c>
    </row>
    <row r="137" spans="2:15">
      <c r="B137" t="s">
        <v>396</v>
      </c>
      <c r="C137" t="s">
        <v>53</v>
      </c>
      <c r="D137" t="s">
        <v>407</v>
      </c>
      <c r="E137" t="s">
        <v>408</v>
      </c>
      <c r="F137" t="s">
        <v>10</v>
      </c>
      <c r="G137" t="s">
        <v>407</v>
      </c>
      <c r="H137" t="s">
        <v>409</v>
      </c>
      <c r="I137" t="s">
        <v>32</v>
      </c>
      <c r="J137">
        <v>0</v>
      </c>
      <c r="K137">
        <v>1</v>
      </c>
      <c r="L137" s="4">
        <v>3.5000000000000001E-3</v>
      </c>
      <c r="M137">
        <v>0.02</v>
      </c>
      <c r="N137" s="4">
        <v>3.5000000000000001E-3</v>
      </c>
      <c r="O137" s="4">
        <v>0.02</v>
      </c>
    </row>
    <row r="138" spans="2:15">
      <c r="B138" t="s">
        <v>396</v>
      </c>
      <c r="C138" t="s">
        <v>53</v>
      </c>
      <c r="D138" t="s">
        <v>410</v>
      </c>
      <c r="E138" t="s">
        <v>411</v>
      </c>
      <c r="F138" t="s">
        <v>10</v>
      </c>
      <c r="G138" t="s">
        <v>410</v>
      </c>
      <c r="H138" t="s">
        <v>412</v>
      </c>
      <c r="I138" t="s">
        <v>32</v>
      </c>
      <c r="J138">
        <v>0</v>
      </c>
      <c r="K138">
        <v>1</v>
      </c>
      <c r="L138" s="4">
        <v>3.5000000000000001E-3</v>
      </c>
      <c r="M138">
        <v>0.02</v>
      </c>
      <c r="N138" s="4">
        <v>3.5000000000000001E-3</v>
      </c>
      <c r="O138" s="4">
        <v>0.02</v>
      </c>
    </row>
    <row r="139" spans="2:15">
      <c r="B139" t="s">
        <v>396</v>
      </c>
      <c r="C139" t="s">
        <v>53</v>
      </c>
      <c r="D139" t="s">
        <v>413</v>
      </c>
      <c r="E139" t="s">
        <v>414</v>
      </c>
      <c r="F139" t="s">
        <v>10</v>
      </c>
      <c r="G139" t="s">
        <v>413</v>
      </c>
      <c r="H139" t="s">
        <v>415</v>
      </c>
      <c r="I139" t="s">
        <v>32</v>
      </c>
      <c r="J139">
        <v>4757116</v>
      </c>
      <c r="K139">
        <v>1</v>
      </c>
      <c r="L139" s="4">
        <v>3.5000000000000001E-3</v>
      </c>
      <c r="M139">
        <v>0.02</v>
      </c>
      <c r="N139" s="4">
        <v>3.5000000000000001E-3</v>
      </c>
      <c r="O139" s="4">
        <v>0.02</v>
      </c>
    </row>
    <row r="140" spans="2:15">
      <c r="B140" t="s">
        <v>396</v>
      </c>
      <c r="C140" t="s">
        <v>53</v>
      </c>
      <c r="D140" t="s">
        <v>416</v>
      </c>
      <c r="E140" t="s">
        <v>417</v>
      </c>
      <c r="F140" t="s">
        <v>10</v>
      </c>
      <c r="G140" t="s">
        <v>416</v>
      </c>
      <c r="H140" t="s">
        <v>418</v>
      </c>
      <c r="I140" t="s">
        <v>32</v>
      </c>
      <c r="J140">
        <v>7373817</v>
      </c>
      <c r="K140">
        <v>0</v>
      </c>
      <c r="L140" s="4">
        <v>3.5000000000000001E-3</v>
      </c>
      <c r="M140">
        <v>0.02</v>
      </c>
      <c r="N140" s="4">
        <v>0</v>
      </c>
      <c r="O140" s="4">
        <v>0</v>
      </c>
    </row>
    <row r="141" spans="2:15">
      <c r="B141" t="s">
        <v>396</v>
      </c>
      <c r="C141" t="s">
        <v>419</v>
      </c>
      <c r="D141" t="s">
        <v>420</v>
      </c>
      <c r="E141" t="s">
        <v>421</v>
      </c>
      <c r="F141" t="s">
        <v>12</v>
      </c>
      <c r="G141" t="s">
        <v>420</v>
      </c>
      <c r="H141" t="s">
        <v>422</v>
      </c>
      <c r="I141" t="s">
        <v>31</v>
      </c>
      <c r="J141">
        <v>492978</v>
      </c>
      <c r="K141">
        <v>344</v>
      </c>
      <c r="L141" s="4">
        <v>3.8199999999999998E-2</v>
      </c>
      <c r="M141">
        <v>0.09</v>
      </c>
      <c r="N141" s="4">
        <v>18.831759599999998</v>
      </c>
      <c r="O141" s="4">
        <v>44.368019999999994</v>
      </c>
    </row>
    <row r="142" spans="2:15">
      <c r="B142" t="s">
        <v>396</v>
      </c>
      <c r="C142" t="s">
        <v>419</v>
      </c>
      <c r="D142" t="s">
        <v>423</v>
      </c>
      <c r="E142" t="s">
        <v>424</v>
      </c>
      <c r="F142" t="s">
        <v>12</v>
      </c>
      <c r="G142" t="s">
        <v>423</v>
      </c>
      <c r="H142" t="s">
        <v>425</v>
      </c>
      <c r="I142" t="s">
        <v>31</v>
      </c>
      <c r="J142">
        <v>490793</v>
      </c>
      <c r="K142">
        <v>170</v>
      </c>
      <c r="L142" s="4">
        <v>3.8199999999999998E-2</v>
      </c>
      <c r="M142">
        <v>0.09</v>
      </c>
      <c r="N142" s="4">
        <v>18.748292599999999</v>
      </c>
      <c r="O142" s="4">
        <v>44.171369999999996</v>
      </c>
    </row>
    <row r="143" spans="2:15">
      <c r="B143" t="s">
        <v>396</v>
      </c>
      <c r="C143" t="s">
        <v>426</v>
      </c>
      <c r="D143" t="s">
        <v>427</v>
      </c>
      <c r="E143" t="s">
        <v>428</v>
      </c>
      <c r="F143" t="s">
        <v>12</v>
      </c>
      <c r="G143" t="s">
        <v>427</v>
      </c>
      <c r="H143" t="s">
        <v>429</v>
      </c>
      <c r="I143" t="s">
        <v>31</v>
      </c>
      <c r="J143">
        <v>77965</v>
      </c>
      <c r="K143">
        <v>66</v>
      </c>
      <c r="L143" s="4">
        <v>3.8199999999999998E-2</v>
      </c>
      <c r="M143">
        <v>0.09</v>
      </c>
      <c r="N143" s="4">
        <v>2.9782630000000001</v>
      </c>
      <c r="O143" s="4">
        <v>7.0168499999999998</v>
      </c>
    </row>
    <row r="144" spans="2:15">
      <c r="B144" t="s">
        <v>396</v>
      </c>
      <c r="C144" t="s">
        <v>426</v>
      </c>
      <c r="D144" t="s">
        <v>430</v>
      </c>
      <c r="E144" t="s">
        <v>431</v>
      </c>
      <c r="F144" t="s">
        <v>12</v>
      </c>
      <c r="G144" t="s">
        <v>430</v>
      </c>
      <c r="H144" t="s">
        <v>432</v>
      </c>
      <c r="I144" t="s">
        <v>31</v>
      </c>
      <c r="J144">
        <v>2</v>
      </c>
      <c r="K144">
        <v>2</v>
      </c>
      <c r="L144" s="4">
        <v>3.8199999999999998E-2</v>
      </c>
      <c r="M144">
        <v>0.09</v>
      </c>
      <c r="N144" s="4">
        <v>7.64E-5</v>
      </c>
      <c r="O144" s="4">
        <v>1.7999999999999998E-4</v>
      </c>
    </row>
    <row r="145" spans="2:15">
      <c r="B145" t="s">
        <v>396</v>
      </c>
      <c r="C145" t="s">
        <v>426</v>
      </c>
      <c r="D145" t="s">
        <v>433</v>
      </c>
      <c r="E145" t="s">
        <v>434</v>
      </c>
      <c r="F145" t="s">
        <v>12</v>
      </c>
      <c r="G145" t="s">
        <v>433</v>
      </c>
      <c r="H145" t="s">
        <v>435</v>
      </c>
      <c r="I145" t="s">
        <v>31</v>
      </c>
      <c r="J145">
        <v>280973</v>
      </c>
      <c r="K145">
        <v>419</v>
      </c>
      <c r="L145" s="4">
        <v>3.8199999999999998E-2</v>
      </c>
      <c r="M145">
        <v>0.09</v>
      </c>
      <c r="N145" s="4">
        <v>10.733168599999999</v>
      </c>
      <c r="O145" s="4">
        <v>25.287569999999999</v>
      </c>
    </row>
    <row r="146" spans="2:15">
      <c r="B146" t="s">
        <v>396</v>
      </c>
      <c r="C146" t="s">
        <v>426</v>
      </c>
      <c r="D146" t="s">
        <v>436</v>
      </c>
      <c r="E146" t="s">
        <v>437</v>
      </c>
      <c r="F146" t="s">
        <v>12</v>
      </c>
      <c r="G146" t="s">
        <v>436</v>
      </c>
      <c r="H146" t="s">
        <v>438</v>
      </c>
      <c r="I146" t="s">
        <v>31</v>
      </c>
      <c r="J146">
        <v>8</v>
      </c>
      <c r="K146">
        <v>3</v>
      </c>
      <c r="L146" s="4">
        <v>3.8199999999999998E-2</v>
      </c>
      <c r="M146">
        <v>0.09</v>
      </c>
      <c r="N146" s="4">
        <v>3.056E-4</v>
      </c>
      <c r="O146" s="4">
        <v>7.1999999999999994E-4</v>
      </c>
    </row>
    <row r="147" spans="2:15">
      <c r="B147" t="s">
        <v>396</v>
      </c>
      <c r="C147" t="s">
        <v>439</v>
      </c>
      <c r="D147" t="s">
        <v>440</v>
      </c>
      <c r="E147" t="s">
        <v>441</v>
      </c>
      <c r="F147" t="s">
        <v>12</v>
      </c>
      <c r="G147" t="s">
        <v>440</v>
      </c>
      <c r="H147" t="s">
        <v>442</v>
      </c>
      <c r="I147" t="s">
        <v>31</v>
      </c>
      <c r="J147">
        <v>483253</v>
      </c>
      <c r="K147">
        <v>209</v>
      </c>
      <c r="L147" s="4">
        <v>3.8199999999999998E-2</v>
      </c>
      <c r="M147">
        <v>0.09</v>
      </c>
      <c r="N147" s="4">
        <v>18.460264599999999</v>
      </c>
      <c r="O147" s="4">
        <v>43.49277</v>
      </c>
    </row>
    <row r="148" spans="2:15">
      <c r="B148" t="s">
        <v>396</v>
      </c>
      <c r="C148" t="s">
        <v>439</v>
      </c>
      <c r="D148" t="s">
        <v>443</v>
      </c>
      <c r="E148" t="s">
        <v>444</v>
      </c>
      <c r="F148" t="s">
        <v>12</v>
      </c>
      <c r="G148" t="s">
        <v>443</v>
      </c>
      <c r="H148" t="s">
        <v>445</v>
      </c>
      <c r="I148" t="s">
        <v>31</v>
      </c>
      <c r="J148">
        <v>427369</v>
      </c>
      <c r="K148">
        <v>278</v>
      </c>
      <c r="L148" s="4">
        <v>3.8199999999999998E-2</v>
      </c>
      <c r="M148">
        <v>0.09</v>
      </c>
      <c r="N148" s="4">
        <v>16.325495799999999</v>
      </c>
      <c r="O148" s="4">
        <v>38.463209999999997</v>
      </c>
    </row>
    <row r="149" spans="2:15">
      <c r="N149" s="5"/>
      <c r="O149" s="5"/>
    </row>
    <row r="150" spans="2:15">
      <c r="L150" s="4"/>
      <c r="N150" s="4"/>
      <c r="O150" s="4"/>
    </row>
    <row r="151" spans="2:15">
      <c r="L151" s="4"/>
      <c r="N151" s="4"/>
      <c r="O151" s="4"/>
    </row>
    <row r="152" spans="2:15">
      <c r="L152" s="4"/>
      <c r="N152" s="4"/>
      <c r="O152" s="4"/>
    </row>
    <row r="153" spans="2:15">
      <c r="L153" s="4"/>
      <c r="N153" s="4"/>
      <c r="O153" s="4"/>
    </row>
    <row r="154" spans="2:15">
      <c r="L154" s="4"/>
      <c r="N154" s="4"/>
      <c r="O154" s="4"/>
    </row>
    <row r="155" spans="2:15">
      <c r="L155" s="4"/>
      <c r="N155" s="4"/>
      <c r="O155" s="4"/>
    </row>
    <row r="156" spans="2:15">
      <c r="L156" s="4"/>
      <c r="N156" s="4"/>
      <c r="O156" s="4"/>
    </row>
    <row r="157" spans="2:15">
      <c r="L157" s="4"/>
      <c r="N157" s="4"/>
      <c r="O157" s="4"/>
    </row>
    <row r="158" spans="2:15">
      <c r="L158" s="4"/>
      <c r="N158" s="4"/>
      <c r="O158" s="4"/>
    </row>
    <row r="159" spans="2:15">
      <c r="L159" s="4"/>
      <c r="N159" s="4"/>
      <c r="O159" s="4"/>
    </row>
    <row r="160" spans="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2019-03-28T15:02:53Z</dcterms:modified>
</cp:coreProperties>
</file>