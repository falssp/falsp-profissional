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8_{82938C53-43F1-46F8-9A4E-DB16050E5D06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Resumo!$A$19:$O$1228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8" l="1"/>
  <c r="D6" i="8"/>
  <c r="D4" i="8"/>
  <c r="D5" i="8"/>
  <c r="D7" i="8"/>
  <c r="D8" i="8"/>
  <c r="D9" i="8"/>
  <c r="E7" i="8" l="1"/>
  <c r="E9" i="8"/>
  <c r="E4" i="8"/>
  <c r="E6" i="8"/>
  <c r="E5" i="8"/>
  <c r="E8" i="8"/>
  <c r="E10" i="8" l="1"/>
  <c r="G5" i="8" s="1"/>
</calcChain>
</file>

<file path=xl/sharedStrings.xml><?xml version="1.0" encoding="utf-8"?>
<sst xmlns="http://schemas.openxmlformats.org/spreadsheetml/2006/main" count="855" uniqueCount="346">
  <si>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</si>
  <si>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</si>
  <si>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</si>
  <si>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</si>
  <si>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</si>
  <si>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</si>
  <si>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</si>
  <si>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</si>
  <si>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</si>
  <si>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</si>
  <si>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</si>
  <si>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</si>
  <si>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</si>
  <si>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</si>
  <si>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</si>
  <si>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</si>
  <si>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</si>
  <si>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</si>
  <si>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</si>
  <si>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</si>
  <si>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</si>
  <si>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</si>
  <si>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</si>
  <si>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</si>
  <si>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</si>
  <si>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</si>
  <si>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</si>
  <si>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</si>
  <si>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</si>
  <si>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</si>
  <si>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alp_ecom</t>
  </si>
  <si>
    <t>facebook.com.br</t>
  </si>
  <si>
    <t>alp_ecom_conversao_ecom_facebook_social_pagepost_social_rasteiras-you_curte-havaianas_cpc_1200x628_111113</t>
  </si>
  <si>
    <t>242206023</t>
  </si>
  <si>
    <t>438842639</t>
  </si>
  <si>
    <t>Oath BR</t>
  </si>
  <si>
    <t>Steal The Look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</si>
  <si>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</si>
  <si>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</si>
  <si>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</si>
  <si>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</si>
  <si>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</si>
  <si>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</si>
  <si>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</si>
  <si>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</si>
  <si>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</si>
  <si>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</si>
  <si>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</si>
  <si>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</si>
  <si>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</si>
  <si>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</si>
  <si>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</si>
  <si>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</si>
  <si>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</si>
  <si>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</si>
  <si>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</si>
  <si>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</si>
  <si>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</si>
  <si>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</si>
  <si>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</si>
  <si>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</si>
  <si>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</si>
  <si>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</si>
  <si>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</si>
  <si>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</si>
  <si>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</si>
  <si>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</si>
  <si>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</si>
  <si>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</si>
  <si>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</si>
  <si>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</si>
  <si>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</si>
  <si>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</si>
  <si>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</si>
  <si>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</si>
  <si>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</si>
  <si>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alp_ecom_conversao_ecom_facebook_social_pagepost_social_got_interesse-got_cpm_1200x628_111202</t>
  </si>
  <si>
    <t>247894816</t>
  </si>
  <si>
    <t>444247220</t>
  </si>
  <si>
    <t>alp_ecom_conversao_ecom_facebook_social_pagepost_social_slim-hits_curte-havaianas_cpm_1200x628_111200</t>
  </si>
  <si>
    <t>247726396</t>
  </si>
  <si>
    <t>443998716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</si>
  <si>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</si>
  <si>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</si>
  <si>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</si>
  <si>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</si>
  <si>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</si>
  <si>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</si>
  <si>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</si>
  <si>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</si>
  <si>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</si>
  <si>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alp_ecom_conversao_ecom_facebook_social_pagepost_social_stranger-things_curte-havaianas_cpm_1080x1080_111214</t>
  </si>
  <si>
    <t>250561323</t>
  </si>
  <si>
    <t>446675965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</si>
  <si>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</si>
  <si>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</si>
  <si>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</si>
  <si>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</si>
  <si>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</si>
  <si>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</si>
  <si>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</si>
  <si>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</si>
  <si>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</si>
  <si>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</si>
  <si>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</si>
  <si>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</si>
  <si>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Criteo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</si>
  <si>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</si>
  <si>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</si>
  <si>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</si>
  <si>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</si>
  <si>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</si>
  <si>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</si>
  <si>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</si>
  <si>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</si>
  <si>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</si>
  <si>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</si>
  <si>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</si>
  <si>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</si>
  <si>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alp_ecom_conversao_ecom_facebook_social_collection_social_harry-potter_rmk-30-mobile_cpm_dinamico_111223</t>
  </si>
  <si>
    <t>251366892</t>
  </si>
  <si>
    <t>447333036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</si>
  <si>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</si>
  <si>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</si>
  <si>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</si>
  <si>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</si>
  <si>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</si>
  <si>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</si>
  <si>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</si>
  <si>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</si>
  <si>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</si>
  <si>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</si>
  <si>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</si>
  <si>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</si>
  <si>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</si>
  <si>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</si>
  <si>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</si>
  <si>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</si>
  <si>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</si>
  <si>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</si>
  <si>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</si>
  <si>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</si>
  <si>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</si>
  <si>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</si>
  <si>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</si>
  <si>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</si>
  <si>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</si>
  <si>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</si>
  <si>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</si>
  <si>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</si>
  <si>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</si>
  <si>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</si>
  <si>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alp_ecom_conversao_ecom_facebook_social_carrossel_social_havaianas-hype_rmk-30-mobile_cpm_1080x1080_111231</t>
  </si>
  <si>
    <t>252787663</t>
  </si>
  <si>
    <t>448761771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</si>
  <si>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</si>
  <si>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</si>
  <si>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</si>
  <si>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</si>
  <si>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</si>
  <si>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</si>
  <si>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</si>
  <si>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</si>
  <si>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</si>
  <si>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</si>
  <si>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</si>
  <si>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</si>
  <si>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</si>
  <si>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</si>
  <si>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</si>
  <si>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</si>
  <si>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</si>
  <si>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</si>
  <si>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</si>
  <si>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</si>
  <si>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</si>
  <si>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alp_ecom_conversao_ecom_facebook_social_pagepost_social_havaianas-hype_look-1-mobile_cpm_1080x1080_111230</t>
  </si>
  <si>
    <t>252787699</t>
  </si>
  <si>
    <t>448761807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</si>
  <si>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</si>
  <si>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</si>
  <si>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</si>
  <si>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alp_ecom_conversao_ecom_facebook_social_pagepost_social_havaianas-hype_rmk-30-mobile_cpm_1200x628_111242</t>
  </si>
  <si>
    <t>253394711</t>
  </si>
  <si>
    <t>449824030</t>
  </si>
  <si>
    <t>alp_ecom_conversao_ecom_facebook_social_pagepost_social_havaianas-hype_rmk-30_cpm_1080x1080_111230</t>
  </si>
  <si>
    <t>252787690</t>
  </si>
  <si>
    <t>448761798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</si>
  <si>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</si>
  <si>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</si>
  <si>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</si>
  <si>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</si>
  <si>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</si>
  <si>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</si>
  <si>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alp_ecom_conversao_ecom_facebook_social_pagepost_social_havaianas-la-casa-de-papel_rmk-30-mobile_cpm_1200x628_111229</t>
  </si>
  <si>
    <t>252207725</t>
  </si>
  <si>
    <t>448601342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</si>
  <si>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</si>
  <si>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</si>
  <si>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</si>
  <si>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</si>
  <si>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</si>
  <si>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</si>
  <si>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</si>
  <si>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</si>
  <si>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</si>
  <si>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alp_ecom_conversao_ecom_facebook_social_pagepost_social_rei-leao_rmk-30_cpm_1200x628_111220</t>
  </si>
  <si>
    <t>251366958</t>
  </si>
  <si>
    <t>447333102</t>
  </si>
  <si>
    <t>alp_ecom_conversao_ecom_facebook_social_stories_social_havaianas-hype_interesse-masculino-praia_cpm_de-11s-ate-29s_111245</t>
  </si>
  <si>
    <t>253920074</t>
  </si>
  <si>
    <t>450298460</t>
  </si>
  <si>
    <t>Almap BBDO</t>
  </si>
  <si>
    <t>alp_ecom_conversao_ecom_almap-geral_social_e-mail_social_semana-do-cliente_almap-semana-do-cliente_cpm_no-size_111255</t>
  </si>
  <si>
    <t>255029693</t>
  </si>
  <si>
    <t>451341977</t>
  </si>
  <si>
    <t>alp_ecom_conversao_ecom_criteo_display_arranha-ceu-largo_rmkt_semana-do-cliente_rmk-criteo_cpm_160x600_111246</t>
  </si>
  <si>
    <t>255067755</t>
  </si>
  <si>
    <t>450910592</t>
  </si>
  <si>
    <t>alp_ecom_conversao_ecom_criteo_display_half-page_rmkt_semana-do-cliente_rmk-criteo_cpm_300x600_111248</t>
  </si>
  <si>
    <t>255067749</t>
  </si>
  <si>
    <t>450910586</t>
  </si>
  <si>
    <t>alp_ecom_conversao_ecom_criteo_display_header-mobile_rmkt_semana-do-cliente_rmk-criteo_cpm_320x50_111250</t>
  </si>
  <si>
    <t>255067743</t>
  </si>
  <si>
    <t>450910580</t>
  </si>
  <si>
    <t>alp_ecom_conversao_ecom_criteo_display_retangulo_rmkt_semana-do-cliente_rmk-criteo_cpm_300x250_111247</t>
  </si>
  <si>
    <t>255067752</t>
  </si>
  <si>
    <t>450910589</t>
  </si>
  <si>
    <t>alp_ecom_conversao_ecom_oath_native_native-ads_ros_semana-do-cliente_interesse-promocao_cpc_no-size_111253</t>
  </si>
  <si>
    <t>254708531</t>
  </si>
  <si>
    <t>450964056</t>
  </si>
  <si>
    <t>OutBrain - Br</t>
  </si>
  <si>
    <t>alp_ecom_conversao_ecom_outbrain_native_native-ads_ros_dia-das-maes_all_cpc_no-size_111149</t>
  </si>
  <si>
    <t>245434138</t>
  </si>
  <si>
    <t>442124315</t>
  </si>
  <si>
    <t>alp_ecom_conversao_ecom_facebook_social_carrossel_social_semana-do-cliente-dpa_rmk-30_cpm_1080x1080_111252</t>
  </si>
  <si>
    <t>255023102</t>
  </si>
  <si>
    <t>451284702</t>
  </si>
  <si>
    <t>alp_ecom_conversao_ecom_facebook_social_collection_social_semana-do-cliente_rmk-30_cpm_1080x1080_111252</t>
  </si>
  <si>
    <t>255042046</t>
  </si>
  <si>
    <t>451032143</t>
  </si>
  <si>
    <t>alp_ecom_conversao_ecom_facebook_social_pagepost_social_alpargatas-free_curte-havaianas_cpm_1200x628_111259</t>
  </si>
  <si>
    <t>256752787</t>
  </si>
  <si>
    <t>452584938</t>
  </si>
  <si>
    <t>alp_ecom_conversao_ecom_facebook_social_pagepost_social_alpargatas-free_look-1-desk_cpm_1200x628_111259</t>
  </si>
  <si>
    <t>256752784</t>
  </si>
  <si>
    <t>452584935</t>
  </si>
  <si>
    <t>alp_ecom_conversao_ecom_facebook_social_pagepost_social_alpargatas-free_look-1-mobile_cpm_1200x628_111259</t>
  </si>
  <si>
    <t>256752781</t>
  </si>
  <si>
    <t>452584932</t>
  </si>
  <si>
    <t>alp_ecom_conversao_ecom_facebook_social_pagepost_social_alpargatas-free_look-2-mobile_cpm_1200x628_111259</t>
  </si>
  <si>
    <t>256752775</t>
  </si>
  <si>
    <t>452584926</t>
  </si>
  <si>
    <t>alp_ecom_conversao_ecom_facebook_social_pagepost_social_alpargatas-free_rmk-30-mobile_cpm_1200x628_111259</t>
  </si>
  <si>
    <t>256752769</t>
  </si>
  <si>
    <t>452584920</t>
  </si>
  <si>
    <t>alp_ecom_conversao_ecom_facebook_social_pagepost_social_alpargatas-free_rmk-30_cpm_1200x628_111259</t>
  </si>
  <si>
    <t>256752772</t>
  </si>
  <si>
    <t>452584923</t>
  </si>
  <si>
    <t>alp_ecom_conversao_ecom_facebook_social_pagepost_social_havaianas-hype_look-1-mobile_cpm_1200x628_111242</t>
  </si>
  <si>
    <t>253394699</t>
  </si>
  <si>
    <t>449824042</t>
  </si>
  <si>
    <t>alp_ecom_conversao_ecom_facebook_social_pagepost_social_havaianas-hype_look-2-mobile_cpm_1080x1080_111230</t>
  </si>
  <si>
    <t>252787693</t>
  </si>
  <si>
    <t>448761801</t>
  </si>
  <si>
    <t>alp_ecom_conversao_ecom_facebook_social_pagepost_social_havaianas-slide_curte-havaianas_cpm_1080x1080_111256</t>
  </si>
  <si>
    <t>256054542</t>
  </si>
  <si>
    <t>451911526</t>
  </si>
  <si>
    <t>alp_ecom_conversao_ecom_facebook_social_pagepost_social_havaianas-slide_look-1-desk_cpm_1080x1080_111256</t>
  </si>
  <si>
    <t>256054539</t>
  </si>
  <si>
    <t>451911523</t>
  </si>
  <si>
    <t>alp_ecom_conversao_ecom_facebook_social_pagepost_social_havaianas-slide_look-1-mobile_cpm_1080x1080_111256</t>
  </si>
  <si>
    <t>256054536</t>
  </si>
  <si>
    <t>451911520</t>
  </si>
  <si>
    <t>alp_ecom_conversao_ecom_facebook_social_pagepost_social_havaianas-slide_look-2-mobile_cpm_1080x1080_111256</t>
  </si>
  <si>
    <t>256054530</t>
  </si>
  <si>
    <t>451911514</t>
  </si>
  <si>
    <t>alp_ecom_conversao_ecom_facebook_social_pagepost_social_havaianas-slide_rmk-30-mobile_cpm_1080x1080_111256</t>
  </si>
  <si>
    <t>256054524</t>
  </si>
  <si>
    <t>451911508</t>
  </si>
  <si>
    <t>alp_ecom_conversao_ecom_facebook_social_pagepost_social_havaianas-slide_rmk-30_cpm_1080x1080_111256</t>
  </si>
  <si>
    <t>256054527</t>
  </si>
  <si>
    <t>451911511</t>
  </si>
  <si>
    <t>alp_ecom_conversao_ecom_facebook_social_pagepost_social_havaianas-top-verano_curte-havaianas_cpm_1200x628_111257</t>
  </si>
  <si>
    <t>256409478</t>
  </si>
  <si>
    <t>452248351</t>
  </si>
  <si>
    <t>alp_ecom_conversao_ecom_facebook_social_pagepost_social_havaianas-top-verano_interesse-praia_cpm_1200x628_111257</t>
  </si>
  <si>
    <t>256409457</t>
  </si>
  <si>
    <t>452248330</t>
  </si>
  <si>
    <t>alp_ecom_conversao_ecom_facebook_social_pagepost_social_havaianas-top-verano_look-1-mobile_cpm_1200x628_111257</t>
  </si>
  <si>
    <t>256409472</t>
  </si>
  <si>
    <t>452248345</t>
  </si>
  <si>
    <t>alp_ecom_conversao_ecom_facebook_social_pagepost_social_havaianas-top-verano_look-2-mobile_cpm_1200x628_111257</t>
  </si>
  <si>
    <t>256409466</t>
  </si>
  <si>
    <t>452248339</t>
  </si>
  <si>
    <t>alp_ecom_conversao_ecom_facebook_social_pagepost_social_havaianas-top-verano_rmk-30-mobile_cpm_1200x628_111257</t>
  </si>
  <si>
    <t>256409460</t>
  </si>
  <si>
    <t>452248333</t>
  </si>
  <si>
    <t>alp_ecom_conversao_ecom_facebook_social_pagepost_social_havaianas-top-verano_rmk-30_cpm_1200x628_111257</t>
  </si>
  <si>
    <t>256409463</t>
  </si>
  <si>
    <t>452248336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</si>
  <si>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</si>
  <si>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</si>
  <si>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</si>
  <si>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alp_ecom_conversao_ecom_facebook_social_stories_social_havaianas-slide_curte-havaianas_cpm_de-5s-ate-10s_111256</t>
  </si>
  <si>
    <t>256054521</t>
  </si>
  <si>
    <t>451911505</t>
  </si>
  <si>
    <t>alp_ecom_conversao_ecom_facebook_social_stories_social_havaianas-top-verano_curte-havaianas_cpm_de-5s-ate-10s_111258</t>
  </si>
  <si>
    <t>256616748</t>
  </si>
  <si>
    <t>452322090</t>
  </si>
  <si>
    <t>alp_ecom_conversao_ecom_facebook_social_stories_social_havaianas-top-verano_interesse-praia_cpm_de-5s-ate-10s_111258</t>
  </si>
  <si>
    <t>256472698</t>
  </si>
  <si>
    <t>452364284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</si>
  <si>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</si>
  <si>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</si>
  <si>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</si>
  <si>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</si>
  <si>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</si>
  <si>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</si>
  <si>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alp_ecom_conversao_ecom_facebook_social_carrossel_social_havaianas-hype_rmk-30_cpm_1080x1080_111243</t>
  </si>
  <si>
    <t>253910482</t>
  </si>
  <si>
    <t>449984761</t>
  </si>
  <si>
    <t>alp_ecom_conversao_ecom_facebook_social_collection_social_harry-potter_look-1-mobile_cpm_dinamico_111223</t>
  </si>
  <si>
    <t>251366904</t>
  </si>
  <si>
    <t>447333048</t>
  </si>
  <si>
    <t>alp_ecom_conversao_ecom_facebook_social_pagepost_social_havaianas-hype_rmk-30_cpm_1200x628_111242</t>
  </si>
  <si>
    <t>253394708</t>
  </si>
  <si>
    <t>449824033</t>
  </si>
  <si>
    <t>alp_ecom_conversao_ecom_facebook_social_pagepost_social_havaianas-la-casa-de-papel_look-1-mobile_cpm_1200x628_111229</t>
  </si>
  <si>
    <t>252207320</t>
  </si>
  <si>
    <t>448549629</t>
  </si>
  <si>
    <t>alp_ecom_conversao_ecom_facebook_social_pagepost_social_havaianas-top-verano_look-1-desk_cpm_1200x628_111257</t>
  </si>
  <si>
    <t>256409475</t>
  </si>
  <si>
    <t>452248348</t>
  </si>
  <si>
    <t>alp_ecom_conversao_ecom_facebook_social_pagepost_social_mario-bros_look-2-desk_cpc_1200x628_111118</t>
  </si>
  <si>
    <t>242342697</t>
  </si>
  <si>
    <t>438874533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</si>
  <si>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</si>
  <si>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</si>
  <si>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</si>
  <si>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</si>
  <si>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</si>
  <si>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</si>
  <si>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alp_ecom_conversao_ecom_facebook_social_pagepost_social_top-disney_curte-havaianas_cpm_1200x628_111161</t>
  </si>
  <si>
    <t>245715951</t>
  </si>
  <si>
    <t>442194964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</si>
</sst>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9"/>
  <sheetViews>
    <sheetView showGridLines="0" tabSelected="1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27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122</v>
      </c>
      <c r="E4" s="9">
        <f>C4*D4/1000</f>
        <v>1.098E-2</v>
      </c>
      <c r="G4" s="13" t="s">
        <v>28</v>
      </c>
      <c r="H4" s="13" t="s">
        <v>29</v>
      </c>
    </row>
    <row r="5" spans="1:8">
      <c r="B5" s="8" t="s">
        <v>11</v>
      </c>
      <c r="C5" s="1">
        <v>0.09</v>
      </c>
      <c r="D5" s="1">
        <f>SUMIF(adtype_filtrada,$B5,impressoes_filtrada)</f>
        <v>0</v>
      </c>
      <c r="E5" s="9">
        <f>C5*D5/1000</f>
        <v>0</v>
      </c>
      <c r="G5" s="9">
        <f>E10</f>
        <v>2099.2309800000003</v>
      </c>
      <c r="H5" s="9">
        <f>SUM(total_ferramenta_filtrada)</f>
        <v>367.36816040000008</v>
      </c>
    </row>
    <row r="6" spans="1:8">
      <c r="B6" s="8" t="s">
        <v>10</v>
      </c>
      <c r="C6" s="1">
        <v>0.02</v>
      </c>
      <c r="D6" s="1">
        <f>SUMIF(adtype_filtrada,$B6,clicks_filtrada)</f>
        <v>104961</v>
      </c>
      <c r="E6" s="9">
        <f>C6*D6</f>
        <v>2099.2200000000003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2099.2309800000003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30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30</v>
      </c>
      <c r="C20" t="s">
        <v>212</v>
      </c>
      <c r="D20" t="s">
        <v>213</v>
      </c>
      <c r="E20" t="s">
        <v>214</v>
      </c>
      <c r="F20" t="s">
        <v>10</v>
      </c>
      <c r="G20" t="s">
        <v>213</v>
      </c>
      <c r="H20" t="s">
        <v>215</v>
      </c>
      <c r="I20" t="s">
        <v>26</v>
      </c>
      <c r="J20">
        <v>0</v>
      </c>
      <c r="K20">
        <v>1</v>
      </c>
      <c r="L20" s="2">
        <v>3.5000000000000001E-3</v>
      </c>
      <c r="M20">
        <v>0.02</v>
      </c>
      <c r="N20" s="2">
        <v>3.5000000000000001E-3</v>
      </c>
      <c r="O20" s="2">
        <v>0.02</v>
      </c>
    </row>
    <row r="21" spans="1:15">
      <c r="B21" t="s">
        <v>30</v>
      </c>
      <c r="C21" t="s">
        <v>106</v>
      </c>
      <c r="D21" t="s">
        <v>216</v>
      </c>
      <c r="E21" t="s">
        <v>217</v>
      </c>
      <c r="F21" t="s">
        <v>10</v>
      </c>
      <c r="G21" t="s">
        <v>216</v>
      </c>
      <c r="H21" t="s">
        <v>218</v>
      </c>
      <c r="I21" t="s">
        <v>26</v>
      </c>
      <c r="J21">
        <v>0</v>
      </c>
      <c r="K21">
        <v>3</v>
      </c>
      <c r="L21" s="2">
        <v>3.5000000000000001E-3</v>
      </c>
      <c r="M21">
        <v>0.02</v>
      </c>
      <c r="N21" s="2">
        <v>1.0500000000000001E-2</v>
      </c>
      <c r="O21" s="2">
        <v>0.06</v>
      </c>
    </row>
    <row r="22" spans="1:15">
      <c r="B22" t="s">
        <v>30</v>
      </c>
      <c r="C22" t="s">
        <v>106</v>
      </c>
      <c r="D22" t="s">
        <v>219</v>
      </c>
      <c r="E22" t="s">
        <v>220</v>
      </c>
      <c r="F22" t="s">
        <v>10</v>
      </c>
      <c r="G22" t="s">
        <v>219</v>
      </c>
      <c r="H22" t="s">
        <v>221</v>
      </c>
      <c r="I22" t="s">
        <v>26</v>
      </c>
      <c r="J22">
        <v>0</v>
      </c>
      <c r="K22">
        <v>3</v>
      </c>
      <c r="L22" s="2">
        <v>3.5000000000000001E-3</v>
      </c>
      <c r="M22">
        <v>0.02</v>
      </c>
      <c r="N22" s="2">
        <v>1.0500000000000001E-2</v>
      </c>
      <c r="O22" s="2">
        <v>0.06</v>
      </c>
    </row>
    <row r="23" spans="1:15">
      <c r="B23" t="s">
        <v>30</v>
      </c>
      <c r="C23" t="s">
        <v>106</v>
      </c>
      <c r="D23" t="s">
        <v>222</v>
      </c>
      <c r="E23" t="s">
        <v>223</v>
      </c>
      <c r="F23" t="s">
        <v>10</v>
      </c>
      <c r="G23" t="s">
        <v>222</v>
      </c>
      <c r="H23" t="s">
        <v>224</v>
      </c>
      <c r="I23" t="s">
        <v>26</v>
      </c>
      <c r="J23">
        <v>0</v>
      </c>
      <c r="K23">
        <v>5</v>
      </c>
      <c r="L23" s="2">
        <v>3.5000000000000001E-3</v>
      </c>
      <c r="M23">
        <v>0.02</v>
      </c>
      <c r="N23" s="2">
        <v>1.7500000000000002E-2</v>
      </c>
      <c r="O23" s="2">
        <v>0.1</v>
      </c>
    </row>
    <row r="24" spans="1:15">
      <c r="B24" t="s">
        <v>30</v>
      </c>
      <c r="C24" t="s">
        <v>106</v>
      </c>
      <c r="D24" t="s">
        <v>225</v>
      </c>
      <c r="E24" t="s">
        <v>226</v>
      </c>
      <c r="F24" t="s">
        <v>10</v>
      </c>
      <c r="G24" t="s">
        <v>225</v>
      </c>
      <c r="H24" t="s">
        <v>227</v>
      </c>
      <c r="I24" t="s">
        <v>26</v>
      </c>
      <c r="J24">
        <v>0</v>
      </c>
      <c r="K24">
        <v>3</v>
      </c>
      <c r="L24" s="2">
        <v>3.5000000000000001E-3</v>
      </c>
      <c r="M24">
        <v>0.02</v>
      </c>
      <c r="N24" s="2">
        <v>1.0500000000000001E-2</v>
      </c>
      <c r="O24" s="2">
        <v>0.06</v>
      </c>
    </row>
    <row r="25" spans="1:15">
      <c r="B25" t="s">
        <v>30</v>
      </c>
      <c r="C25" t="s">
        <v>35</v>
      </c>
      <c r="D25" t="s">
        <v>228</v>
      </c>
      <c r="E25" t="s">
        <v>229</v>
      </c>
      <c r="F25" t="s">
        <v>12</v>
      </c>
      <c r="G25" t="s">
        <v>228</v>
      </c>
      <c r="H25" t="s">
        <v>230</v>
      </c>
      <c r="I25" t="s">
        <v>26</v>
      </c>
      <c r="J25">
        <v>18</v>
      </c>
      <c r="K25">
        <v>2</v>
      </c>
      <c r="L25" s="2">
        <v>3.8199999999999998E-2</v>
      </c>
      <c r="M25">
        <v>0.09</v>
      </c>
      <c r="N25" s="2">
        <v>6.8760000000000002E-4</v>
      </c>
      <c r="O25" s="2">
        <v>1.6199999999999999E-3</v>
      </c>
    </row>
    <row r="26" spans="1:15">
      <c r="B26" t="s">
        <v>30</v>
      </c>
      <c r="C26" t="s">
        <v>231</v>
      </c>
      <c r="D26" t="s">
        <v>232</v>
      </c>
      <c r="E26" t="s">
        <v>233</v>
      </c>
      <c r="F26" t="s">
        <v>10</v>
      </c>
      <c r="G26" t="s">
        <v>232</v>
      </c>
      <c r="H26" t="s">
        <v>234</v>
      </c>
      <c r="I26" t="s">
        <v>26</v>
      </c>
      <c r="J26">
        <v>0</v>
      </c>
      <c r="K26">
        <v>3</v>
      </c>
      <c r="L26" s="2">
        <v>3.5000000000000001E-3</v>
      </c>
      <c r="M26">
        <v>0.02</v>
      </c>
      <c r="N26" s="2">
        <v>1.0500000000000001E-2</v>
      </c>
      <c r="O26" s="2">
        <v>0.06</v>
      </c>
    </row>
    <row r="27" spans="1:15">
      <c r="B27" t="s">
        <v>30</v>
      </c>
      <c r="C27" t="s">
        <v>36</v>
      </c>
      <c r="D27" t="s">
        <v>37</v>
      </c>
      <c r="E27" t="s">
        <v>38</v>
      </c>
      <c r="F27" t="s">
        <v>12</v>
      </c>
      <c r="G27" t="s">
        <v>37</v>
      </c>
      <c r="H27" t="s">
        <v>39</v>
      </c>
      <c r="I27" t="s">
        <v>26</v>
      </c>
      <c r="J27">
        <v>8</v>
      </c>
      <c r="K27">
        <v>0</v>
      </c>
      <c r="L27" s="2">
        <v>3.8199999999999998E-2</v>
      </c>
      <c r="M27">
        <v>0.09</v>
      </c>
      <c r="N27" s="2">
        <v>3.056E-4</v>
      </c>
      <c r="O27" s="2">
        <v>7.1999999999999994E-4</v>
      </c>
    </row>
    <row r="28" spans="1:15">
      <c r="B28" t="s">
        <v>30</v>
      </c>
      <c r="C28" t="s">
        <v>36</v>
      </c>
      <c r="D28" t="s">
        <v>40</v>
      </c>
      <c r="E28" t="s">
        <v>41</v>
      </c>
      <c r="F28" t="s">
        <v>12</v>
      </c>
      <c r="G28" t="s">
        <v>40</v>
      </c>
      <c r="H28" t="s">
        <v>42</v>
      </c>
      <c r="I28" t="s">
        <v>26</v>
      </c>
      <c r="J28">
        <v>8</v>
      </c>
      <c r="K28">
        <v>0</v>
      </c>
      <c r="L28" s="2">
        <v>3.8199999999999998E-2</v>
      </c>
      <c r="M28">
        <v>0.09</v>
      </c>
      <c r="N28" s="2">
        <v>3.056E-4</v>
      </c>
      <c r="O28" s="2">
        <v>7.1999999999999994E-4</v>
      </c>
    </row>
    <row r="29" spans="1:15">
      <c r="B29" t="s">
        <v>30</v>
      </c>
      <c r="C29" t="s">
        <v>36</v>
      </c>
      <c r="D29" t="s">
        <v>43</v>
      </c>
      <c r="E29" t="s">
        <v>44</v>
      </c>
      <c r="F29" t="s">
        <v>12</v>
      </c>
      <c r="G29" t="s">
        <v>43</v>
      </c>
      <c r="H29" t="s">
        <v>45</v>
      </c>
      <c r="I29" t="s">
        <v>26</v>
      </c>
      <c r="J29">
        <v>8</v>
      </c>
      <c r="K29">
        <v>0</v>
      </c>
      <c r="L29" s="2">
        <v>3.8199999999999998E-2</v>
      </c>
      <c r="M29">
        <v>0.09</v>
      </c>
      <c r="N29" s="2">
        <v>3.056E-4</v>
      </c>
      <c r="O29" s="2">
        <v>7.1999999999999994E-4</v>
      </c>
    </row>
    <row r="30" spans="1:15">
      <c r="B30" t="s">
        <v>30</v>
      </c>
      <c r="C30" t="s">
        <v>36</v>
      </c>
      <c r="D30" t="s">
        <v>46</v>
      </c>
      <c r="E30" t="s">
        <v>47</v>
      </c>
      <c r="F30" t="s">
        <v>12</v>
      </c>
      <c r="G30" t="s">
        <v>46</v>
      </c>
      <c r="H30" t="s">
        <v>48</v>
      </c>
      <c r="I30" t="s">
        <v>26</v>
      </c>
      <c r="J30">
        <v>8</v>
      </c>
      <c r="K30">
        <v>0</v>
      </c>
      <c r="L30" s="2">
        <v>3.8199999999999998E-2</v>
      </c>
      <c r="M30">
        <v>0.09</v>
      </c>
      <c r="N30" s="2">
        <v>3.056E-4</v>
      </c>
      <c r="O30" s="2">
        <v>7.1999999999999994E-4</v>
      </c>
    </row>
    <row r="31" spans="1:15">
      <c r="B31" t="s">
        <v>30</v>
      </c>
      <c r="C31" t="s">
        <v>36</v>
      </c>
      <c r="D31" t="s">
        <v>49</v>
      </c>
      <c r="E31" t="s">
        <v>50</v>
      </c>
      <c r="F31" t="s">
        <v>12</v>
      </c>
      <c r="G31" t="s">
        <v>49</v>
      </c>
      <c r="H31" t="s">
        <v>51</v>
      </c>
      <c r="I31" t="s">
        <v>26</v>
      </c>
      <c r="J31">
        <v>8</v>
      </c>
      <c r="K31">
        <v>0</v>
      </c>
      <c r="L31" s="2">
        <v>3.8199999999999998E-2</v>
      </c>
      <c r="M31">
        <v>0.09</v>
      </c>
      <c r="N31" s="2">
        <v>3.056E-4</v>
      </c>
      <c r="O31" s="2">
        <v>7.1999999999999994E-4</v>
      </c>
    </row>
    <row r="32" spans="1:15">
      <c r="B32" t="s">
        <v>30</v>
      </c>
      <c r="C32" t="s">
        <v>36</v>
      </c>
      <c r="D32" t="s">
        <v>52</v>
      </c>
      <c r="E32" t="s">
        <v>53</v>
      </c>
      <c r="F32" t="s">
        <v>12</v>
      </c>
      <c r="G32" t="s">
        <v>52</v>
      </c>
      <c r="H32" t="s">
        <v>54</v>
      </c>
      <c r="I32" t="s">
        <v>26</v>
      </c>
      <c r="J32">
        <v>8</v>
      </c>
      <c r="K32">
        <v>0</v>
      </c>
      <c r="L32" s="2">
        <v>3.8199999999999998E-2</v>
      </c>
      <c r="M32">
        <v>0.09</v>
      </c>
      <c r="N32" s="2">
        <v>3.056E-4</v>
      </c>
      <c r="O32" s="2">
        <v>7.1999999999999994E-4</v>
      </c>
    </row>
    <row r="33" spans="2:15">
      <c r="B33" t="s">
        <v>30</v>
      </c>
      <c r="C33" t="s">
        <v>36</v>
      </c>
      <c r="D33" t="s">
        <v>55</v>
      </c>
      <c r="E33" t="s">
        <v>56</v>
      </c>
      <c r="F33" t="s">
        <v>12</v>
      </c>
      <c r="G33" t="s">
        <v>55</v>
      </c>
      <c r="H33" t="s">
        <v>57</v>
      </c>
      <c r="I33" t="s">
        <v>26</v>
      </c>
      <c r="J33">
        <v>8</v>
      </c>
      <c r="K33">
        <v>0</v>
      </c>
      <c r="L33" s="2">
        <v>3.8199999999999998E-2</v>
      </c>
      <c r="M33">
        <v>0.09</v>
      </c>
      <c r="N33" s="2">
        <v>3.056E-4</v>
      </c>
      <c r="O33" s="2">
        <v>7.1999999999999994E-4</v>
      </c>
    </row>
    <row r="34" spans="2:15">
      <c r="B34" t="s">
        <v>30</v>
      </c>
      <c r="C34" t="s">
        <v>36</v>
      </c>
      <c r="D34" t="s">
        <v>58</v>
      </c>
      <c r="E34" t="s">
        <v>59</v>
      </c>
      <c r="F34" t="s">
        <v>12</v>
      </c>
      <c r="G34" t="s">
        <v>58</v>
      </c>
      <c r="H34" t="s">
        <v>60</v>
      </c>
      <c r="I34" t="s">
        <v>26</v>
      </c>
      <c r="J34">
        <v>8</v>
      </c>
      <c r="K34">
        <v>0</v>
      </c>
      <c r="L34" s="2">
        <v>3.8199999999999998E-2</v>
      </c>
      <c r="M34">
        <v>0.09</v>
      </c>
      <c r="N34" s="2">
        <v>3.056E-4</v>
      </c>
      <c r="O34" s="2">
        <v>7.1999999999999994E-4</v>
      </c>
    </row>
    <row r="35" spans="2:15">
      <c r="B35" t="s">
        <v>30</v>
      </c>
      <c r="C35" t="s">
        <v>36</v>
      </c>
      <c r="D35" t="s">
        <v>61</v>
      </c>
      <c r="E35" t="s">
        <v>62</v>
      </c>
      <c r="F35" t="s">
        <v>12</v>
      </c>
      <c r="G35" t="s">
        <v>61</v>
      </c>
      <c r="H35" t="s">
        <v>63</v>
      </c>
      <c r="I35" t="s">
        <v>26</v>
      </c>
      <c r="J35">
        <v>8</v>
      </c>
      <c r="K35">
        <v>1</v>
      </c>
      <c r="L35" s="2">
        <v>3.8199999999999998E-2</v>
      </c>
      <c r="M35">
        <v>0.09</v>
      </c>
      <c r="N35" s="2">
        <v>3.056E-4</v>
      </c>
      <c r="O35" s="2">
        <v>7.1999999999999994E-4</v>
      </c>
    </row>
    <row r="36" spans="2:15">
      <c r="B36" t="s">
        <v>30</v>
      </c>
      <c r="C36" t="s">
        <v>36</v>
      </c>
      <c r="D36" t="s">
        <v>64</v>
      </c>
      <c r="E36" t="s">
        <v>65</v>
      </c>
      <c r="F36" t="s">
        <v>12</v>
      </c>
      <c r="G36" t="s">
        <v>64</v>
      </c>
      <c r="H36" t="s">
        <v>66</v>
      </c>
      <c r="I36" t="s">
        <v>26</v>
      </c>
      <c r="J36">
        <v>8</v>
      </c>
      <c r="K36">
        <v>0</v>
      </c>
      <c r="L36" s="2">
        <v>3.8199999999999998E-2</v>
      </c>
      <c r="M36">
        <v>0.09</v>
      </c>
      <c r="N36" s="2">
        <v>3.056E-4</v>
      </c>
      <c r="O36" s="2">
        <v>7.1999999999999994E-4</v>
      </c>
    </row>
    <row r="37" spans="2:15">
      <c r="B37" t="s">
        <v>30</v>
      </c>
      <c r="C37" t="s">
        <v>36</v>
      </c>
      <c r="D37" t="s">
        <v>67</v>
      </c>
      <c r="E37" t="s">
        <v>68</v>
      </c>
      <c r="F37" t="s">
        <v>12</v>
      </c>
      <c r="G37" t="s">
        <v>67</v>
      </c>
      <c r="H37" t="s">
        <v>69</v>
      </c>
      <c r="I37" t="s">
        <v>26</v>
      </c>
      <c r="J37">
        <v>8</v>
      </c>
      <c r="K37">
        <v>0</v>
      </c>
      <c r="L37" s="2">
        <v>3.8199999999999998E-2</v>
      </c>
      <c r="M37">
        <v>0.09</v>
      </c>
      <c r="N37" s="2">
        <v>3.056E-4</v>
      </c>
      <c r="O37" s="2">
        <v>7.1999999999999994E-4</v>
      </c>
    </row>
    <row r="38" spans="2:15">
      <c r="B38" t="s">
        <v>30</v>
      </c>
      <c r="C38" t="s">
        <v>36</v>
      </c>
      <c r="D38" t="s">
        <v>70</v>
      </c>
      <c r="E38" t="s">
        <v>71</v>
      </c>
      <c r="F38" t="s">
        <v>12</v>
      </c>
      <c r="G38" t="s">
        <v>70</v>
      </c>
      <c r="H38" t="s">
        <v>72</v>
      </c>
      <c r="I38" t="s">
        <v>26</v>
      </c>
      <c r="J38">
        <v>8</v>
      </c>
      <c r="K38">
        <v>0</v>
      </c>
      <c r="L38" s="2">
        <v>3.8199999999999998E-2</v>
      </c>
      <c r="M38">
        <v>0.09</v>
      </c>
      <c r="N38" s="2">
        <v>3.056E-4</v>
      </c>
      <c r="O38" s="2">
        <v>7.1999999999999994E-4</v>
      </c>
    </row>
    <row r="39" spans="2:15">
      <c r="B39" t="s">
        <v>30</v>
      </c>
      <c r="C39" t="s">
        <v>36</v>
      </c>
      <c r="D39" t="s">
        <v>73</v>
      </c>
      <c r="E39" t="s">
        <v>74</v>
      </c>
      <c r="F39" t="s">
        <v>12</v>
      </c>
      <c r="G39" t="s">
        <v>73</v>
      </c>
      <c r="H39" t="s">
        <v>75</v>
      </c>
      <c r="I39" t="s">
        <v>26</v>
      </c>
      <c r="J39">
        <v>8</v>
      </c>
      <c r="K39">
        <v>0</v>
      </c>
      <c r="L39" s="2">
        <v>3.8199999999999998E-2</v>
      </c>
      <c r="M39">
        <v>0.09</v>
      </c>
      <c r="N39" s="2">
        <v>3.056E-4</v>
      </c>
      <c r="O39" s="2">
        <v>7.1999999999999994E-4</v>
      </c>
    </row>
    <row r="40" spans="2:15">
      <c r="B40" t="s">
        <v>30</v>
      </c>
      <c r="C40" t="s">
        <v>31</v>
      </c>
      <c r="D40" t="s">
        <v>82</v>
      </c>
      <c r="E40" t="s">
        <v>83</v>
      </c>
      <c r="F40" t="s">
        <v>10</v>
      </c>
      <c r="G40" t="s">
        <v>82</v>
      </c>
      <c r="H40" t="s">
        <v>84</v>
      </c>
      <c r="I40" t="s">
        <v>26</v>
      </c>
      <c r="J40">
        <v>0</v>
      </c>
      <c r="K40">
        <v>1</v>
      </c>
      <c r="L40" s="2">
        <v>3.5000000000000001E-3</v>
      </c>
      <c r="M40">
        <v>0.02</v>
      </c>
      <c r="N40" s="2">
        <v>3.5000000000000001E-3</v>
      </c>
      <c r="O40" s="2">
        <v>0.02</v>
      </c>
    </row>
    <row r="41" spans="2:15">
      <c r="B41" t="s">
        <v>30</v>
      </c>
      <c r="C41" t="s">
        <v>31</v>
      </c>
      <c r="D41" t="s">
        <v>85</v>
      </c>
      <c r="E41" t="s">
        <v>86</v>
      </c>
      <c r="F41" t="s">
        <v>10</v>
      </c>
      <c r="G41" t="s">
        <v>85</v>
      </c>
      <c r="H41" t="s">
        <v>87</v>
      </c>
      <c r="I41" t="s">
        <v>26</v>
      </c>
      <c r="J41">
        <v>0</v>
      </c>
      <c r="K41">
        <v>326</v>
      </c>
      <c r="L41" s="2">
        <v>3.5000000000000001E-3</v>
      </c>
      <c r="M41">
        <v>0.02</v>
      </c>
      <c r="N41" s="2">
        <v>1.141</v>
      </c>
      <c r="O41" s="2">
        <v>6.5200000000000005</v>
      </c>
    </row>
    <row r="42" spans="2:15">
      <c r="B42" t="s">
        <v>30</v>
      </c>
      <c r="C42" t="s">
        <v>31</v>
      </c>
      <c r="D42" t="s">
        <v>88</v>
      </c>
      <c r="E42" t="s">
        <v>89</v>
      </c>
      <c r="F42" t="s">
        <v>10</v>
      </c>
      <c r="G42" t="s">
        <v>88</v>
      </c>
      <c r="H42" t="s">
        <v>90</v>
      </c>
      <c r="I42" t="s">
        <v>26</v>
      </c>
      <c r="J42">
        <v>0</v>
      </c>
      <c r="K42">
        <v>1312</v>
      </c>
      <c r="L42" s="2">
        <v>3.5000000000000001E-3</v>
      </c>
      <c r="M42">
        <v>0.02</v>
      </c>
      <c r="N42" s="2">
        <v>4.5920000000000005</v>
      </c>
      <c r="O42" s="2">
        <v>26.240000000000002</v>
      </c>
    </row>
    <row r="43" spans="2:15">
      <c r="B43" t="s">
        <v>30</v>
      </c>
      <c r="C43" t="s">
        <v>31</v>
      </c>
      <c r="D43" t="s">
        <v>143</v>
      </c>
      <c r="E43" t="s">
        <v>144</v>
      </c>
      <c r="F43" t="s">
        <v>10</v>
      </c>
      <c r="G43" t="s">
        <v>143</v>
      </c>
      <c r="H43" t="s">
        <v>145</v>
      </c>
      <c r="I43" t="s">
        <v>26</v>
      </c>
      <c r="J43">
        <v>0</v>
      </c>
      <c r="K43">
        <v>1735</v>
      </c>
      <c r="L43" s="2">
        <v>3.5000000000000001E-3</v>
      </c>
      <c r="M43">
        <v>0.02</v>
      </c>
      <c r="N43" s="2">
        <v>6.0724999999999998</v>
      </c>
      <c r="O43" s="2">
        <v>34.700000000000003</v>
      </c>
    </row>
    <row r="44" spans="2:15">
      <c r="B44" t="s">
        <v>30</v>
      </c>
      <c r="C44" t="s">
        <v>31</v>
      </c>
      <c r="D44" t="s">
        <v>146</v>
      </c>
      <c r="E44" t="s">
        <v>147</v>
      </c>
      <c r="F44" t="s">
        <v>10</v>
      </c>
      <c r="G44" t="s">
        <v>146</v>
      </c>
      <c r="H44" t="s">
        <v>148</v>
      </c>
      <c r="I44" t="s">
        <v>26</v>
      </c>
      <c r="J44">
        <v>0</v>
      </c>
      <c r="K44">
        <v>286</v>
      </c>
      <c r="L44" s="2">
        <v>3.5000000000000001E-3</v>
      </c>
      <c r="M44">
        <v>0.02</v>
      </c>
      <c r="N44" s="2">
        <v>1.0010000000000001</v>
      </c>
      <c r="O44" s="2">
        <v>5.72</v>
      </c>
    </row>
    <row r="45" spans="2:15">
      <c r="B45" t="s">
        <v>30</v>
      </c>
      <c r="C45" t="s">
        <v>31</v>
      </c>
      <c r="D45" t="s">
        <v>149</v>
      </c>
      <c r="E45" t="s">
        <v>150</v>
      </c>
      <c r="F45" t="s">
        <v>10</v>
      </c>
      <c r="G45" t="s">
        <v>149</v>
      </c>
      <c r="H45" t="s">
        <v>151</v>
      </c>
      <c r="I45" t="s">
        <v>26</v>
      </c>
      <c r="J45">
        <v>0</v>
      </c>
      <c r="K45">
        <v>24</v>
      </c>
      <c r="L45" s="2">
        <v>3.5000000000000001E-3</v>
      </c>
      <c r="M45">
        <v>0.02</v>
      </c>
      <c r="N45" s="2">
        <v>8.4000000000000005E-2</v>
      </c>
      <c r="O45" s="2">
        <v>0.48</v>
      </c>
    </row>
    <row r="46" spans="2:15">
      <c r="B46" t="s">
        <v>30</v>
      </c>
      <c r="C46" t="s">
        <v>31</v>
      </c>
      <c r="D46" t="s">
        <v>152</v>
      </c>
      <c r="E46" t="s">
        <v>153</v>
      </c>
      <c r="F46" t="s">
        <v>10</v>
      </c>
      <c r="G46" t="s">
        <v>152</v>
      </c>
      <c r="H46" t="s">
        <v>154</v>
      </c>
      <c r="I46" t="s">
        <v>26</v>
      </c>
      <c r="J46">
        <v>0</v>
      </c>
      <c r="K46">
        <v>40</v>
      </c>
      <c r="L46" s="2">
        <v>3.5000000000000001E-3</v>
      </c>
      <c r="M46">
        <v>0.02</v>
      </c>
      <c r="N46" s="2">
        <v>0.14000000000000001</v>
      </c>
      <c r="O46" s="2">
        <v>0.8</v>
      </c>
    </row>
    <row r="47" spans="2:15">
      <c r="B47" t="s">
        <v>30</v>
      </c>
      <c r="C47" t="s">
        <v>31</v>
      </c>
      <c r="D47" t="s">
        <v>155</v>
      </c>
      <c r="E47" t="s">
        <v>156</v>
      </c>
      <c r="F47" t="s">
        <v>10</v>
      </c>
      <c r="G47" t="s">
        <v>155</v>
      </c>
      <c r="H47" t="s">
        <v>157</v>
      </c>
      <c r="I47" t="s">
        <v>26</v>
      </c>
      <c r="J47">
        <v>0</v>
      </c>
      <c r="K47">
        <v>72</v>
      </c>
      <c r="L47" s="2">
        <v>3.5000000000000001E-3</v>
      </c>
      <c r="M47">
        <v>0.02</v>
      </c>
      <c r="N47" s="2">
        <v>0.252</v>
      </c>
      <c r="O47" s="2">
        <v>1.44</v>
      </c>
    </row>
    <row r="48" spans="2:15">
      <c r="B48" t="s">
        <v>30</v>
      </c>
      <c r="C48" t="s">
        <v>31</v>
      </c>
      <c r="D48" t="s">
        <v>319</v>
      </c>
      <c r="E48" t="s">
        <v>320</v>
      </c>
      <c r="F48" t="s">
        <v>10</v>
      </c>
      <c r="G48" t="s">
        <v>319</v>
      </c>
      <c r="H48" t="s">
        <v>321</v>
      </c>
      <c r="I48" t="s">
        <v>26</v>
      </c>
      <c r="J48">
        <v>0</v>
      </c>
      <c r="K48">
        <v>2</v>
      </c>
      <c r="L48" s="2">
        <v>3.5000000000000001E-3</v>
      </c>
      <c r="M48">
        <v>0.02</v>
      </c>
      <c r="N48" s="2">
        <v>7.0000000000000001E-3</v>
      </c>
      <c r="O48" s="2">
        <v>0.04</v>
      </c>
    </row>
    <row r="49" spans="2:15">
      <c r="B49" t="s">
        <v>30</v>
      </c>
      <c r="C49" t="s">
        <v>31</v>
      </c>
      <c r="D49" t="s">
        <v>107</v>
      </c>
      <c r="E49" t="s">
        <v>108</v>
      </c>
      <c r="F49" t="s">
        <v>10</v>
      </c>
      <c r="G49" t="s">
        <v>107</v>
      </c>
      <c r="H49" t="s">
        <v>109</v>
      </c>
      <c r="I49" t="s">
        <v>26</v>
      </c>
      <c r="J49">
        <v>0</v>
      </c>
      <c r="K49">
        <v>4409</v>
      </c>
      <c r="L49" s="2">
        <v>3.5000000000000001E-3</v>
      </c>
      <c r="M49">
        <v>0.02</v>
      </c>
      <c r="N49" s="2">
        <v>15.4315</v>
      </c>
      <c r="O49" s="2">
        <v>88.18</v>
      </c>
    </row>
    <row r="50" spans="2:15">
      <c r="B50" t="s">
        <v>30</v>
      </c>
      <c r="C50" t="s">
        <v>31</v>
      </c>
      <c r="D50" t="s">
        <v>110</v>
      </c>
      <c r="E50" t="s">
        <v>111</v>
      </c>
      <c r="F50" t="s">
        <v>10</v>
      </c>
      <c r="G50" t="s">
        <v>110</v>
      </c>
      <c r="H50" t="s">
        <v>112</v>
      </c>
      <c r="I50" t="s">
        <v>26</v>
      </c>
      <c r="J50">
        <v>0</v>
      </c>
      <c r="K50">
        <v>7863</v>
      </c>
      <c r="L50" s="2">
        <v>3.5000000000000001E-3</v>
      </c>
      <c r="M50">
        <v>0.02</v>
      </c>
      <c r="N50" s="2">
        <v>27.520500000000002</v>
      </c>
      <c r="O50" s="2">
        <v>157.26</v>
      </c>
    </row>
    <row r="51" spans="2:15">
      <c r="B51" t="s">
        <v>30</v>
      </c>
      <c r="C51" t="s">
        <v>31</v>
      </c>
      <c r="D51" t="s">
        <v>158</v>
      </c>
      <c r="E51" t="s">
        <v>159</v>
      </c>
      <c r="F51" t="s">
        <v>10</v>
      </c>
      <c r="G51" t="s">
        <v>158</v>
      </c>
      <c r="H51" t="s">
        <v>160</v>
      </c>
      <c r="I51" t="s">
        <v>26</v>
      </c>
      <c r="J51">
        <v>0</v>
      </c>
      <c r="K51">
        <v>1019</v>
      </c>
      <c r="L51" s="2">
        <v>3.5000000000000001E-3</v>
      </c>
      <c r="M51">
        <v>0.02</v>
      </c>
      <c r="N51" s="2">
        <v>3.5665</v>
      </c>
      <c r="O51" s="2">
        <v>20.38</v>
      </c>
    </row>
    <row r="52" spans="2:15">
      <c r="B52" t="s">
        <v>30</v>
      </c>
      <c r="C52" t="s">
        <v>31</v>
      </c>
      <c r="D52" t="s">
        <v>113</v>
      </c>
      <c r="E52" t="s">
        <v>114</v>
      </c>
      <c r="F52" t="s">
        <v>10</v>
      </c>
      <c r="G52" t="s">
        <v>113</v>
      </c>
      <c r="H52" t="s">
        <v>115</v>
      </c>
      <c r="I52" t="s">
        <v>26</v>
      </c>
      <c r="J52">
        <v>0</v>
      </c>
      <c r="K52">
        <v>456</v>
      </c>
      <c r="L52" s="2">
        <v>3.5000000000000001E-3</v>
      </c>
      <c r="M52">
        <v>0.02</v>
      </c>
      <c r="N52" s="2">
        <v>1.5960000000000001</v>
      </c>
      <c r="O52" s="2">
        <v>9.120000000000001</v>
      </c>
    </row>
    <row r="53" spans="2:15">
      <c r="B53" t="s">
        <v>30</v>
      </c>
      <c r="C53" t="s">
        <v>31</v>
      </c>
      <c r="D53" t="s">
        <v>161</v>
      </c>
      <c r="E53" t="s">
        <v>162</v>
      </c>
      <c r="F53" t="s">
        <v>10</v>
      </c>
      <c r="G53" t="s">
        <v>161</v>
      </c>
      <c r="H53" t="s">
        <v>163</v>
      </c>
      <c r="I53" t="s">
        <v>26</v>
      </c>
      <c r="J53">
        <v>0</v>
      </c>
      <c r="K53">
        <v>45</v>
      </c>
      <c r="L53" s="2">
        <v>3.5000000000000001E-3</v>
      </c>
      <c r="M53">
        <v>0.02</v>
      </c>
      <c r="N53" s="2">
        <v>0.1575</v>
      </c>
      <c r="O53" s="2">
        <v>0.9</v>
      </c>
    </row>
    <row r="54" spans="2:15">
      <c r="B54" t="s">
        <v>30</v>
      </c>
      <c r="C54" t="s">
        <v>31</v>
      </c>
      <c r="D54" t="s">
        <v>235</v>
      </c>
      <c r="E54" t="s">
        <v>236</v>
      </c>
      <c r="F54" t="s">
        <v>10</v>
      </c>
      <c r="G54" t="s">
        <v>235</v>
      </c>
      <c r="H54" t="s">
        <v>237</v>
      </c>
      <c r="I54" t="s">
        <v>26</v>
      </c>
      <c r="J54">
        <v>0</v>
      </c>
      <c r="K54">
        <v>1</v>
      </c>
      <c r="L54" s="2">
        <v>3.5000000000000001E-3</v>
      </c>
      <c r="M54">
        <v>0.02</v>
      </c>
      <c r="N54" s="2">
        <v>3.5000000000000001E-3</v>
      </c>
      <c r="O54" s="2">
        <v>0.02</v>
      </c>
    </row>
    <row r="55" spans="2:15">
      <c r="B55" t="s">
        <v>30</v>
      </c>
      <c r="C55" t="s">
        <v>31</v>
      </c>
      <c r="D55" t="s">
        <v>116</v>
      </c>
      <c r="E55" t="s">
        <v>117</v>
      </c>
      <c r="F55" t="s">
        <v>10</v>
      </c>
      <c r="G55" t="s">
        <v>116</v>
      </c>
      <c r="H55" t="s">
        <v>118</v>
      </c>
      <c r="I55" t="s">
        <v>26</v>
      </c>
      <c r="J55">
        <v>0</v>
      </c>
      <c r="K55">
        <v>1</v>
      </c>
      <c r="L55" s="2">
        <v>3.5000000000000001E-3</v>
      </c>
      <c r="M55">
        <v>0.02</v>
      </c>
      <c r="N55" s="2">
        <v>3.5000000000000001E-3</v>
      </c>
      <c r="O55" s="2">
        <v>0.02</v>
      </c>
    </row>
    <row r="56" spans="2:15">
      <c r="B56" t="s">
        <v>30</v>
      </c>
      <c r="C56" t="s">
        <v>31</v>
      </c>
      <c r="D56" t="s">
        <v>322</v>
      </c>
      <c r="E56" t="s">
        <v>323</v>
      </c>
      <c r="F56" t="s">
        <v>10</v>
      </c>
      <c r="G56" t="s">
        <v>322</v>
      </c>
      <c r="H56" t="s">
        <v>324</v>
      </c>
      <c r="I56" t="s">
        <v>26</v>
      </c>
      <c r="J56">
        <v>0</v>
      </c>
      <c r="K56">
        <v>1</v>
      </c>
      <c r="L56" s="2">
        <v>3.5000000000000001E-3</v>
      </c>
      <c r="M56">
        <v>0.02</v>
      </c>
      <c r="N56" s="2">
        <v>3.5000000000000001E-3</v>
      </c>
      <c r="O56" s="2">
        <v>0.02</v>
      </c>
    </row>
    <row r="57" spans="2:15">
      <c r="B57" t="s">
        <v>30</v>
      </c>
      <c r="C57" t="s">
        <v>31</v>
      </c>
      <c r="D57" t="s">
        <v>119</v>
      </c>
      <c r="E57" t="s">
        <v>120</v>
      </c>
      <c r="F57" t="s">
        <v>10</v>
      </c>
      <c r="G57" t="s">
        <v>119</v>
      </c>
      <c r="H57" t="s">
        <v>121</v>
      </c>
      <c r="I57" t="s">
        <v>26</v>
      </c>
      <c r="J57">
        <v>0</v>
      </c>
      <c r="K57">
        <v>7</v>
      </c>
      <c r="L57" s="2">
        <v>3.5000000000000001E-3</v>
      </c>
      <c r="M57">
        <v>0.02</v>
      </c>
      <c r="N57" s="2">
        <v>2.4500000000000001E-2</v>
      </c>
      <c r="O57" s="2">
        <v>0.14000000000000001</v>
      </c>
    </row>
    <row r="58" spans="2:15">
      <c r="B58" t="s">
        <v>30</v>
      </c>
      <c r="C58" t="s">
        <v>31</v>
      </c>
      <c r="D58" t="s">
        <v>238</v>
      </c>
      <c r="E58" t="s">
        <v>239</v>
      </c>
      <c r="F58" t="s">
        <v>10</v>
      </c>
      <c r="G58" t="s">
        <v>238</v>
      </c>
      <c r="H58" t="s">
        <v>240</v>
      </c>
      <c r="I58" t="s">
        <v>26</v>
      </c>
      <c r="J58">
        <v>0</v>
      </c>
      <c r="K58">
        <v>1</v>
      </c>
      <c r="L58" s="2">
        <v>3.5000000000000001E-3</v>
      </c>
      <c r="M58">
        <v>0.02</v>
      </c>
      <c r="N58" s="2">
        <v>3.5000000000000001E-3</v>
      </c>
      <c r="O58" s="2">
        <v>0.02</v>
      </c>
    </row>
    <row r="59" spans="2:15">
      <c r="B59" t="s">
        <v>30</v>
      </c>
      <c r="C59" t="s">
        <v>31</v>
      </c>
      <c r="D59" t="s">
        <v>241</v>
      </c>
      <c r="E59" t="s">
        <v>242</v>
      </c>
      <c r="F59" t="s">
        <v>10</v>
      </c>
      <c r="G59" t="s">
        <v>241</v>
      </c>
      <c r="H59" t="s">
        <v>243</v>
      </c>
      <c r="I59" t="s">
        <v>26</v>
      </c>
      <c r="J59">
        <v>0</v>
      </c>
      <c r="K59">
        <v>9273</v>
      </c>
      <c r="L59" s="2">
        <v>3.5000000000000001E-3</v>
      </c>
      <c r="M59">
        <v>0.02</v>
      </c>
      <c r="N59" s="2">
        <v>32.455500000000001</v>
      </c>
      <c r="O59" s="2">
        <v>185.46</v>
      </c>
    </row>
    <row r="60" spans="2:15">
      <c r="B60" t="s">
        <v>30</v>
      </c>
      <c r="C60" t="s">
        <v>31</v>
      </c>
      <c r="D60" t="s">
        <v>244</v>
      </c>
      <c r="E60" t="s">
        <v>245</v>
      </c>
      <c r="F60" t="s">
        <v>10</v>
      </c>
      <c r="G60" t="s">
        <v>244</v>
      </c>
      <c r="H60" t="s">
        <v>246</v>
      </c>
      <c r="I60" t="s">
        <v>26</v>
      </c>
      <c r="J60">
        <v>0</v>
      </c>
      <c r="K60">
        <v>34</v>
      </c>
      <c r="L60" s="2">
        <v>3.5000000000000001E-3</v>
      </c>
      <c r="M60">
        <v>0.02</v>
      </c>
      <c r="N60" s="2">
        <v>0.11900000000000001</v>
      </c>
      <c r="O60" s="2">
        <v>0.68</v>
      </c>
    </row>
    <row r="61" spans="2:15">
      <c r="B61" t="s">
        <v>30</v>
      </c>
      <c r="C61" t="s">
        <v>31</v>
      </c>
      <c r="D61" t="s">
        <v>247</v>
      </c>
      <c r="E61" t="s">
        <v>248</v>
      </c>
      <c r="F61" t="s">
        <v>10</v>
      </c>
      <c r="G61" t="s">
        <v>247</v>
      </c>
      <c r="H61" t="s">
        <v>249</v>
      </c>
      <c r="I61" t="s">
        <v>26</v>
      </c>
      <c r="J61">
        <v>0</v>
      </c>
      <c r="K61">
        <v>740</v>
      </c>
      <c r="L61" s="2">
        <v>3.5000000000000001E-3</v>
      </c>
      <c r="M61">
        <v>0.02</v>
      </c>
      <c r="N61" s="2">
        <v>2.59</v>
      </c>
      <c r="O61" s="2">
        <v>14.8</v>
      </c>
    </row>
    <row r="62" spans="2:15">
      <c r="B62" t="s">
        <v>30</v>
      </c>
      <c r="C62" t="s">
        <v>31</v>
      </c>
      <c r="D62" t="s">
        <v>250</v>
      </c>
      <c r="E62" t="s">
        <v>251</v>
      </c>
      <c r="F62" t="s">
        <v>10</v>
      </c>
      <c r="G62" t="s">
        <v>250</v>
      </c>
      <c r="H62" t="s">
        <v>252</v>
      </c>
      <c r="I62" t="s">
        <v>26</v>
      </c>
      <c r="J62">
        <v>0</v>
      </c>
      <c r="K62">
        <v>49</v>
      </c>
      <c r="L62" s="2">
        <v>3.5000000000000001E-3</v>
      </c>
      <c r="M62">
        <v>0.02</v>
      </c>
      <c r="N62" s="2">
        <v>0.17150000000000001</v>
      </c>
      <c r="O62" s="2">
        <v>0.98</v>
      </c>
    </row>
    <row r="63" spans="2:15">
      <c r="B63" t="s">
        <v>30</v>
      </c>
      <c r="C63" t="s">
        <v>31</v>
      </c>
      <c r="D63" t="s">
        <v>253</v>
      </c>
      <c r="E63" t="s">
        <v>254</v>
      </c>
      <c r="F63" t="s">
        <v>10</v>
      </c>
      <c r="G63" t="s">
        <v>253</v>
      </c>
      <c r="H63" t="s">
        <v>255</v>
      </c>
      <c r="I63" t="s">
        <v>26</v>
      </c>
      <c r="J63">
        <v>0</v>
      </c>
      <c r="K63">
        <v>527</v>
      </c>
      <c r="L63" s="2">
        <v>3.5000000000000001E-3</v>
      </c>
      <c r="M63">
        <v>0.02</v>
      </c>
      <c r="N63" s="2">
        <v>1.8445</v>
      </c>
      <c r="O63" s="2">
        <v>10.540000000000001</v>
      </c>
    </row>
    <row r="64" spans="2:15">
      <c r="B64" t="s">
        <v>30</v>
      </c>
      <c r="C64" t="s">
        <v>31</v>
      </c>
      <c r="D64" t="s">
        <v>256</v>
      </c>
      <c r="E64" t="s">
        <v>257</v>
      </c>
      <c r="F64" t="s">
        <v>10</v>
      </c>
      <c r="G64" t="s">
        <v>256</v>
      </c>
      <c r="H64" t="s">
        <v>258</v>
      </c>
      <c r="I64" t="s">
        <v>26</v>
      </c>
      <c r="J64">
        <v>0</v>
      </c>
      <c r="K64">
        <v>102</v>
      </c>
      <c r="L64" s="2">
        <v>3.5000000000000001E-3</v>
      </c>
      <c r="M64">
        <v>0.02</v>
      </c>
      <c r="N64" s="2">
        <v>0.35699999999999998</v>
      </c>
      <c r="O64" s="2">
        <v>2.04</v>
      </c>
    </row>
    <row r="65" spans="2:15">
      <c r="B65" t="s">
        <v>30</v>
      </c>
      <c r="C65" t="s">
        <v>31</v>
      </c>
      <c r="D65" t="s">
        <v>76</v>
      </c>
      <c r="E65" t="s">
        <v>77</v>
      </c>
      <c r="F65" t="s">
        <v>10</v>
      </c>
      <c r="G65" t="s">
        <v>76</v>
      </c>
      <c r="H65" t="s">
        <v>78</v>
      </c>
      <c r="I65" t="s">
        <v>26</v>
      </c>
      <c r="J65">
        <v>0</v>
      </c>
      <c r="K65">
        <v>1</v>
      </c>
      <c r="L65" s="2">
        <v>3.5000000000000001E-3</v>
      </c>
      <c r="M65">
        <v>0.02</v>
      </c>
      <c r="N65" s="2">
        <v>3.5000000000000001E-3</v>
      </c>
      <c r="O65" s="2">
        <v>0.02</v>
      </c>
    </row>
    <row r="66" spans="2:15">
      <c r="B66" t="s">
        <v>30</v>
      </c>
      <c r="C66" t="s">
        <v>31</v>
      </c>
      <c r="D66" t="s">
        <v>164</v>
      </c>
      <c r="E66" t="s">
        <v>165</v>
      </c>
      <c r="F66" t="s">
        <v>10</v>
      </c>
      <c r="G66" t="s">
        <v>164</v>
      </c>
      <c r="H66" t="s">
        <v>166</v>
      </c>
      <c r="I66" t="s">
        <v>26</v>
      </c>
      <c r="J66">
        <v>0</v>
      </c>
      <c r="K66">
        <v>744</v>
      </c>
      <c r="L66" s="2">
        <v>3.5000000000000001E-3</v>
      </c>
      <c r="M66">
        <v>0.02</v>
      </c>
      <c r="N66" s="2">
        <v>2.6040000000000001</v>
      </c>
      <c r="O66" s="2">
        <v>14.88</v>
      </c>
    </row>
    <row r="67" spans="2:15">
      <c r="B67" t="s">
        <v>30</v>
      </c>
      <c r="C67" t="s">
        <v>31</v>
      </c>
      <c r="D67" t="s">
        <v>167</v>
      </c>
      <c r="E67" t="s">
        <v>168</v>
      </c>
      <c r="F67" t="s">
        <v>10</v>
      </c>
      <c r="G67" t="s">
        <v>167</v>
      </c>
      <c r="H67" t="s">
        <v>169</v>
      </c>
      <c r="I67" t="s">
        <v>26</v>
      </c>
      <c r="J67">
        <v>0</v>
      </c>
      <c r="K67">
        <v>873</v>
      </c>
      <c r="L67" s="2">
        <v>3.5000000000000001E-3</v>
      </c>
      <c r="M67">
        <v>0.02</v>
      </c>
      <c r="N67" s="2">
        <v>3.0554999999999999</v>
      </c>
      <c r="O67" s="2">
        <v>17.46</v>
      </c>
    </row>
    <row r="68" spans="2:15">
      <c r="B68" t="s">
        <v>30</v>
      </c>
      <c r="C68" t="s">
        <v>31</v>
      </c>
      <c r="D68" t="s">
        <v>170</v>
      </c>
      <c r="E68" t="s">
        <v>171</v>
      </c>
      <c r="F68" t="s">
        <v>10</v>
      </c>
      <c r="G68" t="s">
        <v>170</v>
      </c>
      <c r="H68" t="s">
        <v>172</v>
      </c>
      <c r="I68" t="s">
        <v>26</v>
      </c>
      <c r="J68">
        <v>0</v>
      </c>
      <c r="K68">
        <v>748</v>
      </c>
      <c r="L68" s="2">
        <v>3.5000000000000001E-3</v>
      </c>
      <c r="M68">
        <v>0.02</v>
      </c>
      <c r="N68" s="2">
        <v>2.6179999999999999</v>
      </c>
      <c r="O68" s="2">
        <v>14.96</v>
      </c>
    </row>
    <row r="69" spans="2:15">
      <c r="B69" t="s">
        <v>30</v>
      </c>
      <c r="C69" t="s">
        <v>31</v>
      </c>
      <c r="D69" t="s">
        <v>173</v>
      </c>
      <c r="E69" t="s">
        <v>174</v>
      </c>
      <c r="F69" t="s">
        <v>10</v>
      </c>
      <c r="G69" t="s">
        <v>173</v>
      </c>
      <c r="H69" t="s">
        <v>175</v>
      </c>
      <c r="I69" t="s">
        <v>26</v>
      </c>
      <c r="J69">
        <v>0</v>
      </c>
      <c r="K69">
        <v>578</v>
      </c>
      <c r="L69" s="2">
        <v>3.5000000000000001E-3</v>
      </c>
      <c r="M69">
        <v>0.02</v>
      </c>
      <c r="N69" s="2">
        <v>2.0230000000000001</v>
      </c>
      <c r="O69" s="2">
        <v>11.56</v>
      </c>
    </row>
    <row r="70" spans="2:15">
      <c r="B70" t="s">
        <v>30</v>
      </c>
      <c r="C70" t="s">
        <v>31</v>
      </c>
      <c r="D70" t="s">
        <v>176</v>
      </c>
      <c r="E70" t="s">
        <v>177</v>
      </c>
      <c r="F70" t="s">
        <v>10</v>
      </c>
      <c r="G70" t="s">
        <v>176</v>
      </c>
      <c r="H70" t="s">
        <v>178</v>
      </c>
      <c r="I70" t="s">
        <v>26</v>
      </c>
      <c r="J70">
        <v>0</v>
      </c>
      <c r="K70">
        <v>46</v>
      </c>
      <c r="L70" s="2">
        <v>3.5000000000000001E-3</v>
      </c>
      <c r="M70">
        <v>0.02</v>
      </c>
      <c r="N70" s="2">
        <v>0.161</v>
      </c>
      <c r="O70" s="2">
        <v>0.92</v>
      </c>
    </row>
    <row r="71" spans="2:15">
      <c r="B71" t="s">
        <v>30</v>
      </c>
      <c r="C71" t="s">
        <v>31</v>
      </c>
      <c r="D71" t="s">
        <v>259</v>
      </c>
      <c r="E71" t="s">
        <v>260</v>
      </c>
      <c r="F71" t="s">
        <v>10</v>
      </c>
      <c r="G71" t="s">
        <v>259</v>
      </c>
      <c r="H71" t="s">
        <v>261</v>
      </c>
      <c r="I71" t="s">
        <v>26</v>
      </c>
      <c r="J71">
        <v>0</v>
      </c>
      <c r="K71">
        <v>7</v>
      </c>
      <c r="L71" s="2">
        <v>3.5000000000000001E-3</v>
      </c>
      <c r="M71">
        <v>0.02</v>
      </c>
      <c r="N71" s="2">
        <v>2.4500000000000001E-2</v>
      </c>
      <c r="O71" s="2">
        <v>0.14000000000000001</v>
      </c>
    </row>
    <row r="72" spans="2:15">
      <c r="B72" t="s">
        <v>30</v>
      </c>
      <c r="C72" t="s">
        <v>31</v>
      </c>
      <c r="D72" t="s">
        <v>262</v>
      </c>
      <c r="E72" t="s">
        <v>263</v>
      </c>
      <c r="F72" t="s">
        <v>10</v>
      </c>
      <c r="G72" t="s">
        <v>262</v>
      </c>
      <c r="H72" t="s">
        <v>264</v>
      </c>
      <c r="I72" t="s">
        <v>26</v>
      </c>
      <c r="J72">
        <v>0</v>
      </c>
      <c r="K72">
        <v>26</v>
      </c>
      <c r="L72" s="2">
        <v>3.5000000000000001E-3</v>
      </c>
      <c r="M72">
        <v>0.02</v>
      </c>
      <c r="N72" s="2">
        <v>9.0999999999999998E-2</v>
      </c>
      <c r="O72" s="2">
        <v>0.52</v>
      </c>
    </row>
    <row r="73" spans="2:15">
      <c r="B73" t="s">
        <v>30</v>
      </c>
      <c r="C73" t="s">
        <v>31</v>
      </c>
      <c r="D73" t="s">
        <v>179</v>
      </c>
      <c r="E73" t="s">
        <v>180</v>
      </c>
      <c r="F73" t="s">
        <v>10</v>
      </c>
      <c r="G73" t="s">
        <v>179</v>
      </c>
      <c r="H73" t="s">
        <v>181</v>
      </c>
      <c r="I73" t="s">
        <v>26</v>
      </c>
      <c r="J73">
        <v>0</v>
      </c>
      <c r="K73">
        <v>397</v>
      </c>
      <c r="L73" s="2">
        <v>3.5000000000000001E-3</v>
      </c>
      <c r="M73">
        <v>0.02</v>
      </c>
      <c r="N73" s="2">
        <v>1.3895</v>
      </c>
      <c r="O73" s="2">
        <v>7.94</v>
      </c>
    </row>
    <row r="74" spans="2:15">
      <c r="B74" t="s">
        <v>30</v>
      </c>
      <c r="C74" t="s">
        <v>31</v>
      </c>
      <c r="D74" t="s">
        <v>182</v>
      </c>
      <c r="E74" t="s">
        <v>183</v>
      </c>
      <c r="F74" t="s">
        <v>10</v>
      </c>
      <c r="G74" t="s">
        <v>182</v>
      </c>
      <c r="H74" t="s">
        <v>184</v>
      </c>
      <c r="I74" t="s">
        <v>26</v>
      </c>
      <c r="J74">
        <v>0</v>
      </c>
      <c r="K74">
        <v>21</v>
      </c>
      <c r="L74" s="2">
        <v>3.5000000000000001E-3</v>
      </c>
      <c r="M74">
        <v>0.02</v>
      </c>
      <c r="N74" s="2">
        <v>7.3499999999999996E-2</v>
      </c>
      <c r="O74" s="2">
        <v>0.42</v>
      </c>
    </row>
    <row r="75" spans="2:15">
      <c r="B75" t="s">
        <v>30</v>
      </c>
      <c r="C75" t="s">
        <v>31</v>
      </c>
      <c r="D75" t="s">
        <v>185</v>
      </c>
      <c r="E75" t="s">
        <v>186</v>
      </c>
      <c r="F75" t="s">
        <v>10</v>
      </c>
      <c r="G75" t="s">
        <v>185</v>
      </c>
      <c r="H75" t="s">
        <v>187</v>
      </c>
      <c r="I75" t="s">
        <v>26</v>
      </c>
      <c r="J75">
        <v>0</v>
      </c>
      <c r="K75">
        <v>6</v>
      </c>
      <c r="L75" s="2">
        <v>3.5000000000000001E-3</v>
      </c>
      <c r="M75">
        <v>0.02</v>
      </c>
      <c r="N75" s="2">
        <v>2.1000000000000001E-2</v>
      </c>
      <c r="O75" s="2">
        <v>0.12</v>
      </c>
    </row>
    <row r="76" spans="2:15">
      <c r="B76" t="s">
        <v>30</v>
      </c>
      <c r="C76" t="s">
        <v>31</v>
      </c>
      <c r="D76" t="s">
        <v>325</v>
      </c>
      <c r="E76" t="s">
        <v>326</v>
      </c>
      <c r="F76" t="s">
        <v>10</v>
      </c>
      <c r="G76" t="s">
        <v>325</v>
      </c>
      <c r="H76" t="s">
        <v>327</v>
      </c>
      <c r="I76" t="s">
        <v>26</v>
      </c>
      <c r="J76">
        <v>0</v>
      </c>
      <c r="K76">
        <v>1</v>
      </c>
      <c r="L76" s="2">
        <v>3.5000000000000001E-3</v>
      </c>
      <c r="M76">
        <v>0.02</v>
      </c>
      <c r="N76" s="2">
        <v>3.5000000000000001E-3</v>
      </c>
      <c r="O76" s="2">
        <v>0.02</v>
      </c>
    </row>
    <row r="77" spans="2:15">
      <c r="B77" t="s">
        <v>30</v>
      </c>
      <c r="C77" t="s">
        <v>31</v>
      </c>
      <c r="D77" t="s">
        <v>188</v>
      </c>
      <c r="E77" t="s">
        <v>189</v>
      </c>
      <c r="F77" t="s">
        <v>10</v>
      </c>
      <c r="G77" t="s">
        <v>188</v>
      </c>
      <c r="H77" t="s">
        <v>190</v>
      </c>
      <c r="I77" t="s">
        <v>26</v>
      </c>
      <c r="J77">
        <v>0</v>
      </c>
      <c r="K77">
        <v>472</v>
      </c>
      <c r="L77" s="2">
        <v>3.5000000000000001E-3</v>
      </c>
      <c r="M77">
        <v>0.02</v>
      </c>
      <c r="N77" s="2">
        <v>1.6520000000000001</v>
      </c>
      <c r="O77" s="2">
        <v>9.44</v>
      </c>
    </row>
    <row r="78" spans="2:15">
      <c r="B78" t="s">
        <v>30</v>
      </c>
      <c r="C78" t="s">
        <v>31</v>
      </c>
      <c r="D78" t="s">
        <v>191</v>
      </c>
      <c r="E78" t="s">
        <v>192</v>
      </c>
      <c r="F78" t="s">
        <v>10</v>
      </c>
      <c r="G78" t="s">
        <v>191</v>
      </c>
      <c r="H78" t="s">
        <v>193</v>
      </c>
      <c r="I78" t="s">
        <v>26</v>
      </c>
      <c r="J78">
        <v>0</v>
      </c>
      <c r="K78">
        <v>3760</v>
      </c>
      <c r="L78" s="2">
        <v>3.5000000000000001E-3</v>
      </c>
      <c r="M78">
        <v>0.02</v>
      </c>
      <c r="N78" s="2">
        <v>13.16</v>
      </c>
      <c r="O78" s="2">
        <v>75.2</v>
      </c>
    </row>
    <row r="79" spans="2:15">
      <c r="B79" t="s">
        <v>30</v>
      </c>
      <c r="C79" t="s">
        <v>31</v>
      </c>
      <c r="D79" t="s">
        <v>328</v>
      </c>
      <c r="E79" t="s">
        <v>329</v>
      </c>
      <c r="F79" t="s">
        <v>10</v>
      </c>
      <c r="G79" t="s">
        <v>328</v>
      </c>
      <c r="H79" t="s">
        <v>330</v>
      </c>
      <c r="I79" t="s">
        <v>26</v>
      </c>
      <c r="J79">
        <v>0</v>
      </c>
      <c r="K79">
        <v>7</v>
      </c>
      <c r="L79" s="2">
        <v>3.5000000000000001E-3</v>
      </c>
      <c r="M79">
        <v>0.02</v>
      </c>
      <c r="N79" s="2">
        <v>2.4500000000000001E-2</v>
      </c>
      <c r="O79" s="2">
        <v>0.14000000000000001</v>
      </c>
    </row>
    <row r="80" spans="2:15">
      <c r="B80" t="s">
        <v>30</v>
      </c>
      <c r="C80" t="s">
        <v>31</v>
      </c>
      <c r="D80" t="s">
        <v>194</v>
      </c>
      <c r="E80" t="s">
        <v>195</v>
      </c>
      <c r="F80" t="s">
        <v>10</v>
      </c>
      <c r="G80" t="s">
        <v>194</v>
      </c>
      <c r="H80" t="s">
        <v>196</v>
      </c>
      <c r="I80" t="s">
        <v>26</v>
      </c>
      <c r="J80">
        <v>0</v>
      </c>
      <c r="K80">
        <v>30</v>
      </c>
      <c r="L80" s="2">
        <v>3.5000000000000001E-3</v>
      </c>
      <c r="M80">
        <v>0.02</v>
      </c>
      <c r="N80" s="2">
        <v>0.105</v>
      </c>
      <c r="O80" s="2">
        <v>0.6</v>
      </c>
    </row>
    <row r="81" spans="2:15">
      <c r="B81" t="s">
        <v>30</v>
      </c>
      <c r="C81" t="s">
        <v>31</v>
      </c>
      <c r="D81" t="s">
        <v>197</v>
      </c>
      <c r="E81" t="s">
        <v>198</v>
      </c>
      <c r="F81" t="s">
        <v>10</v>
      </c>
      <c r="G81" t="s">
        <v>197</v>
      </c>
      <c r="H81" t="s">
        <v>199</v>
      </c>
      <c r="I81" t="s">
        <v>26</v>
      </c>
      <c r="J81">
        <v>0</v>
      </c>
      <c r="K81">
        <v>4467</v>
      </c>
      <c r="L81" s="2">
        <v>3.5000000000000001E-3</v>
      </c>
      <c r="M81">
        <v>0.02</v>
      </c>
      <c r="N81" s="2">
        <v>15.634500000000001</v>
      </c>
      <c r="O81" s="2">
        <v>89.34</v>
      </c>
    </row>
    <row r="82" spans="2:15">
      <c r="B82" t="s">
        <v>30</v>
      </c>
      <c r="C82" t="s">
        <v>31</v>
      </c>
      <c r="D82" t="s">
        <v>122</v>
      </c>
      <c r="E82" t="s">
        <v>123</v>
      </c>
      <c r="F82" t="s">
        <v>10</v>
      </c>
      <c r="G82" t="s">
        <v>122</v>
      </c>
      <c r="H82" t="s">
        <v>124</v>
      </c>
      <c r="I82" t="s">
        <v>26</v>
      </c>
      <c r="J82">
        <v>0</v>
      </c>
      <c r="K82">
        <v>4132</v>
      </c>
      <c r="L82" s="2">
        <v>3.5000000000000001E-3</v>
      </c>
      <c r="M82">
        <v>0.02</v>
      </c>
      <c r="N82" s="2">
        <v>14.462</v>
      </c>
      <c r="O82" s="2">
        <v>82.64</v>
      </c>
    </row>
    <row r="83" spans="2:15">
      <c r="B83" t="s">
        <v>30</v>
      </c>
      <c r="C83" t="s">
        <v>31</v>
      </c>
      <c r="D83" t="s">
        <v>200</v>
      </c>
      <c r="E83" t="s">
        <v>201</v>
      </c>
      <c r="F83" t="s">
        <v>10</v>
      </c>
      <c r="G83" t="s">
        <v>200</v>
      </c>
      <c r="H83" t="s">
        <v>202</v>
      </c>
      <c r="I83" t="s">
        <v>26</v>
      </c>
      <c r="J83">
        <v>0</v>
      </c>
      <c r="K83">
        <v>372</v>
      </c>
      <c r="L83" s="2">
        <v>3.5000000000000001E-3</v>
      </c>
      <c r="M83">
        <v>0.02</v>
      </c>
      <c r="N83" s="2">
        <v>1.302</v>
      </c>
      <c r="O83" s="2">
        <v>7.44</v>
      </c>
    </row>
    <row r="84" spans="2:15">
      <c r="B84" t="s">
        <v>30</v>
      </c>
      <c r="C84" t="s">
        <v>31</v>
      </c>
      <c r="D84" t="s">
        <v>125</v>
      </c>
      <c r="E84" t="s">
        <v>126</v>
      </c>
      <c r="F84" t="s">
        <v>10</v>
      </c>
      <c r="G84" t="s">
        <v>125</v>
      </c>
      <c r="H84" t="s">
        <v>127</v>
      </c>
      <c r="I84" t="s">
        <v>26</v>
      </c>
      <c r="J84">
        <v>0</v>
      </c>
      <c r="K84">
        <v>1356</v>
      </c>
      <c r="L84" s="2">
        <v>3.5000000000000001E-3</v>
      </c>
      <c r="M84">
        <v>0.02</v>
      </c>
      <c r="N84" s="2">
        <v>4.7460000000000004</v>
      </c>
      <c r="O84" s="2">
        <v>27.12</v>
      </c>
    </row>
    <row r="85" spans="2:15">
      <c r="B85" t="s">
        <v>30</v>
      </c>
      <c r="C85" t="s">
        <v>31</v>
      </c>
      <c r="D85" t="s">
        <v>203</v>
      </c>
      <c r="E85" t="s">
        <v>204</v>
      </c>
      <c r="F85" t="s">
        <v>10</v>
      </c>
      <c r="G85" t="s">
        <v>203</v>
      </c>
      <c r="H85" t="s">
        <v>205</v>
      </c>
      <c r="I85" t="s">
        <v>26</v>
      </c>
      <c r="J85">
        <v>0</v>
      </c>
      <c r="K85">
        <v>56</v>
      </c>
      <c r="L85" s="2">
        <v>3.5000000000000001E-3</v>
      </c>
      <c r="M85">
        <v>0.02</v>
      </c>
      <c r="N85" s="2">
        <v>0.19600000000000001</v>
      </c>
      <c r="O85" s="2">
        <v>1.1200000000000001</v>
      </c>
    </row>
    <row r="86" spans="2:15">
      <c r="B86" t="s">
        <v>30</v>
      </c>
      <c r="C86" t="s">
        <v>31</v>
      </c>
      <c r="D86" t="s">
        <v>265</v>
      </c>
      <c r="E86" t="s">
        <v>266</v>
      </c>
      <c r="F86" t="s">
        <v>10</v>
      </c>
      <c r="G86" t="s">
        <v>265</v>
      </c>
      <c r="H86" t="s">
        <v>267</v>
      </c>
      <c r="I86" t="s">
        <v>26</v>
      </c>
      <c r="J86">
        <v>0</v>
      </c>
      <c r="K86">
        <v>7376</v>
      </c>
      <c r="L86" s="2">
        <v>3.5000000000000001E-3</v>
      </c>
      <c r="M86">
        <v>0.02</v>
      </c>
      <c r="N86" s="2">
        <v>25.815999999999999</v>
      </c>
      <c r="O86" s="2">
        <v>147.52000000000001</v>
      </c>
    </row>
    <row r="87" spans="2:15">
      <c r="B87" t="s">
        <v>30</v>
      </c>
      <c r="C87" t="s">
        <v>31</v>
      </c>
      <c r="D87" t="s">
        <v>268</v>
      </c>
      <c r="E87" t="s">
        <v>269</v>
      </c>
      <c r="F87" t="s">
        <v>10</v>
      </c>
      <c r="G87" t="s">
        <v>268</v>
      </c>
      <c r="H87" t="s">
        <v>270</v>
      </c>
      <c r="I87" t="s">
        <v>26</v>
      </c>
      <c r="J87">
        <v>0</v>
      </c>
      <c r="K87">
        <v>4</v>
      </c>
      <c r="L87" s="2">
        <v>3.5000000000000001E-3</v>
      </c>
      <c r="M87">
        <v>0.02</v>
      </c>
      <c r="N87" s="2">
        <v>1.4E-2</v>
      </c>
      <c r="O87" s="2">
        <v>0.08</v>
      </c>
    </row>
    <row r="88" spans="2:15">
      <c r="B88" t="s">
        <v>30</v>
      </c>
      <c r="C88" t="s">
        <v>31</v>
      </c>
      <c r="D88" t="s">
        <v>271</v>
      </c>
      <c r="E88" t="s">
        <v>272</v>
      </c>
      <c r="F88" t="s">
        <v>10</v>
      </c>
      <c r="G88" t="s">
        <v>271</v>
      </c>
      <c r="H88" t="s">
        <v>273</v>
      </c>
      <c r="I88" t="s">
        <v>26</v>
      </c>
      <c r="J88">
        <v>0</v>
      </c>
      <c r="K88">
        <v>39</v>
      </c>
      <c r="L88" s="2">
        <v>3.5000000000000001E-3</v>
      </c>
      <c r="M88">
        <v>0.02</v>
      </c>
      <c r="N88" s="2">
        <v>0.13650000000000001</v>
      </c>
      <c r="O88" s="2">
        <v>0.78</v>
      </c>
    </row>
    <row r="89" spans="2:15">
      <c r="B89" t="s">
        <v>30</v>
      </c>
      <c r="C89" t="s">
        <v>31</v>
      </c>
      <c r="D89" t="s">
        <v>274</v>
      </c>
      <c r="E89" t="s">
        <v>275</v>
      </c>
      <c r="F89" t="s">
        <v>10</v>
      </c>
      <c r="G89" t="s">
        <v>274</v>
      </c>
      <c r="H89" t="s">
        <v>276</v>
      </c>
      <c r="I89" t="s">
        <v>26</v>
      </c>
      <c r="J89">
        <v>0</v>
      </c>
      <c r="K89">
        <v>54</v>
      </c>
      <c r="L89" s="2">
        <v>3.5000000000000001E-3</v>
      </c>
      <c r="M89">
        <v>0.02</v>
      </c>
      <c r="N89" s="2">
        <v>0.189</v>
      </c>
      <c r="O89" s="2">
        <v>1.08</v>
      </c>
    </row>
    <row r="90" spans="2:15">
      <c r="B90" t="s">
        <v>30</v>
      </c>
      <c r="C90" t="s">
        <v>31</v>
      </c>
      <c r="D90" t="s">
        <v>277</v>
      </c>
      <c r="E90" t="s">
        <v>278</v>
      </c>
      <c r="F90" t="s">
        <v>10</v>
      </c>
      <c r="G90" t="s">
        <v>277</v>
      </c>
      <c r="H90" t="s">
        <v>279</v>
      </c>
      <c r="I90" t="s">
        <v>26</v>
      </c>
      <c r="J90">
        <v>0</v>
      </c>
      <c r="K90">
        <v>300</v>
      </c>
      <c r="L90" s="2">
        <v>3.5000000000000001E-3</v>
      </c>
      <c r="M90">
        <v>0.02</v>
      </c>
      <c r="N90" s="2">
        <v>1.05</v>
      </c>
      <c r="O90" s="2">
        <v>6</v>
      </c>
    </row>
    <row r="91" spans="2:15">
      <c r="B91" t="s">
        <v>30</v>
      </c>
      <c r="C91" t="s">
        <v>31</v>
      </c>
      <c r="D91" t="s">
        <v>280</v>
      </c>
      <c r="E91" t="s">
        <v>281</v>
      </c>
      <c r="F91" t="s">
        <v>10</v>
      </c>
      <c r="G91" t="s">
        <v>280</v>
      </c>
      <c r="H91" t="s">
        <v>282</v>
      </c>
      <c r="I91" t="s">
        <v>26</v>
      </c>
      <c r="J91">
        <v>0</v>
      </c>
      <c r="K91">
        <v>8</v>
      </c>
      <c r="L91" s="2">
        <v>3.5000000000000001E-3</v>
      </c>
      <c r="M91">
        <v>0.02</v>
      </c>
      <c r="N91" s="2">
        <v>2.8000000000000001E-2</v>
      </c>
      <c r="O91" s="2">
        <v>0.16</v>
      </c>
    </row>
    <row r="92" spans="2:15">
      <c r="B92" t="s">
        <v>30</v>
      </c>
      <c r="C92" t="s">
        <v>31</v>
      </c>
      <c r="D92" t="s">
        <v>283</v>
      </c>
      <c r="E92" t="s">
        <v>284</v>
      </c>
      <c r="F92" t="s">
        <v>10</v>
      </c>
      <c r="G92" t="s">
        <v>283</v>
      </c>
      <c r="H92" t="s">
        <v>285</v>
      </c>
      <c r="I92" t="s">
        <v>26</v>
      </c>
      <c r="J92">
        <v>0</v>
      </c>
      <c r="K92">
        <v>7611</v>
      </c>
      <c r="L92" s="2">
        <v>3.5000000000000001E-3</v>
      </c>
      <c r="M92">
        <v>0.02</v>
      </c>
      <c r="N92" s="2">
        <v>26.638500000000001</v>
      </c>
      <c r="O92" s="2">
        <v>152.22</v>
      </c>
    </row>
    <row r="93" spans="2:15">
      <c r="B93" t="s">
        <v>30</v>
      </c>
      <c r="C93" t="s">
        <v>31</v>
      </c>
      <c r="D93" t="s">
        <v>286</v>
      </c>
      <c r="E93" t="s">
        <v>287</v>
      </c>
      <c r="F93" t="s">
        <v>10</v>
      </c>
      <c r="G93" t="s">
        <v>286</v>
      </c>
      <c r="H93" t="s">
        <v>288</v>
      </c>
      <c r="I93" t="s">
        <v>26</v>
      </c>
      <c r="J93">
        <v>0</v>
      </c>
      <c r="K93">
        <v>2631</v>
      </c>
      <c r="L93" s="2">
        <v>3.5000000000000001E-3</v>
      </c>
      <c r="M93">
        <v>0.02</v>
      </c>
      <c r="N93" s="2">
        <v>9.2085000000000008</v>
      </c>
      <c r="O93" s="2">
        <v>52.620000000000005</v>
      </c>
    </row>
    <row r="94" spans="2:15">
      <c r="B94" t="s">
        <v>30</v>
      </c>
      <c r="C94" t="s">
        <v>31</v>
      </c>
      <c r="D94" t="s">
        <v>331</v>
      </c>
      <c r="E94" t="s">
        <v>332</v>
      </c>
      <c r="F94" t="s">
        <v>10</v>
      </c>
      <c r="G94" t="s">
        <v>331</v>
      </c>
      <c r="H94" t="s">
        <v>333</v>
      </c>
      <c r="I94" t="s">
        <v>26</v>
      </c>
      <c r="J94">
        <v>0</v>
      </c>
      <c r="K94">
        <v>17</v>
      </c>
      <c r="L94" s="2">
        <v>3.5000000000000001E-3</v>
      </c>
      <c r="M94">
        <v>0.02</v>
      </c>
      <c r="N94" s="2">
        <v>5.9500000000000004E-2</v>
      </c>
      <c r="O94" s="2">
        <v>0.34</v>
      </c>
    </row>
    <row r="95" spans="2:15">
      <c r="B95" t="s">
        <v>30</v>
      </c>
      <c r="C95" t="s">
        <v>31</v>
      </c>
      <c r="D95" t="s">
        <v>289</v>
      </c>
      <c r="E95" t="s">
        <v>290</v>
      </c>
      <c r="F95" t="s">
        <v>10</v>
      </c>
      <c r="G95" t="s">
        <v>289</v>
      </c>
      <c r="H95" t="s">
        <v>291</v>
      </c>
      <c r="I95" t="s">
        <v>26</v>
      </c>
      <c r="J95">
        <v>0</v>
      </c>
      <c r="K95">
        <v>47</v>
      </c>
      <c r="L95" s="2">
        <v>3.5000000000000001E-3</v>
      </c>
      <c r="M95">
        <v>0.02</v>
      </c>
      <c r="N95" s="2">
        <v>0.16450000000000001</v>
      </c>
      <c r="O95" s="2">
        <v>0.94000000000000006</v>
      </c>
    </row>
    <row r="96" spans="2:15">
      <c r="B96" t="s">
        <v>30</v>
      </c>
      <c r="C96" t="s">
        <v>31</v>
      </c>
      <c r="D96" t="s">
        <v>292</v>
      </c>
      <c r="E96" t="s">
        <v>293</v>
      </c>
      <c r="F96" t="s">
        <v>10</v>
      </c>
      <c r="G96" t="s">
        <v>292</v>
      </c>
      <c r="H96" t="s">
        <v>294</v>
      </c>
      <c r="I96" t="s">
        <v>26</v>
      </c>
      <c r="J96">
        <v>0</v>
      </c>
      <c r="K96">
        <v>72</v>
      </c>
      <c r="L96" s="2">
        <v>3.5000000000000001E-3</v>
      </c>
      <c r="M96">
        <v>0.02</v>
      </c>
      <c r="N96" s="2">
        <v>0.252</v>
      </c>
      <c r="O96" s="2">
        <v>1.44</v>
      </c>
    </row>
    <row r="97" spans="2:15">
      <c r="B97" t="s">
        <v>30</v>
      </c>
      <c r="C97" t="s">
        <v>31</v>
      </c>
      <c r="D97" t="s">
        <v>295</v>
      </c>
      <c r="E97" t="s">
        <v>296</v>
      </c>
      <c r="F97" t="s">
        <v>10</v>
      </c>
      <c r="G97" t="s">
        <v>295</v>
      </c>
      <c r="H97" t="s">
        <v>297</v>
      </c>
      <c r="I97" t="s">
        <v>26</v>
      </c>
      <c r="J97">
        <v>0</v>
      </c>
      <c r="K97">
        <v>62</v>
      </c>
      <c r="L97" s="2">
        <v>3.5000000000000001E-3</v>
      </c>
      <c r="M97">
        <v>0.02</v>
      </c>
      <c r="N97" s="2">
        <v>0.217</v>
      </c>
      <c r="O97" s="2">
        <v>1.24</v>
      </c>
    </row>
    <row r="98" spans="2:15">
      <c r="B98" t="s">
        <v>30</v>
      </c>
      <c r="C98" t="s">
        <v>31</v>
      </c>
      <c r="D98" t="s">
        <v>298</v>
      </c>
      <c r="E98" t="s">
        <v>299</v>
      </c>
      <c r="F98" t="s">
        <v>10</v>
      </c>
      <c r="G98" t="s">
        <v>298</v>
      </c>
      <c r="H98" t="s">
        <v>300</v>
      </c>
      <c r="I98" t="s">
        <v>26</v>
      </c>
      <c r="J98">
        <v>0</v>
      </c>
      <c r="K98">
        <v>15</v>
      </c>
      <c r="L98" s="2">
        <v>3.5000000000000001E-3</v>
      </c>
      <c r="M98">
        <v>0.02</v>
      </c>
      <c r="N98" s="2">
        <v>5.2499999999999998E-2</v>
      </c>
      <c r="O98" s="2">
        <v>0.3</v>
      </c>
    </row>
    <row r="99" spans="2:15">
      <c r="B99" t="s">
        <v>30</v>
      </c>
      <c r="C99" t="s">
        <v>31</v>
      </c>
      <c r="D99" t="s">
        <v>334</v>
      </c>
      <c r="E99" t="s">
        <v>335</v>
      </c>
      <c r="F99" t="s">
        <v>10</v>
      </c>
      <c r="G99" t="s">
        <v>334</v>
      </c>
      <c r="H99" t="s">
        <v>336</v>
      </c>
      <c r="I99" t="s">
        <v>26</v>
      </c>
      <c r="J99">
        <v>0</v>
      </c>
      <c r="K99">
        <v>14</v>
      </c>
      <c r="L99" s="2">
        <v>3.5000000000000001E-3</v>
      </c>
      <c r="M99">
        <v>0.02</v>
      </c>
      <c r="N99" s="2">
        <v>4.9000000000000002E-2</v>
      </c>
      <c r="O99" s="2">
        <v>0.28000000000000003</v>
      </c>
    </row>
    <row r="100" spans="2:15">
      <c r="B100" t="s">
        <v>30</v>
      </c>
      <c r="C100" t="s">
        <v>31</v>
      </c>
      <c r="D100" t="s">
        <v>32</v>
      </c>
      <c r="E100" t="s">
        <v>33</v>
      </c>
      <c r="F100" t="s">
        <v>10</v>
      </c>
      <c r="G100" t="s">
        <v>32</v>
      </c>
      <c r="H100" t="s">
        <v>34</v>
      </c>
      <c r="I100" t="s">
        <v>26</v>
      </c>
      <c r="J100">
        <v>0</v>
      </c>
      <c r="K100">
        <v>6</v>
      </c>
      <c r="L100" s="2">
        <v>3.5000000000000001E-3</v>
      </c>
      <c r="M100">
        <v>0.02</v>
      </c>
      <c r="N100" s="2">
        <v>2.1000000000000001E-2</v>
      </c>
      <c r="O100" s="2">
        <v>0.12</v>
      </c>
    </row>
    <row r="101" spans="2:15">
      <c r="B101" t="s">
        <v>30</v>
      </c>
      <c r="C101" t="s">
        <v>31</v>
      </c>
      <c r="D101" t="s">
        <v>337</v>
      </c>
      <c r="E101" t="s">
        <v>338</v>
      </c>
      <c r="F101" t="s">
        <v>10</v>
      </c>
      <c r="G101" t="s">
        <v>337</v>
      </c>
      <c r="H101" t="s">
        <v>339</v>
      </c>
      <c r="I101" t="s">
        <v>26</v>
      </c>
      <c r="J101">
        <v>0</v>
      </c>
      <c r="K101">
        <v>4</v>
      </c>
      <c r="L101" s="2">
        <v>3.5000000000000001E-3</v>
      </c>
      <c r="M101">
        <v>0.02</v>
      </c>
      <c r="N101" s="2">
        <v>1.4E-2</v>
      </c>
      <c r="O101" s="2">
        <v>0.08</v>
      </c>
    </row>
    <row r="102" spans="2:15">
      <c r="B102" t="s">
        <v>30</v>
      </c>
      <c r="C102" t="s">
        <v>31</v>
      </c>
      <c r="D102" t="s">
        <v>128</v>
      </c>
      <c r="E102" t="s">
        <v>129</v>
      </c>
      <c r="F102" t="s">
        <v>10</v>
      </c>
      <c r="G102" t="s">
        <v>128</v>
      </c>
      <c r="H102" t="s">
        <v>130</v>
      </c>
      <c r="I102" t="s">
        <v>26</v>
      </c>
      <c r="J102">
        <v>0</v>
      </c>
      <c r="K102">
        <v>349</v>
      </c>
      <c r="L102" s="2">
        <v>3.5000000000000001E-3</v>
      </c>
      <c r="M102">
        <v>0.02</v>
      </c>
      <c r="N102" s="2">
        <v>1.2215</v>
      </c>
      <c r="O102" s="2">
        <v>6.98</v>
      </c>
    </row>
    <row r="103" spans="2:15">
      <c r="B103" t="s">
        <v>30</v>
      </c>
      <c r="C103" t="s">
        <v>31</v>
      </c>
      <c r="D103" t="s">
        <v>131</v>
      </c>
      <c r="E103" t="s">
        <v>132</v>
      </c>
      <c r="F103" t="s">
        <v>10</v>
      </c>
      <c r="G103" t="s">
        <v>131</v>
      </c>
      <c r="H103" t="s">
        <v>133</v>
      </c>
      <c r="I103" t="s">
        <v>26</v>
      </c>
      <c r="J103">
        <v>0</v>
      </c>
      <c r="K103">
        <v>940</v>
      </c>
      <c r="L103" s="2">
        <v>3.5000000000000001E-3</v>
      </c>
      <c r="M103">
        <v>0.02</v>
      </c>
      <c r="N103" s="2">
        <v>3.29</v>
      </c>
      <c r="O103" s="2">
        <v>18.8</v>
      </c>
    </row>
    <row r="104" spans="2:15">
      <c r="B104" t="s">
        <v>30</v>
      </c>
      <c r="C104" t="s">
        <v>31</v>
      </c>
      <c r="D104" t="s">
        <v>134</v>
      </c>
      <c r="E104" t="s">
        <v>135</v>
      </c>
      <c r="F104" t="s">
        <v>10</v>
      </c>
      <c r="G104" t="s">
        <v>134</v>
      </c>
      <c r="H104" t="s">
        <v>136</v>
      </c>
      <c r="I104" t="s">
        <v>26</v>
      </c>
      <c r="J104">
        <v>0</v>
      </c>
      <c r="K104">
        <v>55</v>
      </c>
      <c r="L104" s="2">
        <v>3.5000000000000001E-3</v>
      </c>
      <c r="M104">
        <v>0.02</v>
      </c>
      <c r="N104" s="2">
        <v>0.1925</v>
      </c>
      <c r="O104" s="2">
        <v>1.1000000000000001</v>
      </c>
    </row>
    <row r="105" spans="2:15">
      <c r="B105" t="s">
        <v>30</v>
      </c>
      <c r="C105" t="s">
        <v>31</v>
      </c>
      <c r="D105" t="s">
        <v>206</v>
      </c>
      <c r="E105" t="s">
        <v>207</v>
      </c>
      <c r="F105" t="s">
        <v>10</v>
      </c>
      <c r="G105" t="s">
        <v>206</v>
      </c>
      <c r="H105" t="s">
        <v>208</v>
      </c>
      <c r="I105" t="s">
        <v>26</v>
      </c>
      <c r="J105">
        <v>0</v>
      </c>
      <c r="K105">
        <v>4</v>
      </c>
      <c r="L105" s="2">
        <v>3.5000000000000001E-3</v>
      </c>
      <c r="M105">
        <v>0.02</v>
      </c>
      <c r="N105" s="2">
        <v>1.4E-2</v>
      </c>
      <c r="O105" s="2">
        <v>0.08</v>
      </c>
    </row>
    <row r="106" spans="2:15">
      <c r="B106" t="s">
        <v>30</v>
      </c>
      <c r="C106" t="s">
        <v>31</v>
      </c>
      <c r="D106" t="s">
        <v>79</v>
      </c>
      <c r="E106" t="s">
        <v>80</v>
      </c>
      <c r="F106" t="s">
        <v>10</v>
      </c>
      <c r="G106" t="s">
        <v>79</v>
      </c>
      <c r="H106" t="s">
        <v>81</v>
      </c>
      <c r="I106" t="s">
        <v>26</v>
      </c>
      <c r="J106">
        <v>0</v>
      </c>
      <c r="K106">
        <v>12</v>
      </c>
      <c r="L106" s="2">
        <v>3.5000000000000001E-3</v>
      </c>
      <c r="M106">
        <v>0.02</v>
      </c>
      <c r="N106" s="2">
        <v>4.2000000000000003E-2</v>
      </c>
      <c r="O106" s="2">
        <v>0.24</v>
      </c>
    </row>
    <row r="107" spans="2:15">
      <c r="B107" t="s">
        <v>30</v>
      </c>
      <c r="C107" t="s">
        <v>31</v>
      </c>
      <c r="D107" t="s">
        <v>340</v>
      </c>
      <c r="E107" t="s">
        <v>341</v>
      </c>
      <c r="F107" t="s">
        <v>10</v>
      </c>
      <c r="G107" t="s">
        <v>340</v>
      </c>
      <c r="H107" t="s">
        <v>342</v>
      </c>
      <c r="I107" t="s">
        <v>26</v>
      </c>
      <c r="J107">
        <v>0</v>
      </c>
      <c r="K107">
        <v>1</v>
      </c>
      <c r="L107" s="2">
        <v>3.5000000000000001E-3</v>
      </c>
      <c r="M107">
        <v>0.02</v>
      </c>
      <c r="N107" s="2">
        <v>3.5000000000000001E-3</v>
      </c>
      <c r="O107" s="2">
        <v>0.02</v>
      </c>
    </row>
    <row r="108" spans="2:15">
      <c r="B108" t="s">
        <v>30</v>
      </c>
      <c r="C108" t="s">
        <v>31</v>
      </c>
      <c r="D108" t="s">
        <v>91</v>
      </c>
      <c r="E108" t="s">
        <v>92</v>
      </c>
      <c r="F108" t="s">
        <v>10</v>
      </c>
      <c r="G108" t="s">
        <v>91</v>
      </c>
      <c r="H108" t="s">
        <v>93</v>
      </c>
      <c r="I108" t="s">
        <v>26</v>
      </c>
      <c r="J108">
        <v>0</v>
      </c>
      <c r="K108">
        <v>1300</v>
      </c>
      <c r="L108" s="2">
        <v>3.5000000000000001E-3</v>
      </c>
      <c r="M108">
        <v>0.02</v>
      </c>
      <c r="N108" s="2">
        <v>4.55</v>
      </c>
      <c r="O108" s="2">
        <v>26</v>
      </c>
    </row>
    <row r="109" spans="2:15">
      <c r="B109" t="s">
        <v>30</v>
      </c>
      <c r="C109" t="s">
        <v>31</v>
      </c>
      <c r="D109" t="s">
        <v>301</v>
      </c>
      <c r="E109" t="s">
        <v>302</v>
      </c>
      <c r="F109" t="s">
        <v>10</v>
      </c>
      <c r="G109" t="s">
        <v>301</v>
      </c>
      <c r="H109" t="s">
        <v>303</v>
      </c>
      <c r="I109" t="s">
        <v>26</v>
      </c>
      <c r="J109">
        <v>0</v>
      </c>
      <c r="K109">
        <v>50</v>
      </c>
      <c r="L109" s="2">
        <v>3.5000000000000001E-3</v>
      </c>
      <c r="M109">
        <v>0.02</v>
      </c>
      <c r="N109" s="2">
        <v>0.17500000000000002</v>
      </c>
      <c r="O109" s="2">
        <v>1</v>
      </c>
    </row>
    <row r="110" spans="2:15">
      <c r="B110" t="s">
        <v>30</v>
      </c>
      <c r="C110" t="s">
        <v>31</v>
      </c>
      <c r="D110" t="s">
        <v>137</v>
      </c>
      <c r="E110" t="s">
        <v>138</v>
      </c>
      <c r="F110" t="s">
        <v>10</v>
      </c>
      <c r="G110" t="s">
        <v>137</v>
      </c>
      <c r="H110" t="s">
        <v>139</v>
      </c>
      <c r="I110" t="s">
        <v>26</v>
      </c>
      <c r="J110">
        <v>0</v>
      </c>
      <c r="K110">
        <v>56</v>
      </c>
      <c r="L110" s="2">
        <v>3.5000000000000001E-3</v>
      </c>
      <c r="M110">
        <v>0.02</v>
      </c>
      <c r="N110" s="2">
        <v>0.19600000000000001</v>
      </c>
      <c r="O110" s="2">
        <v>1.1200000000000001</v>
      </c>
    </row>
    <row r="111" spans="2:15">
      <c r="B111" t="s">
        <v>30</v>
      </c>
      <c r="C111" t="s">
        <v>31</v>
      </c>
      <c r="D111" t="s">
        <v>140</v>
      </c>
      <c r="E111" t="s">
        <v>141</v>
      </c>
      <c r="F111" t="s">
        <v>10</v>
      </c>
      <c r="G111" t="s">
        <v>140</v>
      </c>
      <c r="H111" t="s">
        <v>142</v>
      </c>
      <c r="I111" t="s">
        <v>26</v>
      </c>
      <c r="J111">
        <v>0</v>
      </c>
      <c r="K111">
        <v>6</v>
      </c>
      <c r="L111" s="2">
        <v>3.5000000000000001E-3</v>
      </c>
      <c r="M111">
        <v>0.02</v>
      </c>
      <c r="N111" s="2">
        <v>2.1000000000000001E-2</v>
      </c>
      <c r="O111" s="2">
        <v>0.12</v>
      </c>
    </row>
    <row r="112" spans="2:15">
      <c r="B112" t="s">
        <v>30</v>
      </c>
      <c r="C112" t="s">
        <v>31</v>
      </c>
      <c r="D112" t="s">
        <v>343</v>
      </c>
      <c r="E112" t="s">
        <v>344</v>
      </c>
      <c r="F112" t="s">
        <v>10</v>
      </c>
      <c r="G112" t="s">
        <v>343</v>
      </c>
      <c r="H112" t="s">
        <v>345</v>
      </c>
      <c r="I112" t="s">
        <v>26</v>
      </c>
      <c r="J112">
        <v>0</v>
      </c>
      <c r="K112">
        <v>2</v>
      </c>
      <c r="L112" s="2">
        <v>3.5000000000000001E-3</v>
      </c>
      <c r="M112">
        <v>0.02</v>
      </c>
      <c r="N112" s="2">
        <v>7.0000000000000001E-3</v>
      </c>
      <c r="O112" s="2">
        <v>0.04</v>
      </c>
    </row>
    <row r="113" spans="2:15">
      <c r="B113" t="s">
        <v>30</v>
      </c>
      <c r="C113" t="s">
        <v>31</v>
      </c>
      <c r="D113" t="s">
        <v>209</v>
      </c>
      <c r="E113" t="s">
        <v>210</v>
      </c>
      <c r="F113" t="s">
        <v>10</v>
      </c>
      <c r="G113" t="s">
        <v>209</v>
      </c>
      <c r="H113" t="s">
        <v>211</v>
      </c>
      <c r="I113" t="s">
        <v>26</v>
      </c>
      <c r="J113">
        <v>0</v>
      </c>
      <c r="K113">
        <v>100</v>
      </c>
      <c r="L113" s="2">
        <v>3.5000000000000001E-3</v>
      </c>
      <c r="M113">
        <v>0.02</v>
      </c>
      <c r="N113" s="2">
        <v>0.35000000000000003</v>
      </c>
      <c r="O113" s="2">
        <v>2</v>
      </c>
    </row>
    <row r="114" spans="2:15">
      <c r="B114" t="s">
        <v>30</v>
      </c>
      <c r="C114" t="s">
        <v>31</v>
      </c>
      <c r="D114" t="s">
        <v>304</v>
      </c>
      <c r="E114" t="s">
        <v>305</v>
      </c>
      <c r="F114" t="s">
        <v>10</v>
      </c>
      <c r="G114" t="s">
        <v>304</v>
      </c>
      <c r="H114" t="s">
        <v>306</v>
      </c>
      <c r="I114" t="s">
        <v>26</v>
      </c>
      <c r="J114">
        <v>0</v>
      </c>
      <c r="K114">
        <v>30653</v>
      </c>
      <c r="L114" s="2">
        <v>3.5000000000000001E-3</v>
      </c>
      <c r="M114">
        <v>0.02</v>
      </c>
      <c r="N114" s="2">
        <v>107.2855</v>
      </c>
      <c r="O114" s="2">
        <v>613.06000000000006</v>
      </c>
    </row>
    <row r="115" spans="2:15">
      <c r="B115" t="s">
        <v>30</v>
      </c>
      <c r="C115" t="s">
        <v>31</v>
      </c>
      <c r="D115" t="s">
        <v>307</v>
      </c>
      <c r="E115" t="s">
        <v>308</v>
      </c>
      <c r="F115" t="s">
        <v>10</v>
      </c>
      <c r="G115" t="s">
        <v>307</v>
      </c>
      <c r="H115" t="s">
        <v>309</v>
      </c>
      <c r="I115" t="s">
        <v>26</v>
      </c>
      <c r="J115">
        <v>0</v>
      </c>
      <c r="K115">
        <v>3925</v>
      </c>
      <c r="L115" s="2">
        <v>3.5000000000000001E-3</v>
      </c>
      <c r="M115">
        <v>0.02</v>
      </c>
      <c r="N115" s="2">
        <v>13.737500000000001</v>
      </c>
      <c r="O115" s="2">
        <v>78.5</v>
      </c>
    </row>
    <row r="116" spans="2:15">
      <c r="B116" t="s">
        <v>30</v>
      </c>
      <c r="C116" t="s">
        <v>31</v>
      </c>
      <c r="D116" t="s">
        <v>310</v>
      </c>
      <c r="E116" t="s">
        <v>311</v>
      </c>
      <c r="F116" t="s">
        <v>10</v>
      </c>
      <c r="G116" t="s">
        <v>310</v>
      </c>
      <c r="H116" t="s">
        <v>312</v>
      </c>
      <c r="I116" t="s">
        <v>26</v>
      </c>
      <c r="J116">
        <v>0</v>
      </c>
      <c r="K116">
        <v>2269</v>
      </c>
      <c r="L116" s="2">
        <v>3.5000000000000001E-3</v>
      </c>
      <c r="M116">
        <v>0.02</v>
      </c>
      <c r="N116" s="2">
        <v>7.9415000000000004</v>
      </c>
      <c r="O116" s="2">
        <v>45.38</v>
      </c>
    </row>
    <row r="117" spans="2:15">
      <c r="B117" t="s">
        <v>30</v>
      </c>
      <c r="C117" t="s">
        <v>31</v>
      </c>
      <c r="D117" t="s">
        <v>94</v>
      </c>
      <c r="E117" t="s">
        <v>95</v>
      </c>
      <c r="F117" t="s">
        <v>10</v>
      </c>
      <c r="G117" t="s">
        <v>94</v>
      </c>
      <c r="H117" t="s">
        <v>96</v>
      </c>
      <c r="I117" t="s">
        <v>26</v>
      </c>
      <c r="J117">
        <v>0</v>
      </c>
      <c r="K117">
        <v>112</v>
      </c>
      <c r="L117" s="2">
        <v>3.5000000000000001E-3</v>
      </c>
      <c r="M117">
        <v>0.02</v>
      </c>
      <c r="N117" s="2">
        <v>0.39200000000000002</v>
      </c>
      <c r="O117" s="2">
        <v>2.2400000000000002</v>
      </c>
    </row>
    <row r="118" spans="2:15">
      <c r="B118" t="s">
        <v>30</v>
      </c>
      <c r="C118" t="s">
        <v>31</v>
      </c>
      <c r="D118" t="s">
        <v>97</v>
      </c>
      <c r="E118" t="s">
        <v>98</v>
      </c>
      <c r="F118" t="s">
        <v>10</v>
      </c>
      <c r="G118" t="s">
        <v>97</v>
      </c>
      <c r="H118" t="s">
        <v>99</v>
      </c>
      <c r="I118" t="s">
        <v>26</v>
      </c>
      <c r="J118">
        <v>0</v>
      </c>
      <c r="K118">
        <v>221</v>
      </c>
      <c r="L118" s="2">
        <v>3.5000000000000001E-3</v>
      </c>
      <c r="M118">
        <v>0.02</v>
      </c>
      <c r="N118" s="2">
        <v>0.77349999999999997</v>
      </c>
      <c r="O118" s="2">
        <v>4.42</v>
      </c>
    </row>
    <row r="119" spans="2:15">
      <c r="B119" t="s">
        <v>30</v>
      </c>
      <c r="C119" t="s">
        <v>31</v>
      </c>
      <c r="D119" t="s">
        <v>313</v>
      </c>
      <c r="E119" t="s">
        <v>314</v>
      </c>
      <c r="F119" t="s">
        <v>10</v>
      </c>
      <c r="G119" t="s">
        <v>313</v>
      </c>
      <c r="H119" t="s">
        <v>315</v>
      </c>
      <c r="I119" t="s">
        <v>26</v>
      </c>
      <c r="J119">
        <v>0</v>
      </c>
      <c r="K119">
        <v>145</v>
      </c>
      <c r="L119" s="2">
        <v>3.5000000000000001E-3</v>
      </c>
      <c r="M119">
        <v>0.02</v>
      </c>
      <c r="N119" s="2">
        <v>0.50750000000000006</v>
      </c>
      <c r="O119" s="2">
        <v>2.9</v>
      </c>
    </row>
    <row r="120" spans="2:15">
      <c r="B120" t="s">
        <v>30</v>
      </c>
      <c r="C120" t="s">
        <v>31</v>
      </c>
      <c r="D120" t="s">
        <v>316</v>
      </c>
      <c r="E120" t="s">
        <v>317</v>
      </c>
      <c r="F120" t="s">
        <v>10</v>
      </c>
      <c r="G120" t="s">
        <v>316</v>
      </c>
      <c r="H120" t="s">
        <v>318</v>
      </c>
      <c r="I120" t="s">
        <v>26</v>
      </c>
      <c r="J120">
        <v>0</v>
      </c>
      <c r="K120">
        <v>9</v>
      </c>
      <c r="L120" s="2">
        <v>3.5000000000000001E-3</v>
      </c>
      <c r="M120">
        <v>0.02</v>
      </c>
      <c r="N120" s="2">
        <v>3.15E-2</v>
      </c>
      <c r="O120" s="2">
        <v>0.18</v>
      </c>
    </row>
    <row r="121" spans="2:15">
      <c r="B121" t="s">
        <v>30</v>
      </c>
      <c r="C121" t="s">
        <v>31</v>
      </c>
      <c r="D121" t="s">
        <v>100</v>
      </c>
      <c r="E121" t="s">
        <v>101</v>
      </c>
      <c r="F121" t="s">
        <v>10</v>
      </c>
      <c r="G121" t="s">
        <v>100</v>
      </c>
      <c r="H121" t="s">
        <v>102</v>
      </c>
      <c r="I121" t="s">
        <v>26</v>
      </c>
      <c r="J121">
        <v>0</v>
      </c>
      <c r="K121">
        <v>13</v>
      </c>
      <c r="L121" s="2">
        <v>3.5000000000000001E-3</v>
      </c>
      <c r="M121">
        <v>0.02</v>
      </c>
      <c r="N121" s="2">
        <v>4.5499999999999999E-2</v>
      </c>
      <c r="O121" s="2">
        <v>0.26</v>
      </c>
    </row>
    <row r="122" spans="2:15">
      <c r="B122" t="s">
        <v>30</v>
      </c>
      <c r="C122" t="s">
        <v>31</v>
      </c>
      <c r="D122" t="s">
        <v>103</v>
      </c>
      <c r="E122" t="s">
        <v>104</v>
      </c>
      <c r="F122" t="s">
        <v>10</v>
      </c>
      <c r="G122" t="s">
        <v>103</v>
      </c>
      <c r="H122" t="s">
        <v>105</v>
      </c>
      <c r="I122" t="s">
        <v>26</v>
      </c>
      <c r="J122">
        <v>0</v>
      </c>
      <c r="K122">
        <v>35</v>
      </c>
      <c r="L122" s="2">
        <v>3.5000000000000001E-3</v>
      </c>
      <c r="M122">
        <v>0.02</v>
      </c>
      <c r="N122" s="2">
        <v>0.1225</v>
      </c>
      <c r="O122" s="2">
        <v>0.70000000000000007</v>
      </c>
    </row>
    <row r="123" spans="2:15">
      <c r="L123" s="2"/>
      <c r="N123" s="2"/>
      <c r="O123" s="2"/>
    </row>
    <row r="124" spans="2:15">
      <c r="L124" s="2"/>
      <c r="N124" s="2"/>
      <c r="O124" s="2"/>
    </row>
    <row r="125" spans="2:15">
      <c r="L125" s="2"/>
      <c r="N125" s="2"/>
      <c r="O125" s="2"/>
    </row>
    <row r="126" spans="2:15">
      <c r="L126" s="2"/>
      <c r="N126" s="2"/>
      <c r="O126" s="2"/>
    </row>
    <row r="127" spans="2:15">
      <c r="L127" s="2"/>
      <c r="N127" s="2"/>
      <c r="O127" s="2"/>
    </row>
    <row r="128" spans="2:15">
      <c r="L128" s="2"/>
      <c r="N128" s="2"/>
      <c r="O128" s="2"/>
    </row>
    <row r="129" spans="12:15">
      <c r="L129" s="2"/>
      <c r="N129" s="2"/>
      <c r="O129" s="2"/>
    </row>
    <row r="130" spans="12:15">
      <c r="L130" s="2"/>
      <c r="N130" s="2"/>
      <c r="O130" s="2"/>
    </row>
    <row r="131" spans="12:15">
      <c r="L131" s="2"/>
      <c r="N131" s="2"/>
      <c r="O131" s="2"/>
    </row>
    <row r="132" spans="12:15">
      <c r="L132" s="2"/>
      <c r="N132" s="2"/>
      <c r="O132" s="2"/>
    </row>
    <row r="133" spans="12:15">
      <c r="L133" s="2"/>
      <c r="N133" s="2"/>
      <c r="O133" s="2"/>
    </row>
    <row r="134" spans="12:15">
      <c r="L134" s="2"/>
      <c r="N134" s="2"/>
      <c r="O134" s="2"/>
    </row>
    <row r="135" spans="12:15">
      <c r="L135" s="2"/>
      <c r="N135" s="2"/>
      <c r="O135" s="2"/>
    </row>
    <row r="136" spans="12:15">
      <c r="L136" s="2"/>
      <c r="N136" s="2"/>
      <c r="O136" s="2"/>
    </row>
    <row r="137" spans="12:15">
      <c r="L137" s="2"/>
      <c r="N137" s="2"/>
      <c r="O137" s="2"/>
    </row>
    <row r="138" spans="12:15">
      <c r="L138" s="2"/>
      <c r="N138" s="2"/>
      <c r="O138" s="2"/>
    </row>
    <row r="139" spans="12:15">
      <c r="L139" s="2"/>
      <c r="N139" s="2"/>
      <c r="O139" s="2"/>
    </row>
    <row r="140" spans="12:15">
      <c r="L140" s="2"/>
      <c r="N140" s="2"/>
      <c r="O140" s="2"/>
    </row>
    <row r="141" spans="12:15">
      <c r="L141" s="2"/>
      <c r="N141" s="2"/>
      <c r="O141" s="2"/>
    </row>
    <row r="142" spans="12:15">
      <c r="L142" s="2"/>
      <c r="N142" s="2"/>
      <c r="O142" s="2"/>
    </row>
    <row r="143" spans="12:15">
      <c r="L143" s="2"/>
      <c r="N143" s="2"/>
      <c r="O143" s="2"/>
    </row>
    <row r="144" spans="12:15">
      <c r="L144" s="2"/>
      <c r="N144" s="2"/>
      <c r="O144" s="2"/>
    </row>
    <row r="145" spans="12:15">
      <c r="L145" s="2"/>
      <c r="N145" s="2"/>
      <c r="O145" s="2"/>
    </row>
    <row r="146" spans="12:15">
      <c r="L146" s="2"/>
      <c r="N146" s="2"/>
      <c r="O146" s="2"/>
    </row>
    <row r="147" spans="12:15">
      <c r="L147" s="2"/>
      <c r="N147" s="2"/>
      <c r="O147" s="2"/>
    </row>
    <row r="148" spans="12:15">
      <c r="L148" s="2"/>
      <c r="N148" s="2"/>
      <c r="O148" s="2"/>
    </row>
    <row r="149" spans="12:15">
      <c r="L149" s="2"/>
      <c r="N149" s="2"/>
      <c r="O149" s="2"/>
    </row>
    <row r="150" spans="12:15">
      <c r="L150" s="2"/>
      <c r="N150" s="2"/>
      <c r="O150" s="2"/>
    </row>
    <row r="151" spans="12:15">
      <c r="L151" s="2"/>
      <c r="N151" s="2"/>
      <c r="O151" s="2"/>
    </row>
    <row r="152" spans="12:15">
      <c r="L152" s="2"/>
      <c r="N152" s="2"/>
      <c r="O152" s="2"/>
    </row>
    <row r="153" spans="12:15">
      <c r="L153" s="2"/>
      <c r="N153" s="2"/>
      <c r="O153" s="2"/>
    </row>
    <row r="154" spans="12:15">
      <c r="L154" s="2"/>
      <c r="N154" s="2"/>
      <c r="O154" s="2"/>
    </row>
    <row r="155" spans="12:15">
      <c r="L155" s="2"/>
      <c r="N155" s="2"/>
      <c r="O155" s="2"/>
    </row>
    <row r="156" spans="12:15">
      <c r="L156" s="2"/>
      <c r="N156" s="2"/>
      <c r="O156" s="2"/>
    </row>
    <row r="157" spans="12:15">
      <c r="L157" s="2"/>
      <c r="N157" s="2"/>
      <c r="O157" s="2"/>
    </row>
    <row r="158" spans="12:15">
      <c r="L158" s="2"/>
      <c r="N158" s="2"/>
      <c r="O158" s="2"/>
    </row>
    <row r="159" spans="12:15">
      <c r="L159" s="2"/>
      <c r="N159" s="2"/>
      <c r="O159" s="2"/>
    </row>
    <row r="160" spans="1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N279" s="3"/>
      <c r="O279" s="3"/>
    </row>
    <row r="280" spans="12:15">
      <c r="N280" s="3"/>
      <c r="O280" s="3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N284" s="3"/>
      <c r="O284" s="3"/>
    </row>
    <row r="285" spans="12:15">
      <c r="N285" s="3"/>
      <c r="O285" s="3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N1229" s="3"/>
      <c r="O1229" s="3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</sheetData>
  <autoFilter ref="A19:O1228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2019-11-01T23:05:30Z</dcterms:modified>
</cp:coreProperties>
</file>